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ata" sheetId="1" state="visible" r:id="rId1"/>
    <sheet name="Data_new" sheetId="2" state="visible" r:id="rId2"/>
    <sheet name="byIntensit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2" pivotButton="0" quotePrefix="0" xfId="0"/>
    <xf numFmtId="0" fontId="0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0" fillId="0" borderId="5" pivotButton="0" quotePrefix="0" xfId="0"/>
    <xf numFmtId="164" fontId="0" fillId="0" borderId="5" pivotButton="0" quotePrefix="0" xfId="0"/>
    <xf numFmtId="0" fontId="2" fillId="0" borderId="6" pivotButton="0" quotePrefix="0" xfId="0"/>
    <xf numFmtId="0" fontId="0" fillId="0" borderId="7" pivotButton="0" quotePrefix="0" xfId="0"/>
    <xf numFmtId="164" fontId="0" fillId="0" borderId="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5"/>
  <sheetViews>
    <sheetView tabSelected="1" workbookViewId="0">
      <pane ySplit="1" topLeftCell="A2595" activePane="bottomLeft" state="frozen"/>
      <selection pane="bottomLeft" activeCell="A1" sqref="A1"/>
    </sheetView>
  </sheetViews>
  <sheetFormatPr baseColWidth="8" defaultRowHeight="14.4"/>
  <cols>
    <col width="10" customWidth="1" min="1" max="5"/>
    <col width="11" customWidth="1" min="6" max="7"/>
    <col width="10" customWidth="1" min="8" max="11"/>
    <col width="13" customWidth="1" min="12" max="12"/>
    <col width="10" customWidth="1" min="13" max="13"/>
    <col width="13" customWidth="1" min="14" max="14"/>
    <col width="11" customWidth="1" min="15" max="15"/>
    <col width="10" customWidth="1" min="16" max="19"/>
    <col width="12" customWidth="1" min="20" max="20"/>
    <col width="15" customWidth="1" min="21" max="21"/>
    <col width="10" customWidth="1" min="22" max="24"/>
    <col width="13" customWidth="1" min="25" max="25"/>
    <col width="10" customWidth="1" min="26" max="26"/>
    <col width="11" customWidth="1" min="27" max="27"/>
    <col width="13" customWidth="1" min="28" max="28"/>
  </cols>
  <sheetData>
    <row r="1">
      <c r="A1" s="1" t="inlineStr">
        <is>
          <t>ts</t>
        </is>
      </c>
      <c r="B1" s="1" t="inlineStr">
        <is>
          <t>board_id</t>
        </is>
      </c>
      <c r="C1" s="1" t="inlineStr">
        <is>
          <t>color</t>
        </is>
      </c>
      <c r="D1" s="1" t="inlineStr">
        <is>
          <t>run_id</t>
        </is>
      </c>
      <c r="E1" s="1" t="inlineStr">
        <is>
          <t>volt_set</t>
        </is>
      </c>
      <c r="F1" s="1" t="inlineStr">
        <is>
          <t>volt_meas</t>
        </is>
      </c>
      <c r="G1" s="1" t="inlineStr">
        <is>
          <t>intensity</t>
        </is>
      </c>
      <c r="H1" s="1" t="inlineStr">
        <is>
          <t>kick_pc</t>
        </is>
      </c>
      <c r="I1" s="1" t="inlineStr">
        <is>
          <t>kick_ms</t>
        </is>
      </c>
      <c r="J1" s="1" t="inlineStr">
        <is>
          <t>phase</t>
        </is>
      </c>
      <c r="K1" s="1" t="inlineStr">
        <is>
          <t>measured</t>
        </is>
      </c>
      <c r="L1" s="1" t="inlineStr">
        <is>
          <t>skip_reason</t>
        </is>
      </c>
      <c r="M1" s="1" t="inlineStr">
        <is>
          <t>t_on_ms</t>
        </is>
      </c>
      <c r="N1" s="1" t="inlineStr">
        <is>
          <t>t_rising_ms</t>
        </is>
      </c>
      <c r="O1" s="1" t="inlineStr">
        <is>
          <t>t_dead_ms</t>
        </is>
      </c>
      <c r="P1" s="1" t="inlineStr">
        <is>
          <t>on_ms</t>
        </is>
      </c>
      <c r="Q1" s="1" t="inlineStr">
        <is>
          <t>en2_ms</t>
        </is>
      </c>
      <c r="R1" s="1" t="inlineStr">
        <is>
          <t>flash</t>
        </is>
      </c>
      <c r="S1" s="1" t="inlineStr">
        <is>
          <t>peak_mA</t>
        </is>
      </c>
      <c r="T1" s="1" t="inlineStr">
        <is>
          <t>settled_mA</t>
        </is>
      </c>
      <c r="U1" s="1" t="inlineStr">
        <is>
          <t>ldr_settled_V</t>
        </is>
      </c>
      <c r="V1" s="1" t="inlineStr">
        <is>
          <t>valid</t>
        </is>
      </c>
      <c r="W1" s="1" t="inlineStr">
        <is>
          <t>error</t>
        </is>
      </c>
      <c r="X1" s="1" t="inlineStr">
        <is>
          <t>pass</t>
        </is>
      </c>
      <c r="Y1" s="1" t="inlineStr">
        <is>
          <t>fail_reason</t>
        </is>
      </c>
      <c r="Z1" s="1" t="inlineStr">
        <is>
          <t>on_min</t>
        </is>
      </c>
      <c r="AA1" s="1" t="inlineStr">
        <is>
          <t>flash_max</t>
        </is>
      </c>
      <c r="AB1" s="1" t="inlineStr">
        <is>
          <t>current_min</t>
        </is>
      </c>
    </row>
    <row r="2">
      <c r="A2" t="inlineStr">
        <is>
          <t>2026-09-24 12:07:58</t>
        </is>
      </c>
      <c r="B2" t="inlineStr">
        <is>
          <t>MLLB_000_y1.0.3</t>
        </is>
      </c>
      <c r="C2" t="inlineStr">
        <is>
          <t>WHITE</t>
        </is>
      </c>
      <c r="D2" t="inlineStr">
        <is>
          <t>v4_white_MLLB_000_y103_0924</t>
        </is>
      </c>
      <c r="E2" t="n">
        <v>4.2</v>
      </c>
      <c r="F2" t="n">
        <v>4.2</v>
      </c>
      <c r="G2" t="n">
        <v>6</v>
      </c>
      <c r="H2" t="n">
        <v>100</v>
      </c>
      <c r="I2" t="n">
        <v>12</v>
      </c>
      <c r="J2" t="inlineStr">
        <is>
          <t>kaba</t>
        </is>
      </c>
      <c r="K2" t="b">
        <v>1</v>
      </c>
      <c r="M2" t="n">
        <v>198</v>
      </c>
      <c r="N2" t="n">
        <v>50</v>
      </c>
      <c r="O2" t="n">
        <v>170</v>
      </c>
      <c r="P2" t="n">
        <v>804</v>
      </c>
      <c r="Q2" t="n">
        <v>1002</v>
      </c>
      <c r="R2" t="n">
        <v>1.096</v>
      </c>
      <c r="S2" t="n">
        <v>10.536</v>
      </c>
      <c r="T2" t="n">
        <v>9.617000000000001</v>
      </c>
      <c r="U2" t="n">
        <v>0.778</v>
      </c>
      <c r="V2" t="b">
        <v>1</v>
      </c>
      <c r="X2" t="b">
        <v>0</v>
      </c>
      <c r="Y2" t="inlineStr">
        <is>
          <t>ON</t>
        </is>
      </c>
      <c r="Z2" t="n">
        <v>935</v>
      </c>
      <c r="AA2" t="n">
        <v>2.5</v>
      </c>
      <c r="AB2" t="n">
        <v>9.5</v>
      </c>
    </row>
    <row r="3">
      <c r="A3" t="inlineStr">
        <is>
          <t>2026-09-24 12:08:14</t>
        </is>
      </c>
      <c r="B3" t="inlineStr">
        <is>
          <t>MLLB_000_y1.0.3</t>
        </is>
      </c>
      <c r="C3" t="inlineStr">
        <is>
          <t>WHITE</t>
        </is>
      </c>
      <c r="D3" t="inlineStr">
        <is>
          <t>v4_white_MLLB_000_y103_0924</t>
        </is>
      </c>
      <c r="E3" t="n">
        <v>4.2</v>
      </c>
      <c r="F3" t="n">
        <v>4.2</v>
      </c>
      <c r="G3" t="n">
        <v>6</v>
      </c>
      <c r="H3" t="n">
        <v>100</v>
      </c>
      <c r="I3" t="n">
        <v>16</v>
      </c>
      <c r="J3" t="inlineStr">
        <is>
          <t>kaba</t>
        </is>
      </c>
      <c r="K3" t="b">
        <v>1</v>
      </c>
      <c r="M3" t="n">
        <v>112</v>
      </c>
      <c r="N3" t="n">
        <v>48</v>
      </c>
      <c r="O3" t="n">
        <v>84</v>
      </c>
      <c r="P3" t="n">
        <v>890</v>
      </c>
      <c r="Q3" t="n">
        <v>1002</v>
      </c>
      <c r="R3" t="n">
        <v>1.092</v>
      </c>
      <c r="S3" t="n">
        <v>10.508</v>
      </c>
      <c r="T3" t="n">
        <v>9.622999999999999</v>
      </c>
      <c r="U3" t="n">
        <v>0.7781</v>
      </c>
      <c r="V3" t="b">
        <v>1</v>
      </c>
      <c r="X3" t="b">
        <v>0</v>
      </c>
      <c r="Y3" t="inlineStr">
        <is>
          <t>ON</t>
        </is>
      </c>
      <c r="Z3" t="n">
        <v>935</v>
      </c>
      <c r="AA3" t="n">
        <v>2.5</v>
      </c>
      <c r="AB3" t="n">
        <v>9.5</v>
      </c>
    </row>
    <row r="4">
      <c r="A4" t="inlineStr">
        <is>
          <t>2026-09-24 12:08:30</t>
        </is>
      </c>
      <c r="B4" t="inlineStr">
        <is>
          <t>MLLB_000_y1.0.3</t>
        </is>
      </c>
      <c r="C4" t="inlineStr">
        <is>
          <t>WHITE</t>
        </is>
      </c>
      <c r="D4" t="inlineStr">
        <is>
          <t>v4_white_MLLB_000_y103_0924</t>
        </is>
      </c>
      <c r="E4" t="n">
        <v>4.2</v>
      </c>
      <c r="F4" t="n">
        <v>4.2</v>
      </c>
      <c r="G4" t="n">
        <v>6</v>
      </c>
      <c r="H4" t="n">
        <v>100</v>
      </c>
      <c r="I4" t="n">
        <v>20</v>
      </c>
      <c r="J4" t="inlineStr">
        <is>
          <t>kaba</t>
        </is>
      </c>
      <c r="K4" t="b">
        <v>1</v>
      </c>
      <c r="M4" t="n">
        <v>28</v>
      </c>
      <c r="N4" t="n">
        <v>30</v>
      </c>
      <c r="O4" t="n">
        <v>8</v>
      </c>
      <c r="P4" t="n">
        <v>974</v>
      </c>
      <c r="Q4" t="n">
        <v>1002</v>
      </c>
      <c r="R4" t="n">
        <v>1.09</v>
      </c>
      <c r="S4" t="n">
        <v>10.511</v>
      </c>
      <c r="T4" t="n">
        <v>9.646000000000001</v>
      </c>
      <c r="U4" t="n">
        <v>0.7779</v>
      </c>
      <c r="V4" t="b">
        <v>1</v>
      </c>
      <c r="X4" t="b">
        <v>1</v>
      </c>
      <c r="Z4" t="n">
        <v>935</v>
      </c>
      <c r="AA4" t="n">
        <v>2.5</v>
      </c>
      <c r="AB4" t="n">
        <v>9.5</v>
      </c>
    </row>
    <row r="5">
      <c r="A5" t="inlineStr">
        <is>
          <t>2026-09-24 12:08:46</t>
        </is>
      </c>
      <c r="B5" t="inlineStr">
        <is>
          <t>MLLB_000_y1.0.3</t>
        </is>
      </c>
      <c r="C5" t="inlineStr">
        <is>
          <t>WHITE</t>
        </is>
      </c>
      <c r="D5" t="inlineStr">
        <is>
          <t>v4_white_MLLB_000_y103_0924</t>
        </is>
      </c>
      <c r="E5" t="n">
        <v>4.2</v>
      </c>
      <c r="F5" t="n">
        <v>4.2</v>
      </c>
      <c r="G5" t="n">
        <v>6</v>
      </c>
      <c r="H5" t="n">
        <v>100</v>
      </c>
      <c r="I5" t="n">
        <v>24</v>
      </c>
      <c r="J5" t="inlineStr">
        <is>
          <t>kaba</t>
        </is>
      </c>
      <c r="K5" t="b">
        <v>1</v>
      </c>
      <c r="M5" t="n">
        <v>28</v>
      </c>
      <c r="N5" t="n">
        <v>32</v>
      </c>
      <c r="O5" t="n">
        <v>6</v>
      </c>
      <c r="P5" t="n">
        <v>974</v>
      </c>
      <c r="Q5" t="n">
        <v>1002</v>
      </c>
      <c r="R5" t="n">
        <v>8.335000000000001</v>
      </c>
      <c r="S5" t="n">
        <v>80.54300000000001</v>
      </c>
      <c r="T5" t="n">
        <v>9.663</v>
      </c>
      <c r="U5" t="n">
        <v>0.7782</v>
      </c>
      <c r="V5" t="b">
        <v>1</v>
      </c>
      <c r="X5" t="b">
        <v>0</v>
      </c>
      <c r="Y5" t="inlineStr">
        <is>
          <t>FLAS</t>
        </is>
      </c>
      <c r="Z5" t="n">
        <v>935</v>
      </c>
      <c r="AA5" t="n">
        <v>2.5</v>
      </c>
      <c r="AB5" t="n">
        <v>9.5</v>
      </c>
    </row>
    <row r="6">
      <c r="A6" t="inlineStr">
        <is>
          <t>2026-09-24 12:09:02</t>
        </is>
      </c>
      <c r="B6" t="inlineStr">
        <is>
          <t>MLLB_000_y1.0.3</t>
        </is>
      </c>
      <c r="C6" t="inlineStr">
        <is>
          <t>WHITE</t>
        </is>
      </c>
      <c r="D6" t="inlineStr">
        <is>
          <t>v4_white_MLLB_000_y103_0924</t>
        </is>
      </c>
      <c r="E6" t="n">
        <v>4.2</v>
      </c>
      <c r="F6" t="n">
        <v>4.2</v>
      </c>
      <c r="G6" t="n">
        <v>6</v>
      </c>
      <c r="H6" t="n">
        <v>100</v>
      </c>
      <c r="I6" t="n">
        <v>17</v>
      </c>
      <c r="J6" t="inlineStr">
        <is>
          <t>ince</t>
        </is>
      </c>
      <c r="K6" t="b">
        <v>1</v>
      </c>
      <c r="M6" t="n">
        <v>90</v>
      </c>
      <c r="N6" t="n">
        <v>50</v>
      </c>
      <c r="O6" t="n">
        <v>62</v>
      </c>
      <c r="P6" t="n">
        <v>912</v>
      </c>
      <c r="Q6" t="n">
        <v>1002</v>
      </c>
      <c r="R6" t="n">
        <v>1.098</v>
      </c>
      <c r="S6" t="n">
        <v>10.6</v>
      </c>
      <c r="T6" t="n">
        <v>9.65</v>
      </c>
      <c r="U6" t="n">
        <v>0.778</v>
      </c>
      <c r="V6" t="b">
        <v>1</v>
      </c>
      <c r="X6" t="b">
        <v>0</v>
      </c>
      <c r="Y6" t="inlineStr">
        <is>
          <t>ON</t>
        </is>
      </c>
      <c r="Z6" t="n">
        <v>935</v>
      </c>
      <c r="AA6" t="n">
        <v>2.5</v>
      </c>
      <c r="AB6" t="n">
        <v>9.5</v>
      </c>
    </row>
    <row r="7">
      <c r="A7" t="inlineStr">
        <is>
          <t>2026-09-24 12:09:18</t>
        </is>
      </c>
      <c r="B7" t="inlineStr">
        <is>
          <t>MLLB_000_y1.0.3</t>
        </is>
      </c>
      <c r="C7" t="inlineStr">
        <is>
          <t>WHITE</t>
        </is>
      </c>
      <c r="D7" t="inlineStr">
        <is>
          <t>v4_white_MLLB_000_y103_0924</t>
        </is>
      </c>
      <c r="E7" t="n">
        <v>4.2</v>
      </c>
      <c r="F7" t="n">
        <v>4.2</v>
      </c>
      <c r="G7" t="n">
        <v>6</v>
      </c>
      <c r="H7" t="n">
        <v>100</v>
      </c>
      <c r="I7" t="n">
        <v>18</v>
      </c>
      <c r="J7" t="inlineStr">
        <is>
          <t>ince</t>
        </is>
      </c>
      <c r="K7" t="b">
        <v>1</v>
      </c>
      <c r="M7" t="n">
        <v>66</v>
      </c>
      <c r="N7" t="n">
        <v>50</v>
      </c>
      <c r="O7" t="n">
        <v>38</v>
      </c>
      <c r="P7" t="n">
        <v>936</v>
      </c>
      <c r="Q7" t="n">
        <v>1002</v>
      </c>
      <c r="R7" t="n">
        <v>1.091</v>
      </c>
      <c r="S7" t="n">
        <v>10.524</v>
      </c>
      <c r="T7" t="n">
        <v>9.65</v>
      </c>
      <c r="U7" t="n">
        <v>0.7776999999999999</v>
      </c>
      <c r="V7" t="b">
        <v>1</v>
      </c>
      <c r="X7" t="b">
        <v>1</v>
      </c>
      <c r="Z7" t="n">
        <v>935</v>
      </c>
      <c r="AA7" t="n">
        <v>2.5</v>
      </c>
      <c r="AB7" t="n">
        <v>9.5</v>
      </c>
    </row>
    <row r="8">
      <c r="A8" t="inlineStr">
        <is>
          <t>2026-09-24 12:09:34</t>
        </is>
      </c>
      <c r="B8" t="inlineStr">
        <is>
          <t>MLLB_000_y1.0.3</t>
        </is>
      </c>
      <c r="C8" t="inlineStr">
        <is>
          <t>WHITE</t>
        </is>
      </c>
      <c r="D8" t="inlineStr">
        <is>
          <t>v4_white_MLLB_000_y103_0924</t>
        </is>
      </c>
      <c r="E8" t="n">
        <v>4.2</v>
      </c>
      <c r="F8" t="n">
        <v>4.2</v>
      </c>
      <c r="G8" t="n">
        <v>6</v>
      </c>
      <c r="H8" t="n">
        <v>100</v>
      </c>
      <c r="I8" t="n">
        <v>19</v>
      </c>
      <c r="J8" t="inlineStr">
        <is>
          <t>ince</t>
        </is>
      </c>
      <c r="K8" t="b">
        <v>1</v>
      </c>
      <c r="M8" t="n">
        <v>44</v>
      </c>
      <c r="N8" t="n">
        <v>48</v>
      </c>
      <c r="O8" t="n">
        <v>14</v>
      </c>
      <c r="P8" t="n">
        <v>958</v>
      </c>
      <c r="Q8" t="n">
        <v>1002</v>
      </c>
      <c r="R8" t="n">
        <v>1.1</v>
      </c>
      <c r="S8" t="n">
        <v>10.6</v>
      </c>
      <c r="T8" t="n">
        <v>9.634</v>
      </c>
      <c r="U8" t="n">
        <v>0.7772</v>
      </c>
      <c r="V8" t="b">
        <v>1</v>
      </c>
      <c r="X8" t="b">
        <v>1</v>
      </c>
      <c r="Z8" t="n">
        <v>935</v>
      </c>
      <c r="AA8" t="n">
        <v>2.5</v>
      </c>
      <c r="AB8" t="n">
        <v>9.5</v>
      </c>
    </row>
    <row r="9">
      <c r="A9" t="inlineStr">
        <is>
          <t>2026-09-24 12:09:50</t>
        </is>
      </c>
      <c r="B9" t="inlineStr">
        <is>
          <t>MLLB_000_y1.0.3</t>
        </is>
      </c>
      <c r="C9" t="inlineStr">
        <is>
          <t>WHITE</t>
        </is>
      </c>
      <c r="D9" t="inlineStr">
        <is>
          <t>v4_white_MLLB_000_y103_0924</t>
        </is>
      </c>
      <c r="E9" t="n">
        <v>4.2</v>
      </c>
      <c r="F9" t="n">
        <v>4.2</v>
      </c>
      <c r="G9" t="n">
        <v>6</v>
      </c>
      <c r="H9" t="n">
        <v>100</v>
      </c>
      <c r="I9" t="n">
        <v>21</v>
      </c>
      <c r="J9" t="inlineStr">
        <is>
          <t>ince</t>
        </is>
      </c>
      <c r="K9" t="b">
        <v>1</v>
      </c>
      <c r="M9" t="n">
        <v>28</v>
      </c>
      <c r="N9" t="n">
        <v>32</v>
      </c>
      <c r="O9" t="n">
        <v>6</v>
      </c>
      <c r="P9" t="n">
        <v>974</v>
      </c>
      <c r="Q9" t="n">
        <v>1002</v>
      </c>
      <c r="R9" t="n">
        <v>2.471</v>
      </c>
      <c r="S9" t="n">
        <v>23.808</v>
      </c>
      <c r="T9" t="n">
        <v>9.635999999999999</v>
      </c>
      <c r="U9" t="n">
        <v>0.7783</v>
      </c>
      <c r="V9" t="b">
        <v>1</v>
      </c>
      <c r="X9" t="b">
        <v>1</v>
      </c>
      <c r="Z9" t="n">
        <v>935</v>
      </c>
      <c r="AA9" t="n">
        <v>2.5</v>
      </c>
      <c r="AB9" t="n">
        <v>9.5</v>
      </c>
    </row>
    <row r="10">
      <c r="A10" t="inlineStr">
        <is>
          <t>2026-09-24 12:10:06</t>
        </is>
      </c>
      <c r="B10" t="inlineStr">
        <is>
          <t>MLLB_000_y1.0.3</t>
        </is>
      </c>
      <c r="C10" t="inlineStr">
        <is>
          <t>WHITE</t>
        </is>
      </c>
      <c r="D10" t="inlineStr">
        <is>
          <t>v4_white_MLLB_000_y103_0924</t>
        </is>
      </c>
      <c r="E10" t="n">
        <v>4.2</v>
      </c>
      <c r="F10" t="n">
        <v>4.2</v>
      </c>
      <c r="G10" t="n">
        <v>6</v>
      </c>
      <c r="H10" t="n">
        <v>100</v>
      </c>
      <c r="I10" t="n">
        <v>22</v>
      </c>
      <c r="J10" t="inlineStr">
        <is>
          <t>ince</t>
        </is>
      </c>
      <c r="K10" t="b">
        <v>1</v>
      </c>
      <c r="M10" t="n">
        <v>28</v>
      </c>
      <c r="N10" t="n">
        <v>32</v>
      </c>
      <c r="O10" t="n">
        <v>6</v>
      </c>
      <c r="P10" t="n">
        <v>974</v>
      </c>
      <c r="Q10" t="n">
        <v>1002</v>
      </c>
      <c r="R10" t="n">
        <v>4.486</v>
      </c>
      <c r="S10" t="n">
        <v>43.213</v>
      </c>
      <c r="T10" t="n">
        <v>9.634</v>
      </c>
      <c r="U10" t="n">
        <v>0.7781</v>
      </c>
      <c r="V10" t="b">
        <v>1</v>
      </c>
      <c r="X10" t="b">
        <v>0</v>
      </c>
      <c r="Y10" t="inlineStr">
        <is>
          <t>FLAS</t>
        </is>
      </c>
      <c r="Z10" t="n">
        <v>935</v>
      </c>
      <c r="AA10" t="n">
        <v>2.5</v>
      </c>
      <c r="AB10" t="n">
        <v>9.5</v>
      </c>
    </row>
    <row r="11">
      <c r="A11" t="inlineStr">
        <is>
          <t>2026-09-24 12:10:22</t>
        </is>
      </c>
      <c r="B11" t="inlineStr">
        <is>
          <t>MLLB_000_y1.0.3</t>
        </is>
      </c>
      <c r="C11" t="inlineStr">
        <is>
          <t>WHITE</t>
        </is>
      </c>
      <c r="D11" t="inlineStr">
        <is>
          <t>v4_white_MLLB_000_y103_0924</t>
        </is>
      </c>
      <c r="E11" t="n">
        <v>4.2</v>
      </c>
      <c r="F11" t="n">
        <v>4.2</v>
      </c>
      <c r="G11" t="n">
        <v>6</v>
      </c>
      <c r="H11" t="n">
        <v>100</v>
      </c>
      <c r="I11" t="n">
        <v>23</v>
      </c>
      <c r="J11" t="inlineStr">
        <is>
          <t>ince</t>
        </is>
      </c>
      <c r="K11" t="b">
        <v>1</v>
      </c>
      <c r="M11" t="n">
        <v>26</v>
      </c>
      <c r="N11" t="n">
        <v>32</v>
      </c>
      <c r="O11" t="n">
        <v>6</v>
      </c>
      <c r="P11" t="n">
        <v>976</v>
      </c>
      <c r="Q11" t="n">
        <v>1002</v>
      </c>
      <c r="R11" t="n">
        <v>6.409</v>
      </c>
      <c r="S11" t="n">
        <v>61.756</v>
      </c>
      <c r="T11" t="n">
        <v>9.635999999999999</v>
      </c>
      <c r="U11" t="n">
        <v>0.7776999999999999</v>
      </c>
      <c r="V11" t="b">
        <v>1</v>
      </c>
      <c r="X11" t="b">
        <v>0</v>
      </c>
      <c r="Y11" t="inlineStr">
        <is>
          <t>FLAS</t>
        </is>
      </c>
      <c r="Z11" t="n">
        <v>935</v>
      </c>
      <c r="AA11" t="n">
        <v>2.5</v>
      </c>
      <c r="AB11" t="n">
        <v>9.5</v>
      </c>
    </row>
    <row r="12">
      <c r="A12" t="inlineStr">
        <is>
          <t>2026-09-24 12:10:22</t>
        </is>
      </c>
      <c r="B12" t="inlineStr">
        <is>
          <t>MLLB_000_y1.0.3</t>
        </is>
      </c>
      <c r="C12" t="inlineStr">
        <is>
          <t>WHITE</t>
        </is>
      </c>
      <c r="D12" t="inlineStr">
        <is>
          <t>v4_white_MLLB_000_y103_0924</t>
        </is>
      </c>
      <c r="E12" t="n">
        <v>4.2</v>
      </c>
      <c r="F12" t="n">
        <v>4.2</v>
      </c>
      <c r="G12" t="n">
        <v>6</v>
      </c>
      <c r="H12" t="n">
        <v>100</v>
      </c>
      <c r="J12" t="inlineStr">
        <is>
          <t>bitti</t>
        </is>
      </c>
      <c r="K12" t="b">
        <v>0</v>
      </c>
      <c r="Z12" t="n">
        <v>935</v>
      </c>
      <c r="AA12" t="n">
        <v>2.5</v>
      </c>
      <c r="AB12" t="n">
        <v>9.5</v>
      </c>
    </row>
    <row r="13">
      <c r="A13" t="inlineStr">
        <is>
          <t>2026-09-24 12:10:38</t>
        </is>
      </c>
      <c r="B13" t="inlineStr">
        <is>
          <t>MLLB_000_y1.0.3</t>
        </is>
      </c>
      <c r="C13" t="inlineStr">
        <is>
          <t>WHITE</t>
        </is>
      </c>
      <c r="D13" t="inlineStr">
        <is>
          <t>v4_white_MLLB_000_y103_0924</t>
        </is>
      </c>
      <c r="E13" t="n">
        <v>4.2</v>
      </c>
      <c r="F13" t="n">
        <v>4.2</v>
      </c>
      <c r="G13" t="n">
        <v>6</v>
      </c>
      <c r="H13" t="n">
        <v>80</v>
      </c>
      <c r="I13" t="n">
        <v>12</v>
      </c>
      <c r="J13" t="inlineStr">
        <is>
          <t>kaba</t>
        </is>
      </c>
      <c r="K13" t="b">
        <v>1</v>
      </c>
      <c r="M13" t="n">
        <v>240</v>
      </c>
      <c r="N13" t="n">
        <v>44</v>
      </c>
      <c r="O13" t="n">
        <v>214</v>
      </c>
      <c r="P13" t="n">
        <v>762</v>
      </c>
      <c r="Q13" t="n">
        <v>1002</v>
      </c>
      <c r="R13" t="n">
        <v>1.104</v>
      </c>
      <c r="S13" t="n">
        <v>10.553</v>
      </c>
      <c r="T13" t="n">
        <v>9.555</v>
      </c>
      <c r="U13" t="n">
        <v>0.7774</v>
      </c>
      <c r="V13" t="b">
        <v>1</v>
      </c>
      <c r="X13" t="b">
        <v>0</v>
      </c>
      <c r="Y13" t="inlineStr">
        <is>
          <t>ON</t>
        </is>
      </c>
      <c r="Z13" t="n">
        <v>935</v>
      </c>
      <c r="AA13" t="n">
        <v>2.5</v>
      </c>
      <c r="AB13" t="n">
        <v>9.5</v>
      </c>
    </row>
    <row r="14">
      <c r="A14" t="inlineStr">
        <is>
          <t>2026-09-24 12:10:54</t>
        </is>
      </c>
      <c r="B14" t="inlineStr">
        <is>
          <t>MLLB_000_y1.0.3</t>
        </is>
      </c>
      <c r="C14" t="inlineStr">
        <is>
          <t>WHITE</t>
        </is>
      </c>
      <c r="D14" t="inlineStr">
        <is>
          <t>v4_white_MLLB_000_y103_0924</t>
        </is>
      </c>
      <c r="E14" t="n">
        <v>4.2</v>
      </c>
      <c r="F14" t="n">
        <v>4.2</v>
      </c>
      <c r="G14" t="n">
        <v>6</v>
      </c>
      <c r="H14" t="n">
        <v>80</v>
      </c>
      <c r="I14" t="n">
        <v>16</v>
      </c>
      <c r="J14" t="inlineStr">
        <is>
          <t>kaba</t>
        </is>
      </c>
      <c r="K14" t="b">
        <v>1</v>
      </c>
      <c r="M14" t="n">
        <v>170</v>
      </c>
      <c r="N14" t="n">
        <v>50</v>
      </c>
      <c r="O14" t="n">
        <v>142</v>
      </c>
      <c r="P14" t="n">
        <v>832</v>
      </c>
      <c r="Q14" t="n">
        <v>1002</v>
      </c>
      <c r="R14" t="n">
        <v>1.095</v>
      </c>
      <c r="S14" t="n">
        <v>10.514</v>
      </c>
      <c r="T14" t="n">
        <v>9.599</v>
      </c>
      <c r="U14" t="n">
        <v>0.7783</v>
      </c>
      <c r="V14" t="b">
        <v>1</v>
      </c>
      <c r="X14" t="b">
        <v>0</v>
      </c>
      <c r="Y14" t="inlineStr">
        <is>
          <t>ON</t>
        </is>
      </c>
      <c r="Z14" t="n">
        <v>935</v>
      </c>
      <c r="AA14" t="n">
        <v>2.5</v>
      </c>
      <c r="AB14" t="n">
        <v>9.5</v>
      </c>
    </row>
    <row r="15">
      <c r="A15" t="inlineStr">
        <is>
          <t>2026-09-24 12:11:10</t>
        </is>
      </c>
      <c r="B15" t="inlineStr">
        <is>
          <t>MLLB_000_y1.0.3</t>
        </is>
      </c>
      <c r="C15" t="inlineStr">
        <is>
          <t>WHITE</t>
        </is>
      </c>
      <c r="D15" t="inlineStr">
        <is>
          <t>v4_white_MLLB_000_y103_0924</t>
        </is>
      </c>
      <c r="E15" t="n">
        <v>4.2</v>
      </c>
      <c r="F15" t="n">
        <v>4.2</v>
      </c>
      <c r="G15" t="n">
        <v>6</v>
      </c>
      <c r="H15" t="n">
        <v>80</v>
      </c>
      <c r="I15" t="n">
        <v>20</v>
      </c>
      <c r="J15" t="inlineStr">
        <is>
          <t>kaba</t>
        </is>
      </c>
      <c r="K15" t="b">
        <v>1</v>
      </c>
      <c r="M15" t="n">
        <v>100</v>
      </c>
      <c r="N15" t="n">
        <v>48</v>
      </c>
      <c r="O15" t="n">
        <v>72</v>
      </c>
      <c r="P15" t="n">
        <v>902</v>
      </c>
      <c r="Q15" t="n">
        <v>1002</v>
      </c>
      <c r="R15" t="n">
        <v>1.093</v>
      </c>
      <c r="S15" t="n">
        <v>10.533</v>
      </c>
      <c r="T15" t="n">
        <v>9.641</v>
      </c>
      <c r="U15" t="n">
        <v>0.7773</v>
      </c>
      <c r="V15" t="b">
        <v>1</v>
      </c>
      <c r="X15" t="b">
        <v>0</v>
      </c>
      <c r="Y15" t="inlineStr">
        <is>
          <t>ON</t>
        </is>
      </c>
      <c r="Z15" t="n">
        <v>935</v>
      </c>
      <c r="AA15" t="n">
        <v>2.5</v>
      </c>
      <c r="AB15" t="n">
        <v>9.5</v>
      </c>
    </row>
    <row r="16">
      <c r="A16" t="inlineStr">
        <is>
          <t>2026-09-24 12:11:26</t>
        </is>
      </c>
      <c r="B16" t="inlineStr">
        <is>
          <t>MLLB_000_y1.0.3</t>
        </is>
      </c>
      <c r="C16" t="inlineStr">
        <is>
          <t>WHITE</t>
        </is>
      </c>
      <c r="D16" t="inlineStr">
        <is>
          <t>v4_white_MLLB_000_y103_0924</t>
        </is>
      </c>
      <c r="E16" t="n">
        <v>4.2</v>
      </c>
      <c r="F16" t="n">
        <v>4.2</v>
      </c>
      <c r="G16" t="n">
        <v>6</v>
      </c>
      <c r="H16" t="n">
        <v>80</v>
      </c>
      <c r="I16" t="n">
        <v>24</v>
      </c>
      <c r="J16" t="inlineStr">
        <is>
          <t>kaba</t>
        </is>
      </c>
      <c r="K16" t="b">
        <v>1</v>
      </c>
      <c r="M16" t="n">
        <v>30</v>
      </c>
      <c r="N16" t="n">
        <v>32</v>
      </c>
      <c r="O16" t="n">
        <v>10</v>
      </c>
      <c r="P16" t="n">
        <v>972</v>
      </c>
      <c r="Q16" t="n">
        <v>1002</v>
      </c>
      <c r="R16" t="n">
        <v>1.099</v>
      </c>
      <c r="S16" t="n">
        <v>10.6</v>
      </c>
      <c r="T16" t="n">
        <v>9.645</v>
      </c>
      <c r="U16" t="n">
        <v>0.7778</v>
      </c>
      <c r="V16" t="b">
        <v>1</v>
      </c>
      <c r="X16" t="b">
        <v>1</v>
      </c>
      <c r="Z16" t="n">
        <v>935</v>
      </c>
      <c r="AA16" t="n">
        <v>2.5</v>
      </c>
      <c r="AB16" t="n">
        <v>9.5</v>
      </c>
    </row>
    <row r="17">
      <c r="A17" t="inlineStr">
        <is>
          <t>2026-09-24 12:11:42</t>
        </is>
      </c>
      <c r="B17" t="inlineStr">
        <is>
          <t>MLLB_000_y1.0.3</t>
        </is>
      </c>
      <c r="C17" t="inlineStr">
        <is>
          <t>WHITE</t>
        </is>
      </c>
      <c r="D17" t="inlineStr">
        <is>
          <t>v4_white_MLLB_000_y103_0924</t>
        </is>
      </c>
      <c r="E17" t="n">
        <v>4.2</v>
      </c>
      <c r="F17" t="n">
        <v>4.2</v>
      </c>
      <c r="G17" t="n">
        <v>6</v>
      </c>
      <c r="H17" t="n">
        <v>80</v>
      </c>
      <c r="I17" t="n">
        <v>28</v>
      </c>
      <c r="J17" t="inlineStr">
        <is>
          <t>kaba</t>
        </is>
      </c>
      <c r="K17" t="b">
        <v>1</v>
      </c>
      <c r="M17" t="n">
        <v>30</v>
      </c>
      <c r="N17" t="n">
        <v>32</v>
      </c>
      <c r="O17" t="n">
        <v>10</v>
      </c>
      <c r="P17" t="n">
        <v>972</v>
      </c>
      <c r="Q17" t="n">
        <v>1002</v>
      </c>
      <c r="R17" t="n">
        <v>6.427</v>
      </c>
      <c r="S17" t="n">
        <v>61.927</v>
      </c>
      <c r="T17" t="n">
        <v>9.635999999999999</v>
      </c>
      <c r="U17" t="n">
        <v>0.7779</v>
      </c>
      <c r="V17" t="b">
        <v>1</v>
      </c>
      <c r="X17" t="b">
        <v>0</v>
      </c>
      <c r="Y17" t="inlineStr">
        <is>
          <t>FLAS</t>
        </is>
      </c>
      <c r="Z17" t="n">
        <v>935</v>
      </c>
      <c r="AA17" t="n">
        <v>2.5</v>
      </c>
      <c r="AB17" t="n">
        <v>9.5</v>
      </c>
    </row>
    <row r="18">
      <c r="A18" t="inlineStr">
        <is>
          <t>2026-09-24 12:11:58</t>
        </is>
      </c>
      <c r="B18" t="inlineStr">
        <is>
          <t>MLLB_000_y1.0.3</t>
        </is>
      </c>
      <c r="C18" t="inlineStr">
        <is>
          <t>WHITE</t>
        </is>
      </c>
      <c r="D18" t="inlineStr">
        <is>
          <t>v4_white_MLLB_000_y103_0924</t>
        </is>
      </c>
      <c r="E18" t="n">
        <v>4.2</v>
      </c>
      <c r="F18" t="n">
        <v>4.2</v>
      </c>
      <c r="G18" t="n">
        <v>6</v>
      </c>
      <c r="H18" t="n">
        <v>80</v>
      </c>
      <c r="I18" t="n">
        <v>21</v>
      </c>
      <c r="J18" t="inlineStr">
        <is>
          <t>ince</t>
        </is>
      </c>
      <c r="K18" t="b">
        <v>1</v>
      </c>
      <c r="M18" t="n">
        <v>82</v>
      </c>
      <c r="N18" t="n">
        <v>44</v>
      </c>
      <c r="O18" t="n">
        <v>54</v>
      </c>
      <c r="P18" t="n">
        <v>920</v>
      </c>
      <c r="Q18" t="n">
        <v>1002</v>
      </c>
      <c r="R18" t="n">
        <v>1.094</v>
      </c>
      <c r="S18" t="n">
        <v>10.554</v>
      </c>
      <c r="T18" t="n">
        <v>9.648</v>
      </c>
      <c r="U18" t="n">
        <v>0.7775</v>
      </c>
      <c r="V18" t="b">
        <v>1</v>
      </c>
      <c r="X18" t="b">
        <v>0</v>
      </c>
      <c r="Y18" t="inlineStr">
        <is>
          <t>ON</t>
        </is>
      </c>
      <c r="Z18" t="n">
        <v>935</v>
      </c>
      <c r="AA18" t="n">
        <v>2.5</v>
      </c>
      <c r="AB18" t="n">
        <v>9.5</v>
      </c>
    </row>
    <row r="19">
      <c r="A19" t="inlineStr">
        <is>
          <t>2026-09-24 12:12:14</t>
        </is>
      </c>
      <c r="B19" t="inlineStr">
        <is>
          <t>MLLB_000_y1.0.3</t>
        </is>
      </c>
      <c r="C19" t="inlineStr">
        <is>
          <t>WHITE</t>
        </is>
      </c>
      <c r="D19" t="inlineStr">
        <is>
          <t>v4_white_MLLB_000_y103_0924</t>
        </is>
      </c>
      <c r="E19" t="n">
        <v>4.2</v>
      </c>
      <c r="F19" t="n">
        <v>4.2</v>
      </c>
      <c r="G19" t="n">
        <v>6</v>
      </c>
      <c r="H19" t="n">
        <v>80</v>
      </c>
      <c r="I19" t="n">
        <v>22</v>
      </c>
      <c r="J19" t="inlineStr">
        <is>
          <t>ince</t>
        </is>
      </c>
      <c r="K19" t="b">
        <v>1</v>
      </c>
      <c r="M19" t="n">
        <v>64</v>
      </c>
      <c r="N19" t="n">
        <v>50</v>
      </c>
      <c r="O19" t="n">
        <v>34</v>
      </c>
      <c r="P19" t="n">
        <v>938</v>
      </c>
      <c r="Q19" t="n">
        <v>1002</v>
      </c>
      <c r="R19" t="n">
        <v>1.091</v>
      </c>
      <c r="S19" t="n">
        <v>10.511</v>
      </c>
      <c r="T19" t="n">
        <v>9.632</v>
      </c>
      <c r="U19" t="n">
        <v>0.7772</v>
      </c>
      <c r="V19" t="b">
        <v>1</v>
      </c>
      <c r="X19" t="b">
        <v>1</v>
      </c>
      <c r="Z19" t="n">
        <v>935</v>
      </c>
      <c r="AA19" t="n">
        <v>2.5</v>
      </c>
      <c r="AB19" t="n">
        <v>9.5</v>
      </c>
    </row>
    <row r="20">
      <c r="A20" t="inlineStr">
        <is>
          <t>2026-09-24 12:12:30</t>
        </is>
      </c>
      <c r="B20" t="inlineStr">
        <is>
          <t>MLLB_000_y1.0.3</t>
        </is>
      </c>
      <c r="C20" t="inlineStr">
        <is>
          <t>WHITE</t>
        </is>
      </c>
      <c r="D20" t="inlineStr">
        <is>
          <t>v4_white_MLLB_000_y103_0924</t>
        </is>
      </c>
      <c r="E20" t="n">
        <v>4.2</v>
      </c>
      <c r="F20" t="n">
        <v>4.2</v>
      </c>
      <c r="G20" t="n">
        <v>6</v>
      </c>
      <c r="H20" t="n">
        <v>80</v>
      </c>
      <c r="I20" t="n">
        <v>23</v>
      </c>
      <c r="J20" t="inlineStr">
        <is>
          <t>ince</t>
        </is>
      </c>
      <c r="K20" t="b">
        <v>1</v>
      </c>
      <c r="M20" t="n">
        <v>42</v>
      </c>
      <c r="N20" t="n">
        <v>50</v>
      </c>
      <c r="O20" t="n">
        <v>14</v>
      </c>
      <c r="P20" t="n">
        <v>960</v>
      </c>
      <c r="Q20" t="n">
        <v>1002</v>
      </c>
      <c r="R20" t="n">
        <v>1.093</v>
      </c>
      <c r="S20" t="n">
        <v>10.524</v>
      </c>
      <c r="T20" t="n">
        <v>9.632</v>
      </c>
      <c r="U20" t="n">
        <v>0.7771</v>
      </c>
      <c r="V20" t="b">
        <v>1</v>
      </c>
      <c r="X20" t="b">
        <v>1</v>
      </c>
      <c r="Z20" t="n">
        <v>935</v>
      </c>
      <c r="AA20" t="n">
        <v>2.5</v>
      </c>
      <c r="AB20" t="n">
        <v>9.5</v>
      </c>
    </row>
    <row r="21">
      <c r="A21" t="inlineStr">
        <is>
          <t>2026-09-24 12:12:46</t>
        </is>
      </c>
      <c r="B21" t="inlineStr">
        <is>
          <t>MLLB_000_y1.0.3</t>
        </is>
      </c>
      <c r="C21" t="inlineStr">
        <is>
          <t>WHITE</t>
        </is>
      </c>
      <c r="D21" t="inlineStr">
        <is>
          <t>v4_white_MLLB_000_y103_0924</t>
        </is>
      </c>
      <c r="E21" t="n">
        <v>4.2</v>
      </c>
      <c r="F21" t="n">
        <v>4.2</v>
      </c>
      <c r="G21" t="n">
        <v>6</v>
      </c>
      <c r="H21" t="n">
        <v>80</v>
      </c>
      <c r="I21" t="n">
        <v>25</v>
      </c>
      <c r="J21" t="inlineStr">
        <is>
          <t>ince</t>
        </is>
      </c>
      <c r="K21" t="b">
        <v>1</v>
      </c>
      <c r="M21" t="n">
        <v>32</v>
      </c>
      <c r="N21" t="n">
        <v>30</v>
      </c>
      <c r="O21" t="n">
        <v>12</v>
      </c>
      <c r="P21" t="n">
        <v>970</v>
      </c>
      <c r="Q21" t="n">
        <v>1002</v>
      </c>
      <c r="R21" t="n">
        <v>2.044</v>
      </c>
      <c r="S21" t="n">
        <v>19.692</v>
      </c>
      <c r="T21" t="n">
        <v>9.632</v>
      </c>
      <c r="U21" t="n">
        <v>0.7772</v>
      </c>
      <c r="V21" t="b">
        <v>1</v>
      </c>
      <c r="X21" t="b">
        <v>1</v>
      </c>
      <c r="Z21" t="n">
        <v>935</v>
      </c>
      <c r="AA21" t="n">
        <v>2.5</v>
      </c>
      <c r="AB21" t="n">
        <v>9.5</v>
      </c>
    </row>
    <row r="22">
      <c r="A22" t="inlineStr">
        <is>
          <t>2026-09-24 12:13:02</t>
        </is>
      </c>
      <c r="B22" t="inlineStr">
        <is>
          <t>MLLB_000_y1.0.3</t>
        </is>
      </c>
      <c r="C22" t="inlineStr">
        <is>
          <t>WHITE</t>
        </is>
      </c>
      <c r="D22" t="inlineStr">
        <is>
          <t>v4_white_MLLB_000_y103_0924</t>
        </is>
      </c>
      <c r="E22" t="n">
        <v>4.2</v>
      </c>
      <c r="F22" t="n">
        <v>4.2</v>
      </c>
      <c r="G22" t="n">
        <v>6</v>
      </c>
      <c r="H22" t="n">
        <v>80</v>
      </c>
      <c r="I22" t="n">
        <v>26</v>
      </c>
      <c r="J22" t="inlineStr">
        <is>
          <t>ince</t>
        </is>
      </c>
      <c r="K22" t="b">
        <v>1</v>
      </c>
      <c r="M22" t="n">
        <v>30</v>
      </c>
      <c r="N22" t="n">
        <v>32</v>
      </c>
      <c r="O22" t="n">
        <v>10</v>
      </c>
      <c r="P22" t="n">
        <v>972</v>
      </c>
      <c r="Q22" t="n">
        <v>1002</v>
      </c>
      <c r="R22" t="n">
        <v>3.508</v>
      </c>
      <c r="S22" t="n">
        <v>33.814</v>
      </c>
      <c r="T22" t="n">
        <v>9.640000000000001</v>
      </c>
      <c r="U22" t="n">
        <v>0.7774</v>
      </c>
      <c r="V22" t="b">
        <v>1</v>
      </c>
      <c r="X22" t="b">
        <v>0</v>
      </c>
      <c r="Y22" t="inlineStr">
        <is>
          <t>FLAS</t>
        </is>
      </c>
      <c r="Z22" t="n">
        <v>935</v>
      </c>
      <c r="AA22" t="n">
        <v>2.5</v>
      </c>
      <c r="AB22" t="n">
        <v>9.5</v>
      </c>
    </row>
    <row r="23">
      <c r="A23" t="inlineStr">
        <is>
          <t>2026-09-24 12:13:18</t>
        </is>
      </c>
      <c r="B23" t="inlineStr">
        <is>
          <t>MLLB_000_y1.0.3</t>
        </is>
      </c>
      <c r="C23" t="inlineStr">
        <is>
          <t>WHITE</t>
        </is>
      </c>
      <c r="D23" t="inlineStr">
        <is>
          <t>v4_white_MLLB_000_y103_0924</t>
        </is>
      </c>
      <c r="E23" t="n">
        <v>4.2</v>
      </c>
      <c r="F23" t="n">
        <v>4.2</v>
      </c>
      <c r="G23" t="n">
        <v>6</v>
      </c>
      <c r="H23" t="n">
        <v>80</v>
      </c>
      <c r="I23" t="n">
        <v>27</v>
      </c>
      <c r="J23" t="inlineStr">
        <is>
          <t>ince</t>
        </is>
      </c>
      <c r="K23" t="b">
        <v>1</v>
      </c>
      <c r="M23" t="n">
        <v>30</v>
      </c>
      <c r="N23" t="n">
        <v>32</v>
      </c>
      <c r="O23" t="n">
        <v>10</v>
      </c>
      <c r="P23" t="n">
        <v>972</v>
      </c>
      <c r="Q23" t="n">
        <v>1002</v>
      </c>
      <c r="R23" t="n">
        <v>5.031</v>
      </c>
      <c r="S23" t="n">
        <v>48.565</v>
      </c>
      <c r="T23" t="n">
        <v>9.653</v>
      </c>
      <c r="U23" t="n">
        <v>0.7775</v>
      </c>
      <c r="V23" t="b">
        <v>1</v>
      </c>
      <c r="X23" t="b">
        <v>0</v>
      </c>
      <c r="Y23" t="inlineStr">
        <is>
          <t>FLAS</t>
        </is>
      </c>
      <c r="Z23" t="n">
        <v>935</v>
      </c>
      <c r="AA23" t="n">
        <v>2.5</v>
      </c>
      <c r="AB23" t="n">
        <v>9.5</v>
      </c>
    </row>
    <row r="24">
      <c r="A24" t="inlineStr">
        <is>
          <t>2026-09-24 12:13:18</t>
        </is>
      </c>
      <c r="B24" t="inlineStr">
        <is>
          <t>MLLB_000_y1.0.3</t>
        </is>
      </c>
      <c r="C24" t="inlineStr">
        <is>
          <t>WHITE</t>
        </is>
      </c>
      <c r="D24" t="inlineStr">
        <is>
          <t>v4_white_MLLB_000_y103_0924</t>
        </is>
      </c>
      <c r="E24" t="n">
        <v>4.2</v>
      </c>
      <c r="F24" t="n">
        <v>4.2</v>
      </c>
      <c r="G24" t="n">
        <v>6</v>
      </c>
      <c r="H24" t="n">
        <v>80</v>
      </c>
      <c r="J24" t="inlineStr">
        <is>
          <t>bitti</t>
        </is>
      </c>
      <c r="K24" t="b">
        <v>0</v>
      </c>
      <c r="Z24" t="n">
        <v>935</v>
      </c>
      <c r="AA24" t="n">
        <v>2.5</v>
      </c>
      <c r="AB24" t="n">
        <v>9.5</v>
      </c>
    </row>
    <row r="25">
      <c r="A25" t="inlineStr">
        <is>
          <t>2026-09-24 12:13:34</t>
        </is>
      </c>
      <c r="B25" t="inlineStr">
        <is>
          <t>MLLB_000_y1.0.3</t>
        </is>
      </c>
      <c r="C25" t="inlineStr">
        <is>
          <t>WHITE</t>
        </is>
      </c>
      <c r="D25" t="inlineStr">
        <is>
          <t>v4_white_MLLB_000_y103_0924</t>
        </is>
      </c>
      <c r="E25" t="n">
        <v>4.2</v>
      </c>
      <c r="F25" t="n">
        <v>4.2</v>
      </c>
      <c r="G25" t="n">
        <v>6</v>
      </c>
      <c r="H25" t="n">
        <v>60</v>
      </c>
      <c r="I25" t="n">
        <v>12</v>
      </c>
      <c r="J25" t="inlineStr">
        <is>
          <t>kaba</t>
        </is>
      </c>
      <c r="K25" t="b">
        <v>1</v>
      </c>
      <c r="M25" t="n">
        <v>286</v>
      </c>
      <c r="N25" t="n">
        <v>50</v>
      </c>
      <c r="O25" t="n">
        <v>258</v>
      </c>
      <c r="P25" t="n">
        <v>716</v>
      </c>
      <c r="Q25" t="n">
        <v>1002</v>
      </c>
      <c r="R25" t="n">
        <v>1.103</v>
      </c>
      <c r="S25" t="n">
        <v>10.508</v>
      </c>
      <c r="T25" t="n">
        <v>9.526</v>
      </c>
      <c r="U25" t="n">
        <v>0.7772</v>
      </c>
      <c r="V25" t="b">
        <v>1</v>
      </c>
      <c r="X25" t="b">
        <v>0</v>
      </c>
      <c r="Y25" t="inlineStr">
        <is>
          <t>ON</t>
        </is>
      </c>
      <c r="Z25" t="n">
        <v>935</v>
      </c>
      <c r="AA25" t="n">
        <v>2.5</v>
      </c>
      <c r="AB25" t="n">
        <v>9.5</v>
      </c>
    </row>
    <row r="26">
      <c r="A26" t="inlineStr">
        <is>
          <t>2026-09-24 12:13:50</t>
        </is>
      </c>
      <c r="B26" t="inlineStr">
        <is>
          <t>MLLB_000_y1.0.3</t>
        </is>
      </c>
      <c r="C26" t="inlineStr">
        <is>
          <t>WHITE</t>
        </is>
      </c>
      <c r="D26" t="inlineStr">
        <is>
          <t>v4_white_MLLB_000_y103_0924</t>
        </is>
      </c>
      <c r="E26" t="n">
        <v>4.2</v>
      </c>
      <c r="F26" t="n">
        <v>4.2</v>
      </c>
      <c r="G26" t="n">
        <v>6</v>
      </c>
      <c r="H26" t="n">
        <v>60</v>
      </c>
      <c r="I26" t="n">
        <v>16</v>
      </c>
      <c r="J26" t="inlineStr">
        <is>
          <t>kaba</t>
        </is>
      </c>
      <c r="K26" t="b">
        <v>1</v>
      </c>
      <c r="M26" t="n">
        <v>236</v>
      </c>
      <c r="N26" t="n">
        <v>50</v>
      </c>
      <c r="O26" t="n">
        <v>206</v>
      </c>
      <c r="P26" t="n">
        <v>766</v>
      </c>
      <c r="Q26" t="n">
        <v>1002</v>
      </c>
      <c r="R26" t="n">
        <v>1.1</v>
      </c>
      <c r="S26" t="n">
        <v>10.508</v>
      </c>
      <c r="T26" t="n">
        <v>9.553000000000001</v>
      </c>
      <c r="U26" t="n">
        <v>0.7778</v>
      </c>
      <c r="V26" t="b">
        <v>1</v>
      </c>
      <c r="X26" t="b">
        <v>0</v>
      </c>
      <c r="Y26" t="inlineStr">
        <is>
          <t>ON</t>
        </is>
      </c>
      <c r="Z26" t="n">
        <v>935</v>
      </c>
      <c r="AA26" t="n">
        <v>2.5</v>
      </c>
      <c r="AB26" t="n">
        <v>9.5</v>
      </c>
    </row>
    <row r="27">
      <c r="A27" t="inlineStr">
        <is>
          <t>2026-09-24 12:14:02</t>
        </is>
      </c>
      <c r="B27" t="inlineStr">
        <is>
          <t>MLLB_000_y1.0.3</t>
        </is>
      </c>
      <c r="C27" t="inlineStr">
        <is>
          <t>WHITE</t>
        </is>
      </c>
      <c r="D27" t="inlineStr">
        <is>
          <t>v4_white_MLLB_000_y103_0924</t>
        </is>
      </c>
      <c r="E27" t="n">
        <v>4.2</v>
      </c>
      <c r="F27" t="n">
        <v>4.2</v>
      </c>
      <c r="G27" t="n">
        <v>6</v>
      </c>
      <c r="H27" t="n">
        <v>60</v>
      </c>
      <c r="I27" t="n">
        <v>20</v>
      </c>
      <c r="J27" t="inlineStr">
        <is>
          <t>kaba</t>
        </is>
      </c>
      <c r="K27" t="b">
        <v>1</v>
      </c>
      <c r="M27" t="n">
        <v>184</v>
      </c>
      <c r="N27" t="n">
        <v>44</v>
      </c>
      <c r="O27" t="n">
        <v>158</v>
      </c>
      <c r="P27" t="n">
        <v>818</v>
      </c>
      <c r="Q27" t="n">
        <v>1002</v>
      </c>
      <c r="R27" t="n">
        <v>1.099</v>
      </c>
      <c r="S27" t="n">
        <v>10.531</v>
      </c>
      <c r="T27" t="n">
        <v>9.585000000000001</v>
      </c>
      <c r="U27" t="n">
        <v>0.7774</v>
      </c>
      <c r="V27" t="b">
        <v>1</v>
      </c>
      <c r="X27" t="b">
        <v>0</v>
      </c>
      <c r="Y27" t="inlineStr">
        <is>
          <t>ON</t>
        </is>
      </c>
      <c r="Z27" t="n">
        <v>935</v>
      </c>
      <c r="AA27" t="n">
        <v>2.5</v>
      </c>
      <c r="AB27" t="n">
        <v>9.5</v>
      </c>
    </row>
    <row r="28">
      <c r="A28" t="inlineStr">
        <is>
          <t>2026-09-24 12:14:18</t>
        </is>
      </c>
      <c r="B28" t="inlineStr">
        <is>
          <t>MLLB_000_y1.0.3</t>
        </is>
      </c>
      <c r="C28" t="inlineStr">
        <is>
          <t>WHITE</t>
        </is>
      </c>
      <c r="D28" t="inlineStr">
        <is>
          <t>v4_white_MLLB_000_y103_0924</t>
        </is>
      </c>
      <c r="E28" t="n">
        <v>4.2</v>
      </c>
      <c r="F28" t="n">
        <v>4.2</v>
      </c>
      <c r="G28" t="n">
        <v>6</v>
      </c>
      <c r="H28" t="n">
        <v>60</v>
      </c>
      <c r="I28" t="n">
        <v>24</v>
      </c>
      <c r="J28" t="inlineStr">
        <is>
          <t>kaba</t>
        </is>
      </c>
      <c r="K28" t="b">
        <v>1</v>
      </c>
      <c r="M28" t="n">
        <v>132</v>
      </c>
      <c r="N28" t="n">
        <v>44</v>
      </c>
      <c r="O28" t="n">
        <v>106</v>
      </c>
      <c r="P28" t="n">
        <v>870</v>
      </c>
      <c r="Q28" t="n">
        <v>1002</v>
      </c>
      <c r="R28" t="n">
        <v>1.103</v>
      </c>
      <c r="S28" t="n">
        <v>10.6</v>
      </c>
      <c r="T28" t="n">
        <v>9.609999999999999</v>
      </c>
      <c r="U28" t="n">
        <v>0.7778</v>
      </c>
      <c r="V28" t="b">
        <v>1</v>
      </c>
      <c r="X28" t="b">
        <v>0</v>
      </c>
      <c r="Y28" t="inlineStr">
        <is>
          <t>ON</t>
        </is>
      </c>
      <c r="Z28" t="n">
        <v>935</v>
      </c>
      <c r="AA28" t="n">
        <v>2.5</v>
      </c>
      <c r="AB28" t="n">
        <v>9.5</v>
      </c>
    </row>
    <row r="29">
      <c r="A29" t="inlineStr">
        <is>
          <t>2026-09-24 12:14:34</t>
        </is>
      </c>
      <c r="B29" t="inlineStr">
        <is>
          <t>MLLB_000_y1.0.3</t>
        </is>
      </c>
      <c r="C29" t="inlineStr">
        <is>
          <t>WHITE</t>
        </is>
      </c>
      <c r="D29" t="inlineStr">
        <is>
          <t>v4_white_MLLB_000_y103_0924</t>
        </is>
      </c>
      <c r="E29" t="n">
        <v>4.2</v>
      </c>
      <c r="F29" t="n">
        <v>4.2</v>
      </c>
      <c r="G29" t="n">
        <v>6</v>
      </c>
      <c r="H29" t="n">
        <v>60</v>
      </c>
      <c r="I29" t="n">
        <v>28</v>
      </c>
      <c r="J29" t="inlineStr">
        <is>
          <t>kaba</t>
        </is>
      </c>
      <c r="K29" t="b">
        <v>1</v>
      </c>
      <c r="M29" t="n">
        <v>80</v>
      </c>
      <c r="N29" t="n">
        <v>50</v>
      </c>
      <c r="O29" t="n">
        <v>50</v>
      </c>
      <c r="P29" t="n">
        <v>922</v>
      </c>
      <c r="Q29" t="n">
        <v>1002</v>
      </c>
      <c r="R29" t="n">
        <v>1.089</v>
      </c>
      <c r="S29" t="n">
        <v>10.508</v>
      </c>
      <c r="T29" t="n">
        <v>9.646000000000001</v>
      </c>
      <c r="U29" t="n">
        <v>0.7779</v>
      </c>
      <c r="V29" t="b">
        <v>1</v>
      </c>
      <c r="X29" t="b">
        <v>0</v>
      </c>
      <c r="Y29" t="inlineStr">
        <is>
          <t>ON</t>
        </is>
      </c>
      <c r="Z29" t="n">
        <v>935</v>
      </c>
      <c r="AA29" t="n">
        <v>2.5</v>
      </c>
      <c r="AB29" t="n">
        <v>9.5</v>
      </c>
    </row>
    <row r="30">
      <c r="A30" t="inlineStr">
        <is>
          <t>2026-09-24 12:14:46</t>
        </is>
      </c>
      <c r="B30" t="inlineStr">
        <is>
          <t>MLLB_000_y1.0.3</t>
        </is>
      </c>
      <c r="C30" t="inlineStr">
        <is>
          <t>WHITE</t>
        </is>
      </c>
      <c r="D30" t="inlineStr">
        <is>
          <t>v4_white_MLLB_000_y103_0924</t>
        </is>
      </c>
      <c r="E30" t="n">
        <v>4.2</v>
      </c>
      <c r="F30" t="n">
        <v>4.2</v>
      </c>
      <c r="G30" t="n">
        <v>6</v>
      </c>
      <c r="H30" t="n">
        <v>60</v>
      </c>
      <c r="I30" t="n">
        <v>32</v>
      </c>
      <c r="J30" t="inlineStr">
        <is>
          <t>kaba</t>
        </is>
      </c>
      <c r="K30" t="b">
        <v>1</v>
      </c>
      <c r="M30" t="n">
        <v>38</v>
      </c>
      <c r="N30" t="n">
        <v>28</v>
      </c>
      <c r="O30" t="n">
        <v>18</v>
      </c>
      <c r="P30" t="n">
        <v>964</v>
      </c>
      <c r="Q30" t="n">
        <v>1002</v>
      </c>
      <c r="R30" t="n">
        <v>1.245</v>
      </c>
      <c r="S30" t="n">
        <v>12.001</v>
      </c>
      <c r="T30" t="n">
        <v>9.643000000000001</v>
      </c>
      <c r="U30" t="n">
        <v>0.7775</v>
      </c>
      <c r="V30" t="b">
        <v>1</v>
      </c>
      <c r="X30" t="b">
        <v>1</v>
      </c>
      <c r="Z30" t="n">
        <v>935</v>
      </c>
      <c r="AA30" t="n">
        <v>2.5</v>
      </c>
      <c r="AB30" t="n">
        <v>9.5</v>
      </c>
    </row>
    <row r="31">
      <c r="A31" t="inlineStr">
        <is>
          <t>2026-09-24 12:15:02</t>
        </is>
      </c>
      <c r="B31" t="inlineStr">
        <is>
          <t>MLLB_000_y1.0.3</t>
        </is>
      </c>
      <c r="C31" t="inlineStr">
        <is>
          <t>WHITE</t>
        </is>
      </c>
      <c r="D31" t="inlineStr">
        <is>
          <t>v4_white_MLLB_000_y103_0924</t>
        </is>
      </c>
      <c r="E31" t="n">
        <v>4.2</v>
      </c>
      <c r="F31" t="n">
        <v>4.2</v>
      </c>
      <c r="G31" t="n">
        <v>6</v>
      </c>
      <c r="H31" t="n">
        <v>60</v>
      </c>
      <c r="I31" t="n">
        <v>36</v>
      </c>
      <c r="J31" t="inlineStr">
        <is>
          <t>kaba</t>
        </is>
      </c>
      <c r="K31" t="b">
        <v>1</v>
      </c>
      <c r="M31" t="n">
        <v>38</v>
      </c>
      <c r="N31" t="n">
        <v>28</v>
      </c>
      <c r="O31" t="n">
        <v>18</v>
      </c>
      <c r="P31" t="n">
        <v>964</v>
      </c>
      <c r="Q31" t="n">
        <v>1002</v>
      </c>
      <c r="R31" t="n">
        <v>5.309</v>
      </c>
      <c r="S31" t="n">
        <v>51.139</v>
      </c>
      <c r="T31" t="n">
        <v>9.632</v>
      </c>
      <c r="U31" t="n">
        <v>0.7782</v>
      </c>
      <c r="V31" t="b">
        <v>1</v>
      </c>
      <c r="X31" t="b">
        <v>0</v>
      </c>
      <c r="Y31" t="inlineStr">
        <is>
          <t>FLAS</t>
        </is>
      </c>
      <c r="Z31" t="n">
        <v>935</v>
      </c>
      <c r="AA31" t="n">
        <v>2.5</v>
      </c>
      <c r="AB31" t="n">
        <v>9.5</v>
      </c>
    </row>
    <row r="32">
      <c r="A32" t="inlineStr">
        <is>
          <t>2026-09-24 12:15:18</t>
        </is>
      </c>
      <c r="B32" t="inlineStr">
        <is>
          <t>MLLB_000_y1.0.3</t>
        </is>
      </c>
      <c r="C32" t="inlineStr">
        <is>
          <t>WHITE</t>
        </is>
      </c>
      <c r="D32" t="inlineStr">
        <is>
          <t>v4_white_MLLB_000_y103_0924</t>
        </is>
      </c>
      <c r="E32" t="n">
        <v>4.2</v>
      </c>
      <c r="F32" t="n">
        <v>4.2</v>
      </c>
      <c r="G32" t="n">
        <v>6</v>
      </c>
      <c r="H32" t="n">
        <v>60</v>
      </c>
      <c r="I32" t="n">
        <v>40</v>
      </c>
      <c r="J32" t="inlineStr">
        <is>
          <t>kaba</t>
        </is>
      </c>
      <c r="K32" t="b">
        <v>1</v>
      </c>
      <c r="M32" t="n">
        <v>38</v>
      </c>
      <c r="N32" t="n">
        <v>28</v>
      </c>
      <c r="O32" t="n">
        <v>18</v>
      </c>
      <c r="P32" t="n">
        <v>964</v>
      </c>
      <c r="Q32" t="n">
        <v>1002</v>
      </c>
      <c r="R32" t="n">
        <v>8.569000000000001</v>
      </c>
      <c r="S32" t="n">
        <v>82.652</v>
      </c>
      <c r="T32" t="n">
        <v>9.645</v>
      </c>
      <c r="U32" t="n">
        <v>0.7775</v>
      </c>
      <c r="V32" t="b">
        <v>1</v>
      </c>
      <c r="X32" t="b">
        <v>0</v>
      </c>
      <c r="Y32" t="inlineStr">
        <is>
          <t>FLAS</t>
        </is>
      </c>
      <c r="Z32" t="n">
        <v>935</v>
      </c>
      <c r="AA32" t="n">
        <v>2.5</v>
      </c>
      <c r="AB32" t="n">
        <v>9.5</v>
      </c>
    </row>
    <row r="33">
      <c r="A33" t="inlineStr">
        <is>
          <t>2026-09-24 12:15:34</t>
        </is>
      </c>
      <c r="B33" t="inlineStr">
        <is>
          <t>MLLB_000_y1.0.3</t>
        </is>
      </c>
      <c r="C33" t="inlineStr">
        <is>
          <t>WHITE</t>
        </is>
      </c>
      <c r="D33" t="inlineStr">
        <is>
          <t>v4_white_MLLB_000_y103_0924</t>
        </is>
      </c>
      <c r="E33" t="n">
        <v>4.2</v>
      </c>
      <c r="F33" t="n">
        <v>4.2</v>
      </c>
      <c r="G33" t="n">
        <v>6</v>
      </c>
      <c r="H33" t="n">
        <v>60</v>
      </c>
      <c r="I33" t="n">
        <v>29</v>
      </c>
      <c r="J33" t="inlineStr">
        <is>
          <t>ince</t>
        </is>
      </c>
      <c r="K33" t="b">
        <v>1</v>
      </c>
      <c r="M33" t="n">
        <v>66</v>
      </c>
      <c r="N33" t="n">
        <v>50</v>
      </c>
      <c r="O33" t="n">
        <v>38</v>
      </c>
      <c r="P33" t="n">
        <v>936</v>
      </c>
      <c r="Q33" t="n">
        <v>1002</v>
      </c>
      <c r="R33" t="n">
        <v>1.1</v>
      </c>
      <c r="S33" t="n">
        <v>10.6</v>
      </c>
      <c r="T33" t="n">
        <v>9.638999999999999</v>
      </c>
      <c r="U33" t="n">
        <v>0.7776999999999999</v>
      </c>
      <c r="V33" t="b">
        <v>1</v>
      </c>
      <c r="X33" t="b">
        <v>1</v>
      </c>
      <c r="Z33" t="n">
        <v>935</v>
      </c>
      <c r="AA33" t="n">
        <v>2.5</v>
      </c>
      <c r="AB33" t="n">
        <v>9.5</v>
      </c>
    </row>
    <row r="34">
      <c r="A34" t="inlineStr">
        <is>
          <t>2026-09-24 12:15:50</t>
        </is>
      </c>
      <c r="B34" t="inlineStr">
        <is>
          <t>MLLB_000_y1.0.3</t>
        </is>
      </c>
      <c r="C34" t="inlineStr">
        <is>
          <t>WHITE</t>
        </is>
      </c>
      <c r="D34" t="inlineStr">
        <is>
          <t>v4_white_MLLB_000_y103_0924</t>
        </is>
      </c>
      <c r="E34" t="n">
        <v>4.2</v>
      </c>
      <c r="F34" t="n">
        <v>4.2</v>
      </c>
      <c r="G34" t="n">
        <v>6</v>
      </c>
      <c r="H34" t="n">
        <v>60</v>
      </c>
      <c r="I34" t="n">
        <v>30</v>
      </c>
      <c r="J34" t="inlineStr">
        <is>
          <t>ince</t>
        </is>
      </c>
      <c r="K34" t="b">
        <v>1</v>
      </c>
      <c r="M34" t="n">
        <v>52</v>
      </c>
      <c r="N34" t="n">
        <v>46</v>
      </c>
      <c r="O34" t="n">
        <v>24</v>
      </c>
      <c r="P34" t="n">
        <v>950</v>
      </c>
      <c r="Q34" t="n">
        <v>1002</v>
      </c>
      <c r="R34" t="n">
        <v>1.091</v>
      </c>
      <c r="S34" t="n">
        <v>10.508</v>
      </c>
      <c r="T34" t="n">
        <v>9.632999999999999</v>
      </c>
      <c r="U34" t="n">
        <v>0.7784</v>
      </c>
      <c r="V34" t="b">
        <v>1</v>
      </c>
      <c r="X34" t="b">
        <v>1</v>
      </c>
      <c r="Z34" t="n">
        <v>935</v>
      </c>
      <c r="AA34" t="n">
        <v>2.5</v>
      </c>
      <c r="AB34" t="n">
        <v>9.5</v>
      </c>
    </row>
    <row r="35">
      <c r="A35" t="inlineStr">
        <is>
          <t>2026-09-24 12:16:06</t>
        </is>
      </c>
      <c r="B35" t="inlineStr">
        <is>
          <t>MLLB_000_y1.0.3</t>
        </is>
      </c>
      <c r="C35" t="inlineStr">
        <is>
          <t>WHITE</t>
        </is>
      </c>
      <c r="D35" t="inlineStr">
        <is>
          <t>v4_white_MLLB_000_y103_0924</t>
        </is>
      </c>
      <c r="E35" t="n">
        <v>4.2</v>
      </c>
      <c r="F35" t="n">
        <v>4.2</v>
      </c>
      <c r="G35" t="n">
        <v>6</v>
      </c>
      <c r="H35" t="n">
        <v>60</v>
      </c>
      <c r="I35" t="n">
        <v>31</v>
      </c>
      <c r="J35" t="inlineStr">
        <is>
          <t>ince</t>
        </is>
      </c>
      <c r="K35" t="b">
        <v>1</v>
      </c>
      <c r="M35" t="n">
        <v>38</v>
      </c>
      <c r="N35" t="n">
        <v>38</v>
      </c>
      <c r="O35" t="n">
        <v>18</v>
      </c>
      <c r="P35" t="n">
        <v>964</v>
      </c>
      <c r="Q35" t="n">
        <v>1002</v>
      </c>
      <c r="R35" t="n">
        <v>1.094</v>
      </c>
      <c r="S35" t="n">
        <v>10.58</v>
      </c>
      <c r="T35" t="n">
        <v>9.673</v>
      </c>
      <c r="U35" t="n">
        <v>0.7778</v>
      </c>
      <c r="V35" t="b">
        <v>1</v>
      </c>
      <c r="X35" t="b">
        <v>1</v>
      </c>
      <c r="Z35" t="n">
        <v>935</v>
      </c>
      <c r="AA35" t="n">
        <v>2.5</v>
      </c>
      <c r="AB35" t="n">
        <v>9.5</v>
      </c>
    </row>
    <row r="36">
      <c r="A36" t="inlineStr">
        <is>
          <t>2026-09-24 12:16:22</t>
        </is>
      </c>
      <c r="B36" t="inlineStr">
        <is>
          <t>MLLB_000_y1.0.3</t>
        </is>
      </c>
      <c r="C36" t="inlineStr">
        <is>
          <t>WHITE</t>
        </is>
      </c>
      <c r="D36" t="inlineStr">
        <is>
          <t>v4_white_MLLB_000_y103_0924</t>
        </is>
      </c>
      <c r="E36" t="n">
        <v>4.2</v>
      </c>
      <c r="F36" t="n">
        <v>4.2</v>
      </c>
      <c r="G36" t="n">
        <v>6</v>
      </c>
      <c r="H36" t="n">
        <v>60</v>
      </c>
      <c r="I36" t="n">
        <v>33</v>
      </c>
      <c r="J36" t="inlineStr">
        <is>
          <t>ince</t>
        </is>
      </c>
      <c r="K36" t="b">
        <v>1</v>
      </c>
      <c r="M36" t="n">
        <v>38</v>
      </c>
      <c r="N36" t="n">
        <v>28</v>
      </c>
      <c r="O36" t="n">
        <v>18</v>
      </c>
      <c r="P36" t="n">
        <v>964</v>
      </c>
      <c r="Q36" t="n">
        <v>1002</v>
      </c>
      <c r="R36" t="n">
        <v>2.158</v>
      </c>
      <c r="S36" t="n">
        <v>20.807</v>
      </c>
      <c r="T36" t="n">
        <v>9.641999999999999</v>
      </c>
      <c r="U36" t="n">
        <v>0.778</v>
      </c>
      <c r="V36" t="b">
        <v>1</v>
      </c>
      <c r="X36" t="b">
        <v>1</v>
      </c>
      <c r="Z36" t="n">
        <v>935</v>
      </c>
      <c r="AA36" t="n">
        <v>2.5</v>
      </c>
      <c r="AB36" t="n">
        <v>9.5</v>
      </c>
    </row>
    <row r="37">
      <c r="A37" t="inlineStr">
        <is>
          <t>2026-09-24 12:16:38</t>
        </is>
      </c>
      <c r="B37" t="inlineStr">
        <is>
          <t>MLLB_000_y1.0.3</t>
        </is>
      </c>
      <c r="C37" t="inlineStr">
        <is>
          <t>WHITE</t>
        </is>
      </c>
      <c r="D37" t="inlineStr">
        <is>
          <t>v4_white_MLLB_000_y103_0924</t>
        </is>
      </c>
      <c r="E37" t="n">
        <v>4.2</v>
      </c>
      <c r="F37" t="n">
        <v>4.2</v>
      </c>
      <c r="G37" t="n">
        <v>6</v>
      </c>
      <c r="H37" t="n">
        <v>60</v>
      </c>
      <c r="I37" t="n">
        <v>34</v>
      </c>
      <c r="J37" t="inlineStr">
        <is>
          <t>ince</t>
        </is>
      </c>
      <c r="K37" t="b">
        <v>1</v>
      </c>
      <c r="M37" t="n">
        <v>38</v>
      </c>
      <c r="N37" t="n">
        <v>28</v>
      </c>
      <c r="O37" t="n">
        <v>18</v>
      </c>
      <c r="P37" t="n">
        <v>964</v>
      </c>
      <c r="Q37" t="n">
        <v>1002</v>
      </c>
      <c r="R37" t="n">
        <v>3.235</v>
      </c>
      <c r="S37" t="n">
        <v>31.22</v>
      </c>
      <c r="T37" t="n">
        <v>9.65</v>
      </c>
      <c r="U37" t="n">
        <v>0.7776</v>
      </c>
      <c r="V37" t="b">
        <v>1</v>
      </c>
      <c r="X37" t="b">
        <v>0</v>
      </c>
      <c r="Y37" t="inlineStr">
        <is>
          <t>FLAS</t>
        </is>
      </c>
      <c r="Z37" t="n">
        <v>935</v>
      </c>
      <c r="AA37" t="n">
        <v>2.5</v>
      </c>
      <c r="AB37" t="n">
        <v>9.5</v>
      </c>
    </row>
    <row r="38">
      <c r="A38" t="inlineStr">
        <is>
          <t>2026-09-24 12:16:54</t>
        </is>
      </c>
      <c r="B38" t="inlineStr">
        <is>
          <t>MLLB_000_y1.0.3</t>
        </is>
      </c>
      <c r="C38" t="inlineStr">
        <is>
          <t>WHITE</t>
        </is>
      </c>
      <c r="D38" t="inlineStr">
        <is>
          <t>v4_white_MLLB_000_y103_0924</t>
        </is>
      </c>
      <c r="E38" t="n">
        <v>4.2</v>
      </c>
      <c r="F38" t="n">
        <v>4.2</v>
      </c>
      <c r="G38" t="n">
        <v>6</v>
      </c>
      <c r="H38" t="n">
        <v>60</v>
      </c>
      <c r="I38" t="n">
        <v>35</v>
      </c>
      <c r="J38" t="inlineStr">
        <is>
          <t>ince</t>
        </is>
      </c>
      <c r="K38" t="b">
        <v>1</v>
      </c>
      <c r="M38" t="n">
        <v>38</v>
      </c>
      <c r="N38" t="n">
        <v>28</v>
      </c>
      <c r="O38" t="n">
        <v>18</v>
      </c>
      <c r="P38" t="n">
        <v>964</v>
      </c>
      <c r="Q38" t="n">
        <v>1002</v>
      </c>
      <c r="R38" t="n">
        <v>4.32</v>
      </c>
      <c r="S38" t="n">
        <v>41.56</v>
      </c>
      <c r="T38" t="n">
        <v>9.619999999999999</v>
      </c>
      <c r="U38" t="n">
        <v>0.7776</v>
      </c>
      <c r="V38" t="b">
        <v>1</v>
      </c>
      <c r="X38" t="b">
        <v>0</v>
      </c>
      <c r="Y38" t="inlineStr">
        <is>
          <t>FLAS</t>
        </is>
      </c>
      <c r="Z38" t="n">
        <v>935</v>
      </c>
      <c r="AA38" t="n">
        <v>2.5</v>
      </c>
      <c r="AB38" t="n">
        <v>9.5</v>
      </c>
    </row>
    <row r="39">
      <c r="A39" t="inlineStr">
        <is>
          <t>2026-09-24 12:16:54</t>
        </is>
      </c>
      <c r="B39" t="inlineStr">
        <is>
          <t>MLLB_000_y1.0.3</t>
        </is>
      </c>
      <c r="C39" t="inlineStr">
        <is>
          <t>WHITE</t>
        </is>
      </c>
      <c r="D39" t="inlineStr">
        <is>
          <t>v4_white_MLLB_000_y103_0924</t>
        </is>
      </c>
      <c r="E39" t="n">
        <v>4.2</v>
      </c>
      <c r="F39" t="n">
        <v>4.2</v>
      </c>
      <c r="G39" t="n">
        <v>6</v>
      </c>
      <c r="H39" t="n">
        <v>60</v>
      </c>
      <c r="J39" t="inlineStr">
        <is>
          <t>bitti</t>
        </is>
      </c>
      <c r="K39" t="b">
        <v>0</v>
      </c>
      <c r="Z39" t="n">
        <v>935</v>
      </c>
      <c r="AA39" t="n">
        <v>2.5</v>
      </c>
      <c r="AB39" t="n">
        <v>9.5</v>
      </c>
    </row>
    <row r="40">
      <c r="A40" t="inlineStr">
        <is>
          <t>2026-09-24 12:17:28</t>
        </is>
      </c>
      <c r="B40" t="inlineStr">
        <is>
          <t>MLLB_000_y1.0.3</t>
        </is>
      </c>
      <c r="C40" t="inlineStr">
        <is>
          <t>WHITE</t>
        </is>
      </c>
      <c r="D40" t="inlineStr">
        <is>
          <t>v4_white_MLLB_000_y103_0924</t>
        </is>
      </c>
      <c r="E40" t="n">
        <v>4.2</v>
      </c>
      <c r="F40" t="n">
        <v>4.2</v>
      </c>
      <c r="G40" t="n">
        <v>7</v>
      </c>
      <c r="H40" t="n">
        <v>100</v>
      </c>
      <c r="I40" t="n">
        <v>12</v>
      </c>
      <c r="J40" t="inlineStr">
        <is>
          <t>kaba</t>
        </is>
      </c>
      <c r="K40" t="b">
        <v>1</v>
      </c>
      <c r="M40" t="n">
        <v>162</v>
      </c>
      <c r="N40" t="n">
        <v>40</v>
      </c>
      <c r="O40" t="n">
        <v>138</v>
      </c>
      <c r="P40" t="n">
        <v>840</v>
      </c>
      <c r="Q40" t="n">
        <v>1002</v>
      </c>
      <c r="R40" t="n">
        <v>1.095</v>
      </c>
      <c r="S40" t="n">
        <v>12.995</v>
      </c>
      <c r="T40" t="n">
        <v>11.865</v>
      </c>
      <c r="U40" t="n">
        <v>0.778</v>
      </c>
      <c r="V40" t="b">
        <v>1</v>
      </c>
      <c r="X40" t="b">
        <v>0</v>
      </c>
      <c r="Y40" t="inlineStr">
        <is>
          <t>ON</t>
        </is>
      </c>
      <c r="Z40" t="n">
        <v>935</v>
      </c>
      <c r="AA40" t="n">
        <v>2.5</v>
      </c>
      <c r="AB40" t="n">
        <v>9.5</v>
      </c>
    </row>
    <row r="41">
      <c r="A41" t="inlineStr">
        <is>
          <t>2026-09-24 12:17:44</t>
        </is>
      </c>
      <c r="B41" t="inlineStr">
        <is>
          <t>MLLB_000_y1.0.3</t>
        </is>
      </c>
      <c r="C41" t="inlineStr">
        <is>
          <t>WHITE</t>
        </is>
      </c>
      <c r="D41" t="inlineStr">
        <is>
          <t>v4_white_MLLB_000_y103_0924</t>
        </is>
      </c>
      <c r="E41" t="n">
        <v>4.2</v>
      </c>
      <c r="F41" t="n">
        <v>4.2</v>
      </c>
      <c r="G41" t="n">
        <v>7</v>
      </c>
      <c r="H41" t="n">
        <v>100</v>
      </c>
      <c r="I41" t="n">
        <v>16</v>
      </c>
      <c r="J41" t="inlineStr">
        <is>
          <t>kaba</t>
        </is>
      </c>
      <c r="K41" t="b">
        <v>1</v>
      </c>
      <c r="M41" t="n">
        <v>92</v>
      </c>
      <c r="N41" t="n">
        <v>44</v>
      </c>
      <c r="O41" t="n">
        <v>68</v>
      </c>
      <c r="P41" t="n">
        <v>910</v>
      </c>
      <c r="Q41" t="n">
        <v>1002</v>
      </c>
      <c r="R41" t="n">
        <v>1.092</v>
      </c>
      <c r="S41" t="n">
        <v>12.995</v>
      </c>
      <c r="T41" t="n">
        <v>11.9</v>
      </c>
      <c r="U41" t="n">
        <v>0.7786999999999999</v>
      </c>
      <c r="V41" t="b">
        <v>1</v>
      </c>
      <c r="X41" t="b">
        <v>0</v>
      </c>
      <c r="Y41" t="inlineStr">
        <is>
          <t>ON</t>
        </is>
      </c>
      <c r="Z41" t="n">
        <v>935</v>
      </c>
      <c r="AA41" t="n">
        <v>2.5</v>
      </c>
      <c r="AB41" t="n">
        <v>9.5</v>
      </c>
    </row>
    <row r="42">
      <c r="A42" t="inlineStr">
        <is>
          <t>2026-09-24 12:18:00</t>
        </is>
      </c>
      <c r="B42" t="inlineStr">
        <is>
          <t>MLLB_000_y1.0.3</t>
        </is>
      </c>
      <c r="C42" t="inlineStr">
        <is>
          <t>WHITE</t>
        </is>
      </c>
      <c r="D42" t="inlineStr">
        <is>
          <t>v4_white_MLLB_000_y103_0924</t>
        </is>
      </c>
      <c r="E42" t="n">
        <v>4.2</v>
      </c>
      <c r="F42" t="n">
        <v>4.2</v>
      </c>
      <c r="G42" t="n">
        <v>7</v>
      </c>
      <c r="H42" t="n">
        <v>100</v>
      </c>
      <c r="I42" t="n">
        <v>20</v>
      </c>
      <c r="J42" t="inlineStr">
        <is>
          <t>kaba</t>
        </is>
      </c>
      <c r="K42" t="b">
        <v>1</v>
      </c>
      <c r="M42" t="n">
        <v>28</v>
      </c>
      <c r="N42" t="n">
        <v>32</v>
      </c>
      <c r="O42" t="n">
        <v>6</v>
      </c>
      <c r="P42" t="n">
        <v>974</v>
      </c>
      <c r="Q42" t="n">
        <v>1002</v>
      </c>
      <c r="R42" t="n">
        <v>1.084</v>
      </c>
      <c r="S42" t="n">
        <v>12.929</v>
      </c>
      <c r="T42" t="n">
        <v>11.928</v>
      </c>
      <c r="U42" t="n">
        <v>0.7779</v>
      </c>
      <c r="V42" t="b">
        <v>1</v>
      </c>
      <c r="X42" t="b">
        <v>1</v>
      </c>
      <c r="Z42" t="n">
        <v>935</v>
      </c>
      <c r="AA42" t="n">
        <v>2.5</v>
      </c>
      <c r="AB42" t="n">
        <v>9.5</v>
      </c>
    </row>
    <row r="43">
      <c r="A43" t="inlineStr">
        <is>
          <t>2026-09-24 12:18:16</t>
        </is>
      </c>
      <c r="B43" t="inlineStr">
        <is>
          <t>MLLB_000_y1.0.3</t>
        </is>
      </c>
      <c r="C43" t="inlineStr">
        <is>
          <t>WHITE</t>
        </is>
      </c>
      <c r="D43" t="inlineStr">
        <is>
          <t>v4_white_MLLB_000_y103_0924</t>
        </is>
      </c>
      <c r="E43" t="n">
        <v>4.2</v>
      </c>
      <c r="F43" t="n">
        <v>4.2</v>
      </c>
      <c r="G43" t="n">
        <v>7</v>
      </c>
      <c r="H43" t="n">
        <v>100</v>
      </c>
      <c r="I43" t="n">
        <v>24</v>
      </c>
      <c r="J43" t="inlineStr">
        <is>
          <t>kaba</t>
        </is>
      </c>
      <c r="K43" t="b">
        <v>1</v>
      </c>
      <c r="M43" t="n">
        <v>28</v>
      </c>
      <c r="N43" t="n">
        <v>32</v>
      </c>
      <c r="O43" t="n">
        <v>6</v>
      </c>
      <c r="P43" t="n">
        <v>974</v>
      </c>
      <c r="Q43" t="n">
        <v>1002</v>
      </c>
      <c r="R43" t="n">
        <v>6.925</v>
      </c>
      <c r="S43" t="n">
        <v>82.652</v>
      </c>
      <c r="T43" t="n">
        <v>11.935</v>
      </c>
      <c r="U43" t="n">
        <v>0.7778</v>
      </c>
      <c r="V43" t="b">
        <v>1</v>
      </c>
      <c r="X43" t="b">
        <v>0</v>
      </c>
      <c r="Y43" t="inlineStr">
        <is>
          <t>FLAS</t>
        </is>
      </c>
      <c r="Z43" t="n">
        <v>935</v>
      </c>
      <c r="AA43" t="n">
        <v>2.5</v>
      </c>
      <c r="AB43" t="n">
        <v>9.5</v>
      </c>
    </row>
    <row r="44">
      <c r="A44" t="inlineStr">
        <is>
          <t>2026-09-24 12:18:32</t>
        </is>
      </c>
      <c r="B44" t="inlineStr">
        <is>
          <t>MLLB_000_y1.0.3</t>
        </is>
      </c>
      <c r="C44" t="inlineStr">
        <is>
          <t>WHITE</t>
        </is>
      </c>
      <c r="D44" t="inlineStr">
        <is>
          <t>v4_white_MLLB_000_y103_0924</t>
        </is>
      </c>
      <c r="E44" t="n">
        <v>4.2</v>
      </c>
      <c r="F44" t="n">
        <v>4.2</v>
      </c>
      <c r="G44" t="n">
        <v>7</v>
      </c>
      <c r="H44" t="n">
        <v>100</v>
      </c>
      <c r="I44" t="n">
        <v>17</v>
      </c>
      <c r="J44" t="inlineStr">
        <is>
          <t>ince</t>
        </is>
      </c>
      <c r="K44" t="b">
        <v>1</v>
      </c>
      <c r="M44" t="n">
        <v>76</v>
      </c>
      <c r="N44" t="n">
        <v>40</v>
      </c>
      <c r="O44" t="n">
        <v>50</v>
      </c>
      <c r="P44" t="n">
        <v>926</v>
      </c>
      <c r="Q44" t="n">
        <v>1002</v>
      </c>
      <c r="R44" t="n">
        <v>1.088</v>
      </c>
      <c r="S44" t="n">
        <v>12.995</v>
      </c>
      <c r="T44" t="n">
        <v>11.949</v>
      </c>
      <c r="U44" t="n">
        <v>0.7778</v>
      </c>
      <c r="V44" t="b">
        <v>1</v>
      </c>
      <c r="X44" t="b">
        <v>0</v>
      </c>
      <c r="Y44" t="inlineStr">
        <is>
          <t>ON</t>
        </is>
      </c>
      <c r="Z44" t="n">
        <v>935</v>
      </c>
      <c r="AA44" t="n">
        <v>2.5</v>
      </c>
      <c r="AB44" t="n">
        <v>9.5</v>
      </c>
    </row>
    <row r="45">
      <c r="A45" t="inlineStr">
        <is>
          <t>2026-09-24 12:18:48</t>
        </is>
      </c>
      <c r="B45" t="inlineStr">
        <is>
          <t>MLLB_000_y1.0.3</t>
        </is>
      </c>
      <c r="C45" t="inlineStr">
        <is>
          <t>WHITE</t>
        </is>
      </c>
      <c r="D45" t="inlineStr">
        <is>
          <t>v4_white_MLLB_000_y103_0924</t>
        </is>
      </c>
      <c r="E45" t="n">
        <v>4.2</v>
      </c>
      <c r="F45" t="n">
        <v>4.2</v>
      </c>
      <c r="G45" t="n">
        <v>7</v>
      </c>
      <c r="H45" t="n">
        <v>100</v>
      </c>
      <c r="I45" t="n">
        <v>18</v>
      </c>
      <c r="J45" t="inlineStr">
        <is>
          <t>ince</t>
        </is>
      </c>
      <c r="K45" t="b">
        <v>1</v>
      </c>
      <c r="M45" t="n">
        <v>58</v>
      </c>
      <c r="N45" t="n">
        <v>42</v>
      </c>
      <c r="O45" t="n">
        <v>32</v>
      </c>
      <c r="P45" t="n">
        <v>944</v>
      </c>
      <c r="Q45" t="n">
        <v>1002</v>
      </c>
      <c r="R45" t="n">
        <v>1.09</v>
      </c>
      <c r="S45" t="n">
        <v>12.995</v>
      </c>
      <c r="T45" t="n">
        <v>11.927</v>
      </c>
      <c r="U45" t="n">
        <v>0.7778</v>
      </c>
      <c r="V45" t="b">
        <v>1</v>
      </c>
      <c r="X45" t="b">
        <v>1</v>
      </c>
      <c r="Z45" t="n">
        <v>935</v>
      </c>
      <c r="AA45" t="n">
        <v>2.5</v>
      </c>
      <c r="AB45" t="n">
        <v>9.5</v>
      </c>
    </row>
    <row r="46">
      <c r="A46" t="inlineStr">
        <is>
          <t>2026-09-24 12:19:04</t>
        </is>
      </c>
      <c r="B46" t="inlineStr">
        <is>
          <t>MLLB_000_y1.0.3</t>
        </is>
      </c>
      <c r="C46" t="inlineStr">
        <is>
          <t>WHITE</t>
        </is>
      </c>
      <c r="D46" t="inlineStr">
        <is>
          <t>v4_white_MLLB_000_y103_0924</t>
        </is>
      </c>
      <c r="E46" t="n">
        <v>4.2</v>
      </c>
      <c r="F46" t="n">
        <v>4.2</v>
      </c>
      <c r="G46" t="n">
        <v>7</v>
      </c>
      <c r="H46" t="n">
        <v>100</v>
      </c>
      <c r="I46" t="n">
        <v>19</v>
      </c>
      <c r="J46" t="inlineStr">
        <is>
          <t>ince</t>
        </is>
      </c>
      <c r="K46" t="b">
        <v>1</v>
      </c>
      <c r="M46" t="n">
        <v>38</v>
      </c>
      <c r="N46" t="n">
        <v>40</v>
      </c>
      <c r="O46" t="n">
        <v>14</v>
      </c>
      <c r="P46" t="n">
        <v>964</v>
      </c>
      <c r="Q46" t="n">
        <v>1002</v>
      </c>
      <c r="R46" t="n">
        <v>1.084</v>
      </c>
      <c r="S46" t="n">
        <v>12.905</v>
      </c>
      <c r="T46" t="n">
        <v>11.901</v>
      </c>
      <c r="U46" t="n">
        <v>0.7773</v>
      </c>
      <c r="V46" t="b">
        <v>1</v>
      </c>
      <c r="X46" t="b">
        <v>1</v>
      </c>
      <c r="Z46" t="n">
        <v>935</v>
      </c>
      <c r="AA46" t="n">
        <v>2.5</v>
      </c>
      <c r="AB46" t="n">
        <v>9.5</v>
      </c>
    </row>
    <row r="47">
      <c r="A47" t="inlineStr">
        <is>
          <t>2026-09-24 12:19:20</t>
        </is>
      </c>
      <c r="B47" t="inlineStr">
        <is>
          <t>MLLB_000_y1.0.3</t>
        </is>
      </c>
      <c r="C47" t="inlineStr">
        <is>
          <t>WHITE</t>
        </is>
      </c>
      <c r="D47" t="inlineStr">
        <is>
          <t>v4_white_MLLB_000_y103_0924</t>
        </is>
      </c>
      <c r="E47" t="n">
        <v>4.2</v>
      </c>
      <c r="F47" t="n">
        <v>4.2</v>
      </c>
      <c r="G47" t="n">
        <v>7</v>
      </c>
      <c r="H47" t="n">
        <v>100</v>
      </c>
      <c r="I47" t="n">
        <v>21</v>
      </c>
      <c r="J47" t="inlineStr">
        <is>
          <t>ince</t>
        </is>
      </c>
      <c r="K47" t="b">
        <v>1</v>
      </c>
      <c r="M47" t="n">
        <v>28</v>
      </c>
      <c r="N47" t="n">
        <v>32</v>
      </c>
      <c r="O47" t="n">
        <v>6</v>
      </c>
      <c r="P47" t="n">
        <v>974</v>
      </c>
      <c r="Q47" t="n">
        <v>1002</v>
      </c>
      <c r="R47" t="n">
        <v>2.037</v>
      </c>
      <c r="S47" t="n">
        <v>24.33</v>
      </c>
      <c r="T47" t="n">
        <v>11.945</v>
      </c>
      <c r="U47" t="n">
        <v>0.7779</v>
      </c>
      <c r="V47" t="b">
        <v>1</v>
      </c>
      <c r="X47" t="b">
        <v>1</v>
      </c>
      <c r="Z47" t="n">
        <v>935</v>
      </c>
      <c r="AA47" t="n">
        <v>2.5</v>
      </c>
      <c r="AB47" t="n">
        <v>9.5</v>
      </c>
    </row>
    <row r="48">
      <c r="A48" t="inlineStr">
        <is>
          <t>2026-09-24 12:19:36</t>
        </is>
      </c>
      <c r="B48" t="inlineStr">
        <is>
          <t>MLLB_000_y1.0.3</t>
        </is>
      </c>
      <c r="C48" t="inlineStr">
        <is>
          <t>WHITE</t>
        </is>
      </c>
      <c r="D48" t="inlineStr">
        <is>
          <t>v4_white_MLLB_000_y103_0924</t>
        </is>
      </c>
      <c r="E48" t="n">
        <v>4.2</v>
      </c>
      <c r="F48" t="n">
        <v>4.2</v>
      </c>
      <c r="G48" t="n">
        <v>7</v>
      </c>
      <c r="H48" t="n">
        <v>100</v>
      </c>
      <c r="I48" t="n">
        <v>22</v>
      </c>
      <c r="J48" t="inlineStr">
        <is>
          <t>ince</t>
        </is>
      </c>
      <c r="K48" t="b">
        <v>1</v>
      </c>
      <c r="M48" t="n">
        <v>26</v>
      </c>
      <c r="N48" t="n">
        <v>32</v>
      </c>
      <c r="O48" t="n">
        <v>6</v>
      </c>
      <c r="P48" t="n">
        <v>976</v>
      </c>
      <c r="Q48" t="n">
        <v>1002</v>
      </c>
      <c r="R48" t="n">
        <v>3.655</v>
      </c>
      <c r="S48" t="n">
        <v>43.628</v>
      </c>
      <c r="T48" t="n">
        <v>11.937</v>
      </c>
      <c r="U48" t="n">
        <v>0.7775</v>
      </c>
      <c r="V48" t="b">
        <v>1</v>
      </c>
      <c r="X48" t="b">
        <v>0</v>
      </c>
      <c r="Y48" t="inlineStr">
        <is>
          <t>FLAS</t>
        </is>
      </c>
      <c r="Z48" t="n">
        <v>935</v>
      </c>
      <c r="AA48" t="n">
        <v>2.5</v>
      </c>
      <c r="AB48" t="n">
        <v>9.5</v>
      </c>
    </row>
    <row r="49">
      <c r="A49" t="inlineStr">
        <is>
          <t>2026-09-24 12:19:52</t>
        </is>
      </c>
      <c r="B49" t="inlineStr">
        <is>
          <t>MLLB_000_y1.0.3</t>
        </is>
      </c>
      <c r="C49" t="inlineStr">
        <is>
          <t>WHITE</t>
        </is>
      </c>
      <c r="D49" t="inlineStr">
        <is>
          <t>v4_white_MLLB_000_y103_0924</t>
        </is>
      </c>
      <c r="E49" t="n">
        <v>4.2</v>
      </c>
      <c r="F49" t="n">
        <v>4.2</v>
      </c>
      <c r="G49" t="n">
        <v>7</v>
      </c>
      <c r="H49" t="n">
        <v>100</v>
      </c>
      <c r="I49" t="n">
        <v>23</v>
      </c>
      <c r="J49" t="inlineStr">
        <is>
          <t>ince</t>
        </is>
      </c>
      <c r="K49" t="b">
        <v>1</v>
      </c>
      <c r="M49" t="n">
        <v>28</v>
      </c>
      <c r="N49" t="n">
        <v>32</v>
      </c>
      <c r="O49" t="n">
        <v>6</v>
      </c>
      <c r="P49" t="n">
        <v>974</v>
      </c>
      <c r="Q49" t="n">
        <v>1002</v>
      </c>
      <c r="R49" t="n">
        <v>5.249</v>
      </c>
      <c r="S49" t="n">
        <v>62.669</v>
      </c>
      <c r="T49" t="n">
        <v>11.939</v>
      </c>
      <c r="U49" t="n">
        <v>0.7778</v>
      </c>
      <c r="V49" t="b">
        <v>1</v>
      </c>
      <c r="X49" t="b">
        <v>0</v>
      </c>
      <c r="Y49" t="inlineStr">
        <is>
          <t>FLAS</t>
        </is>
      </c>
      <c r="Z49" t="n">
        <v>935</v>
      </c>
      <c r="AA49" t="n">
        <v>2.5</v>
      </c>
      <c r="AB49" t="n">
        <v>9.5</v>
      </c>
    </row>
    <row r="50">
      <c r="A50" t="inlineStr">
        <is>
          <t>2026-09-24 12:19:52</t>
        </is>
      </c>
      <c r="B50" t="inlineStr">
        <is>
          <t>MLLB_000_y1.0.3</t>
        </is>
      </c>
      <c r="C50" t="inlineStr">
        <is>
          <t>WHITE</t>
        </is>
      </c>
      <c r="D50" t="inlineStr">
        <is>
          <t>v4_white_MLLB_000_y103_0924</t>
        </is>
      </c>
      <c r="E50" t="n">
        <v>4.2</v>
      </c>
      <c r="F50" t="n">
        <v>4.2</v>
      </c>
      <c r="G50" t="n">
        <v>7</v>
      </c>
      <c r="H50" t="n">
        <v>100</v>
      </c>
      <c r="J50" t="inlineStr">
        <is>
          <t>bitti</t>
        </is>
      </c>
      <c r="K50" t="b">
        <v>0</v>
      </c>
      <c r="Z50" t="n">
        <v>935</v>
      </c>
      <c r="AA50" t="n">
        <v>2.5</v>
      </c>
      <c r="AB50" t="n">
        <v>9.5</v>
      </c>
    </row>
    <row r="51">
      <c r="A51" t="inlineStr">
        <is>
          <t>2026-09-24 12:20:08</t>
        </is>
      </c>
      <c r="B51" t="inlineStr">
        <is>
          <t>MLLB_000_y1.0.3</t>
        </is>
      </c>
      <c r="C51" t="inlineStr">
        <is>
          <t>WHITE</t>
        </is>
      </c>
      <c r="D51" t="inlineStr">
        <is>
          <t>v4_white_MLLB_000_y103_0924</t>
        </is>
      </c>
      <c r="E51" t="n">
        <v>4.2</v>
      </c>
      <c r="F51" t="n">
        <v>4.2</v>
      </c>
      <c r="G51" t="n">
        <v>7</v>
      </c>
      <c r="H51" t="n">
        <v>80</v>
      </c>
      <c r="I51" t="n">
        <v>12</v>
      </c>
      <c r="J51" t="inlineStr">
        <is>
          <t>kaba</t>
        </is>
      </c>
      <c r="K51" t="b">
        <v>1</v>
      </c>
      <c r="M51" t="n">
        <v>196</v>
      </c>
      <c r="N51" t="n">
        <v>38</v>
      </c>
      <c r="O51" t="n">
        <v>172</v>
      </c>
      <c r="P51" t="n">
        <v>806</v>
      </c>
      <c r="Q51" t="n">
        <v>1002</v>
      </c>
      <c r="R51" t="n">
        <v>1.09</v>
      </c>
      <c r="S51" t="n">
        <v>12.911</v>
      </c>
      <c r="T51" t="n">
        <v>11.841</v>
      </c>
      <c r="U51" t="n">
        <v>0.7781</v>
      </c>
      <c r="V51" t="b">
        <v>1</v>
      </c>
      <c r="X51" t="b">
        <v>0</v>
      </c>
      <c r="Y51" t="inlineStr">
        <is>
          <t>ON</t>
        </is>
      </c>
      <c r="Z51" t="n">
        <v>935</v>
      </c>
      <c r="AA51" t="n">
        <v>2.5</v>
      </c>
      <c r="AB51" t="n">
        <v>9.5</v>
      </c>
    </row>
    <row r="52">
      <c r="A52" t="inlineStr">
        <is>
          <t>2026-09-24 12:20:24</t>
        </is>
      </c>
      <c r="B52" t="inlineStr">
        <is>
          <t>MLLB_000_y1.0.3</t>
        </is>
      </c>
      <c r="C52" t="inlineStr">
        <is>
          <t>WHITE</t>
        </is>
      </c>
      <c r="D52" t="inlineStr">
        <is>
          <t>v4_white_MLLB_000_y103_0924</t>
        </is>
      </c>
      <c r="E52" t="n">
        <v>4.2</v>
      </c>
      <c r="F52" t="n">
        <v>4.2</v>
      </c>
      <c r="G52" t="n">
        <v>7</v>
      </c>
      <c r="H52" t="n">
        <v>80</v>
      </c>
      <c r="I52" t="n">
        <v>16</v>
      </c>
      <c r="J52" t="inlineStr">
        <is>
          <t>kaba</t>
        </is>
      </c>
      <c r="K52" t="b">
        <v>1</v>
      </c>
      <c r="M52" t="n">
        <v>140</v>
      </c>
      <c r="N52" t="n">
        <v>44</v>
      </c>
      <c r="O52" t="n">
        <v>116</v>
      </c>
      <c r="P52" t="n">
        <v>862</v>
      </c>
      <c r="Q52" t="n">
        <v>1002</v>
      </c>
      <c r="R52" t="n">
        <v>1.093</v>
      </c>
      <c r="S52" t="n">
        <v>12.995</v>
      </c>
      <c r="T52" t="n">
        <v>11.888</v>
      </c>
      <c r="U52" t="n">
        <v>0.7774</v>
      </c>
      <c r="V52" t="b">
        <v>1</v>
      </c>
      <c r="X52" t="b">
        <v>0</v>
      </c>
      <c r="Y52" t="inlineStr">
        <is>
          <t>ON</t>
        </is>
      </c>
      <c r="Z52" t="n">
        <v>935</v>
      </c>
      <c r="AA52" t="n">
        <v>2.5</v>
      </c>
      <c r="AB52" t="n">
        <v>9.5</v>
      </c>
    </row>
    <row r="53">
      <c r="A53" t="inlineStr">
        <is>
          <t>2026-09-24 12:20:40</t>
        </is>
      </c>
      <c r="B53" t="inlineStr">
        <is>
          <t>MLLB_000_y1.0.3</t>
        </is>
      </c>
      <c r="C53" t="inlineStr">
        <is>
          <t>WHITE</t>
        </is>
      </c>
      <c r="D53" t="inlineStr">
        <is>
          <t>v4_white_MLLB_000_y103_0924</t>
        </is>
      </c>
      <c r="E53" t="n">
        <v>4.2</v>
      </c>
      <c r="F53" t="n">
        <v>4.2</v>
      </c>
      <c r="G53" t="n">
        <v>7</v>
      </c>
      <c r="H53" t="n">
        <v>80</v>
      </c>
      <c r="I53" t="n">
        <v>20</v>
      </c>
      <c r="J53" t="inlineStr">
        <is>
          <t>kaba</t>
        </is>
      </c>
      <c r="K53" t="b">
        <v>1</v>
      </c>
      <c r="M53" t="n">
        <v>84</v>
      </c>
      <c r="N53" t="n">
        <v>40</v>
      </c>
      <c r="O53" t="n">
        <v>58</v>
      </c>
      <c r="P53" t="n">
        <v>918</v>
      </c>
      <c r="Q53" t="n">
        <v>1002</v>
      </c>
      <c r="R53" t="n">
        <v>1.09</v>
      </c>
      <c r="S53" t="n">
        <v>12.995</v>
      </c>
      <c r="T53" t="n">
        <v>11.927</v>
      </c>
      <c r="U53" t="n">
        <v>0.7776999999999999</v>
      </c>
      <c r="V53" t="b">
        <v>1</v>
      </c>
      <c r="X53" t="b">
        <v>0</v>
      </c>
      <c r="Y53" t="inlineStr">
        <is>
          <t>ON</t>
        </is>
      </c>
      <c r="Z53" t="n">
        <v>935</v>
      </c>
      <c r="AA53" t="n">
        <v>2.5</v>
      </c>
      <c r="AB53" t="n">
        <v>9.5</v>
      </c>
    </row>
    <row r="54">
      <c r="A54" t="inlineStr">
        <is>
          <t>2026-09-24 12:20:56</t>
        </is>
      </c>
      <c r="B54" t="inlineStr">
        <is>
          <t>MLLB_000_y1.0.3</t>
        </is>
      </c>
      <c r="C54" t="inlineStr">
        <is>
          <t>WHITE</t>
        </is>
      </c>
      <c r="D54" t="inlineStr">
        <is>
          <t>v4_white_MLLB_000_y103_0924</t>
        </is>
      </c>
      <c r="E54" t="n">
        <v>4.2</v>
      </c>
      <c r="F54" t="n">
        <v>4.2</v>
      </c>
      <c r="G54" t="n">
        <v>7</v>
      </c>
      <c r="H54" t="n">
        <v>80</v>
      </c>
      <c r="I54" t="n">
        <v>24</v>
      </c>
      <c r="J54" t="inlineStr">
        <is>
          <t>kaba</t>
        </is>
      </c>
      <c r="K54" t="b">
        <v>1</v>
      </c>
      <c r="M54" t="n">
        <v>32</v>
      </c>
      <c r="N54" t="n">
        <v>32</v>
      </c>
      <c r="O54" t="n">
        <v>10</v>
      </c>
      <c r="P54" t="n">
        <v>970</v>
      </c>
      <c r="Q54" t="n">
        <v>1002</v>
      </c>
      <c r="R54" t="n">
        <v>1.089</v>
      </c>
      <c r="S54" t="n">
        <v>12.995</v>
      </c>
      <c r="T54" t="n">
        <v>11.935</v>
      </c>
      <c r="U54" t="n">
        <v>0.778</v>
      </c>
      <c r="V54" t="b">
        <v>1</v>
      </c>
      <c r="X54" t="b">
        <v>1</v>
      </c>
      <c r="Z54" t="n">
        <v>935</v>
      </c>
      <c r="AA54" t="n">
        <v>2.5</v>
      </c>
      <c r="AB54" t="n">
        <v>9.5</v>
      </c>
    </row>
    <row r="55">
      <c r="A55" t="inlineStr">
        <is>
          <t>2026-09-24 12:21:12</t>
        </is>
      </c>
      <c r="B55" t="inlineStr">
        <is>
          <t>MLLB_000_y1.0.3</t>
        </is>
      </c>
      <c r="C55" t="inlineStr">
        <is>
          <t>WHITE</t>
        </is>
      </c>
      <c r="D55" t="inlineStr">
        <is>
          <t>v4_white_MLLB_000_y103_0924</t>
        </is>
      </c>
      <c r="E55" t="n">
        <v>4.2</v>
      </c>
      <c r="F55" t="n">
        <v>4.2</v>
      </c>
      <c r="G55" t="n">
        <v>7</v>
      </c>
      <c r="H55" t="n">
        <v>80</v>
      </c>
      <c r="I55" t="n">
        <v>28</v>
      </c>
      <c r="J55" t="inlineStr">
        <is>
          <t>kaba</t>
        </is>
      </c>
      <c r="K55" t="b">
        <v>1</v>
      </c>
      <c r="M55" t="n">
        <v>30</v>
      </c>
      <c r="N55" t="n">
        <v>32</v>
      </c>
      <c r="O55" t="n">
        <v>10</v>
      </c>
      <c r="P55" t="n">
        <v>972</v>
      </c>
      <c r="Q55" t="n">
        <v>1002</v>
      </c>
      <c r="R55" t="n">
        <v>6.061</v>
      </c>
      <c r="S55" t="n">
        <v>72.312</v>
      </c>
      <c r="T55" t="n">
        <v>11.93</v>
      </c>
      <c r="U55" t="n">
        <v>0.778</v>
      </c>
      <c r="V55" t="b">
        <v>1</v>
      </c>
      <c r="X55" t="b">
        <v>0</v>
      </c>
      <c r="Y55" t="inlineStr">
        <is>
          <t>FLAS</t>
        </is>
      </c>
      <c r="Z55" t="n">
        <v>935</v>
      </c>
      <c r="AA55" t="n">
        <v>2.5</v>
      </c>
      <c r="AB55" t="n">
        <v>9.5</v>
      </c>
    </row>
    <row r="56">
      <c r="A56" t="inlineStr">
        <is>
          <t>2026-09-24 12:21:28</t>
        </is>
      </c>
      <c r="B56" t="inlineStr">
        <is>
          <t>MLLB_000_y1.0.3</t>
        </is>
      </c>
      <c r="C56" t="inlineStr">
        <is>
          <t>WHITE</t>
        </is>
      </c>
      <c r="D56" t="inlineStr">
        <is>
          <t>v4_white_MLLB_000_y103_0924</t>
        </is>
      </c>
      <c r="E56" t="n">
        <v>4.2</v>
      </c>
      <c r="F56" t="n">
        <v>4.2</v>
      </c>
      <c r="G56" t="n">
        <v>7</v>
      </c>
      <c r="H56" t="n">
        <v>80</v>
      </c>
      <c r="I56" t="n">
        <v>21</v>
      </c>
      <c r="J56" t="inlineStr">
        <is>
          <t>ince</t>
        </is>
      </c>
      <c r="K56" t="b">
        <v>1</v>
      </c>
      <c r="M56" t="n">
        <v>70</v>
      </c>
      <c r="N56" t="n">
        <v>42</v>
      </c>
      <c r="O56" t="n">
        <v>46</v>
      </c>
      <c r="P56" t="n">
        <v>932</v>
      </c>
      <c r="Q56" t="n">
        <v>1002</v>
      </c>
      <c r="R56" t="n">
        <v>1.09</v>
      </c>
      <c r="S56" t="n">
        <v>12.995</v>
      </c>
      <c r="T56" t="n">
        <v>11.922</v>
      </c>
      <c r="U56" t="n">
        <v>0.7782</v>
      </c>
      <c r="V56" t="b">
        <v>1</v>
      </c>
      <c r="X56" t="b">
        <v>0</v>
      </c>
      <c r="Y56" t="inlineStr">
        <is>
          <t>ON</t>
        </is>
      </c>
      <c r="Z56" t="n">
        <v>935</v>
      </c>
      <c r="AA56" t="n">
        <v>2.5</v>
      </c>
      <c r="AB56" t="n">
        <v>9.5</v>
      </c>
    </row>
    <row r="57">
      <c r="A57" t="inlineStr">
        <is>
          <t>2026-09-24 12:21:40</t>
        </is>
      </c>
      <c r="B57" t="inlineStr">
        <is>
          <t>MLLB_000_y1.0.3</t>
        </is>
      </c>
      <c r="C57" t="inlineStr">
        <is>
          <t>WHITE</t>
        </is>
      </c>
      <c r="D57" t="inlineStr">
        <is>
          <t>v4_white_MLLB_000_y103_0924</t>
        </is>
      </c>
      <c r="E57" t="n">
        <v>4.2</v>
      </c>
      <c r="F57" t="n">
        <v>4.2</v>
      </c>
      <c r="G57" t="n">
        <v>7</v>
      </c>
      <c r="H57" t="n">
        <v>80</v>
      </c>
      <c r="I57" t="n">
        <v>22</v>
      </c>
      <c r="J57" t="inlineStr">
        <is>
          <t>ince</t>
        </is>
      </c>
      <c r="K57" t="b">
        <v>1</v>
      </c>
      <c r="M57" t="n">
        <v>56</v>
      </c>
      <c r="N57" t="n">
        <v>40</v>
      </c>
      <c r="O57" t="n">
        <v>30</v>
      </c>
      <c r="P57" t="n">
        <v>946</v>
      </c>
      <c r="Q57" t="n">
        <v>1002</v>
      </c>
      <c r="R57" t="n">
        <v>1.086</v>
      </c>
      <c r="S57" t="n">
        <v>12.949</v>
      </c>
      <c r="T57" t="n">
        <v>11.919</v>
      </c>
      <c r="U57" t="n">
        <v>0.7776999999999999</v>
      </c>
      <c r="V57" t="b">
        <v>1</v>
      </c>
      <c r="X57" t="b">
        <v>1</v>
      </c>
      <c r="Z57" t="n">
        <v>935</v>
      </c>
      <c r="AA57" t="n">
        <v>2.5</v>
      </c>
      <c r="AB57" t="n">
        <v>9.5</v>
      </c>
    </row>
    <row r="58">
      <c r="A58" t="inlineStr">
        <is>
          <t>2026-09-24 12:21:56</t>
        </is>
      </c>
      <c r="B58" t="inlineStr">
        <is>
          <t>MLLB_000_y1.0.3</t>
        </is>
      </c>
      <c r="C58" t="inlineStr">
        <is>
          <t>WHITE</t>
        </is>
      </c>
      <c r="D58" t="inlineStr">
        <is>
          <t>v4_white_MLLB_000_y103_0924</t>
        </is>
      </c>
      <c r="E58" t="n">
        <v>4.2</v>
      </c>
      <c r="F58" t="n">
        <v>4.2</v>
      </c>
      <c r="G58" t="n">
        <v>7</v>
      </c>
      <c r="H58" t="n">
        <v>80</v>
      </c>
      <c r="I58" t="n">
        <v>23</v>
      </c>
      <c r="J58" t="inlineStr">
        <is>
          <t>ince</t>
        </is>
      </c>
      <c r="K58" t="b">
        <v>1</v>
      </c>
      <c r="M58" t="n">
        <v>40</v>
      </c>
      <c r="N58" t="n">
        <v>46</v>
      </c>
      <c r="O58" t="n">
        <v>14</v>
      </c>
      <c r="P58" t="n">
        <v>962</v>
      </c>
      <c r="Q58" t="n">
        <v>1002</v>
      </c>
      <c r="R58" t="n">
        <v>1.089</v>
      </c>
      <c r="S58" t="n">
        <v>12.995</v>
      </c>
      <c r="T58" t="n">
        <v>11.937</v>
      </c>
      <c r="U58" t="n">
        <v>0.7774</v>
      </c>
      <c r="V58" t="b">
        <v>1</v>
      </c>
      <c r="X58" t="b">
        <v>1</v>
      </c>
      <c r="Z58" t="n">
        <v>935</v>
      </c>
      <c r="AA58" t="n">
        <v>2.5</v>
      </c>
      <c r="AB58" t="n">
        <v>9.5</v>
      </c>
    </row>
    <row r="59">
      <c r="A59" t="inlineStr">
        <is>
          <t>2026-09-24 12:22:08</t>
        </is>
      </c>
      <c r="B59" t="inlineStr">
        <is>
          <t>MLLB_000_y1.0.3</t>
        </is>
      </c>
      <c r="C59" t="inlineStr">
        <is>
          <t>WHITE</t>
        </is>
      </c>
      <c r="D59" t="inlineStr">
        <is>
          <t>v4_white_MLLB_000_y103_0924</t>
        </is>
      </c>
      <c r="E59" t="n">
        <v>4.2</v>
      </c>
      <c r="F59" t="n">
        <v>4.2</v>
      </c>
      <c r="G59" t="n">
        <v>7</v>
      </c>
      <c r="H59" t="n">
        <v>80</v>
      </c>
      <c r="I59" t="n">
        <v>25</v>
      </c>
      <c r="J59" t="inlineStr">
        <is>
          <t>ince</t>
        </is>
      </c>
      <c r="K59" t="b">
        <v>1</v>
      </c>
      <c r="M59" t="n">
        <v>30</v>
      </c>
      <c r="N59" t="n">
        <v>32</v>
      </c>
      <c r="O59" t="n">
        <v>10</v>
      </c>
      <c r="P59" t="n">
        <v>972</v>
      </c>
      <c r="Q59" t="n">
        <v>1002</v>
      </c>
      <c r="R59" t="n">
        <v>1.664</v>
      </c>
      <c r="S59" t="n">
        <v>19.811</v>
      </c>
      <c r="T59" t="n">
        <v>11.909</v>
      </c>
      <c r="U59" t="n">
        <v>0.7778</v>
      </c>
      <c r="V59" t="b">
        <v>1</v>
      </c>
      <c r="X59" t="b">
        <v>1</v>
      </c>
      <c r="Z59" t="n">
        <v>935</v>
      </c>
      <c r="AA59" t="n">
        <v>2.5</v>
      </c>
      <c r="AB59" t="n">
        <v>9.5</v>
      </c>
    </row>
    <row r="60">
      <c r="A60" t="inlineStr">
        <is>
          <t>2026-09-24 12:22:24</t>
        </is>
      </c>
      <c r="B60" t="inlineStr">
        <is>
          <t>MLLB_000_y1.0.3</t>
        </is>
      </c>
      <c r="C60" t="inlineStr">
        <is>
          <t>WHITE</t>
        </is>
      </c>
      <c r="D60" t="inlineStr">
        <is>
          <t>v4_white_MLLB_000_y103_0924</t>
        </is>
      </c>
      <c r="E60" t="n">
        <v>4.2</v>
      </c>
      <c r="F60" t="n">
        <v>4.2</v>
      </c>
      <c r="G60" t="n">
        <v>7</v>
      </c>
      <c r="H60" t="n">
        <v>80</v>
      </c>
      <c r="I60" t="n">
        <v>26</v>
      </c>
      <c r="J60" t="inlineStr">
        <is>
          <t>ince</t>
        </is>
      </c>
      <c r="K60" t="b">
        <v>1</v>
      </c>
      <c r="M60" t="n">
        <v>32</v>
      </c>
      <c r="N60" t="n">
        <v>32</v>
      </c>
      <c r="O60" t="n">
        <v>10</v>
      </c>
      <c r="P60" t="n">
        <v>970</v>
      </c>
      <c r="Q60" t="n">
        <v>1002</v>
      </c>
      <c r="R60" t="n">
        <v>2.904</v>
      </c>
      <c r="S60" t="n">
        <v>34.634</v>
      </c>
      <c r="T60" t="n">
        <v>11.925</v>
      </c>
      <c r="U60" t="n">
        <v>0.7776999999999999</v>
      </c>
      <c r="V60" t="b">
        <v>1</v>
      </c>
      <c r="X60" t="b">
        <v>0</v>
      </c>
      <c r="Y60" t="inlineStr">
        <is>
          <t>FLAS</t>
        </is>
      </c>
      <c r="Z60" t="n">
        <v>935</v>
      </c>
      <c r="AA60" t="n">
        <v>2.5</v>
      </c>
      <c r="AB60" t="n">
        <v>9.5</v>
      </c>
    </row>
    <row r="61">
      <c r="A61" t="inlineStr">
        <is>
          <t>2026-09-24 12:22:40</t>
        </is>
      </c>
      <c r="B61" t="inlineStr">
        <is>
          <t>MLLB_000_y1.0.3</t>
        </is>
      </c>
      <c r="C61" t="inlineStr">
        <is>
          <t>WHITE</t>
        </is>
      </c>
      <c r="D61" t="inlineStr">
        <is>
          <t>v4_white_MLLB_000_y103_0924</t>
        </is>
      </c>
      <c r="E61" t="n">
        <v>4.2</v>
      </c>
      <c r="F61" t="n">
        <v>4.2</v>
      </c>
      <c r="G61" t="n">
        <v>7</v>
      </c>
      <c r="H61" t="n">
        <v>80</v>
      </c>
      <c r="I61" t="n">
        <v>27</v>
      </c>
      <c r="J61" t="inlineStr">
        <is>
          <t>ince</t>
        </is>
      </c>
      <c r="K61" t="b">
        <v>1</v>
      </c>
      <c r="M61" t="n">
        <v>30</v>
      </c>
      <c r="N61" t="n">
        <v>32</v>
      </c>
      <c r="O61" t="n">
        <v>10</v>
      </c>
      <c r="P61" t="n">
        <v>972</v>
      </c>
      <c r="Q61" t="n">
        <v>1002</v>
      </c>
      <c r="R61" t="n">
        <v>4.206</v>
      </c>
      <c r="S61" t="n">
        <v>50.015</v>
      </c>
      <c r="T61" t="n">
        <v>11.891</v>
      </c>
      <c r="U61" t="n">
        <v>0.7776</v>
      </c>
      <c r="V61" t="b">
        <v>1</v>
      </c>
      <c r="X61" t="b">
        <v>0</v>
      </c>
      <c r="Y61" t="inlineStr">
        <is>
          <t>FLAS</t>
        </is>
      </c>
      <c r="Z61" t="n">
        <v>935</v>
      </c>
      <c r="AA61" t="n">
        <v>2.5</v>
      </c>
      <c r="AB61" t="n">
        <v>9.5</v>
      </c>
    </row>
    <row r="62">
      <c r="A62" t="inlineStr">
        <is>
          <t>2026-09-24 12:22:40</t>
        </is>
      </c>
      <c r="B62" t="inlineStr">
        <is>
          <t>MLLB_000_y1.0.3</t>
        </is>
      </c>
      <c r="C62" t="inlineStr">
        <is>
          <t>WHITE</t>
        </is>
      </c>
      <c r="D62" t="inlineStr">
        <is>
          <t>v4_white_MLLB_000_y103_0924</t>
        </is>
      </c>
      <c r="E62" t="n">
        <v>4.2</v>
      </c>
      <c r="F62" t="n">
        <v>4.2</v>
      </c>
      <c r="G62" t="n">
        <v>7</v>
      </c>
      <c r="H62" t="n">
        <v>80</v>
      </c>
      <c r="J62" t="inlineStr">
        <is>
          <t>bitti</t>
        </is>
      </c>
      <c r="K62" t="b">
        <v>0</v>
      </c>
      <c r="Z62" t="n">
        <v>935</v>
      </c>
      <c r="AA62" t="n">
        <v>2.5</v>
      </c>
      <c r="AB62" t="n">
        <v>9.5</v>
      </c>
    </row>
    <row r="63">
      <c r="A63" t="inlineStr">
        <is>
          <t>2026-09-24 12:22:56</t>
        </is>
      </c>
      <c r="B63" t="inlineStr">
        <is>
          <t>MLLB_000_y1.0.3</t>
        </is>
      </c>
      <c r="C63" t="inlineStr">
        <is>
          <t>WHITE</t>
        </is>
      </c>
      <c r="D63" t="inlineStr">
        <is>
          <t>v4_white_MLLB_000_y103_0924</t>
        </is>
      </c>
      <c r="E63" t="n">
        <v>4.2</v>
      </c>
      <c r="F63" t="n">
        <v>4.2</v>
      </c>
      <c r="G63" t="n">
        <v>7</v>
      </c>
      <c r="H63" t="n">
        <v>60</v>
      </c>
      <c r="I63" t="n">
        <v>12</v>
      </c>
      <c r="J63" t="inlineStr">
        <is>
          <t>kaba</t>
        </is>
      </c>
      <c r="K63" t="b">
        <v>1</v>
      </c>
      <c r="M63" t="n">
        <v>232</v>
      </c>
      <c r="N63" t="n">
        <v>46</v>
      </c>
      <c r="O63" t="n">
        <v>206</v>
      </c>
      <c r="P63" t="n">
        <v>770</v>
      </c>
      <c r="Q63" t="n">
        <v>1002</v>
      </c>
      <c r="R63" t="n">
        <v>1.097</v>
      </c>
      <c r="S63" t="n">
        <v>12.995</v>
      </c>
      <c r="T63" t="n">
        <v>11.851</v>
      </c>
      <c r="U63" t="n">
        <v>0.7776999999999999</v>
      </c>
      <c r="V63" t="b">
        <v>1</v>
      </c>
      <c r="X63" t="b">
        <v>0</v>
      </c>
      <c r="Y63" t="inlineStr">
        <is>
          <t>ON</t>
        </is>
      </c>
      <c r="Z63" t="n">
        <v>935</v>
      </c>
      <c r="AA63" t="n">
        <v>2.5</v>
      </c>
      <c r="AB63" t="n">
        <v>9.5</v>
      </c>
    </row>
    <row r="64">
      <c r="A64" t="inlineStr">
        <is>
          <t>2026-09-24 12:23:12</t>
        </is>
      </c>
      <c r="B64" t="inlineStr">
        <is>
          <t>MLLB_000_y1.0.3</t>
        </is>
      </c>
      <c r="C64" t="inlineStr">
        <is>
          <t>WHITE</t>
        </is>
      </c>
      <c r="D64" t="inlineStr">
        <is>
          <t>v4_white_MLLB_000_y103_0924</t>
        </is>
      </c>
      <c r="E64" t="n">
        <v>4.2</v>
      </c>
      <c r="F64" t="n">
        <v>4.2</v>
      </c>
      <c r="G64" t="n">
        <v>7</v>
      </c>
      <c r="H64" t="n">
        <v>60</v>
      </c>
      <c r="I64" t="n">
        <v>16</v>
      </c>
      <c r="J64" t="inlineStr">
        <is>
          <t>kaba</t>
        </is>
      </c>
      <c r="K64" t="b">
        <v>1</v>
      </c>
      <c r="M64" t="n">
        <v>194</v>
      </c>
      <c r="N64" t="n">
        <v>40</v>
      </c>
      <c r="O64" t="n">
        <v>170</v>
      </c>
      <c r="P64" t="n">
        <v>808</v>
      </c>
      <c r="Q64" t="n">
        <v>1002</v>
      </c>
      <c r="R64" t="n">
        <v>1.09</v>
      </c>
      <c r="S64" t="n">
        <v>12.903</v>
      </c>
      <c r="T64" t="n">
        <v>11.84</v>
      </c>
      <c r="U64" t="n">
        <v>0.7775</v>
      </c>
      <c r="V64" t="b">
        <v>1</v>
      </c>
      <c r="X64" t="b">
        <v>0</v>
      </c>
      <c r="Y64" t="inlineStr">
        <is>
          <t>ON</t>
        </is>
      </c>
      <c r="Z64" t="n">
        <v>935</v>
      </c>
      <c r="AA64" t="n">
        <v>2.5</v>
      </c>
      <c r="AB64" t="n">
        <v>9.5</v>
      </c>
    </row>
    <row r="65">
      <c r="A65" t="inlineStr">
        <is>
          <t>2026-09-24 12:23:28</t>
        </is>
      </c>
      <c r="B65" t="inlineStr">
        <is>
          <t>MLLB_000_y1.0.3</t>
        </is>
      </c>
      <c r="C65" t="inlineStr">
        <is>
          <t>WHITE</t>
        </is>
      </c>
      <c r="D65" t="inlineStr">
        <is>
          <t>v4_white_MLLB_000_y103_0924</t>
        </is>
      </c>
      <c r="E65" t="n">
        <v>4.2</v>
      </c>
      <c r="F65" t="n">
        <v>4.2</v>
      </c>
      <c r="G65" t="n">
        <v>7</v>
      </c>
      <c r="H65" t="n">
        <v>60</v>
      </c>
      <c r="I65" t="n">
        <v>20</v>
      </c>
      <c r="J65" t="inlineStr">
        <is>
          <t>kaba</t>
        </is>
      </c>
      <c r="K65" t="b">
        <v>1</v>
      </c>
      <c r="M65" t="n">
        <v>152</v>
      </c>
      <c r="N65" t="n">
        <v>44</v>
      </c>
      <c r="O65" t="n">
        <v>128</v>
      </c>
      <c r="P65" t="n">
        <v>850</v>
      </c>
      <c r="Q65" t="n">
        <v>1002</v>
      </c>
      <c r="R65" t="n">
        <v>1.094</v>
      </c>
      <c r="S65" t="n">
        <v>12.995</v>
      </c>
      <c r="T65" t="n">
        <v>11.874</v>
      </c>
      <c r="U65" t="n">
        <v>0.7774</v>
      </c>
      <c r="V65" t="b">
        <v>1</v>
      </c>
      <c r="X65" t="b">
        <v>0</v>
      </c>
      <c r="Y65" t="inlineStr">
        <is>
          <t>ON</t>
        </is>
      </c>
      <c r="Z65" t="n">
        <v>935</v>
      </c>
      <c r="AA65" t="n">
        <v>2.5</v>
      </c>
      <c r="AB65" t="n">
        <v>9.5</v>
      </c>
    </row>
    <row r="66">
      <c r="A66" t="inlineStr">
        <is>
          <t>2026-09-24 12:23:44</t>
        </is>
      </c>
      <c r="B66" t="inlineStr">
        <is>
          <t>MLLB_000_y1.0.3</t>
        </is>
      </c>
      <c r="C66" t="inlineStr">
        <is>
          <t>WHITE</t>
        </is>
      </c>
      <c r="D66" t="inlineStr">
        <is>
          <t>v4_white_MLLB_000_y103_0924</t>
        </is>
      </c>
      <c r="E66" t="n">
        <v>4.2</v>
      </c>
      <c r="F66" t="n">
        <v>4.2</v>
      </c>
      <c r="G66" t="n">
        <v>7</v>
      </c>
      <c r="H66" t="n">
        <v>60</v>
      </c>
      <c r="I66" t="n">
        <v>24</v>
      </c>
      <c r="J66" t="inlineStr">
        <is>
          <t>kaba</t>
        </is>
      </c>
      <c r="K66" t="b">
        <v>1</v>
      </c>
      <c r="M66" t="n">
        <v>112</v>
      </c>
      <c r="N66" t="n">
        <v>40</v>
      </c>
      <c r="O66" t="n">
        <v>86</v>
      </c>
      <c r="P66" t="n">
        <v>890</v>
      </c>
      <c r="Q66" t="n">
        <v>1002</v>
      </c>
      <c r="R66" t="n">
        <v>1.092</v>
      </c>
      <c r="S66" t="n">
        <v>12.995</v>
      </c>
      <c r="T66" t="n">
        <v>11.902</v>
      </c>
      <c r="U66" t="n">
        <v>0.777</v>
      </c>
      <c r="V66" t="b">
        <v>1</v>
      </c>
      <c r="X66" t="b">
        <v>0</v>
      </c>
      <c r="Y66" t="inlineStr">
        <is>
          <t>ON</t>
        </is>
      </c>
      <c r="Z66" t="n">
        <v>935</v>
      </c>
      <c r="AA66" t="n">
        <v>2.5</v>
      </c>
      <c r="AB66" t="n">
        <v>9.5</v>
      </c>
    </row>
    <row r="67">
      <c r="A67" t="inlineStr">
        <is>
          <t>2026-09-24 12:24:00</t>
        </is>
      </c>
      <c r="B67" t="inlineStr">
        <is>
          <t>MLLB_000_y1.0.3</t>
        </is>
      </c>
      <c r="C67" t="inlineStr">
        <is>
          <t>WHITE</t>
        </is>
      </c>
      <c r="D67" t="inlineStr">
        <is>
          <t>v4_white_MLLB_000_y103_0924</t>
        </is>
      </c>
      <c r="E67" t="n">
        <v>4.2</v>
      </c>
      <c r="F67" t="n">
        <v>4.2</v>
      </c>
      <c r="G67" t="n">
        <v>7</v>
      </c>
      <c r="H67" t="n">
        <v>60</v>
      </c>
      <c r="I67" t="n">
        <v>28</v>
      </c>
      <c r="J67" t="inlineStr">
        <is>
          <t>kaba</t>
        </is>
      </c>
      <c r="K67" t="b">
        <v>1</v>
      </c>
      <c r="M67" t="n">
        <v>70</v>
      </c>
      <c r="N67" t="n">
        <v>40</v>
      </c>
      <c r="O67" t="n">
        <v>46</v>
      </c>
      <c r="P67" t="n">
        <v>932</v>
      </c>
      <c r="Q67" t="n">
        <v>1002</v>
      </c>
      <c r="R67" t="n">
        <v>1.091</v>
      </c>
      <c r="S67" t="n">
        <v>12.995</v>
      </c>
      <c r="T67" t="n">
        <v>11.912</v>
      </c>
      <c r="U67" t="n">
        <v>0.7782</v>
      </c>
      <c r="V67" t="b">
        <v>1</v>
      </c>
      <c r="X67" t="b">
        <v>0</v>
      </c>
      <c r="Y67" t="inlineStr">
        <is>
          <t>ON</t>
        </is>
      </c>
      <c r="Z67" t="n">
        <v>935</v>
      </c>
      <c r="AA67" t="n">
        <v>2.5</v>
      </c>
      <c r="AB67" t="n">
        <v>9.5</v>
      </c>
    </row>
    <row r="68">
      <c r="A68" t="inlineStr">
        <is>
          <t>2026-09-24 12:24:16</t>
        </is>
      </c>
      <c r="B68" t="inlineStr">
        <is>
          <t>MLLB_000_y1.0.3</t>
        </is>
      </c>
      <c r="C68" t="inlineStr">
        <is>
          <t>WHITE</t>
        </is>
      </c>
      <c r="D68" t="inlineStr">
        <is>
          <t>v4_white_MLLB_000_y103_0924</t>
        </is>
      </c>
      <c r="E68" t="n">
        <v>4.2</v>
      </c>
      <c r="F68" t="n">
        <v>4.2</v>
      </c>
      <c r="G68" t="n">
        <v>7</v>
      </c>
      <c r="H68" t="n">
        <v>60</v>
      </c>
      <c r="I68" t="n">
        <v>32</v>
      </c>
      <c r="J68" t="inlineStr">
        <is>
          <t>kaba</t>
        </is>
      </c>
      <c r="K68" t="b">
        <v>1</v>
      </c>
      <c r="M68" t="n">
        <v>38</v>
      </c>
      <c r="N68" t="n">
        <v>28</v>
      </c>
      <c r="O68" t="n">
        <v>18</v>
      </c>
      <c r="P68" t="n">
        <v>964</v>
      </c>
      <c r="Q68" t="n">
        <v>1002</v>
      </c>
      <c r="R68" t="n">
        <v>1.084</v>
      </c>
      <c r="S68" t="n">
        <v>12.903</v>
      </c>
      <c r="T68" t="n">
        <v>11.907</v>
      </c>
      <c r="U68" t="n">
        <v>0.7778</v>
      </c>
      <c r="V68" t="b">
        <v>1</v>
      </c>
      <c r="X68" t="b">
        <v>1</v>
      </c>
      <c r="Z68" t="n">
        <v>935</v>
      </c>
      <c r="AA68" t="n">
        <v>2.5</v>
      </c>
      <c r="AB68" t="n">
        <v>9.5</v>
      </c>
    </row>
    <row r="69">
      <c r="A69" t="inlineStr">
        <is>
          <t>2026-09-24 12:24:32</t>
        </is>
      </c>
      <c r="B69" t="inlineStr">
        <is>
          <t>MLLB_000_y1.0.3</t>
        </is>
      </c>
      <c r="C69" t="inlineStr">
        <is>
          <t>WHITE</t>
        </is>
      </c>
      <c r="D69" t="inlineStr">
        <is>
          <t>v4_white_MLLB_000_y103_0924</t>
        </is>
      </c>
      <c r="E69" t="n">
        <v>4.2</v>
      </c>
      <c r="F69" t="n">
        <v>4.2</v>
      </c>
      <c r="G69" t="n">
        <v>7</v>
      </c>
      <c r="H69" t="n">
        <v>60</v>
      </c>
      <c r="I69" t="n">
        <v>36</v>
      </c>
      <c r="J69" t="inlineStr">
        <is>
          <t>kaba</t>
        </is>
      </c>
      <c r="K69" t="b">
        <v>1</v>
      </c>
      <c r="M69" t="n">
        <v>38</v>
      </c>
      <c r="N69" t="n">
        <v>28</v>
      </c>
      <c r="O69" t="n">
        <v>18</v>
      </c>
      <c r="P69" t="n">
        <v>964</v>
      </c>
      <c r="Q69" t="n">
        <v>1002</v>
      </c>
      <c r="R69" t="n">
        <v>4.417</v>
      </c>
      <c r="S69" t="n">
        <v>52.694</v>
      </c>
      <c r="T69" t="n">
        <v>11.929</v>
      </c>
      <c r="U69" t="n">
        <v>0.7772</v>
      </c>
      <c r="V69" t="b">
        <v>1</v>
      </c>
      <c r="X69" t="b">
        <v>0</v>
      </c>
      <c r="Y69" t="inlineStr">
        <is>
          <t>FLAS</t>
        </is>
      </c>
      <c r="Z69" t="n">
        <v>935</v>
      </c>
      <c r="AA69" t="n">
        <v>2.5</v>
      </c>
      <c r="AB69" t="n">
        <v>9.5</v>
      </c>
    </row>
    <row r="70">
      <c r="A70" t="inlineStr">
        <is>
          <t>2026-09-24 12:24:48</t>
        </is>
      </c>
      <c r="B70" t="inlineStr">
        <is>
          <t>MLLB_000_y1.0.3</t>
        </is>
      </c>
      <c r="C70" t="inlineStr">
        <is>
          <t>WHITE</t>
        </is>
      </c>
      <c r="D70" t="inlineStr">
        <is>
          <t>v4_white_MLLB_000_y103_0924</t>
        </is>
      </c>
      <c r="E70" t="n">
        <v>4.2</v>
      </c>
      <c r="F70" t="n">
        <v>4.2</v>
      </c>
      <c r="G70" t="n">
        <v>7</v>
      </c>
      <c r="H70" t="n">
        <v>60</v>
      </c>
      <c r="I70" t="n">
        <v>40</v>
      </c>
      <c r="J70" t="inlineStr">
        <is>
          <t>kaba</t>
        </is>
      </c>
      <c r="K70" t="b">
        <v>1</v>
      </c>
      <c r="M70" t="n">
        <v>38</v>
      </c>
      <c r="N70" t="n">
        <v>28</v>
      </c>
      <c r="O70" t="n">
        <v>18</v>
      </c>
      <c r="P70" t="n">
        <v>964</v>
      </c>
      <c r="Q70" t="n">
        <v>1002</v>
      </c>
      <c r="R70" t="n">
        <v>7.062</v>
      </c>
      <c r="S70" t="n">
        <v>84.152</v>
      </c>
      <c r="T70" t="n">
        <v>11.916</v>
      </c>
      <c r="U70" t="n">
        <v>0.7771</v>
      </c>
      <c r="V70" t="b">
        <v>1</v>
      </c>
      <c r="X70" t="b">
        <v>0</v>
      </c>
      <c r="Y70" t="inlineStr">
        <is>
          <t>FLAS</t>
        </is>
      </c>
      <c r="Z70" t="n">
        <v>935</v>
      </c>
      <c r="AA70" t="n">
        <v>2.5</v>
      </c>
      <c r="AB70" t="n">
        <v>9.5</v>
      </c>
    </row>
    <row r="71">
      <c r="A71" t="inlineStr">
        <is>
          <t>2026-09-24 12:25:04</t>
        </is>
      </c>
      <c r="B71" t="inlineStr">
        <is>
          <t>MLLB_000_y1.0.3</t>
        </is>
      </c>
      <c r="C71" t="inlineStr">
        <is>
          <t>WHITE</t>
        </is>
      </c>
      <c r="D71" t="inlineStr">
        <is>
          <t>v4_white_MLLB_000_y103_0924</t>
        </is>
      </c>
      <c r="E71" t="n">
        <v>4.2</v>
      </c>
      <c r="F71" t="n">
        <v>4.2</v>
      </c>
      <c r="G71" t="n">
        <v>7</v>
      </c>
      <c r="H71" t="n">
        <v>60</v>
      </c>
      <c r="I71" t="n">
        <v>29</v>
      </c>
      <c r="J71" t="inlineStr">
        <is>
          <t>ince</t>
        </is>
      </c>
      <c r="K71" t="b">
        <v>1</v>
      </c>
      <c r="M71" t="n">
        <v>60</v>
      </c>
      <c r="N71" t="n">
        <v>40</v>
      </c>
      <c r="O71" t="n">
        <v>34</v>
      </c>
      <c r="P71" t="n">
        <v>942</v>
      </c>
      <c r="Q71" t="n">
        <v>1002</v>
      </c>
      <c r="R71" t="n">
        <v>1.09</v>
      </c>
      <c r="S71" t="n">
        <v>12.995</v>
      </c>
      <c r="T71" t="n">
        <v>11.925</v>
      </c>
      <c r="U71" t="n">
        <v>0.7773</v>
      </c>
      <c r="V71" t="b">
        <v>1</v>
      </c>
      <c r="X71" t="b">
        <v>1</v>
      </c>
      <c r="Z71" t="n">
        <v>935</v>
      </c>
      <c r="AA71" t="n">
        <v>2.5</v>
      </c>
      <c r="AB71" t="n">
        <v>9.5</v>
      </c>
    </row>
    <row r="72">
      <c r="A72" t="inlineStr">
        <is>
          <t>2026-09-24 12:25:20</t>
        </is>
      </c>
      <c r="B72" t="inlineStr">
        <is>
          <t>MLLB_000_y1.0.3</t>
        </is>
      </c>
      <c r="C72" t="inlineStr">
        <is>
          <t>WHITE</t>
        </is>
      </c>
      <c r="D72" t="inlineStr">
        <is>
          <t>v4_white_MLLB_000_y103_0924</t>
        </is>
      </c>
      <c r="E72" t="n">
        <v>4.2</v>
      </c>
      <c r="F72" t="n">
        <v>4.2</v>
      </c>
      <c r="G72" t="n">
        <v>7</v>
      </c>
      <c r="H72" t="n">
        <v>60</v>
      </c>
      <c r="I72" t="n">
        <v>30</v>
      </c>
      <c r="J72" t="inlineStr">
        <is>
          <t>ince</t>
        </is>
      </c>
      <c r="K72" t="b">
        <v>1</v>
      </c>
      <c r="M72" t="n">
        <v>48</v>
      </c>
      <c r="N72" t="n">
        <v>46</v>
      </c>
      <c r="O72" t="n">
        <v>22</v>
      </c>
      <c r="P72" t="n">
        <v>954</v>
      </c>
      <c r="Q72" t="n">
        <v>1002</v>
      </c>
      <c r="R72" t="n">
        <v>1.084</v>
      </c>
      <c r="S72" t="n">
        <v>12.911</v>
      </c>
      <c r="T72" t="n">
        <v>11.905</v>
      </c>
      <c r="U72" t="n">
        <v>0.7773</v>
      </c>
      <c r="V72" t="b">
        <v>1</v>
      </c>
      <c r="X72" t="b">
        <v>1</v>
      </c>
      <c r="Z72" t="n">
        <v>935</v>
      </c>
      <c r="AA72" t="n">
        <v>2.5</v>
      </c>
      <c r="AB72" t="n">
        <v>9.5</v>
      </c>
    </row>
    <row r="73">
      <c r="A73" t="inlineStr">
        <is>
          <t>2026-09-24 12:25:36</t>
        </is>
      </c>
      <c r="B73" t="inlineStr">
        <is>
          <t>MLLB_000_y1.0.3</t>
        </is>
      </c>
      <c r="C73" t="inlineStr">
        <is>
          <t>WHITE</t>
        </is>
      </c>
      <c r="D73" t="inlineStr">
        <is>
          <t>v4_white_MLLB_000_y103_0924</t>
        </is>
      </c>
      <c r="E73" t="n">
        <v>4.2</v>
      </c>
      <c r="F73" t="n">
        <v>4.2</v>
      </c>
      <c r="G73" t="n">
        <v>7</v>
      </c>
      <c r="H73" t="n">
        <v>60</v>
      </c>
      <c r="I73" t="n">
        <v>31</v>
      </c>
      <c r="J73" t="inlineStr">
        <is>
          <t>ince</t>
        </is>
      </c>
      <c r="K73" t="b">
        <v>1</v>
      </c>
      <c r="M73" t="n">
        <v>38</v>
      </c>
      <c r="N73" t="n">
        <v>32</v>
      </c>
      <c r="O73" t="n">
        <v>18</v>
      </c>
      <c r="P73" t="n">
        <v>964</v>
      </c>
      <c r="Q73" t="n">
        <v>1002</v>
      </c>
      <c r="R73" t="n">
        <v>1.089</v>
      </c>
      <c r="S73" t="n">
        <v>12.955</v>
      </c>
      <c r="T73" t="n">
        <v>11.894</v>
      </c>
      <c r="U73" t="n">
        <v>0.7776</v>
      </c>
      <c r="V73" t="b">
        <v>1</v>
      </c>
      <c r="X73" t="b">
        <v>1</v>
      </c>
      <c r="Z73" t="n">
        <v>935</v>
      </c>
      <c r="AA73" t="n">
        <v>2.5</v>
      </c>
      <c r="AB73" t="n">
        <v>9.5</v>
      </c>
    </row>
    <row r="74">
      <c r="A74" t="inlineStr">
        <is>
          <t>2026-09-24 12:25:52</t>
        </is>
      </c>
      <c r="B74" t="inlineStr">
        <is>
          <t>MLLB_000_y1.0.3</t>
        </is>
      </c>
      <c r="C74" t="inlineStr">
        <is>
          <t>WHITE</t>
        </is>
      </c>
      <c r="D74" t="inlineStr">
        <is>
          <t>v4_white_MLLB_000_y103_0924</t>
        </is>
      </c>
      <c r="E74" t="n">
        <v>4.2</v>
      </c>
      <c r="F74" t="n">
        <v>4.2</v>
      </c>
      <c r="G74" t="n">
        <v>7</v>
      </c>
      <c r="H74" t="n">
        <v>60</v>
      </c>
      <c r="I74" t="n">
        <v>33</v>
      </c>
      <c r="J74" t="inlineStr">
        <is>
          <t>ince</t>
        </is>
      </c>
      <c r="K74" t="b">
        <v>1</v>
      </c>
      <c r="M74" t="n">
        <v>38</v>
      </c>
      <c r="N74" t="n">
        <v>28</v>
      </c>
      <c r="O74" t="n">
        <v>18</v>
      </c>
      <c r="P74" t="n">
        <v>964</v>
      </c>
      <c r="Q74" t="n">
        <v>1002</v>
      </c>
      <c r="R74" t="n">
        <v>1.823</v>
      </c>
      <c r="S74" t="n">
        <v>21.716</v>
      </c>
      <c r="T74" t="n">
        <v>11.911</v>
      </c>
      <c r="U74" t="n">
        <v>0.7773</v>
      </c>
      <c r="V74" t="b">
        <v>1</v>
      </c>
      <c r="X74" t="b">
        <v>1</v>
      </c>
      <c r="Z74" t="n">
        <v>935</v>
      </c>
      <c r="AA74" t="n">
        <v>2.5</v>
      </c>
      <c r="AB74" t="n">
        <v>9.5</v>
      </c>
    </row>
    <row r="75">
      <c r="A75" t="inlineStr">
        <is>
          <t>2026-09-24 12:26:04</t>
        </is>
      </c>
      <c r="B75" t="inlineStr">
        <is>
          <t>MLLB_000_y1.0.3</t>
        </is>
      </c>
      <c r="C75" t="inlineStr">
        <is>
          <t>WHITE</t>
        </is>
      </c>
      <c r="D75" t="inlineStr">
        <is>
          <t>v4_white_MLLB_000_y103_0924</t>
        </is>
      </c>
      <c r="E75" t="n">
        <v>4.2</v>
      </c>
      <c r="F75" t="n">
        <v>4.2</v>
      </c>
      <c r="G75" t="n">
        <v>7</v>
      </c>
      <c r="H75" t="n">
        <v>60</v>
      </c>
      <c r="I75" t="n">
        <v>34</v>
      </c>
      <c r="J75" t="inlineStr">
        <is>
          <t>ince</t>
        </is>
      </c>
      <c r="K75" t="b">
        <v>1</v>
      </c>
      <c r="M75" t="n">
        <v>38</v>
      </c>
      <c r="N75" t="n">
        <v>28</v>
      </c>
      <c r="O75" t="n">
        <v>18</v>
      </c>
      <c r="P75" t="n">
        <v>964</v>
      </c>
      <c r="Q75" t="n">
        <v>1002</v>
      </c>
      <c r="R75" t="n">
        <v>2.663</v>
      </c>
      <c r="S75" t="n">
        <v>31.682</v>
      </c>
      <c r="T75" t="n">
        <v>11.899</v>
      </c>
      <c r="U75" t="n">
        <v>0.7776999999999999</v>
      </c>
      <c r="V75" t="b">
        <v>1</v>
      </c>
      <c r="X75" t="b">
        <v>0</v>
      </c>
      <c r="Y75" t="inlineStr">
        <is>
          <t>FLAS</t>
        </is>
      </c>
      <c r="Z75" t="n">
        <v>935</v>
      </c>
      <c r="AA75" t="n">
        <v>2.5</v>
      </c>
      <c r="AB75" t="n">
        <v>9.5</v>
      </c>
    </row>
    <row r="76">
      <c r="A76" t="inlineStr">
        <is>
          <t>2026-09-24 12:26:17</t>
        </is>
      </c>
      <c r="B76" t="inlineStr">
        <is>
          <t>MLLB_000_y1.0.3</t>
        </is>
      </c>
      <c r="C76" t="inlineStr">
        <is>
          <t>WHITE</t>
        </is>
      </c>
      <c r="D76" t="inlineStr">
        <is>
          <t>v4_white_MLLB_000_y103_0924</t>
        </is>
      </c>
      <c r="E76" t="n">
        <v>4.2</v>
      </c>
      <c r="F76" t="n">
        <v>4.2</v>
      </c>
      <c r="G76" t="n">
        <v>7</v>
      </c>
      <c r="H76" t="n">
        <v>60</v>
      </c>
      <c r="I76" t="n">
        <v>35</v>
      </c>
      <c r="J76" t="inlineStr">
        <is>
          <t>ince</t>
        </is>
      </c>
      <c r="K76" t="b">
        <v>1</v>
      </c>
      <c r="M76" t="n">
        <v>38</v>
      </c>
      <c r="N76" t="n">
        <v>28</v>
      </c>
      <c r="O76" t="n">
        <v>18</v>
      </c>
      <c r="P76" t="n">
        <v>964</v>
      </c>
      <c r="Q76" t="n">
        <v>1002</v>
      </c>
      <c r="R76" t="n">
        <v>3.546</v>
      </c>
      <c r="S76" t="n">
        <v>42.247</v>
      </c>
      <c r="T76" t="n">
        <v>11.915</v>
      </c>
      <c r="U76" t="n">
        <v>0.7774</v>
      </c>
      <c r="V76" t="b">
        <v>1</v>
      </c>
      <c r="X76" t="b">
        <v>0</v>
      </c>
      <c r="Y76" t="inlineStr">
        <is>
          <t>FLAS</t>
        </is>
      </c>
      <c r="Z76" t="n">
        <v>935</v>
      </c>
      <c r="AA76" t="n">
        <v>2.5</v>
      </c>
      <c r="AB76" t="n">
        <v>9.5</v>
      </c>
    </row>
    <row r="77">
      <c r="A77" t="inlineStr">
        <is>
          <t>2026-09-24 12:26:17</t>
        </is>
      </c>
      <c r="B77" t="inlineStr">
        <is>
          <t>MLLB_000_y1.0.3</t>
        </is>
      </c>
      <c r="C77" t="inlineStr">
        <is>
          <t>WHITE</t>
        </is>
      </c>
      <c r="D77" t="inlineStr">
        <is>
          <t>v4_white_MLLB_000_y103_0924</t>
        </is>
      </c>
      <c r="E77" t="n">
        <v>4.2</v>
      </c>
      <c r="F77" t="n">
        <v>4.2</v>
      </c>
      <c r="G77" t="n">
        <v>7</v>
      </c>
      <c r="H77" t="n">
        <v>60</v>
      </c>
      <c r="J77" t="inlineStr">
        <is>
          <t>bitti</t>
        </is>
      </c>
      <c r="K77" t="b">
        <v>0</v>
      </c>
      <c r="Z77" t="n">
        <v>935</v>
      </c>
      <c r="AA77" t="n">
        <v>2.5</v>
      </c>
      <c r="AB77" t="n">
        <v>9.5</v>
      </c>
    </row>
    <row r="78">
      <c r="A78" t="inlineStr">
        <is>
          <t>2026-09-24 12:26:56</t>
        </is>
      </c>
      <c r="B78" t="inlineStr">
        <is>
          <t>MLLB_000_y1.0.3</t>
        </is>
      </c>
      <c r="C78" t="inlineStr">
        <is>
          <t>WHITE</t>
        </is>
      </c>
      <c r="D78" t="inlineStr">
        <is>
          <t>v4_white_MLLB_000_y103_0924</t>
        </is>
      </c>
      <c r="E78" t="n">
        <v>4.2</v>
      </c>
      <c r="F78" t="n">
        <v>4.2</v>
      </c>
      <c r="G78" t="n">
        <v>8</v>
      </c>
      <c r="H78" t="n">
        <v>100</v>
      </c>
      <c r="I78" t="n">
        <v>12</v>
      </c>
      <c r="J78" t="inlineStr">
        <is>
          <t>kaba</t>
        </is>
      </c>
      <c r="K78" t="b">
        <v>1</v>
      </c>
      <c r="M78" t="n">
        <v>138</v>
      </c>
      <c r="N78" t="n">
        <v>42</v>
      </c>
      <c r="O78" t="n">
        <v>114</v>
      </c>
      <c r="P78" t="n">
        <v>864</v>
      </c>
      <c r="Q78" t="n">
        <v>1002</v>
      </c>
      <c r="R78" t="n">
        <v>1.086</v>
      </c>
      <c r="S78" t="n">
        <v>15.435</v>
      </c>
      <c r="T78" t="n">
        <v>14.219</v>
      </c>
      <c r="U78" t="n">
        <v>0.7776</v>
      </c>
      <c r="V78" t="b">
        <v>1</v>
      </c>
      <c r="X78" t="b">
        <v>0</v>
      </c>
      <c r="Y78" t="inlineStr">
        <is>
          <t>ON</t>
        </is>
      </c>
      <c r="Z78" t="n">
        <v>935</v>
      </c>
      <c r="AA78" t="n">
        <v>2.5</v>
      </c>
      <c r="AB78" t="n">
        <v>9.5</v>
      </c>
    </row>
    <row r="79">
      <c r="A79" t="inlineStr">
        <is>
          <t>2026-09-24 12:27:12</t>
        </is>
      </c>
      <c r="B79" t="inlineStr">
        <is>
          <t>MLLB_000_y1.0.3</t>
        </is>
      </c>
      <c r="C79" t="inlineStr">
        <is>
          <t>WHITE</t>
        </is>
      </c>
      <c r="D79" t="inlineStr">
        <is>
          <t>v4_white_MLLB_000_y103_0924</t>
        </is>
      </c>
      <c r="E79" t="n">
        <v>4.2</v>
      </c>
      <c r="F79" t="n">
        <v>4.2</v>
      </c>
      <c r="G79" t="n">
        <v>8</v>
      </c>
      <c r="H79" t="n">
        <v>100</v>
      </c>
      <c r="I79" t="n">
        <v>16</v>
      </c>
      <c r="J79" t="inlineStr">
        <is>
          <t>kaba</t>
        </is>
      </c>
      <c r="K79" t="b">
        <v>1</v>
      </c>
      <c r="M79" t="n">
        <v>80</v>
      </c>
      <c r="N79" t="n">
        <v>36</v>
      </c>
      <c r="O79" t="n">
        <v>58</v>
      </c>
      <c r="P79" t="n">
        <v>922</v>
      </c>
      <c r="Q79" t="n">
        <v>1002</v>
      </c>
      <c r="R79" t="n">
        <v>1.081</v>
      </c>
      <c r="S79" t="n">
        <v>15.421</v>
      </c>
      <c r="T79" t="n">
        <v>14.267</v>
      </c>
      <c r="U79" t="n">
        <v>0.7773</v>
      </c>
      <c r="V79" t="b">
        <v>1</v>
      </c>
      <c r="X79" t="b">
        <v>0</v>
      </c>
      <c r="Y79" t="inlineStr">
        <is>
          <t>ON</t>
        </is>
      </c>
      <c r="Z79" t="n">
        <v>935</v>
      </c>
      <c r="AA79" t="n">
        <v>2.5</v>
      </c>
      <c r="AB79" t="n">
        <v>9.5</v>
      </c>
    </row>
    <row r="80">
      <c r="A80" t="inlineStr">
        <is>
          <t>2026-09-24 12:27:28</t>
        </is>
      </c>
      <c r="B80" t="inlineStr">
        <is>
          <t>MLLB_000_y1.0.3</t>
        </is>
      </c>
      <c r="C80" t="inlineStr">
        <is>
          <t>WHITE</t>
        </is>
      </c>
      <c r="D80" t="inlineStr">
        <is>
          <t>v4_white_MLLB_000_y103_0924</t>
        </is>
      </c>
      <c r="E80" t="n">
        <v>4.2</v>
      </c>
      <c r="F80" t="n">
        <v>4.2</v>
      </c>
      <c r="G80" t="n">
        <v>8</v>
      </c>
      <c r="H80" t="n">
        <v>100</v>
      </c>
      <c r="I80" t="n">
        <v>20</v>
      </c>
      <c r="J80" t="inlineStr">
        <is>
          <t>kaba</t>
        </is>
      </c>
      <c r="K80" t="b">
        <v>1</v>
      </c>
      <c r="M80" t="n">
        <v>28</v>
      </c>
      <c r="N80" t="n">
        <v>32</v>
      </c>
      <c r="O80" t="n">
        <v>6</v>
      </c>
      <c r="P80" t="n">
        <v>974</v>
      </c>
      <c r="Q80" t="n">
        <v>1002</v>
      </c>
      <c r="R80" t="n">
        <v>1.081</v>
      </c>
      <c r="S80" t="n">
        <v>15.43</v>
      </c>
      <c r="T80" t="n">
        <v>14.267</v>
      </c>
      <c r="U80" t="n">
        <v>0.7776</v>
      </c>
      <c r="V80" t="b">
        <v>1</v>
      </c>
      <c r="X80" t="b">
        <v>1</v>
      </c>
      <c r="Z80" t="n">
        <v>935</v>
      </c>
      <c r="AA80" t="n">
        <v>2.5</v>
      </c>
      <c r="AB80" t="n">
        <v>9.5</v>
      </c>
    </row>
    <row r="81">
      <c r="A81" t="inlineStr">
        <is>
          <t>2026-09-24 12:27:44</t>
        </is>
      </c>
      <c r="B81" t="inlineStr">
        <is>
          <t>MLLB_000_y1.0.3</t>
        </is>
      </c>
      <c r="C81" t="inlineStr">
        <is>
          <t>WHITE</t>
        </is>
      </c>
      <c r="D81" t="inlineStr">
        <is>
          <t>v4_white_MLLB_000_y103_0924</t>
        </is>
      </c>
      <c r="E81" t="n">
        <v>4.2</v>
      </c>
      <c r="F81" t="n">
        <v>4.2</v>
      </c>
      <c r="G81" t="n">
        <v>8</v>
      </c>
      <c r="H81" t="n">
        <v>100</v>
      </c>
      <c r="I81" t="n">
        <v>24</v>
      </c>
      <c r="J81" t="inlineStr">
        <is>
          <t>kaba</t>
        </is>
      </c>
      <c r="K81" t="b">
        <v>1</v>
      </c>
      <c r="M81" t="n">
        <v>26</v>
      </c>
      <c r="N81" t="n">
        <v>32</v>
      </c>
      <c r="O81" t="n">
        <v>6</v>
      </c>
      <c r="P81" t="n">
        <v>976</v>
      </c>
      <c r="Q81" t="n">
        <v>1002</v>
      </c>
      <c r="R81" t="n">
        <v>5.738</v>
      </c>
      <c r="S81" t="n">
        <v>81.952</v>
      </c>
      <c r="T81" t="n">
        <v>14.282</v>
      </c>
      <c r="U81" t="n">
        <v>0.7769</v>
      </c>
      <c r="V81" t="b">
        <v>1</v>
      </c>
      <c r="X81" t="b">
        <v>0</v>
      </c>
      <c r="Y81" t="inlineStr">
        <is>
          <t>FLAS</t>
        </is>
      </c>
      <c r="Z81" t="n">
        <v>935</v>
      </c>
      <c r="AA81" t="n">
        <v>2.5</v>
      </c>
      <c r="AB81" t="n">
        <v>9.5</v>
      </c>
    </row>
    <row r="82">
      <c r="A82" t="inlineStr">
        <is>
          <t>2026-09-24 12:28:00</t>
        </is>
      </c>
      <c r="B82" t="inlineStr">
        <is>
          <t>MLLB_000_y1.0.3</t>
        </is>
      </c>
      <c r="C82" t="inlineStr">
        <is>
          <t>WHITE</t>
        </is>
      </c>
      <c r="D82" t="inlineStr">
        <is>
          <t>v4_white_MLLB_000_y103_0924</t>
        </is>
      </c>
      <c r="E82" t="n">
        <v>4.2</v>
      </c>
      <c r="F82" t="n">
        <v>4.2</v>
      </c>
      <c r="G82" t="n">
        <v>8</v>
      </c>
      <c r="H82" t="n">
        <v>100</v>
      </c>
      <c r="I82" t="n">
        <v>28</v>
      </c>
      <c r="J82" t="inlineStr">
        <is>
          <t>kaba</t>
        </is>
      </c>
      <c r="K82" t="b">
        <v>1</v>
      </c>
      <c r="M82" t="n">
        <v>28</v>
      </c>
      <c r="N82" t="n">
        <v>32</v>
      </c>
      <c r="O82" t="n">
        <v>6</v>
      </c>
      <c r="P82" t="n">
        <v>974</v>
      </c>
      <c r="Q82" t="n">
        <v>1002</v>
      </c>
      <c r="R82" t="n">
        <v>9.691000000000001</v>
      </c>
      <c r="S82" t="n">
        <v>138.431</v>
      </c>
      <c r="T82" t="n">
        <v>14.285</v>
      </c>
      <c r="U82" t="n">
        <v>0.7779</v>
      </c>
      <c r="V82" t="b">
        <v>1</v>
      </c>
      <c r="X82" t="b">
        <v>0</v>
      </c>
      <c r="Y82" t="inlineStr">
        <is>
          <t>FLAS</t>
        </is>
      </c>
      <c r="Z82" t="n">
        <v>935</v>
      </c>
      <c r="AA82" t="n">
        <v>2.5</v>
      </c>
      <c r="AB82" t="n">
        <v>9.5</v>
      </c>
    </row>
    <row r="83">
      <c r="A83" t="inlineStr">
        <is>
          <t>2026-09-24 12:28:16</t>
        </is>
      </c>
      <c r="B83" t="inlineStr">
        <is>
          <t>MLLB_000_y1.0.3</t>
        </is>
      </c>
      <c r="C83" t="inlineStr">
        <is>
          <t>WHITE</t>
        </is>
      </c>
      <c r="D83" t="inlineStr">
        <is>
          <t>v4_white_MLLB_000_y103_0924</t>
        </is>
      </c>
      <c r="E83" t="n">
        <v>4.2</v>
      </c>
      <c r="F83" t="n">
        <v>4.2</v>
      </c>
      <c r="G83" t="n">
        <v>8</v>
      </c>
      <c r="H83" t="n">
        <v>100</v>
      </c>
      <c r="I83" t="n">
        <v>17</v>
      </c>
      <c r="J83" t="inlineStr">
        <is>
          <t>ince</t>
        </is>
      </c>
      <c r="K83" t="b">
        <v>1</v>
      </c>
      <c r="M83" t="n">
        <v>66</v>
      </c>
      <c r="N83" t="n">
        <v>40</v>
      </c>
      <c r="O83" t="n">
        <v>42</v>
      </c>
      <c r="P83" t="n">
        <v>936</v>
      </c>
      <c r="Q83" t="n">
        <v>1002</v>
      </c>
      <c r="R83" t="n">
        <v>1.082</v>
      </c>
      <c r="S83" t="n">
        <v>15.421</v>
      </c>
      <c r="T83" t="n">
        <v>14.249</v>
      </c>
      <c r="U83" t="n">
        <v>0.7773</v>
      </c>
      <c r="V83" t="b">
        <v>1</v>
      </c>
      <c r="X83" t="b">
        <v>1</v>
      </c>
      <c r="Z83" t="n">
        <v>935</v>
      </c>
      <c r="AA83" t="n">
        <v>2.5</v>
      </c>
      <c r="AB83" t="n">
        <v>9.5</v>
      </c>
    </row>
    <row r="84">
      <c r="A84" t="inlineStr">
        <is>
          <t>2026-09-24 12:28:32</t>
        </is>
      </c>
      <c r="B84" t="inlineStr">
        <is>
          <t>MLLB_000_y1.0.3</t>
        </is>
      </c>
      <c r="C84" t="inlineStr">
        <is>
          <t>WHITE</t>
        </is>
      </c>
      <c r="D84" t="inlineStr">
        <is>
          <t>v4_white_MLLB_000_y103_0924</t>
        </is>
      </c>
      <c r="E84" t="n">
        <v>4.2</v>
      </c>
      <c r="F84" t="n">
        <v>4.2</v>
      </c>
      <c r="G84" t="n">
        <v>8</v>
      </c>
      <c r="H84" t="n">
        <v>100</v>
      </c>
      <c r="I84" t="n">
        <v>18</v>
      </c>
      <c r="J84" t="inlineStr">
        <is>
          <t>ince</t>
        </is>
      </c>
      <c r="K84" t="b">
        <v>1</v>
      </c>
      <c r="M84" t="n">
        <v>52</v>
      </c>
      <c r="N84" t="n">
        <v>38</v>
      </c>
      <c r="O84" t="n">
        <v>28</v>
      </c>
      <c r="P84" t="n">
        <v>950</v>
      </c>
      <c r="Q84" t="n">
        <v>1002</v>
      </c>
      <c r="R84" t="n">
        <v>1.081</v>
      </c>
      <c r="S84" t="n">
        <v>15.421</v>
      </c>
      <c r="T84" t="n">
        <v>14.272</v>
      </c>
      <c r="U84" t="n">
        <v>0.7766999999999999</v>
      </c>
      <c r="V84" t="b">
        <v>1</v>
      </c>
      <c r="X84" t="b">
        <v>1</v>
      </c>
      <c r="Z84" t="n">
        <v>935</v>
      </c>
      <c r="AA84" t="n">
        <v>2.5</v>
      </c>
      <c r="AB84" t="n">
        <v>9.5</v>
      </c>
    </row>
    <row r="85">
      <c r="A85" t="inlineStr">
        <is>
          <t>2026-09-24 12:28:48</t>
        </is>
      </c>
      <c r="B85" t="inlineStr">
        <is>
          <t>MLLB_000_y1.0.3</t>
        </is>
      </c>
      <c r="C85" t="inlineStr">
        <is>
          <t>WHITE</t>
        </is>
      </c>
      <c r="D85" t="inlineStr">
        <is>
          <t>v4_white_MLLB_000_y103_0924</t>
        </is>
      </c>
      <c r="E85" t="n">
        <v>4.2</v>
      </c>
      <c r="F85" t="n">
        <v>4.2</v>
      </c>
      <c r="G85" t="n">
        <v>8</v>
      </c>
      <c r="H85" t="n">
        <v>100</v>
      </c>
      <c r="I85" t="n">
        <v>19</v>
      </c>
      <c r="J85" t="inlineStr">
        <is>
          <t>ince</t>
        </is>
      </c>
      <c r="K85" t="b">
        <v>1</v>
      </c>
      <c r="M85" t="n">
        <v>36</v>
      </c>
      <c r="N85" t="n">
        <v>38</v>
      </c>
      <c r="O85" t="n">
        <v>12</v>
      </c>
      <c r="P85" t="n">
        <v>966</v>
      </c>
      <c r="Q85" t="n">
        <v>1002</v>
      </c>
      <c r="R85" t="n">
        <v>1.081</v>
      </c>
      <c r="S85" t="n">
        <v>15.421</v>
      </c>
      <c r="T85" t="n">
        <v>14.263</v>
      </c>
      <c r="U85" t="n">
        <v>0.7772</v>
      </c>
      <c r="V85" t="b">
        <v>1</v>
      </c>
      <c r="X85" t="b">
        <v>1</v>
      </c>
      <c r="Z85" t="n">
        <v>935</v>
      </c>
      <c r="AA85" t="n">
        <v>2.5</v>
      </c>
      <c r="AB85" t="n">
        <v>9.5</v>
      </c>
    </row>
    <row r="86">
      <c r="A86" t="inlineStr">
        <is>
          <t>2026-09-24 12:29:04</t>
        </is>
      </c>
      <c r="B86" t="inlineStr">
        <is>
          <t>MLLB_000_y1.0.3</t>
        </is>
      </c>
      <c r="C86" t="inlineStr">
        <is>
          <t>WHITE</t>
        </is>
      </c>
      <c r="D86" t="inlineStr">
        <is>
          <t>v4_white_MLLB_000_y103_0924</t>
        </is>
      </c>
      <c r="E86" t="n">
        <v>4.2</v>
      </c>
      <c r="F86" t="n">
        <v>4.2</v>
      </c>
      <c r="G86" t="n">
        <v>8</v>
      </c>
      <c r="H86" t="n">
        <v>100</v>
      </c>
      <c r="I86" t="n">
        <v>21</v>
      </c>
      <c r="J86" t="inlineStr">
        <is>
          <t>ince</t>
        </is>
      </c>
      <c r="K86" t="b">
        <v>1</v>
      </c>
      <c r="M86" t="n">
        <v>26</v>
      </c>
      <c r="N86" t="n">
        <v>32</v>
      </c>
      <c r="O86" t="n">
        <v>6</v>
      </c>
      <c r="P86" t="n">
        <v>976</v>
      </c>
      <c r="Q86" t="n">
        <v>1002</v>
      </c>
      <c r="R86" t="n">
        <v>1.702</v>
      </c>
      <c r="S86" t="n">
        <v>24.265</v>
      </c>
      <c r="T86" t="n">
        <v>14.256</v>
      </c>
      <c r="U86" t="n">
        <v>0.7776</v>
      </c>
      <c r="V86" t="b">
        <v>1</v>
      </c>
      <c r="X86" t="b">
        <v>1</v>
      </c>
      <c r="Z86" t="n">
        <v>935</v>
      </c>
      <c r="AA86" t="n">
        <v>2.5</v>
      </c>
      <c r="AB86" t="n">
        <v>9.5</v>
      </c>
    </row>
    <row r="87">
      <c r="A87" t="inlineStr">
        <is>
          <t>2026-09-24 12:29:20</t>
        </is>
      </c>
      <c r="B87" t="inlineStr">
        <is>
          <t>MLLB_000_y1.0.3</t>
        </is>
      </c>
      <c r="C87" t="inlineStr">
        <is>
          <t>WHITE</t>
        </is>
      </c>
      <c r="D87" t="inlineStr">
        <is>
          <t>v4_white_MLLB_000_y103_0924</t>
        </is>
      </c>
      <c r="E87" t="n">
        <v>4.2</v>
      </c>
      <c r="F87" t="n">
        <v>4.2</v>
      </c>
      <c r="G87" t="n">
        <v>8</v>
      </c>
      <c r="H87" t="n">
        <v>100</v>
      </c>
      <c r="I87" t="n">
        <v>22</v>
      </c>
      <c r="J87" t="inlineStr">
        <is>
          <t>ince</t>
        </is>
      </c>
      <c r="K87" t="b">
        <v>1</v>
      </c>
      <c r="M87" t="n">
        <v>28</v>
      </c>
      <c r="N87" t="n">
        <v>32</v>
      </c>
      <c r="O87" t="n">
        <v>6</v>
      </c>
      <c r="P87" t="n">
        <v>974</v>
      </c>
      <c r="Q87" t="n">
        <v>1002</v>
      </c>
      <c r="R87" t="n">
        <v>3.058</v>
      </c>
      <c r="S87" t="n">
        <v>43.61</v>
      </c>
      <c r="T87" t="n">
        <v>14.261</v>
      </c>
      <c r="U87" t="n">
        <v>0.7771</v>
      </c>
      <c r="V87" t="b">
        <v>1</v>
      </c>
      <c r="X87" t="b">
        <v>0</v>
      </c>
      <c r="Y87" t="inlineStr">
        <is>
          <t>FLAS</t>
        </is>
      </c>
      <c r="Z87" t="n">
        <v>935</v>
      </c>
      <c r="AA87" t="n">
        <v>2.5</v>
      </c>
      <c r="AB87" t="n">
        <v>9.5</v>
      </c>
    </row>
    <row r="88">
      <c r="A88" t="inlineStr">
        <is>
          <t>2026-09-24 12:29:36</t>
        </is>
      </c>
      <c r="B88" t="inlineStr">
        <is>
          <t>MLLB_000_y1.0.3</t>
        </is>
      </c>
      <c r="C88" t="inlineStr">
        <is>
          <t>WHITE</t>
        </is>
      </c>
      <c r="D88" t="inlineStr">
        <is>
          <t>v4_white_MLLB_000_y103_0924</t>
        </is>
      </c>
      <c r="E88" t="n">
        <v>4.2</v>
      </c>
      <c r="F88" t="n">
        <v>4.2</v>
      </c>
      <c r="G88" t="n">
        <v>8</v>
      </c>
      <c r="H88" t="n">
        <v>100</v>
      </c>
      <c r="I88" t="n">
        <v>23</v>
      </c>
      <c r="J88" t="inlineStr">
        <is>
          <t>ince</t>
        </is>
      </c>
      <c r="K88" t="b">
        <v>1</v>
      </c>
      <c r="M88" t="n">
        <v>26</v>
      </c>
      <c r="N88" t="n">
        <v>32</v>
      </c>
      <c r="O88" t="n">
        <v>6</v>
      </c>
      <c r="P88" t="n">
        <v>976</v>
      </c>
      <c r="Q88" t="n">
        <v>1002</v>
      </c>
      <c r="R88" t="n">
        <v>4.366</v>
      </c>
      <c r="S88" t="n">
        <v>62.269</v>
      </c>
      <c r="T88" t="n">
        <v>14.261</v>
      </c>
      <c r="U88" t="n">
        <v>0.7774</v>
      </c>
      <c r="V88" t="b">
        <v>1</v>
      </c>
      <c r="X88" t="b">
        <v>0</v>
      </c>
      <c r="Y88" t="inlineStr">
        <is>
          <t>FLAS</t>
        </is>
      </c>
      <c r="Z88" t="n">
        <v>935</v>
      </c>
      <c r="AA88" t="n">
        <v>2.5</v>
      </c>
      <c r="AB88" t="n">
        <v>9.5</v>
      </c>
    </row>
    <row r="89">
      <c r="A89" t="inlineStr">
        <is>
          <t>2026-09-24 12:29:36</t>
        </is>
      </c>
      <c r="B89" t="inlineStr">
        <is>
          <t>MLLB_000_y1.0.3</t>
        </is>
      </c>
      <c r="C89" t="inlineStr">
        <is>
          <t>WHITE</t>
        </is>
      </c>
      <c r="D89" t="inlineStr">
        <is>
          <t>v4_white_MLLB_000_y103_0924</t>
        </is>
      </c>
      <c r="E89" t="n">
        <v>4.2</v>
      </c>
      <c r="F89" t="n">
        <v>4.2</v>
      </c>
      <c r="G89" t="n">
        <v>8</v>
      </c>
      <c r="H89" t="n">
        <v>100</v>
      </c>
      <c r="J89" t="inlineStr">
        <is>
          <t>bitti</t>
        </is>
      </c>
      <c r="K89" t="b">
        <v>0</v>
      </c>
      <c r="Z89" t="n">
        <v>935</v>
      </c>
      <c r="AA89" t="n">
        <v>2.5</v>
      </c>
      <c r="AB89" t="n">
        <v>9.5</v>
      </c>
    </row>
    <row r="90">
      <c r="A90" t="inlineStr">
        <is>
          <t>2026-09-24 12:29:52</t>
        </is>
      </c>
      <c r="B90" t="inlineStr">
        <is>
          <t>MLLB_000_y1.0.3</t>
        </is>
      </c>
      <c r="C90" t="inlineStr">
        <is>
          <t>WHITE</t>
        </is>
      </c>
      <c r="D90" t="inlineStr">
        <is>
          <t>v4_white_MLLB_000_y103_0924</t>
        </is>
      </c>
      <c r="E90" t="n">
        <v>4.2</v>
      </c>
      <c r="F90" t="n">
        <v>4.2</v>
      </c>
      <c r="G90" t="n">
        <v>8</v>
      </c>
      <c r="H90" t="n">
        <v>80</v>
      </c>
      <c r="I90" t="n">
        <v>12</v>
      </c>
      <c r="J90" t="inlineStr">
        <is>
          <t>kaba</t>
        </is>
      </c>
      <c r="K90" t="b">
        <v>1</v>
      </c>
      <c r="M90" t="n">
        <v>166</v>
      </c>
      <c r="N90" t="n">
        <v>40</v>
      </c>
      <c r="O90" t="n">
        <v>142</v>
      </c>
      <c r="P90" t="n">
        <v>836</v>
      </c>
      <c r="Q90" t="n">
        <v>1002</v>
      </c>
      <c r="R90" t="n">
        <v>1.084</v>
      </c>
      <c r="S90" t="n">
        <v>15.374</v>
      </c>
      <c r="T90" t="n">
        <v>14.182</v>
      </c>
      <c r="U90" t="n">
        <v>0.7781</v>
      </c>
      <c r="V90" t="b">
        <v>1</v>
      </c>
      <c r="X90" t="b">
        <v>0</v>
      </c>
      <c r="Y90" t="inlineStr">
        <is>
          <t>ON</t>
        </is>
      </c>
      <c r="Z90" t="n">
        <v>935</v>
      </c>
      <c r="AA90" t="n">
        <v>2.5</v>
      </c>
      <c r="AB90" t="n">
        <v>9.5</v>
      </c>
    </row>
    <row r="91">
      <c r="A91" t="inlineStr">
        <is>
          <t>2026-09-24 12:30:08</t>
        </is>
      </c>
      <c r="B91" t="inlineStr">
        <is>
          <t>MLLB_000_y1.0.3</t>
        </is>
      </c>
      <c r="C91" t="inlineStr">
        <is>
          <t>WHITE</t>
        </is>
      </c>
      <c r="D91" t="inlineStr">
        <is>
          <t>v4_white_MLLB_000_y103_0924</t>
        </is>
      </c>
      <c r="E91" t="n">
        <v>4.2</v>
      </c>
      <c r="F91" t="n">
        <v>4.2</v>
      </c>
      <c r="G91" t="n">
        <v>8</v>
      </c>
      <c r="H91" t="n">
        <v>80</v>
      </c>
      <c r="I91" t="n">
        <v>16</v>
      </c>
      <c r="J91" t="inlineStr">
        <is>
          <t>kaba</t>
        </is>
      </c>
      <c r="K91" t="b">
        <v>1</v>
      </c>
      <c r="M91" t="n">
        <v>120</v>
      </c>
      <c r="N91" t="n">
        <v>36</v>
      </c>
      <c r="O91" t="n">
        <v>98</v>
      </c>
      <c r="P91" t="n">
        <v>882</v>
      </c>
      <c r="Q91" t="n">
        <v>1002</v>
      </c>
      <c r="R91" t="n">
        <v>1.085</v>
      </c>
      <c r="S91" t="n">
        <v>15.421</v>
      </c>
      <c r="T91" t="n">
        <v>14.217</v>
      </c>
      <c r="U91" t="n">
        <v>0.7776</v>
      </c>
      <c r="V91" t="b">
        <v>1</v>
      </c>
      <c r="X91" t="b">
        <v>0</v>
      </c>
      <c r="Y91" t="inlineStr">
        <is>
          <t>ON</t>
        </is>
      </c>
      <c r="Z91" t="n">
        <v>935</v>
      </c>
      <c r="AA91" t="n">
        <v>2.5</v>
      </c>
      <c r="AB91" t="n">
        <v>9.5</v>
      </c>
    </row>
    <row r="92">
      <c r="A92" t="inlineStr">
        <is>
          <t>2026-09-24 12:30:24</t>
        </is>
      </c>
      <c r="B92" t="inlineStr">
        <is>
          <t>MLLB_000_y1.0.3</t>
        </is>
      </c>
      <c r="C92" t="inlineStr">
        <is>
          <t>WHITE</t>
        </is>
      </c>
      <c r="D92" t="inlineStr">
        <is>
          <t>v4_white_MLLB_000_y103_0924</t>
        </is>
      </c>
      <c r="E92" t="n">
        <v>4.2</v>
      </c>
      <c r="F92" t="n">
        <v>4.2</v>
      </c>
      <c r="G92" t="n">
        <v>8</v>
      </c>
      <c r="H92" t="n">
        <v>80</v>
      </c>
      <c r="I92" t="n">
        <v>20</v>
      </c>
      <c r="J92" t="inlineStr">
        <is>
          <t>kaba</t>
        </is>
      </c>
      <c r="K92" t="b">
        <v>1</v>
      </c>
      <c r="M92" t="n">
        <v>74</v>
      </c>
      <c r="N92" t="n">
        <v>40</v>
      </c>
      <c r="O92" t="n">
        <v>50</v>
      </c>
      <c r="P92" t="n">
        <v>928</v>
      </c>
      <c r="Q92" t="n">
        <v>1002</v>
      </c>
      <c r="R92" t="n">
        <v>1.081</v>
      </c>
      <c r="S92" t="n">
        <v>15.421</v>
      </c>
      <c r="T92" t="n">
        <v>14.267</v>
      </c>
      <c r="U92" t="n">
        <v>0.7766999999999999</v>
      </c>
      <c r="V92" t="b">
        <v>1</v>
      </c>
      <c r="X92" t="b">
        <v>0</v>
      </c>
      <c r="Y92" t="inlineStr">
        <is>
          <t>ON</t>
        </is>
      </c>
      <c r="Z92" t="n">
        <v>935</v>
      </c>
      <c r="AA92" t="n">
        <v>2.5</v>
      </c>
      <c r="AB92" t="n">
        <v>9.5</v>
      </c>
    </row>
    <row r="93">
      <c r="A93" t="inlineStr">
        <is>
          <t>2026-09-24 12:30:40</t>
        </is>
      </c>
      <c r="B93" t="inlineStr">
        <is>
          <t>MLLB_000_y1.0.3</t>
        </is>
      </c>
      <c r="C93" t="inlineStr">
        <is>
          <t>WHITE</t>
        </is>
      </c>
      <c r="D93" t="inlineStr">
        <is>
          <t>v4_white_MLLB_000_y103_0924</t>
        </is>
      </c>
      <c r="E93" t="n">
        <v>4.2</v>
      </c>
      <c r="F93" t="n">
        <v>4.2</v>
      </c>
      <c r="G93" t="n">
        <v>8</v>
      </c>
      <c r="H93" t="n">
        <v>80</v>
      </c>
      <c r="I93" t="n">
        <v>24</v>
      </c>
      <c r="J93" t="inlineStr">
        <is>
          <t>kaba</t>
        </is>
      </c>
      <c r="K93" t="b">
        <v>1</v>
      </c>
      <c r="M93" t="n">
        <v>30</v>
      </c>
      <c r="N93" t="n">
        <v>32</v>
      </c>
      <c r="O93" t="n">
        <v>10</v>
      </c>
      <c r="P93" t="n">
        <v>972</v>
      </c>
      <c r="Q93" t="n">
        <v>1002</v>
      </c>
      <c r="R93" t="n">
        <v>1.08</v>
      </c>
      <c r="S93" t="n">
        <v>15.421</v>
      </c>
      <c r="T93" t="n">
        <v>14.279</v>
      </c>
      <c r="U93" t="n">
        <v>0.777</v>
      </c>
      <c r="V93" t="b">
        <v>1</v>
      </c>
      <c r="X93" t="b">
        <v>1</v>
      </c>
      <c r="Z93" t="n">
        <v>935</v>
      </c>
      <c r="AA93" t="n">
        <v>2.5</v>
      </c>
      <c r="AB93" t="n">
        <v>9.5</v>
      </c>
    </row>
    <row r="94">
      <c r="A94" t="inlineStr">
        <is>
          <t>2026-09-24 12:30:56</t>
        </is>
      </c>
      <c r="B94" t="inlineStr">
        <is>
          <t>MLLB_000_y1.0.3</t>
        </is>
      </c>
      <c r="C94" t="inlineStr">
        <is>
          <t>WHITE</t>
        </is>
      </c>
      <c r="D94" t="inlineStr">
        <is>
          <t>v4_white_MLLB_000_y103_0924</t>
        </is>
      </c>
      <c r="E94" t="n">
        <v>4.2</v>
      </c>
      <c r="F94" t="n">
        <v>4.2</v>
      </c>
      <c r="G94" t="n">
        <v>8</v>
      </c>
      <c r="H94" t="n">
        <v>80</v>
      </c>
      <c r="I94" t="n">
        <v>28</v>
      </c>
      <c r="J94" t="inlineStr">
        <is>
          <t>kaba</t>
        </is>
      </c>
      <c r="K94" t="b">
        <v>1</v>
      </c>
      <c r="M94" t="n">
        <v>30</v>
      </c>
      <c r="N94" t="n">
        <v>32</v>
      </c>
      <c r="O94" t="n">
        <v>10</v>
      </c>
      <c r="P94" t="n">
        <v>972</v>
      </c>
      <c r="Q94" t="n">
        <v>1002</v>
      </c>
      <c r="R94" t="n">
        <v>5.055</v>
      </c>
      <c r="S94" t="n">
        <v>72.158</v>
      </c>
      <c r="T94" t="n">
        <v>14.274</v>
      </c>
      <c r="U94" t="n">
        <v>0.7774</v>
      </c>
      <c r="V94" t="b">
        <v>1</v>
      </c>
      <c r="X94" t="b">
        <v>0</v>
      </c>
      <c r="Y94" t="inlineStr">
        <is>
          <t>FLAS</t>
        </is>
      </c>
      <c r="Z94" t="n">
        <v>935</v>
      </c>
      <c r="AA94" t="n">
        <v>2.5</v>
      </c>
      <c r="AB94" t="n">
        <v>9.5</v>
      </c>
    </row>
    <row r="95">
      <c r="A95" t="inlineStr">
        <is>
          <t>2026-09-24 12:31:12</t>
        </is>
      </c>
      <c r="B95" t="inlineStr">
        <is>
          <t>MLLB_000_y1.0.3</t>
        </is>
      </c>
      <c r="C95" t="inlineStr">
        <is>
          <t>WHITE</t>
        </is>
      </c>
      <c r="D95" t="inlineStr">
        <is>
          <t>v4_white_MLLB_000_y103_0924</t>
        </is>
      </c>
      <c r="E95" t="n">
        <v>4.2</v>
      </c>
      <c r="F95" t="n">
        <v>4.2</v>
      </c>
      <c r="G95" t="n">
        <v>8</v>
      </c>
      <c r="H95" t="n">
        <v>80</v>
      </c>
      <c r="I95" t="n">
        <v>32</v>
      </c>
      <c r="J95" t="inlineStr">
        <is>
          <t>kaba</t>
        </is>
      </c>
      <c r="K95" t="b">
        <v>1</v>
      </c>
      <c r="M95" t="n">
        <v>32</v>
      </c>
      <c r="N95" t="n">
        <v>32</v>
      </c>
      <c r="O95" t="n">
        <v>10</v>
      </c>
      <c r="P95" t="n">
        <v>970</v>
      </c>
      <c r="Q95" t="n">
        <v>1002</v>
      </c>
      <c r="R95" t="n">
        <v>7.375</v>
      </c>
      <c r="S95" t="n">
        <v>105.201</v>
      </c>
      <c r="T95" t="n">
        <v>14.264</v>
      </c>
      <c r="U95" t="n">
        <v>0.7776999999999999</v>
      </c>
      <c r="V95" t="b">
        <v>1</v>
      </c>
      <c r="X95" t="b">
        <v>0</v>
      </c>
      <c r="Y95" t="inlineStr">
        <is>
          <t>FLAS</t>
        </is>
      </c>
      <c r="Z95" t="n">
        <v>935</v>
      </c>
      <c r="AA95" t="n">
        <v>2.5</v>
      </c>
      <c r="AB95" t="n">
        <v>9.5</v>
      </c>
    </row>
    <row r="96">
      <c r="A96" t="inlineStr">
        <is>
          <t>2026-09-24 12:31:28</t>
        </is>
      </c>
      <c r="B96" t="inlineStr">
        <is>
          <t>MLLB_000_y1.0.3</t>
        </is>
      </c>
      <c r="C96" t="inlineStr">
        <is>
          <t>WHITE</t>
        </is>
      </c>
      <c r="D96" t="inlineStr">
        <is>
          <t>v4_white_MLLB_000_y103_0924</t>
        </is>
      </c>
      <c r="E96" t="n">
        <v>4.2</v>
      </c>
      <c r="F96" t="n">
        <v>4.2</v>
      </c>
      <c r="G96" t="n">
        <v>8</v>
      </c>
      <c r="H96" t="n">
        <v>80</v>
      </c>
      <c r="I96" t="n">
        <v>21</v>
      </c>
      <c r="J96" t="inlineStr">
        <is>
          <t>ince</t>
        </is>
      </c>
      <c r="K96" t="b">
        <v>1</v>
      </c>
      <c r="M96" t="n">
        <v>62</v>
      </c>
      <c r="N96" t="n">
        <v>38</v>
      </c>
      <c r="O96" t="n">
        <v>40</v>
      </c>
      <c r="P96" t="n">
        <v>940</v>
      </c>
      <c r="Q96" t="n">
        <v>1002</v>
      </c>
      <c r="R96" t="n">
        <v>1.082</v>
      </c>
      <c r="S96" t="n">
        <v>15.429</v>
      </c>
      <c r="T96" t="n">
        <v>14.266</v>
      </c>
      <c r="U96" t="n">
        <v>0.7775</v>
      </c>
      <c r="V96" t="b">
        <v>1</v>
      </c>
      <c r="X96" t="b">
        <v>1</v>
      </c>
      <c r="Z96" t="n">
        <v>935</v>
      </c>
      <c r="AA96" t="n">
        <v>2.5</v>
      </c>
      <c r="AB96" t="n">
        <v>9.5</v>
      </c>
    </row>
    <row r="97">
      <c r="A97" t="inlineStr">
        <is>
          <t>2026-09-24 12:31:44</t>
        </is>
      </c>
      <c r="B97" t="inlineStr">
        <is>
          <t>MLLB_000_y1.0.3</t>
        </is>
      </c>
      <c r="C97" t="inlineStr">
        <is>
          <t>WHITE</t>
        </is>
      </c>
      <c r="D97" t="inlineStr">
        <is>
          <t>v4_white_MLLB_000_y103_0924</t>
        </is>
      </c>
      <c r="E97" t="n">
        <v>4.2</v>
      </c>
      <c r="F97" t="n">
        <v>4.2</v>
      </c>
      <c r="G97" t="n">
        <v>8</v>
      </c>
      <c r="H97" t="n">
        <v>80</v>
      </c>
      <c r="I97" t="n">
        <v>22</v>
      </c>
      <c r="J97" t="inlineStr">
        <is>
          <t>ince</t>
        </is>
      </c>
      <c r="K97" t="b">
        <v>1</v>
      </c>
      <c r="M97" t="n">
        <v>50</v>
      </c>
      <c r="N97" t="n">
        <v>40</v>
      </c>
      <c r="O97" t="n">
        <v>26</v>
      </c>
      <c r="P97" t="n">
        <v>952</v>
      </c>
      <c r="Q97" t="n">
        <v>1002</v>
      </c>
      <c r="R97" t="n">
        <v>1.081</v>
      </c>
      <c r="S97" t="n">
        <v>15.43</v>
      </c>
      <c r="T97" t="n">
        <v>14.272</v>
      </c>
      <c r="U97" t="n">
        <v>0.777</v>
      </c>
      <c r="V97" t="b">
        <v>1</v>
      </c>
      <c r="X97" t="b">
        <v>1</v>
      </c>
      <c r="Z97" t="n">
        <v>935</v>
      </c>
      <c r="AA97" t="n">
        <v>2.5</v>
      </c>
      <c r="AB97" t="n">
        <v>9.5</v>
      </c>
    </row>
    <row r="98">
      <c r="A98" t="inlineStr">
        <is>
          <t>2026-09-24 12:32:00</t>
        </is>
      </c>
      <c r="B98" t="inlineStr">
        <is>
          <t>MLLB_000_y1.0.3</t>
        </is>
      </c>
      <c r="C98" t="inlineStr">
        <is>
          <t>WHITE</t>
        </is>
      </c>
      <c r="D98" t="inlineStr">
        <is>
          <t>v4_white_MLLB_000_y103_0924</t>
        </is>
      </c>
      <c r="E98" t="n">
        <v>4.2</v>
      </c>
      <c r="F98" t="n">
        <v>4.2</v>
      </c>
      <c r="G98" t="n">
        <v>8</v>
      </c>
      <c r="H98" t="n">
        <v>80</v>
      </c>
      <c r="I98" t="n">
        <v>23</v>
      </c>
      <c r="J98" t="inlineStr">
        <is>
          <t>ince</t>
        </is>
      </c>
      <c r="K98" t="b">
        <v>1</v>
      </c>
      <c r="M98" t="n">
        <v>38</v>
      </c>
      <c r="N98" t="n">
        <v>42</v>
      </c>
      <c r="O98" t="n">
        <v>14</v>
      </c>
      <c r="P98" t="n">
        <v>964</v>
      </c>
      <c r="Q98" t="n">
        <v>1002</v>
      </c>
      <c r="R98" t="n">
        <v>1.081</v>
      </c>
      <c r="S98" t="n">
        <v>15.437</v>
      </c>
      <c r="T98" t="n">
        <v>14.282</v>
      </c>
      <c r="U98" t="n">
        <v>0.777</v>
      </c>
      <c r="V98" t="b">
        <v>1</v>
      </c>
      <c r="X98" t="b">
        <v>1</v>
      </c>
      <c r="Z98" t="n">
        <v>935</v>
      </c>
      <c r="AA98" t="n">
        <v>2.5</v>
      </c>
      <c r="AB98" t="n">
        <v>9.5</v>
      </c>
    </row>
    <row r="99">
      <c r="A99" t="inlineStr">
        <is>
          <t>2026-09-24 12:32:16</t>
        </is>
      </c>
      <c r="B99" t="inlineStr">
        <is>
          <t>MLLB_000_y1.0.3</t>
        </is>
      </c>
      <c r="C99" t="inlineStr">
        <is>
          <t>WHITE</t>
        </is>
      </c>
      <c r="D99" t="inlineStr">
        <is>
          <t>v4_white_MLLB_000_y103_0924</t>
        </is>
      </c>
      <c r="E99" t="n">
        <v>4.2</v>
      </c>
      <c r="F99" t="n">
        <v>4.2</v>
      </c>
      <c r="G99" t="n">
        <v>8</v>
      </c>
      <c r="H99" t="n">
        <v>80</v>
      </c>
      <c r="I99" t="n">
        <v>25</v>
      </c>
      <c r="J99" t="inlineStr">
        <is>
          <t>ince</t>
        </is>
      </c>
      <c r="K99" t="b">
        <v>1</v>
      </c>
      <c r="M99" t="n">
        <v>30</v>
      </c>
      <c r="N99" t="n">
        <v>32</v>
      </c>
      <c r="O99" t="n">
        <v>10</v>
      </c>
      <c r="P99" t="n">
        <v>972</v>
      </c>
      <c r="Q99" t="n">
        <v>1002</v>
      </c>
      <c r="R99" t="n">
        <v>1.39</v>
      </c>
      <c r="S99" t="n">
        <v>19.836</v>
      </c>
      <c r="T99" t="n">
        <v>14.266</v>
      </c>
      <c r="U99" t="n">
        <v>0.7774</v>
      </c>
      <c r="V99" t="b">
        <v>1</v>
      </c>
      <c r="X99" t="b">
        <v>1</v>
      </c>
      <c r="Z99" t="n">
        <v>935</v>
      </c>
      <c r="AA99" t="n">
        <v>2.5</v>
      </c>
      <c r="AB99" t="n">
        <v>9.5</v>
      </c>
    </row>
    <row r="100">
      <c r="A100" t="inlineStr">
        <is>
          <t>2026-09-24 12:32:32</t>
        </is>
      </c>
      <c r="B100" t="inlineStr">
        <is>
          <t>MLLB_000_y1.0.3</t>
        </is>
      </c>
      <c r="C100" t="inlineStr">
        <is>
          <t>WHITE</t>
        </is>
      </c>
      <c r="D100" t="inlineStr">
        <is>
          <t>v4_white_MLLB_000_y103_0924</t>
        </is>
      </c>
      <c r="E100" t="n">
        <v>4.2</v>
      </c>
      <c r="F100" t="n">
        <v>4.2</v>
      </c>
      <c r="G100" t="n">
        <v>8</v>
      </c>
      <c r="H100" t="n">
        <v>80</v>
      </c>
      <c r="I100" t="n">
        <v>26</v>
      </c>
      <c r="J100" t="inlineStr">
        <is>
          <t>ince</t>
        </is>
      </c>
      <c r="K100" t="b">
        <v>1</v>
      </c>
      <c r="M100" t="n">
        <v>30</v>
      </c>
      <c r="N100" t="n">
        <v>32</v>
      </c>
      <c r="O100" t="n">
        <v>10</v>
      </c>
      <c r="P100" t="n">
        <v>972</v>
      </c>
      <c r="Q100" t="n">
        <v>1002</v>
      </c>
      <c r="R100" t="n">
        <v>2.415</v>
      </c>
      <c r="S100" t="n">
        <v>34.48</v>
      </c>
      <c r="T100" t="n">
        <v>14.277</v>
      </c>
      <c r="U100" t="n">
        <v>0.7778</v>
      </c>
      <c r="V100" t="b">
        <v>1</v>
      </c>
      <c r="X100" t="b">
        <v>1</v>
      </c>
      <c r="Z100" t="n">
        <v>935</v>
      </c>
      <c r="AA100" t="n">
        <v>2.5</v>
      </c>
      <c r="AB100" t="n">
        <v>9.5</v>
      </c>
    </row>
    <row r="101">
      <c r="A101" t="inlineStr">
        <is>
          <t>2026-09-24 12:32:48</t>
        </is>
      </c>
      <c r="B101" t="inlineStr">
        <is>
          <t>MLLB_000_y1.0.3</t>
        </is>
      </c>
      <c r="C101" t="inlineStr">
        <is>
          <t>WHITE</t>
        </is>
      </c>
      <c r="D101" t="inlineStr">
        <is>
          <t>v4_white_MLLB_000_y103_0924</t>
        </is>
      </c>
      <c r="E101" t="n">
        <v>4.2</v>
      </c>
      <c r="F101" t="n">
        <v>4.2</v>
      </c>
      <c r="G101" t="n">
        <v>8</v>
      </c>
      <c r="H101" t="n">
        <v>80</v>
      </c>
      <c r="I101" t="n">
        <v>27</v>
      </c>
      <c r="J101" t="inlineStr">
        <is>
          <t>ince</t>
        </is>
      </c>
      <c r="K101" t="b">
        <v>1</v>
      </c>
      <c r="M101" t="n">
        <v>32</v>
      </c>
      <c r="N101" t="n">
        <v>32</v>
      </c>
      <c r="O101" t="n">
        <v>10</v>
      </c>
      <c r="P101" t="n">
        <v>970</v>
      </c>
      <c r="Q101" t="n">
        <v>1002</v>
      </c>
      <c r="R101" t="n">
        <v>3.519</v>
      </c>
      <c r="S101" t="n">
        <v>50.209</v>
      </c>
      <c r="T101" t="n">
        <v>14.266</v>
      </c>
      <c r="U101" t="n">
        <v>0.7776</v>
      </c>
      <c r="V101" t="b">
        <v>1</v>
      </c>
      <c r="X101" t="b">
        <v>0</v>
      </c>
      <c r="Y101" t="inlineStr">
        <is>
          <t>FLAS</t>
        </is>
      </c>
      <c r="Z101" t="n">
        <v>935</v>
      </c>
      <c r="AA101" t="n">
        <v>2.5</v>
      </c>
      <c r="AB101" t="n">
        <v>9.5</v>
      </c>
    </row>
    <row r="102">
      <c r="A102" t="inlineStr">
        <is>
          <t>2026-09-24 12:32:48</t>
        </is>
      </c>
      <c r="B102" t="inlineStr">
        <is>
          <t>MLLB_000_y1.0.3</t>
        </is>
      </c>
      <c r="C102" t="inlineStr">
        <is>
          <t>WHITE</t>
        </is>
      </c>
      <c r="D102" t="inlineStr">
        <is>
          <t>v4_white_MLLB_000_y103_0924</t>
        </is>
      </c>
      <c r="E102" t="n">
        <v>4.2</v>
      </c>
      <c r="F102" t="n">
        <v>4.2</v>
      </c>
      <c r="G102" t="n">
        <v>8</v>
      </c>
      <c r="H102" t="n">
        <v>80</v>
      </c>
      <c r="J102" t="inlineStr">
        <is>
          <t>bitti</t>
        </is>
      </c>
      <c r="K102" t="b">
        <v>0</v>
      </c>
      <c r="Z102" t="n">
        <v>935</v>
      </c>
      <c r="AA102" t="n">
        <v>2.5</v>
      </c>
      <c r="AB102" t="n">
        <v>9.5</v>
      </c>
    </row>
    <row r="103">
      <c r="A103" t="inlineStr">
        <is>
          <t>2026-09-24 12:33:04</t>
        </is>
      </c>
      <c r="B103" t="inlineStr">
        <is>
          <t>MLLB_000_y1.0.3</t>
        </is>
      </c>
      <c r="C103" t="inlineStr">
        <is>
          <t>WHITE</t>
        </is>
      </c>
      <c r="D103" t="inlineStr">
        <is>
          <t>v4_white_MLLB_000_y103_0924</t>
        </is>
      </c>
      <c r="E103" t="n">
        <v>4.2</v>
      </c>
      <c r="F103" t="n">
        <v>4.2</v>
      </c>
      <c r="G103" t="n">
        <v>8</v>
      </c>
      <c r="H103" t="n">
        <v>60</v>
      </c>
      <c r="I103" t="n">
        <v>12</v>
      </c>
      <c r="J103" t="inlineStr">
        <is>
          <t>kaba</t>
        </is>
      </c>
      <c r="K103" t="b">
        <v>1</v>
      </c>
      <c r="M103" t="n">
        <v>198</v>
      </c>
      <c r="N103" t="n">
        <v>36</v>
      </c>
      <c r="O103" t="n">
        <v>174</v>
      </c>
      <c r="P103" t="n">
        <v>804</v>
      </c>
      <c r="Q103" t="n">
        <v>1002</v>
      </c>
      <c r="R103" t="n">
        <v>1.087</v>
      </c>
      <c r="S103" t="n">
        <v>15.421</v>
      </c>
      <c r="T103" t="n">
        <v>14.186</v>
      </c>
      <c r="U103" t="n">
        <v>0.7775</v>
      </c>
      <c r="V103" t="b">
        <v>1</v>
      </c>
      <c r="X103" t="b">
        <v>0</v>
      </c>
      <c r="Y103" t="inlineStr">
        <is>
          <t>ON</t>
        </is>
      </c>
      <c r="Z103" t="n">
        <v>935</v>
      </c>
      <c r="AA103" t="n">
        <v>2.5</v>
      </c>
      <c r="AB103" t="n">
        <v>9.5</v>
      </c>
    </row>
    <row r="104">
      <c r="A104" t="inlineStr">
        <is>
          <t>2026-09-24 12:33:20</t>
        </is>
      </c>
      <c r="B104" t="inlineStr">
        <is>
          <t>MLLB_000_y1.0.3</t>
        </is>
      </c>
      <c r="C104" t="inlineStr">
        <is>
          <t>WHITE</t>
        </is>
      </c>
      <c r="D104" t="inlineStr">
        <is>
          <t>v4_white_MLLB_000_y103_0924</t>
        </is>
      </c>
      <c r="E104" t="n">
        <v>4.2</v>
      </c>
      <c r="F104" t="n">
        <v>4.2</v>
      </c>
      <c r="G104" t="n">
        <v>8</v>
      </c>
      <c r="H104" t="n">
        <v>60</v>
      </c>
      <c r="I104" t="n">
        <v>16</v>
      </c>
      <c r="J104" t="inlineStr">
        <is>
          <t>kaba</t>
        </is>
      </c>
      <c r="K104" t="b">
        <v>1</v>
      </c>
      <c r="M104" t="n">
        <v>166</v>
      </c>
      <c r="N104" t="n">
        <v>36</v>
      </c>
      <c r="O104" t="n">
        <v>142</v>
      </c>
      <c r="P104" t="n">
        <v>836</v>
      </c>
      <c r="Q104" t="n">
        <v>1002</v>
      </c>
      <c r="R104" t="n">
        <v>1.086</v>
      </c>
      <c r="S104" t="n">
        <v>15.421</v>
      </c>
      <c r="T104" t="n">
        <v>14.194</v>
      </c>
      <c r="U104" t="n">
        <v>0.7776</v>
      </c>
      <c r="V104" t="b">
        <v>1</v>
      </c>
      <c r="X104" t="b">
        <v>0</v>
      </c>
      <c r="Y104" t="inlineStr">
        <is>
          <t>ON</t>
        </is>
      </c>
      <c r="Z104" t="n">
        <v>935</v>
      </c>
      <c r="AA104" t="n">
        <v>2.5</v>
      </c>
      <c r="AB104" t="n">
        <v>9.5</v>
      </c>
    </row>
    <row r="105">
      <c r="A105" t="inlineStr">
        <is>
          <t>2026-09-24 12:33:36</t>
        </is>
      </c>
      <c r="B105" t="inlineStr">
        <is>
          <t>MLLB_000_y1.0.3</t>
        </is>
      </c>
      <c r="C105" t="inlineStr">
        <is>
          <t>WHITE</t>
        </is>
      </c>
      <c r="D105" t="inlineStr">
        <is>
          <t>v4_white_MLLB_000_y103_0924</t>
        </is>
      </c>
      <c r="E105" t="n">
        <v>4.2</v>
      </c>
      <c r="F105" t="n">
        <v>4.2</v>
      </c>
      <c r="G105" t="n">
        <v>8</v>
      </c>
      <c r="H105" t="n">
        <v>60</v>
      </c>
      <c r="I105" t="n">
        <v>20</v>
      </c>
      <c r="J105" t="inlineStr">
        <is>
          <t>kaba</t>
        </is>
      </c>
      <c r="K105" t="b">
        <v>1</v>
      </c>
      <c r="M105" t="n">
        <v>132</v>
      </c>
      <c r="N105" t="n">
        <v>38</v>
      </c>
      <c r="O105" t="n">
        <v>108</v>
      </c>
      <c r="P105" t="n">
        <v>870</v>
      </c>
      <c r="Q105" t="n">
        <v>1002</v>
      </c>
      <c r="R105" t="n">
        <v>1.084</v>
      </c>
      <c r="S105" t="n">
        <v>15.421</v>
      </c>
      <c r="T105" t="n">
        <v>14.231</v>
      </c>
      <c r="U105" t="n">
        <v>0.7772</v>
      </c>
      <c r="V105" t="b">
        <v>1</v>
      </c>
      <c r="X105" t="b">
        <v>0</v>
      </c>
      <c r="Y105" t="inlineStr">
        <is>
          <t>ON</t>
        </is>
      </c>
      <c r="Z105" t="n">
        <v>935</v>
      </c>
      <c r="AA105" t="n">
        <v>2.5</v>
      </c>
      <c r="AB105" t="n">
        <v>9.5</v>
      </c>
    </row>
    <row r="106">
      <c r="A106" t="inlineStr">
        <is>
          <t>2026-09-24 12:33:52</t>
        </is>
      </c>
      <c r="B106" t="inlineStr">
        <is>
          <t>MLLB_000_y1.0.3</t>
        </is>
      </c>
      <c r="C106" t="inlineStr">
        <is>
          <t>WHITE</t>
        </is>
      </c>
      <c r="D106" t="inlineStr">
        <is>
          <t>v4_white_MLLB_000_y103_0924</t>
        </is>
      </c>
      <c r="E106" t="n">
        <v>4.2</v>
      </c>
      <c r="F106" t="n">
        <v>4.2</v>
      </c>
      <c r="G106" t="n">
        <v>8</v>
      </c>
      <c r="H106" t="n">
        <v>60</v>
      </c>
      <c r="I106" t="n">
        <v>24</v>
      </c>
      <c r="J106" t="inlineStr">
        <is>
          <t>kaba</t>
        </is>
      </c>
      <c r="K106" t="b">
        <v>1</v>
      </c>
      <c r="M106" t="n">
        <v>98</v>
      </c>
      <c r="N106" t="n">
        <v>42</v>
      </c>
      <c r="O106" t="n">
        <v>74</v>
      </c>
      <c r="P106" t="n">
        <v>904</v>
      </c>
      <c r="Q106" t="n">
        <v>1002</v>
      </c>
      <c r="R106" t="n">
        <v>1.082</v>
      </c>
      <c r="S106" t="n">
        <v>15.421</v>
      </c>
      <c r="T106" t="n">
        <v>14.259</v>
      </c>
      <c r="U106" t="n">
        <v>0.7773</v>
      </c>
      <c r="V106" t="b">
        <v>1</v>
      </c>
      <c r="X106" t="b">
        <v>0</v>
      </c>
      <c r="Y106" t="inlineStr">
        <is>
          <t>ON</t>
        </is>
      </c>
      <c r="Z106" t="n">
        <v>935</v>
      </c>
      <c r="AA106" t="n">
        <v>2.5</v>
      </c>
      <c r="AB106" t="n">
        <v>9.5</v>
      </c>
    </row>
    <row r="107">
      <c r="A107" t="inlineStr">
        <is>
          <t>2026-09-24 12:34:04</t>
        </is>
      </c>
      <c r="B107" t="inlineStr">
        <is>
          <t>MLLB_000_y1.0.3</t>
        </is>
      </c>
      <c r="C107" t="inlineStr">
        <is>
          <t>WHITE</t>
        </is>
      </c>
      <c r="D107" t="inlineStr">
        <is>
          <t>v4_white_MLLB_000_y103_0924</t>
        </is>
      </c>
      <c r="E107" t="n">
        <v>4.2</v>
      </c>
      <c r="F107" t="n">
        <v>4.2</v>
      </c>
      <c r="G107" t="n">
        <v>8</v>
      </c>
      <c r="H107" t="n">
        <v>60</v>
      </c>
      <c r="I107" t="n">
        <v>28</v>
      </c>
      <c r="J107" t="inlineStr">
        <is>
          <t>kaba</t>
        </is>
      </c>
      <c r="K107" t="b">
        <v>1</v>
      </c>
      <c r="M107" t="n">
        <v>64</v>
      </c>
      <c r="N107" t="n">
        <v>36</v>
      </c>
      <c r="O107" t="n">
        <v>42</v>
      </c>
      <c r="P107" t="n">
        <v>938</v>
      </c>
      <c r="Q107" t="n">
        <v>1002</v>
      </c>
      <c r="R107" t="n">
        <v>1.081</v>
      </c>
      <c r="S107" t="n">
        <v>15.421</v>
      </c>
      <c r="T107" t="n">
        <v>14.265</v>
      </c>
      <c r="U107" t="n">
        <v>0.7773</v>
      </c>
      <c r="V107" t="b">
        <v>1</v>
      </c>
      <c r="X107" t="b">
        <v>1</v>
      </c>
      <c r="Z107" t="n">
        <v>935</v>
      </c>
      <c r="AA107" t="n">
        <v>2.5</v>
      </c>
      <c r="AB107" t="n">
        <v>9.5</v>
      </c>
    </row>
    <row r="108">
      <c r="A108" t="inlineStr">
        <is>
          <t>2026-09-24 12:34:20</t>
        </is>
      </c>
      <c r="B108" t="inlineStr">
        <is>
          <t>MLLB_000_y1.0.3</t>
        </is>
      </c>
      <c r="C108" t="inlineStr">
        <is>
          <t>WHITE</t>
        </is>
      </c>
      <c r="D108" t="inlineStr">
        <is>
          <t>v4_white_MLLB_000_y103_0924</t>
        </is>
      </c>
      <c r="E108" t="n">
        <v>4.2</v>
      </c>
      <c r="F108" t="n">
        <v>4.2</v>
      </c>
      <c r="G108" t="n">
        <v>8</v>
      </c>
      <c r="H108" t="n">
        <v>60</v>
      </c>
      <c r="I108" t="n">
        <v>32</v>
      </c>
      <c r="J108" t="inlineStr">
        <is>
          <t>kaba</t>
        </is>
      </c>
      <c r="K108" t="b">
        <v>1</v>
      </c>
      <c r="M108" t="n">
        <v>38</v>
      </c>
      <c r="N108" t="n">
        <v>28</v>
      </c>
      <c r="O108" t="n">
        <v>18</v>
      </c>
      <c r="P108" t="n">
        <v>964</v>
      </c>
      <c r="Q108" t="n">
        <v>1002</v>
      </c>
      <c r="R108" t="n">
        <v>1.081</v>
      </c>
      <c r="S108" t="n">
        <v>15.421</v>
      </c>
      <c r="T108" t="n">
        <v>14.263</v>
      </c>
      <c r="U108" t="n">
        <v>0.7768</v>
      </c>
      <c r="V108" t="b">
        <v>1</v>
      </c>
      <c r="X108" t="b">
        <v>1</v>
      </c>
      <c r="Z108" t="n">
        <v>935</v>
      </c>
      <c r="AA108" t="n">
        <v>2.5</v>
      </c>
      <c r="AB108" t="n">
        <v>9.5</v>
      </c>
    </row>
    <row r="109">
      <c r="A109" t="inlineStr">
        <is>
          <t>2026-09-24 12:34:36</t>
        </is>
      </c>
      <c r="B109" t="inlineStr">
        <is>
          <t>MLLB_000_y1.0.3</t>
        </is>
      </c>
      <c r="C109" t="inlineStr">
        <is>
          <t>WHITE</t>
        </is>
      </c>
      <c r="D109" t="inlineStr">
        <is>
          <t>v4_white_MLLB_000_y103_0924</t>
        </is>
      </c>
      <c r="E109" t="n">
        <v>4.2</v>
      </c>
      <c r="F109" t="n">
        <v>4.2</v>
      </c>
      <c r="G109" t="n">
        <v>8</v>
      </c>
      <c r="H109" t="n">
        <v>60</v>
      </c>
      <c r="I109" t="n">
        <v>36</v>
      </c>
      <c r="J109" t="inlineStr">
        <is>
          <t>kaba</t>
        </is>
      </c>
      <c r="K109" t="b">
        <v>1</v>
      </c>
      <c r="M109" t="n">
        <v>38</v>
      </c>
      <c r="N109" t="n">
        <v>28</v>
      </c>
      <c r="O109" t="n">
        <v>18</v>
      </c>
      <c r="P109" t="n">
        <v>964</v>
      </c>
      <c r="Q109" t="n">
        <v>1002</v>
      </c>
      <c r="R109" t="n">
        <v>3.678</v>
      </c>
      <c r="S109" t="n">
        <v>52.475</v>
      </c>
      <c r="T109" t="n">
        <v>14.266</v>
      </c>
      <c r="U109" t="n">
        <v>0.7772</v>
      </c>
      <c r="V109" t="b">
        <v>1</v>
      </c>
      <c r="X109" t="b">
        <v>0</v>
      </c>
      <c r="Y109" t="inlineStr">
        <is>
          <t>FLAS</t>
        </is>
      </c>
      <c r="Z109" t="n">
        <v>935</v>
      </c>
      <c r="AA109" t="n">
        <v>2.5</v>
      </c>
      <c r="AB109" t="n">
        <v>9.5</v>
      </c>
    </row>
    <row r="110">
      <c r="A110" t="inlineStr">
        <is>
          <t>2026-09-24 12:34:52</t>
        </is>
      </c>
      <c r="B110" t="inlineStr">
        <is>
          <t>MLLB_000_y1.0.3</t>
        </is>
      </c>
      <c r="C110" t="inlineStr">
        <is>
          <t>WHITE</t>
        </is>
      </c>
      <c r="D110" t="inlineStr">
        <is>
          <t>v4_white_MLLB_000_y103_0924</t>
        </is>
      </c>
      <c r="E110" t="n">
        <v>4.2</v>
      </c>
      <c r="F110" t="n">
        <v>4.2</v>
      </c>
      <c r="G110" t="n">
        <v>8</v>
      </c>
      <c r="H110" t="n">
        <v>60</v>
      </c>
      <c r="I110" t="n">
        <v>40</v>
      </c>
      <c r="J110" t="inlineStr">
        <is>
          <t>kaba</t>
        </is>
      </c>
      <c r="K110" t="b">
        <v>1</v>
      </c>
      <c r="M110" t="n">
        <v>38</v>
      </c>
      <c r="N110" t="n">
        <v>28</v>
      </c>
      <c r="O110" t="n">
        <v>18</v>
      </c>
      <c r="P110" t="n">
        <v>964</v>
      </c>
      <c r="Q110" t="n">
        <v>1002</v>
      </c>
      <c r="R110" t="n">
        <v>5.899</v>
      </c>
      <c r="S110" t="n">
        <v>84.152</v>
      </c>
      <c r="T110" t="n">
        <v>14.265</v>
      </c>
      <c r="U110" t="n">
        <v>0.7776999999999999</v>
      </c>
      <c r="V110" t="b">
        <v>1</v>
      </c>
      <c r="X110" t="b">
        <v>0</v>
      </c>
      <c r="Y110" t="inlineStr">
        <is>
          <t>FLAS</t>
        </is>
      </c>
      <c r="Z110" t="n">
        <v>935</v>
      </c>
      <c r="AA110" t="n">
        <v>2.5</v>
      </c>
      <c r="AB110" t="n">
        <v>9.5</v>
      </c>
    </row>
    <row r="111">
      <c r="A111" t="inlineStr">
        <is>
          <t>2026-09-24 12:35:08</t>
        </is>
      </c>
      <c r="B111" t="inlineStr">
        <is>
          <t>MLLB_000_y1.0.3</t>
        </is>
      </c>
      <c r="C111" t="inlineStr">
        <is>
          <t>WHITE</t>
        </is>
      </c>
      <c r="D111" t="inlineStr">
        <is>
          <t>v4_white_MLLB_000_y103_0924</t>
        </is>
      </c>
      <c r="E111" t="n">
        <v>4.2</v>
      </c>
      <c r="F111" t="n">
        <v>4.2</v>
      </c>
      <c r="G111" t="n">
        <v>8</v>
      </c>
      <c r="H111" t="n">
        <v>60</v>
      </c>
      <c r="I111" t="n">
        <v>25</v>
      </c>
      <c r="J111" t="inlineStr">
        <is>
          <t>ince</t>
        </is>
      </c>
      <c r="K111" t="b">
        <v>1</v>
      </c>
      <c r="M111" t="n">
        <v>90</v>
      </c>
      <c r="N111" t="n">
        <v>36</v>
      </c>
      <c r="O111" t="n">
        <v>66</v>
      </c>
      <c r="P111" t="n">
        <v>912</v>
      </c>
      <c r="Q111" t="n">
        <v>1002</v>
      </c>
      <c r="R111" t="n">
        <v>1.081</v>
      </c>
      <c r="S111" t="n">
        <v>15.421</v>
      </c>
      <c r="T111" t="n">
        <v>14.262</v>
      </c>
      <c r="U111" t="n">
        <v>0.7776</v>
      </c>
      <c r="V111" t="b">
        <v>1</v>
      </c>
      <c r="X111" t="b">
        <v>0</v>
      </c>
      <c r="Y111" t="inlineStr">
        <is>
          <t>ON</t>
        </is>
      </c>
      <c r="Z111" t="n">
        <v>935</v>
      </c>
      <c r="AA111" t="n">
        <v>2.5</v>
      </c>
      <c r="AB111" t="n">
        <v>9.5</v>
      </c>
    </row>
    <row r="112">
      <c r="A112" t="inlineStr">
        <is>
          <t>2026-09-24 12:35:24</t>
        </is>
      </c>
      <c r="B112" t="inlineStr">
        <is>
          <t>MLLB_000_y1.0.3</t>
        </is>
      </c>
      <c r="C112" t="inlineStr">
        <is>
          <t>WHITE</t>
        </is>
      </c>
      <c r="D112" t="inlineStr">
        <is>
          <t>v4_white_MLLB_000_y103_0924</t>
        </is>
      </c>
      <c r="E112" t="n">
        <v>4.2</v>
      </c>
      <c r="F112" t="n">
        <v>4.2</v>
      </c>
      <c r="G112" t="n">
        <v>8</v>
      </c>
      <c r="H112" t="n">
        <v>60</v>
      </c>
      <c r="I112" t="n">
        <v>26</v>
      </c>
      <c r="J112" t="inlineStr">
        <is>
          <t>ince</t>
        </is>
      </c>
      <c r="K112" t="b">
        <v>1</v>
      </c>
      <c r="M112" t="n">
        <v>82</v>
      </c>
      <c r="N112" t="n">
        <v>36</v>
      </c>
      <c r="O112" t="n">
        <v>58</v>
      </c>
      <c r="P112" t="n">
        <v>920</v>
      </c>
      <c r="Q112" t="n">
        <v>1002</v>
      </c>
      <c r="R112" t="n">
        <v>1.082</v>
      </c>
      <c r="S112" t="n">
        <v>15.442</v>
      </c>
      <c r="T112" t="n">
        <v>14.274</v>
      </c>
      <c r="U112" t="n">
        <v>0.7782</v>
      </c>
      <c r="V112" t="b">
        <v>1</v>
      </c>
      <c r="X112" t="b">
        <v>0</v>
      </c>
      <c r="Y112" t="inlineStr">
        <is>
          <t>ON</t>
        </is>
      </c>
      <c r="Z112" t="n">
        <v>935</v>
      </c>
      <c r="AA112" t="n">
        <v>2.5</v>
      </c>
      <c r="AB112" t="n">
        <v>9.5</v>
      </c>
    </row>
    <row r="113">
      <c r="A113" t="inlineStr">
        <is>
          <t>2026-09-24 12:35:40</t>
        </is>
      </c>
      <c r="B113" t="inlineStr">
        <is>
          <t>MLLB_000_y1.0.3</t>
        </is>
      </c>
      <c r="C113" t="inlineStr">
        <is>
          <t>WHITE</t>
        </is>
      </c>
      <c r="D113" t="inlineStr">
        <is>
          <t>v4_white_MLLB_000_y103_0924</t>
        </is>
      </c>
      <c r="E113" t="n">
        <v>4.2</v>
      </c>
      <c r="F113" t="n">
        <v>4.2</v>
      </c>
      <c r="G113" t="n">
        <v>8</v>
      </c>
      <c r="H113" t="n">
        <v>60</v>
      </c>
      <c r="I113" t="n">
        <v>27</v>
      </c>
      <c r="J113" t="inlineStr">
        <is>
          <t>ince</t>
        </is>
      </c>
      <c r="K113" t="b">
        <v>1</v>
      </c>
      <c r="M113" t="n">
        <v>72</v>
      </c>
      <c r="N113" t="n">
        <v>36</v>
      </c>
      <c r="O113" t="n">
        <v>50</v>
      </c>
      <c r="P113" t="n">
        <v>930</v>
      </c>
      <c r="Q113" t="n">
        <v>1002</v>
      </c>
      <c r="R113" t="n">
        <v>1.08</v>
      </c>
      <c r="S113" t="n">
        <v>15.421</v>
      </c>
      <c r="T113" t="n">
        <v>14.281</v>
      </c>
      <c r="U113" t="n">
        <v>0.778</v>
      </c>
      <c r="V113" t="b">
        <v>1</v>
      </c>
      <c r="X113" t="b">
        <v>0</v>
      </c>
      <c r="Y113" t="inlineStr">
        <is>
          <t>ON</t>
        </is>
      </c>
      <c r="Z113" t="n">
        <v>935</v>
      </c>
      <c r="AA113" t="n">
        <v>2.5</v>
      </c>
      <c r="AB113" t="n">
        <v>9.5</v>
      </c>
    </row>
    <row r="114">
      <c r="A114" t="inlineStr">
        <is>
          <t>2026-09-24 12:35:40</t>
        </is>
      </c>
      <c r="B114" t="inlineStr">
        <is>
          <t>MLLB_000_y1.0.3</t>
        </is>
      </c>
      <c r="C114" t="inlineStr">
        <is>
          <t>WHITE</t>
        </is>
      </c>
      <c r="D114" t="inlineStr">
        <is>
          <t>v4_white_MLLB_000_y103_0924</t>
        </is>
      </c>
      <c r="E114" t="n">
        <v>4.2</v>
      </c>
      <c r="F114" t="n">
        <v>4.2</v>
      </c>
      <c r="G114" t="n">
        <v>8</v>
      </c>
      <c r="H114" t="n">
        <v>60</v>
      </c>
      <c r="I114" t="n">
        <v>29</v>
      </c>
      <c r="J114" t="inlineStr">
        <is>
          <t>ince</t>
        </is>
      </c>
      <c r="K114" t="b">
        <v>0</v>
      </c>
      <c r="L114" t="inlineStr">
        <is>
          <t>iki-OK-arasi-monotonluk</t>
        </is>
      </c>
      <c r="X114" t="b">
        <v>1</v>
      </c>
      <c r="Z114" t="n">
        <v>935</v>
      </c>
      <c r="AA114" t="n">
        <v>2.5</v>
      </c>
      <c r="AB114" t="n">
        <v>9.5</v>
      </c>
    </row>
    <row r="115">
      <c r="A115" t="inlineStr">
        <is>
          <t>2026-09-24 12:35:40</t>
        </is>
      </c>
      <c r="B115" t="inlineStr">
        <is>
          <t>MLLB_000_y1.0.3</t>
        </is>
      </c>
      <c r="C115" t="inlineStr">
        <is>
          <t>WHITE</t>
        </is>
      </c>
      <c r="D115" t="inlineStr">
        <is>
          <t>v4_white_MLLB_000_y103_0924</t>
        </is>
      </c>
      <c r="E115" t="n">
        <v>4.2</v>
      </c>
      <c r="F115" t="n">
        <v>4.2</v>
      </c>
      <c r="G115" t="n">
        <v>8</v>
      </c>
      <c r="H115" t="n">
        <v>60</v>
      </c>
      <c r="I115" t="n">
        <v>30</v>
      </c>
      <c r="J115" t="inlineStr">
        <is>
          <t>ince</t>
        </is>
      </c>
      <c r="K115" t="b">
        <v>0</v>
      </c>
      <c r="L115" t="inlineStr">
        <is>
          <t>iki-OK-arasi-monotonluk</t>
        </is>
      </c>
      <c r="X115" t="b">
        <v>1</v>
      </c>
      <c r="Z115" t="n">
        <v>935</v>
      </c>
      <c r="AA115" t="n">
        <v>2.5</v>
      </c>
      <c r="AB115" t="n">
        <v>9.5</v>
      </c>
    </row>
    <row r="116">
      <c r="A116" t="inlineStr">
        <is>
          <t>2026-09-24 12:35:40</t>
        </is>
      </c>
      <c r="B116" t="inlineStr">
        <is>
          <t>MLLB_000_y1.0.3</t>
        </is>
      </c>
      <c r="C116" t="inlineStr">
        <is>
          <t>WHITE</t>
        </is>
      </c>
      <c r="D116" t="inlineStr">
        <is>
          <t>v4_white_MLLB_000_y103_0924</t>
        </is>
      </c>
      <c r="E116" t="n">
        <v>4.2</v>
      </c>
      <c r="F116" t="n">
        <v>4.2</v>
      </c>
      <c r="G116" t="n">
        <v>8</v>
      </c>
      <c r="H116" t="n">
        <v>60</v>
      </c>
      <c r="I116" t="n">
        <v>31</v>
      </c>
      <c r="J116" t="inlineStr">
        <is>
          <t>ince</t>
        </is>
      </c>
      <c r="K116" t="b">
        <v>0</v>
      </c>
      <c r="L116" t="inlineStr">
        <is>
          <t>iki-OK-arasi-monotonluk</t>
        </is>
      </c>
      <c r="X116" t="b">
        <v>1</v>
      </c>
      <c r="Z116" t="n">
        <v>935</v>
      </c>
      <c r="AA116" t="n">
        <v>2.5</v>
      </c>
      <c r="AB116" t="n">
        <v>9.5</v>
      </c>
    </row>
    <row r="117">
      <c r="A117" t="inlineStr">
        <is>
          <t>2026-09-24 12:35:52</t>
        </is>
      </c>
      <c r="B117" t="inlineStr">
        <is>
          <t>MLLB_000_y1.0.3</t>
        </is>
      </c>
      <c r="C117" t="inlineStr">
        <is>
          <t>WHITE</t>
        </is>
      </c>
      <c r="D117" t="inlineStr">
        <is>
          <t>v4_white_MLLB_000_y103_0924</t>
        </is>
      </c>
      <c r="E117" t="n">
        <v>4.2</v>
      </c>
      <c r="F117" t="n">
        <v>4.2</v>
      </c>
      <c r="G117" t="n">
        <v>8</v>
      </c>
      <c r="H117" t="n">
        <v>60</v>
      </c>
      <c r="I117" t="n">
        <v>33</v>
      </c>
      <c r="J117" t="inlineStr">
        <is>
          <t>ince</t>
        </is>
      </c>
      <c r="K117" t="b">
        <v>1</v>
      </c>
      <c r="M117" t="n">
        <v>38</v>
      </c>
      <c r="N117" t="n">
        <v>28</v>
      </c>
      <c r="O117" t="n">
        <v>18</v>
      </c>
      <c r="P117" t="n">
        <v>964</v>
      </c>
      <c r="Q117" t="n">
        <v>1002</v>
      </c>
      <c r="R117" t="n">
        <v>1.51</v>
      </c>
      <c r="S117" t="n">
        <v>21.522</v>
      </c>
      <c r="T117" t="n">
        <v>14.253</v>
      </c>
      <c r="U117" t="n">
        <v>0.7773</v>
      </c>
      <c r="V117" t="b">
        <v>1</v>
      </c>
      <c r="X117" t="b">
        <v>1</v>
      </c>
      <c r="Z117" t="n">
        <v>935</v>
      </c>
      <c r="AA117" t="n">
        <v>2.5</v>
      </c>
      <c r="AB117" t="n">
        <v>9.5</v>
      </c>
    </row>
    <row r="118">
      <c r="A118" t="inlineStr">
        <is>
          <t>2026-09-24 12:36:08</t>
        </is>
      </c>
      <c r="B118" t="inlineStr">
        <is>
          <t>MLLB_000_y1.0.3</t>
        </is>
      </c>
      <c r="C118" t="inlineStr">
        <is>
          <t>WHITE</t>
        </is>
      </c>
      <c r="D118" t="inlineStr">
        <is>
          <t>v4_white_MLLB_000_y103_0924</t>
        </is>
      </c>
      <c r="E118" t="n">
        <v>4.2</v>
      </c>
      <c r="F118" t="n">
        <v>4.2</v>
      </c>
      <c r="G118" t="n">
        <v>8</v>
      </c>
      <c r="H118" t="n">
        <v>60</v>
      </c>
      <c r="I118" t="n">
        <v>34</v>
      </c>
      <c r="J118" t="inlineStr">
        <is>
          <t>ince</t>
        </is>
      </c>
      <c r="K118" t="b">
        <v>1</v>
      </c>
      <c r="M118" t="n">
        <v>38</v>
      </c>
      <c r="N118" t="n">
        <v>28</v>
      </c>
      <c r="O118" t="n">
        <v>18</v>
      </c>
      <c r="P118" t="n">
        <v>964</v>
      </c>
      <c r="Q118" t="n">
        <v>1002</v>
      </c>
      <c r="R118" t="n">
        <v>2.245</v>
      </c>
      <c r="S118" t="n">
        <v>32.006</v>
      </c>
      <c r="T118" t="n">
        <v>14.255</v>
      </c>
      <c r="U118" t="n">
        <v>0.7773</v>
      </c>
      <c r="V118" t="b">
        <v>1</v>
      </c>
      <c r="X118" t="b">
        <v>1</v>
      </c>
      <c r="Z118" t="n">
        <v>935</v>
      </c>
      <c r="AA118" t="n">
        <v>2.5</v>
      </c>
      <c r="AB118" t="n">
        <v>9.5</v>
      </c>
    </row>
    <row r="119">
      <c r="A119" t="inlineStr">
        <is>
          <t>2026-09-24 12:36:24</t>
        </is>
      </c>
      <c r="B119" t="inlineStr">
        <is>
          <t>MLLB_000_y1.0.3</t>
        </is>
      </c>
      <c r="C119" t="inlineStr">
        <is>
          <t>WHITE</t>
        </is>
      </c>
      <c r="D119" t="inlineStr">
        <is>
          <t>v4_white_MLLB_000_y103_0924</t>
        </is>
      </c>
      <c r="E119" t="n">
        <v>4.2</v>
      </c>
      <c r="F119" t="n">
        <v>4.2</v>
      </c>
      <c r="G119" t="n">
        <v>8</v>
      </c>
      <c r="H119" t="n">
        <v>60</v>
      </c>
      <c r="I119" t="n">
        <v>35</v>
      </c>
      <c r="J119" t="inlineStr">
        <is>
          <t>ince</t>
        </is>
      </c>
      <c r="K119" t="b">
        <v>1</v>
      </c>
      <c r="M119" t="n">
        <v>38</v>
      </c>
      <c r="N119" t="n">
        <v>28</v>
      </c>
      <c r="O119" t="n">
        <v>18</v>
      </c>
      <c r="P119" t="n">
        <v>964</v>
      </c>
      <c r="Q119" t="n">
        <v>1002</v>
      </c>
      <c r="R119" t="n">
        <v>2.971</v>
      </c>
      <c r="S119" t="n">
        <v>42.324</v>
      </c>
      <c r="T119" t="n">
        <v>14.246</v>
      </c>
      <c r="U119" t="n">
        <v>0.7776999999999999</v>
      </c>
      <c r="V119" t="b">
        <v>1</v>
      </c>
      <c r="X119" t="b">
        <v>0</v>
      </c>
      <c r="Y119" t="inlineStr">
        <is>
          <t>FLAS</t>
        </is>
      </c>
      <c r="Z119" t="n">
        <v>935</v>
      </c>
      <c r="AA119" t="n">
        <v>2.5</v>
      </c>
      <c r="AB119" t="n">
        <v>9.5</v>
      </c>
    </row>
    <row r="120">
      <c r="A120" t="inlineStr">
        <is>
          <t>2026-09-24 12:36:24</t>
        </is>
      </c>
      <c r="B120" t="inlineStr">
        <is>
          <t>MLLB_000_y1.0.3</t>
        </is>
      </c>
      <c r="C120" t="inlineStr">
        <is>
          <t>WHITE</t>
        </is>
      </c>
      <c r="D120" t="inlineStr">
        <is>
          <t>v4_white_MLLB_000_y103_0924</t>
        </is>
      </c>
      <c r="E120" t="n">
        <v>4.2</v>
      </c>
      <c r="F120" t="n">
        <v>4.2</v>
      </c>
      <c r="G120" t="n">
        <v>8</v>
      </c>
      <c r="H120" t="n">
        <v>60</v>
      </c>
      <c r="J120" t="inlineStr">
        <is>
          <t>bitti</t>
        </is>
      </c>
      <c r="K120" t="b">
        <v>0</v>
      </c>
      <c r="Z120" t="n">
        <v>935</v>
      </c>
      <c r="AA120" t="n">
        <v>2.5</v>
      </c>
      <c r="AB120" t="n">
        <v>9.5</v>
      </c>
    </row>
    <row r="121">
      <c r="A121" t="inlineStr">
        <is>
          <t>2026-09-24 12:37:02</t>
        </is>
      </c>
      <c r="B121" t="inlineStr">
        <is>
          <t>MLLB_000_y1.0.3</t>
        </is>
      </c>
      <c r="C121" t="inlineStr">
        <is>
          <t>WHITE</t>
        </is>
      </c>
      <c r="D121" t="inlineStr">
        <is>
          <t>v4_white_MLLB_000_y103_0924</t>
        </is>
      </c>
      <c r="E121" t="n">
        <v>4.2</v>
      </c>
      <c r="F121" t="n">
        <v>4.2</v>
      </c>
      <c r="G121" t="n">
        <v>10</v>
      </c>
      <c r="H121" t="n">
        <v>100</v>
      </c>
      <c r="I121" t="n">
        <v>12</v>
      </c>
      <c r="J121" t="inlineStr">
        <is>
          <t>kaba</t>
        </is>
      </c>
      <c r="K121" t="b">
        <v>1</v>
      </c>
      <c r="M121" t="n">
        <v>108</v>
      </c>
      <c r="N121" t="n">
        <v>34</v>
      </c>
      <c r="O121" t="n">
        <v>88</v>
      </c>
      <c r="P121" t="n">
        <v>894</v>
      </c>
      <c r="Q121" t="n">
        <v>1002</v>
      </c>
      <c r="R121" t="n">
        <v>1.077</v>
      </c>
      <c r="S121" t="n">
        <v>20.364</v>
      </c>
      <c r="T121" t="n">
        <v>18.913</v>
      </c>
      <c r="U121" t="n">
        <v>0.7768</v>
      </c>
      <c r="V121" t="b">
        <v>1</v>
      </c>
      <c r="X121" t="b">
        <v>0</v>
      </c>
      <c r="Y121" t="inlineStr">
        <is>
          <t>ON</t>
        </is>
      </c>
      <c r="Z121" t="n">
        <v>935</v>
      </c>
      <c r="AA121" t="n">
        <v>2.5</v>
      </c>
      <c r="AB121" t="n">
        <v>9.5</v>
      </c>
    </row>
    <row r="122">
      <c r="A122" t="inlineStr">
        <is>
          <t>2026-09-24 12:37:18</t>
        </is>
      </c>
      <c r="B122" t="inlineStr">
        <is>
          <t>MLLB_000_y1.0.3</t>
        </is>
      </c>
      <c r="C122" t="inlineStr">
        <is>
          <t>WHITE</t>
        </is>
      </c>
      <c r="D122" t="inlineStr">
        <is>
          <t>v4_white_MLLB_000_y103_0924</t>
        </is>
      </c>
      <c r="E122" t="n">
        <v>4.2</v>
      </c>
      <c r="F122" t="n">
        <v>4.2</v>
      </c>
      <c r="G122" t="n">
        <v>10</v>
      </c>
      <c r="H122" t="n">
        <v>100</v>
      </c>
      <c r="I122" t="n">
        <v>16</v>
      </c>
      <c r="J122" t="inlineStr">
        <is>
          <t>kaba</t>
        </is>
      </c>
      <c r="K122" t="b">
        <v>1</v>
      </c>
      <c r="M122" t="n">
        <v>66</v>
      </c>
      <c r="N122" t="n">
        <v>32</v>
      </c>
      <c r="O122" t="n">
        <v>46</v>
      </c>
      <c r="P122" t="n">
        <v>936</v>
      </c>
      <c r="Q122" t="n">
        <v>1002</v>
      </c>
      <c r="R122" t="n">
        <v>1.075</v>
      </c>
      <c r="S122" t="n">
        <v>20.364</v>
      </c>
      <c r="T122" t="n">
        <v>18.939</v>
      </c>
      <c r="U122" t="n">
        <v>0.7769</v>
      </c>
      <c r="V122" t="b">
        <v>1</v>
      </c>
      <c r="X122" t="b">
        <v>1</v>
      </c>
      <c r="Z122" t="n">
        <v>935</v>
      </c>
      <c r="AA122" t="n">
        <v>2.5</v>
      </c>
      <c r="AB122" t="n">
        <v>9.5</v>
      </c>
    </row>
    <row r="123">
      <c r="A123" t="inlineStr">
        <is>
          <t>2026-09-24 12:37:34</t>
        </is>
      </c>
      <c r="B123" t="inlineStr">
        <is>
          <t>MLLB_000_y1.0.3</t>
        </is>
      </c>
      <c r="C123" t="inlineStr">
        <is>
          <t>WHITE</t>
        </is>
      </c>
      <c r="D123" t="inlineStr">
        <is>
          <t>v4_white_MLLB_000_y103_0924</t>
        </is>
      </c>
      <c r="E123" t="n">
        <v>4.2</v>
      </c>
      <c r="F123" t="n">
        <v>4.2</v>
      </c>
      <c r="G123" t="n">
        <v>10</v>
      </c>
      <c r="H123" t="n">
        <v>100</v>
      </c>
      <c r="I123" t="n">
        <v>20</v>
      </c>
      <c r="J123" t="inlineStr">
        <is>
          <t>kaba</t>
        </is>
      </c>
      <c r="K123" t="b">
        <v>1</v>
      </c>
      <c r="M123" t="n">
        <v>28</v>
      </c>
      <c r="N123" t="n">
        <v>32</v>
      </c>
      <c r="O123" t="n">
        <v>6</v>
      </c>
      <c r="P123" t="n">
        <v>974</v>
      </c>
      <c r="Q123" t="n">
        <v>1002</v>
      </c>
      <c r="R123" t="n">
        <v>1.074</v>
      </c>
      <c r="S123" t="n">
        <v>20.364</v>
      </c>
      <c r="T123" t="n">
        <v>18.959</v>
      </c>
      <c r="U123" t="n">
        <v>0.7771</v>
      </c>
      <c r="V123" t="b">
        <v>1</v>
      </c>
      <c r="X123" t="b">
        <v>1</v>
      </c>
      <c r="Z123" t="n">
        <v>935</v>
      </c>
      <c r="AA123" t="n">
        <v>2.5</v>
      </c>
      <c r="AB123" t="n">
        <v>9.5</v>
      </c>
    </row>
    <row r="124">
      <c r="A124" t="inlineStr">
        <is>
          <t>2026-09-24 12:37:50</t>
        </is>
      </c>
      <c r="B124" t="inlineStr">
        <is>
          <t>MLLB_000_y1.0.3</t>
        </is>
      </c>
      <c r="C124" t="inlineStr">
        <is>
          <t>WHITE</t>
        </is>
      </c>
      <c r="D124" t="inlineStr">
        <is>
          <t>v4_white_MLLB_000_y103_0924</t>
        </is>
      </c>
      <c r="E124" t="n">
        <v>4.2</v>
      </c>
      <c r="F124" t="n">
        <v>4.2</v>
      </c>
      <c r="G124" t="n">
        <v>10</v>
      </c>
      <c r="H124" t="n">
        <v>100</v>
      </c>
      <c r="I124" t="n">
        <v>24</v>
      </c>
      <c r="J124" t="inlineStr">
        <is>
          <t>kaba</t>
        </is>
      </c>
      <c r="K124" t="b">
        <v>1</v>
      </c>
      <c r="M124" t="n">
        <v>28</v>
      </c>
      <c r="N124" t="n">
        <v>32</v>
      </c>
      <c r="O124" t="n">
        <v>6</v>
      </c>
      <c r="P124" t="n">
        <v>974</v>
      </c>
      <c r="Q124" t="n">
        <v>1002</v>
      </c>
      <c r="R124" t="n">
        <v>4.285</v>
      </c>
      <c r="S124" t="n">
        <v>81.166</v>
      </c>
      <c r="T124" t="n">
        <v>18.941</v>
      </c>
      <c r="U124" t="n">
        <v>0.7775</v>
      </c>
      <c r="V124" t="b">
        <v>1</v>
      </c>
      <c r="X124" t="b">
        <v>0</v>
      </c>
      <c r="Y124" t="inlineStr">
        <is>
          <t>FLAS</t>
        </is>
      </c>
      <c r="Z124" t="n">
        <v>935</v>
      </c>
      <c r="AA124" t="n">
        <v>2.5</v>
      </c>
      <c r="AB124" t="n">
        <v>9.5</v>
      </c>
    </row>
    <row r="125">
      <c r="A125" t="inlineStr">
        <is>
          <t>2026-09-24 12:38:06</t>
        </is>
      </c>
      <c r="B125" t="inlineStr">
        <is>
          <t>MLLB_000_y1.0.3</t>
        </is>
      </c>
      <c r="C125" t="inlineStr">
        <is>
          <t>WHITE</t>
        </is>
      </c>
      <c r="D125" t="inlineStr">
        <is>
          <t>v4_white_MLLB_000_y103_0924</t>
        </is>
      </c>
      <c r="E125" t="n">
        <v>4.2</v>
      </c>
      <c r="F125" t="n">
        <v>4.2</v>
      </c>
      <c r="G125" t="n">
        <v>10</v>
      </c>
      <c r="H125" t="n">
        <v>100</v>
      </c>
      <c r="I125" t="n">
        <v>28</v>
      </c>
      <c r="J125" t="inlineStr">
        <is>
          <t>kaba</t>
        </is>
      </c>
      <c r="K125" t="b">
        <v>1</v>
      </c>
      <c r="M125" t="n">
        <v>28</v>
      </c>
      <c r="N125" t="n">
        <v>30</v>
      </c>
      <c r="O125" t="n">
        <v>8</v>
      </c>
      <c r="P125" t="n">
        <v>974</v>
      </c>
      <c r="Q125" t="n">
        <v>1002</v>
      </c>
      <c r="R125" t="n">
        <v>7.315</v>
      </c>
      <c r="S125" t="n">
        <v>138.568</v>
      </c>
      <c r="T125" t="n">
        <v>18.942</v>
      </c>
      <c r="U125" t="n">
        <v>0.7776999999999999</v>
      </c>
      <c r="V125" t="b">
        <v>1</v>
      </c>
      <c r="X125" t="b">
        <v>0</v>
      </c>
      <c r="Y125" t="inlineStr">
        <is>
          <t>FLAS</t>
        </is>
      </c>
      <c r="Z125" t="n">
        <v>935</v>
      </c>
      <c r="AA125" t="n">
        <v>2.5</v>
      </c>
      <c r="AB125" t="n">
        <v>9.5</v>
      </c>
    </row>
    <row r="126">
      <c r="A126" t="inlineStr">
        <is>
          <t>2026-09-24 12:38:22</t>
        </is>
      </c>
      <c r="B126" t="inlineStr">
        <is>
          <t>MLLB_000_y1.0.3</t>
        </is>
      </c>
      <c r="C126" t="inlineStr">
        <is>
          <t>WHITE</t>
        </is>
      </c>
      <c r="D126" t="inlineStr">
        <is>
          <t>v4_white_MLLB_000_y103_0924</t>
        </is>
      </c>
      <c r="E126" t="n">
        <v>4.2</v>
      </c>
      <c r="F126" t="n">
        <v>4.2</v>
      </c>
      <c r="G126" t="n">
        <v>10</v>
      </c>
      <c r="H126" t="n">
        <v>100</v>
      </c>
      <c r="I126" t="n">
        <v>13</v>
      </c>
      <c r="J126" t="inlineStr">
        <is>
          <t>ince</t>
        </is>
      </c>
      <c r="K126" t="b">
        <v>1</v>
      </c>
      <c r="M126" t="n">
        <v>98</v>
      </c>
      <c r="N126" t="n">
        <v>32</v>
      </c>
      <c r="O126" t="n">
        <v>78</v>
      </c>
      <c r="P126" t="n">
        <v>904</v>
      </c>
      <c r="Q126" t="n">
        <v>1002</v>
      </c>
      <c r="R126" t="n">
        <v>1.076</v>
      </c>
      <c r="S126" t="n">
        <v>20.364</v>
      </c>
      <c r="T126" t="n">
        <v>18.918</v>
      </c>
      <c r="U126" t="n">
        <v>0.7768</v>
      </c>
      <c r="V126" t="b">
        <v>1</v>
      </c>
      <c r="X126" t="b">
        <v>0</v>
      </c>
      <c r="Y126" t="inlineStr">
        <is>
          <t>ON</t>
        </is>
      </c>
      <c r="Z126" t="n">
        <v>935</v>
      </c>
      <c r="AA126" t="n">
        <v>2.5</v>
      </c>
      <c r="AB126" t="n">
        <v>9.5</v>
      </c>
    </row>
    <row r="127">
      <c r="A127" t="inlineStr">
        <is>
          <t>2026-09-24 12:38:38</t>
        </is>
      </c>
      <c r="B127" t="inlineStr">
        <is>
          <t>MLLB_000_y1.0.3</t>
        </is>
      </c>
      <c r="C127" t="inlineStr">
        <is>
          <t>WHITE</t>
        </is>
      </c>
      <c r="D127" t="inlineStr">
        <is>
          <t>v4_white_MLLB_000_y103_0924</t>
        </is>
      </c>
      <c r="E127" t="n">
        <v>4.2</v>
      </c>
      <c r="F127" t="n">
        <v>4.2</v>
      </c>
      <c r="G127" t="n">
        <v>10</v>
      </c>
      <c r="H127" t="n">
        <v>100</v>
      </c>
      <c r="I127" t="n">
        <v>14</v>
      </c>
      <c r="J127" t="inlineStr">
        <is>
          <t>ince</t>
        </is>
      </c>
      <c r="K127" t="b">
        <v>1</v>
      </c>
      <c r="M127" t="n">
        <v>88</v>
      </c>
      <c r="N127" t="n">
        <v>36</v>
      </c>
      <c r="O127" t="n">
        <v>66</v>
      </c>
      <c r="P127" t="n">
        <v>914</v>
      </c>
      <c r="Q127" t="n">
        <v>1002</v>
      </c>
      <c r="R127" t="n">
        <v>1.075</v>
      </c>
      <c r="S127" t="n">
        <v>20.364</v>
      </c>
      <c r="T127" t="n">
        <v>18.944</v>
      </c>
      <c r="U127" t="n">
        <v>0.777</v>
      </c>
      <c r="V127" t="b">
        <v>1</v>
      </c>
      <c r="X127" t="b">
        <v>0</v>
      </c>
      <c r="Y127" t="inlineStr">
        <is>
          <t>ON</t>
        </is>
      </c>
      <c r="Z127" t="n">
        <v>935</v>
      </c>
      <c r="AA127" t="n">
        <v>2.5</v>
      </c>
      <c r="AB127" t="n">
        <v>9.5</v>
      </c>
    </row>
    <row r="128">
      <c r="A128" t="inlineStr">
        <is>
          <t>2026-09-24 12:38:54</t>
        </is>
      </c>
      <c r="B128" t="inlineStr">
        <is>
          <t>MLLB_000_y1.0.3</t>
        </is>
      </c>
      <c r="C128" t="inlineStr">
        <is>
          <t>WHITE</t>
        </is>
      </c>
      <c r="D128" t="inlineStr">
        <is>
          <t>v4_white_MLLB_000_y103_0924</t>
        </is>
      </c>
      <c r="E128" t="n">
        <v>4.2</v>
      </c>
      <c r="F128" t="n">
        <v>4.2</v>
      </c>
      <c r="G128" t="n">
        <v>10</v>
      </c>
      <c r="H128" t="n">
        <v>100</v>
      </c>
      <c r="I128" t="n">
        <v>15</v>
      </c>
      <c r="J128" t="inlineStr">
        <is>
          <t>ince</t>
        </is>
      </c>
      <c r="K128" t="b">
        <v>1</v>
      </c>
      <c r="M128" t="n">
        <v>78</v>
      </c>
      <c r="N128" t="n">
        <v>34</v>
      </c>
      <c r="O128" t="n">
        <v>56</v>
      </c>
      <c r="P128" t="n">
        <v>924</v>
      </c>
      <c r="Q128" t="n">
        <v>1002</v>
      </c>
      <c r="R128" t="n">
        <v>1.076</v>
      </c>
      <c r="S128" t="n">
        <v>20.374</v>
      </c>
      <c r="T128" t="n">
        <v>18.937</v>
      </c>
      <c r="U128" t="n">
        <v>0.7775</v>
      </c>
      <c r="V128" t="b">
        <v>1</v>
      </c>
      <c r="X128" t="b">
        <v>0</v>
      </c>
      <c r="Y128" t="inlineStr">
        <is>
          <t>ON</t>
        </is>
      </c>
      <c r="Z128" t="n">
        <v>935</v>
      </c>
      <c r="AA128" t="n">
        <v>2.5</v>
      </c>
      <c r="AB128" t="n">
        <v>9.5</v>
      </c>
    </row>
    <row r="129">
      <c r="A129" t="inlineStr">
        <is>
          <t>2026-09-24 12:38:54</t>
        </is>
      </c>
      <c r="B129" t="inlineStr">
        <is>
          <t>MLLB_000_y1.0.3</t>
        </is>
      </c>
      <c r="C129" t="inlineStr">
        <is>
          <t>WHITE</t>
        </is>
      </c>
      <c r="D129" t="inlineStr">
        <is>
          <t>v4_white_MLLB_000_y103_0924</t>
        </is>
      </c>
      <c r="E129" t="n">
        <v>4.2</v>
      </c>
      <c r="F129" t="n">
        <v>4.2</v>
      </c>
      <c r="G129" t="n">
        <v>10</v>
      </c>
      <c r="H129" t="n">
        <v>100</v>
      </c>
      <c r="I129" t="n">
        <v>17</v>
      </c>
      <c r="J129" t="inlineStr">
        <is>
          <t>ince</t>
        </is>
      </c>
      <c r="K129" t="b">
        <v>0</v>
      </c>
      <c r="L129" t="inlineStr">
        <is>
          <t>iki-OK-arasi-monotonluk</t>
        </is>
      </c>
      <c r="X129" t="b">
        <v>1</v>
      </c>
      <c r="Z129" t="n">
        <v>935</v>
      </c>
      <c r="AA129" t="n">
        <v>2.5</v>
      </c>
      <c r="AB129" t="n">
        <v>9.5</v>
      </c>
    </row>
    <row r="130">
      <c r="A130" t="inlineStr">
        <is>
          <t>2026-09-24 12:38:54</t>
        </is>
      </c>
      <c r="B130" t="inlineStr">
        <is>
          <t>MLLB_000_y1.0.3</t>
        </is>
      </c>
      <c r="C130" t="inlineStr">
        <is>
          <t>WHITE</t>
        </is>
      </c>
      <c r="D130" t="inlineStr">
        <is>
          <t>v4_white_MLLB_000_y103_0924</t>
        </is>
      </c>
      <c r="E130" t="n">
        <v>4.2</v>
      </c>
      <c r="F130" t="n">
        <v>4.2</v>
      </c>
      <c r="G130" t="n">
        <v>10</v>
      </c>
      <c r="H130" t="n">
        <v>100</v>
      </c>
      <c r="I130" t="n">
        <v>18</v>
      </c>
      <c r="J130" t="inlineStr">
        <is>
          <t>ince</t>
        </is>
      </c>
      <c r="K130" t="b">
        <v>0</v>
      </c>
      <c r="L130" t="inlineStr">
        <is>
          <t>iki-OK-arasi-monotonluk</t>
        </is>
      </c>
      <c r="X130" t="b">
        <v>1</v>
      </c>
      <c r="Z130" t="n">
        <v>935</v>
      </c>
      <c r="AA130" t="n">
        <v>2.5</v>
      </c>
      <c r="AB130" t="n">
        <v>9.5</v>
      </c>
    </row>
    <row r="131">
      <c r="A131" t="inlineStr">
        <is>
          <t>2026-09-24 12:38:54</t>
        </is>
      </c>
      <c r="B131" t="inlineStr">
        <is>
          <t>MLLB_000_y1.0.3</t>
        </is>
      </c>
      <c r="C131" t="inlineStr">
        <is>
          <t>WHITE</t>
        </is>
      </c>
      <c r="D131" t="inlineStr">
        <is>
          <t>v4_white_MLLB_000_y103_0924</t>
        </is>
      </c>
      <c r="E131" t="n">
        <v>4.2</v>
      </c>
      <c r="F131" t="n">
        <v>4.2</v>
      </c>
      <c r="G131" t="n">
        <v>10</v>
      </c>
      <c r="H131" t="n">
        <v>100</v>
      </c>
      <c r="I131" t="n">
        <v>19</v>
      </c>
      <c r="J131" t="inlineStr">
        <is>
          <t>ince</t>
        </is>
      </c>
      <c r="K131" t="b">
        <v>0</v>
      </c>
      <c r="L131" t="inlineStr">
        <is>
          <t>iki-OK-arasi-monotonluk</t>
        </is>
      </c>
      <c r="X131" t="b">
        <v>1</v>
      </c>
      <c r="Z131" t="n">
        <v>935</v>
      </c>
      <c r="AA131" t="n">
        <v>2.5</v>
      </c>
      <c r="AB131" t="n">
        <v>9.5</v>
      </c>
    </row>
    <row r="132">
      <c r="A132" t="inlineStr">
        <is>
          <t>2026-09-24 12:39:10</t>
        </is>
      </c>
      <c r="B132" t="inlineStr">
        <is>
          <t>MLLB_000_y1.0.3</t>
        </is>
      </c>
      <c r="C132" t="inlineStr">
        <is>
          <t>WHITE</t>
        </is>
      </c>
      <c r="D132" t="inlineStr">
        <is>
          <t>v4_white_MLLB_000_y103_0924</t>
        </is>
      </c>
      <c r="E132" t="n">
        <v>4.2</v>
      </c>
      <c r="F132" t="n">
        <v>4.2</v>
      </c>
      <c r="G132" t="n">
        <v>10</v>
      </c>
      <c r="H132" t="n">
        <v>100</v>
      </c>
      <c r="I132" t="n">
        <v>21</v>
      </c>
      <c r="J132" t="inlineStr">
        <is>
          <t>ince</t>
        </is>
      </c>
      <c r="K132" t="b">
        <v>1</v>
      </c>
      <c r="M132" t="n">
        <v>26</v>
      </c>
      <c r="N132" t="n">
        <v>32</v>
      </c>
      <c r="O132" t="n">
        <v>6</v>
      </c>
      <c r="P132" t="n">
        <v>976</v>
      </c>
      <c r="Q132" t="n">
        <v>1002</v>
      </c>
      <c r="R132" t="n">
        <v>1.279</v>
      </c>
      <c r="S132" t="n">
        <v>24.264</v>
      </c>
      <c r="T132" t="n">
        <v>18.969</v>
      </c>
      <c r="U132" t="n">
        <v>0.7776999999999999</v>
      </c>
      <c r="V132" t="b">
        <v>1</v>
      </c>
      <c r="X132" t="b">
        <v>1</v>
      </c>
      <c r="Z132" t="n">
        <v>935</v>
      </c>
      <c r="AA132" t="n">
        <v>2.5</v>
      </c>
      <c r="AB132" t="n">
        <v>9.5</v>
      </c>
    </row>
    <row r="133">
      <c r="A133" t="inlineStr">
        <is>
          <t>2026-09-24 12:39:26</t>
        </is>
      </c>
      <c r="B133" t="inlineStr">
        <is>
          <t>MLLB_000_y1.0.3</t>
        </is>
      </c>
      <c r="C133" t="inlineStr">
        <is>
          <t>WHITE</t>
        </is>
      </c>
      <c r="D133" t="inlineStr">
        <is>
          <t>v4_white_MLLB_000_y103_0924</t>
        </is>
      </c>
      <c r="E133" t="n">
        <v>4.2</v>
      </c>
      <c r="F133" t="n">
        <v>4.2</v>
      </c>
      <c r="G133" t="n">
        <v>10</v>
      </c>
      <c r="H133" t="n">
        <v>100</v>
      </c>
      <c r="I133" t="n">
        <v>22</v>
      </c>
      <c r="J133" t="inlineStr">
        <is>
          <t>ince</t>
        </is>
      </c>
      <c r="K133" t="b">
        <v>1</v>
      </c>
      <c r="M133" t="n">
        <v>28</v>
      </c>
      <c r="N133" t="n">
        <v>32</v>
      </c>
      <c r="O133" t="n">
        <v>6</v>
      </c>
      <c r="P133" t="n">
        <v>974</v>
      </c>
      <c r="Q133" t="n">
        <v>1002</v>
      </c>
      <c r="R133" t="n">
        <v>2.342</v>
      </c>
      <c r="S133" t="n">
        <v>44.482</v>
      </c>
      <c r="T133" t="n">
        <v>18.99</v>
      </c>
      <c r="U133" t="n">
        <v>0.7782</v>
      </c>
      <c r="V133" t="b">
        <v>1</v>
      </c>
      <c r="X133" t="b">
        <v>1</v>
      </c>
      <c r="Z133" t="n">
        <v>935</v>
      </c>
      <c r="AA133" t="n">
        <v>2.5</v>
      </c>
      <c r="AB133" t="n">
        <v>9.5</v>
      </c>
    </row>
    <row r="134">
      <c r="A134" t="inlineStr">
        <is>
          <t>2026-09-24 12:39:42</t>
        </is>
      </c>
      <c r="B134" t="inlineStr">
        <is>
          <t>MLLB_000_y1.0.3</t>
        </is>
      </c>
      <c r="C134" t="inlineStr">
        <is>
          <t>WHITE</t>
        </is>
      </c>
      <c r="D134" t="inlineStr">
        <is>
          <t>v4_white_MLLB_000_y103_0924</t>
        </is>
      </c>
      <c r="E134" t="n">
        <v>4.2</v>
      </c>
      <c r="F134" t="n">
        <v>4.2</v>
      </c>
      <c r="G134" t="n">
        <v>10</v>
      </c>
      <c r="H134" t="n">
        <v>100</v>
      </c>
      <c r="I134" t="n">
        <v>23</v>
      </c>
      <c r="J134" t="inlineStr">
        <is>
          <t>ince</t>
        </is>
      </c>
      <c r="K134" t="b">
        <v>1</v>
      </c>
      <c r="M134" t="n">
        <v>26</v>
      </c>
      <c r="N134" t="n">
        <v>32</v>
      </c>
      <c r="O134" t="n">
        <v>6</v>
      </c>
      <c r="P134" t="n">
        <v>976</v>
      </c>
      <c r="Q134" t="n">
        <v>1002</v>
      </c>
      <c r="R134" t="n">
        <v>3.85</v>
      </c>
      <c r="S134" t="n">
        <v>72.98999999999999</v>
      </c>
      <c r="T134" t="n">
        <v>18.956</v>
      </c>
      <c r="U134" t="n">
        <v>0.7776999999999999</v>
      </c>
      <c r="V134" t="b">
        <v>1</v>
      </c>
      <c r="X134" t="b">
        <v>0</v>
      </c>
      <c r="Y134" t="inlineStr">
        <is>
          <t>FLAS</t>
        </is>
      </c>
      <c r="Z134" t="n">
        <v>935</v>
      </c>
      <c r="AA134" t="n">
        <v>2.5</v>
      </c>
      <c r="AB134" t="n">
        <v>9.5</v>
      </c>
    </row>
    <row r="135">
      <c r="A135" t="inlineStr">
        <is>
          <t>2026-09-24 12:39:43</t>
        </is>
      </c>
      <c r="B135" t="inlineStr">
        <is>
          <t>MLLB_000_y1.0.3</t>
        </is>
      </c>
      <c r="C135" t="inlineStr">
        <is>
          <t>WHITE</t>
        </is>
      </c>
      <c r="D135" t="inlineStr">
        <is>
          <t>v4_white_MLLB_000_y103_0924</t>
        </is>
      </c>
      <c r="E135" t="n">
        <v>4.2</v>
      </c>
      <c r="F135" t="n">
        <v>4.2</v>
      </c>
      <c r="G135" t="n">
        <v>10</v>
      </c>
      <c r="H135" t="n">
        <v>100</v>
      </c>
      <c r="J135" t="inlineStr">
        <is>
          <t>bitti</t>
        </is>
      </c>
      <c r="K135" t="b">
        <v>0</v>
      </c>
      <c r="Z135" t="n">
        <v>935</v>
      </c>
      <c r="AA135" t="n">
        <v>2.5</v>
      </c>
      <c r="AB135" t="n">
        <v>9.5</v>
      </c>
    </row>
    <row r="136">
      <c r="A136" t="inlineStr">
        <is>
          <t>2026-09-24 12:39:55</t>
        </is>
      </c>
      <c r="B136" t="inlineStr">
        <is>
          <t>MLLB_000_y1.0.3</t>
        </is>
      </c>
      <c r="C136" t="inlineStr">
        <is>
          <t>WHITE</t>
        </is>
      </c>
      <c r="D136" t="inlineStr">
        <is>
          <t>v4_white_MLLB_000_y103_0924</t>
        </is>
      </c>
      <c r="E136" t="n">
        <v>4.2</v>
      </c>
      <c r="F136" t="n">
        <v>4.2</v>
      </c>
      <c r="G136" t="n">
        <v>10</v>
      </c>
      <c r="H136" t="n">
        <v>80</v>
      </c>
      <c r="I136" t="n">
        <v>12</v>
      </c>
      <c r="J136" t="inlineStr">
        <is>
          <t>kaba</t>
        </is>
      </c>
      <c r="K136" t="b">
        <v>1</v>
      </c>
      <c r="M136" t="n">
        <v>130</v>
      </c>
      <c r="N136" t="n">
        <v>32</v>
      </c>
      <c r="O136" t="n">
        <v>110</v>
      </c>
      <c r="P136" t="n">
        <v>872</v>
      </c>
      <c r="Q136" t="n">
        <v>1002</v>
      </c>
      <c r="R136" t="n">
        <v>1.078</v>
      </c>
      <c r="S136" t="n">
        <v>20.364</v>
      </c>
      <c r="T136" t="n">
        <v>18.89</v>
      </c>
      <c r="U136" t="n">
        <v>0.7771</v>
      </c>
      <c r="V136" t="b">
        <v>1</v>
      </c>
      <c r="X136" t="b">
        <v>0</v>
      </c>
      <c r="Y136" t="inlineStr">
        <is>
          <t>ON</t>
        </is>
      </c>
      <c r="Z136" t="n">
        <v>935</v>
      </c>
      <c r="AA136" t="n">
        <v>2.5</v>
      </c>
      <c r="AB136" t="n">
        <v>9.5</v>
      </c>
    </row>
    <row r="137">
      <c r="A137" t="inlineStr">
        <is>
          <t>2026-09-24 12:40:10</t>
        </is>
      </c>
      <c r="B137" t="inlineStr">
        <is>
          <t>MLLB_000_y1.0.3</t>
        </is>
      </c>
      <c r="C137" t="inlineStr">
        <is>
          <t>WHITE</t>
        </is>
      </c>
      <c r="D137" t="inlineStr">
        <is>
          <t>v4_white_MLLB_000_y103_0924</t>
        </is>
      </c>
      <c r="E137" t="n">
        <v>4.2</v>
      </c>
      <c r="F137" t="n">
        <v>4.2</v>
      </c>
      <c r="G137" t="n">
        <v>10</v>
      </c>
      <c r="H137" t="n">
        <v>80</v>
      </c>
      <c r="I137" t="n">
        <v>16</v>
      </c>
      <c r="J137" t="inlineStr">
        <is>
          <t>kaba</t>
        </is>
      </c>
      <c r="K137" t="b">
        <v>1</v>
      </c>
      <c r="M137" t="n">
        <v>96</v>
      </c>
      <c r="N137" t="n">
        <v>36</v>
      </c>
      <c r="O137" t="n">
        <v>74</v>
      </c>
      <c r="P137" t="n">
        <v>906</v>
      </c>
      <c r="Q137" t="n">
        <v>1002</v>
      </c>
      <c r="R137" t="n">
        <v>1.076</v>
      </c>
      <c r="S137" t="n">
        <v>20.364</v>
      </c>
      <c r="T137" t="n">
        <v>18.92</v>
      </c>
      <c r="U137" t="n">
        <v>0.7772</v>
      </c>
      <c r="V137" t="b">
        <v>1</v>
      </c>
      <c r="X137" t="b">
        <v>0</v>
      </c>
      <c r="Y137" t="inlineStr">
        <is>
          <t>ON</t>
        </is>
      </c>
      <c r="Z137" t="n">
        <v>935</v>
      </c>
      <c r="AA137" t="n">
        <v>2.5</v>
      </c>
      <c r="AB137" t="n">
        <v>9.5</v>
      </c>
    </row>
    <row r="138">
      <c r="A138" t="inlineStr">
        <is>
          <t>2026-09-24 12:40:26</t>
        </is>
      </c>
      <c r="B138" t="inlineStr">
        <is>
          <t>MLLB_000_y1.0.3</t>
        </is>
      </c>
      <c r="C138" t="inlineStr">
        <is>
          <t>WHITE</t>
        </is>
      </c>
      <c r="D138" t="inlineStr">
        <is>
          <t>v4_white_MLLB_000_y103_0924</t>
        </is>
      </c>
      <c r="E138" t="n">
        <v>4.2</v>
      </c>
      <c r="F138" t="n">
        <v>4.2</v>
      </c>
      <c r="G138" t="n">
        <v>10</v>
      </c>
      <c r="H138" t="n">
        <v>80</v>
      </c>
      <c r="I138" t="n">
        <v>20</v>
      </c>
      <c r="J138" t="inlineStr">
        <is>
          <t>kaba</t>
        </is>
      </c>
      <c r="K138" t="b">
        <v>1</v>
      </c>
      <c r="M138" t="n">
        <v>62</v>
      </c>
      <c r="N138" t="n">
        <v>32</v>
      </c>
      <c r="O138" t="n">
        <v>42</v>
      </c>
      <c r="P138" t="n">
        <v>940</v>
      </c>
      <c r="Q138" t="n">
        <v>1002</v>
      </c>
      <c r="R138" t="n">
        <v>1.076</v>
      </c>
      <c r="S138" t="n">
        <v>20.401</v>
      </c>
      <c r="T138" t="n">
        <v>18.953</v>
      </c>
      <c r="U138" t="n">
        <v>0.7769</v>
      </c>
      <c r="V138" t="b">
        <v>1</v>
      </c>
      <c r="X138" t="b">
        <v>1</v>
      </c>
      <c r="Z138" t="n">
        <v>935</v>
      </c>
      <c r="AA138" t="n">
        <v>2.5</v>
      </c>
      <c r="AB138" t="n">
        <v>9.5</v>
      </c>
    </row>
    <row r="139">
      <c r="A139" t="inlineStr">
        <is>
          <t>2026-09-24 12:40:42</t>
        </is>
      </c>
      <c r="B139" t="inlineStr">
        <is>
          <t>MLLB_000_y1.0.3</t>
        </is>
      </c>
      <c r="C139" t="inlineStr">
        <is>
          <t>WHITE</t>
        </is>
      </c>
      <c r="D139" t="inlineStr">
        <is>
          <t>v4_white_MLLB_000_y103_0924</t>
        </is>
      </c>
      <c r="E139" t="n">
        <v>4.2</v>
      </c>
      <c r="F139" t="n">
        <v>4.2</v>
      </c>
      <c r="G139" t="n">
        <v>10</v>
      </c>
      <c r="H139" t="n">
        <v>80</v>
      </c>
      <c r="I139" t="n">
        <v>24</v>
      </c>
      <c r="J139" t="inlineStr">
        <is>
          <t>kaba</t>
        </is>
      </c>
      <c r="K139" t="b">
        <v>1</v>
      </c>
      <c r="M139" t="n">
        <v>32</v>
      </c>
      <c r="N139" t="n">
        <v>32</v>
      </c>
      <c r="O139" t="n">
        <v>10</v>
      </c>
      <c r="P139" t="n">
        <v>970</v>
      </c>
      <c r="Q139" t="n">
        <v>1002</v>
      </c>
      <c r="R139" t="n">
        <v>1.075</v>
      </c>
      <c r="S139" t="n">
        <v>20.364</v>
      </c>
      <c r="T139" t="n">
        <v>18.942</v>
      </c>
      <c r="U139" t="n">
        <v>0.7774</v>
      </c>
      <c r="V139" t="b">
        <v>1</v>
      </c>
      <c r="X139" t="b">
        <v>1</v>
      </c>
      <c r="Z139" t="n">
        <v>935</v>
      </c>
      <c r="AA139" t="n">
        <v>2.5</v>
      </c>
      <c r="AB139" t="n">
        <v>9.5</v>
      </c>
    </row>
    <row r="140">
      <c r="A140" t="inlineStr">
        <is>
          <t>2026-09-24 12:40:58</t>
        </is>
      </c>
      <c r="B140" t="inlineStr">
        <is>
          <t>MLLB_000_y1.0.3</t>
        </is>
      </c>
      <c r="C140" t="inlineStr">
        <is>
          <t>WHITE</t>
        </is>
      </c>
      <c r="D140" t="inlineStr">
        <is>
          <t>v4_white_MLLB_000_y103_0924</t>
        </is>
      </c>
      <c r="E140" t="n">
        <v>4.2</v>
      </c>
      <c r="F140" t="n">
        <v>4.2</v>
      </c>
      <c r="G140" t="n">
        <v>10</v>
      </c>
      <c r="H140" t="n">
        <v>80</v>
      </c>
      <c r="I140" t="n">
        <v>28</v>
      </c>
      <c r="J140" t="inlineStr">
        <is>
          <t>kaba</t>
        </is>
      </c>
      <c r="K140" t="b">
        <v>1</v>
      </c>
      <c r="M140" t="n">
        <v>30</v>
      </c>
      <c r="N140" t="n">
        <v>32</v>
      </c>
      <c r="O140" t="n">
        <v>10</v>
      </c>
      <c r="P140" t="n">
        <v>972</v>
      </c>
      <c r="Q140" t="n">
        <v>1002</v>
      </c>
      <c r="R140" t="n">
        <v>3.888</v>
      </c>
      <c r="S140" t="n">
        <v>73.65600000000001</v>
      </c>
      <c r="T140" t="n">
        <v>18.943</v>
      </c>
      <c r="U140" t="n">
        <v>0.7783</v>
      </c>
      <c r="V140" t="b">
        <v>1</v>
      </c>
      <c r="X140" t="b">
        <v>0</v>
      </c>
      <c r="Y140" t="inlineStr">
        <is>
          <t>FLAS</t>
        </is>
      </c>
      <c r="Z140" t="n">
        <v>935</v>
      </c>
      <c r="AA140" t="n">
        <v>2.5</v>
      </c>
      <c r="AB140" t="n">
        <v>9.5</v>
      </c>
    </row>
    <row r="141">
      <c r="A141" t="inlineStr">
        <is>
          <t>2026-09-24 12:41:14</t>
        </is>
      </c>
      <c r="B141" t="inlineStr">
        <is>
          <t>MLLB_000_y1.0.3</t>
        </is>
      </c>
      <c r="C141" t="inlineStr">
        <is>
          <t>WHITE</t>
        </is>
      </c>
      <c r="D141" t="inlineStr">
        <is>
          <t>v4_white_MLLB_000_y103_0924</t>
        </is>
      </c>
      <c r="E141" t="n">
        <v>4.2</v>
      </c>
      <c r="F141" t="n">
        <v>4.2</v>
      </c>
      <c r="G141" t="n">
        <v>10</v>
      </c>
      <c r="H141" t="n">
        <v>80</v>
      </c>
      <c r="I141" t="n">
        <v>32</v>
      </c>
      <c r="J141" t="inlineStr">
        <is>
          <t>kaba</t>
        </is>
      </c>
      <c r="K141" t="b">
        <v>1</v>
      </c>
      <c r="M141" t="n">
        <v>30</v>
      </c>
      <c r="N141" t="n">
        <v>32</v>
      </c>
      <c r="O141" t="n">
        <v>10</v>
      </c>
      <c r="P141" t="n">
        <v>972</v>
      </c>
      <c r="Q141" t="n">
        <v>1002</v>
      </c>
      <c r="R141" t="n">
        <v>5.554</v>
      </c>
      <c r="S141" t="n">
        <v>105.277</v>
      </c>
      <c r="T141" t="n">
        <v>18.956</v>
      </c>
      <c r="U141" t="n">
        <v>0.777</v>
      </c>
      <c r="V141" t="b">
        <v>1</v>
      </c>
      <c r="X141" t="b">
        <v>0</v>
      </c>
      <c r="Y141" t="inlineStr">
        <is>
          <t>FLAS</t>
        </is>
      </c>
      <c r="Z141" t="n">
        <v>935</v>
      </c>
      <c r="AA141" t="n">
        <v>2.5</v>
      </c>
      <c r="AB141" t="n">
        <v>9.5</v>
      </c>
    </row>
    <row r="142">
      <c r="A142" t="inlineStr">
        <is>
          <t>2026-09-24 12:41:30</t>
        </is>
      </c>
      <c r="B142" t="inlineStr">
        <is>
          <t>MLLB_000_y1.0.3</t>
        </is>
      </c>
      <c r="C142" t="inlineStr">
        <is>
          <t>WHITE</t>
        </is>
      </c>
      <c r="D142" t="inlineStr">
        <is>
          <t>v4_white_MLLB_000_y103_0924</t>
        </is>
      </c>
      <c r="E142" t="n">
        <v>4.2</v>
      </c>
      <c r="F142" t="n">
        <v>4.2</v>
      </c>
      <c r="G142" t="n">
        <v>10</v>
      </c>
      <c r="H142" t="n">
        <v>80</v>
      </c>
      <c r="I142" t="n">
        <v>17</v>
      </c>
      <c r="J142" t="inlineStr">
        <is>
          <t>ince</t>
        </is>
      </c>
      <c r="K142" t="b">
        <v>1</v>
      </c>
      <c r="M142" t="n">
        <v>88</v>
      </c>
      <c r="N142" t="n">
        <v>36</v>
      </c>
      <c r="O142" t="n">
        <v>66</v>
      </c>
      <c r="P142" t="n">
        <v>914</v>
      </c>
      <c r="Q142" t="n">
        <v>1002</v>
      </c>
      <c r="R142" t="n">
        <v>1.076</v>
      </c>
      <c r="S142" t="n">
        <v>20.364</v>
      </c>
      <c r="T142" t="n">
        <v>18.922</v>
      </c>
      <c r="U142" t="n">
        <v>0.7776</v>
      </c>
      <c r="V142" t="b">
        <v>1</v>
      </c>
      <c r="X142" t="b">
        <v>0</v>
      </c>
      <c r="Y142" t="inlineStr">
        <is>
          <t>ON</t>
        </is>
      </c>
      <c r="Z142" t="n">
        <v>935</v>
      </c>
      <c r="AA142" t="n">
        <v>2.5</v>
      </c>
      <c r="AB142" t="n">
        <v>9.5</v>
      </c>
    </row>
    <row r="143">
      <c r="A143" t="inlineStr">
        <is>
          <t>2026-09-24 12:41:46</t>
        </is>
      </c>
      <c r="B143" t="inlineStr">
        <is>
          <t>MLLB_000_y1.0.3</t>
        </is>
      </c>
      <c r="C143" t="inlineStr">
        <is>
          <t>WHITE</t>
        </is>
      </c>
      <c r="D143" t="inlineStr">
        <is>
          <t>v4_white_MLLB_000_y103_0924</t>
        </is>
      </c>
      <c r="E143" t="n">
        <v>4.2</v>
      </c>
      <c r="F143" t="n">
        <v>4.2</v>
      </c>
      <c r="G143" t="n">
        <v>10</v>
      </c>
      <c r="H143" t="n">
        <v>80</v>
      </c>
      <c r="I143" t="n">
        <v>18</v>
      </c>
      <c r="J143" t="inlineStr">
        <is>
          <t>ince</t>
        </is>
      </c>
      <c r="K143" t="b">
        <v>1</v>
      </c>
      <c r="M143" t="n">
        <v>80</v>
      </c>
      <c r="N143" t="n">
        <v>36</v>
      </c>
      <c r="O143" t="n">
        <v>58</v>
      </c>
      <c r="P143" t="n">
        <v>922</v>
      </c>
      <c r="Q143" t="n">
        <v>1002</v>
      </c>
      <c r="R143" t="n">
        <v>1.076</v>
      </c>
      <c r="S143" t="n">
        <v>20.372</v>
      </c>
      <c r="T143" t="n">
        <v>18.926</v>
      </c>
      <c r="U143" t="n">
        <v>0.7776</v>
      </c>
      <c r="V143" t="b">
        <v>1</v>
      </c>
      <c r="X143" t="b">
        <v>0</v>
      </c>
      <c r="Y143" t="inlineStr">
        <is>
          <t>ON</t>
        </is>
      </c>
      <c r="Z143" t="n">
        <v>935</v>
      </c>
      <c r="AA143" t="n">
        <v>2.5</v>
      </c>
      <c r="AB143" t="n">
        <v>9.5</v>
      </c>
    </row>
    <row r="144">
      <c r="A144" t="inlineStr">
        <is>
          <t>2026-09-24 12:42:02</t>
        </is>
      </c>
      <c r="B144" t="inlineStr">
        <is>
          <t>MLLB_000_y1.0.3</t>
        </is>
      </c>
      <c r="C144" t="inlineStr">
        <is>
          <t>WHITE</t>
        </is>
      </c>
      <c r="D144" t="inlineStr">
        <is>
          <t>v4_white_MLLB_000_y103_0924</t>
        </is>
      </c>
      <c r="E144" t="n">
        <v>4.2</v>
      </c>
      <c r="F144" t="n">
        <v>4.2</v>
      </c>
      <c r="G144" t="n">
        <v>10</v>
      </c>
      <c r="H144" t="n">
        <v>80</v>
      </c>
      <c r="I144" t="n">
        <v>19</v>
      </c>
      <c r="J144" t="inlineStr">
        <is>
          <t>ince</t>
        </is>
      </c>
      <c r="K144" t="b">
        <v>1</v>
      </c>
      <c r="M144" t="n">
        <v>70</v>
      </c>
      <c r="N144" t="n">
        <v>32</v>
      </c>
      <c r="O144" t="n">
        <v>50</v>
      </c>
      <c r="P144" t="n">
        <v>932</v>
      </c>
      <c r="Q144" t="n">
        <v>1002</v>
      </c>
      <c r="R144" t="n">
        <v>1.075</v>
      </c>
      <c r="S144" t="n">
        <v>20.364</v>
      </c>
      <c r="T144" t="n">
        <v>18.951</v>
      </c>
      <c r="U144" t="n">
        <v>0.7772</v>
      </c>
      <c r="V144" t="b">
        <v>1</v>
      </c>
      <c r="X144" t="b">
        <v>0</v>
      </c>
      <c r="Y144" t="inlineStr">
        <is>
          <t>ON</t>
        </is>
      </c>
      <c r="Z144" t="n">
        <v>935</v>
      </c>
      <c r="AA144" t="n">
        <v>2.5</v>
      </c>
      <c r="AB144" t="n">
        <v>9.5</v>
      </c>
    </row>
    <row r="145">
      <c r="A145" t="inlineStr">
        <is>
          <t>2026-09-24 12:42:02</t>
        </is>
      </c>
      <c r="B145" t="inlineStr">
        <is>
          <t>MLLB_000_y1.0.3</t>
        </is>
      </c>
      <c r="C145" t="inlineStr">
        <is>
          <t>WHITE</t>
        </is>
      </c>
      <c r="D145" t="inlineStr">
        <is>
          <t>v4_white_MLLB_000_y103_0924</t>
        </is>
      </c>
      <c r="E145" t="n">
        <v>4.2</v>
      </c>
      <c r="F145" t="n">
        <v>4.2</v>
      </c>
      <c r="G145" t="n">
        <v>10</v>
      </c>
      <c r="H145" t="n">
        <v>80</v>
      </c>
      <c r="I145" t="n">
        <v>21</v>
      </c>
      <c r="J145" t="inlineStr">
        <is>
          <t>ince</t>
        </is>
      </c>
      <c r="K145" t="b">
        <v>0</v>
      </c>
      <c r="L145" t="inlineStr">
        <is>
          <t>iki-OK-arasi-monotonluk</t>
        </is>
      </c>
      <c r="X145" t="b">
        <v>1</v>
      </c>
      <c r="Z145" t="n">
        <v>935</v>
      </c>
      <c r="AA145" t="n">
        <v>2.5</v>
      </c>
      <c r="AB145" t="n">
        <v>9.5</v>
      </c>
    </row>
    <row r="146">
      <c r="A146" t="inlineStr">
        <is>
          <t>2026-09-24 12:42:02</t>
        </is>
      </c>
      <c r="B146" t="inlineStr">
        <is>
          <t>MLLB_000_y1.0.3</t>
        </is>
      </c>
      <c r="C146" t="inlineStr">
        <is>
          <t>WHITE</t>
        </is>
      </c>
      <c r="D146" t="inlineStr">
        <is>
          <t>v4_white_MLLB_000_y103_0924</t>
        </is>
      </c>
      <c r="E146" t="n">
        <v>4.2</v>
      </c>
      <c r="F146" t="n">
        <v>4.2</v>
      </c>
      <c r="G146" t="n">
        <v>10</v>
      </c>
      <c r="H146" t="n">
        <v>80</v>
      </c>
      <c r="I146" t="n">
        <v>22</v>
      </c>
      <c r="J146" t="inlineStr">
        <is>
          <t>ince</t>
        </is>
      </c>
      <c r="K146" t="b">
        <v>0</v>
      </c>
      <c r="L146" t="inlineStr">
        <is>
          <t>iki-OK-arasi-monotonluk</t>
        </is>
      </c>
      <c r="X146" t="b">
        <v>1</v>
      </c>
      <c r="Z146" t="n">
        <v>935</v>
      </c>
      <c r="AA146" t="n">
        <v>2.5</v>
      </c>
      <c r="AB146" t="n">
        <v>9.5</v>
      </c>
    </row>
    <row r="147">
      <c r="A147" t="inlineStr">
        <is>
          <t>2026-09-24 12:42:02</t>
        </is>
      </c>
      <c r="B147" t="inlineStr">
        <is>
          <t>MLLB_000_y1.0.3</t>
        </is>
      </c>
      <c r="C147" t="inlineStr">
        <is>
          <t>WHITE</t>
        </is>
      </c>
      <c r="D147" t="inlineStr">
        <is>
          <t>v4_white_MLLB_000_y103_0924</t>
        </is>
      </c>
      <c r="E147" t="n">
        <v>4.2</v>
      </c>
      <c r="F147" t="n">
        <v>4.2</v>
      </c>
      <c r="G147" t="n">
        <v>10</v>
      </c>
      <c r="H147" t="n">
        <v>80</v>
      </c>
      <c r="I147" t="n">
        <v>23</v>
      </c>
      <c r="J147" t="inlineStr">
        <is>
          <t>ince</t>
        </is>
      </c>
      <c r="K147" t="b">
        <v>0</v>
      </c>
      <c r="L147" t="inlineStr">
        <is>
          <t>iki-OK-arasi-monotonluk</t>
        </is>
      </c>
      <c r="X147" t="b">
        <v>1</v>
      </c>
      <c r="Z147" t="n">
        <v>935</v>
      </c>
      <c r="AA147" t="n">
        <v>2.5</v>
      </c>
      <c r="AB147" t="n">
        <v>9.5</v>
      </c>
    </row>
    <row r="148">
      <c r="A148" t="inlineStr">
        <is>
          <t>2026-09-24 12:42:18</t>
        </is>
      </c>
      <c r="B148" t="inlineStr">
        <is>
          <t>MLLB_000_y1.0.3</t>
        </is>
      </c>
      <c r="C148" t="inlineStr">
        <is>
          <t>WHITE</t>
        </is>
      </c>
      <c r="D148" t="inlineStr">
        <is>
          <t>v4_white_MLLB_000_y103_0924</t>
        </is>
      </c>
      <c r="E148" t="n">
        <v>4.2</v>
      </c>
      <c r="F148" t="n">
        <v>4.2</v>
      </c>
      <c r="G148" t="n">
        <v>10</v>
      </c>
      <c r="H148" t="n">
        <v>80</v>
      </c>
      <c r="I148" t="n">
        <v>25</v>
      </c>
      <c r="J148" t="inlineStr">
        <is>
          <t>ince</t>
        </is>
      </c>
      <c r="K148" t="b">
        <v>1</v>
      </c>
      <c r="M148" t="n">
        <v>30</v>
      </c>
      <c r="N148" t="n">
        <v>32</v>
      </c>
      <c r="O148" t="n">
        <v>10</v>
      </c>
      <c r="P148" t="n">
        <v>972</v>
      </c>
      <c r="Q148" t="n">
        <v>1002</v>
      </c>
      <c r="R148" t="n">
        <v>1.075</v>
      </c>
      <c r="S148" t="n">
        <v>20.364</v>
      </c>
      <c r="T148" t="n">
        <v>18.94</v>
      </c>
      <c r="U148" t="n">
        <v>0.7776999999999999</v>
      </c>
      <c r="V148" t="b">
        <v>1</v>
      </c>
      <c r="X148" t="b">
        <v>1</v>
      </c>
      <c r="Z148" t="n">
        <v>935</v>
      </c>
      <c r="AA148" t="n">
        <v>2.5</v>
      </c>
      <c r="AB148" t="n">
        <v>9.5</v>
      </c>
    </row>
    <row r="149">
      <c r="A149" t="inlineStr">
        <is>
          <t>2026-09-24 12:42:34</t>
        </is>
      </c>
      <c r="B149" t="inlineStr">
        <is>
          <t>MLLB_000_y1.0.3</t>
        </is>
      </c>
      <c r="C149" t="inlineStr">
        <is>
          <t>WHITE</t>
        </is>
      </c>
      <c r="D149" t="inlineStr">
        <is>
          <t>v4_white_MLLB_000_y103_0924</t>
        </is>
      </c>
      <c r="E149" t="n">
        <v>4.2</v>
      </c>
      <c r="F149" t="n">
        <v>4.2</v>
      </c>
      <c r="G149" t="n">
        <v>10</v>
      </c>
      <c r="H149" t="n">
        <v>80</v>
      </c>
      <c r="I149" t="n">
        <v>26</v>
      </c>
      <c r="J149" t="inlineStr">
        <is>
          <t>ince</t>
        </is>
      </c>
      <c r="K149" t="b">
        <v>1</v>
      </c>
      <c r="M149" t="n">
        <v>30</v>
      </c>
      <c r="N149" t="n">
        <v>32</v>
      </c>
      <c r="O149" t="n">
        <v>10</v>
      </c>
      <c r="P149" t="n">
        <v>972</v>
      </c>
      <c r="Q149" t="n">
        <v>1002</v>
      </c>
      <c r="R149" t="n">
        <v>1.834</v>
      </c>
      <c r="S149" t="n">
        <v>34.715</v>
      </c>
      <c r="T149" t="n">
        <v>18.933</v>
      </c>
      <c r="U149" t="n">
        <v>0.7779</v>
      </c>
      <c r="V149" t="b">
        <v>1</v>
      </c>
      <c r="X149" t="b">
        <v>1</v>
      </c>
      <c r="Z149" t="n">
        <v>935</v>
      </c>
      <c r="AA149" t="n">
        <v>2.5</v>
      </c>
      <c r="AB149" t="n">
        <v>9.5</v>
      </c>
    </row>
    <row r="150">
      <c r="A150" t="inlineStr">
        <is>
          <t>2026-09-24 12:42:50</t>
        </is>
      </c>
      <c r="B150" t="inlineStr">
        <is>
          <t>MLLB_000_y1.0.3</t>
        </is>
      </c>
      <c r="C150" t="inlineStr">
        <is>
          <t>WHITE</t>
        </is>
      </c>
      <c r="D150" t="inlineStr">
        <is>
          <t>v4_white_MLLB_000_y103_0924</t>
        </is>
      </c>
      <c r="E150" t="n">
        <v>4.2</v>
      </c>
      <c r="F150" t="n">
        <v>4.2</v>
      </c>
      <c r="G150" t="n">
        <v>10</v>
      </c>
      <c r="H150" t="n">
        <v>80</v>
      </c>
      <c r="I150" t="n">
        <v>27</v>
      </c>
      <c r="J150" t="inlineStr">
        <is>
          <t>ince</t>
        </is>
      </c>
      <c r="K150" t="b">
        <v>1</v>
      </c>
      <c r="M150" t="n">
        <v>30</v>
      </c>
      <c r="N150" t="n">
        <v>32</v>
      </c>
      <c r="O150" t="n">
        <v>10</v>
      </c>
      <c r="P150" t="n">
        <v>972</v>
      </c>
      <c r="Q150" t="n">
        <v>1002</v>
      </c>
      <c r="R150" t="n">
        <v>2.667</v>
      </c>
      <c r="S150" t="n">
        <v>50.537</v>
      </c>
      <c r="T150" t="n">
        <v>18.949</v>
      </c>
      <c r="U150" t="n">
        <v>0.7773</v>
      </c>
      <c r="V150" t="b">
        <v>1</v>
      </c>
      <c r="X150" t="b">
        <v>0</v>
      </c>
      <c r="Y150" t="inlineStr">
        <is>
          <t>FLAS</t>
        </is>
      </c>
      <c r="Z150" t="n">
        <v>935</v>
      </c>
      <c r="AA150" t="n">
        <v>2.5</v>
      </c>
      <c r="AB150" t="n">
        <v>9.5</v>
      </c>
    </row>
    <row r="151">
      <c r="A151" t="inlineStr">
        <is>
          <t>2026-09-24 12:42:50</t>
        </is>
      </c>
      <c r="B151" t="inlineStr">
        <is>
          <t>MLLB_000_y1.0.3</t>
        </is>
      </c>
      <c r="C151" t="inlineStr">
        <is>
          <t>WHITE</t>
        </is>
      </c>
      <c r="D151" t="inlineStr">
        <is>
          <t>v4_white_MLLB_000_y103_0924</t>
        </is>
      </c>
      <c r="E151" t="n">
        <v>4.2</v>
      </c>
      <c r="F151" t="n">
        <v>4.2</v>
      </c>
      <c r="G151" t="n">
        <v>10</v>
      </c>
      <c r="H151" t="n">
        <v>80</v>
      </c>
      <c r="J151" t="inlineStr">
        <is>
          <t>bitti</t>
        </is>
      </c>
      <c r="K151" t="b">
        <v>0</v>
      </c>
      <c r="Z151" t="n">
        <v>935</v>
      </c>
      <c r="AA151" t="n">
        <v>2.5</v>
      </c>
      <c r="AB151" t="n">
        <v>9.5</v>
      </c>
    </row>
    <row r="152">
      <c r="A152" t="inlineStr">
        <is>
          <t>2026-09-24 13:13:39</t>
        </is>
      </c>
      <c r="B152" t="inlineStr">
        <is>
          <t>MLLB_000_y1.0.3</t>
        </is>
      </c>
      <c r="C152" t="inlineStr">
        <is>
          <t>WHITE</t>
        </is>
      </c>
      <c r="D152" t="inlineStr">
        <is>
          <t>v4_white_MLLB_000_y103_0924</t>
        </is>
      </c>
      <c r="E152" t="n">
        <v>4.2</v>
      </c>
      <c r="F152" t="n">
        <v>4.2</v>
      </c>
      <c r="G152" t="n">
        <v>10</v>
      </c>
      <c r="H152" t="n">
        <v>60</v>
      </c>
      <c r="I152" t="n">
        <v>12</v>
      </c>
      <c r="J152" t="inlineStr">
        <is>
          <t>kaba</t>
        </is>
      </c>
      <c r="K152" t="b">
        <v>1</v>
      </c>
      <c r="M152" t="n">
        <v>154</v>
      </c>
      <c r="N152" t="n">
        <v>34</v>
      </c>
      <c r="O152" t="n">
        <v>132</v>
      </c>
      <c r="P152" t="n">
        <v>848</v>
      </c>
      <c r="Q152" t="n">
        <v>1002</v>
      </c>
      <c r="R152" t="n">
        <v>1.079</v>
      </c>
      <c r="S152" t="n">
        <v>20.364</v>
      </c>
      <c r="T152" t="n">
        <v>18.865</v>
      </c>
      <c r="U152" t="n">
        <v>0.778</v>
      </c>
      <c r="V152" t="b">
        <v>1</v>
      </c>
      <c r="X152" t="b">
        <v>0</v>
      </c>
      <c r="Y152" t="inlineStr">
        <is>
          <t>ON</t>
        </is>
      </c>
      <c r="Z152" t="n">
        <v>935</v>
      </c>
      <c r="AA152" t="n">
        <v>2.5</v>
      </c>
      <c r="AB152" t="n">
        <v>9.5</v>
      </c>
    </row>
    <row r="153">
      <c r="A153" t="inlineStr">
        <is>
          <t>2026-09-24 13:13:55</t>
        </is>
      </c>
      <c r="B153" t="inlineStr">
        <is>
          <t>MLLB_000_y1.0.3</t>
        </is>
      </c>
      <c r="C153" t="inlineStr">
        <is>
          <t>WHITE</t>
        </is>
      </c>
      <c r="D153" t="inlineStr">
        <is>
          <t>v4_white_MLLB_000_y103_0924</t>
        </is>
      </c>
      <c r="E153" t="n">
        <v>4.2</v>
      </c>
      <c r="F153" t="n">
        <v>4.2</v>
      </c>
      <c r="G153" t="n">
        <v>10</v>
      </c>
      <c r="H153" t="n">
        <v>60</v>
      </c>
      <c r="I153" t="n">
        <v>16</v>
      </c>
      <c r="J153" t="inlineStr">
        <is>
          <t>kaba</t>
        </is>
      </c>
      <c r="K153" t="b">
        <v>1</v>
      </c>
      <c r="M153" t="n">
        <v>130</v>
      </c>
      <c r="N153" t="n">
        <v>32</v>
      </c>
      <c r="O153" t="n">
        <v>110</v>
      </c>
      <c r="P153" t="n">
        <v>872</v>
      </c>
      <c r="Q153" t="n">
        <v>1002</v>
      </c>
      <c r="R153" t="n">
        <v>1.072</v>
      </c>
      <c r="S153" t="n">
        <v>20.268</v>
      </c>
      <c r="T153" t="n">
        <v>18.909</v>
      </c>
      <c r="U153" t="n">
        <v>0.7771</v>
      </c>
      <c r="V153" t="b">
        <v>1</v>
      </c>
      <c r="X153" t="b">
        <v>0</v>
      </c>
      <c r="Y153" t="inlineStr">
        <is>
          <t>ON</t>
        </is>
      </c>
      <c r="Z153" t="n">
        <v>935</v>
      </c>
      <c r="AA153" t="n">
        <v>2.5</v>
      </c>
      <c r="AB153" t="n">
        <v>9.5</v>
      </c>
    </row>
    <row r="154">
      <c r="A154" t="inlineStr">
        <is>
          <t>2026-09-24 13:14:11</t>
        </is>
      </c>
      <c r="B154" t="inlineStr">
        <is>
          <t>MLLB_000_y1.0.3</t>
        </is>
      </c>
      <c r="C154" t="inlineStr">
        <is>
          <t>WHITE</t>
        </is>
      </c>
      <c r="D154" t="inlineStr">
        <is>
          <t>v4_white_MLLB_000_y103_0924</t>
        </is>
      </c>
      <c r="E154" t="n">
        <v>4.2</v>
      </c>
      <c r="F154" t="n">
        <v>4.2</v>
      </c>
      <c r="G154" t="n">
        <v>10</v>
      </c>
      <c r="H154" t="n">
        <v>60</v>
      </c>
      <c r="I154" t="n">
        <v>20</v>
      </c>
      <c r="J154" t="inlineStr">
        <is>
          <t>kaba</t>
        </is>
      </c>
      <c r="K154" t="b">
        <v>1</v>
      </c>
      <c r="M154" t="n">
        <v>106</v>
      </c>
      <c r="N154" t="n">
        <v>34</v>
      </c>
      <c r="O154" t="n">
        <v>84</v>
      </c>
      <c r="P154" t="n">
        <v>896</v>
      </c>
      <c r="Q154" t="n">
        <v>1002</v>
      </c>
      <c r="R154" t="n">
        <v>1.073</v>
      </c>
      <c r="S154" t="n">
        <v>20.268</v>
      </c>
      <c r="T154" t="n">
        <v>18.895</v>
      </c>
      <c r="U154" t="n">
        <v>0.7779</v>
      </c>
      <c r="V154" t="b">
        <v>1</v>
      </c>
      <c r="X154" t="b">
        <v>0</v>
      </c>
      <c r="Y154" t="inlineStr">
        <is>
          <t>ON</t>
        </is>
      </c>
      <c r="Z154" t="n">
        <v>935</v>
      </c>
      <c r="AA154" t="n">
        <v>2.5</v>
      </c>
      <c r="AB154" t="n">
        <v>9.5</v>
      </c>
    </row>
    <row r="155">
      <c r="A155" t="inlineStr">
        <is>
          <t>2026-09-24 13:14:27</t>
        </is>
      </c>
      <c r="B155" t="inlineStr">
        <is>
          <t>MLLB_000_y1.0.3</t>
        </is>
      </c>
      <c r="C155" t="inlineStr">
        <is>
          <t>WHITE</t>
        </is>
      </c>
      <c r="D155" t="inlineStr">
        <is>
          <t>v4_white_MLLB_000_y103_0924</t>
        </is>
      </c>
      <c r="E155" t="n">
        <v>4.2</v>
      </c>
      <c r="F155" t="n">
        <v>4.2</v>
      </c>
      <c r="G155" t="n">
        <v>10</v>
      </c>
      <c r="H155" t="n">
        <v>60</v>
      </c>
      <c r="I155" t="n">
        <v>24</v>
      </c>
      <c r="J155" t="inlineStr">
        <is>
          <t>kaba</t>
        </is>
      </c>
      <c r="K155" t="b">
        <v>1</v>
      </c>
      <c r="M155" t="n">
        <v>80</v>
      </c>
      <c r="N155" t="n">
        <v>36</v>
      </c>
      <c r="O155" t="n">
        <v>58</v>
      </c>
      <c r="P155" t="n">
        <v>922</v>
      </c>
      <c r="Q155" t="n">
        <v>1002</v>
      </c>
      <c r="R155" t="n">
        <v>1.07</v>
      </c>
      <c r="S155" t="n">
        <v>20.268</v>
      </c>
      <c r="T155" t="n">
        <v>18.934</v>
      </c>
      <c r="U155" t="n">
        <v>0.7781</v>
      </c>
      <c r="V155" t="b">
        <v>1</v>
      </c>
      <c r="X155" t="b">
        <v>0</v>
      </c>
      <c r="Y155" t="inlineStr">
        <is>
          <t>ON</t>
        </is>
      </c>
      <c r="Z155" t="n">
        <v>935</v>
      </c>
      <c r="AA155" t="n">
        <v>2.5</v>
      </c>
      <c r="AB155" t="n">
        <v>9.5</v>
      </c>
    </row>
    <row r="156">
      <c r="A156" t="inlineStr">
        <is>
          <t>2026-09-24 13:14:43</t>
        </is>
      </c>
      <c r="B156" t="inlineStr">
        <is>
          <t>MLLB_000_y1.0.3</t>
        </is>
      </c>
      <c r="C156" t="inlineStr">
        <is>
          <t>WHITE</t>
        </is>
      </c>
      <c r="D156" t="inlineStr">
        <is>
          <t>v4_white_MLLB_000_y103_0924</t>
        </is>
      </c>
      <c r="E156" t="n">
        <v>4.2</v>
      </c>
      <c r="F156" t="n">
        <v>4.2</v>
      </c>
      <c r="G156" t="n">
        <v>10</v>
      </c>
      <c r="H156" t="n">
        <v>60</v>
      </c>
      <c r="I156" t="n">
        <v>28</v>
      </c>
      <c r="J156" t="inlineStr">
        <is>
          <t>kaba</t>
        </is>
      </c>
      <c r="K156" t="b">
        <v>1</v>
      </c>
      <c r="M156" t="n">
        <v>56</v>
      </c>
      <c r="N156" t="n">
        <v>38</v>
      </c>
      <c r="O156" t="n">
        <v>34</v>
      </c>
      <c r="P156" t="n">
        <v>946</v>
      </c>
      <c r="Q156" t="n">
        <v>1002</v>
      </c>
      <c r="R156" t="n">
        <v>1.07</v>
      </c>
      <c r="S156" t="n">
        <v>20.268</v>
      </c>
      <c r="T156" t="n">
        <v>18.948</v>
      </c>
      <c r="U156" t="n">
        <v>0.7782</v>
      </c>
      <c r="V156" t="b">
        <v>1</v>
      </c>
      <c r="X156" t="b">
        <v>1</v>
      </c>
      <c r="Z156" t="n">
        <v>935</v>
      </c>
      <c r="AA156" t="n">
        <v>2.5</v>
      </c>
      <c r="AB156" t="n">
        <v>9.5</v>
      </c>
    </row>
    <row r="157">
      <c r="A157" t="inlineStr">
        <is>
          <t>2026-09-24 13:14:59</t>
        </is>
      </c>
      <c r="B157" t="inlineStr">
        <is>
          <t>MLLB_000_y1.0.3</t>
        </is>
      </c>
      <c r="C157" t="inlineStr">
        <is>
          <t>WHITE</t>
        </is>
      </c>
      <c r="D157" t="inlineStr">
        <is>
          <t>v4_white_MLLB_000_y103_0924</t>
        </is>
      </c>
      <c r="E157" t="n">
        <v>4.2</v>
      </c>
      <c r="F157" t="n">
        <v>4.2</v>
      </c>
      <c r="G157" t="n">
        <v>10</v>
      </c>
      <c r="H157" t="n">
        <v>60</v>
      </c>
      <c r="I157" t="n">
        <v>32</v>
      </c>
      <c r="J157" t="inlineStr">
        <is>
          <t>kaba</t>
        </is>
      </c>
      <c r="K157" t="b">
        <v>1</v>
      </c>
      <c r="M157" t="n">
        <v>38</v>
      </c>
      <c r="N157" t="n">
        <v>28</v>
      </c>
      <c r="O157" t="n">
        <v>18</v>
      </c>
      <c r="P157" t="n">
        <v>964</v>
      </c>
      <c r="Q157" t="n">
        <v>1002</v>
      </c>
      <c r="R157" t="n">
        <v>1.07</v>
      </c>
      <c r="S157" t="n">
        <v>20.277</v>
      </c>
      <c r="T157" t="n">
        <v>18.946</v>
      </c>
      <c r="U157" t="n">
        <v>0.7774</v>
      </c>
      <c r="V157" t="b">
        <v>1</v>
      </c>
      <c r="X157" t="b">
        <v>1</v>
      </c>
      <c r="Z157" t="n">
        <v>935</v>
      </c>
      <c r="AA157" t="n">
        <v>2.5</v>
      </c>
      <c r="AB157" t="n">
        <v>9.5</v>
      </c>
    </row>
    <row r="158">
      <c r="A158" t="inlineStr">
        <is>
          <t>2026-09-24 13:15:15</t>
        </is>
      </c>
      <c r="B158" t="inlineStr">
        <is>
          <t>MLLB_000_y1.0.3</t>
        </is>
      </c>
      <c r="C158" t="inlineStr">
        <is>
          <t>WHITE</t>
        </is>
      </c>
      <c r="D158" t="inlineStr">
        <is>
          <t>v4_white_MLLB_000_y103_0924</t>
        </is>
      </c>
      <c r="E158" t="n">
        <v>4.2</v>
      </c>
      <c r="F158" t="n">
        <v>4.2</v>
      </c>
      <c r="G158" t="n">
        <v>10</v>
      </c>
      <c r="H158" t="n">
        <v>60</v>
      </c>
      <c r="I158" t="n">
        <v>36</v>
      </c>
      <c r="J158" t="inlineStr">
        <is>
          <t>kaba</t>
        </is>
      </c>
      <c r="K158" t="b">
        <v>1</v>
      </c>
      <c r="M158" t="n">
        <v>38</v>
      </c>
      <c r="N158" t="n">
        <v>28</v>
      </c>
      <c r="O158" t="n">
        <v>18</v>
      </c>
      <c r="P158" t="n">
        <v>964</v>
      </c>
      <c r="Q158" t="n">
        <v>1002</v>
      </c>
      <c r="R158" t="n">
        <v>2.381</v>
      </c>
      <c r="S158" t="n">
        <v>45.019</v>
      </c>
      <c r="T158" t="n">
        <v>18.908</v>
      </c>
      <c r="U158" t="n">
        <v>0.7766999999999999</v>
      </c>
      <c r="V158" t="b">
        <v>1</v>
      </c>
      <c r="X158" t="b">
        <v>1</v>
      </c>
      <c r="Z158" t="n">
        <v>935</v>
      </c>
      <c r="AA158" t="n">
        <v>2.5</v>
      </c>
      <c r="AB158" t="n">
        <v>9.5</v>
      </c>
    </row>
    <row r="159">
      <c r="A159" t="inlineStr">
        <is>
          <t>2026-09-24 13:15:31</t>
        </is>
      </c>
      <c r="B159" t="inlineStr">
        <is>
          <t>MLLB_000_y1.0.3</t>
        </is>
      </c>
      <c r="C159" t="inlineStr">
        <is>
          <t>WHITE</t>
        </is>
      </c>
      <c r="D159" t="inlineStr">
        <is>
          <t>v4_white_MLLB_000_y103_0924</t>
        </is>
      </c>
      <c r="E159" t="n">
        <v>4.2</v>
      </c>
      <c r="F159" t="n">
        <v>4.2</v>
      </c>
      <c r="G159" t="n">
        <v>10</v>
      </c>
      <c r="H159" t="n">
        <v>60</v>
      </c>
      <c r="I159" t="n">
        <v>40</v>
      </c>
      <c r="J159" t="inlineStr">
        <is>
          <t>kaba</t>
        </is>
      </c>
      <c r="K159" t="b">
        <v>1</v>
      </c>
      <c r="M159" t="n">
        <v>38</v>
      </c>
      <c r="N159" t="n">
        <v>28</v>
      </c>
      <c r="O159" t="n">
        <v>18</v>
      </c>
      <c r="P159" t="n">
        <v>964</v>
      </c>
      <c r="Q159" t="n">
        <v>1002</v>
      </c>
      <c r="R159" t="n">
        <v>3.931</v>
      </c>
      <c r="S159" t="n">
        <v>74.405</v>
      </c>
      <c r="T159" t="n">
        <v>18.926</v>
      </c>
      <c r="U159" t="n">
        <v>0.7774</v>
      </c>
      <c r="V159" t="b">
        <v>1</v>
      </c>
      <c r="X159" t="b">
        <v>0</v>
      </c>
      <c r="Y159" t="inlineStr">
        <is>
          <t>FLAS</t>
        </is>
      </c>
      <c r="Z159" t="n">
        <v>935</v>
      </c>
      <c r="AA159" t="n">
        <v>2.5</v>
      </c>
      <c r="AB159" t="n">
        <v>9.5</v>
      </c>
    </row>
    <row r="160">
      <c r="A160" t="inlineStr">
        <is>
          <t>2026-09-24 13:15:47</t>
        </is>
      </c>
      <c r="B160" t="inlineStr">
        <is>
          <t>MLLB_000_y1.0.3</t>
        </is>
      </c>
      <c r="C160" t="inlineStr">
        <is>
          <t>WHITE</t>
        </is>
      </c>
      <c r="D160" t="inlineStr">
        <is>
          <t>v4_white_MLLB_000_y103_0924</t>
        </is>
      </c>
      <c r="E160" t="n">
        <v>4.2</v>
      </c>
      <c r="F160" t="n">
        <v>4.2</v>
      </c>
      <c r="G160" t="n">
        <v>10</v>
      </c>
      <c r="H160" t="n">
        <v>60</v>
      </c>
      <c r="I160" t="n">
        <v>44</v>
      </c>
      <c r="J160" t="inlineStr">
        <is>
          <t>kaba</t>
        </is>
      </c>
      <c r="K160" t="b">
        <v>1</v>
      </c>
      <c r="M160" t="n">
        <v>38</v>
      </c>
      <c r="N160" t="n">
        <v>28</v>
      </c>
      <c r="O160" t="n">
        <v>18</v>
      </c>
      <c r="P160" t="n">
        <v>964</v>
      </c>
      <c r="Q160" t="n">
        <v>1002</v>
      </c>
      <c r="R160" t="n">
        <v>4.641</v>
      </c>
      <c r="S160" t="n">
        <v>87.916</v>
      </c>
      <c r="T160" t="n">
        <v>18.942</v>
      </c>
      <c r="U160" t="n">
        <v>0.778</v>
      </c>
      <c r="V160" t="b">
        <v>1</v>
      </c>
      <c r="X160" t="b">
        <v>0</v>
      </c>
      <c r="Y160" t="inlineStr">
        <is>
          <t>FLAS</t>
        </is>
      </c>
      <c r="Z160" t="n">
        <v>935</v>
      </c>
      <c r="AA160" t="n">
        <v>2.5</v>
      </c>
      <c r="AB160" t="n">
        <v>9.5</v>
      </c>
    </row>
    <row r="161">
      <c r="A161" t="inlineStr">
        <is>
          <t>2026-09-24 13:16:03</t>
        </is>
      </c>
      <c r="B161" t="inlineStr">
        <is>
          <t>MLLB_000_y1.0.3</t>
        </is>
      </c>
      <c r="C161" t="inlineStr">
        <is>
          <t>WHITE</t>
        </is>
      </c>
      <c r="D161" t="inlineStr">
        <is>
          <t>v4_white_MLLB_000_y103_0924</t>
        </is>
      </c>
      <c r="E161" t="n">
        <v>4.2</v>
      </c>
      <c r="F161" t="n">
        <v>4.2</v>
      </c>
      <c r="G161" t="n">
        <v>10</v>
      </c>
      <c r="H161" t="n">
        <v>60</v>
      </c>
      <c r="I161" t="n">
        <v>25</v>
      </c>
      <c r="J161" t="inlineStr">
        <is>
          <t>ince</t>
        </is>
      </c>
      <c r="K161" t="b">
        <v>1</v>
      </c>
      <c r="M161" t="n">
        <v>74</v>
      </c>
      <c r="N161" t="n">
        <v>32</v>
      </c>
      <c r="O161" t="n">
        <v>54</v>
      </c>
      <c r="P161" t="n">
        <v>928</v>
      </c>
      <c r="Q161" t="n">
        <v>1002</v>
      </c>
      <c r="R161" t="n">
        <v>1.076</v>
      </c>
      <c r="S161" t="n">
        <v>20.364</v>
      </c>
      <c r="T161" t="n">
        <v>18.93</v>
      </c>
      <c r="U161" t="n">
        <v>0.7772</v>
      </c>
      <c r="V161" t="b">
        <v>1</v>
      </c>
      <c r="X161" t="b">
        <v>0</v>
      </c>
      <c r="Y161" t="inlineStr">
        <is>
          <t>ON</t>
        </is>
      </c>
      <c r="Z161" t="n">
        <v>935</v>
      </c>
      <c r="AA161" t="n">
        <v>2.5</v>
      </c>
      <c r="AB161" t="n">
        <v>9.5</v>
      </c>
    </row>
    <row r="162">
      <c r="A162" t="inlineStr">
        <is>
          <t>2026-09-24 13:16:19</t>
        </is>
      </c>
      <c r="B162" t="inlineStr">
        <is>
          <t>MLLB_000_y1.0.3</t>
        </is>
      </c>
      <c r="C162" t="inlineStr">
        <is>
          <t>WHITE</t>
        </is>
      </c>
      <c r="D162" t="inlineStr">
        <is>
          <t>v4_white_MLLB_000_y103_0924</t>
        </is>
      </c>
      <c r="E162" t="n">
        <v>4.2</v>
      </c>
      <c r="F162" t="n">
        <v>4.2</v>
      </c>
      <c r="G162" t="n">
        <v>10</v>
      </c>
      <c r="H162" t="n">
        <v>60</v>
      </c>
      <c r="I162" t="n">
        <v>26</v>
      </c>
      <c r="J162" t="inlineStr">
        <is>
          <t>ince</t>
        </is>
      </c>
      <c r="K162" t="b">
        <v>1</v>
      </c>
      <c r="M162" t="n">
        <v>68</v>
      </c>
      <c r="N162" t="n">
        <v>38</v>
      </c>
      <c r="O162" t="n">
        <v>46</v>
      </c>
      <c r="P162" t="n">
        <v>934</v>
      </c>
      <c r="Q162" t="n">
        <v>1002</v>
      </c>
      <c r="R162" t="n">
        <v>1.073</v>
      </c>
      <c r="S162" t="n">
        <v>20.316</v>
      </c>
      <c r="T162" t="n">
        <v>18.928</v>
      </c>
      <c r="U162" t="n">
        <v>0.7778</v>
      </c>
      <c r="V162" t="b">
        <v>1</v>
      </c>
      <c r="X162" t="b">
        <v>0</v>
      </c>
      <c r="Y162" t="inlineStr">
        <is>
          <t>ON</t>
        </is>
      </c>
      <c r="Z162" t="n">
        <v>935</v>
      </c>
      <c r="AA162" t="n">
        <v>2.5</v>
      </c>
      <c r="AB162" t="n">
        <v>9.5</v>
      </c>
    </row>
    <row r="163">
      <c r="A163" t="inlineStr">
        <is>
          <t>2026-09-24 13:16:35</t>
        </is>
      </c>
      <c r="B163" t="inlineStr">
        <is>
          <t>MLLB_000_y1.0.3</t>
        </is>
      </c>
      <c r="C163" t="inlineStr">
        <is>
          <t>WHITE</t>
        </is>
      </c>
      <c r="D163" t="inlineStr">
        <is>
          <t>v4_white_MLLB_000_y103_0924</t>
        </is>
      </c>
      <c r="E163" t="n">
        <v>4.2</v>
      </c>
      <c r="F163" t="n">
        <v>4.2</v>
      </c>
      <c r="G163" t="n">
        <v>10</v>
      </c>
      <c r="H163" t="n">
        <v>60</v>
      </c>
      <c r="I163" t="n">
        <v>27</v>
      </c>
      <c r="J163" t="inlineStr">
        <is>
          <t>ince</t>
        </is>
      </c>
      <c r="K163" t="b">
        <v>1</v>
      </c>
      <c r="M163" t="n">
        <v>62</v>
      </c>
      <c r="N163" t="n">
        <v>32</v>
      </c>
      <c r="O163" t="n">
        <v>42</v>
      </c>
      <c r="P163" t="n">
        <v>940</v>
      </c>
      <c r="Q163" t="n">
        <v>1002</v>
      </c>
      <c r="R163" t="n">
        <v>1.075</v>
      </c>
      <c r="S163" t="n">
        <v>20.364</v>
      </c>
      <c r="T163" t="n">
        <v>18.936</v>
      </c>
      <c r="U163" t="n">
        <v>0.7774</v>
      </c>
      <c r="V163" t="b">
        <v>1</v>
      </c>
      <c r="X163" t="b">
        <v>1</v>
      </c>
      <c r="Z163" t="n">
        <v>935</v>
      </c>
      <c r="AA163" t="n">
        <v>2.5</v>
      </c>
      <c r="AB163" t="n">
        <v>9.5</v>
      </c>
    </row>
    <row r="164">
      <c r="A164" t="inlineStr">
        <is>
          <t>2026-09-24 13:16:36</t>
        </is>
      </c>
      <c r="B164" t="inlineStr">
        <is>
          <t>MLLB_000_y1.0.3</t>
        </is>
      </c>
      <c r="C164" t="inlineStr">
        <is>
          <t>WHITE</t>
        </is>
      </c>
      <c r="D164" t="inlineStr">
        <is>
          <t>v4_white_MLLB_000_y103_0924</t>
        </is>
      </c>
      <c r="E164" t="n">
        <v>4.2</v>
      </c>
      <c r="F164" t="n">
        <v>4.2</v>
      </c>
      <c r="G164" t="n">
        <v>10</v>
      </c>
      <c r="H164" t="n">
        <v>60</v>
      </c>
      <c r="I164" t="n">
        <v>29</v>
      </c>
      <c r="J164" t="inlineStr">
        <is>
          <t>ince</t>
        </is>
      </c>
      <c r="K164" t="b">
        <v>0</v>
      </c>
      <c r="L164" t="inlineStr">
        <is>
          <t>iki-OK-arasi-monotonluk</t>
        </is>
      </c>
      <c r="X164" t="b">
        <v>1</v>
      </c>
      <c r="Z164" t="n">
        <v>935</v>
      </c>
      <c r="AA164" t="n">
        <v>2.5</v>
      </c>
      <c r="AB164" t="n">
        <v>9.5</v>
      </c>
    </row>
    <row r="165">
      <c r="A165" t="inlineStr">
        <is>
          <t>2026-09-24 13:16:36</t>
        </is>
      </c>
      <c r="B165" t="inlineStr">
        <is>
          <t>MLLB_000_y1.0.3</t>
        </is>
      </c>
      <c r="C165" t="inlineStr">
        <is>
          <t>WHITE</t>
        </is>
      </c>
      <c r="D165" t="inlineStr">
        <is>
          <t>v4_white_MLLB_000_y103_0924</t>
        </is>
      </c>
      <c r="E165" t="n">
        <v>4.2</v>
      </c>
      <c r="F165" t="n">
        <v>4.2</v>
      </c>
      <c r="G165" t="n">
        <v>10</v>
      </c>
      <c r="H165" t="n">
        <v>60</v>
      </c>
      <c r="I165" t="n">
        <v>30</v>
      </c>
      <c r="J165" t="inlineStr">
        <is>
          <t>ince</t>
        </is>
      </c>
      <c r="K165" t="b">
        <v>0</v>
      </c>
      <c r="L165" t="inlineStr">
        <is>
          <t>iki-OK-arasi-monotonluk</t>
        </is>
      </c>
      <c r="X165" t="b">
        <v>1</v>
      </c>
      <c r="Z165" t="n">
        <v>935</v>
      </c>
      <c r="AA165" t="n">
        <v>2.5</v>
      </c>
      <c r="AB165" t="n">
        <v>9.5</v>
      </c>
    </row>
    <row r="166">
      <c r="A166" t="inlineStr">
        <is>
          <t>2026-09-24 13:16:36</t>
        </is>
      </c>
      <c r="B166" t="inlineStr">
        <is>
          <t>MLLB_000_y1.0.3</t>
        </is>
      </c>
      <c r="C166" t="inlineStr">
        <is>
          <t>WHITE</t>
        </is>
      </c>
      <c r="D166" t="inlineStr">
        <is>
          <t>v4_white_MLLB_000_y103_0924</t>
        </is>
      </c>
      <c r="E166" t="n">
        <v>4.2</v>
      </c>
      <c r="F166" t="n">
        <v>4.2</v>
      </c>
      <c r="G166" t="n">
        <v>10</v>
      </c>
      <c r="H166" t="n">
        <v>60</v>
      </c>
      <c r="I166" t="n">
        <v>31</v>
      </c>
      <c r="J166" t="inlineStr">
        <is>
          <t>ince</t>
        </is>
      </c>
      <c r="K166" t="b">
        <v>0</v>
      </c>
      <c r="L166" t="inlineStr">
        <is>
          <t>iki-OK-arasi-monotonluk</t>
        </is>
      </c>
      <c r="X166" t="b">
        <v>1</v>
      </c>
      <c r="Z166" t="n">
        <v>935</v>
      </c>
      <c r="AA166" t="n">
        <v>2.5</v>
      </c>
      <c r="AB166" t="n">
        <v>9.5</v>
      </c>
    </row>
    <row r="167">
      <c r="A167" t="inlineStr">
        <is>
          <t>2026-09-24 13:16:36</t>
        </is>
      </c>
      <c r="B167" t="inlineStr">
        <is>
          <t>MLLB_000_y1.0.3</t>
        </is>
      </c>
      <c r="C167" t="inlineStr">
        <is>
          <t>WHITE</t>
        </is>
      </c>
      <c r="D167" t="inlineStr">
        <is>
          <t>v4_white_MLLB_000_y103_0924</t>
        </is>
      </c>
      <c r="E167" t="n">
        <v>4.2</v>
      </c>
      <c r="F167" t="n">
        <v>4.2</v>
      </c>
      <c r="G167" t="n">
        <v>10</v>
      </c>
      <c r="H167" t="n">
        <v>60</v>
      </c>
      <c r="I167" t="n">
        <v>33</v>
      </c>
      <c r="J167" t="inlineStr">
        <is>
          <t>ince</t>
        </is>
      </c>
      <c r="K167" t="b">
        <v>0</v>
      </c>
      <c r="L167" t="inlineStr">
        <is>
          <t>iki-OK-arasi-monotonluk</t>
        </is>
      </c>
      <c r="X167" t="b">
        <v>1</v>
      </c>
      <c r="Z167" t="n">
        <v>935</v>
      </c>
      <c r="AA167" t="n">
        <v>2.5</v>
      </c>
      <c r="AB167" t="n">
        <v>9.5</v>
      </c>
    </row>
    <row r="168">
      <c r="A168" t="inlineStr">
        <is>
          <t>2026-09-24 13:16:36</t>
        </is>
      </c>
      <c r="B168" t="inlineStr">
        <is>
          <t>MLLB_000_y1.0.3</t>
        </is>
      </c>
      <c r="C168" t="inlineStr">
        <is>
          <t>WHITE</t>
        </is>
      </c>
      <c r="D168" t="inlineStr">
        <is>
          <t>v4_white_MLLB_000_y103_0924</t>
        </is>
      </c>
      <c r="E168" t="n">
        <v>4.2</v>
      </c>
      <c r="F168" t="n">
        <v>4.2</v>
      </c>
      <c r="G168" t="n">
        <v>10</v>
      </c>
      <c r="H168" t="n">
        <v>60</v>
      </c>
      <c r="I168" t="n">
        <v>34</v>
      </c>
      <c r="J168" t="inlineStr">
        <is>
          <t>ince</t>
        </is>
      </c>
      <c r="K168" t="b">
        <v>0</v>
      </c>
      <c r="L168" t="inlineStr">
        <is>
          <t>iki-OK-arasi-monotonluk</t>
        </is>
      </c>
      <c r="X168" t="b">
        <v>1</v>
      </c>
      <c r="Z168" t="n">
        <v>935</v>
      </c>
      <c r="AA168" t="n">
        <v>2.5</v>
      </c>
      <c r="AB168" t="n">
        <v>9.5</v>
      </c>
    </row>
    <row r="169">
      <c r="A169" t="inlineStr">
        <is>
          <t>2026-09-24 13:16:36</t>
        </is>
      </c>
      <c r="B169" t="inlineStr">
        <is>
          <t>MLLB_000_y1.0.3</t>
        </is>
      </c>
      <c r="C169" t="inlineStr">
        <is>
          <t>WHITE</t>
        </is>
      </c>
      <c r="D169" t="inlineStr">
        <is>
          <t>v4_white_MLLB_000_y103_0924</t>
        </is>
      </c>
      <c r="E169" t="n">
        <v>4.2</v>
      </c>
      <c r="F169" t="n">
        <v>4.2</v>
      </c>
      <c r="G169" t="n">
        <v>10</v>
      </c>
      <c r="H169" t="n">
        <v>60</v>
      </c>
      <c r="I169" t="n">
        <v>35</v>
      </c>
      <c r="J169" t="inlineStr">
        <is>
          <t>ince</t>
        </is>
      </c>
      <c r="K169" t="b">
        <v>0</v>
      </c>
      <c r="L169" t="inlineStr">
        <is>
          <t>iki-OK-arasi-monotonluk</t>
        </is>
      </c>
      <c r="X169" t="b">
        <v>1</v>
      </c>
      <c r="Z169" t="n">
        <v>935</v>
      </c>
      <c r="AA169" t="n">
        <v>2.5</v>
      </c>
      <c r="AB169" t="n">
        <v>9.5</v>
      </c>
    </row>
    <row r="170">
      <c r="A170" t="inlineStr">
        <is>
          <t>2026-09-24 13:16:51</t>
        </is>
      </c>
      <c r="B170" t="inlineStr">
        <is>
          <t>MLLB_000_y1.0.3</t>
        </is>
      </c>
      <c r="C170" t="inlineStr">
        <is>
          <t>WHITE</t>
        </is>
      </c>
      <c r="D170" t="inlineStr">
        <is>
          <t>v4_white_MLLB_000_y103_0924</t>
        </is>
      </c>
      <c r="E170" t="n">
        <v>4.2</v>
      </c>
      <c r="F170" t="n">
        <v>4.2</v>
      </c>
      <c r="G170" t="n">
        <v>10</v>
      </c>
      <c r="H170" t="n">
        <v>60</v>
      </c>
      <c r="I170" t="n">
        <v>37</v>
      </c>
      <c r="J170" t="inlineStr">
        <is>
          <t>ince</t>
        </is>
      </c>
      <c r="K170" t="b">
        <v>1</v>
      </c>
      <c r="M170" t="n">
        <v>38</v>
      </c>
      <c r="N170" t="n">
        <v>28</v>
      </c>
      <c r="O170" t="n">
        <v>18</v>
      </c>
      <c r="P170" t="n">
        <v>964</v>
      </c>
      <c r="Q170" t="n">
        <v>1002</v>
      </c>
      <c r="R170" t="n">
        <v>2.918</v>
      </c>
      <c r="S170" t="n">
        <v>55.231</v>
      </c>
      <c r="T170" t="n">
        <v>18.929</v>
      </c>
      <c r="U170" t="n">
        <v>0.7774</v>
      </c>
      <c r="V170" t="b">
        <v>1</v>
      </c>
      <c r="X170" t="b">
        <v>0</v>
      </c>
      <c r="Y170" t="inlineStr">
        <is>
          <t>FLAS</t>
        </is>
      </c>
      <c r="Z170" t="n">
        <v>935</v>
      </c>
      <c r="AA170" t="n">
        <v>2.5</v>
      </c>
      <c r="AB170" t="n">
        <v>9.5</v>
      </c>
    </row>
    <row r="171">
      <c r="A171" t="inlineStr">
        <is>
          <t>2026-09-24 13:17:07</t>
        </is>
      </c>
      <c r="B171" t="inlineStr">
        <is>
          <t>MLLB_000_y1.0.3</t>
        </is>
      </c>
      <c r="C171" t="inlineStr">
        <is>
          <t>WHITE</t>
        </is>
      </c>
      <c r="D171" t="inlineStr">
        <is>
          <t>v4_white_MLLB_000_y103_0924</t>
        </is>
      </c>
      <c r="E171" t="n">
        <v>4.2</v>
      </c>
      <c r="F171" t="n">
        <v>4.2</v>
      </c>
      <c r="G171" t="n">
        <v>10</v>
      </c>
      <c r="H171" t="n">
        <v>60</v>
      </c>
      <c r="I171" t="n">
        <v>38</v>
      </c>
      <c r="J171" t="inlineStr">
        <is>
          <t>ince</t>
        </is>
      </c>
      <c r="K171" t="b">
        <v>1</v>
      </c>
      <c r="M171" t="n">
        <v>38</v>
      </c>
      <c r="N171" t="n">
        <v>28</v>
      </c>
      <c r="O171" t="n">
        <v>18</v>
      </c>
      <c r="P171" t="n">
        <v>964</v>
      </c>
      <c r="Q171" t="n">
        <v>1002</v>
      </c>
      <c r="R171" t="n">
        <v>3.623</v>
      </c>
      <c r="S171" t="n">
        <v>68.682</v>
      </c>
      <c r="T171" t="n">
        <v>18.955</v>
      </c>
      <c r="U171" t="n">
        <v>0.7772</v>
      </c>
      <c r="V171" t="b">
        <v>1</v>
      </c>
      <c r="X171" t="b">
        <v>0</v>
      </c>
      <c r="Y171" t="inlineStr">
        <is>
          <t>FLAS</t>
        </is>
      </c>
      <c r="Z171" t="n">
        <v>935</v>
      </c>
      <c r="AA171" t="n">
        <v>2.5</v>
      </c>
      <c r="AB171" t="n">
        <v>9.5</v>
      </c>
    </row>
    <row r="172">
      <c r="A172" t="inlineStr">
        <is>
          <t>2026-09-24 13:17:23</t>
        </is>
      </c>
      <c r="B172" t="inlineStr">
        <is>
          <t>MLLB_000_y1.0.3</t>
        </is>
      </c>
      <c r="C172" t="inlineStr">
        <is>
          <t>WHITE</t>
        </is>
      </c>
      <c r="D172" t="inlineStr">
        <is>
          <t>v4_white_MLLB_000_y103_0924</t>
        </is>
      </c>
      <c r="E172" t="n">
        <v>4.2</v>
      </c>
      <c r="F172" t="n">
        <v>4.2</v>
      </c>
      <c r="G172" t="n">
        <v>10</v>
      </c>
      <c r="H172" t="n">
        <v>60</v>
      </c>
      <c r="I172" t="n">
        <v>39</v>
      </c>
      <c r="J172" t="inlineStr">
        <is>
          <t>ince</t>
        </is>
      </c>
      <c r="K172" t="b">
        <v>1</v>
      </c>
      <c r="M172" t="n">
        <v>38</v>
      </c>
      <c r="N172" t="n">
        <v>28</v>
      </c>
      <c r="O172" t="n">
        <v>18</v>
      </c>
      <c r="P172" t="n">
        <v>964</v>
      </c>
      <c r="Q172" t="n">
        <v>1002</v>
      </c>
      <c r="R172" t="n">
        <v>4.046</v>
      </c>
      <c r="S172" t="n">
        <v>76.65300000000001</v>
      </c>
      <c r="T172" t="n">
        <v>18.947</v>
      </c>
      <c r="U172" t="n">
        <v>0.778</v>
      </c>
      <c r="V172" t="b">
        <v>1</v>
      </c>
      <c r="X172" t="b">
        <v>0</v>
      </c>
      <c r="Y172" t="inlineStr">
        <is>
          <t>FLAS</t>
        </is>
      </c>
      <c r="Z172" t="n">
        <v>935</v>
      </c>
      <c r="AA172" t="n">
        <v>2.5</v>
      </c>
      <c r="AB172" t="n">
        <v>9.5</v>
      </c>
    </row>
    <row r="173">
      <c r="A173" t="inlineStr">
        <is>
          <t>2026-09-24 13:17:24</t>
        </is>
      </c>
      <c r="B173" t="inlineStr">
        <is>
          <t>MLLB_000_y1.0.3</t>
        </is>
      </c>
      <c r="C173" t="inlineStr">
        <is>
          <t>WHITE</t>
        </is>
      </c>
      <c r="D173" t="inlineStr">
        <is>
          <t>v4_white_MLLB_000_y103_0924</t>
        </is>
      </c>
      <c r="E173" t="n">
        <v>4.2</v>
      </c>
      <c r="F173" t="n">
        <v>4.2</v>
      </c>
      <c r="G173" t="n">
        <v>10</v>
      </c>
      <c r="H173" t="n">
        <v>60</v>
      </c>
      <c r="J173" t="inlineStr">
        <is>
          <t>bitti</t>
        </is>
      </c>
      <c r="K173" t="b">
        <v>0</v>
      </c>
      <c r="Z173" t="n">
        <v>935</v>
      </c>
      <c r="AA173" t="n">
        <v>2.5</v>
      </c>
      <c r="AB173" t="n">
        <v>9.5</v>
      </c>
    </row>
    <row r="174">
      <c r="A174" t="inlineStr">
        <is>
          <t>2026-09-24 13:18:01</t>
        </is>
      </c>
      <c r="B174" t="inlineStr">
        <is>
          <t>MLLB_000_y1.0.3</t>
        </is>
      </c>
      <c r="C174" t="inlineStr">
        <is>
          <t>WHITE</t>
        </is>
      </c>
      <c r="D174" t="inlineStr">
        <is>
          <t>v4_white_MLLB_000_y103_0924</t>
        </is>
      </c>
      <c r="E174" t="n">
        <v>4.2</v>
      </c>
      <c r="F174" t="n">
        <v>4.2</v>
      </c>
      <c r="G174" t="n">
        <v>15</v>
      </c>
      <c r="H174" t="n">
        <v>100</v>
      </c>
      <c r="I174" t="n">
        <v>12</v>
      </c>
      <c r="J174" t="inlineStr">
        <is>
          <t>kaba</t>
        </is>
      </c>
      <c r="K174" t="b">
        <v>1</v>
      </c>
      <c r="M174" t="n">
        <v>74</v>
      </c>
      <c r="N174" t="n">
        <v>32</v>
      </c>
      <c r="O174" t="n">
        <v>54</v>
      </c>
      <c r="P174" t="n">
        <v>928</v>
      </c>
      <c r="Q174" t="n">
        <v>1002</v>
      </c>
      <c r="R174" t="n">
        <v>1.069</v>
      </c>
      <c r="S174" t="n">
        <v>33.333</v>
      </c>
      <c r="T174" t="n">
        <v>31.186</v>
      </c>
      <c r="U174" t="n">
        <v>0.7782</v>
      </c>
      <c r="V174" t="b">
        <v>1</v>
      </c>
      <c r="X174" t="b">
        <v>0</v>
      </c>
      <c r="Y174" t="inlineStr">
        <is>
          <t>ON</t>
        </is>
      </c>
      <c r="Z174" t="n">
        <v>935</v>
      </c>
      <c r="AA174" t="n">
        <v>2.5</v>
      </c>
      <c r="AB174" t="n">
        <v>9.5</v>
      </c>
    </row>
    <row r="175">
      <c r="A175" t="inlineStr">
        <is>
          <t>2026-09-24 13:18:17</t>
        </is>
      </c>
      <c r="B175" t="inlineStr">
        <is>
          <t>MLLB_000_y1.0.3</t>
        </is>
      </c>
      <c r="C175" t="inlineStr">
        <is>
          <t>WHITE</t>
        </is>
      </c>
      <c r="D175" t="inlineStr">
        <is>
          <t>v4_white_MLLB_000_y103_0924</t>
        </is>
      </c>
      <c r="E175" t="n">
        <v>4.2</v>
      </c>
      <c r="F175" t="n">
        <v>4.2</v>
      </c>
      <c r="G175" t="n">
        <v>15</v>
      </c>
      <c r="H175" t="n">
        <v>100</v>
      </c>
      <c r="I175" t="n">
        <v>16</v>
      </c>
      <c r="J175" t="inlineStr">
        <is>
          <t>kaba</t>
        </is>
      </c>
      <c r="K175" t="b">
        <v>1</v>
      </c>
      <c r="M175" t="n">
        <v>48</v>
      </c>
      <c r="N175" t="n">
        <v>28</v>
      </c>
      <c r="O175" t="n">
        <v>30</v>
      </c>
      <c r="P175" t="n">
        <v>954</v>
      </c>
      <c r="Q175" t="n">
        <v>1002</v>
      </c>
      <c r="R175" t="n">
        <v>1.072</v>
      </c>
      <c r="S175" t="n">
        <v>33.456</v>
      </c>
      <c r="T175" t="n">
        <v>31.223</v>
      </c>
      <c r="U175" t="n">
        <v>0.7781</v>
      </c>
      <c r="V175" t="b">
        <v>1</v>
      </c>
      <c r="X175" t="b">
        <v>1</v>
      </c>
      <c r="Z175" t="n">
        <v>935</v>
      </c>
      <c r="AA175" t="n">
        <v>2.5</v>
      </c>
      <c r="AB175" t="n">
        <v>9.5</v>
      </c>
    </row>
    <row r="176">
      <c r="A176" t="inlineStr">
        <is>
          <t>2026-09-24 13:18:33</t>
        </is>
      </c>
      <c r="B176" t="inlineStr">
        <is>
          <t>MLLB_000_y1.0.3</t>
        </is>
      </c>
      <c r="C176" t="inlineStr">
        <is>
          <t>WHITE</t>
        </is>
      </c>
      <c r="D176" t="inlineStr">
        <is>
          <t>v4_white_MLLB_000_y103_0924</t>
        </is>
      </c>
      <c r="E176" t="n">
        <v>4.2</v>
      </c>
      <c r="F176" t="n">
        <v>4.2</v>
      </c>
      <c r="G176" t="n">
        <v>15</v>
      </c>
      <c r="H176" t="n">
        <v>100</v>
      </c>
      <c r="I176" t="n">
        <v>20</v>
      </c>
      <c r="J176" t="inlineStr">
        <is>
          <t>kaba</t>
        </is>
      </c>
      <c r="K176" t="b">
        <v>1</v>
      </c>
      <c r="M176" t="n">
        <v>26</v>
      </c>
      <c r="N176" t="n">
        <v>28</v>
      </c>
      <c r="O176" t="n">
        <v>6</v>
      </c>
      <c r="P176" t="n">
        <v>976</v>
      </c>
      <c r="Q176" t="n">
        <v>1002</v>
      </c>
      <c r="R176" t="n">
        <v>1.066</v>
      </c>
      <c r="S176" t="n">
        <v>33.303</v>
      </c>
      <c r="T176" t="n">
        <v>31.231</v>
      </c>
      <c r="U176" t="n">
        <v>0.778</v>
      </c>
      <c r="V176" t="b">
        <v>1</v>
      </c>
      <c r="X176" t="b">
        <v>1</v>
      </c>
      <c r="Z176" t="n">
        <v>935</v>
      </c>
      <c r="AA176" t="n">
        <v>2.5</v>
      </c>
      <c r="AB176" t="n">
        <v>9.5</v>
      </c>
    </row>
    <row r="177">
      <c r="A177" t="inlineStr">
        <is>
          <t>2026-09-24 13:18:49</t>
        </is>
      </c>
      <c r="B177" t="inlineStr">
        <is>
          <t>MLLB_000_y1.0.3</t>
        </is>
      </c>
      <c r="C177" t="inlineStr">
        <is>
          <t>WHITE</t>
        </is>
      </c>
      <c r="D177" t="inlineStr">
        <is>
          <t>v4_white_MLLB_000_y103_0924</t>
        </is>
      </c>
      <c r="E177" t="n">
        <v>4.2</v>
      </c>
      <c r="F177" t="n">
        <v>4.2</v>
      </c>
      <c r="G177" t="n">
        <v>15</v>
      </c>
      <c r="H177" t="n">
        <v>100</v>
      </c>
      <c r="I177" t="n">
        <v>24</v>
      </c>
      <c r="J177" t="inlineStr">
        <is>
          <t>kaba</t>
        </is>
      </c>
      <c r="K177" t="b">
        <v>1</v>
      </c>
      <c r="M177" t="n">
        <v>26</v>
      </c>
      <c r="N177" t="n">
        <v>28</v>
      </c>
      <c r="O177" t="n">
        <v>6</v>
      </c>
      <c r="P177" t="n">
        <v>976</v>
      </c>
      <c r="Q177" t="n">
        <v>1002</v>
      </c>
      <c r="R177" t="n">
        <v>2.769</v>
      </c>
      <c r="S177" t="n">
        <v>86.441</v>
      </c>
      <c r="T177" t="n">
        <v>31.217</v>
      </c>
      <c r="U177" t="n">
        <v>0.7779</v>
      </c>
      <c r="V177" t="b">
        <v>1</v>
      </c>
      <c r="X177" t="b">
        <v>0</v>
      </c>
      <c r="Y177" t="inlineStr">
        <is>
          <t>FLAS</t>
        </is>
      </c>
      <c r="Z177" t="n">
        <v>935</v>
      </c>
      <c r="AA177" t="n">
        <v>2.5</v>
      </c>
      <c r="AB177" t="n">
        <v>9.5</v>
      </c>
    </row>
    <row r="178">
      <c r="A178" t="inlineStr">
        <is>
          <t>2026-09-24 13:19:05</t>
        </is>
      </c>
      <c r="B178" t="inlineStr">
        <is>
          <t>MLLB_000_y1.0.3</t>
        </is>
      </c>
      <c r="C178" t="inlineStr">
        <is>
          <t>WHITE</t>
        </is>
      </c>
      <c r="D178" t="inlineStr">
        <is>
          <t>v4_white_MLLB_000_y103_0924</t>
        </is>
      </c>
      <c r="E178" t="n">
        <v>4.2</v>
      </c>
      <c r="F178" t="n">
        <v>4.2</v>
      </c>
      <c r="G178" t="n">
        <v>15</v>
      </c>
      <c r="H178" t="n">
        <v>100</v>
      </c>
      <c r="I178" t="n">
        <v>28</v>
      </c>
      <c r="J178" t="inlineStr">
        <is>
          <t>kaba</t>
        </is>
      </c>
      <c r="K178" t="b">
        <v>1</v>
      </c>
      <c r="M178" t="n">
        <v>26</v>
      </c>
      <c r="N178" t="n">
        <v>28</v>
      </c>
      <c r="O178" t="n">
        <v>6</v>
      </c>
      <c r="P178" t="n">
        <v>976</v>
      </c>
      <c r="Q178" t="n">
        <v>1002</v>
      </c>
      <c r="R178" t="n">
        <v>4.866</v>
      </c>
      <c r="S178" t="n">
        <v>152.078</v>
      </c>
      <c r="T178" t="n">
        <v>31.251</v>
      </c>
      <c r="U178" t="n">
        <v>0.7778</v>
      </c>
      <c r="V178" t="b">
        <v>1</v>
      </c>
      <c r="X178" t="b">
        <v>0</v>
      </c>
      <c r="Y178" t="inlineStr">
        <is>
          <t>FLAS</t>
        </is>
      </c>
      <c r="Z178" t="n">
        <v>935</v>
      </c>
      <c r="AA178" t="n">
        <v>2.5</v>
      </c>
      <c r="AB178" t="n">
        <v>9.5</v>
      </c>
    </row>
    <row r="179">
      <c r="A179" t="inlineStr">
        <is>
          <t>2026-09-24 13:19:21</t>
        </is>
      </c>
      <c r="B179" t="inlineStr">
        <is>
          <t>MLLB_000_y1.0.3</t>
        </is>
      </c>
      <c r="C179" t="inlineStr">
        <is>
          <t>WHITE</t>
        </is>
      </c>
      <c r="D179" t="inlineStr">
        <is>
          <t>v4_white_MLLB_000_y103_0924</t>
        </is>
      </c>
      <c r="E179" t="n">
        <v>4.2</v>
      </c>
      <c r="F179" t="n">
        <v>4.2</v>
      </c>
      <c r="G179" t="n">
        <v>15</v>
      </c>
      <c r="H179" t="n">
        <v>100</v>
      </c>
      <c r="I179" t="n">
        <v>13</v>
      </c>
      <c r="J179" t="inlineStr">
        <is>
          <t>ince</t>
        </is>
      </c>
      <c r="K179" t="b">
        <v>1</v>
      </c>
      <c r="M179" t="n">
        <v>68</v>
      </c>
      <c r="N179" t="n">
        <v>30</v>
      </c>
      <c r="O179" t="n">
        <v>48</v>
      </c>
      <c r="P179" t="n">
        <v>934</v>
      </c>
      <c r="Q179" t="n">
        <v>1002</v>
      </c>
      <c r="R179" t="n">
        <v>1.068</v>
      </c>
      <c r="S179" t="n">
        <v>33.308</v>
      </c>
      <c r="T179" t="n">
        <v>31.187</v>
      </c>
      <c r="U179" t="n">
        <v>0.7779</v>
      </c>
      <c r="V179" t="b">
        <v>1</v>
      </c>
      <c r="X179" t="b">
        <v>0</v>
      </c>
      <c r="Y179" t="inlineStr">
        <is>
          <t>ON</t>
        </is>
      </c>
      <c r="Z179" t="n">
        <v>935</v>
      </c>
      <c r="AA179" t="n">
        <v>2.5</v>
      </c>
      <c r="AB179" t="n">
        <v>9.5</v>
      </c>
    </row>
    <row r="180">
      <c r="A180" t="inlineStr">
        <is>
          <t>2026-09-24 13:19:37</t>
        </is>
      </c>
      <c r="B180" t="inlineStr">
        <is>
          <t>MLLB_000_y1.0.3</t>
        </is>
      </c>
      <c r="C180" t="inlineStr">
        <is>
          <t>WHITE</t>
        </is>
      </c>
      <c r="D180" t="inlineStr">
        <is>
          <t>v4_white_MLLB_000_y103_0924</t>
        </is>
      </c>
      <c r="E180" t="n">
        <v>4.2</v>
      </c>
      <c r="F180" t="n">
        <v>4.2</v>
      </c>
      <c r="G180" t="n">
        <v>15</v>
      </c>
      <c r="H180" t="n">
        <v>100</v>
      </c>
      <c r="I180" t="n">
        <v>14</v>
      </c>
      <c r="J180" t="inlineStr">
        <is>
          <t>ince</t>
        </is>
      </c>
      <c r="K180" t="b">
        <v>1</v>
      </c>
      <c r="M180" t="n">
        <v>62</v>
      </c>
      <c r="N180" t="n">
        <v>28</v>
      </c>
      <c r="O180" t="n">
        <v>42</v>
      </c>
      <c r="P180" t="n">
        <v>940</v>
      </c>
      <c r="Q180" t="n">
        <v>1002</v>
      </c>
      <c r="R180" t="n">
        <v>1.066</v>
      </c>
      <c r="S180" t="n">
        <v>33.285</v>
      </c>
      <c r="T180" t="n">
        <v>31.237</v>
      </c>
      <c r="U180" t="n">
        <v>0.7776999999999999</v>
      </c>
      <c r="V180" t="b">
        <v>1</v>
      </c>
      <c r="X180" t="b">
        <v>1</v>
      </c>
      <c r="Z180" t="n">
        <v>935</v>
      </c>
      <c r="AA180" t="n">
        <v>2.5</v>
      </c>
      <c r="AB180" t="n">
        <v>9.5</v>
      </c>
    </row>
    <row r="181">
      <c r="A181" t="inlineStr">
        <is>
          <t>2026-09-24 13:19:53</t>
        </is>
      </c>
      <c r="B181" t="inlineStr">
        <is>
          <t>MLLB_000_y1.0.3</t>
        </is>
      </c>
      <c r="C181" t="inlineStr">
        <is>
          <t>WHITE</t>
        </is>
      </c>
      <c r="D181" t="inlineStr">
        <is>
          <t>v4_white_MLLB_000_y103_0924</t>
        </is>
      </c>
      <c r="E181" t="n">
        <v>4.2</v>
      </c>
      <c r="F181" t="n">
        <v>4.2</v>
      </c>
      <c r="G181" t="n">
        <v>15</v>
      </c>
      <c r="H181" t="n">
        <v>100</v>
      </c>
      <c r="I181" t="n">
        <v>15</v>
      </c>
      <c r="J181" t="inlineStr">
        <is>
          <t>ince</t>
        </is>
      </c>
      <c r="K181" t="b">
        <v>1</v>
      </c>
      <c r="M181" t="n">
        <v>56</v>
      </c>
      <c r="N181" t="n">
        <v>30</v>
      </c>
      <c r="O181" t="n">
        <v>36</v>
      </c>
      <c r="P181" t="n">
        <v>946</v>
      </c>
      <c r="Q181" t="n">
        <v>1002</v>
      </c>
      <c r="R181" t="n">
        <v>1.069</v>
      </c>
      <c r="S181" t="n">
        <v>33.355</v>
      </c>
      <c r="T181" t="n">
        <v>31.204</v>
      </c>
      <c r="U181" t="n">
        <v>0.7786</v>
      </c>
      <c r="V181" t="b">
        <v>1</v>
      </c>
      <c r="X181" t="b">
        <v>1</v>
      </c>
      <c r="Z181" t="n">
        <v>935</v>
      </c>
      <c r="AA181" t="n">
        <v>2.5</v>
      </c>
      <c r="AB181" t="n">
        <v>9.5</v>
      </c>
    </row>
    <row r="182">
      <c r="A182" t="inlineStr">
        <is>
          <t>2026-09-24 13:19:54</t>
        </is>
      </c>
      <c r="B182" t="inlineStr">
        <is>
          <t>MLLB_000_y1.0.3</t>
        </is>
      </c>
      <c r="C182" t="inlineStr">
        <is>
          <t>WHITE</t>
        </is>
      </c>
      <c r="D182" t="inlineStr">
        <is>
          <t>v4_white_MLLB_000_y103_0924</t>
        </is>
      </c>
      <c r="E182" t="n">
        <v>4.2</v>
      </c>
      <c r="F182" t="n">
        <v>4.2</v>
      </c>
      <c r="G182" t="n">
        <v>15</v>
      </c>
      <c r="H182" t="n">
        <v>100</v>
      </c>
      <c r="I182" t="n">
        <v>17</v>
      </c>
      <c r="J182" t="inlineStr">
        <is>
          <t>ince</t>
        </is>
      </c>
      <c r="K182" t="b">
        <v>0</v>
      </c>
      <c r="L182" t="inlineStr">
        <is>
          <t>iki-OK-arasi-monotonluk</t>
        </is>
      </c>
      <c r="X182" t="b">
        <v>1</v>
      </c>
      <c r="Z182" t="n">
        <v>935</v>
      </c>
      <c r="AA182" t="n">
        <v>2.5</v>
      </c>
      <c r="AB182" t="n">
        <v>9.5</v>
      </c>
    </row>
    <row r="183">
      <c r="A183" t="inlineStr">
        <is>
          <t>2026-09-24 13:19:54</t>
        </is>
      </c>
      <c r="B183" t="inlineStr">
        <is>
          <t>MLLB_000_y1.0.3</t>
        </is>
      </c>
      <c r="C183" t="inlineStr">
        <is>
          <t>WHITE</t>
        </is>
      </c>
      <c r="D183" t="inlineStr">
        <is>
          <t>v4_white_MLLB_000_y103_0924</t>
        </is>
      </c>
      <c r="E183" t="n">
        <v>4.2</v>
      </c>
      <c r="F183" t="n">
        <v>4.2</v>
      </c>
      <c r="G183" t="n">
        <v>15</v>
      </c>
      <c r="H183" t="n">
        <v>100</v>
      </c>
      <c r="I183" t="n">
        <v>18</v>
      </c>
      <c r="J183" t="inlineStr">
        <is>
          <t>ince</t>
        </is>
      </c>
      <c r="K183" t="b">
        <v>0</v>
      </c>
      <c r="L183" t="inlineStr">
        <is>
          <t>iki-OK-arasi-monotonluk</t>
        </is>
      </c>
      <c r="X183" t="b">
        <v>1</v>
      </c>
      <c r="Z183" t="n">
        <v>935</v>
      </c>
      <c r="AA183" t="n">
        <v>2.5</v>
      </c>
      <c r="AB183" t="n">
        <v>9.5</v>
      </c>
    </row>
    <row r="184">
      <c r="A184" t="inlineStr">
        <is>
          <t>2026-09-24 13:19:54</t>
        </is>
      </c>
      <c r="B184" t="inlineStr">
        <is>
          <t>MLLB_000_y1.0.3</t>
        </is>
      </c>
      <c r="C184" t="inlineStr">
        <is>
          <t>WHITE</t>
        </is>
      </c>
      <c r="D184" t="inlineStr">
        <is>
          <t>v4_white_MLLB_000_y103_0924</t>
        </is>
      </c>
      <c r="E184" t="n">
        <v>4.2</v>
      </c>
      <c r="F184" t="n">
        <v>4.2</v>
      </c>
      <c r="G184" t="n">
        <v>15</v>
      </c>
      <c r="H184" t="n">
        <v>100</v>
      </c>
      <c r="I184" t="n">
        <v>19</v>
      </c>
      <c r="J184" t="inlineStr">
        <is>
          <t>ince</t>
        </is>
      </c>
      <c r="K184" t="b">
        <v>0</v>
      </c>
      <c r="L184" t="inlineStr">
        <is>
          <t>iki-OK-arasi-monotonluk</t>
        </is>
      </c>
      <c r="X184" t="b">
        <v>1</v>
      </c>
      <c r="Z184" t="n">
        <v>935</v>
      </c>
      <c r="AA184" t="n">
        <v>2.5</v>
      </c>
      <c r="AB184" t="n">
        <v>9.5</v>
      </c>
    </row>
    <row r="185">
      <c r="A185" t="inlineStr">
        <is>
          <t>2026-09-24 13:20:09</t>
        </is>
      </c>
      <c r="B185" t="inlineStr">
        <is>
          <t>MLLB_000_y1.0.3</t>
        </is>
      </c>
      <c r="C185" t="inlineStr">
        <is>
          <t>WHITE</t>
        </is>
      </c>
      <c r="D185" t="inlineStr">
        <is>
          <t>v4_white_MLLB_000_y103_0924</t>
        </is>
      </c>
      <c r="E185" t="n">
        <v>4.2</v>
      </c>
      <c r="F185" t="n">
        <v>4.2</v>
      </c>
      <c r="G185" t="n">
        <v>15</v>
      </c>
      <c r="H185" t="n">
        <v>100</v>
      </c>
      <c r="I185" t="n">
        <v>21</v>
      </c>
      <c r="J185" t="inlineStr">
        <is>
          <t>ince</t>
        </is>
      </c>
      <c r="K185" t="b">
        <v>1</v>
      </c>
      <c r="M185" t="n">
        <v>26</v>
      </c>
      <c r="N185" t="n">
        <v>28</v>
      </c>
      <c r="O185" t="n">
        <v>6</v>
      </c>
      <c r="P185" t="n">
        <v>976</v>
      </c>
      <c r="Q185" t="n">
        <v>1002</v>
      </c>
      <c r="R185" t="n">
        <v>1.068</v>
      </c>
      <c r="S185" t="n">
        <v>33.354</v>
      </c>
      <c r="T185" t="n">
        <v>31.232</v>
      </c>
      <c r="U185" t="n">
        <v>0.7772</v>
      </c>
      <c r="V185" t="b">
        <v>1</v>
      </c>
      <c r="X185" t="b">
        <v>1</v>
      </c>
      <c r="Z185" t="n">
        <v>935</v>
      </c>
      <c r="AA185" t="n">
        <v>2.5</v>
      </c>
      <c r="AB185" t="n">
        <v>9.5</v>
      </c>
    </row>
    <row r="186">
      <c r="A186" t="inlineStr">
        <is>
          <t>2026-09-24 13:20:25</t>
        </is>
      </c>
      <c r="B186" t="inlineStr">
        <is>
          <t>MLLB_000_y1.0.3</t>
        </is>
      </c>
      <c r="C186" t="inlineStr">
        <is>
          <t>WHITE</t>
        </is>
      </c>
      <c r="D186" t="inlineStr">
        <is>
          <t>v4_white_MLLB_000_y103_0924</t>
        </is>
      </c>
      <c r="E186" t="n">
        <v>4.2</v>
      </c>
      <c r="F186" t="n">
        <v>4.2</v>
      </c>
      <c r="G186" t="n">
        <v>15</v>
      </c>
      <c r="H186" t="n">
        <v>100</v>
      </c>
      <c r="I186" t="n">
        <v>22</v>
      </c>
      <c r="J186" t="inlineStr">
        <is>
          <t>ince</t>
        </is>
      </c>
      <c r="K186" t="b">
        <v>1</v>
      </c>
      <c r="M186" t="n">
        <v>26</v>
      </c>
      <c r="N186" t="n">
        <v>28</v>
      </c>
      <c r="O186" t="n">
        <v>6</v>
      </c>
      <c r="P186" t="n">
        <v>976</v>
      </c>
      <c r="Q186" t="n">
        <v>1002</v>
      </c>
      <c r="R186" t="n">
        <v>1.567</v>
      </c>
      <c r="S186" t="n">
        <v>48.955</v>
      </c>
      <c r="T186" t="n">
        <v>31.237</v>
      </c>
      <c r="U186" t="n">
        <v>0.7774</v>
      </c>
      <c r="V186" t="b">
        <v>1</v>
      </c>
      <c r="X186" t="b">
        <v>1</v>
      </c>
      <c r="Z186" t="n">
        <v>935</v>
      </c>
      <c r="AA186" t="n">
        <v>2.5</v>
      </c>
      <c r="AB186" t="n">
        <v>9.5</v>
      </c>
    </row>
    <row r="187">
      <c r="A187" t="inlineStr">
        <is>
          <t>2026-09-24 13:20:41</t>
        </is>
      </c>
      <c r="B187" t="inlineStr">
        <is>
          <t>MLLB_000_y1.0.3</t>
        </is>
      </c>
      <c r="C187" t="inlineStr">
        <is>
          <t>WHITE</t>
        </is>
      </c>
      <c r="D187" t="inlineStr">
        <is>
          <t>v4_white_MLLB_000_y103_0924</t>
        </is>
      </c>
      <c r="E187" t="n">
        <v>4.2</v>
      </c>
      <c r="F187" t="n">
        <v>4.2</v>
      </c>
      <c r="G187" t="n">
        <v>15</v>
      </c>
      <c r="H187" t="n">
        <v>100</v>
      </c>
      <c r="I187" t="n">
        <v>23</v>
      </c>
      <c r="J187" t="inlineStr">
        <is>
          <t>ince</t>
        </is>
      </c>
      <c r="K187" t="b">
        <v>1</v>
      </c>
      <c r="M187" t="n">
        <v>26</v>
      </c>
      <c r="N187" t="n">
        <v>28</v>
      </c>
      <c r="O187" t="n">
        <v>6</v>
      </c>
      <c r="P187" t="n">
        <v>976</v>
      </c>
      <c r="Q187" t="n">
        <v>1002</v>
      </c>
      <c r="R187" t="n">
        <v>2.503</v>
      </c>
      <c r="S187" t="n">
        <v>78.152</v>
      </c>
      <c r="T187" t="n">
        <v>31.223</v>
      </c>
      <c r="U187" t="n">
        <v>0.7778</v>
      </c>
      <c r="V187" t="b">
        <v>1</v>
      </c>
      <c r="X187" t="b">
        <v>0</v>
      </c>
      <c r="Y187" t="inlineStr">
        <is>
          <t>FLAS</t>
        </is>
      </c>
      <c r="Z187" t="n">
        <v>935</v>
      </c>
      <c r="AA187" t="n">
        <v>2.5</v>
      </c>
      <c r="AB187" t="n">
        <v>9.5</v>
      </c>
    </row>
    <row r="188">
      <c r="A188" t="inlineStr">
        <is>
          <t>2026-09-24 13:20:42</t>
        </is>
      </c>
      <c r="B188" t="inlineStr">
        <is>
          <t>MLLB_000_y1.0.3</t>
        </is>
      </c>
      <c r="C188" t="inlineStr">
        <is>
          <t>WHITE</t>
        </is>
      </c>
      <c r="D188" t="inlineStr">
        <is>
          <t>v4_white_MLLB_000_y103_0924</t>
        </is>
      </c>
      <c r="E188" t="n">
        <v>4.2</v>
      </c>
      <c r="F188" t="n">
        <v>4.2</v>
      </c>
      <c r="G188" t="n">
        <v>15</v>
      </c>
      <c r="H188" t="n">
        <v>100</v>
      </c>
      <c r="J188" t="inlineStr">
        <is>
          <t>bitti</t>
        </is>
      </c>
      <c r="K188" t="b">
        <v>0</v>
      </c>
      <c r="Z188" t="n">
        <v>935</v>
      </c>
      <c r="AA188" t="n">
        <v>2.5</v>
      </c>
      <c r="AB188" t="n">
        <v>9.5</v>
      </c>
    </row>
    <row r="189">
      <c r="A189" t="inlineStr">
        <is>
          <t>2026-09-24 13:20:57</t>
        </is>
      </c>
      <c r="B189" t="inlineStr">
        <is>
          <t>MLLB_000_y1.0.3</t>
        </is>
      </c>
      <c r="C189" t="inlineStr">
        <is>
          <t>WHITE</t>
        </is>
      </c>
      <c r="D189" t="inlineStr">
        <is>
          <t>v4_white_MLLB_000_y103_0924</t>
        </is>
      </c>
      <c r="E189" t="n">
        <v>4.2</v>
      </c>
      <c r="F189" t="n">
        <v>4.2</v>
      </c>
      <c r="G189" t="n">
        <v>15</v>
      </c>
      <c r="H189" t="n">
        <v>80</v>
      </c>
      <c r="I189" t="n">
        <v>12</v>
      </c>
      <c r="J189" t="inlineStr">
        <is>
          <t>kaba</t>
        </is>
      </c>
      <c r="K189" t="b">
        <v>1</v>
      </c>
      <c r="M189" t="n">
        <v>88</v>
      </c>
      <c r="N189" t="n">
        <v>30</v>
      </c>
      <c r="O189" t="n">
        <v>68</v>
      </c>
      <c r="P189" t="n">
        <v>914</v>
      </c>
      <c r="Q189" t="n">
        <v>1002</v>
      </c>
      <c r="R189" t="n">
        <v>1.07</v>
      </c>
      <c r="S189" t="n">
        <v>33.354</v>
      </c>
      <c r="T189" t="n">
        <v>31.161</v>
      </c>
      <c r="U189" t="n">
        <v>0.7776999999999999</v>
      </c>
      <c r="V189" t="b">
        <v>1</v>
      </c>
      <c r="X189" t="b">
        <v>0</v>
      </c>
      <c r="Y189" t="inlineStr">
        <is>
          <t>ON</t>
        </is>
      </c>
      <c r="Z189" t="n">
        <v>935</v>
      </c>
      <c r="AA189" t="n">
        <v>2.5</v>
      </c>
      <c r="AB189" t="n">
        <v>9.5</v>
      </c>
    </row>
    <row r="190">
      <c r="A190" t="inlineStr">
        <is>
          <t>2026-09-24 13:21:13</t>
        </is>
      </c>
      <c r="B190" t="inlineStr">
        <is>
          <t>MLLB_000_y1.0.3</t>
        </is>
      </c>
      <c r="C190" t="inlineStr">
        <is>
          <t>WHITE</t>
        </is>
      </c>
      <c r="D190" t="inlineStr">
        <is>
          <t>v4_white_MLLB_000_y103_0924</t>
        </is>
      </c>
      <c r="E190" t="n">
        <v>4.2</v>
      </c>
      <c r="F190" t="n">
        <v>4.2</v>
      </c>
      <c r="G190" t="n">
        <v>15</v>
      </c>
      <c r="H190" t="n">
        <v>80</v>
      </c>
      <c r="I190" t="n">
        <v>16</v>
      </c>
      <c r="J190" t="inlineStr">
        <is>
          <t>kaba</t>
        </is>
      </c>
      <c r="K190" t="b">
        <v>1</v>
      </c>
      <c r="M190" t="n">
        <v>68</v>
      </c>
      <c r="N190" t="n">
        <v>30</v>
      </c>
      <c r="O190" t="n">
        <v>48</v>
      </c>
      <c r="P190" t="n">
        <v>934</v>
      </c>
      <c r="Q190" t="n">
        <v>1002</v>
      </c>
      <c r="R190" t="n">
        <v>1.07</v>
      </c>
      <c r="S190" t="n">
        <v>33.372</v>
      </c>
      <c r="T190" t="n">
        <v>31.186</v>
      </c>
      <c r="U190" t="n">
        <v>0.7766999999999999</v>
      </c>
      <c r="V190" t="b">
        <v>1</v>
      </c>
      <c r="X190" t="b">
        <v>0</v>
      </c>
      <c r="Y190" t="inlineStr">
        <is>
          <t>ON</t>
        </is>
      </c>
      <c r="Z190" t="n">
        <v>935</v>
      </c>
      <c r="AA190" t="n">
        <v>2.5</v>
      </c>
      <c r="AB190" t="n">
        <v>9.5</v>
      </c>
    </row>
    <row r="191">
      <c r="A191" t="inlineStr">
        <is>
          <t>2026-09-24 13:21:29</t>
        </is>
      </c>
      <c r="B191" t="inlineStr">
        <is>
          <t>MLLB_000_y1.0.3</t>
        </is>
      </c>
      <c r="C191" t="inlineStr">
        <is>
          <t>WHITE</t>
        </is>
      </c>
      <c r="D191" t="inlineStr">
        <is>
          <t>v4_white_MLLB_000_y103_0924</t>
        </is>
      </c>
      <c r="E191" t="n">
        <v>4.2</v>
      </c>
      <c r="F191" t="n">
        <v>4.2</v>
      </c>
      <c r="G191" t="n">
        <v>15</v>
      </c>
      <c r="H191" t="n">
        <v>80</v>
      </c>
      <c r="I191" t="n">
        <v>20</v>
      </c>
      <c r="J191" t="inlineStr">
        <is>
          <t>kaba</t>
        </is>
      </c>
      <c r="K191" t="b">
        <v>1</v>
      </c>
      <c r="M191" t="n">
        <v>48</v>
      </c>
      <c r="N191" t="n">
        <v>30</v>
      </c>
      <c r="O191" t="n">
        <v>28</v>
      </c>
      <c r="P191" t="n">
        <v>954</v>
      </c>
      <c r="Q191" t="n">
        <v>1002</v>
      </c>
      <c r="R191" t="n">
        <v>1.069</v>
      </c>
      <c r="S191" t="n">
        <v>33.382</v>
      </c>
      <c r="T191" t="n">
        <v>31.239</v>
      </c>
      <c r="U191" t="n">
        <v>0.7779</v>
      </c>
      <c r="V191" t="b">
        <v>1</v>
      </c>
      <c r="X191" t="b">
        <v>1</v>
      </c>
      <c r="Z191" t="n">
        <v>935</v>
      </c>
      <c r="AA191" t="n">
        <v>2.5</v>
      </c>
      <c r="AB191" t="n">
        <v>9.5</v>
      </c>
    </row>
    <row r="192">
      <c r="A192" t="inlineStr">
        <is>
          <t>2026-09-24 13:21:42</t>
        </is>
      </c>
      <c r="B192" t="inlineStr">
        <is>
          <t>MLLB_000_y1.0.3</t>
        </is>
      </c>
      <c r="C192" t="inlineStr">
        <is>
          <t>WHITE</t>
        </is>
      </c>
      <c r="D192" t="inlineStr">
        <is>
          <t>v4_white_MLLB_000_y103_0924</t>
        </is>
      </c>
      <c r="E192" t="n">
        <v>4.2</v>
      </c>
      <c r="F192" t="n">
        <v>4.2</v>
      </c>
      <c r="G192" t="n">
        <v>15</v>
      </c>
      <c r="H192" t="n">
        <v>80</v>
      </c>
      <c r="I192" t="n">
        <v>24</v>
      </c>
      <c r="J192" t="inlineStr">
        <is>
          <t>kaba</t>
        </is>
      </c>
      <c r="K192" t="b">
        <v>1</v>
      </c>
      <c r="M192" t="n">
        <v>30</v>
      </c>
      <c r="N192" t="n">
        <v>28</v>
      </c>
      <c r="O192" t="n">
        <v>10</v>
      </c>
      <c r="P192" t="n">
        <v>972</v>
      </c>
      <c r="Q192" t="n">
        <v>1002</v>
      </c>
      <c r="R192" t="n">
        <v>1.068</v>
      </c>
      <c r="S192" t="n">
        <v>33.354</v>
      </c>
      <c r="T192" t="n">
        <v>31.237</v>
      </c>
      <c r="U192" t="n">
        <v>0.778</v>
      </c>
      <c r="V192" t="b">
        <v>1</v>
      </c>
      <c r="X192" t="b">
        <v>1</v>
      </c>
      <c r="Z192" t="n">
        <v>935</v>
      </c>
      <c r="AA192" t="n">
        <v>2.5</v>
      </c>
      <c r="AB192" t="n">
        <v>9.5</v>
      </c>
    </row>
    <row r="193">
      <c r="A193" t="inlineStr">
        <is>
          <t>2026-09-24 13:21:57</t>
        </is>
      </c>
      <c r="B193" t="inlineStr">
        <is>
          <t>MLLB_000_y1.0.3</t>
        </is>
      </c>
      <c r="C193" t="inlineStr">
        <is>
          <t>WHITE</t>
        </is>
      </c>
      <c r="D193" t="inlineStr">
        <is>
          <t>v4_white_MLLB_000_y103_0924</t>
        </is>
      </c>
      <c r="E193" t="n">
        <v>4.2</v>
      </c>
      <c r="F193" t="n">
        <v>4.2</v>
      </c>
      <c r="G193" t="n">
        <v>15</v>
      </c>
      <c r="H193" t="n">
        <v>80</v>
      </c>
      <c r="I193" t="n">
        <v>28</v>
      </c>
      <c r="J193" t="inlineStr">
        <is>
          <t>kaba</t>
        </is>
      </c>
      <c r="K193" t="b">
        <v>1</v>
      </c>
      <c r="M193" t="n">
        <v>30</v>
      </c>
      <c r="N193" t="n">
        <v>28</v>
      </c>
      <c r="O193" t="n">
        <v>10</v>
      </c>
      <c r="P193" t="n">
        <v>972</v>
      </c>
      <c r="Q193" t="n">
        <v>1002</v>
      </c>
      <c r="R193" t="n">
        <v>2.505</v>
      </c>
      <c r="S193" t="n">
        <v>78.152</v>
      </c>
      <c r="T193" t="n">
        <v>31.195</v>
      </c>
      <c r="U193" t="n">
        <v>0.777</v>
      </c>
      <c r="V193" t="b">
        <v>1</v>
      </c>
      <c r="X193" t="b">
        <v>0</v>
      </c>
      <c r="Y193" t="inlineStr">
        <is>
          <t>FLAS</t>
        </is>
      </c>
      <c r="Z193" t="n">
        <v>935</v>
      </c>
      <c r="AA193" t="n">
        <v>2.5</v>
      </c>
      <c r="AB193" t="n">
        <v>9.5</v>
      </c>
    </row>
    <row r="194">
      <c r="A194" t="inlineStr">
        <is>
          <t>2026-09-24 13:22:13</t>
        </is>
      </c>
      <c r="B194" t="inlineStr">
        <is>
          <t>MLLB_000_y1.0.3</t>
        </is>
      </c>
      <c r="C194" t="inlineStr">
        <is>
          <t>WHITE</t>
        </is>
      </c>
      <c r="D194" t="inlineStr">
        <is>
          <t>v4_white_MLLB_000_y103_0924</t>
        </is>
      </c>
      <c r="E194" t="n">
        <v>4.2</v>
      </c>
      <c r="F194" t="n">
        <v>4.2</v>
      </c>
      <c r="G194" t="n">
        <v>15</v>
      </c>
      <c r="H194" t="n">
        <v>80</v>
      </c>
      <c r="I194" t="n">
        <v>32</v>
      </c>
      <c r="J194" t="inlineStr">
        <is>
          <t>kaba</t>
        </is>
      </c>
      <c r="K194" t="b">
        <v>1</v>
      </c>
      <c r="M194" t="n">
        <v>30</v>
      </c>
      <c r="N194" t="n">
        <v>28</v>
      </c>
      <c r="O194" t="n">
        <v>10</v>
      </c>
      <c r="P194" t="n">
        <v>972</v>
      </c>
      <c r="Q194" t="n">
        <v>1002</v>
      </c>
      <c r="R194" t="n">
        <v>3.681</v>
      </c>
      <c r="S194" t="n">
        <v>114.999</v>
      </c>
      <c r="T194" t="n">
        <v>31.241</v>
      </c>
      <c r="U194" t="n">
        <v>0.7778</v>
      </c>
      <c r="V194" t="b">
        <v>1</v>
      </c>
      <c r="X194" t="b">
        <v>0</v>
      </c>
      <c r="Y194" t="inlineStr">
        <is>
          <t>FLAS</t>
        </is>
      </c>
      <c r="Z194" t="n">
        <v>935</v>
      </c>
      <c r="AA194" t="n">
        <v>2.5</v>
      </c>
      <c r="AB194" t="n">
        <v>9.5</v>
      </c>
    </row>
    <row r="195">
      <c r="A195" t="inlineStr">
        <is>
          <t>2026-09-24 13:22:29</t>
        </is>
      </c>
      <c r="B195" t="inlineStr">
        <is>
          <t>MLLB_000_y1.0.3</t>
        </is>
      </c>
      <c r="C195" t="inlineStr">
        <is>
          <t>WHITE</t>
        </is>
      </c>
      <c r="D195" t="inlineStr">
        <is>
          <t>v4_white_MLLB_000_y103_0924</t>
        </is>
      </c>
      <c r="E195" t="n">
        <v>4.2</v>
      </c>
      <c r="F195" t="n">
        <v>4.2</v>
      </c>
      <c r="G195" t="n">
        <v>15</v>
      </c>
      <c r="H195" t="n">
        <v>80</v>
      </c>
      <c r="I195" t="n">
        <v>17</v>
      </c>
      <c r="J195" t="inlineStr">
        <is>
          <t>ince</t>
        </is>
      </c>
      <c r="K195" t="b">
        <v>1</v>
      </c>
      <c r="M195" t="n">
        <v>64</v>
      </c>
      <c r="N195" t="n">
        <v>32</v>
      </c>
      <c r="O195" t="n">
        <v>42</v>
      </c>
      <c r="P195" t="n">
        <v>938</v>
      </c>
      <c r="Q195" t="n">
        <v>1002</v>
      </c>
      <c r="R195" t="n">
        <v>1.072</v>
      </c>
      <c r="S195" t="n">
        <v>33.436</v>
      </c>
      <c r="T195" t="n">
        <v>31.198</v>
      </c>
      <c r="U195" t="n">
        <v>0.778</v>
      </c>
      <c r="V195" t="b">
        <v>1</v>
      </c>
      <c r="X195" t="b">
        <v>1</v>
      </c>
      <c r="Z195" t="n">
        <v>935</v>
      </c>
      <c r="AA195" t="n">
        <v>2.5</v>
      </c>
      <c r="AB195" t="n">
        <v>9.5</v>
      </c>
    </row>
    <row r="196">
      <c r="A196" t="inlineStr">
        <is>
          <t>2026-09-24 13:22:45</t>
        </is>
      </c>
      <c r="B196" t="inlineStr">
        <is>
          <t>MLLB_000_y1.0.3</t>
        </is>
      </c>
      <c r="C196" t="inlineStr">
        <is>
          <t>WHITE</t>
        </is>
      </c>
      <c r="D196" t="inlineStr">
        <is>
          <t>v4_white_MLLB_000_y103_0924</t>
        </is>
      </c>
      <c r="E196" t="n">
        <v>4.2</v>
      </c>
      <c r="F196" t="n">
        <v>4.2</v>
      </c>
      <c r="G196" t="n">
        <v>15</v>
      </c>
      <c r="H196" t="n">
        <v>80</v>
      </c>
      <c r="I196" t="n">
        <v>18</v>
      </c>
      <c r="J196" t="inlineStr">
        <is>
          <t>ince</t>
        </is>
      </c>
      <c r="K196" t="b">
        <v>1</v>
      </c>
      <c r="M196" t="n">
        <v>58</v>
      </c>
      <c r="N196" t="n">
        <v>32</v>
      </c>
      <c r="O196" t="n">
        <v>38</v>
      </c>
      <c r="P196" t="n">
        <v>944</v>
      </c>
      <c r="Q196" t="n">
        <v>1002</v>
      </c>
      <c r="R196" t="n">
        <v>1.065</v>
      </c>
      <c r="S196" t="n">
        <v>33.252</v>
      </c>
      <c r="T196" t="n">
        <v>31.208</v>
      </c>
      <c r="U196" t="n">
        <v>0.7776</v>
      </c>
      <c r="V196" t="b">
        <v>1</v>
      </c>
      <c r="X196" t="b">
        <v>1</v>
      </c>
      <c r="Z196" t="n">
        <v>935</v>
      </c>
      <c r="AA196" t="n">
        <v>2.5</v>
      </c>
      <c r="AB196" t="n">
        <v>9.5</v>
      </c>
    </row>
    <row r="197">
      <c r="A197" t="inlineStr">
        <is>
          <t>2026-09-24 13:23:01</t>
        </is>
      </c>
      <c r="B197" t="inlineStr">
        <is>
          <t>MLLB_000_y1.0.3</t>
        </is>
      </c>
      <c r="C197" t="inlineStr">
        <is>
          <t>WHITE</t>
        </is>
      </c>
      <c r="D197" t="inlineStr">
        <is>
          <t>v4_white_MLLB_000_y103_0924</t>
        </is>
      </c>
      <c r="E197" t="n">
        <v>4.2</v>
      </c>
      <c r="F197" t="n">
        <v>4.2</v>
      </c>
      <c r="G197" t="n">
        <v>15</v>
      </c>
      <c r="H197" t="n">
        <v>80</v>
      </c>
      <c r="I197" t="n">
        <v>19</v>
      </c>
      <c r="J197" t="inlineStr">
        <is>
          <t>ince</t>
        </is>
      </c>
      <c r="K197" t="b">
        <v>1</v>
      </c>
      <c r="M197" t="n">
        <v>54</v>
      </c>
      <c r="N197" t="n">
        <v>34</v>
      </c>
      <c r="O197" t="n">
        <v>34</v>
      </c>
      <c r="P197" t="n">
        <v>948</v>
      </c>
      <c r="Q197" t="n">
        <v>1002</v>
      </c>
      <c r="R197" t="n">
        <v>1.061</v>
      </c>
      <c r="S197" t="n">
        <v>33.091</v>
      </c>
      <c r="T197" t="n">
        <v>31.191</v>
      </c>
      <c r="U197" t="n">
        <v>0.7779</v>
      </c>
      <c r="V197" t="b">
        <v>1</v>
      </c>
      <c r="X197" t="b">
        <v>1</v>
      </c>
      <c r="Z197" t="n">
        <v>935</v>
      </c>
      <c r="AA197" t="n">
        <v>2.5</v>
      </c>
      <c r="AB197" t="n">
        <v>9.5</v>
      </c>
    </row>
    <row r="198">
      <c r="A198" t="inlineStr">
        <is>
          <t>2026-09-24 13:23:02</t>
        </is>
      </c>
      <c r="B198" t="inlineStr">
        <is>
          <t>MLLB_000_y1.0.3</t>
        </is>
      </c>
      <c r="C198" t="inlineStr">
        <is>
          <t>WHITE</t>
        </is>
      </c>
      <c r="D198" t="inlineStr">
        <is>
          <t>v4_white_MLLB_000_y103_0924</t>
        </is>
      </c>
      <c r="E198" t="n">
        <v>4.2</v>
      </c>
      <c r="F198" t="n">
        <v>4.2</v>
      </c>
      <c r="G198" t="n">
        <v>15</v>
      </c>
      <c r="H198" t="n">
        <v>80</v>
      </c>
      <c r="I198" t="n">
        <v>21</v>
      </c>
      <c r="J198" t="inlineStr">
        <is>
          <t>ince</t>
        </is>
      </c>
      <c r="K198" t="b">
        <v>0</v>
      </c>
      <c r="L198" t="inlineStr">
        <is>
          <t>iki-OK-arasi-monotonluk</t>
        </is>
      </c>
      <c r="X198" t="b">
        <v>1</v>
      </c>
      <c r="Z198" t="n">
        <v>935</v>
      </c>
      <c r="AA198" t="n">
        <v>2.5</v>
      </c>
      <c r="AB198" t="n">
        <v>9.5</v>
      </c>
    </row>
    <row r="199">
      <c r="A199" t="inlineStr">
        <is>
          <t>2026-09-24 13:23:02</t>
        </is>
      </c>
      <c r="B199" t="inlineStr">
        <is>
          <t>MLLB_000_y1.0.3</t>
        </is>
      </c>
      <c r="C199" t="inlineStr">
        <is>
          <t>WHITE</t>
        </is>
      </c>
      <c r="D199" t="inlineStr">
        <is>
          <t>v4_white_MLLB_000_y103_0924</t>
        </is>
      </c>
      <c r="E199" t="n">
        <v>4.2</v>
      </c>
      <c r="F199" t="n">
        <v>4.2</v>
      </c>
      <c r="G199" t="n">
        <v>15</v>
      </c>
      <c r="H199" t="n">
        <v>80</v>
      </c>
      <c r="I199" t="n">
        <v>22</v>
      </c>
      <c r="J199" t="inlineStr">
        <is>
          <t>ince</t>
        </is>
      </c>
      <c r="K199" t="b">
        <v>0</v>
      </c>
      <c r="L199" t="inlineStr">
        <is>
          <t>iki-OK-arasi-monotonluk</t>
        </is>
      </c>
      <c r="X199" t="b">
        <v>1</v>
      </c>
      <c r="Z199" t="n">
        <v>935</v>
      </c>
      <c r="AA199" t="n">
        <v>2.5</v>
      </c>
      <c r="AB199" t="n">
        <v>9.5</v>
      </c>
    </row>
    <row r="200">
      <c r="A200" t="inlineStr">
        <is>
          <t>2026-09-24 13:23:02</t>
        </is>
      </c>
      <c r="B200" t="inlineStr">
        <is>
          <t>MLLB_000_y1.0.3</t>
        </is>
      </c>
      <c r="C200" t="inlineStr">
        <is>
          <t>WHITE</t>
        </is>
      </c>
      <c r="D200" t="inlineStr">
        <is>
          <t>v4_white_MLLB_000_y103_0924</t>
        </is>
      </c>
      <c r="E200" t="n">
        <v>4.2</v>
      </c>
      <c r="F200" t="n">
        <v>4.2</v>
      </c>
      <c r="G200" t="n">
        <v>15</v>
      </c>
      <c r="H200" t="n">
        <v>80</v>
      </c>
      <c r="I200" t="n">
        <v>23</v>
      </c>
      <c r="J200" t="inlineStr">
        <is>
          <t>ince</t>
        </is>
      </c>
      <c r="K200" t="b">
        <v>0</v>
      </c>
      <c r="L200" t="inlineStr">
        <is>
          <t>iki-OK-arasi-monotonluk</t>
        </is>
      </c>
      <c r="X200" t="b">
        <v>1</v>
      </c>
      <c r="Z200" t="n">
        <v>935</v>
      </c>
      <c r="AA200" t="n">
        <v>2.5</v>
      </c>
      <c r="AB200" t="n">
        <v>9.5</v>
      </c>
    </row>
    <row r="201">
      <c r="A201" t="inlineStr">
        <is>
          <t>2026-09-24 13:23:17</t>
        </is>
      </c>
      <c r="B201" t="inlineStr">
        <is>
          <t>MLLB_000_y1.0.3</t>
        </is>
      </c>
      <c r="C201" t="inlineStr">
        <is>
          <t>WHITE</t>
        </is>
      </c>
      <c r="D201" t="inlineStr">
        <is>
          <t>v4_white_MLLB_000_y103_0924</t>
        </is>
      </c>
      <c r="E201" t="n">
        <v>4.2</v>
      </c>
      <c r="F201" t="n">
        <v>4.2</v>
      </c>
      <c r="G201" t="n">
        <v>15</v>
      </c>
      <c r="H201" t="n">
        <v>80</v>
      </c>
      <c r="I201" t="n">
        <v>25</v>
      </c>
      <c r="J201" t="inlineStr">
        <is>
          <t>ince</t>
        </is>
      </c>
      <c r="K201" t="b">
        <v>1</v>
      </c>
      <c r="M201" t="n">
        <v>30</v>
      </c>
      <c r="N201" t="n">
        <v>32</v>
      </c>
      <c r="O201" t="n">
        <v>10</v>
      </c>
      <c r="P201" t="n">
        <v>972</v>
      </c>
      <c r="Q201" t="n">
        <v>1002</v>
      </c>
      <c r="R201" t="n">
        <v>1.06</v>
      </c>
      <c r="S201" t="n">
        <v>33.048</v>
      </c>
      <c r="T201" t="n">
        <v>31.169</v>
      </c>
      <c r="U201" t="n">
        <v>0.7775</v>
      </c>
      <c r="V201" t="b">
        <v>1</v>
      </c>
      <c r="X201" t="b">
        <v>1</v>
      </c>
      <c r="Z201" t="n">
        <v>935</v>
      </c>
      <c r="AA201" t="n">
        <v>2.5</v>
      </c>
      <c r="AB201" t="n">
        <v>9.5</v>
      </c>
    </row>
    <row r="202">
      <c r="A202" t="inlineStr">
        <is>
          <t>2026-09-24 13:23:33</t>
        </is>
      </c>
      <c r="B202" t="inlineStr">
        <is>
          <t>MLLB_000_y1.0.3</t>
        </is>
      </c>
      <c r="C202" t="inlineStr">
        <is>
          <t>WHITE</t>
        </is>
      </c>
      <c r="D202" t="inlineStr">
        <is>
          <t>v4_white_MLLB_000_y103_0924</t>
        </is>
      </c>
      <c r="E202" t="n">
        <v>4.2</v>
      </c>
      <c r="F202" t="n">
        <v>4.2</v>
      </c>
      <c r="G202" t="n">
        <v>15</v>
      </c>
      <c r="H202" t="n">
        <v>80</v>
      </c>
      <c r="I202" t="n">
        <v>26</v>
      </c>
      <c r="J202" t="inlineStr">
        <is>
          <t>ince</t>
        </is>
      </c>
      <c r="K202" t="b">
        <v>1</v>
      </c>
      <c r="M202" t="n">
        <v>30</v>
      </c>
      <c r="N202" t="n">
        <v>32</v>
      </c>
      <c r="O202" t="n">
        <v>10</v>
      </c>
      <c r="P202" t="n">
        <v>972</v>
      </c>
      <c r="Q202" t="n">
        <v>1002</v>
      </c>
      <c r="R202" t="n">
        <v>1.057</v>
      </c>
      <c r="S202" t="n">
        <v>32.96</v>
      </c>
      <c r="T202" t="n">
        <v>31.182</v>
      </c>
      <c r="U202" t="n">
        <v>0.7781</v>
      </c>
      <c r="V202" t="b">
        <v>1</v>
      </c>
      <c r="X202" t="b">
        <v>1</v>
      </c>
      <c r="Z202" t="n">
        <v>935</v>
      </c>
      <c r="AA202" t="n">
        <v>2.5</v>
      </c>
      <c r="AB202" t="n">
        <v>9.5</v>
      </c>
    </row>
    <row r="203">
      <c r="A203" t="inlineStr">
        <is>
          <t>2026-09-24 13:23:49</t>
        </is>
      </c>
      <c r="B203" t="inlineStr">
        <is>
          <t>MLLB_000_y1.0.3</t>
        </is>
      </c>
      <c r="C203" t="inlineStr">
        <is>
          <t>WHITE</t>
        </is>
      </c>
      <c r="D203" t="inlineStr">
        <is>
          <t>v4_white_MLLB_000_y103_0924</t>
        </is>
      </c>
      <c r="E203" t="n">
        <v>4.2</v>
      </c>
      <c r="F203" t="n">
        <v>4.2</v>
      </c>
      <c r="G203" t="n">
        <v>15</v>
      </c>
      <c r="H203" t="n">
        <v>80</v>
      </c>
      <c r="I203" t="n">
        <v>27</v>
      </c>
      <c r="J203" t="inlineStr">
        <is>
          <t>ince</t>
        </is>
      </c>
      <c r="K203" t="b">
        <v>1</v>
      </c>
      <c r="M203" t="n">
        <v>30</v>
      </c>
      <c r="N203" t="n">
        <v>32</v>
      </c>
      <c r="O203" t="n">
        <v>10</v>
      </c>
      <c r="P203" t="n">
        <v>972</v>
      </c>
      <c r="Q203" t="n">
        <v>1002</v>
      </c>
      <c r="R203" t="n">
        <v>1.06</v>
      </c>
      <c r="S203" t="n">
        <v>33.12</v>
      </c>
      <c r="T203" t="n">
        <v>31.239</v>
      </c>
      <c r="U203" t="n">
        <v>0.7776</v>
      </c>
      <c r="V203" t="b">
        <v>1</v>
      </c>
      <c r="X203" t="b">
        <v>1</v>
      </c>
      <c r="Z203" t="n">
        <v>935</v>
      </c>
      <c r="AA203" t="n">
        <v>2.5</v>
      </c>
      <c r="AB203" t="n">
        <v>9.5</v>
      </c>
    </row>
    <row r="204">
      <c r="A204" t="inlineStr">
        <is>
          <t>2026-09-24 13:23:50</t>
        </is>
      </c>
      <c r="B204" t="inlineStr">
        <is>
          <t>MLLB_000_y1.0.3</t>
        </is>
      </c>
      <c r="C204" t="inlineStr">
        <is>
          <t>WHITE</t>
        </is>
      </c>
      <c r="D204" t="inlineStr">
        <is>
          <t>v4_white_MLLB_000_y103_0924</t>
        </is>
      </c>
      <c r="E204" t="n">
        <v>4.2</v>
      </c>
      <c r="F204" t="n">
        <v>4.2</v>
      </c>
      <c r="G204" t="n">
        <v>15</v>
      </c>
      <c r="H204" t="n">
        <v>80</v>
      </c>
      <c r="J204" t="inlineStr">
        <is>
          <t>bitti</t>
        </is>
      </c>
      <c r="K204" t="b">
        <v>0</v>
      </c>
      <c r="Z204" t="n">
        <v>935</v>
      </c>
      <c r="AA204" t="n">
        <v>2.5</v>
      </c>
      <c r="AB204" t="n">
        <v>9.5</v>
      </c>
    </row>
    <row r="205">
      <c r="A205" t="inlineStr">
        <is>
          <t>2026-09-24 13:24:05</t>
        </is>
      </c>
      <c r="B205" t="inlineStr">
        <is>
          <t>MLLB_000_y1.0.3</t>
        </is>
      </c>
      <c r="C205" t="inlineStr">
        <is>
          <t>WHITE</t>
        </is>
      </c>
      <c r="D205" t="inlineStr">
        <is>
          <t>v4_white_MLLB_000_y103_0924</t>
        </is>
      </c>
      <c r="E205" t="n">
        <v>4.2</v>
      </c>
      <c r="F205" t="n">
        <v>4.2</v>
      </c>
      <c r="G205" t="n">
        <v>15</v>
      </c>
      <c r="H205" t="n">
        <v>60</v>
      </c>
      <c r="I205" t="n">
        <v>12</v>
      </c>
      <c r="J205" t="inlineStr">
        <is>
          <t>kaba</t>
        </is>
      </c>
      <c r="K205" t="b">
        <v>1</v>
      </c>
      <c r="M205" t="n">
        <v>102</v>
      </c>
      <c r="N205" t="n">
        <v>32</v>
      </c>
      <c r="O205" t="n">
        <v>82</v>
      </c>
      <c r="P205" t="n">
        <v>900</v>
      </c>
      <c r="Q205" t="n">
        <v>1002</v>
      </c>
      <c r="R205" t="n">
        <v>1.063</v>
      </c>
      <c r="S205" t="n">
        <v>33.088</v>
      </c>
      <c r="T205" t="n">
        <v>31.13</v>
      </c>
      <c r="U205" t="n">
        <v>0.7769</v>
      </c>
      <c r="V205" t="b">
        <v>1</v>
      </c>
      <c r="X205" t="b">
        <v>0</v>
      </c>
      <c r="Y205" t="inlineStr">
        <is>
          <t>ON</t>
        </is>
      </c>
      <c r="Z205" t="n">
        <v>935</v>
      </c>
      <c r="AA205" t="n">
        <v>2.5</v>
      </c>
      <c r="AB205" t="n">
        <v>9.5</v>
      </c>
    </row>
    <row r="206">
      <c r="A206" t="inlineStr">
        <is>
          <t>2026-09-24 13:24:21</t>
        </is>
      </c>
      <c r="B206" t="inlineStr">
        <is>
          <t>MLLB_000_y1.0.3</t>
        </is>
      </c>
      <c r="C206" t="inlineStr">
        <is>
          <t>WHITE</t>
        </is>
      </c>
      <c r="D206" t="inlineStr">
        <is>
          <t>v4_white_MLLB_000_y103_0924</t>
        </is>
      </c>
      <c r="E206" t="n">
        <v>4.2</v>
      </c>
      <c r="F206" t="n">
        <v>4.2</v>
      </c>
      <c r="G206" t="n">
        <v>15</v>
      </c>
      <c r="H206" t="n">
        <v>60</v>
      </c>
      <c r="I206" t="n">
        <v>16</v>
      </c>
      <c r="J206" t="inlineStr">
        <is>
          <t>kaba</t>
        </is>
      </c>
      <c r="K206" t="b">
        <v>1</v>
      </c>
      <c r="M206" t="n">
        <v>90</v>
      </c>
      <c r="N206" t="n">
        <v>28</v>
      </c>
      <c r="O206" t="n">
        <v>70</v>
      </c>
      <c r="P206" t="n">
        <v>912</v>
      </c>
      <c r="Q206" t="n">
        <v>1002</v>
      </c>
      <c r="R206" t="n">
        <v>1.061</v>
      </c>
      <c r="S206" t="n">
        <v>33.048</v>
      </c>
      <c r="T206" t="n">
        <v>31.142</v>
      </c>
      <c r="U206" t="n">
        <v>0.7781</v>
      </c>
      <c r="V206" t="b">
        <v>1</v>
      </c>
      <c r="X206" t="b">
        <v>0</v>
      </c>
      <c r="Y206" t="inlineStr">
        <is>
          <t>ON</t>
        </is>
      </c>
      <c r="Z206" t="n">
        <v>935</v>
      </c>
      <c r="AA206" t="n">
        <v>2.5</v>
      </c>
      <c r="AB206" t="n">
        <v>9.5</v>
      </c>
    </row>
    <row r="207">
      <c r="A207" t="inlineStr">
        <is>
          <t>2026-09-24 13:24:34</t>
        </is>
      </c>
      <c r="B207" t="inlineStr">
        <is>
          <t>MLLB_000_y1.0.3</t>
        </is>
      </c>
      <c r="C207" t="inlineStr">
        <is>
          <t>WHITE</t>
        </is>
      </c>
      <c r="D207" t="inlineStr">
        <is>
          <t>v4_white_MLLB_000_y103_0924</t>
        </is>
      </c>
      <c r="E207" t="n">
        <v>4.2</v>
      </c>
      <c r="F207" t="n">
        <v>4.2</v>
      </c>
      <c r="G207" t="n">
        <v>15</v>
      </c>
      <c r="H207" t="n">
        <v>60</v>
      </c>
      <c r="I207" t="n">
        <v>20</v>
      </c>
      <c r="J207" t="inlineStr">
        <is>
          <t>kaba</t>
        </is>
      </c>
      <c r="K207" t="b">
        <v>1</v>
      </c>
      <c r="M207" t="n">
        <v>76</v>
      </c>
      <c r="N207" t="n">
        <v>30</v>
      </c>
      <c r="O207" t="n">
        <v>56</v>
      </c>
      <c r="P207" t="n">
        <v>926</v>
      </c>
      <c r="Q207" t="n">
        <v>1002</v>
      </c>
      <c r="R207" t="n">
        <v>1.062</v>
      </c>
      <c r="S207" t="n">
        <v>33.048</v>
      </c>
      <c r="T207" t="n">
        <v>31.129</v>
      </c>
      <c r="U207" t="n">
        <v>0.7776</v>
      </c>
      <c r="V207" t="b">
        <v>1</v>
      </c>
      <c r="X207" t="b">
        <v>0</v>
      </c>
      <c r="Y207" t="inlineStr">
        <is>
          <t>ON</t>
        </is>
      </c>
      <c r="Z207" t="n">
        <v>935</v>
      </c>
      <c r="AA207" t="n">
        <v>2.5</v>
      </c>
      <c r="AB207" t="n">
        <v>9.5</v>
      </c>
    </row>
    <row r="208">
      <c r="A208" t="inlineStr">
        <is>
          <t>2026-09-24 13:24:49</t>
        </is>
      </c>
      <c r="B208" t="inlineStr">
        <is>
          <t>MLLB_000_y1.0.3</t>
        </is>
      </c>
      <c r="C208" t="inlineStr">
        <is>
          <t>WHITE</t>
        </is>
      </c>
      <c r="D208" t="inlineStr">
        <is>
          <t>v4_white_MLLB_000_y103_0924</t>
        </is>
      </c>
      <c r="E208" t="n">
        <v>4.2</v>
      </c>
      <c r="F208" t="n">
        <v>4.2</v>
      </c>
      <c r="G208" t="n">
        <v>15</v>
      </c>
      <c r="H208" t="n">
        <v>60</v>
      </c>
      <c r="I208" t="n">
        <v>24</v>
      </c>
      <c r="J208" t="inlineStr">
        <is>
          <t>kaba</t>
        </is>
      </c>
      <c r="K208" t="b">
        <v>1</v>
      </c>
      <c r="M208" t="n">
        <v>62</v>
      </c>
      <c r="N208" t="n">
        <v>32</v>
      </c>
      <c r="O208" t="n">
        <v>42</v>
      </c>
      <c r="P208" t="n">
        <v>940</v>
      </c>
      <c r="Q208" t="n">
        <v>1002</v>
      </c>
      <c r="R208" t="n">
        <v>1.06</v>
      </c>
      <c r="S208" t="n">
        <v>33.048</v>
      </c>
      <c r="T208" t="n">
        <v>31.17</v>
      </c>
      <c r="U208" t="n">
        <v>0.7781</v>
      </c>
      <c r="V208" t="b">
        <v>1</v>
      </c>
      <c r="X208" t="b">
        <v>1</v>
      </c>
      <c r="Z208" t="n">
        <v>935</v>
      </c>
      <c r="AA208" t="n">
        <v>2.5</v>
      </c>
      <c r="AB208" t="n">
        <v>9.5</v>
      </c>
    </row>
    <row r="209">
      <c r="A209" t="inlineStr">
        <is>
          <t>2026-09-24 13:25:05</t>
        </is>
      </c>
      <c r="B209" t="inlineStr">
        <is>
          <t>MLLB_000_y1.0.3</t>
        </is>
      </c>
      <c r="C209" t="inlineStr">
        <is>
          <t>WHITE</t>
        </is>
      </c>
      <c r="D209" t="inlineStr">
        <is>
          <t>v4_white_MLLB_000_y103_0924</t>
        </is>
      </c>
      <c r="E209" t="n">
        <v>4.2</v>
      </c>
      <c r="F209" t="n">
        <v>4.2</v>
      </c>
      <c r="G209" t="n">
        <v>15</v>
      </c>
      <c r="H209" t="n">
        <v>60</v>
      </c>
      <c r="I209" t="n">
        <v>28</v>
      </c>
      <c r="J209" t="inlineStr">
        <is>
          <t>kaba</t>
        </is>
      </c>
      <c r="K209" t="b">
        <v>1</v>
      </c>
      <c r="M209" t="n">
        <v>48</v>
      </c>
      <c r="N209" t="n">
        <v>30</v>
      </c>
      <c r="O209" t="n">
        <v>28</v>
      </c>
      <c r="P209" t="n">
        <v>954</v>
      </c>
      <c r="Q209" t="n">
        <v>1002</v>
      </c>
      <c r="R209" t="n">
        <v>1.059</v>
      </c>
      <c r="S209" t="n">
        <v>33.048</v>
      </c>
      <c r="T209" t="n">
        <v>31.194</v>
      </c>
      <c r="U209" t="n">
        <v>0.7782</v>
      </c>
      <c r="V209" t="b">
        <v>1</v>
      </c>
      <c r="X209" t="b">
        <v>1</v>
      </c>
      <c r="Z209" t="n">
        <v>935</v>
      </c>
      <c r="AA209" t="n">
        <v>2.5</v>
      </c>
      <c r="AB209" t="n">
        <v>9.5</v>
      </c>
    </row>
    <row r="210">
      <c r="A210" t="inlineStr">
        <is>
          <t>2026-09-24 13:25:21</t>
        </is>
      </c>
      <c r="B210" t="inlineStr">
        <is>
          <t>MLLB_000_y1.0.3</t>
        </is>
      </c>
      <c r="C210" t="inlineStr">
        <is>
          <t>WHITE</t>
        </is>
      </c>
      <c r="D210" t="inlineStr">
        <is>
          <t>v4_white_MLLB_000_y103_0924</t>
        </is>
      </c>
      <c r="E210" t="n">
        <v>4.2</v>
      </c>
      <c r="F210" t="n">
        <v>4.2</v>
      </c>
      <c r="G210" t="n">
        <v>15</v>
      </c>
      <c r="H210" t="n">
        <v>60</v>
      </c>
      <c r="I210" t="n">
        <v>32</v>
      </c>
      <c r="J210" t="inlineStr">
        <is>
          <t>kaba</t>
        </is>
      </c>
      <c r="K210" t="b">
        <v>1</v>
      </c>
      <c r="M210" t="n">
        <v>38</v>
      </c>
      <c r="N210" t="n">
        <v>28</v>
      </c>
      <c r="O210" t="n">
        <v>18</v>
      </c>
      <c r="P210" t="n">
        <v>964</v>
      </c>
      <c r="Q210" t="n">
        <v>1002</v>
      </c>
      <c r="R210" t="n">
        <v>1.057</v>
      </c>
      <c r="S210" t="n">
        <v>32.946</v>
      </c>
      <c r="T210" t="n">
        <v>31.172</v>
      </c>
      <c r="U210" t="n">
        <v>0.7775</v>
      </c>
      <c r="V210" t="b">
        <v>1</v>
      </c>
      <c r="X210" t="b">
        <v>1</v>
      </c>
      <c r="Z210" t="n">
        <v>935</v>
      </c>
      <c r="AA210" t="n">
        <v>2.5</v>
      </c>
      <c r="AB210" t="n">
        <v>9.5</v>
      </c>
    </row>
    <row r="211">
      <c r="A211" t="inlineStr">
        <is>
          <t>2026-09-24 13:25:37</t>
        </is>
      </c>
      <c r="B211" t="inlineStr">
        <is>
          <t>MLLB_000_y1.0.3</t>
        </is>
      </c>
      <c r="C211" t="inlineStr">
        <is>
          <t>WHITE</t>
        </is>
      </c>
      <c r="D211" t="inlineStr">
        <is>
          <t>v4_white_MLLB_000_y103_0924</t>
        </is>
      </c>
      <c r="E211" t="n">
        <v>4.2</v>
      </c>
      <c r="F211" t="n">
        <v>4.2</v>
      </c>
      <c r="G211" t="n">
        <v>15</v>
      </c>
      <c r="H211" t="n">
        <v>60</v>
      </c>
      <c r="I211" t="n">
        <v>36</v>
      </c>
      <c r="J211" t="inlineStr">
        <is>
          <t>kaba</t>
        </is>
      </c>
      <c r="K211" t="b">
        <v>1</v>
      </c>
      <c r="M211" t="n">
        <v>38</v>
      </c>
      <c r="N211" t="n">
        <v>28</v>
      </c>
      <c r="O211" t="n">
        <v>18</v>
      </c>
      <c r="P211" t="n">
        <v>964</v>
      </c>
      <c r="Q211" t="n">
        <v>1002</v>
      </c>
      <c r="R211" t="n">
        <v>1.059</v>
      </c>
      <c r="S211" t="n">
        <v>33.048</v>
      </c>
      <c r="T211" t="n">
        <v>31.2</v>
      </c>
      <c r="U211" t="n">
        <v>0.7779</v>
      </c>
      <c r="V211" t="b">
        <v>1</v>
      </c>
      <c r="X211" t="b">
        <v>1</v>
      </c>
      <c r="Z211" t="n">
        <v>935</v>
      </c>
      <c r="AA211" t="n">
        <v>2.5</v>
      </c>
      <c r="AB211" t="n">
        <v>9.5</v>
      </c>
    </row>
    <row r="212">
      <c r="A212" t="inlineStr">
        <is>
          <t>2026-09-24 13:25:53</t>
        </is>
      </c>
      <c r="B212" t="inlineStr">
        <is>
          <t>MLLB_000_y1.0.3</t>
        </is>
      </c>
      <c r="C212" t="inlineStr">
        <is>
          <t>WHITE</t>
        </is>
      </c>
      <c r="D212" t="inlineStr">
        <is>
          <t>v4_white_MLLB_000_y103_0924</t>
        </is>
      </c>
      <c r="E212" t="n">
        <v>4.2</v>
      </c>
      <c r="F212" t="n">
        <v>4.2</v>
      </c>
      <c r="G212" t="n">
        <v>15</v>
      </c>
      <c r="H212" t="n">
        <v>60</v>
      </c>
      <c r="I212" t="n">
        <v>40</v>
      </c>
      <c r="J212" t="inlineStr">
        <is>
          <t>kaba</t>
        </is>
      </c>
      <c r="K212" t="b">
        <v>1</v>
      </c>
      <c r="M212" t="n">
        <v>38</v>
      </c>
      <c r="N212" t="n">
        <v>28</v>
      </c>
      <c r="O212" t="n">
        <v>18</v>
      </c>
      <c r="P212" t="n">
        <v>964</v>
      </c>
      <c r="Q212" t="n">
        <v>1002</v>
      </c>
      <c r="R212" t="n">
        <v>1.765</v>
      </c>
      <c r="S212" t="n">
        <v>55.044</v>
      </c>
      <c r="T212" t="n">
        <v>31.192</v>
      </c>
      <c r="U212" t="n">
        <v>0.778</v>
      </c>
      <c r="V212" t="b">
        <v>1</v>
      </c>
      <c r="X212" t="b">
        <v>1</v>
      </c>
      <c r="Z212" t="n">
        <v>935</v>
      </c>
      <c r="AA212" t="n">
        <v>2.5</v>
      </c>
      <c r="AB212" t="n">
        <v>9.5</v>
      </c>
    </row>
    <row r="213">
      <c r="A213" t="inlineStr">
        <is>
          <t>2026-09-24 13:26:09</t>
        </is>
      </c>
      <c r="B213" t="inlineStr">
        <is>
          <t>MLLB_000_y1.0.3</t>
        </is>
      </c>
      <c r="C213" t="inlineStr">
        <is>
          <t>WHITE</t>
        </is>
      </c>
      <c r="D213" t="inlineStr">
        <is>
          <t>v4_white_MLLB_000_y103_0924</t>
        </is>
      </c>
      <c r="E213" t="n">
        <v>4.2</v>
      </c>
      <c r="F213" t="n">
        <v>4.2</v>
      </c>
      <c r="G213" t="n">
        <v>15</v>
      </c>
      <c r="H213" t="n">
        <v>60</v>
      </c>
      <c r="I213" t="n">
        <v>44</v>
      </c>
      <c r="J213" t="inlineStr">
        <is>
          <t>kaba</t>
        </is>
      </c>
      <c r="K213" t="b">
        <v>1</v>
      </c>
      <c r="M213" t="n">
        <v>38</v>
      </c>
      <c r="N213" t="n">
        <v>28</v>
      </c>
      <c r="O213" t="n">
        <v>18</v>
      </c>
      <c r="P213" t="n">
        <v>964</v>
      </c>
      <c r="Q213" t="n">
        <v>1002</v>
      </c>
      <c r="R213" t="n">
        <v>2.314</v>
      </c>
      <c r="S213" t="n">
        <v>82.51600000000001</v>
      </c>
      <c r="T213" t="n">
        <v>35.66</v>
      </c>
      <c r="U213" t="n">
        <v>0.7773</v>
      </c>
      <c r="V213" t="b">
        <v>1</v>
      </c>
      <c r="X213" t="b">
        <v>1</v>
      </c>
      <c r="Z213" t="n">
        <v>935</v>
      </c>
      <c r="AA213" t="n">
        <v>2.5</v>
      </c>
      <c r="AB213" t="n">
        <v>9.5</v>
      </c>
    </row>
    <row r="214">
      <c r="A214" t="inlineStr">
        <is>
          <t>2026-09-24 13:26:25</t>
        </is>
      </c>
      <c r="B214" t="inlineStr">
        <is>
          <t>MLLB_000_y1.0.3</t>
        </is>
      </c>
      <c r="C214" t="inlineStr">
        <is>
          <t>WHITE</t>
        </is>
      </c>
      <c r="D214" t="inlineStr">
        <is>
          <t>v4_white_MLLB_000_y103_0924</t>
        </is>
      </c>
      <c r="E214" t="n">
        <v>4.2</v>
      </c>
      <c r="F214" t="n">
        <v>4.2</v>
      </c>
      <c r="G214" t="n">
        <v>15</v>
      </c>
      <c r="H214" t="n">
        <v>60</v>
      </c>
      <c r="I214" t="n">
        <v>48</v>
      </c>
      <c r="J214" t="inlineStr">
        <is>
          <t>kaba</t>
        </is>
      </c>
      <c r="K214" t="b">
        <v>1</v>
      </c>
      <c r="M214" t="n">
        <v>38</v>
      </c>
      <c r="N214" t="n">
        <v>28</v>
      </c>
      <c r="O214" t="n">
        <v>18</v>
      </c>
      <c r="P214" t="n">
        <v>964</v>
      </c>
      <c r="Q214" t="n">
        <v>1002</v>
      </c>
      <c r="R214" t="n">
        <v>2.821</v>
      </c>
      <c r="S214" t="n">
        <v>100.684</v>
      </c>
      <c r="T214" t="n">
        <v>35.695</v>
      </c>
      <c r="U214" t="n">
        <v>0.7776</v>
      </c>
      <c r="V214" t="b">
        <v>1</v>
      </c>
      <c r="X214" t="b">
        <v>0</v>
      </c>
      <c r="Y214" t="inlineStr">
        <is>
          <t>FLAS</t>
        </is>
      </c>
      <c r="Z214" t="n">
        <v>935</v>
      </c>
      <c r="AA214" t="n">
        <v>2.5</v>
      </c>
      <c r="AB214" t="n">
        <v>9.5</v>
      </c>
    </row>
    <row r="215">
      <c r="A215" t="inlineStr">
        <is>
          <t>2026-09-24 13:26:41</t>
        </is>
      </c>
      <c r="B215" t="inlineStr">
        <is>
          <t>MLLB_000_y1.0.3</t>
        </is>
      </c>
      <c r="C215" t="inlineStr">
        <is>
          <t>WHITE</t>
        </is>
      </c>
      <c r="D215" t="inlineStr">
        <is>
          <t>v4_white_MLLB_000_y103_0924</t>
        </is>
      </c>
      <c r="E215" t="n">
        <v>4.2</v>
      </c>
      <c r="F215" t="n">
        <v>4.2</v>
      </c>
      <c r="G215" t="n">
        <v>15</v>
      </c>
      <c r="H215" t="n">
        <v>60</v>
      </c>
      <c r="I215" t="n">
        <v>52</v>
      </c>
      <c r="J215" t="inlineStr">
        <is>
          <t>kaba</t>
        </is>
      </c>
      <c r="K215" t="b">
        <v>1</v>
      </c>
      <c r="M215" t="n">
        <v>38</v>
      </c>
      <c r="N215" t="n">
        <v>28</v>
      </c>
      <c r="O215" t="n">
        <v>18</v>
      </c>
      <c r="P215" t="n">
        <v>964</v>
      </c>
      <c r="Q215" t="n">
        <v>1002</v>
      </c>
      <c r="R215" t="n">
        <v>3.257</v>
      </c>
      <c r="S215" t="n">
        <v>116.508</v>
      </c>
      <c r="T215" t="n">
        <v>35.776</v>
      </c>
      <c r="U215" t="n">
        <v>0.7773</v>
      </c>
      <c r="V215" t="b">
        <v>1</v>
      </c>
      <c r="X215" t="b">
        <v>0</v>
      </c>
      <c r="Y215" t="inlineStr">
        <is>
          <t>FLAS</t>
        </is>
      </c>
      <c r="Z215" t="n">
        <v>935</v>
      </c>
      <c r="AA215" t="n">
        <v>2.5</v>
      </c>
      <c r="AB215" t="n">
        <v>9.5</v>
      </c>
    </row>
    <row r="216">
      <c r="A216" t="inlineStr">
        <is>
          <t>2026-09-24 13:26:57</t>
        </is>
      </c>
      <c r="B216" t="inlineStr">
        <is>
          <t>MLLB_000_y1.0.3</t>
        </is>
      </c>
      <c r="C216" t="inlineStr">
        <is>
          <t>WHITE</t>
        </is>
      </c>
      <c r="D216" t="inlineStr">
        <is>
          <t>v4_white_MLLB_000_y103_0924</t>
        </is>
      </c>
      <c r="E216" t="n">
        <v>4.2</v>
      </c>
      <c r="F216" t="n">
        <v>4.2</v>
      </c>
      <c r="G216" t="n">
        <v>15</v>
      </c>
      <c r="H216" t="n">
        <v>60</v>
      </c>
      <c r="I216" t="n">
        <v>21</v>
      </c>
      <c r="J216" t="inlineStr">
        <is>
          <t>ince</t>
        </is>
      </c>
      <c r="K216" t="b">
        <v>1</v>
      </c>
      <c r="M216" t="n">
        <v>72</v>
      </c>
      <c r="N216" t="n">
        <v>30</v>
      </c>
      <c r="O216" t="n">
        <v>52</v>
      </c>
      <c r="P216" t="n">
        <v>930</v>
      </c>
      <c r="Q216" t="n">
        <v>1002</v>
      </c>
      <c r="R216" t="n">
        <v>1.067</v>
      </c>
      <c r="S216" t="n">
        <v>33.252</v>
      </c>
      <c r="T216" t="n">
        <v>31.171</v>
      </c>
      <c r="U216" t="n">
        <v>0.7766999999999999</v>
      </c>
      <c r="V216" t="b">
        <v>1</v>
      </c>
      <c r="X216" t="b">
        <v>0</v>
      </c>
      <c r="Y216" t="inlineStr">
        <is>
          <t>ON</t>
        </is>
      </c>
      <c r="Z216" t="n">
        <v>935</v>
      </c>
      <c r="AA216" t="n">
        <v>2.5</v>
      </c>
      <c r="AB216" t="n">
        <v>9.5</v>
      </c>
    </row>
    <row r="217">
      <c r="A217" t="inlineStr">
        <is>
          <t>2026-09-24 13:27:13</t>
        </is>
      </c>
      <c r="B217" t="inlineStr">
        <is>
          <t>MLLB_000_y1.0.3</t>
        </is>
      </c>
      <c r="C217" t="inlineStr">
        <is>
          <t>WHITE</t>
        </is>
      </c>
      <c r="D217" t="inlineStr">
        <is>
          <t>v4_white_MLLB_000_y103_0924</t>
        </is>
      </c>
      <c r="E217" t="n">
        <v>4.2</v>
      </c>
      <c r="F217" t="n">
        <v>4.2</v>
      </c>
      <c r="G217" t="n">
        <v>15</v>
      </c>
      <c r="H217" t="n">
        <v>60</v>
      </c>
      <c r="I217" t="n">
        <v>22</v>
      </c>
      <c r="J217" t="inlineStr">
        <is>
          <t>ince</t>
        </is>
      </c>
      <c r="K217" t="b">
        <v>1</v>
      </c>
      <c r="M217" t="n">
        <v>68</v>
      </c>
      <c r="N217" t="n">
        <v>30</v>
      </c>
      <c r="O217" t="n">
        <v>48</v>
      </c>
      <c r="P217" t="n">
        <v>934</v>
      </c>
      <c r="Q217" t="n">
        <v>1002</v>
      </c>
      <c r="R217" t="n">
        <v>1.064</v>
      </c>
      <c r="S217" t="n">
        <v>33.15</v>
      </c>
      <c r="T217" t="n">
        <v>31.161</v>
      </c>
      <c r="U217" t="n">
        <v>0.7779</v>
      </c>
      <c r="V217" t="b">
        <v>1</v>
      </c>
      <c r="X217" t="b">
        <v>0</v>
      </c>
      <c r="Y217" t="inlineStr">
        <is>
          <t>ON</t>
        </is>
      </c>
      <c r="Z217" t="n">
        <v>935</v>
      </c>
      <c r="AA217" t="n">
        <v>2.5</v>
      </c>
      <c r="AB217" t="n">
        <v>9.5</v>
      </c>
    </row>
    <row r="218">
      <c r="A218" t="inlineStr">
        <is>
          <t>2026-09-24 13:27:29</t>
        </is>
      </c>
      <c r="B218" t="inlineStr">
        <is>
          <t>MLLB_000_y1.0.3</t>
        </is>
      </c>
      <c r="C218" t="inlineStr">
        <is>
          <t>WHITE</t>
        </is>
      </c>
      <c r="D218" t="inlineStr">
        <is>
          <t>v4_white_MLLB_000_y103_0924</t>
        </is>
      </c>
      <c r="E218" t="n">
        <v>4.2</v>
      </c>
      <c r="F218" t="n">
        <v>4.2</v>
      </c>
      <c r="G218" t="n">
        <v>15</v>
      </c>
      <c r="H218" t="n">
        <v>60</v>
      </c>
      <c r="I218" t="n">
        <v>23</v>
      </c>
      <c r="J218" t="inlineStr">
        <is>
          <t>ince</t>
        </is>
      </c>
      <c r="K218" t="b">
        <v>1</v>
      </c>
      <c r="M218" t="n">
        <v>64</v>
      </c>
      <c r="N218" t="n">
        <v>28</v>
      </c>
      <c r="O218" t="n">
        <v>46</v>
      </c>
      <c r="P218" t="n">
        <v>938</v>
      </c>
      <c r="Q218" t="n">
        <v>1002</v>
      </c>
      <c r="R218" t="n">
        <v>1.066</v>
      </c>
      <c r="S218" t="n">
        <v>33.252</v>
      </c>
      <c r="T218" t="n">
        <v>31.188</v>
      </c>
      <c r="U218" t="n">
        <v>0.7779</v>
      </c>
      <c r="V218" t="b">
        <v>1</v>
      </c>
      <c r="X218" t="b">
        <v>1</v>
      </c>
      <c r="Z218" t="n">
        <v>935</v>
      </c>
      <c r="AA218" t="n">
        <v>2.5</v>
      </c>
      <c r="AB218" t="n">
        <v>9.5</v>
      </c>
    </row>
    <row r="219">
      <c r="A219" t="inlineStr">
        <is>
          <t>2026-09-24 13:27:29</t>
        </is>
      </c>
      <c r="B219" t="inlineStr">
        <is>
          <t>MLLB_000_y1.0.3</t>
        </is>
      </c>
      <c r="C219" t="inlineStr">
        <is>
          <t>WHITE</t>
        </is>
      </c>
      <c r="D219" t="inlineStr">
        <is>
          <t>v4_white_MLLB_000_y103_0924</t>
        </is>
      </c>
      <c r="E219" t="n">
        <v>4.2</v>
      </c>
      <c r="F219" t="n">
        <v>4.2</v>
      </c>
      <c r="G219" t="n">
        <v>15</v>
      </c>
      <c r="H219" t="n">
        <v>60</v>
      </c>
      <c r="I219" t="n">
        <v>25</v>
      </c>
      <c r="J219" t="inlineStr">
        <is>
          <t>ince</t>
        </is>
      </c>
      <c r="K219" t="b">
        <v>0</v>
      </c>
      <c r="L219" t="inlineStr">
        <is>
          <t>iki-OK-arasi-monotonluk</t>
        </is>
      </c>
      <c r="X219" t="b">
        <v>1</v>
      </c>
      <c r="Z219" t="n">
        <v>935</v>
      </c>
      <c r="AA219" t="n">
        <v>2.5</v>
      </c>
      <c r="AB219" t="n">
        <v>9.5</v>
      </c>
    </row>
    <row r="220">
      <c r="A220" t="inlineStr">
        <is>
          <t>2026-09-24 13:27:29</t>
        </is>
      </c>
      <c r="B220" t="inlineStr">
        <is>
          <t>MLLB_000_y1.0.3</t>
        </is>
      </c>
      <c r="C220" t="inlineStr">
        <is>
          <t>WHITE</t>
        </is>
      </c>
      <c r="D220" t="inlineStr">
        <is>
          <t>v4_white_MLLB_000_y103_0924</t>
        </is>
      </c>
      <c r="E220" t="n">
        <v>4.2</v>
      </c>
      <c r="F220" t="n">
        <v>4.2</v>
      </c>
      <c r="G220" t="n">
        <v>15</v>
      </c>
      <c r="H220" t="n">
        <v>60</v>
      </c>
      <c r="I220" t="n">
        <v>26</v>
      </c>
      <c r="J220" t="inlineStr">
        <is>
          <t>ince</t>
        </is>
      </c>
      <c r="K220" t="b">
        <v>0</v>
      </c>
      <c r="L220" t="inlineStr">
        <is>
          <t>iki-OK-arasi-monotonluk</t>
        </is>
      </c>
      <c r="X220" t="b">
        <v>1</v>
      </c>
      <c r="Z220" t="n">
        <v>935</v>
      </c>
      <c r="AA220" t="n">
        <v>2.5</v>
      </c>
      <c r="AB220" t="n">
        <v>9.5</v>
      </c>
    </row>
    <row r="221">
      <c r="A221" t="inlineStr">
        <is>
          <t>2026-09-24 13:27:29</t>
        </is>
      </c>
      <c r="B221" t="inlineStr">
        <is>
          <t>MLLB_000_y1.0.3</t>
        </is>
      </c>
      <c r="C221" t="inlineStr">
        <is>
          <t>WHITE</t>
        </is>
      </c>
      <c r="D221" t="inlineStr">
        <is>
          <t>v4_white_MLLB_000_y103_0924</t>
        </is>
      </c>
      <c r="E221" t="n">
        <v>4.2</v>
      </c>
      <c r="F221" t="n">
        <v>4.2</v>
      </c>
      <c r="G221" t="n">
        <v>15</v>
      </c>
      <c r="H221" t="n">
        <v>60</v>
      </c>
      <c r="I221" t="n">
        <v>27</v>
      </c>
      <c r="J221" t="inlineStr">
        <is>
          <t>ince</t>
        </is>
      </c>
      <c r="K221" t="b">
        <v>0</v>
      </c>
      <c r="L221" t="inlineStr">
        <is>
          <t>iki-OK-arasi-monotonluk</t>
        </is>
      </c>
      <c r="X221" t="b">
        <v>1</v>
      </c>
      <c r="Z221" t="n">
        <v>935</v>
      </c>
      <c r="AA221" t="n">
        <v>2.5</v>
      </c>
      <c r="AB221" t="n">
        <v>9.5</v>
      </c>
    </row>
    <row r="222">
      <c r="A222" t="inlineStr">
        <is>
          <t>2026-09-24 13:27:29</t>
        </is>
      </c>
      <c r="B222" t="inlineStr">
        <is>
          <t>MLLB_000_y1.0.3</t>
        </is>
      </c>
      <c r="C222" t="inlineStr">
        <is>
          <t>WHITE</t>
        </is>
      </c>
      <c r="D222" t="inlineStr">
        <is>
          <t>v4_white_MLLB_000_y103_0924</t>
        </is>
      </c>
      <c r="E222" t="n">
        <v>4.2</v>
      </c>
      <c r="F222" t="n">
        <v>4.2</v>
      </c>
      <c r="G222" t="n">
        <v>15</v>
      </c>
      <c r="H222" t="n">
        <v>60</v>
      </c>
      <c r="I222" t="n">
        <v>29</v>
      </c>
      <c r="J222" t="inlineStr">
        <is>
          <t>ince</t>
        </is>
      </c>
      <c r="K222" t="b">
        <v>0</v>
      </c>
      <c r="L222" t="inlineStr">
        <is>
          <t>iki-OK-arasi-monotonluk</t>
        </is>
      </c>
      <c r="X222" t="b">
        <v>1</v>
      </c>
      <c r="Z222" t="n">
        <v>935</v>
      </c>
      <c r="AA222" t="n">
        <v>2.5</v>
      </c>
      <c r="AB222" t="n">
        <v>9.5</v>
      </c>
    </row>
    <row r="223">
      <c r="A223" t="inlineStr">
        <is>
          <t>2026-09-24 13:27:29</t>
        </is>
      </c>
      <c r="B223" t="inlineStr">
        <is>
          <t>MLLB_000_y1.0.3</t>
        </is>
      </c>
      <c r="C223" t="inlineStr">
        <is>
          <t>WHITE</t>
        </is>
      </c>
      <c r="D223" t="inlineStr">
        <is>
          <t>v4_white_MLLB_000_y103_0924</t>
        </is>
      </c>
      <c r="E223" t="n">
        <v>4.2</v>
      </c>
      <c r="F223" t="n">
        <v>4.2</v>
      </c>
      <c r="G223" t="n">
        <v>15</v>
      </c>
      <c r="H223" t="n">
        <v>60</v>
      </c>
      <c r="I223" t="n">
        <v>30</v>
      </c>
      <c r="J223" t="inlineStr">
        <is>
          <t>ince</t>
        </is>
      </c>
      <c r="K223" t="b">
        <v>0</v>
      </c>
      <c r="L223" t="inlineStr">
        <is>
          <t>iki-OK-arasi-monotonluk</t>
        </is>
      </c>
      <c r="X223" t="b">
        <v>1</v>
      </c>
      <c r="Z223" t="n">
        <v>935</v>
      </c>
      <c r="AA223" t="n">
        <v>2.5</v>
      </c>
      <c r="AB223" t="n">
        <v>9.5</v>
      </c>
    </row>
    <row r="224">
      <c r="A224" t="inlineStr">
        <is>
          <t>2026-09-24 13:27:29</t>
        </is>
      </c>
      <c r="B224" t="inlineStr">
        <is>
          <t>MLLB_000_y1.0.3</t>
        </is>
      </c>
      <c r="C224" t="inlineStr">
        <is>
          <t>WHITE</t>
        </is>
      </c>
      <c r="D224" t="inlineStr">
        <is>
          <t>v4_white_MLLB_000_y103_0924</t>
        </is>
      </c>
      <c r="E224" t="n">
        <v>4.2</v>
      </c>
      <c r="F224" t="n">
        <v>4.2</v>
      </c>
      <c r="G224" t="n">
        <v>15</v>
      </c>
      <c r="H224" t="n">
        <v>60</v>
      </c>
      <c r="I224" t="n">
        <v>31</v>
      </c>
      <c r="J224" t="inlineStr">
        <is>
          <t>ince</t>
        </is>
      </c>
      <c r="K224" t="b">
        <v>0</v>
      </c>
      <c r="L224" t="inlineStr">
        <is>
          <t>iki-OK-arasi-monotonluk</t>
        </is>
      </c>
      <c r="X224" t="b">
        <v>1</v>
      </c>
      <c r="Z224" t="n">
        <v>935</v>
      </c>
      <c r="AA224" t="n">
        <v>2.5</v>
      </c>
      <c r="AB224" t="n">
        <v>9.5</v>
      </c>
    </row>
    <row r="225">
      <c r="A225" t="inlineStr">
        <is>
          <t>2026-09-24 13:27:29</t>
        </is>
      </c>
      <c r="B225" t="inlineStr">
        <is>
          <t>MLLB_000_y1.0.3</t>
        </is>
      </c>
      <c r="C225" t="inlineStr">
        <is>
          <t>WHITE</t>
        </is>
      </c>
      <c r="D225" t="inlineStr">
        <is>
          <t>v4_white_MLLB_000_y103_0924</t>
        </is>
      </c>
      <c r="E225" t="n">
        <v>4.2</v>
      </c>
      <c r="F225" t="n">
        <v>4.2</v>
      </c>
      <c r="G225" t="n">
        <v>15</v>
      </c>
      <c r="H225" t="n">
        <v>60</v>
      </c>
      <c r="I225" t="n">
        <v>33</v>
      </c>
      <c r="J225" t="inlineStr">
        <is>
          <t>ince</t>
        </is>
      </c>
      <c r="K225" t="b">
        <v>0</v>
      </c>
      <c r="L225" t="inlineStr">
        <is>
          <t>iki-OK-arasi-monotonluk</t>
        </is>
      </c>
      <c r="X225" t="b">
        <v>1</v>
      </c>
      <c r="Z225" t="n">
        <v>935</v>
      </c>
      <c r="AA225" t="n">
        <v>2.5</v>
      </c>
      <c r="AB225" t="n">
        <v>9.5</v>
      </c>
    </row>
    <row r="226">
      <c r="A226" t="inlineStr">
        <is>
          <t>2026-09-24 13:27:29</t>
        </is>
      </c>
      <c r="B226" t="inlineStr">
        <is>
          <t>MLLB_000_y1.0.3</t>
        </is>
      </c>
      <c r="C226" t="inlineStr">
        <is>
          <t>WHITE</t>
        </is>
      </c>
      <c r="D226" t="inlineStr">
        <is>
          <t>v4_white_MLLB_000_y103_0924</t>
        </is>
      </c>
      <c r="E226" t="n">
        <v>4.2</v>
      </c>
      <c r="F226" t="n">
        <v>4.2</v>
      </c>
      <c r="G226" t="n">
        <v>15</v>
      </c>
      <c r="H226" t="n">
        <v>60</v>
      </c>
      <c r="I226" t="n">
        <v>34</v>
      </c>
      <c r="J226" t="inlineStr">
        <is>
          <t>ince</t>
        </is>
      </c>
      <c r="K226" t="b">
        <v>0</v>
      </c>
      <c r="L226" t="inlineStr">
        <is>
          <t>iki-OK-arasi-monotonluk</t>
        </is>
      </c>
      <c r="X226" t="b">
        <v>1</v>
      </c>
      <c r="Z226" t="n">
        <v>935</v>
      </c>
      <c r="AA226" t="n">
        <v>2.5</v>
      </c>
      <c r="AB226" t="n">
        <v>9.5</v>
      </c>
    </row>
    <row r="227">
      <c r="A227" t="inlineStr">
        <is>
          <t>2026-09-24 13:27:29</t>
        </is>
      </c>
      <c r="B227" t="inlineStr">
        <is>
          <t>MLLB_000_y1.0.3</t>
        </is>
      </c>
      <c r="C227" t="inlineStr">
        <is>
          <t>WHITE</t>
        </is>
      </c>
      <c r="D227" t="inlineStr">
        <is>
          <t>v4_white_MLLB_000_y103_0924</t>
        </is>
      </c>
      <c r="E227" t="n">
        <v>4.2</v>
      </c>
      <c r="F227" t="n">
        <v>4.2</v>
      </c>
      <c r="G227" t="n">
        <v>15</v>
      </c>
      <c r="H227" t="n">
        <v>60</v>
      </c>
      <c r="I227" t="n">
        <v>35</v>
      </c>
      <c r="J227" t="inlineStr">
        <is>
          <t>ince</t>
        </is>
      </c>
      <c r="K227" t="b">
        <v>0</v>
      </c>
      <c r="L227" t="inlineStr">
        <is>
          <t>iki-OK-arasi-monotonluk</t>
        </is>
      </c>
      <c r="X227" t="b">
        <v>1</v>
      </c>
      <c r="Z227" t="n">
        <v>935</v>
      </c>
      <c r="AA227" t="n">
        <v>2.5</v>
      </c>
      <c r="AB227" t="n">
        <v>9.5</v>
      </c>
    </row>
    <row r="228">
      <c r="A228" t="inlineStr">
        <is>
          <t>2026-09-24 13:27:29</t>
        </is>
      </c>
      <c r="B228" t="inlineStr">
        <is>
          <t>MLLB_000_y1.0.3</t>
        </is>
      </c>
      <c r="C228" t="inlineStr">
        <is>
          <t>WHITE</t>
        </is>
      </c>
      <c r="D228" t="inlineStr">
        <is>
          <t>v4_white_MLLB_000_y103_0924</t>
        </is>
      </c>
      <c r="E228" t="n">
        <v>4.2</v>
      </c>
      <c r="F228" t="n">
        <v>4.2</v>
      </c>
      <c r="G228" t="n">
        <v>15</v>
      </c>
      <c r="H228" t="n">
        <v>60</v>
      </c>
      <c r="I228" t="n">
        <v>37</v>
      </c>
      <c r="J228" t="inlineStr">
        <is>
          <t>ince</t>
        </is>
      </c>
      <c r="K228" t="b">
        <v>0</v>
      </c>
      <c r="L228" t="inlineStr">
        <is>
          <t>iki-OK-arasi-monotonluk</t>
        </is>
      </c>
      <c r="X228" t="b">
        <v>1</v>
      </c>
      <c r="Z228" t="n">
        <v>935</v>
      </c>
      <c r="AA228" t="n">
        <v>2.5</v>
      </c>
      <c r="AB228" t="n">
        <v>9.5</v>
      </c>
    </row>
    <row r="229">
      <c r="A229" t="inlineStr">
        <is>
          <t>2026-09-24 13:27:29</t>
        </is>
      </c>
      <c r="B229" t="inlineStr">
        <is>
          <t>MLLB_000_y1.0.3</t>
        </is>
      </c>
      <c r="C229" t="inlineStr">
        <is>
          <t>WHITE</t>
        </is>
      </c>
      <c r="D229" t="inlineStr">
        <is>
          <t>v4_white_MLLB_000_y103_0924</t>
        </is>
      </c>
      <c r="E229" t="n">
        <v>4.2</v>
      </c>
      <c r="F229" t="n">
        <v>4.2</v>
      </c>
      <c r="G229" t="n">
        <v>15</v>
      </c>
      <c r="H229" t="n">
        <v>60</v>
      </c>
      <c r="I229" t="n">
        <v>38</v>
      </c>
      <c r="J229" t="inlineStr">
        <is>
          <t>ince</t>
        </is>
      </c>
      <c r="K229" t="b">
        <v>0</v>
      </c>
      <c r="L229" t="inlineStr">
        <is>
          <t>iki-OK-arasi-monotonluk</t>
        </is>
      </c>
      <c r="X229" t="b">
        <v>1</v>
      </c>
      <c r="Z229" t="n">
        <v>935</v>
      </c>
      <c r="AA229" t="n">
        <v>2.5</v>
      </c>
      <c r="AB229" t="n">
        <v>9.5</v>
      </c>
    </row>
    <row r="230">
      <c r="A230" t="inlineStr">
        <is>
          <t>2026-09-24 13:27:29</t>
        </is>
      </c>
      <c r="B230" t="inlineStr">
        <is>
          <t>MLLB_000_y1.0.3</t>
        </is>
      </c>
      <c r="C230" t="inlineStr">
        <is>
          <t>WHITE</t>
        </is>
      </c>
      <c r="D230" t="inlineStr">
        <is>
          <t>v4_white_MLLB_000_y103_0924</t>
        </is>
      </c>
      <c r="E230" t="n">
        <v>4.2</v>
      </c>
      <c r="F230" t="n">
        <v>4.2</v>
      </c>
      <c r="G230" t="n">
        <v>15</v>
      </c>
      <c r="H230" t="n">
        <v>60</v>
      </c>
      <c r="I230" t="n">
        <v>39</v>
      </c>
      <c r="J230" t="inlineStr">
        <is>
          <t>ince</t>
        </is>
      </c>
      <c r="K230" t="b">
        <v>0</v>
      </c>
      <c r="L230" t="inlineStr">
        <is>
          <t>iki-OK-arasi-monotonluk</t>
        </is>
      </c>
      <c r="X230" t="b">
        <v>1</v>
      </c>
      <c r="Z230" t="n">
        <v>935</v>
      </c>
      <c r="AA230" t="n">
        <v>2.5</v>
      </c>
      <c r="AB230" t="n">
        <v>9.5</v>
      </c>
    </row>
    <row r="231">
      <c r="A231" t="inlineStr">
        <is>
          <t>2026-09-24 13:27:29</t>
        </is>
      </c>
      <c r="B231" t="inlineStr">
        <is>
          <t>MLLB_000_y1.0.3</t>
        </is>
      </c>
      <c r="C231" t="inlineStr">
        <is>
          <t>WHITE</t>
        </is>
      </c>
      <c r="D231" t="inlineStr">
        <is>
          <t>v4_white_MLLB_000_y103_0924</t>
        </is>
      </c>
      <c r="E231" t="n">
        <v>4.2</v>
      </c>
      <c r="F231" t="n">
        <v>4.2</v>
      </c>
      <c r="G231" t="n">
        <v>15</v>
      </c>
      <c r="H231" t="n">
        <v>60</v>
      </c>
      <c r="I231" t="n">
        <v>41</v>
      </c>
      <c r="J231" t="inlineStr">
        <is>
          <t>ince</t>
        </is>
      </c>
      <c r="K231" t="b">
        <v>0</v>
      </c>
      <c r="L231" t="inlineStr">
        <is>
          <t>iki-OK-arasi-monotonluk</t>
        </is>
      </c>
      <c r="X231" t="b">
        <v>1</v>
      </c>
      <c r="Z231" t="n">
        <v>935</v>
      </c>
      <c r="AA231" t="n">
        <v>2.5</v>
      </c>
      <c r="AB231" t="n">
        <v>9.5</v>
      </c>
    </row>
    <row r="232">
      <c r="A232" t="inlineStr">
        <is>
          <t>2026-09-24 13:27:29</t>
        </is>
      </c>
      <c r="B232" t="inlineStr">
        <is>
          <t>MLLB_000_y1.0.3</t>
        </is>
      </c>
      <c r="C232" t="inlineStr">
        <is>
          <t>WHITE</t>
        </is>
      </c>
      <c r="D232" t="inlineStr">
        <is>
          <t>v4_white_MLLB_000_y103_0924</t>
        </is>
      </c>
      <c r="E232" t="n">
        <v>4.2</v>
      </c>
      <c r="F232" t="n">
        <v>4.2</v>
      </c>
      <c r="G232" t="n">
        <v>15</v>
      </c>
      <c r="H232" t="n">
        <v>60</v>
      </c>
      <c r="I232" t="n">
        <v>42</v>
      </c>
      <c r="J232" t="inlineStr">
        <is>
          <t>ince</t>
        </is>
      </c>
      <c r="K232" t="b">
        <v>0</v>
      </c>
      <c r="L232" t="inlineStr">
        <is>
          <t>iki-OK-arasi-monotonluk</t>
        </is>
      </c>
      <c r="X232" t="b">
        <v>1</v>
      </c>
      <c r="Z232" t="n">
        <v>935</v>
      </c>
      <c r="AA232" t="n">
        <v>2.5</v>
      </c>
      <c r="AB232" t="n">
        <v>9.5</v>
      </c>
    </row>
    <row r="233">
      <c r="A233" t="inlineStr">
        <is>
          <t>2026-09-24 13:27:29</t>
        </is>
      </c>
      <c r="B233" t="inlineStr">
        <is>
          <t>MLLB_000_y1.0.3</t>
        </is>
      </c>
      <c r="C233" t="inlineStr">
        <is>
          <t>WHITE</t>
        </is>
      </c>
      <c r="D233" t="inlineStr">
        <is>
          <t>v4_white_MLLB_000_y103_0924</t>
        </is>
      </c>
      <c r="E233" t="n">
        <v>4.2</v>
      </c>
      <c r="F233" t="n">
        <v>4.2</v>
      </c>
      <c r="G233" t="n">
        <v>15</v>
      </c>
      <c r="H233" t="n">
        <v>60</v>
      </c>
      <c r="I233" t="n">
        <v>43</v>
      </c>
      <c r="J233" t="inlineStr">
        <is>
          <t>ince</t>
        </is>
      </c>
      <c r="K233" t="b">
        <v>0</v>
      </c>
      <c r="L233" t="inlineStr">
        <is>
          <t>iki-OK-arasi-monotonluk</t>
        </is>
      </c>
      <c r="X233" t="b">
        <v>1</v>
      </c>
      <c r="Z233" t="n">
        <v>935</v>
      </c>
      <c r="AA233" t="n">
        <v>2.5</v>
      </c>
      <c r="AB233" t="n">
        <v>9.5</v>
      </c>
    </row>
    <row r="234">
      <c r="A234" t="inlineStr">
        <is>
          <t>2026-09-24 13:27:45</t>
        </is>
      </c>
      <c r="B234" t="inlineStr">
        <is>
          <t>MLLB_000_y1.0.3</t>
        </is>
      </c>
      <c r="C234" t="inlineStr">
        <is>
          <t>WHITE</t>
        </is>
      </c>
      <c r="D234" t="inlineStr">
        <is>
          <t>v4_white_MLLB_000_y103_0924</t>
        </is>
      </c>
      <c r="E234" t="n">
        <v>4.2</v>
      </c>
      <c r="F234" t="n">
        <v>4.2</v>
      </c>
      <c r="G234" t="n">
        <v>15</v>
      </c>
      <c r="H234" t="n">
        <v>60</v>
      </c>
      <c r="I234" t="n">
        <v>45</v>
      </c>
      <c r="J234" t="inlineStr">
        <is>
          <t>ince</t>
        </is>
      </c>
      <c r="K234" t="b">
        <v>1</v>
      </c>
      <c r="M234" t="n">
        <v>38</v>
      </c>
      <c r="N234" t="n">
        <v>28</v>
      </c>
      <c r="O234" t="n">
        <v>18</v>
      </c>
      <c r="P234" t="n">
        <v>964</v>
      </c>
      <c r="Q234" t="n">
        <v>1002</v>
      </c>
      <c r="R234" t="n">
        <v>2.658</v>
      </c>
      <c r="S234" t="n">
        <v>94.92100000000001</v>
      </c>
      <c r="T234" t="n">
        <v>35.709</v>
      </c>
      <c r="U234" t="n">
        <v>0.7774</v>
      </c>
      <c r="V234" t="b">
        <v>1</v>
      </c>
      <c r="X234" t="b">
        <v>0</v>
      </c>
      <c r="Y234" t="inlineStr">
        <is>
          <t>FLAS</t>
        </is>
      </c>
      <c r="Z234" t="n">
        <v>935</v>
      </c>
      <c r="AA234" t="n">
        <v>2.5</v>
      </c>
      <c r="AB234" t="n">
        <v>9.5</v>
      </c>
    </row>
    <row r="235">
      <c r="A235" t="inlineStr">
        <is>
          <t>2026-09-24 13:28:01</t>
        </is>
      </c>
      <c r="B235" t="inlineStr">
        <is>
          <t>MLLB_000_y1.0.3</t>
        </is>
      </c>
      <c r="C235" t="inlineStr">
        <is>
          <t>WHITE</t>
        </is>
      </c>
      <c r="D235" t="inlineStr">
        <is>
          <t>v4_white_MLLB_000_y103_0924</t>
        </is>
      </c>
      <c r="E235" t="n">
        <v>4.2</v>
      </c>
      <c r="F235" t="n">
        <v>4.2</v>
      </c>
      <c r="G235" t="n">
        <v>15</v>
      </c>
      <c r="H235" t="n">
        <v>60</v>
      </c>
      <c r="I235" t="n">
        <v>46</v>
      </c>
      <c r="J235" t="inlineStr">
        <is>
          <t>ince</t>
        </is>
      </c>
      <c r="K235" t="b">
        <v>1</v>
      </c>
      <c r="M235" t="n">
        <v>38</v>
      </c>
      <c r="N235" t="n">
        <v>28</v>
      </c>
      <c r="O235" t="n">
        <v>18</v>
      </c>
      <c r="P235" t="n">
        <v>964</v>
      </c>
      <c r="Q235" t="n">
        <v>1002</v>
      </c>
      <c r="R235" t="n">
        <v>2.748</v>
      </c>
      <c r="S235" t="n">
        <v>97.675</v>
      </c>
      <c r="T235" t="n">
        <v>35.54</v>
      </c>
      <c r="U235" t="n">
        <v>0.7769</v>
      </c>
      <c r="V235" t="b">
        <v>1</v>
      </c>
      <c r="X235" t="b">
        <v>0</v>
      </c>
      <c r="Y235" t="inlineStr">
        <is>
          <t>FLAS</t>
        </is>
      </c>
      <c r="Z235" t="n">
        <v>935</v>
      </c>
      <c r="AA235" t="n">
        <v>2.5</v>
      </c>
      <c r="AB235" t="n">
        <v>9.5</v>
      </c>
    </row>
    <row r="236">
      <c r="A236" t="inlineStr">
        <is>
          <t>2026-09-24 13:28:13</t>
        </is>
      </c>
      <c r="B236" t="inlineStr">
        <is>
          <t>MLLB_000_y1.0.3</t>
        </is>
      </c>
      <c r="C236" t="inlineStr">
        <is>
          <t>WHITE</t>
        </is>
      </c>
      <c r="D236" t="inlineStr">
        <is>
          <t>v4_white_MLLB_000_y103_0924</t>
        </is>
      </c>
      <c r="E236" t="n">
        <v>4.2</v>
      </c>
      <c r="F236" t="n">
        <v>4.2</v>
      </c>
      <c r="G236" t="n">
        <v>15</v>
      </c>
      <c r="H236" t="n">
        <v>60</v>
      </c>
      <c r="I236" t="n">
        <v>47</v>
      </c>
      <c r="J236" t="inlineStr">
        <is>
          <t>ince</t>
        </is>
      </c>
      <c r="K236" t="b">
        <v>1</v>
      </c>
      <c r="M236" t="n">
        <v>38</v>
      </c>
      <c r="N236" t="n">
        <v>28</v>
      </c>
      <c r="O236" t="n">
        <v>18</v>
      </c>
      <c r="P236" t="n">
        <v>964</v>
      </c>
      <c r="Q236" t="n">
        <v>1002</v>
      </c>
      <c r="R236" t="n">
        <v>2.759</v>
      </c>
      <c r="S236" t="n">
        <v>100.339</v>
      </c>
      <c r="T236" t="n">
        <v>36.372</v>
      </c>
      <c r="U236" t="n">
        <v>0.7772</v>
      </c>
      <c r="V236" t="b">
        <v>1</v>
      </c>
      <c r="X236" t="b">
        <v>0</v>
      </c>
      <c r="Y236" t="inlineStr">
        <is>
          <t>FLAS</t>
        </is>
      </c>
      <c r="Z236" t="n">
        <v>935</v>
      </c>
      <c r="AA236" t="n">
        <v>2.5</v>
      </c>
      <c r="AB236" t="n">
        <v>9.5</v>
      </c>
    </row>
    <row r="237">
      <c r="A237" t="inlineStr">
        <is>
          <t>2026-09-24 13:28:14</t>
        </is>
      </c>
      <c r="B237" t="inlineStr">
        <is>
          <t>MLLB_000_y1.0.3</t>
        </is>
      </c>
      <c r="C237" t="inlineStr">
        <is>
          <t>WHITE</t>
        </is>
      </c>
      <c r="D237" t="inlineStr">
        <is>
          <t>v4_white_MLLB_000_y103_0924</t>
        </is>
      </c>
      <c r="E237" t="n">
        <v>4.2</v>
      </c>
      <c r="F237" t="n">
        <v>4.2</v>
      </c>
      <c r="G237" t="n">
        <v>15</v>
      </c>
      <c r="H237" t="n">
        <v>60</v>
      </c>
      <c r="J237" t="inlineStr">
        <is>
          <t>bitti</t>
        </is>
      </c>
      <c r="K237" t="b">
        <v>0</v>
      </c>
      <c r="Z237" t="n">
        <v>935</v>
      </c>
      <c r="AA237" t="n">
        <v>2.5</v>
      </c>
      <c r="AB237" t="n">
        <v>9.5</v>
      </c>
    </row>
    <row r="238">
      <c r="A238" t="inlineStr">
        <is>
          <t>2026-09-24 13:28:53</t>
        </is>
      </c>
      <c r="B238" t="inlineStr">
        <is>
          <t>MLLB_000_y1.0.3</t>
        </is>
      </c>
      <c r="C238" t="inlineStr">
        <is>
          <t>WHITE</t>
        </is>
      </c>
      <c r="D238" t="inlineStr">
        <is>
          <t>v4_white_MLLB_000_y103_0924</t>
        </is>
      </c>
      <c r="E238" t="n">
        <v>4.2</v>
      </c>
      <c r="F238" t="n">
        <v>4.2</v>
      </c>
      <c r="G238" t="n">
        <v>100</v>
      </c>
      <c r="H238" t="n">
        <v>100</v>
      </c>
      <c r="I238" t="n">
        <v>12</v>
      </c>
      <c r="J238" t="inlineStr">
        <is>
          <t>kaba</t>
        </is>
      </c>
      <c r="K238" t="b">
        <v>1</v>
      </c>
      <c r="M238" t="n">
        <v>26</v>
      </c>
      <c r="N238" t="n">
        <v>28</v>
      </c>
      <c r="O238" t="n">
        <v>6</v>
      </c>
      <c r="P238" t="n">
        <v>976</v>
      </c>
      <c r="Q238" t="n">
        <v>1002</v>
      </c>
      <c r="R238" t="n">
        <v>1.066</v>
      </c>
      <c r="S238" t="n">
        <v>242.323</v>
      </c>
      <c r="T238" t="n">
        <v>227.242</v>
      </c>
      <c r="U238" t="n">
        <v>0.7772</v>
      </c>
      <c r="V238" t="b">
        <v>1</v>
      </c>
      <c r="X238" t="b">
        <v>1</v>
      </c>
      <c r="Z238" t="n">
        <v>935</v>
      </c>
      <c r="AA238" t="n">
        <v>2.5</v>
      </c>
      <c r="AB238" t="n">
        <v>9.5</v>
      </c>
    </row>
    <row r="239">
      <c r="A239" t="inlineStr">
        <is>
          <t>2026-09-24 13:29:09</t>
        </is>
      </c>
      <c r="B239" t="inlineStr">
        <is>
          <t>MLLB_000_y1.0.3</t>
        </is>
      </c>
      <c r="C239" t="inlineStr">
        <is>
          <t>WHITE</t>
        </is>
      </c>
      <c r="D239" t="inlineStr">
        <is>
          <t>v4_white_MLLB_000_y103_0924</t>
        </is>
      </c>
      <c r="E239" t="n">
        <v>4.2</v>
      </c>
      <c r="F239" t="n">
        <v>4.2</v>
      </c>
      <c r="G239" t="n">
        <v>100</v>
      </c>
      <c r="H239" t="n">
        <v>100</v>
      </c>
      <c r="I239" t="n">
        <v>16</v>
      </c>
      <c r="J239" t="inlineStr">
        <is>
          <t>kaba</t>
        </is>
      </c>
      <c r="K239" t="b">
        <v>1</v>
      </c>
      <c r="M239" t="n">
        <v>26</v>
      </c>
      <c r="N239" t="n">
        <v>28</v>
      </c>
      <c r="O239" t="n">
        <v>6</v>
      </c>
      <c r="P239" t="n">
        <v>976</v>
      </c>
      <c r="Q239" t="n">
        <v>1002</v>
      </c>
      <c r="R239" t="n">
        <v>1.071</v>
      </c>
      <c r="S239" t="n">
        <v>243.864</v>
      </c>
      <c r="T239" t="n">
        <v>227.685</v>
      </c>
      <c r="U239" t="n">
        <v>0.7776</v>
      </c>
      <c r="V239" t="b">
        <v>1</v>
      </c>
      <c r="X239" t="b">
        <v>1</v>
      </c>
      <c r="Z239" t="n">
        <v>935</v>
      </c>
      <c r="AA239" t="n">
        <v>2.5</v>
      </c>
      <c r="AB239" t="n">
        <v>9.5</v>
      </c>
    </row>
    <row r="240">
      <c r="A240" t="inlineStr">
        <is>
          <t>2026-09-24 13:29:25</t>
        </is>
      </c>
      <c r="B240" t="inlineStr">
        <is>
          <t>MLLB_000_y1.0.3</t>
        </is>
      </c>
      <c r="C240" t="inlineStr">
        <is>
          <t>WHITE</t>
        </is>
      </c>
      <c r="D240" t="inlineStr">
        <is>
          <t>v4_white_MLLB_000_y103_0924</t>
        </is>
      </c>
      <c r="E240" t="n">
        <v>4.2</v>
      </c>
      <c r="F240" t="n">
        <v>4.2</v>
      </c>
      <c r="G240" t="n">
        <v>100</v>
      </c>
      <c r="H240" t="n">
        <v>100</v>
      </c>
      <c r="I240" t="n">
        <v>20</v>
      </c>
      <c r="J240" t="inlineStr">
        <is>
          <t>kaba</t>
        </is>
      </c>
      <c r="K240" t="b">
        <v>1</v>
      </c>
      <c r="M240" t="n">
        <v>26</v>
      </c>
      <c r="N240" t="n">
        <v>28</v>
      </c>
      <c r="O240" t="n">
        <v>6</v>
      </c>
      <c r="P240" t="n">
        <v>976</v>
      </c>
      <c r="Q240" t="n">
        <v>1002</v>
      </c>
      <c r="R240" t="n">
        <v>1.071</v>
      </c>
      <c r="S240" t="n">
        <v>243.864</v>
      </c>
      <c r="T240" t="n">
        <v>227.662</v>
      </c>
      <c r="U240" t="n">
        <v>0.7776</v>
      </c>
      <c r="V240" t="b">
        <v>1</v>
      </c>
      <c r="X240" t="b">
        <v>1</v>
      </c>
      <c r="Z240" t="n">
        <v>935</v>
      </c>
      <c r="AA240" t="n">
        <v>2.5</v>
      </c>
      <c r="AB240" t="n">
        <v>9.5</v>
      </c>
    </row>
    <row r="241">
      <c r="A241" t="inlineStr">
        <is>
          <t>2026-09-24 13:29:41</t>
        </is>
      </c>
      <c r="B241" t="inlineStr">
        <is>
          <t>MLLB_000_y1.0.3</t>
        </is>
      </c>
      <c r="C241" t="inlineStr">
        <is>
          <t>WHITE</t>
        </is>
      </c>
      <c r="D241" t="inlineStr">
        <is>
          <t>v4_white_MLLB_000_y103_0924</t>
        </is>
      </c>
      <c r="E241" t="n">
        <v>4.2</v>
      </c>
      <c r="F241" t="n">
        <v>4.2</v>
      </c>
      <c r="G241" t="n">
        <v>100</v>
      </c>
      <c r="H241" t="n">
        <v>100</v>
      </c>
      <c r="I241" t="n">
        <v>24</v>
      </c>
      <c r="J241" t="inlineStr">
        <is>
          <t>kaba</t>
        </is>
      </c>
      <c r="K241" t="b">
        <v>1</v>
      </c>
      <c r="M241" t="n">
        <v>26</v>
      </c>
      <c r="N241" t="n">
        <v>28</v>
      </c>
      <c r="O241" t="n">
        <v>6</v>
      </c>
      <c r="P241" t="n">
        <v>976</v>
      </c>
      <c r="Q241" t="n">
        <v>1002</v>
      </c>
      <c r="R241" t="n">
        <v>1.071</v>
      </c>
      <c r="S241" t="n">
        <v>243.864</v>
      </c>
      <c r="T241" t="n">
        <v>227.753</v>
      </c>
      <c r="U241" t="n">
        <v>0.7776999999999999</v>
      </c>
      <c r="V241" t="b">
        <v>1</v>
      </c>
      <c r="X241" t="b">
        <v>1</v>
      </c>
      <c r="Z241" t="n">
        <v>935</v>
      </c>
      <c r="AA241" t="n">
        <v>2.5</v>
      </c>
      <c r="AB241" t="n">
        <v>9.5</v>
      </c>
    </row>
    <row r="242">
      <c r="A242" t="inlineStr">
        <is>
          <t>2026-09-24 13:29:57</t>
        </is>
      </c>
      <c r="B242" t="inlineStr">
        <is>
          <t>MLLB_000_y1.0.3</t>
        </is>
      </c>
      <c r="C242" t="inlineStr">
        <is>
          <t>WHITE</t>
        </is>
      </c>
      <c r="D242" t="inlineStr">
        <is>
          <t>v4_white_MLLB_000_y103_0924</t>
        </is>
      </c>
      <c r="E242" t="n">
        <v>4.2</v>
      </c>
      <c r="F242" t="n">
        <v>4.2</v>
      </c>
      <c r="G242" t="n">
        <v>100</v>
      </c>
      <c r="H242" t="n">
        <v>100</v>
      </c>
      <c r="I242" t="n">
        <v>28</v>
      </c>
      <c r="J242" t="inlineStr">
        <is>
          <t>kaba</t>
        </is>
      </c>
      <c r="K242" t="b">
        <v>1</v>
      </c>
      <c r="M242" t="n">
        <v>26</v>
      </c>
      <c r="N242" t="n">
        <v>28</v>
      </c>
      <c r="O242" t="n">
        <v>6</v>
      </c>
      <c r="P242" t="n">
        <v>976</v>
      </c>
      <c r="Q242" t="n">
        <v>1002</v>
      </c>
      <c r="R242" t="n">
        <v>1.07</v>
      </c>
      <c r="S242" t="n">
        <v>243.864</v>
      </c>
      <c r="T242" t="n">
        <v>227.861</v>
      </c>
      <c r="U242" t="n">
        <v>0.7781</v>
      </c>
      <c r="V242" t="b">
        <v>1</v>
      </c>
      <c r="X242" t="b">
        <v>1</v>
      </c>
      <c r="Z242" t="n">
        <v>935</v>
      </c>
      <c r="AA242" t="n">
        <v>2.5</v>
      </c>
      <c r="AB242" t="n">
        <v>9.5</v>
      </c>
    </row>
    <row r="243">
      <c r="A243" t="inlineStr">
        <is>
          <t>2026-09-24 13:30:13</t>
        </is>
      </c>
      <c r="B243" t="inlineStr">
        <is>
          <t>MLLB_000_y1.0.3</t>
        </is>
      </c>
      <c r="C243" t="inlineStr">
        <is>
          <t>WHITE</t>
        </is>
      </c>
      <c r="D243" t="inlineStr">
        <is>
          <t>v4_white_MLLB_000_y103_0924</t>
        </is>
      </c>
      <c r="E243" t="n">
        <v>4.2</v>
      </c>
      <c r="F243" t="n">
        <v>4.2</v>
      </c>
      <c r="G243" t="n">
        <v>100</v>
      </c>
      <c r="H243" t="n">
        <v>100</v>
      </c>
      <c r="I243" t="n">
        <v>32</v>
      </c>
      <c r="J243" t="inlineStr">
        <is>
          <t>kaba</t>
        </is>
      </c>
      <c r="K243" t="b">
        <v>1</v>
      </c>
      <c r="M243" t="n">
        <v>26</v>
      </c>
      <c r="N243" t="n">
        <v>28</v>
      </c>
      <c r="O243" t="n">
        <v>6</v>
      </c>
      <c r="P243" t="n">
        <v>976</v>
      </c>
      <c r="Q243" t="n">
        <v>1002</v>
      </c>
      <c r="R243" t="n">
        <v>1.07</v>
      </c>
      <c r="S243" t="n">
        <v>243.864</v>
      </c>
      <c r="T243" t="n">
        <v>227.971</v>
      </c>
      <c r="U243" t="n">
        <v>0.7778</v>
      </c>
      <c r="V243" t="b">
        <v>1</v>
      </c>
      <c r="X243" t="b">
        <v>1</v>
      </c>
      <c r="Z243" t="n">
        <v>935</v>
      </c>
      <c r="AA243" t="n">
        <v>2.5</v>
      </c>
      <c r="AB243" t="n">
        <v>9.5</v>
      </c>
    </row>
    <row r="244">
      <c r="A244" t="inlineStr">
        <is>
          <t>2026-09-24 13:30:29</t>
        </is>
      </c>
      <c r="B244" t="inlineStr">
        <is>
          <t>MLLB_000_y1.0.3</t>
        </is>
      </c>
      <c r="C244" t="inlineStr">
        <is>
          <t>WHITE</t>
        </is>
      </c>
      <c r="D244" t="inlineStr">
        <is>
          <t>v4_white_MLLB_000_y103_0924</t>
        </is>
      </c>
      <c r="E244" t="n">
        <v>4.2</v>
      </c>
      <c r="F244" t="n">
        <v>4.2</v>
      </c>
      <c r="G244" t="n">
        <v>100</v>
      </c>
      <c r="H244" t="n">
        <v>100</v>
      </c>
      <c r="I244" t="n">
        <v>36</v>
      </c>
      <c r="J244" t="inlineStr">
        <is>
          <t>kaba</t>
        </is>
      </c>
      <c r="K244" t="b">
        <v>1</v>
      </c>
      <c r="M244" t="n">
        <v>26</v>
      </c>
      <c r="N244" t="n">
        <v>28</v>
      </c>
      <c r="O244" t="n">
        <v>6</v>
      </c>
      <c r="P244" t="n">
        <v>976</v>
      </c>
      <c r="Q244" t="n">
        <v>1002</v>
      </c>
      <c r="R244" t="n">
        <v>1.07</v>
      </c>
      <c r="S244" t="n">
        <v>243.864</v>
      </c>
      <c r="T244" t="n">
        <v>227.987</v>
      </c>
      <c r="U244" t="n">
        <v>0.7782</v>
      </c>
      <c r="V244" t="b">
        <v>1</v>
      </c>
      <c r="X244" t="b">
        <v>1</v>
      </c>
      <c r="Z244" t="n">
        <v>935</v>
      </c>
      <c r="AA244" t="n">
        <v>2.5</v>
      </c>
      <c r="AB244" t="n">
        <v>9.5</v>
      </c>
    </row>
    <row r="245">
      <c r="A245" t="inlineStr">
        <is>
          <t>2026-09-24 13:30:45</t>
        </is>
      </c>
      <c r="B245" t="inlineStr">
        <is>
          <t>MLLB_000_y1.0.3</t>
        </is>
      </c>
      <c r="C245" t="inlineStr">
        <is>
          <t>WHITE</t>
        </is>
      </c>
      <c r="D245" t="inlineStr">
        <is>
          <t>v4_white_MLLB_000_y103_0924</t>
        </is>
      </c>
      <c r="E245" t="n">
        <v>4.2</v>
      </c>
      <c r="F245" t="n">
        <v>4.2</v>
      </c>
      <c r="G245" t="n">
        <v>100</v>
      </c>
      <c r="H245" t="n">
        <v>100</v>
      </c>
      <c r="I245" t="n">
        <v>40</v>
      </c>
      <c r="J245" t="inlineStr">
        <is>
          <t>kaba</t>
        </is>
      </c>
      <c r="K245" t="b">
        <v>1</v>
      </c>
      <c r="M245" t="n">
        <v>26</v>
      </c>
      <c r="N245" t="n">
        <v>28</v>
      </c>
      <c r="O245" t="n">
        <v>6</v>
      </c>
      <c r="P245" t="n">
        <v>976</v>
      </c>
      <c r="Q245" t="n">
        <v>1002</v>
      </c>
      <c r="R245" t="n">
        <v>1.07</v>
      </c>
      <c r="S245" t="n">
        <v>243.864</v>
      </c>
      <c r="T245" t="n">
        <v>227.84</v>
      </c>
      <c r="U245" t="n">
        <v>0.778</v>
      </c>
      <c r="V245" t="b">
        <v>1</v>
      </c>
      <c r="X245" t="b">
        <v>1</v>
      </c>
      <c r="Z245" t="n">
        <v>935</v>
      </c>
      <c r="AA245" t="n">
        <v>2.5</v>
      </c>
      <c r="AB245" t="n">
        <v>9.5</v>
      </c>
    </row>
    <row r="246">
      <c r="A246" t="inlineStr">
        <is>
          <t>2026-09-24 13:31:01</t>
        </is>
      </c>
      <c r="B246" t="inlineStr">
        <is>
          <t>MLLB_000_y1.0.3</t>
        </is>
      </c>
      <c r="C246" t="inlineStr">
        <is>
          <t>WHITE</t>
        </is>
      </c>
      <c r="D246" t="inlineStr">
        <is>
          <t>v4_white_MLLB_000_y103_0924</t>
        </is>
      </c>
      <c r="E246" t="n">
        <v>4.2</v>
      </c>
      <c r="F246" t="n">
        <v>4.2</v>
      </c>
      <c r="G246" t="n">
        <v>100</v>
      </c>
      <c r="H246" t="n">
        <v>100</v>
      </c>
      <c r="I246" t="n">
        <v>44</v>
      </c>
      <c r="J246" t="inlineStr">
        <is>
          <t>kaba</t>
        </is>
      </c>
      <c r="K246" t="b">
        <v>1</v>
      </c>
      <c r="M246" t="n">
        <v>26</v>
      </c>
      <c r="N246" t="n">
        <v>28</v>
      </c>
      <c r="O246" t="n">
        <v>6</v>
      </c>
      <c r="P246" t="n">
        <v>976</v>
      </c>
      <c r="Q246" t="n">
        <v>1002</v>
      </c>
      <c r="R246" t="n">
        <v>1.071</v>
      </c>
      <c r="S246" t="n">
        <v>243.864</v>
      </c>
      <c r="T246" t="n">
        <v>227.793</v>
      </c>
      <c r="U246" t="n">
        <v>0.7778</v>
      </c>
      <c r="V246" t="b">
        <v>1</v>
      </c>
      <c r="X246" t="b">
        <v>1</v>
      </c>
      <c r="Z246" t="n">
        <v>935</v>
      </c>
      <c r="AA246" t="n">
        <v>2.5</v>
      </c>
      <c r="AB246" t="n">
        <v>9.5</v>
      </c>
    </row>
    <row r="247">
      <c r="A247" t="inlineStr">
        <is>
          <t>2026-09-24 13:31:17</t>
        </is>
      </c>
      <c r="B247" t="inlineStr">
        <is>
          <t>MLLB_000_y1.0.3</t>
        </is>
      </c>
      <c r="C247" t="inlineStr">
        <is>
          <t>WHITE</t>
        </is>
      </c>
      <c r="D247" t="inlineStr">
        <is>
          <t>v4_white_MLLB_000_y103_0924</t>
        </is>
      </c>
      <c r="E247" t="n">
        <v>4.2</v>
      </c>
      <c r="F247" t="n">
        <v>4.2</v>
      </c>
      <c r="G247" t="n">
        <v>100</v>
      </c>
      <c r="H247" t="n">
        <v>100</v>
      </c>
      <c r="I247" t="n">
        <v>48</v>
      </c>
      <c r="J247" t="inlineStr">
        <is>
          <t>kaba</t>
        </is>
      </c>
      <c r="K247" t="b">
        <v>1</v>
      </c>
      <c r="M247" t="n">
        <v>26</v>
      </c>
      <c r="N247" t="n">
        <v>28</v>
      </c>
      <c r="O247" t="n">
        <v>6</v>
      </c>
      <c r="P247" t="n">
        <v>976</v>
      </c>
      <c r="Q247" t="n">
        <v>1002</v>
      </c>
      <c r="R247" t="n">
        <v>1.071</v>
      </c>
      <c r="S247" t="n">
        <v>243.864</v>
      </c>
      <c r="T247" t="n">
        <v>227.689</v>
      </c>
      <c r="U247" t="n">
        <v>0.7784</v>
      </c>
      <c r="V247" t="b">
        <v>1</v>
      </c>
      <c r="X247" t="b">
        <v>1</v>
      </c>
      <c r="Z247" t="n">
        <v>935</v>
      </c>
      <c r="AA247" t="n">
        <v>2.5</v>
      </c>
      <c r="AB247" t="n">
        <v>9.5</v>
      </c>
    </row>
    <row r="248">
      <c r="A248" t="inlineStr">
        <is>
          <t>2026-09-24 13:31:33</t>
        </is>
      </c>
      <c r="B248" t="inlineStr">
        <is>
          <t>MLLB_000_y1.0.3</t>
        </is>
      </c>
      <c r="C248" t="inlineStr">
        <is>
          <t>WHITE</t>
        </is>
      </c>
      <c r="D248" t="inlineStr">
        <is>
          <t>v4_white_MLLB_000_y103_0924</t>
        </is>
      </c>
      <c r="E248" t="n">
        <v>4.2</v>
      </c>
      <c r="F248" t="n">
        <v>4.2</v>
      </c>
      <c r="G248" t="n">
        <v>100</v>
      </c>
      <c r="H248" t="n">
        <v>100</v>
      </c>
      <c r="I248" t="n">
        <v>52</v>
      </c>
      <c r="J248" t="inlineStr">
        <is>
          <t>kaba</t>
        </is>
      </c>
      <c r="K248" t="b">
        <v>1</v>
      </c>
      <c r="M248" t="n">
        <v>26</v>
      </c>
      <c r="N248" t="n">
        <v>28</v>
      </c>
      <c r="O248" t="n">
        <v>6</v>
      </c>
      <c r="P248" t="n">
        <v>976</v>
      </c>
      <c r="Q248" t="n">
        <v>1002</v>
      </c>
      <c r="R248" t="n">
        <v>1.07</v>
      </c>
      <c r="S248" t="n">
        <v>243.864</v>
      </c>
      <c r="T248" t="n">
        <v>227.864</v>
      </c>
      <c r="U248" t="n">
        <v>0.7775</v>
      </c>
      <c r="V248" t="b">
        <v>1</v>
      </c>
      <c r="X248" t="b">
        <v>1</v>
      </c>
      <c r="Z248" t="n">
        <v>935</v>
      </c>
      <c r="AA248" t="n">
        <v>2.5</v>
      </c>
      <c r="AB248" t="n">
        <v>9.5</v>
      </c>
    </row>
    <row r="249">
      <c r="A249" t="inlineStr">
        <is>
          <t>2026-09-24 13:31:49</t>
        </is>
      </c>
      <c r="B249" t="inlineStr">
        <is>
          <t>MLLB_000_y1.0.3</t>
        </is>
      </c>
      <c r="C249" t="inlineStr">
        <is>
          <t>WHITE</t>
        </is>
      </c>
      <c r="D249" t="inlineStr">
        <is>
          <t>v4_white_MLLB_000_y103_0924</t>
        </is>
      </c>
      <c r="E249" t="n">
        <v>4.2</v>
      </c>
      <c r="F249" t="n">
        <v>4.2</v>
      </c>
      <c r="G249" t="n">
        <v>100</v>
      </c>
      <c r="H249" t="n">
        <v>100</v>
      </c>
      <c r="I249" t="n">
        <v>56</v>
      </c>
      <c r="J249" t="inlineStr">
        <is>
          <t>kaba</t>
        </is>
      </c>
      <c r="K249" t="b">
        <v>1</v>
      </c>
      <c r="M249" t="n">
        <v>26</v>
      </c>
      <c r="N249" t="n">
        <v>28</v>
      </c>
      <c r="O249" t="n">
        <v>6</v>
      </c>
      <c r="P249" t="n">
        <v>976</v>
      </c>
      <c r="Q249" t="n">
        <v>1002</v>
      </c>
      <c r="R249" t="n">
        <v>1.07</v>
      </c>
      <c r="S249" t="n">
        <v>243.864</v>
      </c>
      <c r="T249" t="n">
        <v>227.876</v>
      </c>
      <c r="U249" t="n">
        <v>0.7774</v>
      </c>
      <c r="V249" t="b">
        <v>1</v>
      </c>
      <c r="X249" t="b">
        <v>1</v>
      </c>
      <c r="Z249" t="n">
        <v>935</v>
      </c>
      <c r="AA249" t="n">
        <v>2.5</v>
      </c>
      <c r="AB249" t="n">
        <v>9.5</v>
      </c>
    </row>
    <row r="250">
      <c r="A250" t="inlineStr">
        <is>
          <t>2026-09-24 13:32:02</t>
        </is>
      </c>
      <c r="B250" t="inlineStr">
        <is>
          <t>MLLB_000_y1.0.3</t>
        </is>
      </c>
      <c r="C250" t="inlineStr">
        <is>
          <t>WHITE</t>
        </is>
      </c>
      <c r="D250" t="inlineStr">
        <is>
          <t>v4_white_MLLB_000_y103_0924</t>
        </is>
      </c>
      <c r="E250" t="n">
        <v>4.2</v>
      </c>
      <c r="F250" t="n">
        <v>4.2</v>
      </c>
      <c r="G250" t="n">
        <v>100</v>
      </c>
      <c r="H250" t="n">
        <v>100</v>
      </c>
      <c r="I250" t="n">
        <v>58</v>
      </c>
      <c r="J250" t="inlineStr">
        <is>
          <t>kaba</t>
        </is>
      </c>
      <c r="K250" t="b">
        <v>1</v>
      </c>
      <c r="M250" t="n">
        <v>26</v>
      </c>
      <c r="N250" t="n">
        <v>28</v>
      </c>
      <c r="O250" t="n">
        <v>6</v>
      </c>
      <c r="P250" t="n">
        <v>976</v>
      </c>
      <c r="Q250" t="n">
        <v>1002</v>
      </c>
      <c r="R250" t="n">
        <v>1.07</v>
      </c>
      <c r="S250" t="n">
        <v>243.864</v>
      </c>
      <c r="T250" t="n">
        <v>227.845</v>
      </c>
      <c r="U250" t="n">
        <v>0.7776999999999999</v>
      </c>
      <c r="V250" t="b">
        <v>1</v>
      </c>
      <c r="X250" t="b">
        <v>1</v>
      </c>
      <c r="Z250" t="n">
        <v>935</v>
      </c>
      <c r="AA250" t="n">
        <v>2.5</v>
      </c>
      <c r="AB250" t="n">
        <v>9.5</v>
      </c>
    </row>
    <row r="251">
      <c r="A251" t="inlineStr">
        <is>
          <t>2026-09-24 13:32:02</t>
        </is>
      </c>
      <c r="B251" t="inlineStr">
        <is>
          <t>MLLB_000_y1.0.3</t>
        </is>
      </c>
      <c r="C251" t="inlineStr">
        <is>
          <t>WHITE</t>
        </is>
      </c>
      <c r="D251" t="inlineStr">
        <is>
          <t>v4_white_MLLB_000_y103_0924</t>
        </is>
      </c>
      <c r="E251" t="n">
        <v>4.2</v>
      </c>
      <c r="F251" t="n">
        <v>4.2</v>
      </c>
      <c r="G251" t="n">
        <v>100</v>
      </c>
      <c r="H251" t="n">
        <v>100</v>
      </c>
      <c r="I251" t="n">
        <v>13</v>
      </c>
      <c r="J251" t="inlineStr">
        <is>
          <t>ince</t>
        </is>
      </c>
      <c r="K251" t="b">
        <v>0</v>
      </c>
      <c r="L251" t="inlineStr">
        <is>
          <t>iki-OK-arasi-monotonluk</t>
        </is>
      </c>
      <c r="X251" t="b">
        <v>1</v>
      </c>
      <c r="Z251" t="n">
        <v>935</v>
      </c>
      <c r="AA251" t="n">
        <v>2.5</v>
      </c>
      <c r="AB251" t="n">
        <v>9.5</v>
      </c>
    </row>
    <row r="252">
      <c r="A252" t="inlineStr">
        <is>
          <t>2026-09-24 13:32:02</t>
        </is>
      </c>
      <c r="B252" t="inlineStr">
        <is>
          <t>MLLB_000_y1.0.3</t>
        </is>
      </c>
      <c r="C252" t="inlineStr">
        <is>
          <t>WHITE</t>
        </is>
      </c>
      <c r="D252" t="inlineStr">
        <is>
          <t>v4_white_MLLB_000_y103_0924</t>
        </is>
      </c>
      <c r="E252" t="n">
        <v>4.2</v>
      </c>
      <c r="F252" t="n">
        <v>4.2</v>
      </c>
      <c r="G252" t="n">
        <v>100</v>
      </c>
      <c r="H252" t="n">
        <v>100</v>
      </c>
      <c r="I252" t="n">
        <v>14</v>
      </c>
      <c r="J252" t="inlineStr">
        <is>
          <t>ince</t>
        </is>
      </c>
      <c r="K252" t="b">
        <v>0</v>
      </c>
      <c r="L252" t="inlineStr">
        <is>
          <t>iki-OK-arasi-monotonluk</t>
        </is>
      </c>
      <c r="X252" t="b">
        <v>1</v>
      </c>
      <c r="Z252" t="n">
        <v>935</v>
      </c>
      <c r="AA252" t="n">
        <v>2.5</v>
      </c>
      <c r="AB252" t="n">
        <v>9.5</v>
      </c>
    </row>
    <row r="253">
      <c r="A253" t="inlineStr">
        <is>
          <t>2026-09-24 13:32:02</t>
        </is>
      </c>
      <c r="B253" t="inlineStr">
        <is>
          <t>MLLB_000_y1.0.3</t>
        </is>
      </c>
      <c r="C253" t="inlineStr">
        <is>
          <t>WHITE</t>
        </is>
      </c>
      <c r="D253" t="inlineStr">
        <is>
          <t>v4_white_MLLB_000_y103_0924</t>
        </is>
      </c>
      <c r="E253" t="n">
        <v>4.2</v>
      </c>
      <c r="F253" t="n">
        <v>4.2</v>
      </c>
      <c r="G253" t="n">
        <v>100</v>
      </c>
      <c r="H253" t="n">
        <v>100</v>
      </c>
      <c r="I253" t="n">
        <v>15</v>
      </c>
      <c r="J253" t="inlineStr">
        <is>
          <t>ince</t>
        </is>
      </c>
      <c r="K253" t="b">
        <v>0</v>
      </c>
      <c r="L253" t="inlineStr">
        <is>
          <t>iki-OK-arasi-monotonluk</t>
        </is>
      </c>
      <c r="X253" t="b">
        <v>1</v>
      </c>
      <c r="Z253" t="n">
        <v>935</v>
      </c>
      <c r="AA253" t="n">
        <v>2.5</v>
      </c>
      <c r="AB253" t="n">
        <v>9.5</v>
      </c>
    </row>
    <row r="254">
      <c r="A254" t="inlineStr">
        <is>
          <t>2026-09-24 13:32:02</t>
        </is>
      </c>
      <c r="B254" t="inlineStr">
        <is>
          <t>MLLB_000_y1.0.3</t>
        </is>
      </c>
      <c r="C254" t="inlineStr">
        <is>
          <t>WHITE</t>
        </is>
      </c>
      <c r="D254" t="inlineStr">
        <is>
          <t>v4_white_MLLB_000_y103_0924</t>
        </is>
      </c>
      <c r="E254" t="n">
        <v>4.2</v>
      </c>
      <c r="F254" t="n">
        <v>4.2</v>
      </c>
      <c r="G254" t="n">
        <v>100</v>
      </c>
      <c r="H254" t="n">
        <v>100</v>
      </c>
      <c r="I254" t="n">
        <v>17</v>
      </c>
      <c r="J254" t="inlineStr">
        <is>
          <t>ince</t>
        </is>
      </c>
      <c r="K254" t="b">
        <v>0</v>
      </c>
      <c r="L254" t="inlineStr">
        <is>
          <t>iki-OK-arasi-monotonluk</t>
        </is>
      </c>
      <c r="X254" t="b">
        <v>1</v>
      </c>
      <c r="Z254" t="n">
        <v>935</v>
      </c>
      <c r="AA254" t="n">
        <v>2.5</v>
      </c>
      <c r="AB254" t="n">
        <v>9.5</v>
      </c>
    </row>
    <row r="255">
      <c r="A255" t="inlineStr">
        <is>
          <t>2026-09-24 13:32:02</t>
        </is>
      </c>
      <c r="B255" t="inlineStr">
        <is>
          <t>MLLB_000_y1.0.3</t>
        </is>
      </c>
      <c r="C255" t="inlineStr">
        <is>
          <t>WHITE</t>
        </is>
      </c>
      <c r="D255" t="inlineStr">
        <is>
          <t>v4_white_MLLB_000_y103_0924</t>
        </is>
      </c>
      <c r="E255" t="n">
        <v>4.2</v>
      </c>
      <c r="F255" t="n">
        <v>4.2</v>
      </c>
      <c r="G255" t="n">
        <v>100</v>
      </c>
      <c r="H255" t="n">
        <v>100</v>
      </c>
      <c r="I255" t="n">
        <v>18</v>
      </c>
      <c r="J255" t="inlineStr">
        <is>
          <t>ince</t>
        </is>
      </c>
      <c r="K255" t="b">
        <v>0</v>
      </c>
      <c r="L255" t="inlineStr">
        <is>
          <t>iki-OK-arasi-monotonluk</t>
        </is>
      </c>
      <c r="X255" t="b">
        <v>1</v>
      </c>
      <c r="Z255" t="n">
        <v>935</v>
      </c>
      <c r="AA255" t="n">
        <v>2.5</v>
      </c>
      <c r="AB255" t="n">
        <v>9.5</v>
      </c>
    </row>
    <row r="256">
      <c r="A256" t="inlineStr">
        <is>
          <t>2026-09-24 13:32:02</t>
        </is>
      </c>
      <c r="B256" t="inlineStr">
        <is>
          <t>MLLB_000_y1.0.3</t>
        </is>
      </c>
      <c r="C256" t="inlineStr">
        <is>
          <t>WHITE</t>
        </is>
      </c>
      <c r="D256" t="inlineStr">
        <is>
          <t>v4_white_MLLB_000_y103_0924</t>
        </is>
      </c>
      <c r="E256" t="n">
        <v>4.2</v>
      </c>
      <c r="F256" t="n">
        <v>4.2</v>
      </c>
      <c r="G256" t="n">
        <v>100</v>
      </c>
      <c r="H256" t="n">
        <v>100</v>
      </c>
      <c r="I256" t="n">
        <v>19</v>
      </c>
      <c r="J256" t="inlineStr">
        <is>
          <t>ince</t>
        </is>
      </c>
      <c r="K256" t="b">
        <v>0</v>
      </c>
      <c r="L256" t="inlineStr">
        <is>
          <t>iki-OK-arasi-monotonluk</t>
        </is>
      </c>
      <c r="X256" t="b">
        <v>1</v>
      </c>
      <c r="Z256" t="n">
        <v>935</v>
      </c>
      <c r="AA256" t="n">
        <v>2.5</v>
      </c>
      <c r="AB256" t="n">
        <v>9.5</v>
      </c>
    </row>
    <row r="257">
      <c r="A257" t="inlineStr">
        <is>
          <t>2026-09-24 13:32:02</t>
        </is>
      </c>
      <c r="B257" t="inlineStr">
        <is>
          <t>MLLB_000_y1.0.3</t>
        </is>
      </c>
      <c r="C257" t="inlineStr">
        <is>
          <t>WHITE</t>
        </is>
      </c>
      <c r="D257" t="inlineStr">
        <is>
          <t>v4_white_MLLB_000_y103_0924</t>
        </is>
      </c>
      <c r="E257" t="n">
        <v>4.2</v>
      </c>
      <c r="F257" t="n">
        <v>4.2</v>
      </c>
      <c r="G257" t="n">
        <v>100</v>
      </c>
      <c r="H257" t="n">
        <v>100</v>
      </c>
      <c r="I257" t="n">
        <v>21</v>
      </c>
      <c r="J257" t="inlineStr">
        <is>
          <t>ince</t>
        </is>
      </c>
      <c r="K257" t="b">
        <v>0</v>
      </c>
      <c r="L257" t="inlineStr">
        <is>
          <t>iki-OK-arasi-monotonluk</t>
        </is>
      </c>
      <c r="X257" t="b">
        <v>1</v>
      </c>
      <c r="Z257" t="n">
        <v>935</v>
      </c>
      <c r="AA257" t="n">
        <v>2.5</v>
      </c>
      <c r="AB257" t="n">
        <v>9.5</v>
      </c>
    </row>
    <row r="258">
      <c r="A258" t="inlineStr">
        <is>
          <t>2026-09-24 13:32:02</t>
        </is>
      </c>
      <c r="B258" t="inlineStr">
        <is>
          <t>MLLB_000_y1.0.3</t>
        </is>
      </c>
      <c r="C258" t="inlineStr">
        <is>
          <t>WHITE</t>
        </is>
      </c>
      <c r="D258" t="inlineStr">
        <is>
          <t>v4_white_MLLB_000_y103_0924</t>
        </is>
      </c>
      <c r="E258" t="n">
        <v>4.2</v>
      </c>
      <c r="F258" t="n">
        <v>4.2</v>
      </c>
      <c r="G258" t="n">
        <v>100</v>
      </c>
      <c r="H258" t="n">
        <v>100</v>
      </c>
      <c r="I258" t="n">
        <v>22</v>
      </c>
      <c r="J258" t="inlineStr">
        <is>
          <t>ince</t>
        </is>
      </c>
      <c r="K258" t="b">
        <v>0</v>
      </c>
      <c r="L258" t="inlineStr">
        <is>
          <t>iki-OK-arasi-monotonluk</t>
        </is>
      </c>
      <c r="X258" t="b">
        <v>1</v>
      </c>
      <c r="Z258" t="n">
        <v>935</v>
      </c>
      <c r="AA258" t="n">
        <v>2.5</v>
      </c>
      <c r="AB258" t="n">
        <v>9.5</v>
      </c>
    </row>
    <row r="259">
      <c r="A259" t="inlineStr">
        <is>
          <t>2026-09-24 13:32:02</t>
        </is>
      </c>
      <c r="B259" t="inlineStr">
        <is>
          <t>MLLB_000_y1.0.3</t>
        </is>
      </c>
      <c r="C259" t="inlineStr">
        <is>
          <t>WHITE</t>
        </is>
      </c>
      <c r="D259" t="inlineStr">
        <is>
          <t>v4_white_MLLB_000_y103_0924</t>
        </is>
      </c>
      <c r="E259" t="n">
        <v>4.2</v>
      </c>
      <c r="F259" t="n">
        <v>4.2</v>
      </c>
      <c r="G259" t="n">
        <v>100</v>
      </c>
      <c r="H259" t="n">
        <v>100</v>
      </c>
      <c r="I259" t="n">
        <v>23</v>
      </c>
      <c r="J259" t="inlineStr">
        <is>
          <t>ince</t>
        </is>
      </c>
      <c r="K259" t="b">
        <v>0</v>
      </c>
      <c r="L259" t="inlineStr">
        <is>
          <t>iki-OK-arasi-monotonluk</t>
        </is>
      </c>
      <c r="X259" t="b">
        <v>1</v>
      </c>
      <c r="Z259" t="n">
        <v>935</v>
      </c>
      <c r="AA259" t="n">
        <v>2.5</v>
      </c>
      <c r="AB259" t="n">
        <v>9.5</v>
      </c>
    </row>
    <row r="260">
      <c r="A260" t="inlineStr">
        <is>
          <t>2026-09-24 13:32:02</t>
        </is>
      </c>
      <c r="B260" t="inlineStr">
        <is>
          <t>MLLB_000_y1.0.3</t>
        </is>
      </c>
      <c r="C260" t="inlineStr">
        <is>
          <t>WHITE</t>
        </is>
      </c>
      <c r="D260" t="inlineStr">
        <is>
          <t>v4_white_MLLB_000_y103_0924</t>
        </is>
      </c>
      <c r="E260" t="n">
        <v>4.2</v>
      </c>
      <c r="F260" t="n">
        <v>4.2</v>
      </c>
      <c r="G260" t="n">
        <v>100</v>
      </c>
      <c r="H260" t="n">
        <v>100</v>
      </c>
      <c r="I260" t="n">
        <v>25</v>
      </c>
      <c r="J260" t="inlineStr">
        <is>
          <t>ince</t>
        </is>
      </c>
      <c r="K260" t="b">
        <v>0</v>
      </c>
      <c r="L260" t="inlineStr">
        <is>
          <t>iki-OK-arasi-monotonluk</t>
        </is>
      </c>
      <c r="X260" t="b">
        <v>1</v>
      </c>
      <c r="Z260" t="n">
        <v>935</v>
      </c>
      <c r="AA260" t="n">
        <v>2.5</v>
      </c>
      <c r="AB260" t="n">
        <v>9.5</v>
      </c>
    </row>
    <row r="261">
      <c r="A261" t="inlineStr">
        <is>
          <t>2026-09-24 13:32:02</t>
        </is>
      </c>
      <c r="B261" t="inlineStr">
        <is>
          <t>MLLB_000_y1.0.3</t>
        </is>
      </c>
      <c r="C261" t="inlineStr">
        <is>
          <t>WHITE</t>
        </is>
      </c>
      <c r="D261" t="inlineStr">
        <is>
          <t>v4_white_MLLB_000_y103_0924</t>
        </is>
      </c>
      <c r="E261" t="n">
        <v>4.2</v>
      </c>
      <c r="F261" t="n">
        <v>4.2</v>
      </c>
      <c r="G261" t="n">
        <v>100</v>
      </c>
      <c r="H261" t="n">
        <v>100</v>
      </c>
      <c r="I261" t="n">
        <v>26</v>
      </c>
      <c r="J261" t="inlineStr">
        <is>
          <t>ince</t>
        </is>
      </c>
      <c r="K261" t="b">
        <v>0</v>
      </c>
      <c r="L261" t="inlineStr">
        <is>
          <t>iki-OK-arasi-monotonluk</t>
        </is>
      </c>
      <c r="X261" t="b">
        <v>1</v>
      </c>
      <c r="Z261" t="n">
        <v>935</v>
      </c>
      <c r="AA261" t="n">
        <v>2.5</v>
      </c>
      <c r="AB261" t="n">
        <v>9.5</v>
      </c>
    </row>
    <row r="262">
      <c r="A262" t="inlineStr">
        <is>
          <t>2026-09-24 13:32:02</t>
        </is>
      </c>
      <c r="B262" t="inlineStr">
        <is>
          <t>MLLB_000_y1.0.3</t>
        </is>
      </c>
      <c r="C262" t="inlineStr">
        <is>
          <t>WHITE</t>
        </is>
      </c>
      <c r="D262" t="inlineStr">
        <is>
          <t>v4_white_MLLB_000_y103_0924</t>
        </is>
      </c>
      <c r="E262" t="n">
        <v>4.2</v>
      </c>
      <c r="F262" t="n">
        <v>4.2</v>
      </c>
      <c r="G262" t="n">
        <v>100</v>
      </c>
      <c r="H262" t="n">
        <v>100</v>
      </c>
      <c r="I262" t="n">
        <v>27</v>
      </c>
      <c r="J262" t="inlineStr">
        <is>
          <t>ince</t>
        </is>
      </c>
      <c r="K262" t="b">
        <v>0</v>
      </c>
      <c r="L262" t="inlineStr">
        <is>
          <t>iki-OK-arasi-monotonluk</t>
        </is>
      </c>
      <c r="X262" t="b">
        <v>1</v>
      </c>
      <c r="Z262" t="n">
        <v>935</v>
      </c>
      <c r="AA262" t="n">
        <v>2.5</v>
      </c>
      <c r="AB262" t="n">
        <v>9.5</v>
      </c>
    </row>
    <row r="263">
      <c r="A263" t="inlineStr">
        <is>
          <t>2026-09-24 13:32:02</t>
        </is>
      </c>
      <c r="B263" t="inlineStr">
        <is>
          <t>MLLB_000_y1.0.3</t>
        </is>
      </c>
      <c r="C263" t="inlineStr">
        <is>
          <t>WHITE</t>
        </is>
      </c>
      <c r="D263" t="inlineStr">
        <is>
          <t>v4_white_MLLB_000_y103_0924</t>
        </is>
      </c>
      <c r="E263" t="n">
        <v>4.2</v>
      </c>
      <c r="F263" t="n">
        <v>4.2</v>
      </c>
      <c r="G263" t="n">
        <v>100</v>
      </c>
      <c r="H263" t="n">
        <v>100</v>
      </c>
      <c r="I263" t="n">
        <v>29</v>
      </c>
      <c r="J263" t="inlineStr">
        <is>
          <t>ince</t>
        </is>
      </c>
      <c r="K263" t="b">
        <v>0</v>
      </c>
      <c r="L263" t="inlineStr">
        <is>
          <t>iki-OK-arasi-monotonluk</t>
        </is>
      </c>
      <c r="X263" t="b">
        <v>1</v>
      </c>
      <c r="Z263" t="n">
        <v>935</v>
      </c>
      <c r="AA263" t="n">
        <v>2.5</v>
      </c>
      <c r="AB263" t="n">
        <v>9.5</v>
      </c>
    </row>
    <row r="264">
      <c r="A264" t="inlineStr">
        <is>
          <t>2026-09-24 13:32:02</t>
        </is>
      </c>
      <c r="B264" t="inlineStr">
        <is>
          <t>MLLB_000_y1.0.3</t>
        </is>
      </c>
      <c r="C264" t="inlineStr">
        <is>
          <t>WHITE</t>
        </is>
      </c>
      <c r="D264" t="inlineStr">
        <is>
          <t>v4_white_MLLB_000_y103_0924</t>
        </is>
      </c>
      <c r="E264" t="n">
        <v>4.2</v>
      </c>
      <c r="F264" t="n">
        <v>4.2</v>
      </c>
      <c r="G264" t="n">
        <v>100</v>
      </c>
      <c r="H264" t="n">
        <v>100</v>
      </c>
      <c r="I264" t="n">
        <v>30</v>
      </c>
      <c r="J264" t="inlineStr">
        <is>
          <t>ince</t>
        </is>
      </c>
      <c r="K264" t="b">
        <v>0</v>
      </c>
      <c r="L264" t="inlineStr">
        <is>
          <t>iki-OK-arasi-monotonluk</t>
        </is>
      </c>
      <c r="X264" t="b">
        <v>1</v>
      </c>
      <c r="Z264" t="n">
        <v>935</v>
      </c>
      <c r="AA264" t="n">
        <v>2.5</v>
      </c>
      <c r="AB264" t="n">
        <v>9.5</v>
      </c>
    </row>
    <row r="265">
      <c r="A265" t="inlineStr">
        <is>
          <t>2026-09-24 13:32:02</t>
        </is>
      </c>
      <c r="B265" t="inlineStr">
        <is>
          <t>MLLB_000_y1.0.3</t>
        </is>
      </c>
      <c r="C265" t="inlineStr">
        <is>
          <t>WHITE</t>
        </is>
      </c>
      <c r="D265" t="inlineStr">
        <is>
          <t>v4_white_MLLB_000_y103_0924</t>
        </is>
      </c>
      <c r="E265" t="n">
        <v>4.2</v>
      </c>
      <c r="F265" t="n">
        <v>4.2</v>
      </c>
      <c r="G265" t="n">
        <v>100</v>
      </c>
      <c r="H265" t="n">
        <v>100</v>
      </c>
      <c r="I265" t="n">
        <v>31</v>
      </c>
      <c r="J265" t="inlineStr">
        <is>
          <t>ince</t>
        </is>
      </c>
      <c r="K265" t="b">
        <v>0</v>
      </c>
      <c r="L265" t="inlineStr">
        <is>
          <t>iki-OK-arasi-monotonluk</t>
        </is>
      </c>
      <c r="X265" t="b">
        <v>1</v>
      </c>
      <c r="Z265" t="n">
        <v>935</v>
      </c>
      <c r="AA265" t="n">
        <v>2.5</v>
      </c>
      <c r="AB265" t="n">
        <v>9.5</v>
      </c>
    </row>
    <row r="266">
      <c r="A266" t="inlineStr">
        <is>
          <t>2026-09-24 13:32:02</t>
        </is>
      </c>
      <c r="B266" t="inlineStr">
        <is>
          <t>MLLB_000_y1.0.3</t>
        </is>
      </c>
      <c r="C266" t="inlineStr">
        <is>
          <t>WHITE</t>
        </is>
      </c>
      <c r="D266" t="inlineStr">
        <is>
          <t>v4_white_MLLB_000_y103_0924</t>
        </is>
      </c>
      <c r="E266" t="n">
        <v>4.2</v>
      </c>
      <c r="F266" t="n">
        <v>4.2</v>
      </c>
      <c r="G266" t="n">
        <v>100</v>
      </c>
      <c r="H266" t="n">
        <v>100</v>
      </c>
      <c r="I266" t="n">
        <v>33</v>
      </c>
      <c r="J266" t="inlineStr">
        <is>
          <t>ince</t>
        </is>
      </c>
      <c r="K266" t="b">
        <v>0</v>
      </c>
      <c r="L266" t="inlineStr">
        <is>
          <t>iki-OK-arasi-monotonluk</t>
        </is>
      </c>
      <c r="X266" t="b">
        <v>1</v>
      </c>
      <c r="Z266" t="n">
        <v>935</v>
      </c>
      <c r="AA266" t="n">
        <v>2.5</v>
      </c>
      <c r="AB266" t="n">
        <v>9.5</v>
      </c>
    </row>
    <row r="267">
      <c r="A267" t="inlineStr">
        <is>
          <t>2026-09-24 13:32:02</t>
        </is>
      </c>
      <c r="B267" t="inlineStr">
        <is>
          <t>MLLB_000_y1.0.3</t>
        </is>
      </c>
      <c r="C267" t="inlineStr">
        <is>
          <t>WHITE</t>
        </is>
      </c>
      <c r="D267" t="inlineStr">
        <is>
          <t>v4_white_MLLB_000_y103_0924</t>
        </is>
      </c>
      <c r="E267" t="n">
        <v>4.2</v>
      </c>
      <c r="F267" t="n">
        <v>4.2</v>
      </c>
      <c r="G267" t="n">
        <v>100</v>
      </c>
      <c r="H267" t="n">
        <v>100</v>
      </c>
      <c r="I267" t="n">
        <v>34</v>
      </c>
      <c r="J267" t="inlineStr">
        <is>
          <t>ince</t>
        </is>
      </c>
      <c r="K267" t="b">
        <v>0</v>
      </c>
      <c r="L267" t="inlineStr">
        <is>
          <t>iki-OK-arasi-monotonluk</t>
        </is>
      </c>
      <c r="X267" t="b">
        <v>1</v>
      </c>
      <c r="Z267" t="n">
        <v>935</v>
      </c>
      <c r="AA267" t="n">
        <v>2.5</v>
      </c>
      <c r="AB267" t="n">
        <v>9.5</v>
      </c>
    </row>
    <row r="268">
      <c r="A268" t="inlineStr">
        <is>
          <t>2026-09-24 13:32:02</t>
        </is>
      </c>
      <c r="B268" t="inlineStr">
        <is>
          <t>MLLB_000_y1.0.3</t>
        </is>
      </c>
      <c r="C268" t="inlineStr">
        <is>
          <t>WHITE</t>
        </is>
      </c>
      <c r="D268" t="inlineStr">
        <is>
          <t>v4_white_MLLB_000_y103_0924</t>
        </is>
      </c>
      <c r="E268" t="n">
        <v>4.2</v>
      </c>
      <c r="F268" t="n">
        <v>4.2</v>
      </c>
      <c r="G268" t="n">
        <v>100</v>
      </c>
      <c r="H268" t="n">
        <v>100</v>
      </c>
      <c r="I268" t="n">
        <v>35</v>
      </c>
      <c r="J268" t="inlineStr">
        <is>
          <t>ince</t>
        </is>
      </c>
      <c r="K268" t="b">
        <v>0</v>
      </c>
      <c r="L268" t="inlineStr">
        <is>
          <t>iki-OK-arasi-monotonluk</t>
        </is>
      </c>
      <c r="X268" t="b">
        <v>1</v>
      </c>
      <c r="Z268" t="n">
        <v>935</v>
      </c>
      <c r="AA268" t="n">
        <v>2.5</v>
      </c>
      <c r="AB268" t="n">
        <v>9.5</v>
      </c>
    </row>
    <row r="269">
      <c r="A269" t="inlineStr">
        <is>
          <t>2026-09-24 13:32:02</t>
        </is>
      </c>
      <c r="B269" t="inlineStr">
        <is>
          <t>MLLB_000_y1.0.3</t>
        </is>
      </c>
      <c r="C269" t="inlineStr">
        <is>
          <t>WHITE</t>
        </is>
      </c>
      <c r="D269" t="inlineStr">
        <is>
          <t>v4_white_MLLB_000_y103_0924</t>
        </is>
      </c>
      <c r="E269" t="n">
        <v>4.2</v>
      </c>
      <c r="F269" t="n">
        <v>4.2</v>
      </c>
      <c r="G269" t="n">
        <v>100</v>
      </c>
      <c r="H269" t="n">
        <v>100</v>
      </c>
      <c r="I269" t="n">
        <v>37</v>
      </c>
      <c r="J269" t="inlineStr">
        <is>
          <t>ince</t>
        </is>
      </c>
      <c r="K269" t="b">
        <v>0</v>
      </c>
      <c r="L269" t="inlineStr">
        <is>
          <t>iki-OK-arasi-monotonluk</t>
        </is>
      </c>
      <c r="X269" t="b">
        <v>1</v>
      </c>
      <c r="Z269" t="n">
        <v>935</v>
      </c>
      <c r="AA269" t="n">
        <v>2.5</v>
      </c>
      <c r="AB269" t="n">
        <v>9.5</v>
      </c>
    </row>
    <row r="270">
      <c r="A270" t="inlineStr">
        <is>
          <t>2026-09-24 13:32:02</t>
        </is>
      </c>
      <c r="B270" t="inlineStr">
        <is>
          <t>MLLB_000_y1.0.3</t>
        </is>
      </c>
      <c r="C270" t="inlineStr">
        <is>
          <t>WHITE</t>
        </is>
      </c>
      <c r="D270" t="inlineStr">
        <is>
          <t>v4_white_MLLB_000_y103_0924</t>
        </is>
      </c>
      <c r="E270" t="n">
        <v>4.2</v>
      </c>
      <c r="F270" t="n">
        <v>4.2</v>
      </c>
      <c r="G270" t="n">
        <v>100</v>
      </c>
      <c r="H270" t="n">
        <v>100</v>
      </c>
      <c r="I270" t="n">
        <v>38</v>
      </c>
      <c r="J270" t="inlineStr">
        <is>
          <t>ince</t>
        </is>
      </c>
      <c r="K270" t="b">
        <v>0</v>
      </c>
      <c r="L270" t="inlineStr">
        <is>
          <t>iki-OK-arasi-monotonluk</t>
        </is>
      </c>
      <c r="X270" t="b">
        <v>1</v>
      </c>
      <c r="Z270" t="n">
        <v>935</v>
      </c>
      <c r="AA270" t="n">
        <v>2.5</v>
      </c>
      <c r="AB270" t="n">
        <v>9.5</v>
      </c>
    </row>
    <row r="271">
      <c r="A271" t="inlineStr">
        <is>
          <t>2026-09-24 13:32:02</t>
        </is>
      </c>
      <c r="B271" t="inlineStr">
        <is>
          <t>MLLB_000_y1.0.3</t>
        </is>
      </c>
      <c r="C271" t="inlineStr">
        <is>
          <t>WHITE</t>
        </is>
      </c>
      <c r="D271" t="inlineStr">
        <is>
          <t>v4_white_MLLB_000_y103_0924</t>
        </is>
      </c>
      <c r="E271" t="n">
        <v>4.2</v>
      </c>
      <c r="F271" t="n">
        <v>4.2</v>
      </c>
      <c r="G271" t="n">
        <v>100</v>
      </c>
      <c r="H271" t="n">
        <v>100</v>
      </c>
      <c r="I271" t="n">
        <v>39</v>
      </c>
      <c r="J271" t="inlineStr">
        <is>
          <t>ince</t>
        </is>
      </c>
      <c r="K271" t="b">
        <v>0</v>
      </c>
      <c r="L271" t="inlineStr">
        <is>
          <t>iki-OK-arasi-monotonluk</t>
        </is>
      </c>
      <c r="X271" t="b">
        <v>1</v>
      </c>
      <c r="Z271" t="n">
        <v>935</v>
      </c>
      <c r="AA271" t="n">
        <v>2.5</v>
      </c>
      <c r="AB271" t="n">
        <v>9.5</v>
      </c>
    </row>
    <row r="272">
      <c r="A272" t="inlineStr">
        <is>
          <t>2026-09-24 13:32:02</t>
        </is>
      </c>
      <c r="B272" t="inlineStr">
        <is>
          <t>MLLB_000_y1.0.3</t>
        </is>
      </c>
      <c r="C272" t="inlineStr">
        <is>
          <t>WHITE</t>
        </is>
      </c>
      <c r="D272" t="inlineStr">
        <is>
          <t>v4_white_MLLB_000_y103_0924</t>
        </is>
      </c>
      <c r="E272" t="n">
        <v>4.2</v>
      </c>
      <c r="F272" t="n">
        <v>4.2</v>
      </c>
      <c r="G272" t="n">
        <v>100</v>
      </c>
      <c r="H272" t="n">
        <v>100</v>
      </c>
      <c r="I272" t="n">
        <v>41</v>
      </c>
      <c r="J272" t="inlineStr">
        <is>
          <t>ince</t>
        </is>
      </c>
      <c r="K272" t="b">
        <v>0</v>
      </c>
      <c r="L272" t="inlineStr">
        <is>
          <t>iki-OK-arasi-monotonluk</t>
        </is>
      </c>
      <c r="X272" t="b">
        <v>1</v>
      </c>
      <c r="Z272" t="n">
        <v>935</v>
      </c>
      <c r="AA272" t="n">
        <v>2.5</v>
      </c>
      <c r="AB272" t="n">
        <v>9.5</v>
      </c>
    </row>
    <row r="273">
      <c r="A273" t="inlineStr">
        <is>
          <t>2026-09-24 13:32:02</t>
        </is>
      </c>
      <c r="B273" t="inlineStr">
        <is>
          <t>MLLB_000_y1.0.3</t>
        </is>
      </c>
      <c r="C273" t="inlineStr">
        <is>
          <t>WHITE</t>
        </is>
      </c>
      <c r="D273" t="inlineStr">
        <is>
          <t>v4_white_MLLB_000_y103_0924</t>
        </is>
      </c>
      <c r="E273" t="n">
        <v>4.2</v>
      </c>
      <c r="F273" t="n">
        <v>4.2</v>
      </c>
      <c r="G273" t="n">
        <v>100</v>
      </c>
      <c r="H273" t="n">
        <v>100</v>
      </c>
      <c r="I273" t="n">
        <v>42</v>
      </c>
      <c r="J273" t="inlineStr">
        <is>
          <t>ince</t>
        </is>
      </c>
      <c r="K273" t="b">
        <v>0</v>
      </c>
      <c r="L273" t="inlineStr">
        <is>
          <t>iki-OK-arasi-monotonluk</t>
        </is>
      </c>
      <c r="X273" t="b">
        <v>1</v>
      </c>
      <c r="Z273" t="n">
        <v>935</v>
      </c>
      <c r="AA273" t="n">
        <v>2.5</v>
      </c>
      <c r="AB273" t="n">
        <v>9.5</v>
      </c>
    </row>
    <row r="274">
      <c r="A274" t="inlineStr">
        <is>
          <t>2026-09-24 13:32:02</t>
        </is>
      </c>
      <c r="B274" t="inlineStr">
        <is>
          <t>MLLB_000_y1.0.3</t>
        </is>
      </c>
      <c r="C274" t="inlineStr">
        <is>
          <t>WHITE</t>
        </is>
      </c>
      <c r="D274" t="inlineStr">
        <is>
          <t>v4_white_MLLB_000_y103_0924</t>
        </is>
      </c>
      <c r="E274" t="n">
        <v>4.2</v>
      </c>
      <c r="F274" t="n">
        <v>4.2</v>
      </c>
      <c r="G274" t="n">
        <v>100</v>
      </c>
      <c r="H274" t="n">
        <v>100</v>
      </c>
      <c r="I274" t="n">
        <v>43</v>
      </c>
      <c r="J274" t="inlineStr">
        <is>
          <t>ince</t>
        </is>
      </c>
      <c r="K274" t="b">
        <v>0</v>
      </c>
      <c r="L274" t="inlineStr">
        <is>
          <t>iki-OK-arasi-monotonluk</t>
        </is>
      </c>
      <c r="X274" t="b">
        <v>1</v>
      </c>
      <c r="Z274" t="n">
        <v>935</v>
      </c>
      <c r="AA274" t="n">
        <v>2.5</v>
      </c>
      <c r="AB274" t="n">
        <v>9.5</v>
      </c>
    </row>
    <row r="275">
      <c r="A275" t="inlineStr">
        <is>
          <t>2026-09-24 13:32:02</t>
        </is>
      </c>
      <c r="B275" t="inlineStr">
        <is>
          <t>MLLB_000_y1.0.3</t>
        </is>
      </c>
      <c r="C275" t="inlineStr">
        <is>
          <t>WHITE</t>
        </is>
      </c>
      <c r="D275" t="inlineStr">
        <is>
          <t>v4_white_MLLB_000_y103_0924</t>
        </is>
      </c>
      <c r="E275" t="n">
        <v>4.2</v>
      </c>
      <c r="F275" t="n">
        <v>4.2</v>
      </c>
      <c r="G275" t="n">
        <v>100</v>
      </c>
      <c r="H275" t="n">
        <v>100</v>
      </c>
      <c r="I275" t="n">
        <v>45</v>
      </c>
      <c r="J275" t="inlineStr">
        <is>
          <t>ince</t>
        </is>
      </c>
      <c r="K275" t="b">
        <v>0</v>
      </c>
      <c r="L275" t="inlineStr">
        <is>
          <t>iki-OK-arasi-monotonluk</t>
        </is>
      </c>
      <c r="X275" t="b">
        <v>1</v>
      </c>
      <c r="Z275" t="n">
        <v>935</v>
      </c>
      <c r="AA275" t="n">
        <v>2.5</v>
      </c>
      <c r="AB275" t="n">
        <v>9.5</v>
      </c>
    </row>
    <row r="276">
      <c r="A276" t="inlineStr">
        <is>
          <t>2026-09-24 13:32:02</t>
        </is>
      </c>
      <c r="B276" t="inlineStr">
        <is>
          <t>MLLB_000_y1.0.3</t>
        </is>
      </c>
      <c r="C276" t="inlineStr">
        <is>
          <t>WHITE</t>
        </is>
      </c>
      <c r="D276" t="inlineStr">
        <is>
          <t>v4_white_MLLB_000_y103_0924</t>
        </is>
      </c>
      <c r="E276" t="n">
        <v>4.2</v>
      </c>
      <c r="F276" t="n">
        <v>4.2</v>
      </c>
      <c r="G276" t="n">
        <v>100</v>
      </c>
      <c r="H276" t="n">
        <v>100</v>
      </c>
      <c r="I276" t="n">
        <v>46</v>
      </c>
      <c r="J276" t="inlineStr">
        <is>
          <t>ince</t>
        </is>
      </c>
      <c r="K276" t="b">
        <v>0</v>
      </c>
      <c r="L276" t="inlineStr">
        <is>
          <t>iki-OK-arasi-monotonluk</t>
        </is>
      </c>
      <c r="X276" t="b">
        <v>1</v>
      </c>
      <c r="Z276" t="n">
        <v>935</v>
      </c>
      <c r="AA276" t="n">
        <v>2.5</v>
      </c>
      <c r="AB276" t="n">
        <v>9.5</v>
      </c>
    </row>
    <row r="277">
      <c r="A277" t="inlineStr">
        <is>
          <t>2026-09-24 13:32:02</t>
        </is>
      </c>
      <c r="B277" t="inlineStr">
        <is>
          <t>MLLB_000_y1.0.3</t>
        </is>
      </c>
      <c r="C277" t="inlineStr">
        <is>
          <t>WHITE</t>
        </is>
      </c>
      <c r="D277" t="inlineStr">
        <is>
          <t>v4_white_MLLB_000_y103_0924</t>
        </is>
      </c>
      <c r="E277" t="n">
        <v>4.2</v>
      </c>
      <c r="F277" t="n">
        <v>4.2</v>
      </c>
      <c r="G277" t="n">
        <v>100</v>
      </c>
      <c r="H277" t="n">
        <v>100</v>
      </c>
      <c r="I277" t="n">
        <v>47</v>
      </c>
      <c r="J277" t="inlineStr">
        <is>
          <t>ince</t>
        </is>
      </c>
      <c r="K277" t="b">
        <v>0</v>
      </c>
      <c r="L277" t="inlineStr">
        <is>
          <t>iki-OK-arasi-monotonluk</t>
        </is>
      </c>
      <c r="X277" t="b">
        <v>1</v>
      </c>
      <c r="Z277" t="n">
        <v>935</v>
      </c>
      <c r="AA277" t="n">
        <v>2.5</v>
      </c>
      <c r="AB277" t="n">
        <v>9.5</v>
      </c>
    </row>
    <row r="278">
      <c r="A278" t="inlineStr">
        <is>
          <t>2026-09-24 13:32:02</t>
        </is>
      </c>
      <c r="B278" t="inlineStr">
        <is>
          <t>MLLB_000_y1.0.3</t>
        </is>
      </c>
      <c r="C278" t="inlineStr">
        <is>
          <t>WHITE</t>
        </is>
      </c>
      <c r="D278" t="inlineStr">
        <is>
          <t>v4_white_MLLB_000_y103_0924</t>
        </is>
      </c>
      <c r="E278" t="n">
        <v>4.2</v>
      </c>
      <c r="F278" t="n">
        <v>4.2</v>
      </c>
      <c r="G278" t="n">
        <v>100</v>
      </c>
      <c r="H278" t="n">
        <v>100</v>
      </c>
      <c r="I278" t="n">
        <v>49</v>
      </c>
      <c r="J278" t="inlineStr">
        <is>
          <t>ince</t>
        </is>
      </c>
      <c r="K278" t="b">
        <v>0</v>
      </c>
      <c r="L278" t="inlineStr">
        <is>
          <t>iki-OK-arasi-monotonluk</t>
        </is>
      </c>
      <c r="X278" t="b">
        <v>1</v>
      </c>
      <c r="Z278" t="n">
        <v>935</v>
      </c>
      <c r="AA278" t="n">
        <v>2.5</v>
      </c>
      <c r="AB278" t="n">
        <v>9.5</v>
      </c>
    </row>
    <row r="279">
      <c r="A279" t="inlineStr">
        <is>
          <t>2026-09-24 13:32:02</t>
        </is>
      </c>
      <c r="B279" t="inlineStr">
        <is>
          <t>MLLB_000_y1.0.3</t>
        </is>
      </c>
      <c r="C279" t="inlineStr">
        <is>
          <t>WHITE</t>
        </is>
      </c>
      <c r="D279" t="inlineStr">
        <is>
          <t>v4_white_MLLB_000_y103_0924</t>
        </is>
      </c>
      <c r="E279" t="n">
        <v>4.2</v>
      </c>
      <c r="F279" t="n">
        <v>4.2</v>
      </c>
      <c r="G279" t="n">
        <v>100</v>
      </c>
      <c r="H279" t="n">
        <v>100</v>
      </c>
      <c r="I279" t="n">
        <v>50</v>
      </c>
      <c r="J279" t="inlineStr">
        <is>
          <t>ince</t>
        </is>
      </c>
      <c r="K279" t="b">
        <v>0</v>
      </c>
      <c r="L279" t="inlineStr">
        <is>
          <t>iki-OK-arasi-monotonluk</t>
        </is>
      </c>
      <c r="X279" t="b">
        <v>1</v>
      </c>
      <c r="Z279" t="n">
        <v>935</v>
      </c>
      <c r="AA279" t="n">
        <v>2.5</v>
      </c>
      <c r="AB279" t="n">
        <v>9.5</v>
      </c>
    </row>
    <row r="280">
      <c r="A280" t="inlineStr">
        <is>
          <t>2026-09-24 13:32:02</t>
        </is>
      </c>
      <c r="B280" t="inlineStr">
        <is>
          <t>MLLB_000_y1.0.3</t>
        </is>
      </c>
      <c r="C280" t="inlineStr">
        <is>
          <t>WHITE</t>
        </is>
      </c>
      <c r="D280" t="inlineStr">
        <is>
          <t>v4_white_MLLB_000_y103_0924</t>
        </is>
      </c>
      <c r="E280" t="n">
        <v>4.2</v>
      </c>
      <c r="F280" t="n">
        <v>4.2</v>
      </c>
      <c r="G280" t="n">
        <v>100</v>
      </c>
      <c r="H280" t="n">
        <v>100</v>
      </c>
      <c r="I280" t="n">
        <v>51</v>
      </c>
      <c r="J280" t="inlineStr">
        <is>
          <t>ince</t>
        </is>
      </c>
      <c r="K280" t="b">
        <v>0</v>
      </c>
      <c r="L280" t="inlineStr">
        <is>
          <t>iki-OK-arasi-monotonluk</t>
        </is>
      </c>
      <c r="X280" t="b">
        <v>1</v>
      </c>
      <c r="Z280" t="n">
        <v>935</v>
      </c>
      <c r="AA280" t="n">
        <v>2.5</v>
      </c>
      <c r="AB280" t="n">
        <v>9.5</v>
      </c>
    </row>
    <row r="281">
      <c r="A281" t="inlineStr">
        <is>
          <t>2026-09-24 13:32:02</t>
        </is>
      </c>
      <c r="B281" t="inlineStr">
        <is>
          <t>MLLB_000_y1.0.3</t>
        </is>
      </c>
      <c r="C281" t="inlineStr">
        <is>
          <t>WHITE</t>
        </is>
      </c>
      <c r="D281" t="inlineStr">
        <is>
          <t>v4_white_MLLB_000_y103_0924</t>
        </is>
      </c>
      <c r="E281" t="n">
        <v>4.2</v>
      </c>
      <c r="F281" t="n">
        <v>4.2</v>
      </c>
      <c r="G281" t="n">
        <v>100</v>
      </c>
      <c r="H281" t="n">
        <v>100</v>
      </c>
      <c r="I281" t="n">
        <v>53</v>
      </c>
      <c r="J281" t="inlineStr">
        <is>
          <t>ince</t>
        </is>
      </c>
      <c r="K281" t="b">
        <v>0</v>
      </c>
      <c r="L281" t="inlineStr">
        <is>
          <t>iki-OK-arasi-monotonluk</t>
        </is>
      </c>
      <c r="X281" t="b">
        <v>1</v>
      </c>
      <c r="Z281" t="n">
        <v>935</v>
      </c>
      <c r="AA281" t="n">
        <v>2.5</v>
      </c>
      <c r="AB281" t="n">
        <v>9.5</v>
      </c>
    </row>
    <row r="282">
      <c r="A282" t="inlineStr">
        <is>
          <t>2026-09-24 13:32:02</t>
        </is>
      </c>
      <c r="B282" t="inlineStr">
        <is>
          <t>MLLB_000_y1.0.3</t>
        </is>
      </c>
      <c r="C282" t="inlineStr">
        <is>
          <t>WHITE</t>
        </is>
      </c>
      <c r="D282" t="inlineStr">
        <is>
          <t>v4_white_MLLB_000_y103_0924</t>
        </is>
      </c>
      <c r="E282" t="n">
        <v>4.2</v>
      </c>
      <c r="F282" t="n">
        <v>4.2</v>
      </c>
      <c r="G282" t="n">
        <v>100</v>
      </c>
      <c r="H282" t="n">
        <v>100</v>
      </c>
      <c r="I282" t="n">
        <v>54</v>
      </c>
      <c r="J282" t="inlineStr">
        <is>
          <t>ince</t>
        </is>
      </c>
      <c r="K282" t="b">
        <v>0</v>
      </c>
      <c r="L282" t="inlineStr">
        <is>
          <t>iki-OK-arasi-monotonluk</t>
        </is>
      </c>
      <c r="X282" t="b">
        <v>1</v>
      </c>
      <c r="Z282" t="n">
        <v>935</v>
      </c>
      <c r="AA282" t="n">
        <v>2.5</v>
      </c>
      <c r="AB282" t="n">
        <v>9.5</v>
      </c>
    </row>
    <row r="283">
      <c r="A283" t="inlineStr">
        <is>
          <t>2026-09-24 13:32:02</t>
        </is>
      </c>
      <c r="B283" t="inlineStr">
        <is>
          <t>MLLB_000_y1.0.3</t>
        </is>
      </c>
      <c r="C283" t="inlineStr">
        <is>
          <t>WHITE</t>
        </is>
      </c>
      <c r="D283" t="inlineStr">
        <is>
          <t>v4_white_MLLB_000_y103_0924</t>
        </is>
      </c>
      <c r="E283" t="n">
        <v>4.2</v>
      </c>
      <c r="F283" t="n">
        <v>4.2</v>
      </c>
      <c r="G283" t="n">
        <v>100</v>
      </c>
      <c r="H283" t="n">
        <v>100</v>
      </c>
      <c r="I283" t="n">
        <v>55</v>
      </c>
      <c r="J283" t="inlineStr">
        <is>
          <t>ince</t>
        </is>
      </c>
      <c r="K283" t="b">
        <v>0</v>
      </c>
      <c r="L283" t="inlineStr">
        <is>
          <t>iki-OK-arasi-monotonluk</t>
        </is>
      </c>
      <c r="X283" t="b">
        <v>1</v>
      </c>
      <c r="Z283" t="n">
        <v>935</v>
      </c>
      <c r="AA283" t="n">
        <v>2.5</v>
      </c>
      <c r="AB283" t="n">
        <v>9.5</v>
      </c>
    </row>
    <row r="284">
      <c r="A284" t="inlineStr">
        <is>
          <t>2026-09-24 13:32:02</t>
        </is>
      </c>
      <c r="B284" t="inlineStr">
        <is>
          <t>MLLB_000_y1.0.3</t>
        </is>
      </c>
      <c r="C284" t="inlineStr">
        <is>
          <t>WHITE</t>
        </is>
      </c>
      <c r="D284" t="inlineStr">
        <is>
          <t>v4_white_MLLB_000_y103_0924</t>
        </is>
      </c>
      <c r="E284" t="n">
        <v>4.2</v>
      </c>
      <c r="F284" t="n">
        <v>4.2</v>
      </c>
      <c r="G284" t="n">
        <v>100</v>
      </c>
      <c r="H284" t="n">
        <v>100</v>
      </c>
      <c r="I284" t="n">
        <v>57</v>
      </c>
      <c r="J284" t="inlineStr">
        <is>
          <t>ince</t>
        </is>
      </c>
      <c r="K284" t="b">
        <v>0</v>
      </c>
      <c r="L284" t="inlineStr">
        <is>
          <t>iki-OK-arasi-monotonluk</t>
        </is>
      </c>
      <c r="X284" t="b">
        <v>1</v>
      </c>
      <c r="Z284" t="n">
        <v>935</v>
      </c>
      <c r="AA284" t="n">
        <v>2.5</v>
      </c>
      <c r="AB284" t="n">
        <v>9.5</v>
      </c>
    </row>
    <row r="285">
      <c r="A285" t="inlineStr">
        <is>
          <t>2026-09-24 13:32:02</t>
        </is>
      </c>
      <c r="B285" t="inlineStr">
        <is>
          <t>MLLB_000_y1.0.3</t>
        </is>
      </c>
      <c r="C285" t="inlineStr">
        <is>
          <t>WHITE</t>
        </is>
      </c>
      <c r="D285" t="inlineStr">
        <is>
          <t>v4_white_MLLB_000_y103_0924</t>
        </is>
      </c>
      <c r="E285" t="n">
        <v>4.2</v>
      </c>
      <c r="F285" t="n">
        <v>4.2</v>
      </c>
      <c r="G285" t="n">
        <v>100</v>
      </c>
      <c r="H285" t="n">
        <v>100</v>
      </c>
      <c r="J285" t="inlineStr">
        <is>
          <t>bitti</t>
        </is>
      </c>
      <c r="K285" t="b">
        <v>0</v>
      </c>
      <c r="Z285" t="n">
        <v>935</v>
      </c>
      <c r="AA285" t="n">
        <v>2.5</v>
      </c>
      <c r="AB285" t="n">
        <v>9.5</v>
      </c>
    </row>
    <row r="286">
      <c r="A286" t="inlineStr">
        <is>
          <t>2026-09-24 13:32:17</t>
        </is>
      </c>
      <c r="B286" t="inlineStr">
        <is>
          <t>MLLB_000_y1.0.3</t>
        </is>
      </c>
      <c r="C286" t="inlineStr">
        <is>
          <t>WHITE</t>
        </is>
      </c>
      <c r="D286" t="inlineStr">
        <is>
          <t>v4_white_MLLB_000_y103_0924</t>
        </is>
      </c>
      <c r="E286" t="n">
        <v>4.2</v>
      </c>
      <c r="F286" t="n">
        <v>4.2</v>
      </c>
      <c r="G286" t="n">
        <v>100</v>
      </c>
      <c r="H286" t="n">
        <v>80</v>
      </c>
      <c r="I286" t="n">
        <v>12</v>
      </c>
      <c r="J286" t="inlineStr">
        <is>
          <t>kaba</t>
        </is>
      </c>
      <c r="K286" t="b">
        <v>1</v>
      </c>
      <c r="M286" t="n">
        <v>26</v>
      </c>
      <c r="N286" t="n">
        <v>28</v>
      </c>
      <c r="O286" t="n">
        <v>6</v>
      </c>
      <c r="P286" t="n">
        <v>976</v>
      </c>
      <c r="Q286" t="n">
        <v>1002</v>
      </c>
      <c r="R286" t="n">
        <v>1.071</v>
      </c>
      <c r="S286" t="n">
        <v>243.864</v>
      </c>
      <c r="T286" t="n">
        <v>227.655</v>
      </c>
      <c r="U286" t="n">
        <v>0.7783</v>
      </c>
      <c r="V286" t="b">
        <v>1</v>
      </c>
      <c r="X286" t="b">
        <v>1</v>
      </c>
      <c r="Z286" t="n">
        <v>935</v>
      </c>
      <c r="AA286" t="n">
        <v>2.5</v>
      </c>
      <c r="AB286" t="n">
        <v>9.5</v>
      </c>
    </row>
    <row r="287">
      <c r="A287" t="inlineStr">
        <is>
          <t>2026-09-24 13:32:33</t>
        </is>
      </c>
      <c r="B287" t="inlineStr">
        <is>
          <t>MLLB_000_y1.0.3</t>
        </is>
      </c>
      <c r="C287" t="inlineStr">
        <is>
          <t>WHITE</t>
        </is>
      </c>
      <c r="D287" t="inlineStr">
        <is>
          <t>v4_white_MLLB_000_y103_0924</t>
        </is>
      </c>
      <c r="E287" t="n">
        <v>4.2</v>
      </c>
      <c r="F287" t="n">
        <v>4.2</v>
      </c>
      <c r="G287" t="n">
        <v>100</v>
      </c>
      <c r="H287" t="n">
        <v>80</v>
      </c>
      <c r="I287" t="n">
        <v>16</v>
      </c>
      <c r="J287" t="inlineStr">
        <is>
          <t>kaba</t>
        </is>
      </c>
      <c r="K287" t="b">
        <v>1</v>
      </c>
      <c r="M287" t="n">
        <v>26</v>
      </c>
      <c r="N287" t="n">
        <v>28</v>
      </c>
      <c r="O287" t="n">
        <v>6</v>
      </c>
      <c r="P287" t="n">
        <v>976</v>
      </c>
      <c r="Q287" t="n">
        <v>1002</v>
      </c>
      <c r="R287" t="n">
        <v>1.07</v>
      </c>
      <c r="S287" t="n">
        <v>243.864</v>
      </c>
      <c r="T287" t="n">
        <v>227.899</v>
      </c>
      <c r="U287" t="n">
        <v>0.7774</v>
      </c>
      <c r="V287" t="b">
        <v>1</v>
      </c>
      <c r="X287" t="b">
        <v>1</v>
      </c>
      <c r="Z287" t="n">
        <v>935</v>
      </c>
      <c r="AA287" t="n">
        <v>2.5</v>
      </c>
      <c r="AB287" t="n">
        <v>9.5</v>
      </c>
    </row>
    <row r="288">
      <c r="A288" t="inlineStr">
        <is>
          <t>2026-09-24 13:32:49</t>
        </is>
      </c>
      <c r="B288" t="inlineStr">
        <is>
          <t>MLLB_000_y1.0.3</t>
        </is>
      </c>
      <c r="C288" t="inlineStr">
        <is>
          <t>WHITE</t>
        </is>
      </c>
      <c r="D288" t="inlineStr">
        <is>
          <t>v4_white_MLLB_000_y103_0924</t>
        </is>
      </c>
      <c r="E288" t="n">
        <v>4.2</v>
      </c>
      <c r="F288" t="n">
        <v>4.2</v>
      </c>
      <c r="G288" t="n">
        <v>100</v>
      </c>
      <c r="H288" t="n">
        <v>80</v>
      </c>
      <c r="I288" t="n">
        <v>20</v>
      </c>
      <c r="J288" t="inlineStr">
        <is>
          <t>kaba</t>
        </is>
      </c>
      <c r="K288" t="b">
        <v>1</v>
      </c>
      <c r="M288" t="n">
        <v>26</v>
      </c>
      <c r="N288" t="n">
        <v>28</v>
      </c>
      <c r="O288" t="n">
        <v>6</v>
      </c>
      <c r="P288" t="n">
        <v>976</v>
      </c>
      <c r="Q288" t="n">
        <v>1002</v>
      </c>
      <c r="R288" t="n">
        <v>1.07</v>
      </c>
      <c r="S288" t="n">
        <v>243.864</v>
      </c>
      <c r="T288" t="n">
        <v>227.889</v>
      </c>
      <c r="U288" t="n">
        <v>0.7775</v>
      </c>
      <c r="V288" t="b">
        <v>1</v>
      </c>
      <c r="X288" t="b">
        <v>1</v>
      </c>
      <c r="Z288" t="n">
        <v>935</v>
      </c>
      <c r="AA288" t="n">
        <v>2.5</v>
      </c>
      <c r="AB288" t="n">
        <v>9.5</v>
      </c>
    </row>
    <row r="289">
      <c r="A289" t="inlineStr">
        <is>
          <t>2026-09-24 13:33:05</t>
        </is>
      </c>
      <c r="B289" t="inlineStr">
        <is>
          <t>MLLB_000_y1.0.3</t>
        </is>
      </c>
      <c r="C289" t="inlineStr">
        <is>
          <t>WHITE</t>
        </is>
      </c>
      <c r="D289" t="inlineStr">
        <is>
          <t>v4_white_MLLB_000_y103_0924</t>
        </is>
      </c>
      <c r="E289" t="n">
        <v>4.2</v>
      </c>
      <c r="F289" t="n">
        <v>4.2</v>
      </c>
      <c r="G289" t="n">
        <v>100</v>
      </c>
      <c r="H289" t="n">
        <v>80</v>
      </c>
      <c r="I289" t="n">
        <v>24</v>
      </c>
      <c r="J289" t="inlineStr">
        <is>
          <t>kaba</t>
        </is>
      </c>
      <c r="K289" t="b">
        <v>1</v>
      </c>
      <c r="M289" t="n">
        <v>26</v>
      </c>
      <c r="N289" t="n">
        <v>28</v>
      </c>
      <c r="O289" t="n">
        <v>6</v>
      </c>
      <c r="P289" t="n">
        <v>976</v>
      </c>
      <c r="Q289" t="n">
        <v>1002</v>
      </c>
      <c r="R289" t="n">
        <v>1.07</v>
      </c>
      <c r="S289" t="n">
        <v>243.864</v>
      </c>
      <c r="T289" t="n">
        <v>227.992</v>
      </c>
      <c r="U289" t="n">
        <v>0.7778</v>
      </c>
      <c r="V289" t="b">
        <v>1</v>
      </c>
      <c r="X289" t="b">
        <v>1</v>
      </c>
      <c r="Z289" t="n">
        <v>935</v>
      </c>
      <c r="AA289" t="n">
        <v>2.5</v>
      </c>
      <c r="AB289" t="n">
        <v>9.5</v>
      </c>
    </row>
    <row r="290">
      <c r="A290" t="inlineStr">
        <is>
          <t>2026-09-24 13:33:21</t>
        </is>
      </c>
      <c r="B290" t="inlineStr">
        <is>
          <t>MLLB_000_y1.0.3</t>
        </is>
      </c>
      <c r="C290" t="inlineStr">
        <is>
          <t>WHITE</t>
        </is>
      </c>
      <c r="D290" t="inlineStr">
        <is>
          <t>v4_white_MLLB_000_y103_0924</t>
        </is>
      </c>
      <c r="E290" t="n">
        <v>4.2</v>
      </c>
      <c r="F290" t="n">
        <v>4.2</v>
      </c>
      <c r="G290" t="n">
        <v>100</v>
      </c>
      <c r="H290" t="n">
        <v>80</v>
      </c>
      <c r="I290" t="n">
        <v>28</v>
      </c>
      <c r="J290" t="inlineStr">
        <is>
          <t>kaba</t>
        </is>
      </c>
      <c r="K290" t="b">
        <v>1</v>
      </c>
      <c r="M290" t="n">
        <v>26</v>
      </c>
      <c r="N290" t="n">
        <v>28</v>
      </c>
      <c r="O290" t="n">
        <v>6</v>
      </c>
      <c r="P290" t="n">
        <v>976</v>
      </c>
      <c r="Q290" t="n">
        <v>1002</v>
      </c>
      <c r="R290" t="n">
        <v>1.071</v>
      </c>
      <c r="S290" t="n">
        <v>243.864</v>
      </c>
      <c r="T290" t="n">
        <v>227.689</v>
      </c>
      <c r="U290" t="n">
        <v>0.7776999999999999</v>
      </c>
      <c r="V290" t="b">
        <v>1</v>
      </c>
      <c r="X290" t="b">
        <v>1</v>
      </c>
      <c r="Z290" t="n">
        <v>935</v>
      </c>
      <c r="AA290" t="n">
        <v>2.5</v>
      </c>
      <c r="AB290" t="n">
        <v>9.5</v>
      </c>
    </row>
    <row r="291">
      <c r="A291" t="inlineStr">
        <is>
          <t>2026-09-24 13:33:37</t>
        </is>
      </c>
      <c r="B291" t="inlineStr">
        <is>
          <t>MLLB_000_y1.0.3</t>
        </is>
      </c>
      <c r="C291" t="inlineStr">
        <is>
          <t>WHITE</t>
        </is>
      </c>
      <c r="D291" t="inlineStr">
        <is>
          <t>v4_white_MLLB_000_y103_0924</t>
        </is>
      </c>
      <c r="E291" t="n">
        <v>4.2</v>
      </c>
      <c r="F291" t="n">
        <v>4.2</v>
      </c>
      <c r="G291" t="n">
        <v>100</v>
      </c>
      <c r="H291" t="n">
        <v>80</v>
      </c>
      <c r="I291" t="n">
        <v>32</v>
      </c>
      <c r="J291" t="inlineStr">
        <is>
          <t>kaba</t>
        </is>
      </c>
      <c r="K291" t="b">
        <v>1</v>
      </c>
      <c r="M291" t="n">
        <v>26</v>
      </c>
      <c r="N291" t="n">
        <v>28</v>
      </c>
      <c r="O291" t="n">
        <v>6</v>
      </c>
      <c r="P291" t="n">
        <v>976</v>
      </c>
      <c r="Q291" t="n">
        <v>1002</v>
      </c>
      <c r="R291" t="n">
        <v>1.07</v>
      </c>
      <c r="S291" t="n">
        <v>243.864</v>
      </c>
      <c r="T291" t="n">
        <v>227.81</v>
      </c>
      <c r="U291" t="n">
        <v>0.7776999999999999</v>
      </c>
      <c r="V291" t="b">
        <v>1</v>
      </c>
      <c r="X291" t="b">
        <v>1</v>
      </c>
      <c r="Z291" t="n">
        <v>935</v>
      </c>
      <c r="AA291" t="n">
        <v>2.5</v>
      </c>
      <c r="AB291" t="n">
        <v>9.5</v>
      </c>
    </row>
    <row r="292">
      <c r="A292" t="inlineStr">
        <is>
          <t>2026-09-24 13:33:53</t>
        </is>
      </c>
      <c r="B292" t="inlineStr">
        <is>
          <t>MLLB_000_y1.0.3</t>
        </is>
      </c>
      <c r="C292" t="inlineStr">
        <is>
          <t>WHITE</t>
        </is>
      </c>
      <c r="D292" t="inlineStr">
        <is>
          <t>v4_white_MLLB_000_y103_0924</t>
        </is>
      </c>
      <c r="E292" t="n">
        <v>4.2</v>
      </c>
      <c r="F292" t="n">
        <v>4.2</v>
      </c>
      <c r="G292" t="n">
        <v>100</v>
      </c>
      <c r="H292" t="n">
        <v>80</v>
      </c>
      <c r="I292" t="n">
        <v>36</v>
      </c>
      <c r="J292" t="inlineStr">
        <is>
          <t>kaba</t>
        </is>
      </c>
      <c r="K292" t="b">
        <v>1</v>
      </c>
      <c r="M292" t="n">
        <v>26</v>
      </c>
      <c r="N292" t="n">
        <v>28</v>
      </c>
      <c r="O292" t="n">
        <v>6</v>
      </c>
      <c r="P292" t="n">
        <v>976</v>
      </c>
      <c r="Q292" t="n">
        <v>1002</v>
      </c>
      <c r="R292" t="n">
        <v>1.068</v>
      </c>
      <c r="S292" t="n">
        <v>243.267</v>
      </c>
      <c r="T292" t="n">
        <v>227.832</v>
      </c>
      <c r="U292" t="n">
        <v>0.7779</v>
      </c>
      <c r="V292" t="b">
        <v>1</v>
      </c>
      <c r="X292" t="b">
        <v>1</v>
      </c>
      <c r="Z292" t="n">
        <v>935</v>
      </c>
      <c r="AA292" t="n">
        <v>2.5</v>
      </c>
      <c r="AB292" t="n">
        <v>9.5</v>
      </c>
    </row>
    <row r="293">
      <c r="A293" t="inlineStr">
        <is>
          <t>2026-09-24 13:34:09</t>
        </is>
      </c>
      <c r="B293" t="inlineStr">
        <is>
          <t>MLLB_000_y1.0.3</t>
        </is>
      </c>
      <c r="C293" t="inlineStr">
        <is>
          <t>WHITE</t>
        </is>
      </c>
      <c r="D293" t="inlineStr">
        <is>
          <t>v4_white_MLLB_000_y103_0924</t>
        </is>
      </c>
      <c r="E293" t="n">
        <v>4.2</v>
      </c>
      <c r="F293" t="n">
        <v>4.2</v>
      </c>
      <c r="G293" t="n">
        <v>100</v>
      </c>
      <c r="H293" t="n">
        <v>80</v>
      </c>
      <c r="I293" t="n">
        <v>40</v>
      </c>
      <c r="J293" t="inlineStr">
        <is>
          <t>kaba</t>
        </is>
      </c>
      <c r="K293" t="b">
        <v>1</v>
      </c>
      <c r="M293" t="n">
        <v>26</v>
      </c>
      <c r="N293" t="n">
        <v>28</v>
      </c>
      <c r="O293" t="n">
        <v>6</v>
      </c>
      <c r="P293" t="n">
        <v>976</v>
      </c>
      <c r="Q293" t="n">
        <v>1002</v>
      </c>
      <c r="R293" t="n">
        <v>1.07</v>
      </c>
      <c r="S293" t="n">
        <v>243.864</v>
      </c>
      <c r="T293" t="n">
        <v>227.823</v>
      </c>
      <c r="U293" t="n">
        <v>0.7779</v>
      </c>
      <c r="V293" t="b">
        <v>1</v>
      </c>
      <c r="X293" t="b">
        <v>1</v>
      </c>
      <c r="Z293" t="n">
        <v>935</v>
      </c>
      <c r="AA293" t="n">
        <v>2.5</v>
      </c>
      <c r="AB293" t="n">
        <v>9.5</v>
      </c>
    </row>
    <row r="294">
      <c r="A294" t="inlineStr">
        <is>
          <t>2026-09-24 13:34:25</t>
        </is>
      </c>
      <c r="B294" t="inlineStr">
        <is>
          <t>MLLB_000_y1.0.3</t>
        </is>
      </c>
      <c r="C294" t="inlineStr">
        <is>
          <t>WHITE</t>
        </is>
      </c>
      <c r="D294" t="inlineStr">
        <is>
          <t>v4_white_MLLB_000_y103_0924</t>
        </is>
      </c>
      <c r="E294" t="n">
        <v>4.2</v>
      </c>
      <c r="F294" t="n">
        <v>4.2</v>
      </c>
      <c r="G294" t="n">
        <v>100</v>
      </c>
      <c r="H294" t="n">
        <v>80</v>
      </c>
      <c r="I294" t="n">
        <v>44</v>
      </c>
      <c r="J294" t="inlineStr">
        <is>
          <t>kaba</t>
        </is>
      </c>
      <c r="K294" t="b">
        <v>1</v>
      </c>
      <c r="M294" t="n">
        <v>26</v>
      </c>
      <c r="N294" t="n">
        <v>28</v>
      </c>
      <c r="O294" t="n">
        <v>6</v>
      </c>
      <c r="P294" t="n">
        <v>976</v>
      </c>
      <c r="Q294" t="n">
        <v>1002</v>
      </c>
      <c r="R294" t="n">
        <v>1.07</v>
      </c>
      <c r="S294" t="n">
        <v>243.864</v>
      </c>
      <c r="T294" t="n">
        <v>227.82</v>
      </c>
      <c r="U294" t="n">
        <v>0.7776</v>
      </c>
      <c r="V294" t="b">
        <v>1</v>
      </c>
      <c r="X294" t="b">
        <v>1</v>
      </c>
      <c r="Z294" t="n">
        <v>935</v>
      </c>
      <c r="AA294" t="n">
        <v>2.5</v>
      </c>
      <c r="AB294" t="n">
        <v>9.5</v>
      </c>
    </row>
    <row r="295">
      <c r="A295" t="inlineStr">
        <is>
          <t>2026-09-24 13:34:41</t>
        </is>
      </c>
      <c r="B295" t="inlineStr">
        <is>
          <t>MLLB_000_y1.0.3</t>
        </is>
      </c>
      <c r="C295" t="inlineStr">
        <is>
          <t>WHITE</t>
        </is>
      </c>
      <c r="D295" t="inlineStr">
        <is>
          <t>v4_white_MLLB_000_y103_0924</t>
        </is>
      </c>
      <c r="E295" t="n">
        <v>4.2</v>
      </c>
      <c r="F295" t="n">
        <v>4.2</v>
      </c>
      <c r="G295" t="n">
        <v>100</v>
      </c>
      <c r="H295" t="n">
        <v>80</v>
      </c>
      <c r="I295" t="n">
        <v>48</v>
      </c>
      <c r="J295" t="inlineStr">
        <is>
          <t>kaba</t>
        </is>
      </c>
      <c r="K295" t="b">
        <v>1</v>
      </c>
      <c r="M295" t="n">
        <v>26</v>
      </c>
      <c r="N295" t="n">
        <v>28</v>
      </c>
      <c r="O295" t="n">
        <v>6</v>
      </c>
      <c r="P295" t="n">
        <v>976</v>
      </c>
      <c r="Q295" t="n">
        <v>1002</v>
      </c>
      <c r="R295" t="n">
        <v>1.071</v>
      </c>
      <c r="S295" t="n">
        <v>243.864</v>
      </c>
      <c r="T295" t="n">
        <v>227.766</v>
      </c>
      <c r="U295" t="n">
        <v>0.778</v>
      </c>
      <c r="V295" t="b">
        <v>1</v>
      </c>
      <c r="X295" t="b">
        <v>1</v>
      </c>
      <c r="Z295" t="n">
        <v>935</v>
      </c>
      <c r="AA295" t="n">
        <v>2.5</v>
      </c>
      <c r="AB295" t="n">
        <v>9.5</v>
      </c>
    </row>
    <row r="296">
      <c r="A296" t="inlineStr">
        <is>
          <t>2026-09-24 13:34:57</t>
        </is>
      </c>
      <c r="B296" t="inlineStr">
        <is>
          <t>MLLB_000_y1.0.3</t>
        </is>
      </c>
      <c r="C296" t="inlineStr">
        <is>
          <t>WHITE</t>
        </is>
      </c>
      <c r="D296" t="inlineStr">
        <is>
          <t>v4_white_MLLB_000_y103_0924</t>
        </is>
      </c>
      <c r="E296" t="n">
        <v>4.2</v>
      </c>
      <c r="F296" t="n">
        <v>4.2</v>
      </c>
      <c r="G296" t="n">
        <v>100</v>
      </c>
      <c r="H296" t="n">
        <v>80</v>
      </c>
      <c r="I296" t="n">
        <v>52</v>
      </c>
      <c r="J296" t="inlineStr">
        <is>
          <t>kaba</t>
        </is>
      </c>
      <c r="K296" t="b">
        <v>1</v>
      </c>
      <c r="M296" t="n">
        <v>26</v>
      </c>
      <c r="N296" t="n">
        <v>28</v>
      </c>
      <c r="O296" t="n">
        <v>6</v>
      </c>
      <c r="P296" t="n">
        <v>976</v>
      </c>
      <c r="Q296" t="n">
        <v>1002</v>
      </c>
      <c r="R296" t="n">
        <v>1.068</v>
      </c>
      <c r="S296" t="n">
        <v>243.238</v>
      </c>
      <c r="T296" t="n">
        <v>227.772</v>
      </c>
      <c r="U296" t="n">
        <v>0.778</v>
      </c>
      <c r="V296" t="b">
        <v>1</v>
      </c>
      <c r="X296" t="b">
        <v>1</v>
      </c>
      <c r="Z296" t="n">
        <v>935</v>
      </c>
      <c r="AA296" t="n">
        <v>2.5</v>
      </c>
      <c r="AB296" t="n">
        <v>9.5</v>
      </c>
    </row>
    <row r="297">
      <c r="A297" t="inlineStr">
        <is>
          <t>2026-09-24 13:35:13</t>
        </is>
      </c>
      <c r="B297" t="inlineStr">
        <is>
          <t>MLLB_000_y1.0.3</t>
        </is>
      </c>
      <c r="C297" t="inlineStr">
        <is>
          <t>WHITE</t>
        </is>
      </c>
      <c r="D297" t="inlineStr">
        <is>
          <t>v4_white_MLLB_000_y103_0924</t>
        </is>
      </c>
      <c r="E297" t="n">
        <v>4.2</v>
      </c>
      <c r="F297" t="n">
        <v>4.2</v>
      </c>
      <c r="G297" t="n">
        <v>100</v>
      </c>
      <c r="H297" t="n">
        <v>80</v>
      </c>
      <c r="I297" t="n">
        <v>56</v>
      </c>
      <c r="J297" t="inlineStr">
        <is>
          <t>kaba</t>
        </is>
      </c>
      <c r="K297" t="b">
        <v>1</v>
      </c>
      <c r="M297" t="n">
        <v>26</v>
      </c>
      <c r="N297" t="n">
        <v>28</v>
      </c>
      <c r="O297" t="n">
        <v>6</v>
      </c>
      <c r="P297" t="n">
        <v>976</v>
      </c>
      <c r="Q297" t="n">
        <v>1002</v>
      </c>
      <c r="R297" t="n">
        <v>1.071</v>
      </c>
      <c r="S297" t="n">
        <v>243.864</v>
      </c>
      <c r="T297" t="n">
        <v>227.663</v>
      </c>
      <c r="U297" t="n">
        <v>0.778</v>
      </c>
      <c r="V297" t="b">
        <v>1</v>
      </c>
      <c r="X297" t="b">
        <v>1</v>
      </c>
      <c r="Z297" t="n">
        <v>935</v>
      </c>
      <c r="AA297" t="n">
        <v>2.5</v>
      </c>
      <c r="AB297" t="n">
        <v>9.5</v>
      </c>
    </row>
    <row r="298">
      <c r="A298" t="inlineStr">
        <is>
          <t>2026-09-24 13:35:29</t>
        </is>
      </c>
      <c r="B298" t="inlineStr">
        <is>
          <t>MLLB_000_y1.0.3</t>
        </is>
      </c>
      <c r="C298" t="inlineStr">
        <is>
          <t>WHITE</t>
        </is>
      </c>
      <c r="D298" t="inlineStr">
        <is>
          <t>v4_white_MLLB_000_y103_0924</t>
        </is>
      </c>
      <c r="E298" t="n">
        <v>4.2</v>
      </c>
      <c r="F298" t="n">
        <v>4.2</v>
      </c>
      <c r="G298" t="n">
        <v>100</v>
      </c>
      <c r="H298" t="n">
        <v>80</v>
      </c>
      <c r="I298" t="n">
        <v>58</v>
      </c>
      <c r="J298" t="inlineStr">
        <is>
          <t>kaba</t>
        </is>
      </c>
      <c r="K298" t="b">
        <v>1</v>
      </c>
      <c r="M298" t="n">
        <v>26</v>
      </c>
      <c r="N298" t="n">
        <v>28</v>
      </c>
      <c r="O298" t="n">
        <v>6</v>
      </c>
      <c r="P298" t="n">
        <v>976</v>
      </c>
      <c r="Q298" t="n">
        <v>1002</v>
      </c>
      <c r="R298" t="n">
        <v>1.071</v>
      </c>
      <c r="S298" t="n">
        <v>243.864</v>
      </c>
      <c r="T298" t="n">
        <v>227.723</v>
      </c>
      <c r="U298" t="n">
        <v>0.777</v>
      </c>
      <c r="V298" t="b">
        <v>1</v>
      </c>
      <c r="X298" t="b">
        <v>1</v>
      </c>
      <c r="Z298" t="n">
        <v>935</v>
      </c>
      <c r="AA298" t="n">
        <v>2.5</v>
      </c>
      <c r="AB298" t="n">
        <v>9.5</v>
      </c>
    </row>
    <row r="299">
      <c r="A299" t="inlineStr">
        <is>
          <t>2026-09-24 13:35:30</t>
        </is>
      </c>
      <c r="B299" t="inlineStr">
        <is>
          <t>MLLB_000_y1.0.3</t>
        </is>
      </c>
      <c r="C299" t="inlineStr">
        <is>
          <t>WHITE</t>
        </is>
      </c>
      <c r="D299" t="inlineStr">
        <is>
          <t>v4_white_MLLB_000_y103_0924</t>
        </is>
      </c>
      <c r="E299" t="n">
        <v>4.2</v>
      </c>
      <c r="F299" t="n">
        <v>4.2</v>
      </c>
      <c r="G299" t="n">
        <v>100</v>
      </c>
      <c r="H299" t="n">
        <v>80</v>
      </c>
      <c r="I299" t="n">
        <v>13</v>
      </c>
      <c r="J299" t="inlineStr">
        <is>
          <t>ince</t>
        </is>
      </c>
      <c r="K299" t="b">
        <v>0</v>
      </c>
      <c r="L299" t="inlineStr">
        <is>
          <t>iki-OK-arasi-monotonluk</t>
        </is>
      </c>
      <c r="X299" t="b">
        <v>1</v>
      </c>
      <c r="Z299" t="n">
        <v>935</v>
      </c>
      <c r="AA299" t="n">
        <v>2.5</v>
      </c>
      <c r="AB299" t="n">
        <v>9.5</v>
      </c>
    </row>
    <row r="300">
      <c r="A300" t="inlineStr">
        <is>
          <t>2026-09-24 13:35:30</t>
        </is>
      </c>
      <c r="B300" t="inlineStr">
        <is>
          <t>MLLB_000_y1.0.3</t>
        </is>
      </c>
      <c r="C300" t="inlineStr">
        <is>
          <t>WHITE</t>
        </is>
      </c>
      <c r="D300" t="inlineStr">
        <is>
          <t>v4_white_MLLB_000_y103_0924</t>
        </is>
      </c>
      <c r="E300" t="n">
        <v>4.2</v>
      </c>
      <c r="F300" t="n">
        <v>4.2</v>
      </c>
      <c r="G300" t="n">
        <v>100</v>
      </c>
      <c r="H300" t="n">
        <v>80</v>
      </c>
      <c r="I300" t="n">
        <v>14</v>
      </c>
      <c r="J300" t="inlineStr">
        <is>
          <t>ince</t>
        </is>
      </c>
      <c r="K300" t="b">
        <v>0</v>
      </c>
      <c r="L300" t="inlineStr">
        <is>
          <t>iki-OK-arasi-monotonluk</t>
        </is>
      </c>
      <c r="X300" t="b">
        <v>1</v>
      </c>
      <c r="Z300" t="n">
        <v>935</v>
      </c>
      <c r="AA300" t="n">
        <v>2.5</v>
      </c>
      <c r="AB300" t="n">
        <v>9.5</v>
      </c>
    </row>
    <row r="301">
      <c r="A301" t="inlineStr">
        <is>
          <t>2026-09-24 13:35:30</t>
        </is>
      </c>
      <c r="B301" t="inlineStr">
        <is>
          <t>MLLB_000_y1.0.3</t>
        </is>
      </c>
      <c r="C301" t="inlineStr">
        <is>
          <t>WHITE</t>
        </is>
      </c>
      <c r="D301" t="inlineStr">
        <is>
          <t>v4_white_MLLB_000_y103_0924</t>
        </is>
      </c>
      <c r="E301" t="n">
        <v>4.2</v>
      </c>
      <c r="F301" t="n">
        <v>4.2</v>
      </c>
      <c r="G301" t="n">
        <v>100</v>
      </c>
      <c r="H301" t="n">
        <v>80</v>
      </c>
      <c r="I301" t="n">
        <v>15</v>
      </c>
      <c r="J301" t="inlineStr">
        <is>
          <t>ince</t>
        </is>
      </c>
      <c r="K301" t="b">
        <v>0</v>
      </c>
      <c r="L301" t="inlineStr">
        <is>
          <t>iki-OK-arasi-monotonluk</t>
        </is>
      </c>
      <c r="X301" t="b">
        <v>1</v>
      </c>
      <c r="Z301" t="n">
        <v>935</v>
      </c>
      <c r="AA301" t="n">
        <v>2.5</v>
      </c>
      <c r="AB301" t="n">
        <v>9.5</v>
      </c>
    </row>
    <row r="302">
      <c r="A302" t="inlineStr">
        <is>
          <t>2026-09-24 13:35:30</t>
        </is>
      </c>
      <c r="B302" t="inlineStr">
        <is>
          <t>MLLB_000_y1.0.3</t>
        </is>
      </c>
      <c r="C302" t="inlineStr">
        <is>
          <t>WHITE</t>
        </is>
      </c>
      <c r="D302" t="inlineStr">
        <is>
          <t>v4_white_MLLB_000_y103_0924</t>
        </is>
      </c>
      <c r="E302" t="n">
        <v>4.2</v>
      </c>
      <c r="F302" t="n">
        <v>4.2</v>
      </c>
      <c r="G302" t="n">
        <v>100</v>
      </c>
      <c r="H302" t="n">
        <v>80</v>
      </c>
      <c r="I302" t="n">
        <v>17</v>
      </c>
      <c r="J302" t="inlineStr">
        <is>
          <t>ince</t>
        </is>
      </c>
      <c r="K302" t="b">
        <v>0</v>
      </c>
      <c r="L302" t="inlineStr">
        <is>
          <t>iki-OK-arasi-monotonluk</t>
        </is>
      </c>
      <c r="X302" t="b">
        <v>1</v>
      </c>
      <c r="Z302" t="n">
        <v>935</v>
      </c>
      <c r="AA302" t="n">
        <v>2.5</v>
      </c>
      <c r="AB302" t="n">
        <v>9.5</v>
      </c>
    </row>
    <row r="303">
      <c r="A303" t="inlineStr">
        <is>
          <t>2026-09-24 13:35:30</t>
        </is>
      </c>
      <c r="B303" t="inlineStr">
        <is>
          <t>MLLB_000_y1.0.3</t>
        </is>
      </c>
      <c r="C303" t="inlineStr">
        <is>
          <t>WHITE</t>
        </is>
      </c>
      <c r="D303" t="inlineStr">
        <is>
          <t>v4_white_MLLB_000_y103_0924</t>
        </is>
      </c>
      <c r="E303" t="n">
        <v>4.2</v>
      </c>
      <c r="F303" t="n">
        <v>4.2</v>
      </c>
      <c r="G303" t="n">
        <v>100</v>
      </c>
      <c r="H303" t="n">
        <v>80</v>
      </c>
      <c r="I303" t="n">
        <v>18</v>
      </c>
      <c r="J303" t="inlineStr">
        <is>
          <t>ince</t>
        </is>
      </c>
      <c r="K303" t="b">
        <v>0</v>
      </c>
      <c r="L303" t="inlineStr">
        <is>
          <t>iki-OK-arasi-monotonluk</t>
        </is>
      </c>
      <c r="X303" t="b">
        <v>1</v>
      </c>
      <c r="Z303" t="n">
        <v>935</v>
      </c>
      <c r="AA303" t="n">
        <v>2.5</v>
      </c>
      <c r="AB303" t="n">
        <v>9.5</v>
      </c>
    </row>
    <row r="304">
      <c r="A304" t="inlineStr">
        <is>
          <t>2026-09-24 13:35:30</t>
        </is>
      </c>
      <c r="B304" t="inlineStr">
        <is>
          <t>MLLB_000_y1.0.3</t>
        </is>
      </c>
      <c r="C304" t="inlineStr">
        <is>
          <t>WHITE</t>
        </is>
      </c>
      <c r="D304" t="inlineStr">
        <is>
          <t>v4_white_MLLB_000_y103_0924</t>
        </is>
      </c>
      <c r="E304" t="n">
        <v>4.2</v>
      </c>
      <c r="F304" t="n">
        <v>4.2</v>
      </c>
      <c r="G304" t="n">
        <v>100</v>
      </c>
      <c r="H304" t="n">
        <v>80</v>
      </c>
      <c r="I304" t="n">
        <v>19</v>
      </c>
      <c r="J304" t="inlineStr">
        <is>
          <t>ince</t>
        </is>
      </c>
      <c r="K304" t="b">
        <v>0</v>
      </c>
      <c r="L304" t="inlineStr">
        <is>
          <t>iki-OK-arasi-monotonluk</t>
        </is>
      </c>
      <c r="X304" t="b">
        <v>1</v>
      </c>
      <c r="Z304" t="n">
        <v>935</v>
      </c>
      <c r="AA304" t="n">
        <v>2.5</v>
      </c>
      <c r="AB304" t="n">
        <v>9.5</v>
      </c>
    </row>
    <row r="305">
      <c r="A305" t="inlineStr">
        <is>
          <t>2026-09-24 13:35:30</t>
        </is>
      </c>
      <c r="B305" t="inlineStr">
        <is>
          <t>MLLB_000_y1.0.3</t>
        </is>
      </c>
      <c r="C305" t="inlineStr">
        <is>
          <t>WHITE</t>
        </is>
      </c>
      <c r="D305" t="inlineStr">
        <is>
          <t>v4_white_MLLB_000_y103_0924</t>
        </is>
      </c>
      <c r="E305" t="n">
        <v>4.2</v>
      </c>
      <c r="F305" t="n">
        <v>4.2</v>
      </c>
      <c r="G305" t="n">
        <v>100</v>
      </c>
      <c r="H305" t="n">
        <v>80</v>
      </c>
      <c r="I305" t="n">
        <v>21</v>
      </c>
      <c r="J305" t="inlineStr">
        <is>
          <t>ince</t>
        </is>
      </c>
      <c r="K305" t="b">
        <v>0</v>
      </c>
      <c r="L305" t="inlineStr">
        <is>
          <t>iki-OK-arasi-monotonluk</t>
        </is>
      </c>
      <c r="X305" t="b">
        <v>1</v>
      </c>
      <c r="Z305" t="n">
        <v>935</v>
      </c>
      <c r="AA305" t="n">
        <v>2.5</v>
      </c>
      <c r="AB305" t="n">
        <v>9.5</v>
      </c>
    </row>
    <row r="306">
      <c r="A306" t="inlineStr">
        <is>
          <t>2026-09-24 13:35:30</t>
        </is>
      </c>
      <c r="B306" t="inlineStr">
        <is>
          <t>MLLB_000_y1.0.3</t>
        </is>
      </c>
      <c r="C306" t="inlineStr">
        <is>
          <t>WHITE</t>
        </is>
      </c>
      <c r="D306" t="inlineStr">
        <is>
          <t>v4_white_MLLB_000_y103_0924</t>
        </is>
      </c>
      <c r="E306" t="n">
        <v>4.2</v>
      </c>
      <c r="F306" t="n">
        <v>4.2</v>
      </c>
      <c r="G306" t="n">
        <v>100</v>
      </c>
      <c r="H306" t="n">
        <v>80</v>
      </c>
      <c r="I306" t="n">
        <v>22</v>
      </c>
      <c r="J306" t="inlineStr">
        <is>
          <t>ince</t>
        </is>
      </c>
      <c r="K306" t="b">
        <v>0</v>
      </c>
      <c r="L306" t="inlineStr">
        <is>
          <t>iki-OK-arasi-monotonluk</t>
        </is>
      </c>
      <c r="X306" t="b">
        <v>1</v>
      </c>
      <c r="Z306" t="n">
        <v>935</v>
      </c>
      <c r="AA306" t="n">
        <v>2.5</v>
      </c>
      <c r="AB306" t="n">
        <v>9.5</v>
      </c>
    </row>
    <row r="307">
      <c r="A307" t="inlineStr">
        <is>
          <t>2026-09-24 13:35:30</t>
        </is>
      </c>
      <c r="B307" t="inlineStr">
        <is>
          <t>MLLB_000_y1.0.3</t>
        </is>
      </c>
      <c r="C307" t="inlineStr">
        <is>
          <t>WHITE</t>
        </is>
      </c>
      <c r="D307" t="inlineStr">
        <is>
          <t>v4_white_MLLB_000_y103_0924</t>
        </is>
      </c>
      <c r="E307" t="n">
        <v>4.2</v>
      </c>
      <c r="F307" t="n">
        <v>4.2</v>
      </c>
      <c r="G307" t="n">
        <v>100</v>
      </c>
      <c r="H307" t="n">
        <v>80</v>
      </c>
      <c r="I307" t="n">
        <v>23</v>
      </c>
      <c r="J307" t="inlineStr">
        <is>
          <t>ince</t>
        </is>
      </c>
      <c r="K307" t="b">
        <v>0</v>
      </c>
      <c r="L307" t="inlineStr">
        <is>
          <t>iki-OK-arasi-monotonluk</t>
        </is>
      </c>
      <c r="X307" t="b">
        <v>1</v>
      </c>
      <c r="Z307" t="n">
        <v>935</v>
      </c>
      <c r="AA307" t="n">
        <v>2.5</v>
      </c>
      <c r="AB307" t="n">
        <v>9.5</v>
      </c>
    </row>
    <row r="308">
      <c r="A308" t="inlineStr">
        <is>
          <t>2026-09-24 13:35:30</t>
        </is>
      </c>
      <c r="B308" t="inlineStr">
        <is>
          <t>MLLB_000_y1.0.3</t>
        </is>
      </c>
      <c r="C308" t="inlineStr">
        <is>
          <t>WHITE</t>
        </is>
      </c>
      <c r="D308" t="inlineStr">
        <is>
          <t>v4_white_MLLB_000_y103_0924</t>
        </is>
      </c>
      <c r="E308" t="n">
        <v>4.2</v>
      </c>
      <c r="F308" t="n">
        <v>4.2</v>
      </c>
      <c r="G308" t="n">
        <v>100</v>
      </c>
      <c r="H308" t="n">
        <v>80</v>
      </c>
      <c r="I308" t="n">
        <v>25</v>
      </c>
      <c r="J308" t="inlineStr">
        <is>
          <t>ince</t>
        </is>
      </c>
      <c r="K308" t="b">
        <v>0</v>
      </c>
      <c r="L308" t="inlineStr">
        <is>
          <t>iki-OK-arasi-monotonluk</t>
        </is>
      </c>
      <c r="X308" t="b">
        <v>1</v>
      </c>
      <c r="Z308" t="n">
        <v>935</v>
      </c>
      <c r="AA308" t="n">
        <v>2.5</v>
      </c>
      <c r="AB308" t="n">
        <v>9.5</v>
      </c>
    </row>
    <row r="309">
      <c r="A309" t="inlineStr">
        <is>
          <t>2026-09-24 13:35:30</t>
        </is>
      </c>
      <c r="B309" t="inlineStr">
        <is>
          <t>MLLB_000_y1.0.3</t>
        </is>
      </c>
      <c r="C309" t="inlineStr">
        <is>
          <t>WHITE</t>
        </is>
      </c>
      <c r="D309" t="inlineStr">
        <is>
          <t>v4_white_MLLB_000_y103_0924</t>
        </is>
      </c>
      <c r="E309" t="n">
        <v>4.2</v>
      </c>
      <c r="F309" t="n">
        <v>4.2</v>
      </c>
      <c r="G309" t="n">
        <v>100</v>
      </c>
      <c r="H309" t="n">
        <v>80</v>
      </c>
      <c r="I309" t="n">
        <v>26</v>
      </c>
      <c r="J309" t="inlineStr">
        <is>
          <t>ince</t>
        </is>
      </c>
      <c r="K309" t="b">
        <v>0</v>
      </c>
      <c r="L309" t="inlineStr">
        <is>
          <t>iki-OK-arasi-monotonluk</t>
        </is>
      </c>
      <c r="X309" t="b">
        <v>1</v>
      </c>
      <c r="Z309" t="n">
        <v>935</v>
      </c>
      <c r="AA309" t="n">
        <v>2.5</v>
      </c>
      <c r="AB309" t="n">
        <v>9.5</v>
      </c>
    </row>
    <row r="310">
      <c r="A310" t="inlineStr">
        <is>
          <t>2026-09-24 13:35:30</t>
        </is>
      </c>
      <c r="B310" t="inlineStr">
        <is>
          <t>MLLB_000_y1.0.3</t>
        </is>
      </c>
      <c r="C310" t="inlineStr">
        <is>
          <t>WHITE</t>
        </is>
      </c>
      <c r="D310" t="inlineStr">
        <is>
          <t>v4_white_MLLB_000_y103_0924</t>
        </is>
      </c>
      <c r="E310" t="n">
        <v>4.2</v>
      </c>
      <c r="F310" t="n">
        <v>4.2</v>
      </c>
      <c r="G310" t="n">
        <v>100</v>
      </c>
      <c r="H310" t="n">
        <v>80</v>
      </c>
      <c r="I310" t="n">
        <v>27</v>
      </c>
      <c r="J310" t="inlineStr">
        <is>
          <t>ince</t>
        </is>
      </c>
      <c r="K310" t="b">
        <v>0</v>
      </c>
      <c r="L310" t="inlineStr">
        <is>
          <t>iki-OK-arasi-monotonluk</t>
        </is>
      </c>
      <c r="X310" t="b">
        <v>1</v>
      </c>
      <c r="Z310" t="n">
        <v>935</v>
      </c>
      <c r="AA310" t="n">
        <v>2.5</v>
      </c>
      <c r="AB310" t="n">
        <v>9.5</v>
      </c>
    </row>
    <row r="311">
      <c r="A311" t="inlineStr">
        <is>
          <t>2026-09-24 13:35:30</t>
        </is>
      </c>
      <c r="B311" t="inlineStr">
        <is>
          <t>MLLB_000_y1.0.3</t>
        </is>
      </c>
      <c r="C311" t="inlineStr">
        <is>
          <t>WHITE</t>
        </is>
      </c>
      <c r="D311" t="inlineStr">
        <is>
          <t>v4_white_MLLB_000_y103_0924</t>
        </is>
      </c>
      <c r="E311" t="n">
        <v>4.2</v>
      </c>
      <c r="F311" t="n">
        <v>4.2</v>
      </c>
      <c r="G311" t="n">
        <v>100</v>
      </c>
      <c r="H311" t="n">
        <v>80</v>
      </c>
      <c r="I311" t="n">
        <v>29</v>
      </c>
      <c r="J311" t="inlineStr">
        <is>
          <t>ince</t>
        </is>
      </c>
      <c r="K311" t="b">
        <v>0</v>
      </c>
      <c r="L311" t="inlineStr">
        <is>
          <t>iki-OK-arasi-monotonluk</t>
        </is>
      </c>
      <c r="X311" t="b">
        <v>1</v>
      </c>
      <c r="Z311" t="n">
        <v>935</v>
      </c>
      <c r="AA311" t="n">
        <v>2.5</v>
      </c>
      <c r="AB311" t="n">
        <v>9.5</v>
      </c>
    </row>
    <row r="312">
      <c r="A312" t="inlineStr">
        <is>
          <t>2026-09-24 13:35:30</t>
        </is>
      </c>
      <c r="B312" t="inlineStr">
        <is>
          <t>MLLB_000_y1.0.3</t>
        </is>
      </c>
      <c r="C312" t="inlineStr">
        <is>
          <t>WHITE</t>
        </is>
      </c>
      <c r="D312" t="inlineStr">
        <is>
          <t>v4_white_MLLB_000_y103_0924</t>
        </is>
      </c>
      <c r="E312" t="n">
        <v>4.2</v>
      </c>
      <c r="F312" t="n">
        <v>4.2</v>
      </c>
      <c r="G312" t="n">
        <v>100</v>
      </c>
      <c r="H312" t="n">
        <v>80</v>
      </c>
      <c r="I312" t="n">
        <v>30</v>
      </c>
      <c r="J312" t="inlineStr">
        <is>
          <t>ince</t>
        </is>
      </c>
      <c r="K312" t="b">
        <v>0</v>
      </c>
      <c r="L312" t="inlineStr">
        <is>
          <t>iki-OK-arasi-monotonluk</t>
        </is>
      </c>
      <c r="X312" t="b">
        <v>1</v>
      </c>
      <c r="Z312" t="n">
        <v>935</v>
      </c>
      <c r="AA312" t="n">
        <v>2.5</v>
      </c>
      <c r="AB312" t="n">
        <v>9.5</v>
      </c>
    </row>
    <row r="313">
      <c r="A313" t="inlineStr">
        <is>
          <t>2026-09-24 13:35:30</t>
        </is>
      </c>
      <c r="B313" t="inlineStr">
        <is>
          <t>MLLB_000_y1.0.3</t>
        </is>
      </c>
      <c r="C313" t="inlineStr">
        <is>
          <t>WHITE</t>
        </is>
      </c>
      <c r="D313" t="inlineStr">
        <is>
          <t>v4_white_MLLB_000_y103_0924</t>
        </is>
      </c>
      <c r="E313" t="n">
        <v>4.2</v>
      </c>
      <c r="F313" t="n">
        <v>4.2</v>
      </c>
      <c r="G313" t="n">
        <v>100</v>
      </c>
      <c r="H313" t="n">
        <v>80</v>
      </c>
      <c r="I313" t="n">
        <v>31</v>
      </c>
      <c r="J313" t="inlineStr">
        <is>
          <t>ince</t>
        </is>
      </c>
      <c r="K313" t="b">
        <v>0</v>
      </c>
      <c r="L313" t="inlineStr">
        <is>
          <t>iki-OK-arasi-monotonluk</t>
        </is>
      </c>
      <c r="X313" t="b">
        <v>1</v>
      </c>
      <c r="Z313" t="n">
        <v>935</v>
      </c>
      <c r="AA313" t="n">
        <v>2.5</v>
      </c>
      <c r="AB313" t="n">
        <v>9.5</v>
      </c>
    </row>
    <row r="314">
      <c r="A314" t="inlineStr">
        <is>
          <t>2026-09-24 13:35:30</t>
        </is>
      </c>
      <c r="B314" t="inlineStr">
        <is>
          <t>MLLB_000_y1.0.3</t>
        </is>
      </c>
      <c r="C314" t="inlineStr">
        <is>
          <t>WHITE</t>
        </is>
      </c>
      <c r="D314" t="inlineStr">
        <is>
          <t>v4_white_MLLB_000_y103_0924</t>
        </is>
      </c>
      <c r="E314" t="n">
        <v>4.2</v>
      </c>
      <c r="F314" t="n">
        <v>4.2</v>
      </c>
      <c r="G314" t="n">
        <v>100</v>
      </c>
      <c r="H314" t="n">
        <v>80</v>
      </c>
      <c r="I314" t="n">
        <v>33</v>
      </c>
      <c r="J314" t="inlineStr">
        <is>
          <t>ince</t>
        </is>
      </c>
      <c r="K314" t="b">
        <v>0</v>
      </c>
      <c r="L314" t="inlineStr">
        <is>
          <t>iki-OK-arasi-monotonluk</t>
        </is>
      </c>
      <c r="X314" t="b">
        <v>1</v>
      </c>
      <c r="Z314" t="n">
        <v>935</v>
      </c>
      <c r="AA314" t="n">
        <v>2.5</v>
      </c>
      <c r="AB314" t="n">
        <v>9.5</v>
      </c>
    </row>
    <row r="315">
      <c r="A315" t="inlineStr">
        <is>
          <t>2026-09-24 13:35:30</t>
        </is>
      </c>
      <c r="B315" t="inlineStr">
        <is>
          <t>MLLB_000_y1.0.3</t>
        </is>
      </c>
      <c r="C315" t="inlineStr">
        <is>
          <t>WHITE</t>
        </is>
      </c>
      <c r="D315" t="inlineStr">
        <is>
          <t>v4_white_MLLB_000_y103_0924</t>
        </is>
      </c>
      <c r="E315" t="n">
        <v>4.2</v>
      </c>
      <c r="F315" t="n">
        <v>4.2</v>
      </c>
      <c r="G315" t="n">
        <v>100</v>
      </c>
      <c r="H315" t="n">
        <v>80</v>
      </c>
      <c r="I315" t="n">
        <v>34</v>
      </c>
      <c r="J315" t="inlineStr">
        <is>
          <t>ince</t>
        </is>
      </c>
      <c r="K315" t="b">
        <v>0</v>
      </c>
      <c r="L315" t="inlineStr">
        <is>
          <t>iki-OK-arasi-monotonluk</t>
        </is>
      </c>
      <c r="X315" t="b">
        <v>1</v>
      </c>
      <c r="Z315" t="n">
        <v>935</v>
      </c>
      <c r="AA315" t="n">
        <v>2.5</v>
      </c>
      <c r="AB315" t="n">
        <v>9.5</v>
      </c>
    </row>
    <row r="316">
      <c r="A316" t="inlineStr">
        <is>
          <t>2026-09-24 13:35:30</t>
        </is>
      </c>
      <c r="B316" t="inlineStr">
        <is>
          <t>MLLB_000_y1.0.3</t>
        </is>
      </c>
      <c r="C316" t="inlineStr">
        <is>
          <t>WHITE</t>
        </is>
      </c>
      <c r="D316" t="inlineStr">
        <is>
          <t>v4_white_MLLB_000_y103_0924</t>
        </is>
      </c>
      <c r="E316" t="n">
        <v>4.2</v>
      </c>
      <c r="F316" t="n">
        <v>4.2</v>
      </c>
      <c r="G316" t="n">
        <v>100</v>
      </c>
      <c r="H316" t="n">
        <v>80</v>
      </c>
      <c r="I316" t="n">
        <v>35</v>
      </c>
      <c r="J316" t="inlineStr">
        <is>
          <t>ince</t>
        </is>
      </c>
      <c r="K316" t="b">
        <v>0</v>
      </c>
      <c r="L316" t="inlineStr">
        <is>
          <t>iki-OK-arasi-monotonluk</t>
        </is>
      </c>
      <c r="X316" t="b">
        <v>1</v>
      </c>
      <c r="Z316" t="n">
        <v>935</v>
      </c>
      <c r="AA316" t="n">
        <v>2.5</v>
      </c>
      <c r="AB316" t="n">
        <v>9.5</v>
      </c>
    </row>
    <row r="317">
      <c r="A317" t="inlineStr">
        <is>
          <t>2026-09-24 13:35:30</t>
        </is>
      </c>
      <c r="B317" t="inlineStr">
        <is>
          <t>MLLB_000_y1.0.3</t>
        </is>
      </c>
      <c r="C317" t="inlineStr">
        <is>
          <t>WHITE</t>
        </is>
      </c>
      <c r="D317" t="inlineStr">
        <is>
          <t>v4_white_MLLB_000_y103_0924</t>
        </is>
      </c>
      <c r="E317" t="n">
        <v>4.2</v>
      </c>
      <c r="F317" t="n">
        <v>4.2</v>
      </c>
      <c r="G317" t="n">
        <v>100</v>
      </c>
      <c r="H317" t="n">
        <v>80</v>
      </c>
      <c r="I317" t="n">
        <v>37</v>
      </c>
      <c r="J317" t="inlineStr">
        <is>
          <t>ince</t>
        </is>
      </c>
      <c r="K317" t="b">
        <v>0</v>
      </c>
      <c r="L317" t="inlineStr">
        <is>
          <t>iki-OK-arasi-monotonluk</t>
        </is>
      </c>
      <c r="X317" t="b">
        <v>1</v>
      </c>
      <c r="Z317" t="n">
        <v>935</v>
      </c>
      <c r="AA317" t="n">
        <v>2.5</v>
      </c>
      <c r="AB317" t="n">
        <v>9.5</v>
      </c>
    </row>
    <row r="318">
      <c r="A318" t="inlineStr">
        <is>
          <t>2026-09-24 13:35:30</t>
        </is>
      </c>
      <c r="B318" t="inlineStr">
        <is>
          <t>MLLB_000_y1.0.3</t>
        </is>
      </c>
      <c r="C318" t="inlineStr">
        <is>
          <t>WHITE</t>
        </is>
      </c>
      <c r="D318" t="inlineStr">
        <is>
          <t>v4_white_MLLB_000_y103_0924</t>
        </is>
      </c>
      <c r="E318" t="n">
        <v>4.2</v>
      </c>
      <c r="F318" t="n">
        <v>4.2</v>
      </c>
      <c r="G318" t="n">
        <v>100</v>
      </c>
      <c r="H318" t="n">
        <v>80</v>
      </c>
      <c r="I318" t="n">
        <v>38</v>
      </c>
      <c r="J318" t="inlineStr">
        <is>
          <t>ince</t>
        </is>
      </c>
      <c r="K318" t="b">
        <v>0</v>
      </c>
      <c r="L318" t="inlineStr">
        <is>
          <t>iki-OK-arasi-monotonluk</t>
        </is>
      </c>
      <c r="X318" t="b">
        <v>1</v>
      </c>
      <c r="Z318" t="n">
        <v>935</v>
      </c>
      <c r="AA318" t="n">
        <v>2.5</v>
      </c>
      <c r="AB318" t="n">
        <v>9.5</v>
      </c>
    </row>
    <row r="319">
      <c r="A319" t="inlineStr">
        <is>
          <t>2026-09-24 13:35:30</t>
        </is>
      </c>
      <c r="B319" t="inlineStr">
        <is>
          <t>MLLB_000_y1.0.3</t>
        </is>
      </c>
      <c r="C319" t="inlineStr">
        <is>
          <t>WHITE</t>
        </is>
      </c>
      <c r="D319" t="inlineStr">
        <is>
          <t>v4_white_MLLB_000_y103_0924</t>
        </is>
      </c>
      <c r="E319" t="n">
        <v>4.2</v>
      </c>
      <c r="F319" t="n">
        <v>4.2</v>
      </c>
      <c r="G319" t="n">
        <v>100</v>
      </c>
      <c r="H319" t="n">
        <v>80</v>
      </c>
      <c r="I319" t="n">
        <v>39</v>
      </c>
      <c r="J319" t="inlineStr">
        <is>
          <t>ince</t>
        </is>
      </c>
      <c r="K319" t="b">
        <v>0</v>
      </c>
      <c r="L319" t="inlineStr">
        <is>
          <t>iki-OK-arasi-monotonluk</t>
        </is>
      </c>
      <c r="X319" t="b">
        <v>1</v>
      </c>
      <c r="Z319" t="n">
        <v>935</v>
      </c>
      <c r="AA319" t="n">
        <v>2.5</v>
      </c>
      <c r="AB319" t="n">
        <v>9.5</v>
      </c>
    </row>
    <row r="320">
      <c r="A320" t="inlineStr">
        <is>
          <t>2026-09-24 13:35:30</t>
        </is>
      </c>
      <c r="B320" t="inlineStr">
        <is>
          <t>MLLB_000_y1.0.3</t>
        </is>
      </c>
      <c r="C320" t="inlineStr">
        <is>
          <t>WHITE</t>
        </is>
      </c>
      <c r="D320" t="inlineStr">
        <is>
          <t>v4_white_MLLB_000_y103_0924</t>
        </is>
      </c>
      <c r="E320" t="n">
        <v>4.2</v>
      </c>
      <c r="F320" t="n">
        <v>4.2</v>
      </c>
      <c r="G320" t="n">
        <v>100</v>
      </c>
      <c r="H320" t="n">
        <v>80</v>
      </c>
      <c r="I320" t="n">
        <v>41</v>
      </c>
      <c r="J320" t="inlineStr">
        <is>
          <t>ince</t>
        </is>
      </c>
      <c r="K320" t="b">
        <v>0</v>
      </c>
      <c r="L320" t="inlineStr">
        <is>
          <t>iki-OK-arasi-monotonluk</t>
        </is>
      </c>
      <c r="X320" t="b">
        <v>1</v>
      </c>
      <c r="Z320" t="n">
        <v>935</v>
      </c>
      <c r="AA320" t="n">
        <v>2.5</v>
      </c>
      <c r="AB320" t="n">
        <v>9.5</v>
      </c>
    </row>
    <row r="321">
      <c r="A321" t="inlineStr">
        <is>
          <t>2026-09-24 13:35:30</t>
        </is>
      </c>
      <c r="B321" t="inlineStr">
        <is>
          <t>MLLB_000_y1.0.3</t>
        </is>
      </c>
      <c r="C321" t="inlineStr">
        <is>
          <t>WHITE</t>
        </is>
      </c>
      <c r="D321" t="inlineStr">
        <is>
          <t>v4_white_MLLB_000_y103_0924</t>
        </is>
      </c>
      <c r="E321" t="n">
        <v>4.2</v>
      </c>
      <c r="F321" t="n">
        <v>4.2</v>
      </c>
      <c r="G321" t="n">
        <v>100</v>
      </c>
      <c r="H321" t="n">
        <v>80</v>
      </c>
      <c r="I321" t="n">
        <v>42</v>
      </c>
      <c r="J321" t="inlineStr">
        <is>
          <t>ince</t>
        </is>
      </c>
      <c r="K321" t="b">
        <v>0</v>
      </c>
      <c r="L321" t="inlineStr">
        <is>
          <t>iki-OK-arasi-monotonluk</t>
        </is>
      </c>
      <c r="X321" t="b">
        <v>1</v>
      </c>
      <c r="Z321" t="n">
        <v>935</v>
      </c>
      <c r="AA321" t="n">
        <v>2.5</v>
      </c>
      <c r="AB321" t="n">
        <v>9.5</v>
      </c>
    </row>
    <row r="322">
      <c r="A322" t="inlineStr">
        <is>
          <t>2026-09-24 13:35:30</t>
        </is>
      </c>
      <c r="B322" t="inlineStr">
        <is>
          <t>MLLB_000_y1.0.3</t>
        </is>
      </c>
      <c r="C322" t="inlineStr">
        <is>
          <t>WHITE</t>
        </is>
      </c>
      <c r="D322" t="inlineStr">
        <is>
          <t>v4_white_MLLB_000_y103_0924</t>
        </is>
      </c>
      <c r="E322" t="n">
        <v>4.2</v>
      </c>
      <c r="F322" t="n">
        <v>4.2</v>
      </c>
      <c r="G322" t="n">
        <v>100</v>
      </c>
      <c r="H322" t="n">
        <v>80</v>
      </c>
      <c r="I322" t="n">
        <v>43</v>
      </c>
      <c r="J322" t="inlineStr">
        <is>
          <t>ince</t>
        </is>
      </c>
      <c r="K322" t="b">
        <v>0</v>
      </c>
      <c r="L322" t="inlineStr">
        <is>
          <t>iki-OK-arasi-monotonluk</t>
        </is>
      </c>
      <c r="X322" t="b">
        <v>1</v>
      </c>
      <c r="Z322" t="n">
        <v>935</v>
      </c>
      <c r="AA322" t="n">
        <v>2.5</v>
      </c>
      <c r="AB322" t="n">
        <v>9.5</v>
      </c>
    </row>
    <row r="323">
      <c r="A323" t="inlineStr">
        <is>
          <t>2026-09-24 13:35:30</t>
        </is>
      </c>
      <c r="B323" t="inlineStr">
        <is>
          <t>MLLB_000_y1.0.3</t>
        </is>
      </c>
      <c r="C323" t="inlineStr">
        <is>
          <t>WHITE</t>
        </is>
      </c>
      <c r="D323" t="inlineStr">
        <is>
          <t>v4_white_MLLB_000_y103_0924</t>
        </is>
      </c>
      <c r="E323" t="n">
        <v>4.2</v>
      </c>
      <c r="F323" t="n">
        <v>4.2</v>
      </c>
      <c r="G323" t="n">
        <v>100</v>
      </c>
      <c r="H323" t="n">
        <v>80</v>
      </c>
      <c r="I323" t="n">
        <v>45</v>
      </c>
      <c r="J323" t="inlineStr">
        <is>
          <t>ince</t>
        </is>
      </c>
      <c r="K323" t="b">
        <v>0</v>
      </c>
      <c r="L323" t="inlineStr">
        <is>
          <t>iki-OK-arasi-monotonluk</t>
        </is>
      </c>
      <c r="X323" t="b">
        <v>1</v>
      </c>
      <c r="Z323" t="n">
        <v>935</v>
      </c>
      <c r="AA323" t="n">
        <v>2.5</v>
      </c>
      <c r="AB323" t="n">
        <v>9.5</v>
      </c>
    </row>
    <row r="324">
      <c r="A324" t="inlineStr">
        <is>
          <t>2026-09-24 13:35:30</t>
        </is>
      </c>
      <c r="B324" t="inlineStr">
        <is>
          <t>MLLB_000_y1.0.3</t>
        </is>
      </c>
      <c r="C324" t="inlineStr">
        <is>
          <t>WHITE</t>
        </is>
      </c>
      <c r="D324" t="inlineStr">
        <is>
          <t>v4_white_MLLB_000_y103_0924</t>
        </is>
      </c>
      <c r="E324" t="n">
        <v>4.2</v>
      </c>
      <c r="F324" t="n">
        <v>4.2</v>
      </c>
      <c r="G324" t="n">
        <v>100</v>
      </c>
      <c r="H324" t="n">
        <v>80</v>
      </c>
      <c r="I324" t="n">
        <v>46</v>
      </c>
      <c r="J324" t="inlineStr">
        <is>
          <t>ince</t>
        </is>
      </c>
      <c r="K324" t="b">
        <v>0</v>
      </c>
      <c r="L324" t="inlineStr">
        <is>
          <t>iki-OK-arasi-monotonluk</t>
        </is>
      </c>
      <c r="X324" t="b">
        <v>1</v>
      </c>
      <c r="Z324" t="n">
        <v>935</v>
      </c>
      <c r="AA324" t="n">
        <v>2.5</v>
      </c>
      <c r="AB324" t="n">
        <v>9.5</v>
      </c>
    </row>
    <row r="325">
      <c r="A325" t="inlineStr">
        <is>
          <t>2026-09-24 13:35:30</t>
        </is>
      </c>
      <c r="B325" t="inlineStr">
        <is>
          <t>MLLB_000_y1.0.3</t>
        </is>
      </c>
      <c r="C325" t="inlineStr">
        <is>
          <t>WHITE</t>
        </is>
      </c>
      <c r="D325" t="inlineStr">
        <is>
          <t>v4_white_MLLB_000_y103_0924</t>
        </is>
      </c>
      <c r="E325" t="n">
        <v>4.2</v>
      </c>
      <c r="F325" t="n">
        <v>4.2</v>
      </c>
      <c r="G325" t="n">
        <v>100</v>
      </c>
      <c r="H325" t="n">
        <v>80</v>
      </c>
      <c r="I325" t="n">
        <v>47</v>
      </c>
      <c r="J325" t="inlineStr">
        <is>
          <t>ince</t>
        </is>
      </c>
      <c r="K325" t="b">
        <v>0</v>
      </c>
      <c r="L325" t="inlineStr">
        <is>
          <t>iki-OK-arasi-monotonluk</t>
        </is>
      </c>
      <c r="X325" t="b">
        <v>1</v>
      </c>
      <c r="Z325" t="n">
        <v>935</v>
      </c>
      <c r="AA325" t="n">
        <v>2.5</v>
      </c>
      <c r="AB325" t="n">
        <v>9.5</v>
      </c>
    </row>
    <row r="326">
      <c r="A326" t="inlineStr">
        <is>
          <t>2026-09-24 13:35:30</t>
        </is>
      </c>
      <c r="B326" t="inlineStr">
        <is>
          <t>MLLB_000_y1.0.3</t>
        </is>
      </c>
      <c r="C326" t="inlineStr">
        <is>
          <t>WHITE</t>
        </is>
      </c>
      <c r="D326" t="inlineStr">
        <is>
          <t>v4_white_MLLB_000_y103_0924</t>
        </is>
      </c>
      <c r="E326" t="n">
        <v>4.2</v>
      </c>
      <c r="F326" t="n">
        <v>4.2</v>
      </c>
      <c r="G326" t="n">
        <v>100</v>
      </c>
      <c r="H326" t="n">
        <v>80</v>
      </c>
      <c r="I326" t="n">
        <v>49</v>
      </c>
      <c r="J326" t="inlineStr">
        <is>
          <t>ince</t>
        </is>
      </c>
      <c r="K326" t="b">
        <v>0</v>
      </c>
      <c r="L326" t="inlineStr">
        <is>
          <t>iki-OK-arasi-monotonluk</t>
        </is>
      </c>
      <c r="X326" t="b">
        <v>1</v>
      </c>
      <c r="Z326" t="n">
        <v>935</v>
      </c>
      <c r="AA326" t="n">
        <v>2.5</v>
      </c>
      <c r="AB326" t="n">
        <v>9.5</v>
      </c>
    </row>
    <row r="327">
      <c r="A327" t="inlineStr">
        <is>
          <t>2026-09-24 13:35:30</t>
        </is>
      </c>
      <c r="B327" t="inlineStr">
        <is>
          <t>MLLB_000_y1.0.3</t>
        </is>
      </c>
      <c r="C327" t="inlineStr">
        <is>
          <t>WHITE</t>
        </is>
      </c>
      <c r="D327" t="inlineStr">
        <is>
          <t>v4_white_MLLB_000_y103_0924</t>
        </is>
      </c>
      <c r="E327" t="n">
        <v>4.2</v>
      </c>
      <c r="F327" t="n">
        <v>4.2</v>
      </c>
      <c r="G327" t="n">
        <v>100</v>
      </c>
      <c r="H327" t="n">
        <v>80</v>
      </c>
      <c r="I327" t="n">
        <v>50</v>
      </c>
      <c r="J327" t="inlineStr">
        <is>
          <t>ince</t>
        </is>
      </c>
      <c r="K327" t="b">
        <v>0</v>
      </c>
      <c r="L327" t="inlineStr">
        <is>
          <t>iki-OK-arasi-monotonluk</t>
        </is>
      </c>
      <c r="X327" t="b">
        <v>1</v>
      </c>
      <c r="Z327" t="n">
        <v>935</v>
      </c>
      <c r="AA327" t="n">
        <v>2.5</v>
      </c>
      <c r="AB327" t="n">
        <v>9.5</v>
      </c>
    </row>
    <row r="328">
      <c r="A328" t="inlineStr">
        <is>
          <t>2026-09-24 13:35:30</t>
        </is>
      </c>
      <c r="B328" t="inlineStr">
        <is>
          <t>MLLB_000_y1.0.3</t>
        </is>
      </c>
      <c r="C328" t="inlineStr">
        <is>
          <t>WHITE</t>
        </is>
      </c>
      <c r="D328" t="inlineStr">
        <is>
          <t>v4_white_MLLB_000_y103_0924</t>
        </is>
      </c>
      <c r="E328" t="n">
        <v>4.2</v>
      </c>
      <c r="F328" t="n">
        <v>4.2</v>
      </c>
      <c r="G328" t="n">
        <v>100</v>
      </c>
      <c r="H328" t="n">
        <v>80</v>
      </c>
      <c r="I328" t="n">
        <v>51</v>
      </c>
      <c r="J328" t="inlineStr">
        <is>
          <t>ince</t>
        </is>
      </c>
      <c r="K328" t="b">
        <v>0</v>
      </c>
      <c r="L328" t="inlineStr">
        <is>
          <t>iki-OK-arasi-monotonluk</t>
        </is>
      </c>
      <c r="X328" t="b">
        <v>1</v>
      </c>
      <c r="Z328" t="n">
        <v>935</v>
      </c>
      <c r="AA328" t="n">
        <v>2.5</v>
      </c>
      <c r="AB328" t="n">
        <v>9.5</v>
      </c>
    </row>
    <row r="329">
      <c r="A329" t="inlineStr">
        <is>
          <t>2026-09-24 13:35:30</t>
        </is>
      </c>
      <c r="B329" t="inlineStr">
        <is>
          <t>MLLB_000_y1.0.3</t>
        </is>
      </c>
      <c r="C329" t="inlineStr">
        <is>
          <t>WHITE</t>
        </is>
      </c>
      <c r="D329" t="inlineStr">
        <is>
          <t>v4_white_MLLB_000_y103_0924</t>
        </is>
      </c>
      <c r="E329" t="n">
        <v>4.2</v>
      </c>
      <c r="F329" t="n">
        <v>4.2</v>
      </c>
      <c r="G329" t="n">
        <v>100</v>
      </c>
      <c r="H329" t="n">
        <v>80</v>
      </c>
      <c r="I329" t="n">
        <v>53</v>
      </c>
      <c r="J329" t="inlineStr">
        <is>
          <t>ince</t>
        </is>
      </c>
      <c r="K329" t="b">
        <v>0</v>
      </c>
      <c r="L329" t="inlineStr">
        <is>
          <t>iki-OK-arasi-monotonluk</t>
        </is>
      </c>
      <c r="X329" t="b">
        <v>1</v>
      </c>
      <c r="Z329" t="n">
        <v>935</v>
      </c>
      <c r="AA329" t="n">
        <v>2.5</v>
      </c>
      <c r="AB329" t="n">
        <v>9.5</v>
      </c>
    </row>
    <row r="330">
      <c r="A330" t="inlineStr">
        <is>
          <t>2026-09-24 13:35:30</t>
        </is>
      </c>
      <c r="B330" t="inlineStr">
        <is>
          <t>MLLB_000_y1.0.3</t>
        </is>
      </c>
      <c r="C330" t="inlineStr">
        <is>
          <t>WHITE</t>
        </is>
      </c>
      <c r="D330" t="inlineStr">
        <is>
          <t>v4_white_MLLB_000_y103_0924</t>
        </is>
      </c>
      <c r="E330" t="n">
        <v>4.2</v>
      </c>
      <c r="F330" t="n">
        <v>4.2</v>
      </c>
      <c r="G330" t="n">
        <v>100</v>
      </c>
      <c r="H330" t="n">
        <v>80</v>
      </c>
      <c r="I330" t="n">
        <v>54</v>
      </c>
      <c r="J330" t="inlineStr">
        <is>
          <t>ince</t>
        </is>
      </c>
      <c r="K330" t="b">
        <v>0</v>
      </c>
      <c r="L330" t="inlineStr">
        <is>
          <t>iki-OK-arasi-monotonluk</t>
        </is>
      </c>
      <c r="X330" t="b">
        <v>1</v>
      </c>
      <c r="Z330" t="n">
        <v>935</v>
      </c>
      <c r="AA330" t="n">
        <v>2.5</v>
      </c>
      <c r="AB330" t="n">
        <v>9.5</v>
      </c>
    </row>
    <row r="331">
      <c r="A331" t="inlineStr">
        <is>
          <t>2026-09-24 13:35:30</t>
        </is>
      </c>
      <c r="B331" t="inlineStr">
        <is>
          <t>MLLB_000_y1.0.3</t>
        </is>
      </c>
      <c r="C331" t="inlineStr">
        <is>
          <t>WHITE</t>
        </is>
      </c>
      <c r="D331" t="inlineStr">
        <is>
          <t>v4_white_MLLB_000_y103_0924</t>
        </is>
      </c>
      <c r="E331" t="n">
        <v>4.2</v>
      </c>
      <c r="F331" t="n">
        <v>4.2</v>
      </c>
      <c r="G331" t="n">
        <v>100</v>
      </c>
      <c r="H331" t="n">
        <v>80</v>
      </c>
      <c r="I331" t="n">
        <v>55</v>
      </c>
      <c r="J331" t="inlineStr">
        <is>
          <t>ince</t>
        </is>
      </c>
      <c r="K331" t="b">
        <v>0</v>
      </c>
      <c r="L331" t="inlineStr">
        <is>
          <t>iki-OK-arasi-monotonluk</t>
        </is>
      </c>
      <c r="X331" t="b">
        <v>1</v>
      </c>
      <c r="Z331" t="n">
        <v>935</v>
      </c>
      <c r="AA331" t="n">
        <v>2.5</v>
      </c>
      <c r="AB331" t="n">
        <v>9.5</v>
      </c>
    </row>
    <row r="332">
      <c r="A332" t="inlineStr">
        <is>
          <t>2026-09-24 13:35:30</t>
        </is>
      </c>
      <c r="B332" t="inlineStr">
        <is>
          <t>MLLB_000_y1.0.3</t>
        </is>
      </c>
      <c r="C332" t="inlineStr">
        <is>
          <t>WHITE</t>
        </is>
      </c>
      <c r="D332" t="inlineStr">
        <is>
          <t>v4_white_MLLB_000_y103_0924</t>
        </is>
      </c>
      <c r="E332" t="n">
        <v>4.2</v>
      </c>
      <c r="F332" t="n">
        <v>4.2</v>
      </c>
      <c r="G332" t="n">
        <v>100</v>
      </c>
      <c r="H332" t="n">
        <v>80</v>
      </c>
      <c r="I332" t="n">
        <v>57</v>
      </c>
      <c r="J332" t="inlineStr">
        <is>
          <t>ince</t>
        </is>
      </c>
      <c r="K332" t="b">
        <v>0</v>
      </c>
      <c r="L332" t="inlineStr">
        <is>
          <t>iki-OK-arasi-monotonluk</t>
        </is>
      </c>
      <c r="X332" t="b">
        <v>1</v>
      </c>
      <c r="Z332" t="n">
        <v>935</v>
      </c>
      <c r="AA332" t="n">
        <v>2.5</v>
      </c>
      <c r="AB332" t="n">
        <v>9.5</v>
      </c>
    </row>
    <row r="333">
      <c r="A333" t="inlineStr">
        <is>
          <t>2026-09-24 13:35:30</t>
        </is>
      </c>
      <c r="B333" t="inlineStr">
        <is>
          <t>MLLB_000_y1.0.3</t>
        </is>
      </c>
      <c r="C333" t="inlineStr">
        <is>
          <t>WHITE</t>
        </is>
      </c>
      <c r="D333" t="inlineStr">
        <is>
          <t>v4_white_MLLB_000_y103_0924</t>
        </is>
      </c>
      <c r="E333" t="n">
        <v>4.2</v>
      </c>
      <c r="F333" t="n">
        <v>4.2</v>
      </c>
      <c r="G333" t="n">
        <v>100</v>
      </c>
      <c r="H333" t="n">
        <v>80</v>
      </c>
      <c r="J333" t="inlineStr">
        <is>
          <t>bitti</t>
        </is>
      </c>
      <c r="K333" t="b">
        <v>0</v>
      </c>
      <c r="Z333" t="n">
        <v>935</v>
      </c>
      <c r="AA333" t="n">
        <v>2.5</v>
      </c>
      <c r="AB333" t="n">
        <v>9.5</v>
      </c>
    </row>
    <row r="334">
      <c r="A334" t="inlineStr">
        <is>
          <t>2026-09-24 13:35:42</t>
        </is>
      </c>
      <c r="B334" t="inlineStr">
        <is>
          <t>MLLB_000_y1.0.3</t>
        </is>
      </c>
      <c r="C334" t="inlineStr">
        <is>
          <t>WHITE</t>
        </is>
      </c>
      <c r="D334" t="inlineStr">
        <is>
          <t>v4_white_MLLB_000_y103_0924</t>
        </is>
      </c>
      <c r="E334" t="n">
        <v>4.2</v>
      </c>
      <c r="F334" t="n">
        <v>4.2</v>
      </c>
      <c r="G334" t="n">
        <v>100</v>
      </c>
      <c r="H334" t="n">
        <v>60</v>
      </c>
      <c r="I334" t="n">
        <v>12</v>
      </c>
      <c r="J334" t="inlineStr">
        <is>
          <t>kaba</t>
        </is>
      </c>
      <c r="K334" t="b">
        <v>1</v>
      </c>
      <c r="M334" t="n">
        <v>26</v>
      </c>
      <c r="N334" t="n">
        <v>28</v>
      </c>
      <c r="O334" t="n">
        <v>6</v>
      </c>
      <c r="P334" t="n">
        <v>976</v>
      </c>
      <c r="Q334" t="n">
        <v>1002</v>
      </c>
      <c r="R334" t="n">
        <v>1.072</v>
      </c>
      <c r="S334" t="n">
        <v>243.864</v>
      </c>
      <c r="T334" t="n">
        <v>227.55</v>
      </c>
      <c r="U334" t="n">
        <v>0.7775</v>
      </c>
      <c r="V334" t="b">
        <v>1</v>
      </c>
      <c r="X334" t="b">
        <v>1</v>
      </c>
      <c r="Z334" t="n">
        <v>935</v>
      </c>
      <c r="AA334" t="n">
        <v>2.5</v>
      </c>
      <c r="AB334" t="n">
        <v>9.5</v>
      </c>
    </row>
    <row r="335">
      <c r="A335" t="inlineStr">
        <is>
          <t>2026-09-24 13:35:57</t>
        </is>
      </c>
      <c r="B335" t="inlineStr">
        <is>
          <t>MLLB_000_y1.0.3</t>
        </is>
      </c>
      <c r="C335" t="inlineStr">
        <is>
          <t>WHITE</t>
        </is>
      </c>
      <c r="D335" t="inlineStr">
        <is>
          <t>v4_white_MLLB_000_y103_0924</t>
        </is>
      </c>
      <c r="E335" t="n">
        <v>4.2</v>
      </c>
      <c r="F335" t="n">
        <v>4.2</v>
      </c>
      <c r="G335" t="n">
        <v>100</v>
      </c>
      <c r="H335" t="n">
        <v>60</v>
      </c>
      <c r="I335" t="n">
        <v>16</v>
      </c>
      <c r="J335" t="inlineStr">
        <is>
          <t>kaba</t>
        </is>
      </c>
      <c r="K335" t="b">
        <v>1</v>
      </c>
      <c r="M335" t="n">
        <v>26</v>
      </c>
      <c r="N335" t="n">
        <v>28</v>
      </c>
      <c r="O335" t="n">
        <v>6</v>
      </c>
      <c r="P335" t="n">
        <v>976</v>
      </c>
      <c r="Q335" t="n">
        <v>1002</v>
      </c>
      <c r="R335" t="n">
        <v>1.071</v>
      </c>
      <c r="S335" t="n">
        <v>243.864</v>
      </c>
      <c r="T335" t="n">
        <v>227.715</v>
      </c>
      <c r="U335" t="n">
        <v>0.7773</v>
      </c>
      <c r="V335" t="b">
        <v>1</v>
      </c>
      <c r="X335" t="b">
        <v>1</v>
      </c>
      <c r="Z335" t="n">
        <v>935</v>
      </c>
      <c r="AA335" t="n">
        <v>2.5</v>
      </c>
      <c r="AB335" t="n">
        <v>9.5</v>
      </c>
    </row>
    <row r="336">
      <c r="A336" t="inlineStr">
        <is>
          <t>2026-09-24 13:36:13</t>
        </is>
      </c>
      <c r="B336" t="inlineStr">
        <is>
          <t>MLLB_000_y1.0.3</t>
        </is>
      </c>
      <c r="C336" t="inlineStr">
        <is>
          <t>WHITE</t>
        </is>
      </c>
      <c r="D336" t="inlineStr">
        <is>
          <t>v4_white_MLLB_000_y103_0924</t>
        </is>
      </c>
      <c r="E336" t="n">
        <v>4.2</v>
      </c>
      <c r="F336" t="n">
        <v>4.2</v>
      </c>
      <c r="G336" t="n">
        <v>100</v>
      </c>
      <c r="H336" t="n">
        <v>60</v>
      </c>
      <c r="I336" t="n">
        <v>20</v>
      </c>
      <c r="J336" t="inlineStr">
        <is>
          <t>kaba</t>
        </is>
      </c>
      <c r="K336" t="b">
        <v>1</v>
      </c>
      <c r="M336" t="n">
        <v>26</v>
      </c>
      <c r="N336" t="n">
        <v>28</v>
      </c>
      <c r="O336" t="n">
        <v>6</v>
      </c>
      <c r="P336" t="n">
        <v>976</v>
      </c>
      <c r="Q336" t="n">
        <v>1002</v>
      </c>
      <c r="R336" t="n">
        <v>1.071</v>
      </c>
      <c r="S336" t="n">
        <v>243.864</v>
      </c>
      <c r="T336" t="n">
        <v>227.62</v>
      </c>
      <c r="U336" t="n">
        <v>0.7774</v>
      </c>
      <c r="V336" t="b">
        <v>1</v>
      </c>
      <c r="X336" t="b">
        <v>1</v>
      </c>
      <c r="Z336" t="n">
        <v>935</v>
      </c>
      <c r="AA336" t="n">
        <v>2.5</v>
      </c>
      <c r="AB336" t="n">
        <v>9.5</v>
      </c>
    </row>
    <row r="337">
      <c r="A337" t="inlineStr">
        <is>
          <t>2026-09-24 13:36:29</t>
        </is>
      </c>
      <c r="B337" t="inlineStr">
        <is>
          <t>MLLB_000_y1.0.3</t>
        </is>
      </c>
      <c r="C337" t="inlineStr">
        <is>
          <t>WHITE</t>
        </is>
      </c>
      <c r="D337" t="inlineStr">
        <is>
          <t>v4_white_MLLB_000_y103_0924</t>
        </is>
      </c>
      <c r="E337" t="n">
        <v>4.2</v>
      </c>
      <c r="F337" t="n">
        <v>4.2</v>
      </c>
      <c r="G337" t="n">
        <v>100</v>
      </c>
      <c r="H337" t="n">
        <v>60</v>
      </c>
      <c r="I337" t="n">
        <v>24</v>
      </c>
      <c r="J337" t="inlineStr">
        <is>
          <t>kaba</t>
        </is>
      </c>
      <c r="K337" t="b">
        <v>1</v>
      </c>
      <c r="M337" t="n">
        <v>26</v>
      </c>
      <c r="N337" t="n">
        <v>28</v>
      </c>
      <c r="O337" t="n">
        <v>6</v>
      </c>
      <c r="P337" t="n">
        <v>976</v>
      </c>
      <c r="Q337" t="n">
        <v>1002</v>
      </c>
      <c r="R337" t="n">
        <v>1.068</v>
      </c>
      <c r="S337" t="n">
        <v>243.093</v>
      </c>
      <c r="T337" t="n">
        <v>227.646</v>
      </c>
      <c r="U337" t="n">
        <v>0.7771</v>
      </c>
      <c r="V337" t="b">
        <v>1</v>
      </c>
      <c r="X337" t="b">
        <v>1</v>
      </c>
      <c r="Z337" t="n">
        <v>935</v>
      </c>
      <c r="AA337" t="n">
        <v>2.5</v>
      </c>
      <c r="AB337" t="n">
        <v>9.5</v>
      </c>
    </row>
    <row r="338">
      <c r="A338" t="inlineStr">
        <is>
          <t>2026-09-24 13:36:45</t>
        </is>
      </c>
      <c r="B338" t="inlineStr">
        <is>
          <t>MLLB_000_y1.0.3</t>
        </is>
      </c>
      <c r="C338" t="inlineStr">
        <is>
          <t>WHITE</t>
        </is>
      </c>
      <c r="D338" t="inlineStr">
        <is>
          <t>v4_white_MLLB_000_y103_0924</t>
        </is>
      </c>
      <c r="E338" t="n">
        <v>4.2</v>
      </c>
      <c r="F338" t="n">
        <v>4.2</v>
      </c>
      <c r="G338" t="n">
        <v>100</v>
      </c>
      <c r="H338" t="n">
        <v>60</v>
      </c>
      <c r="I338" t="n">
        <v>28</v>
      </c>
      <c r="J338" t="inlineStr">
        <is>
          <t>kaba</t>
        </is>
      </c>
      <c r="K338" t="b">
        <v>1</v>
      </c>
      <c r="M338" t="n">
        <v>26</v>
      </c>
      <c r="N338" t="n">
        <v>28</v>
      </c>
      <c r="O338" t="n">
        <v>6</v>
      </c>
      <c r="P338" t="n">
        <v>976</v>
      </c>
      <c r="Q338" t="n">
        <v>1002</v>
      </c>
      <c r="R338" t="n">
        <v>1.07</v>
      </c>
      <c r="S338" t="n">
        <v>243.864</v>
      </c>
      <c r="T338" t="n">
        <v>227.848</v>
      </c>
      <c r="U338" t="n">
        <v>0.7771</v>
      </c>
      <c r="V338" t="b">
        <v>1</v>
      </c>
      <c r="X338" t="b">
        <v>1</v>
      </c>
      <c r="Z338" t="n">
        <v>935</v>
      </c>
      <c r="AA338" t="n">
        <v>2.5</v>
      </c>
      <c r="AB338" t="n">
        <v>9.5</v>
      </c>
    </row>
    <row r="339">
      <c r="A339" t="inlineStr">
        <is>
          <t>2026-09-24 13:37:01</t>
        </is>
      </c>
      <c r="B339" t="inlineStr">
        <is>
          <t>MLLB_000_y1.0.3</t>
        </is>
      </c>
      <c r="C339" t="inlineStr">
        <is>
          <t>WHITE</t>
        </is>
      </c>
      <c r="D339" t="inlineStr">
        <is>
          <t>v4_white_MLLB_000_y103_0924</t>
        </is>
      </c>
      <c r="E339" t="n">
        <v>4.2</v>
      </c>
      <c r="F339" t="n">
        <v>4.2</v>
      </c>
      <c r="G339" t="n">
        <v>100</v>
      </c>
      <c r="H339" t="n">
        <v>60</v>
      </c>
      <c r="I339" t="n">
        <v>32</v>
      </c>
      <c r="J339" t="inlineStr">
        <is>
          <t>kaba</t>
        </is>
      </c>
      <c r="K339" t="b">
        <v>1</v>
      </c>
      <c r="M339" t="n">
        <v>26</v>
      </c>
      <c r="N339" t="n">
        <v>28</v>
      </c>
      <c r="O339" t="n">
        <v>6</v>
      </c>
      <c r="P339" t="n">
        <v>976</v>
      </c>
      <c r="Q339" t="n">
        <v>1002</v>
      </c>
      <c r="R339" t="n">
        <v>1.071</v>
      </c>
      <c r="S339" t="n">
        <v>243.864</v>
      </c>
      <c r="T339" t="n">
        <v>227.656</v>
      </c>
      <c r="U339" t="n">
        <v>0.7773</v>
      </c>
      <c r="V339" t="b">
        <v>1</v>
      </c>
      <c r="X339" t="b">
        <v>1</v>
      </c>
      <c r="Z339" t="n">
        <v>935</v>
      </c>
      <c r="AA339" t="n">
        <v>2.5</v>
      </c>
      <c r="AB339" t="n">
        <v>9.5</v>
      </c>
    </row>
    <row r="340">
      <c r="A340" t="inlineStr">
        <is>
          <t>2026-09-24 13:37:17</t>
        </is>
      </c>
      <c r="B340" t="inlineStr">
        <is>
          <t>MLLB_000_y1.0.3</t>
        </is>
      </c>
      <c r="C340" t="inlineStr">
        <is>
          <t>WHITE</t>
        </is>
      </c>
      <c r="D340" t="inlineStr">
        <is>
          <t>v4_white_MLLB_000_y103_0924</t>
        </is>
      </c>
      <c r="E340" t="n">
        <v>4.2</v>
      </c>
      <c r="F340" t="n">
        <v>4.2</v>
      </c>
      <c r="G340" t="n">
        <v>100</v>
      </c>
      <c r="H340" t="n">
        <v>60</v>
      </c>
      <c r="I340" t="n">
        <v>36</v>
      </c>
      <c r="J340" t="inlineStr">
        <is>
          <t>kaba</t>
        </is>
      </c>
      <c r="K340" t="b">
        <v>1</v>
      </c>
      <c r="M340" t="n">
        <v>26</v>
      </c>
      <c r="N340" t="n">
        <v>28</v>
      </c>
      <c r="O340" t="n">
        <v>6</v>
      </c>
      <c r="P340" t="n">
        <v>976</v>
      </c>
      <c r="Q340" t="n">
        <v>1002</v>
      </c>
      <c r="R340" t="n">
        <v>1.072</v>
      </c>
      <c r="S340" t="n">
        <v>243.864</v>
      </c>
      <c r="T340" t="n">
        <v>227.57</v>
      </c>
      <c r="U340" t="n">
        <v>0.7771</v>
      </c>
      <c r="V340" t="b">
        <v>1</v>
      </c>
      <c r="X340" t="b">
        <v>1</v>
      </c>
      <c r="Z340" t="n">
        <v>935</v>
      </c>
      <c r="AA340" t="n">
        <v>2.5</v>
      </c>
      <c r="AB340" t="n">
        <v>9.5</v>
      </c>
    </row>
    <row r="341">
      <c r="A341" t="inlineStr">
        <is>
          <t>2026-09-24 13:37:33</t>
        </is>
      </c>
      <c r="B341" t="inlineStr">
        <is>
          <t>MLLB_000_y1.0.3</t>
        </is>
      </c>
      <c r="C341" t="inlineStr">
        <is>
          <t>WHITE</t>
        </is>
      </c>
      <c r="D341" t="inlineStr">
        <is>
          <t>v4_white_MLLB_000_y103_0924</t>
        </is>
      </c>
      <c r="E341" t="n">
        <v>4.2</v>
      </c>
      <c r="F341" t="n">
        <v>4.2</v>
      </c>
      <c r="G341" t="n">
        <v>100</v>
      </c>
      <c r="H341" t="n">
        <v>60</v>
      </c>
      <c r="I341" t="n">
        <v>40</v>
      </c>
      <c r="J341" t="inlineStr">
        <is>
          <t>kaba</t>
        </is>
      </c>
      <c r="K341" t="b">
        <v>1</v>
      </c>
      <c r="M341" t="n">
        <v>26</v>
      </c>
      <c r="N341" t="n">
        <v>28</v>
      </c>
      <c r="O341" t="n">
        <v>6</v>
      </c>
      <c r="P341" t="n">
        <v>976</v>
      </c>
      <c r="Q341" t="n">
        <v>1002</v>
      </c>
      <c r="R341" t="n">
        <v>1.065</v>
      </c>
      <c r="S341" t="n">
        <v>242.323</v>
      </c>
      <c r="T341" t="n">
        <v>227.503</v>
      </c>
      <c r="U341" t="n">
        <v>0.7778</v>
      </c>
      <c r="V341" t="b">
        <v>1</v>
      </c>
      <c r="X341" t="b">
        <v>1</v>
      </c>
      <c r="Z341" t="n">
        <v>935</v>
      </c>
      <c r="AA341" t="n">
        <v>2.5</v>
      </c>
      <c r="AB341" t="n">
        <v>9.5</v>
      </c>
    </row>
    <row r="342">
      <c r="A342" t="inlineStr">
        <is>
          <t>2026-09-24 13:37:49</t>
        </is>
      </c>
      <c r="B342" t="inlineStr">
        <is>
          <t>MLLB_000_y1.0.3</t>
        </is>
      </c>
      <c r="C342" t="inlineStr">
        <is>
          <t>WHITE</t>
        </is>
      </c>
      <c r="D342" t="inlineStr">
        <is>
          <t>v4_white_MLLB_000_y103_0924</t>
        </is>
      </c>
      <c r="E342" t="n">
        <v>4.2</v>
      </c>
      <c r="F342" t="n">
        <v>4.2</v>
      </c>
      <c r="G342" t="n">
        <v>100</v>
      </c>
      <c r="H342" t="n">
        <v>60</v>
      </c>
      <c r="I342" t="n">
        <v>44</v>
      </c>
      <c r="J342" t="inlineStr">
        <is>
          <t>kaba</t>
        </is>
      </c>
      <c r="K342" t="b">
        <v>1</v>
      </c>
      <c r="M342" t="n">
        <v>26</v>
      </c>
      <c r="N342" t="n">
        <v>28</v>
      </c>
      <c r="O342" t="n">
        <v>6</v>
      </c>
      <c r="P342" t="n">
        <v>976</v>
      </c>
      <c r="Q342" t="n">
        <v>1002</v>
      </c>
      <c r="R342" t="n">
        <v>1.065</v>
      </c>
      <c r="S342" t="n">
        <v>242.58</v>
      </c>
      <c r="T342" t="n">
        <v>227.734</v>
      </c>
      <c r="U342" t="n">
        <v>0.7776</v>
      </c>
      <c r="V342" t="b">
        <v>1</v>
      </c>
      <c r="X342" t="b">
        <v>1</v>
      </c>
      <c r="Z342" t="n">
        <v>935</v>
      </c>
      <c r="AA342" t="n">
        <v>2.5</v>
      </c>
      <c r="AB342" t="n">
        <v>9.5</v>
      </c>
    </row>
    <row r="343">
      <c r="A343" t="inlineStr">
        <is>
          <t>2026-09-24 13:38:05</t>
        </is>
      </c>
      <c r="B343" t="inlineStr">
        <is>
          <t>MLLB_000_y1.0.3</t>
        </is>
      </c>
      <c r="C343" t="inlineStr">
        <is>
          <t>WHITE</t>
        </is>
      </c>
      <c r="D343" t="inlineStr">
        <is>
          <t>v4_white_MLLB_000_y103_0924</t>
        </is>
      </c>
      <c r="E343" t="n">
        <v>4.2</v>
      </c>
      <c r="F343" t="n">
        <v>4.2</v>
      </c>
      <c r="G343" t="n">
        <v>100</v>
      </c>
      <c r="H343" t="n">
        <v>60</v>
      </c>
      <c r="I343" t="n">
        <v>48</v>
      </c>
      <c r="J343" t="inlineStr">
        <is>
          <t>kaba</t>
        </is>
      </c>
      <c r="K343" t="b">
        <v>1</v>
      </c>
      <c r="M343" t="n">
        <v>26</v>
      </c>
      <c r="N343" t="n">
        <v>28</v>
      </c>
      <c r="O343" t="n">
        <v>6</v>
      </c>
      <c r="P343" t="n">
        <v>976</v>
      </c>
      <c r="Q343" t="n">
        <v>1002</v>
      </c>
      <c r="R343" t="n">
        <v>1.071</v>
      </c>
      <c r="S343" t="n">
        <v>243.864</v>
      </c>
      <c r="T343" t="n">
        <v>227.731</v>
      </c>
      <c r="U343" t="n">
        <v>0.7776</v>
      </c>
      <c r="V343" t="b">
        <v>1</v>
      </c>
      <c r="X343" t="b">
        <v>1</v>
      </c>
      <c r="Z343" t="n">
        <v>935</v>
      </c>
      <c r="AA343" t="n">
        <v>2.5</v>
      </c>
      <c r="AB343" t="n">
        <v>9.5</v>
      </c>
    </row>
    <row r="344">
      <c r="A344" t="inlineStr">
        <is>
          <t>2026-09-24 13:38:21</t>
        </is>
      </c>
      <c r="B344" t="inlineStr">
        <is>
          <t>MLLB_000_y1.0.3</t>
        </is>
      </c>
      <c r="C344" t="inlineStr">
        <is>
          <t>WHITE</t>
        </is>
      </c>
      <c r="D344" t="inlineStr">
        <is>
          <t>v4_white_MLLB_000_y103_0924</t>
        </is>
      </c>
      <c r="E344" t="n">
        <v>4.2</v>
      </c>
      <c r="F344" t="n">
        <v>4.2</v>
      </c>
      <c r="G344" t="n">
        <v>100</v>
      </c>
      <c r="H344" t="n">
        <v>60</v>
      </c>
      <c r="I344" t="n">
        <v>52</v>
      </c>
      <c r="J344" t="inlineStr">
        <is>
          <t>kaba</t>
        </is>
      </c>
      <c r="K344" t="b">
        <v>1</v>
      </c>
      <c r="M344" t="n">
        <v>26</v>
      </c>
      <c r="N344" t="n">
        <v>28</v>
      </c>
      <c r="O344" t="n">
        <v>6</v>
      </c>
      <c r="P344" t="n">
        <v>976</v>
      </c>
      <c r="Q344" t="n">
        <v>1002</v>
      </c>
      <c r="R344" t="n">
        <v>1.068</v>
      </c>
      <c r="S344" t="n">
        <v>243.126</v>
      </c>
      <c r="T344" t="n">
        <v>227.63</v>
      </c>
      <c r="U344" t="n">
        <v>0.7768</v>
      </c>
      <c r="V344" t="b">
        <v>1</v>
      </c>
      <c r="X344" t="b">
        <v>1</v>
      </c>
      <c r="Z344" t="n">
        <v>935</v>
      </c>
      <c r="AA344" t="n">
        <v>2.5</v>
      </c>
      <c r="AB344" t="n">
        <v>9.5</v>
      </c>
    </row>
    <row r="345">
      <c r="A345" t="inlineStr">
        <is>
          <t>2026-09-24 13:38:37</t>
        </is>
      </c>
      <c r="B345" t="inlineStr">
        <is>
          <t>MLLB_000_y1.0.3</t>
        </is>
      </c>
      <c r="C345" t="inlineStr">
        <is>
          <t>WHITE</t>
        </is>
      </c>
      <c r="D345" t="inlineStr">
        <is>
          <t>v4_white_MLLB_000_y103_0924</t>
        </is>
      </c>
      <c r="E345" t="n">
        <v>4.2</v>
      </c>
      <c r="F345" t="n">
        <v>4.2</v>
      </c>
      <c r="G345" t="n">
        <v>100</v>
      </c>
      <c r="H345" t="n">
        <v>60</v>
      </c>
      <c r="I345" t="n">
        <v>56</v>
      </c>
      <c r="J345" t="inlineStr">
        <is>
          <t>kaba</t>
        </is>
      </c>
      <c r="K345" t="b">
        <v>1</v>
      </c>
      <c r="M345" t="n">
        <v>26</v>
      </c>
      <c r="N345" t="n">
        <v>28</v>
      </c>
      <c r="O345" t="n">
        <v>6</v>
      </c>
      <c r="P345" t="n">
        <v>976</v>
      </c>
      <c r="Q345" t="n">
        <v>1002</v>
      </c>
      <c r="R345" t="n">
        <v>1.07</v>
      </c>
      <c r="S345" t="n">
        <v>243.864</v>
      </c>
      <c r="T345" t="n">
        <v>227.827</v>
      </c>
      <c r="U345" t="n">
        <v>0.7775</v>
      </c>
      <c r="V345" t="b">
        <v>1</v>
      </c>
      <c r="X345" t="b">
        <v>1</v>
      </c>
      <c r="Z345" t="n">
        <v>935</v>
      </c>
      <c r="AA345" t="n">
        <v>2.5</v>
      </c>
      <c r="AB345" t="n">
        <v>9.5</v>
      </c>
    </row>
    <row r="346">
      <c r="A346" t="inlineStr">
        <is>
          <t>2026-09-24 13:38:53</t>
        </is>
      </c>
      <c r="B346" t="inlineStr">
        <is>
          <t>MLLB_000_y1.0.3</t>
        </is>
      </c>
      <c r="C346" t="inlineStr">
        <is>
          <t>WHITE</t>
        </is>
      </c>
      <c r="D346" t="inlineStr">
        <is>
          <t>v4_white_MLLB_000_y103_0924</t>
        </is>
      </c>
      <c r="E346" t="n">
        <v>4.2</v>
      </c>
      <c r="F346" t="n">
        <v>4.2</v>
      </c>
      <c r="G346" t="n">
        <v>100</v>
      </c>
      <c r="H346" t="n">
        <v>60</v>
      </c>
      <c r="I346" t="n">
        <v>58</v>
      </c>
      <c r="J346" t="inlineStr">
        <is>
          <t>kaba</t>
        </is>
      </c>
      <c r="K346" t="b">
        <v>1</v>
      </c>
      <c r="M346" t="n">
        <v>26</v>
      </c>
      <c r="N346" t="n">
        <v>28</v>
      </c>
      <c r="O346" t="n">
        <v>6</v>
      </c>
      <c r="P346" t="n">
        <v>976</v>
      </c>
      <c r="Q346" t="n">
        <v>1002</v>
      </c>
      <c r="R346" t="n">
        <v>1.071</v>
      </c>
      <c r="S346" t="n">
        <v>243.864</v>
      </c>
      <c r="T346" t="n">
        <v>227.75</v>
      </c>
      <c r="U346" t="n">
        <v>0.7773</v>
      </c>
      <c r="V346" t="b">
        <v>1</v>
      </c>
      <c r="X346" t="b">
        <v>1</v>
      </c>
      <c r="Z346" t="n">
        <v>935</v>
      </c>
      <c r="AA346" t="n">
        <v>2.5</v>
      </c>
      <c r="AB346" t="n">
        <v>9.5</v>
      </c>
    </row>
    <row r="347">
      <c r="A347" t="inlineStr">
        <is>
          <t>2026-09-24 13:38:54</t>
        </is>
      </c>
      <c r="B347" t="inlineStr">
        <is>
          <t>MLLB_000_y1.0.3</t>
        </is>
      </c>
      <c r="C347" t="inlineStr">
        <is>
          <t>WHITE</t>
        </is>
      </c>
      <c r="D347" t="inlineStr">
        <is>
          <t>v4_white_MLLB_000_y103_0924</t>
        </is>
      </c>
      <c r="E347" t="n">
        <v>4.2</v>
      </c>
      <c r="F347" t="n">
        <v>4.2</v>
      </c>
      <c r="G347" t="n">
        <v>100</v>
      </c>
      <c r="H347" t="n">
        <v>60</v>
      </c>
      <c r="I347" t="n">
        <v>13</v>
      </c>
      <c r="J347" t="inlineStr">
        <is>
          <t>ince</t>
        </is>
      </c>
      <c r="K347" t="b">
        <v>0</v>
      </c>
      <c r="L347" t="inlineStr">
        <is>
          <t>iki-OK-arasi-monotonluk</t>
        </is>
      </c>
      <c r="X347" t="b">
        <v>1</v>
      </c>
      <c r="Z347" t="n">
        <v>935</v>
      </c>
      <c r="AA347" t="n">
        <v>2.5</v>
      </c>
      <c r="AB347" t="n">
        <v>9.5</v>
      </c>
    </row>
    <row r="348">
      <c r="A348" t="inlineStr">
        <is>
          <t>2026-09-24 13:38:54</t>
        </is>
      </c>
      <c r="B348" t="inlineStr">
        <is>
          <t>MLLB_000_y1.0.3</t>
        </is>
      </c>
      <c r="C348" t="inlineStr">
        <is>
          <t>WHITE</t>
        </is>
      </c>
      <c r="D348" t="inlineStr">
        <is>
          <t>v4_white_MLLB_000_y103_0924</t>
        </is>
      </c>
      <c r="E348" t="n">
        <v>4.2</v>
      </c>
      <c r="F348" t="n">
        <v>4.2</v>
      </c>
      <c r="G348" t="n">
        <v>100</v>
      </c>
      <c r="H348" t="n">
        <v>60</v>
      </c>
      <c r="I348" t="n">
        <v>14</v>
      </c>
      <c r="J348" t="inlineStr">
        <is>
          <t>ince</t>
        </is>
      </c>
      <c r="K348" t="b">
        <v>0</v>
      </c>
      <c r="L348" t="inlineStr">
        <is>
          <t>iki-OK-arasi-monotonluk</t>
        </is>
      </c>
      <c r="X348" t="b">
        <v>1</v>
      </c>
      <c r="Z348" t="n">
        <v>935</v>
      </c>
      <c r="AA348" t="n">
        <v>2.5</v>
      </c>
      <c r="AB348" t="n">
        <v>9.5</v>
      </c>
    </row>
    <row r="349">
      <c r="A349" t="inlineStr">
        <is>
          <t>2026-09-24 13:38:54</t>
        </is>
      </c>
      <c r="B349" t="inlineStr">
        <is>
          <t>MLLB_000_y1.0.3</t>
        </is>
      </c>
      <c r="C349" t="inlineStr">
        <is>
          <t>WHITE</t>
        </is>
      </c>
      <c r="D349" t="inlineStr">
        <is>
          <t>v4_white_MLLB_000_y103_0924</t>
        </is>
      </c>
      <c r="E349" t="n">
        <v>4.2</v>
      </c>
      <c r="F349" t="n">
        <v>4.2</v>
      </c>
      <c r="G349" t="n">
        <v>100</v>
      </c>
      <c r="H349" t="n">
        <v>60</v>
      </c>
      <c r="I349" t="n">
        <v>15</v>
      </c>
      <c r="J349" t="inlineStr">
        <is>
          <t>ince</t>
        </is>
      </c>
      <c r="K349" t="b">
        <v>0</v>
      </c>
      <c r="L349" t="inlineStr">
        <is>
          <t>iki-OK-arasi-monotonluk</t>
        </is>
      </c>
      <c r="X349" t="b">
        <v>1</v>
      </c>
      <c r="Z349" t="n">
        <v>935</v>
      </c>
      <c r="AA349" t="n">
        <v>2.5</v>
      </c>
      <c r="AB349" t="n">
        <v>9.5</v>
      </c>
    </row>
    <row r="350">
      <c r="A350" t="inlineStr">
        <is>
          <t>2026-09-24 13:38:54</t>
        </is>
      </c>
      <c r="B350" t="inlineStr">
        <is>
          <t>MLLB_000_y1.0.3</t>
        </is>
      </c>
      <c r="C350" t="inlineStr">
        <is>
          <t>WHITE</t>
        </is>
      </c>
      <c r="D350" t="inlineStr">
        <is>
          <t>v4_white_MLLB_000_y103_0924</t>
        </is>
      </c>
      <c r="E350" t="n">
        <v>4.2</v>
      </c>
      <c r="F350" t="n">
        <v>4.2</v>
      </c>
      <c r="G350" t="n">
        <v>100</v>
      </c>
      <c r="H350" t="n">
        <v>60</v>
      </c>
      <c r="I350" t="n">
        <v>17</v>
      </c>
      <c r="J350" t="inlineStr">
        <is>
          <t>ince</t>
        </is>
      </c>
      <c r="K350" t="b">
        <v>0</v>
      </c>
      <c r="L350" t="inlineStr">
        <is>
          <t>iki-OK-arasi-monotonluk</t>
        </is>
      </c>
      <c r="X350" t="b">
        <v>1</v>
      </c>
      <c r="Z350" t="n">
        <v>935</v>
      </c>
      <c r="AA350" t="n">
        <v>2.5</v>
      </c>
      <c r="AB350" t="n">
        <v>9.5</v>
      </c>
    </row>
    <row r="351">
      <c r="A351" t="inlineStr">
        <is>
          <t>2026-09-24 13:38:54</t>
        </is>
      </c>
      <c r="B351" t="inlineStr">
        <is>
          <t>MLLB_000_y1.0.3</t>
        </is>
      </c>
      <c r="C351" t="inlineStr">
        <is>
          <t>WHITE</t>
        </is>
      </c>
      <c r="D351" t="inlineStr">
        <is>
          <t>v4_white_MLLB_000_y103_0924</t>
        </is>
      </c>
      <c r="E351" t="n">
        <v>4.2</v>
      </c>
      <c r="F351" t="n">
        <v>4.2</v>
      </c>
      <c r="G351" t="n">
        <v>100</v>
      </c>
      <c r="H351" t="n">
        <v>60</v>
      </c>
      <c r="I351" t="n">
        <v>18</v>
      </c>
      <c r="J351" t="inlineStr">
        <is>
          <t>ince</t>
        </is>
      </c>
      <c r="K351" t="b">
        <v>0</v>
      </c>
      <c r="L351" t="inlineStr">
        <is>
          <t>iki-OK-arasi-monotonluk</t>
        </is>
      </c>
      <c r="X351" t="b">
        <v>1</v>
      </c>
      <c r="Z351" t="n">
        <v>935</v>
      </c>
      <c r="AA351" t="n">
        <v>2.5</v>
      </c>
      <c r="AB351" t="n">
        <v>9.5</v>
      </c>
    </row>
    <row r="352">
      <c r="A352" t="inlineStr">
        <is>
          <t>2026-09-24 13:38:54</t>
        </is>
      </c>
      <c r="B352" t="inlineStr">
        <is>
          <t>MLLB_000_y1.0.3</t>
        </is>
      </c>
      <c r="C352" t="inlineStr">
        <is>
          <t>WHITE</t>
        </is>
      </c>
      <c r="D352" t="inlineStr">
        <is>
          <t>v4_white_MLLB_000_y103_0924</t>
        </is>
      </c>
      <c r="E352" t="n">
        <v>4.2</v>
      </c>
      <c r="F352" t="n">
        <v>4.2</v>
      </c>
      <c r="G352" t="n">
        <v>100</v>
      </c>
      <c r="H352" t="n">
        <v>60</v>
      </c>
      <c r="I352" t="n">
        <v>19</v>
      </c>
      <c r="J352" t="inlineStr">
        <is>
          <t>ince</t>
        </is>
      </c>
      <c r="K352" t="b">
        <v>0</v>
      </c>
      <c r="L352" t="inlineStr">
        <is>
          <t>iki-OK-arasi-monotonluk</t>
        </is>
      </c>
      <c r="X352" t="b">
        <v>1</v>
      </c>
      <c r="Z352" t="n">
        <v>935</v>
      </c>
      <c r="AA352" t="n">
        <v>2.5</v>
      </c>
      <c r="AB352" t="n">
        <v>9.5</v>
      </c>
    </row>
    <row r="353">
      <c r="A353" t="inlineStr">
        <is>
          <t>2026-09-24 13:38:54</t>
        </is>
      </c>
      <c r="B353" t="inlineStr">
        <is>
          <t>MLLB_000_y1.0.3</t>
        </is>
      </c>
      <c r="C353" t="inlineStr">
        <is>
          <t>WHITE</t>
        </is>
      </c>
      <c r="D353" t="inlineStr">
        <is>
          <t>v4_white_MLLB_000_y103_0924</t>
        </is>
      </c>
      <c r="E353" t="n">
        <v>4.2</v>
      </c>
      <c r="F353" t="n">
        <v>4.2</v>
      </c>
      <c r="G353" t="n">
        <v>100</v>
      </c>
      <c r="H353" t="n">
        <v>60</v>
      </c>
      <c r="I353" t="n">
        <v>21</v>
      </c>
      <c r="J353" t="inlineStr">
        <is>
          <t>ince</t>
        </is>
      </c>
      <c r="K353" t="b">
        <v>0</v>
      </c>
      <c r="L353" t="inlineStr">
        <is>
          <t>iki-OK-arasi-monotonluk</t>
        </is>
      </c>
      <c r="X353" t="b">
        <v>1</v>
      </c>
      <c r="Z353" t="n">
        <v>935</v>
      </c>
      <c r="AA353" t="n">
        <v>2.5</v>
      </c>
      <c r="AB353" t="n">
        <v>9.5</v>
      </c>
    </row>
    <row r="354">
      <c r="A354" t="inlineStr">
        <is>
          <t>2026-09-24 13:38:54</t>
        </is>
      </c>
      <c r="B354" t="inlineStr">
        <is>
          <t>MLLB_000_y1.0.3</t>
        </is>
      </c>
      <c r="C354" t="inlineStr">
        <is>
          <t>WHITE</t>
        </is>
      </c>
      <c r="D354" t="inlineStr">
        <is>
          <t>v4_white_MLLB_000_y103_0924</t>
        </is>
      </c>
      <c r="E354" t="n">
        <v>4.2</v>
      </c>
      <c r="F354" t="n">
        <v>4.2</v>
      </c>
      <c r="G354" t="n">
        <v>100</v>
      </c>
      <c r="H354" t="n">
        <v>60</v>
      </c>
      <c r="I354" t="n">
        <v>22</v>
      </c>
      <c r="J354" t="inlineStr">
        <is>
          <t>ince</t>
        </is>
      </c>
      <c r="K354" t="b">
        <v>0</v>
      </c>
      <c r="L354" t="inlineStr">
        <is>
          <t>iki-OK-arasi-monotonluk</t>
        </is>
      </c>
      <c r="X354" t="b">
        <v>1</v>
      </c>
      <c r="Z354" t="n">
        <v>935</v>
      </c>
      <c r="AA354" t="n">
        <v>2.5</v>
      </c>
      <c r="AB354" t="n">
        <v>9.5</v>
      </c>
    </row>
    <row r="355">
      <c r="A355" t="inlineStr">
        <is>
          <t>2026-09-24 13:38:54</t>
        </is>
      </c>
      <c r="B355" t="inlineStr">
        <is>
          <t>MLLB_000_y1.0.3</t>
        </is>
      </c>
      <c r="C355" t="inlineStr">
        <is>
          <t>WHITE</t>
        </is>
      </c>
      <c r="D355" t="inlineStr">
        <is>
          <t>v4_white_MLLB_000_y103_0924</t>
        </is>
      </c>
      <c r="E355" t="n">
        <v>4.2</v>
      </c>
      <c r="F355" t="n">
        <v>4.2</v>
      </c>
      <c r="G355" t="n">
        <v>100</v>
      </c>
      <c r="H355" t="n">
        <v>60</v>
      </c>
      <c r="I355" t="n">
        <v>23</v>
      </c>
      <c r="J355" t="inlineStr">
        <is>
          <t>ince</t>
        </is>
      </c>
      <c r="K355" t="b">
        <v>0</v>
      </c>
      <c r="L355" t="inlineStr">
        <is>
          <t>iki-OK-arasi-monotonluk</t>
        </is>
      </c>
      <c r="X355" t="b">
        <v>1</v>
      </c>
      <c r="Z355" t="n">
        <v>935</v>
      </c>
      <c r="AA355" t="n">
        <v>2.5</v>
      </c>
      <c r="AB355" t="n">
        <v>9.5</v>
      </c>
    </row>
    <row r="356">
      <c r="A356" t="inlineStr">
        <is>
          <t>2026-09-24 13:38:54</t>
        </is>
      </c>
      <c r="B356" t="inlineStr">
        <is>
          <t>MLLB_000_y1.0.3</t>
        </is>
      </c>
      <c r="C356" t="inlineStr">
        <is>
          <t>WHITE</t>
        </is>
      </c>
      <c r="D356" t="inlineStr">
        <is>
          <t>v4_white_MLLB_000_y103_0924</t>
        </is>
      </c>
      <c r="E356" t="n">
        <v>4.2</v>
      </c>
      <c r="F356" t="n">
        <v>4.2</v>
      </c>
      <c r="G356" t="n">
        <v>100</v>
      </c>
      <c r="H356" t="n">
        <v>60</v>
      </c>
      <c r="I356" t="n">
        <v>25</v>
      </c>
      <c r="J356" t="inlineStr">
        <is>
          <t>ince</t>
        </is>
      </c>
      <c r="K356" t="b">
        <v>0</v>
      </c>
      <c r="L356" t="inlineStr">
        <is>
          <t>iki-OK-arasi-monotonluk</t>
        </is>
      </c>
      <c r="X356" t="b">
        <v>1</v>
      </c>
      <c r="Z356" t="n">
        <v>935</v>
      </c>
      <c r="AA356" t="n">
        <v>2.5</v>
      </c>
      <c r="AB356" t="n">
        <v>9.5</v>
      </c>
    </row>
    <row r="357">
      <c r="A357" t="inlineStr">
        <is>
          <t>2026-09-24 13:38:54</t>
        </is>
      </c>
      <c r="B357" t="inlineStr">
        <is>
          <t>MLLB_000_y1.0.3</t>
        </is>
      </c>
      <c r="C357" t="inlineStr">
        <is>
          <t>WHITE</t>
        </is>
      </c>
      <c r="D357" t="inlineStr">
        <is>
          <t>v4_white_MLLB_000_y103_0924</t>
        </is>
      </c>
      <c r="E357" t="n">
        <v>4.2</v>
      </c>
      <c r="F357" t="n">
        <v>4.2</v>
      </c>
      <c r="G357" t="n">
        <v>100</v>
      </c>
      <c r="H357" t="n">
        <v>60</v>
      </c>
      <c r="I357" t="n">
        <v>26</v>
      </c>
      <c r="J357" t="inlineStr">
        <is>
          <t>ince</t>
        </is>
      </c>
      <c r="K357" t="b">
        <v>0</v>
      </c>
      <c r="L357" t="inlineStr">
        <is>
          <t>iki-OK-arasi-monotonluk</t>
        </is>
      </c>
      <c r="X357" t="b">
        <v>1</v>
      </c>
      <c r="Z357" t="n">
        <v>935</v>
      </c>
      <c r="AA357" t="n">
        <v>2.5</v>
      </c>
      <c r="AB357" t="n">
        <v>9.5</v>
      </c>
    </row>
    <row r="358">
      <c r="A358" t="inlineStr">
        <is>
          <t>2026-09-24 13:38:54</t>
        </is>
      </c>
      <c r="B358" t="inlineStr">
        <is>
          <t>MLLB_000_y1.0.3</t>
        </is>
      </c>
      <c r="C358" t="inlineStr">
        <is>
          <t>WHITE</t>
        </is>
      </c>
      <c r="D358" t="inlineStr">
        <is>
          <t>v4_white_MLLB_000_y103_0924</t>
        </is>
      </c>
      <c r="E358" t="n">
        <v>4.2</v>
      </c>
      <c r="F358" t="n">
        <v>4.2</v>
      </c>
      <c r="G358" t="n">
        <v>100</v>
      </c>
      <c r="H358" t="n">
        <v>60</v>
      </c>
      <c r="I358" t="n">
        <v>27</v>
      </c>
      <c r="J358" t="inlineStr">
        <is>
          <t>ince</t>
        </is>
      </c>
      <c r="K358" t="b">
        <v>0</v>
      </c>
      <c r="L358" t="inlineStr">
        <is>
          <t>iki-OK-arasi-monotonluk</t>
        </is>
      </c>
      <c r="X358" t="b">
        <v>1</v>
      </c>
      <c r="Z358" t="n">
        <v>935</v>
      </c>
      <c r="AA358" t="n">
        <v>2.5</v>
      </c>
      <c r="AB358" t="n">
        <v>9.5</v>
      </c>
    </row>
    <row r="359">
      <c r="A359" t="inlineStr">
        <is>
          <t>2026-09-24 13:38:54</t>
        </is>
      </c>
      <c r="B359" t="inlineStr">
        <is>
          <t>MLLB_000_y1.0.3</t>
        </is>
      </c>
      <c r="C359" t="inlineStr">
        <is>
          <t>WHITE</t>
        </is>
      </c>
      <c r="D359" t="inlineStr">
        <is>
          <t>v4_white_MLLB_000_y103_0924</t>
        </is>
      </c>
      <c r="E359" t="n">
        <v>4.2</v>
      </c>
      <c r="F359" t="n">
        <v>4.2</v>
      </c>
      <c r="G359" t="n">
        <v>100</v>
      </c>
      <c r="H359" t="n">
        <v>60</v>
      </c>
      <c r="I359" t="n">
        <v>29</v>
      </c>
      <c r="J359" t="inlineStr">
        <is>
          <t>ince</t>
        </is>
      </c>
      <c r="K359" t="b">
        <v>0</v>
      </c>
      <c r="L359" t="inlineStr">
        <is>
          <t>iki-OK-arasi-monotonluk</t>
        </is>
      </c>
      <c r="X359" t="b">
        <v>1</v>
      </c>
      <c r="Z359" t="n">
        <v>935</v>
      </c>
      <c r="AA359" t="n">
        <v>2.5</v>
      </c>
      <c r="AB359" t="n">
        <v>9.5</v>
      </c>
    </row>
    <row r="360">
      <c r="A360" t="inlineStr">
        <is>
          <t>2026-09-24 13:38:54</t>
        </is>
      </c>
      <c r="B360" t="inlineStr">
        <is>
          <t>MLLB_000_y1.0.3</t>
        </is>
      </c>
      <c r="C360" t="inlineStr">
        <is>
          <t>WHITE</t>
        </is>
      </c>
      <c r="D360" t="inlineStr">
        <is>
          <t>v4_white_MLLB_000_y103_0924</t>
        </is>
      </c>
      <c r="E360" t="n">
        <v>4.2</v>
      </c>
      <c r="F360" t="n">
        <v>4.2</v>
      </c>
      <c r="G360" t="n">
        <v>100</v>
      </c>
      <c r="H360" t="n">
        <v>60</v>
      </c>
      <c r="I360" t="n">
        <v>30</v>
      </c>
      <c r="J360" t="inlineStr">
        <is>
          <t>ince</t>
        </is>
      </c>
      <c r="K360" t="b">
        <v>0</v>
      </c>
      <c r="L360" t="inlineStr">
        <is>
          <t>iki-OK-arasi-monotonluk</t>
        </is>
      </c>
      <c r="X360" t="b">
        <v>1</v>
      </c>
      <c r="Z360" t="n">
        <v>935</v>
      </c>
      <c r="AA360" t="n">
        <v>2.5</v>
      </c>
      <c r="AB360" t="n">
        <v>9.5</v>
      </c>
    </row>
    <row r="361">
      <c r="A361" t="inlineStr">
        <is>
          <t>2026-09-24 13:38:54</t>
        </is>
      </c>
      <c r="B361" t="inlineStr">
        <is>
          <t>MLLB_000_y1.0.3</t>
        </is>
      </c>
      <c r="C361" t="inlineStr">
        <is>
          <t>WHITE</t>
        </is>
      </c>
      <c r="D361" t="inlineStr">
        <is>
          <t>v4_white_MLLB_000_y103_0924</t>
        </is>
      </c>
      <c r="E361" t="n">
        <v>4.2</v>
      </c>
      <c r="F361" t="n">
        <v>4.2</v>
      </c>
      <c r="G361" t="n">
        <v>100</v>
      </c>
      <c r="H361" t="n">
        <v>60</v>
      </c>
      <c r="I361" t="n">
        <v>31</v>
      </c>
      <c r="J361" t="inlineStr">
        <is>
          <t>ince</t>
        </is>
      </c>
      <c r="K361" t="b">
        <v>0</v>
      </c>
      <c r="L361" t="inlineStr">
        <is>
          <t>iki-OK-arasi-monotonluk</t>
        </is>
      </c>
      <c r="X361" t="b">
        <v>1</v>
      </c>
      <c r="Z361" t="n">
        <v>935</v>
      </c>
      <c r="AA361" t="n">
        <v>2.5</v>
      </c>
      <c r="AB361" t="n">
        <v>9.5</v>
      </c>
    </row>
    <row r="362">
      <c r="A362" t="inlineStr">
        <is>
          <t>2026-09-24 13:38:54</t>
        </is>
      </c>
      <c r="B362" t="inlineStr">
        <is>
          <t>MLLB_000_y1.0.3</t>
        </is>
      </c>
      <c r="C362" t="inlineStr">
        <is>
          <t>WHITE</t>
        </is>
      </c>
      <c r="D362" t="inlineStr">
        <is>
          <t>v4_white_MLLB_000_y103_0924</t>
        </is>
      </c>
      <c r="E362" t="n">
        <v>4.2</v>
      </c>
      <c r="F362" t="n">
        <v>4.2</v>
      </c>
      <c r="G362" t="n">
        <v>100</v>
      </c>
      <c r="H362" t="n">
        <v>60</v>
      </c>
      <c r="I362" t="n">
        <v>33</v>
      </c>
      <c r="J362" t="inlineStr">
        <is>
          <t>ince</t>
        </is>
      </c>
      <c r="K362" t="b">
        <v>0</v>
      </c>
      <c r="L362" t="inlineStr">
        <is>
          <t>iki-OK-arasi-monotonluk</t>
        </is>
      </c>
      <c r="X362" t="b">
        <v>1</v>
      </c>
      <c r="Z362" t="n">
        <v>935</v>
      </c>
      <c r="AA362" t="n">
        <v>2.5</v>
      </c>
      <c r="AB362" t="n">
        <v>9.5</v>
      </c>
    </row>
    <row r="363">
      <c r="A363" t="inlineStr">
        <is>
          <t>2026-09-24 13:38:54</t>
        </is>
      </c>
      <c r="B363" t="inlineStr">
        <is>
          <t>MLLB_000_y1.0.3</t>
        </is>
      </c>
      <c r="C363" t="inlineStr">
        <is>
          <t>WHITE</t>
        </is>
      </c>
      <c r="D363" t="inlineStr">
        <is>
          <t>v4_white_MLLB_000_y103_0924</t>
        </is>
      </c>
      <c r="E363" t="n">
        <v>4.2</v>
      </c>
      <c r="F363" t="n">
        <v>4.2</v>
      </c>
      <c r="G363" t="n">
        <v>100</v>
      </c>
      <c r="H363" t="n">
        <v>60</v>
      </c>
      <c r="I363" t="n">
        <v>34</v>
      </c>
      <c r="J363" t="inlineStr">
        <is>
          <t>ince</t>
        </is>
      </c>
      <c r="K363" t="b">
        <v>0</v>
      </c>
      <c r="L363" t="inlineStr">
        <is>
          <t>iki-OK-arasi-monotonluk</t>
        </is>
      </c>
      <c r="X363" t="b">
        <v>1</v>
      </c>
      <c r="Z363" t="n">
        <v>935</v>
      </c>
      <c r="AA363" t="n">
        <v>2.5</v>
      </c>
      <c r="AB363" t="n">
        <v>9.5</v>
      </c>
    </row>
    <row r="364">
      <c r="A364" t="inlineStr">
        <is>
          <t>2026-09-24 13:38:54</t>
        </is>
      </c>
      <c r="B364" t="inlineStr">
        <is>
          <t>MLLB_000_y1.0.3</t>
        </is>
      </c>
      <c r="C364" t="inlineStr">
        <is>
          <t>WHITE</t>
        </is>
      </c>
      <c r="D364" t="inlineStr">
        <is>
          <t>v4_white_MLLB_000_y103_0924</t>
        </is>
      </c>
      <c r="E364" t="n">
        <v>4.2</v>
      </c>
      <c r="F364" t="n">
        <v>4.2</v>
      </c>
      <c r="G364" t="n">
        <v>100</v>
      </c>
      <c r="H364" t="n">
        <v>60</v>
      </c>
      <c r="I364" t="n">
        <v>35</v>
      </c>
      <c r="J364" t="inlineStr">
        <is>
          <t>ince</t>
        </is>
      </c>
      <c r="K364" t="b">
        <v>0</v>
      </c>
      <c r="L364" t="inlineStr">
        <is>
          <t>iki-OK-arasi-monotonluk</t>
        </is>
      </c>
      <c r="X364" t="b">
        <v>1</v>
      </c>
      <c r="Z364" t="n">
        <v>935</v>
      </c>
      <c r="AA364" t="n">
        <v>2.5</v>
      </c>
      <c r="AB364" t="n">
        <v>9.5</v>
      </c>
    </row>
    <row r="365">
      <c r="A365" t="inlineStr">
        <is>
          <t>2026-09-24 13:38:54</t>
        </is>
      </c>
      <c r="B365" t="inlineStr">
        <is>
          <t>MLLB_000_y1.0.3</t>
        </is>
      </c>
      <c r="C365" t="inlineStr">
        <is>
          <t>WHITE</t>
        </is>
      </c>
      <c r="D365" t="inlineStr">
        <is>
          <t>v4_white_MLLB_000_y103_0924</t>
        </is>
      </c>
      <c r="E365" t="n">
        <v>4.2</v>
      </c>
      <c r="F365" t="n">
        <v>4.2</v>
      </c>
      <c r="G365" t="n">
        <v>100</v>
      </c>
      <c r="H365" t="n">
        <v>60</v>
      </c>
      <c r="I365" t="n">
        <v>37</v>
      </c>
      <c r="J365" t="inlineStr">
        <is>
          <t>ince</t>
        </is>
      </c>
      <c r="K365" t="b">
        <v>0</v>
      </c>
      <c r="L365" t="inlineStr">
        <is>
          <t>iki-OK-arasi-monotonluk</t>
        </is>
      </c>
      <c r="X365" t="b">
        <v>1</v>
      </c>
      <c r="Z365" t="n">
        <v>935</v>
      </c>
      <c r="AA365" t="n">
        <v>2.5</v>
      </c>
      <c r="AB365" t="n">
        <v>9.5</v>
      </c>
    </row>
    <row r="366">
      <c r="A366" t="inlineStr">
        <is>
          <t>2026-09-24 13:38:54</t>
        </is>
      </c>
      <c r="B366" t="inlineStr">
        <is>
          <t>MLLB_000_y1.0.3</t>
        </is>
      </c>
      <c r="C366" t="inlineStr">
        <is>
          <t>WHITE</t>
        </is>
      </c>
      <c r="D366" t="inlineStr">
        <is>
          <t>v4_white_MLLB_000_y103_0924</t>
        </is>
      </c>
      <c r="E366" t="n">
        <v>4.2</v>
      </c>
      <c r="F366" t="n">
        <v>4.2</v>
      </c>
      <c r="G366" t="n">
        <v>100</v>
      </c>
      <c r="H366" t="n">
        <v>60</v>
      </c>
      <c r="I366" t="n">
        <v>38</v>
      </c>
      <c r="J366" t="inlineStr">
        <is>
          <t>ince</t>
        </is>
      </c>
      <c r="K366" t="b">
        <v>0</v>
      </c>
      <c r="L366" t="inlineStr">
        <is>
          <t>iki-OK-arasi-monotonluk</t>
        </is>
      </c>
      <c r="X366" t="b">
        <v>1</v>
      </c>
      <c r="Z366" t="n">
        <v>935</v>
      </c>
      <c r="AA366" t="n">
        <v>2.5</v>
      </c>
      <c r="AB366" t="n">
        <v>9.5</v>
      </c>
    </row>
    <row r="367">
      <c r="A367" t="inlineStr">
        <is>
          <t>2026-09-24 13:38:54</t>
        </is>
      </c>
      <c r="B367" t="inlineStr">
        <is>
          <t>MLLB_000_y1.0.3</t>
        </is>
      </c>
      <c r="C367" t="inlineStr">
        <is>
          <t>WHITE</t>
        </is>
      </c>
      <c r="D367" t="inlineStr">
        <is>
          <t>v4_white_MLLB_000_y103_0924</t>
        </is>
      </c>
      <c r="E367" t="n">
        <v>4.2</v>
      </c>
      <c r="F367" t="n">
        <v>4.2</v>
      </c>
      <c r="G367" t="n">
        <v>100</v>
      </c>
      <c r="H367" t="n">
        <v>60</v>
      </c>
      <c r="I367" t="n">
        <v>39</v>
      </c>
      <c r="J367" t="inlineStr">
        <is>
          <t>ince</t>
        </is>
      </c>
      <c r="K367" t="b">
        <v>0</v>
      </c>
      <c r="L367" t="inlineStr">
        <is>
          <t>iki-OK-arasi-monotonluk</t>
        </is>
      </c>
      <c r="X367" t="b">
        <v>1</v>
      </c>
      <c r="Z367" t="n">
        <v>935</v>
      </c>
      <c r="AA367" t="n">
        <v>2.5</v>
      </c>
      <c r="AB367" t="n">
        <v>9.5</v>
      </c>
    </row>
    <row r="368">
      <c r="A368" t="inlineStr">
        <is>
          <t>2026-09-24 13:38:54</t>
        </is>
      </c>
      <c r="B368" t="inlineStr">
        <is>
          <t>MLLB_000_y1.0.3</t>
        </is>
      </c>
      <c r="C368" t="inlineStr">
        <is>
          <t>WHITE</t>
        </is>
      </c>
      <c r="D368" t="inlineStr">
        <is>
          <t>v4_white_MLLB_000_y103_0924</t>
        </is>
      </c>
      <c r="E368" t="n">
        <v>4.2</v>
      </c>
      <c r="F368" t="n">
        <v>4.2</v>
      </c>
      <c r="G368" t="n">
        <v>100</v>
      </c>
      <c r="H368" t="n">
        <v>60</v>
      </c>
      <c r="I368" t="n">
        <v>41</v>
      </c>
      <c r="J368" t="inlineStr">
        <is>
          <t>ince</t>
        </is>
      </c>
      <c r="K368" t="b">
        <v>0</v>
      </c>
      <c r="L368" t="inlineStr">
        <is>
          <t>iki-OK-arasi-monotonluk</t>
        </is>
      </c>
      <c r="X368" t="b">
        <v>1</v>
      </c>
      <c r="Z368" t="n">
        <v>935</v>
      </c>
      <c r="AA368" t="n">
        <v>2.5</v>
      </c>
      <c r="AB368" t="n">
        <v>9.5</v>
      </c>
    </row>
    <row r="369">
      <c r="A369" t="inlineStr">
        <is>
          <t>2026-09-24 13:38:54</t>
        </is>
      </c>
      <c r="B369" t="inlineStr">
        <is>
          <t>MLLB_000_y1.0.3</t>
        </is>
      </c>
      <c r="C369" t="inlineStr">
        <is>
          <t>WHITE</t>
        </is>
      </c>
      <c r="D369" t="inlineStr">
        <is>
          <t>v4_white_MLLB_000_y103_0924</t>
        </is>
      </c>
      <c r="E369" t="n">
        <v>4.2</v>
      </c>
      <c r="F369" t="n">
        <v>4.2</v>
      </c>
      <c r="G369" t="n">
        <v>100</v>
      </c>
      <c r="H369" t="n">
        <v>60</v>
      </c>
      <c r="I369" t="n">
        <v>42</v>
      </c>
      <c r="J369" t="inlineStr">
        <is>
          <t>ince</t>
        </is>
      </c>
      <c r="K369" t="b">
        <v>0</v>
      </c>
      <c r="L369" t="inlineStr">
        <is>
          <t>iki-OK-arasi-monotonluk</t>
        </is>
      </c>
      <c r="X369" t="b">
        <v>1</v>
      </c>
      <c r="Z369" t="n">
        <v>935</v>
      </c>
      <c r="AA369" t="n">
        <v>2.5</v>
      </c>
      <c r="AB369" t="n">
        <v>9.5</v>
      </c>
    </row>
    <row r="370">
      <c r="A370" t="inlineStr">
        <is>
          <t>2026-09-24 13:38:54</t>
        </is>
      </c>
      <c r="B370" t="inlineStr">
        <is>
          <t>MLLB_000_y1.0.3</t>
        </is>
      </c>
      <c r="C370" t="inlineStr">
        <is>
          <t>WHITE</t>
        </is>
      </c>
      <c r="D370" t="inlineStr">
        <is>
          <t>v4_white_MLLB_000_y103_0924</t>
        </is>
      </c>
      <c r="E370" t="n">
        <v>4.2</v>
      </c>
      <c r="F370" t="n">
        <v>4.2</v>
      </c>
      <c r="G370" t="n">
        <v>100</v>
      </c>
      <c r="H370" t="n">
        <v>60</v>
      </c>
      <c r="I370" t="n">
        <v>43</v>
      </c>
      <c r="J370" t="inlineStr">
        <is>
          <t>ince</t>
        </is>
      </c>
      <c r="K370" t="b">
        <v>0</v>
      </c>
      <c r="L370" t="inlineStr">
        <is>
          <t>iki-OK-arasi-monotonluk</t>
        </is>
      </c>
      <c r="X370" t="b">
        <v>1</v>
      </c>
      <c r="Z370" t="n">
        <v>935</v>
      </c>
      <c r="AA370" t="n">
        <v>2.5</v>
      </c>
      <c r="AB370" t="n">
        <v>9.5</v>
      </c>
    </row>
    <row r="371">
      <c r="A371" t="inlineStr">
        <is>
          <t>2026-09-24 13:38:54</t>
        </is>
      </c>
      <c r="B371" t="inlineStr">
        <is>
          <t>MLLB_000_y1.0.3</t>
        </is>
      </c>
      <c r="C371" t="inlineStr">
        <is>
          <t>WHITE</t>
        </is>
      </c>
      <c r="D371" t="inlineStr">
        <is>
          <t>v4_white_MLLB_000_y103_0924</t>
        </is>
      </c>
      <c r="E371" t="n">
        <v>4.2</v>
      </c>
      <c r="F371" t="n">
        <v>4.2</v>
      </c>
      <c r="G371" t="n">
        <v>100</v>
      </c>
      <c r="H371" t="n">
        <v>60</v>
      </c>
      <c r="I371" t="n">
        <v>45</v>
      </c>
      <c r="J371" t="inlineStr">
        <is>
          <t>ince</t>
        </is>
      </c>
      <c r="K371" t="b">
        <v>0</v>
      </c>
      <c r="L371" t="inlineStr">
        <is>
          <t>iki-OK-arasi-monotonluk</t>
        </is>
      </c>
      <c r="X371" t="b">
        <v>1</v>
      </c>
      <c r="Z371" t="n">
        <v>935</v>
      </c>
      <c r="AA371" t="n">
        <v>2.5</v>
      </c>
      <c r="AB371" t="n">
        <v>9.5</v>
      </c>
    </row>
    <row r="372">
      <c r="A372" t="inlineStr">
        <is>
          <t>2026-09-24 13:38:54</t>
        </is>
      </c>
      <c r="B372" t="inlineStr">
        <is>
          <t>MLLB_000_y1.0.3</t>
        </is>
      </c>
      <c r="C372" t="inlineStr">
        <is>
          <t>WHITE</t>
        </is>
      </c>
      <c r="D372" t="inlineStr">
        <is>
          <t>v4_white_MLLB_000_y103_0924</t>
        </is>
      </c>
      <c r="E372" t="n">
        <v>4.2</v>
      </c>
      <c r="F372" t="n">
        <v>4.2</v>
      </c>
      <c r="G372" t="n">
        <v>100</v>
      </c>
      <c r="H372" t="n">
        <v>60</v>
      </c>
      <c r="I372" t="n">
        <v>46</v>
      </c>
      <c r="J372" t="inlineStr">
        <is>
          <t>ince</t>
        </is>
      </c>
      <c r="K372" t="b">
        <v>0</v>
      </c>
      <c r="L372" t="inlineStr">
        <is>
          <t>iki-OK-arasi-monotonluk</t>
        </is>
      </c>
      <c r="X372" t="b">
        <v>1</v>
      </c>
      <c r="Z372" t="n">
        <v>935</v>
      </c>
      <c r="AA372" t="n">
        <v>2.5</v>
      </c>
      <c r="AB372" t="n">
        <v>9.5</v>
      </c>
    </row>
    <row r="373">
      <c r="A373" t="inlineStr">
        <is>
          <t>2026-09-24 13:38:54</t>
        </is>
      </c>
      <c r="B373" t="inlineStr">
        <is>
          <t>MLLB_000_y1.0.3</t>
        </is>
      </c>
      <c r="C373" t="inlineStr">
        <is>
          <t>WHITE</t>
        </is>
      </c>
      <c r="D373" t="inlineStr">
        <is>
          <t>v4_white_MLLB_000_y103_0924</t>
        </is>
      </c>
      <c r="E373" t="n">
        <v>4.2</v>
      </c>
      <c r="F373" t="n">
        <v>4.2</v>
      </c>
      <c r="G373" t="n">
        <v>100</v>
      </c>
      <c r="H373" t="n">
        <v>60</v>
      </c>
      <c r="I373" t="n">
        <v>47</v>
      </c>
      <c r="J373" t="inlineStr">
        <is>
          <t>ince</t>
        </is>
      </c>
      <c r="K373" t="b">
        <v>0</v>
      </c>
      <c r="L373" t="inlineStr">
        <is>
          <t>iki-OK-arasi-monotonluk</t>
        </is>
      </c>
      <c r="X373" t="b">
        <v>1</v>
      </c>
      <c r="Z373" t="n">
        <v>935</v>
      </c>
      <c r="AA373" t="n">
        <v>2.5</v>
      </c>
      <c r="AB373" t="n">
        <v>9.5</v>
      </c>
    </row>
    <row r="374">
      <c r="A374" t="inlineStr">
        <is>
          <t>2026-09-24 13:38:54</t>
        </is>
      </c>
      <c r="B374" t="inlineStr">
        <is>
          <t>MLLB_000_y1.0.3</t>
        </is>
      </c>
      <c r="C374" t="inlineStr">
        <is>
          <t>WHITE</t>
        </is>
      </c>
      <c r="D374" t="inlineStr">
        <is>
          <t>v4_white_MLLB_000_y103_0924</t>
        </is>
      </c>
      <c r="E374" t="n">
        <v>4.2</v>
      </c>
      <c r="F374" t="n">
        <v>4.2</v>
      </c>
      <c r="G374" t="n">
        <v>100</v>
      </c>
      <c r="H374" t="n">
        <v>60</v>
      </c>
      <c r="I374" t="n">
        <v>49</v>
      </c>
      <c r="J374" t="inlineStr">
        <is>
          <t>ince</t>
        </is>
      </c>
      <c r="K374" t="b">
        <v>0</v>
      </c>
      <c r="L374" t="inlineStr">
        <is>
          <t>iki-OK-arasi-monotonluk</t>
        </is>
      </c>
      <c r="X374" t="b">
        <v>1</v>
      </c>
      <c r="Z374" t="n">
        <v>935</v>
      </c>
      <c r="AA374" t="n">
        <v>2.5</v>
      </c>
      <c r="AB374" t="n">
        <v>9.5</v>
      </c>
    </row>
    <row r="375">
      <c r="A375" t="inlineStr">
        <is>
          <t>2026-09-24 13:38:54</t>
        </is>
      </c>
      <c r="B375" t="inlineStr">
        <is>
          <t>MLLB_000_y1.0.3</t>
        </is>
      </c>
      <c r="C375" t="inlineStr">
        <is>
          <t>WHITE</t>
        </is>
      </c>
      <c r="D375" t="inlineStr">
        <is>
          <t>v4_white_MLLB_000_y103_0924</t>
        </is>
      </c>
      <c r="E375" t="n">
        <v>4.2</v>
      </c>
      <c r="F375" t="n">
        <v>4.2</v>
      </c>
      <c r="G375" t="n">
        <v>100</v>
      </c>
      <c r="H375" t="n">
        <v>60</v>
      </c>
      <c r="I375" t="n">
        <v>50</v>
      </c>
      <c r="J375" t="inlineStr">
        <is>
          <t>ince</t>
        </is>
      </c>
      <c r="K375" t="b">
        <v>0</v>
      </c>
      <c r="L375" t="inlineStr">
        <is>
          <t>iki-OK-arasi-monotonluk</t>
        </is>
      </c>
      <c r="X375" t="b">
        <v>1</v>
      </c>
      <c r="Z375" t="n">
        <v>935</v>
      </c>
      <c r="AA375" t="n">
        <v>2.5</v>
      </c>
      <c r="AB375" t="n">
        <v>9.5</v>
      </c>
    </row>
    <row r="376">
      <c r="A376" t="inlineStr">
        <is>
          <t>2026-09-24 13:38:54</t>
        </is>
      </c>
      <c r="B376" t="inlineStr">
        <is>
          <t>MLLB_000_y1.0.3</t>
        </is>
      </c>
      <c r="C376" t="inlineStr">
        <is>
          <t>WHITE</t>
        </is>
      </c>
      <c r="D376" t="inlineStr">
        <is>
          <t>v4_white_MLLB_000_y103_0924</t>
        </is>
      </c>
      <c r="E376" t="n">
        <v>4.2</v>
      </c>
      <c r="F376" t="n">
        <v>4.2</v>
      </c>
      <c r="G376" t="n">
        <v>100</v>
      </c>
      <c r="H376" t="n">
        <v>60</v>
      </c>
      <c r="I376" t="n">
        <v>51</v>
      </c>
      <c r="J376" t="inlineStr">
        <is>
          <t>ince</t>
        </is>
      </c>
      <c r="K376" t="b">
        <v>0</v>
      </c>
      <c r="L376" t="inlineStr">
        <is>
          <t>iki-OK-arasi-monotonluk</t>
        </is>
      </c>
      <c r="X376" t="b">
        <v>1</v>
      </c>
      <c r="Z376" t="n">
        <v>935</v>
      </c>
      <c r="AA376" t="n">
        <v>2.5</v>
      </c>
      <c r="AB376" t="n">
        <v>9.5</v>
      </c>
    </row>
    <row r="377">
      <c r="A377" t="inlineStr">
        <is>
          <t>2026-09-24 13:38:54</t>
        </is>
      </c>
      <c r="B377" t="inlineStr">
        <is>
          <t>MLLB_000_y1.0.3</t>
        </is>
      </c>
      <c r="C377" t="inlineStr">
        <is>
          <t>WHITE</t>
        </is>
      </c>
      <c r="D377" t="inlineStr">
        <is>
          <t>v4_white_MLLB_000_y103_0924</t>
        </is>
      </c>
      <c r="E377" t="n">
        <v>4.2</v>
      </c>
      <c r="F377" t="n">
        <v>4.2</v>
      </c>
      <c r="G377" t="n">
        <v>100</v>
      </c>
      <c r="H377" t="n">
        <v>60</v>
      </c>
      <c r="I377" t="n">
        <v>53</v>
      </c>
      <c r="J377" t="inlineStr">
        <is>
          <t>ince</t>
        </is>
      </c>
      <c r="K377" t="b">
        <v>0</v>
      </c>
      <c r="L377" t="inlineStr">
        <is>
          <t>iki-OK-arasi-monotonluk</t>
        </is>
      </c>
      <c r="X377" t="b">
        <v>1</v>
      </c>
      <c r="Z377" t="n">
        <v>935</v>
      </c>
      <c r="AA377" t="n">
        <v>2.5</v>
      </c>
      <c r="AB377" t="n">
        <v>9.5</v>
      </c>
    </row>
    <row r="378">
      <c r="A378" t="inlineStr">
        <is>
          <t>2026-09-24 13:38:54</t>
        </is>
      </c>
      <c r="B378" t="inlineStr">
        <is>
          <t>MLLB_000_y1.0.3</t>
        </is>
      </c>
      <c r="C378" t="inlineStr">
        <is>
          <t>WHITE</t>
        </is>
      </c>
      <c r="D378" t="inlineStr">
        <is>
          <t>v4_white_MLLB_000_y103_0924</t>
        </is>
      </c>
      <c r="E378" t="n">
        <v>4.2</v>
      </c>
      <c r="F378" t="n">
        <v>4.2</v>
      </c>
      <c r="G378" t="n">
        <v>100</v>
      </c>
      <c r="H378" t="n">
        <v>60</v>
      </c>
      <c r="I378" t="n">
        <v>54</v>
      </c>
      <c r="J378" t="inlineStr">
        <is>
          <t>ince</t>
        </is>
      </c>
      <c r="K378" t="b">
        <v>0</v>
      </c>
      <c r="L378" t="inlineStr">
        <is>
          <t>iki-OK-arasi-monotonluk</t>
        </is>
      </c>
      <c r="X378" t="b">
        <v>1</v>
      </c>
      <c r="Z378" t="n">
        <v>935</v>
      </c>
      <c r="AA378" t="n">
        <v>2.5</v>
      </c>
      <c r="AB378" t="n">
        <v>9.5</v>
      </c>
    </row>
    <row r="379">
      <c r="A379" t="inlineStr">
        <is>
          <t>2026-09-24 13:38:54</t>
        </is>
      </c>
      <c r="B379" t="inlineStr">
        <is>
          <t>MLLB_000_y1.0.3</t>
        </is>
      </c>
      <c r="C379" t="inlineStr">
        <is>
          <t>WHITE</t>
        </is>
      </c>
      <c r="D379" t="inlineStr">
        <is>
          <t>v4_white_MLLB_000_y103_0924</t>
        </is>
      </c>
      <c r="E379" t="n">
        <v>4.2</v>
      </c>
      <c r="F379" t="n">
        <v>4.2</v>
      </c>
      <c r="G379" t="n">
        <v>100</v>
      </c>
      <c r="H379" t="n">
        <v>60</v>
      </c>
      <c r="I379" t="n">
        <v>55</v>
      </c>
      <c r="J379" t="inlineStr">
        <is>
          <t>ince</t>
        </is>
      </c>
      <c r="K379" t="b">
        <v>0</v>
      </c>
      <c r="L379" t="inlineStr">
        <is>
          <t>iki-OK-arasi-monotonluk</t>
        </is>
      </c>
      <c r="X379" t="b">
        <v>1</v>
      </c>
      <c r="Z379" t="n">
        <v>935</v>
      </c>
      <c r="AA379" t="n">
        <v>2.5</v>
      </c>
      <c r="AB379" t="n">
        <v>9.5</v>
      </c>
    </row>
    <row r="380">
      <c r="A380" t="inlineStr">
        <is>
          <t>2026-09-24 13:38:54</t>
        </is>
      </c>
      <c r="B380" t="inlineStr">
        <is>
          <t>MLLB_000_y1.0.3</t>
        </is>
      </c>
      <c r="C380" t="inlineStr">
        <is>
          <t>WHITE</t>
        </is>
      </c>
      <c r="D380" t="inlineStr">
        <is>
          <t>v4_white_MLLB_000_y103_0924</t>
        </is>
      </c>
      <c r="E380" t="n">
        <v>4.2</v>
      </c>
      <c r="F380" t="n">
        <v>4.2</v>
      </c>
      <c r="G380" t="n">
        <v>100</v>
      </c>
      <c r="H380" t="n">
        <v>60</v>
      </c>
      <c r="I380" t="n">
        <v>57</v>
      </c>
      <c r="J380" t="inlineStr">
        <is>
          <t>ince</t>
        </is>
      </c>
      <c r="K380" t="b">
        <v>0</v>
      </c>
      <c r="L380" t="inlineStr">
        <is>
          <t>iki-OK-arasi-monotonluk</t>
        </is>
      </c>
      <c r="X380" t="b">
        <v>1</v>
      </c>
      <c r="Z380" t="n">
        <v>935</v>
      </c>
      <c r="AA380" t="n">
        <v>2.5</v>
      </c>
      <c r="AB380" t="n">
        <v>9.5</v>
      </c>
    </row>
    <row r="381">
      <c r="A381" t="inlineStr">
        <is>
          <t>2026-09-24 13:38:54</t>
        </is>
      </c>
      <c r="B381" t="inlineStr">
        <is>
          <t>MLLB_000_y1.0.3</t>
        </is>
      </c>
      <c r="C381" t="inlineStr">
        <is>
          <t>WHITE</t>
        </is>
      </c>
      <c r="D381" t="inlineStr">
        <is>
          <t>v4_white_MLLB_000_y103_0924</t>
        </is>
      </c>
      <c r="E381" t="n">
        <v>4.2</v>
      </c>
      <c r="F381" t="n">
        <v>4.2</v>
      </c>
      <c r="G381" t="n">
        <v>100</v>
      </c>
      <c r="H381" t="n">
        <v>60</v>
      </c>
      <c r="J381" t="inlineStr">
        <is>
          <t>bitti</t>
        </is>
      </c>
      <c r="K381" t="b">
        <v>0</v>
      </c>
      <c r="Z381" t="n">
        <v>935</v>
      </c>
      <c r="AA381" t="n">
        <v>2.5</v>
      </c>
      <c r="AB381" t="n">
        <v>9.5</v>
      </c>
    </row>
    <row r="382">
      <c r="A382" t="inlineStr">
        <is>
          <t>2026-09-24 13:39:39</t>
        </is>
      </c>
      <c r="B382" t="inlineStr">
        <is>
          <t>MLLB_000_y1.0.3</t>
        </is>
      </c>
      <c r="C382" t="inlineStr">
        <is>
          <t>WHITE</t>
        </is>
      </c>
      <c r="D382" t="inlineStr">
        <is>
          <t>v4_white_MLLB_000_y103_0924</t>
        </is>
      </c>
      <c r="E382" t="n">
        <v>3.6</v>
      </c>
      <c r="F382" t="n">
        <v>3.608</v>
      </c>
      <c r="G382" t="n">
        <v>6</v>
      </c>
      <c r="H382" t="n">
        <v>100</v>
      </c>
      <c r="I382" t="n">
        <v>12</v>
      </c>
      <c r="J382" t="inlineStr">
        <is>
          <t>kaba</t>
        </is>
      </c>
      <c r="K382" t="b">
        <v>1</v>
      </c>
      <c r="M382" t="n">
        <v>268</v>
      </c>
      <c r="N382" t="n">
        <v>46</v>
      </c>
      <c r="O382" t="n">
        <v>242</v>
      </c>
      <c r="P382" t="n">
        <v>734</v>
      </c>
      <c r="Q382" t="n">
        <v>1002</v>
      </c>
      <c r="R382" t="n">
        <v>1.1</v>
      </c>
      <c r="S382" t="n">
        <v>10.426</v>
      </c>
      <c r="T382" t="n">
        <v>9.475</v>
      </c>
      <c r="U382" t="n">
        <v>0.7774</v>
      </c>
      <c r="V382" t="b">
        <v>1</v>
      </c>
      <c r="X382" t="b">
        <v>0</v>
      </c>
      <c r="Y382" t="inlineStr">
        <is>
          <t>AKIM</t>
        </is>
      </c>
      <c r="Z382" t="n">
        <v>935</v>
      </c>
      <c r="AA382" t="n">
        <v>2.5</v>
      </c>
      <c r="AB382" t="n">
        <v>9.5</v>
      </c>
    </row>
    <row r="383">
      <c r="A383" t="inlineStr">
        <is>
          <t>2026-09-24 13:39:55</t>
        </is>
      </c>
      <c r="B383" t="inlineStr">
        <is>
          <t>MLLB_000_y1.0.3</t>
        </is>
      </c>
      <c r="C383" t="inlineStr">
        <is>
          <t>WHITE</t>
        </is>
      </c>
      <c r="D383" t="inlineStr">
        <is>
          <t>v4_white_MLLB_000_y103_0924</t>
        </is>
      </c>
      <c r="E383" t="n">
        <v>3.6</v>
      </c>
      <c r="F383" t="n">
        <v>3.608</v>
      </c>
      <c r="G383" t="n">
        <v>6</v>
      </c>
      <c r="H383" t="n">
        <v>100</v>
      </c>
      <c r="I383" t="n">
        <v>16</v>
      </c>
      <c r="J383" t="inlineStr">
        <is>
          <t>kaba</t>
        </is>
      </c>
      <c r="K383" t="b">
        <v>1</v>
      </c>
      <c r="M383" t="n">
        <v>182</v>
      </c>
      <c r="N383" t="n">
        <v>50</v>
      </c>
      <c r="O383" t="n">
        <v>154</v>
      </c>
      <c r="P383" t="n">
        <v>820</v>
      </c>
      <c r="Q383" t="n">
        <v>1002</v>
      </c>
      <c r="R383" t="n">
        <v>1.099</v>
      </c>
      <c r="S383" t="n">
        <v>10.486</v>
      </c>
      <c r="T383" t="n">
        <v>9.539999999999999</v>
      </c>
      <c r="U383" t="n">
        <v>0.7775</v>
      </c>
      <c r="V383" t="b">
        <v>1</v>
      </c>
      <c r="X383" t="b">
        <v>0</v>
      </c>
      <c r="Y383" t="inlineStr">
        <is>
          <t>ON</t>
        </is>
      </c>
      <c r="Z383" t="n">
        <v>935</v>
      </c>
      <c r="AA383" t="n">
        <v>2.5</v>
      </c>
      <c r="AB383" t="n">
        <v>9.5</v>
      </c>
    </row>
    <row r="384">
      <c r="A384" t="inlineStr">
        <is>
          <t>2026-09-24 13:40:11</t>
        </is>
      </c>
      <c r="B384" t="inlineStr">
        <is>
          <t>MLLB_000_y1.0.3</t>
        </is>
      </c>
      <c r="C384" t="inlineStr">
        <is>
          <t>WHITE</t>
        </is>
      </c>
      <c r="D384" t="inlineStr">
        <is>
          <t>v4_white_MLLB_000_y103_0924</t>
        </is>
      </c>
      <c r="E384" t="n">
        <v>3.6</v>
      </c>
      <c r="F384" t="n">
        <v>3.608</v>
      </c>
      <c r="G384" t="n">
        <v>6</v>
      </c>
      <c r="H384" t="n">
        <v>100</v>
      </c>
      <c r="I384" t="n">
        <v>20</v>
      </c>
      <c r="J384" t="inlineStr">
        <is>
          <t>kaba</t>
        </is>
      </c>
      <c r="K384" t="b">
        <v>1</v>
      </c>
      <c r="M384" t="n">
        <v>94</v>
      </c>
      <c r="N384" t="n">
        <v>48</v>
      </c>
      <c r="O384" t="n">
        <v>68</v>
      </c>
      <c r="P384" t="n">
        <v>908</v>
      </c>
      <c r="Q384" t="n">
        <v>1002</v>
      </c>
      <c r="R384" t="n">
        <v>1.098</v>
      </c>
      <c r="S384" t="n">
        <v>10.508</v>
      </c>
      <c r="T384" t="n">
        <v>9.569000000000001</v>
      </c>
      <c r="U384" t="n">
        <v>0.7779</v>
      </c>
      <c r="V384" t="b">
        <v>1</v>
      </c>
      <c r="X384" t="b">
        <v>0</v>
      </c>
      <c r="Y384" t="inlineStr">
        <is>
          <t>ON</t>
        </is>
      </c>
      <c r="Z384" t="n">
        <v>935</v>
      </c>
      <c r="AA384" t="n">
        <v>2.5</v>
      </c>
      <c r="AB384" t="n">
        <v>9.5</v>
      </c>
    </row>
    <row r="385">
      <c r="A385" t="inlineStr">
        <is>
          <t>2026-09-24 13:40:27</t>
        </is>
      </c>
      <c r="B385" t="inlineStr">
        <is>
          <t>MLLB_000_y1.0.3</t>
        </is>
      </c>
      <c r="C385" t="inlineStr">
        <is>
          <t>WHITE</t>
        </is>
      </c>
      <c r="D385" t="inlineStr">
        <is>
          <t>v4_white_MLLB_000_y103_0924</t>
        </is>
      </c>
      <c r="E385" t="n">
        <v>3.6</v>
      </c>
      <c r="F385" t="n">
        <v>3.608</v>
      </c>
      <c r="G385" t="n">
        <v>6</v>
      </c>
      <c r="H385" t="n">
        <v>100</v>
      </c>
      <c r="I385" t="n">
        <v>24</v>
      </c>
      <c r="J385" t="inlineStr">
        <is>
          <t>kaba</t>
        </is>
      </c>
      <c r="K385" t="b">
        <v>1</v>
      </c>
      <c r="M385" t="n">
        <v>30</v>
      </c>
      <c r="N385" t="n">
        <v>28</v>
      </c>
      <c r="O385" t="n">
        <v>10</v>
      </c>
      <c r="P385" t="n">
        <v>972</v>
      </c>
      <c r="Q385" t="n">
        <v>1002</v>
      </c>
      <c r="R385" t="n">
        <v>1.784</v>
      </c>
      <c r="S385" t="n">
        <v>17.024</v>
      </c>
      <c r="T385" t="n">
        <v>9.544</v>
      </c>
      <c r="U385" t="n">
        <v>0.777</v>
      </c>
      <c r="V385" t="b">
        <v>1</v>
      </c>
      <c r="X385" t="b">
        <v>1</v>
      </c>
      <c r="Z385" t="n">
        <v>935</v>
      </c>
      <c r="AA385" t="n">
        <v>2.5</v>
      </c>
      <c r="AB385" t="n">
        <v>9.5</v>
      </c>
    </row>
    <row r="386">
      <c r="A386" t="inlineStr">
        <is>
          <t>2026-09-24 13:40:43</t>
        </is>
      </c>
      <c r="B386" t="inlineStr">
        <is>
          <t>MLLB_000_y1.0.3</t>
        </is>
      </c>
      <c r="C386" t="inlineStr">
        <is>
          <t>WHITE</t>
        </is>
      </c>
      <c r="D386" t="inlineStr">
        <is>
          <t>v4_white_MLLB_000_y103_0924</t>
        </is>
      </c>
      <c r="E386" t="n">
        <v>3.6</v>
      </c>
      <c r="F386" t="n">
        <v>3.608</v>
      </c>
      <c r="G386" t="n">
        <v>6</v>
      </c>
      <c r="H386" t="n">
        <v>100</v>
      </c>
      <c r="I386" t="n">
        <v>28</v>
      </c>
      <c r="J386" t="inlineStr">
        <is>
          <t>kaba</t>
        </is>
      </c>
      <c r="K386" t="b">
        <v>1</v>
      </c>
      <c r="M386" t="n">
        <v>30</v>
      </c>
      <c r="N386" t="n">
        <v>28</v>
      </c>
      <c r="O386" t="n">
        <v>10</v>
      </c>
      <c r="P386" t="n">
        <v>972</v>
      </c>
      <c r="Q386" t="n">
        <v>1002</v>
      </c>
      <c r="R386" t="n">
        <v>8.084</v>
      </c>
      <c r="S386" t="n">
        <v>77.434</v>
      </c>
      <c r="T386" t="n">
        <v>9.579000000000001</v>
      </c>
      <c r="U386" t="n">
        <v>0.777</v>
      </c>
      <c r="V386" t="b">
        <v>1</v>
      </c>
      <c r="X386" t="b">
        <v>0</v>
      </c>
      <c r="Y386" t="inlineStr">
        <is>
          <t>FLAS</t>
        </is>
      </c>
      <c r="Z386" t="n">
        <v>935</v>
      </c>
      <c r="AA386" t="n">
        <v>2.5</v>
      </c>
      <c r="AB386" t="n">
        <v>9.5</v>
      </c>
    </row>
    <row r="387">
      <c r="A387" t="inlineStr">
        <is>
          <t>2026-09-24 13:40:59</t>
        </is>
      </c>
      <c r="B387" t="inlineStr">
        <is>
          <t>MLLB_000_y1.0.3</t>
        </is>
      </c>
      <c r="C387" t="inlineStr">
        <is>
          <t>WHITE</t>
        </is>
      </c>
      <c r="D387" t="inlineStr">
        <is>
          <t>v4_white_MLLB_000_y103_0924</t>
        </is>
      </c>
      <c r="E387" t="n">
        <v>3.6</v>
      </c>
      <c r="F387" t="n">
        <v>3.608</v>
      </c>
      <c r="G387" t="n">
        <v>6</v>
      </c>
      <c r="H387" t="n">
        <v>100</v>
      </c>
      <c r="I387" t="n">
        <v>21</v>
      </c>
      <c r="J387" t="inlineStr">
        <is>
          <t>ince</t>
        </is>
      </c>
      <c r="K387" t="b">
        <v>1</v>
      </c>
      <c r="M387" t="n">
        <v>72</v>
      </c>
      <c r="N387" t="n">
        <v>46</v>
      </c>
      <c r="O387" t="n">
        <v>44</v>
      </c>
      <c r="P387" t="n">
        <v>930</v>
      </c>
      <c r="Q387" t="n">
        <v>1002</v>
      </c>
      <c r="R387" t="n">
        <v>1.099</v>
      </c>
      <c r="S387" t="n">
        <v>10.508</v>
      </c>
      <c r="T387" t="n">
        <v>9.558</v>
      </c>
      <c r="U387" t="n">
        <v>0.7771</v>
      </c>
      <c r="V387" t="b">
        <v>1</v>
      </c>
      <c r="X387" t="b">
        <v>0</v>
      </c>
      <c r="Y387" t="inlineStr">
        <is>
          <t>ON</t>
        </is>
      </c>
      <c r="Z387" t="n">
        <v>935</v>
      </c>
      <c r="AA387" t="n">
        <v>2.5</v>
      </c>
      <c r="AB387" t="n">
        <v>9.5</v>
      </c>
    </row>
    <row r="388">
      <c r="A388" t="inlineStr">
        <is>
          <t>2026-09-24 13:41:12</t>
        </is>
      </c>
      <c r="B388" t="inlineStr">
        <is>
          <t>MLLB_000_y1.0.3</t>
        </is>
      </c>
      <c r="C388" t="inlineStr">
        <is>
          <t>WHITE</t>
        </is>
      </c>
      <c r="D388" t="inlineStr">
        <is>
          <t>v4_white_MLLB_000_y103_0924</t>
        </is>
      </c>
      <c r="E388" t="n">
        <v>3.6</v>
      </c>
      <c r="F388" t="n">
        <v>3.608</v>
      </c>
      <c r="G388" t="n">
        <v>6</v>
      </c>
      <c r="H388" t="n">
        <v>100</v>
      </c>
      <c r="I388" t="n">
        <v>22</v>
      </c>
      <c r="J388" t="inlineStr">
        <is>
          <t>ince</t>
        </is>
      </c>
      <c r="K388" t="b">
        <v>1</v>
      </c>
      <c r="M388" t="n">
        <v>50</v>
      </c>
      <c r="N388" t="n">
        <v>46</v>
      </c>
      <c r="O388" t="n">
        <v>20</v>
      </c>
      <c r="P388" t="n">
        <v>952</v>
      </c>
      <c r="Q388" t="n">
        <v>1002</v>
      </c>
      <c r="R388" t="n">
        <v>1.104</v>
      </c>
      <c r="S388" t="n">
        <v>10.554</v>
      </c>
      <c r="T388" t="n">
        <v>9.564</v>
      </c>
      <c r="U388" t="n">
        <v>0.777</v>
      </c>
      <c r="V388" t="b">
        <v>1</v>
      </c>
      <c r="X388" t="b">
        <v>1</v>
      </c>
      <c r="Z388" t="n">
        <v>935</v>
      </c>
      <c r="AA388" t="n">
        <v>2.5</v>
      </c>
      <c r="AB388" t="n">
        <v>9.5</v>
      </c>
    </row>
    <row r="389">
      <c r="A389" t="inlineStr">
        <is>
          <t>2026-09-24 13:41:27</t>
        </is>
      </c>
      <c r="B389" t="inlineStr">
        <is>
          <t>MLLB_000_y1.0.3</t>
        </is>
      </c>
      <c r="C389" t="inlineStr">
        <is>
          <t>WHITE</t>
        </is>
      </c>
      <c r="D389" t="inlineStr">
        <is>
          <t>v4_white_MLLB_000_y103_0924</t>
        </is>
      </c>
      <c r="E389" t="n">
        <v>3.6</v>
      </c>
      <c r="F389" t="n">
        <v>3.608</v>
      </c>
      <c r="G389" t="n">
        <v>6</v>
      </c>
      <c r="H389" t="n">
        <v>100</v>
      </c>
      <c r="I389" t="n">
        <v>23</v>
      </c>
      <c r="J389" t="inlineStr">
        <is>
          <t>ince</t>
        </is>
      </c>
      <c r="K389" t="b">
        <v>1</v>
      </c>
      <c r="M389" t="n">
        <v>30</v>
      </c>
      <c r="N389" t="n">
        <v>28</v>
      </c>
      <c r="O389" t="n">
        <v>10</v>
      </c>
      <c r="P389" t="n">
        <v>972</v>
      </c>
      <c r="Q389" t="n">
        <v>1002</v>
      </c>
      <c r="R389" t="n">
        <v>1.093</v>
      </c>
      <c r="S389" t="n">
        <v>10.462</v>
      </c>
      <c r="T389" t="n">
        <v>9.574</v>
      </c>
      <c r="U389" t="n">
        <v>0.777</v>
      </c>
      <c r="V389" t="b">
        <v>1</v>
      </c>
      <c r="X389" t="b">
        <v>1</v>
      </c>
      <c r="Z389" t="n">
        <v>935</v>
      </c>
      <c r="AA389" t="n">
        <v>2.5</v>
      </c>
      <c r="AB389" t="n">
        <v>9.5</v>
      </c>
    </row>
    <row r="390">
      <c r="A390" t="inlineStr">
        <is>
          <t>2026-09-24 13:41:43</t>
        </is>
      </c>
      <c r="B390" t="inlineStr">
        <is>
          <t>MLLB_000_y1.0.3</t>
        </is>
      </c>
      <c r="C390" t="inlineStr">
        <is>
          <t>WHITE</t>
        </is>
      </c>
      <c r="D390" t="inlineStr">
        <is>
          <t>v4_white_MLLB_000_y103_0924</t>
        </is>
      </c>
      <c r="E390" t="n">
        <v>3.6</v>
      </c>
      <c r="F390" t="n">
        <v>3.608</v>
      </c>
      <c r="G390" t="n">
        <v>6</v>
      </c>
      <c r="H390" t="n">
        <v>100</v>
      </c>
      <c r="I390" t="n">
        <v>25</v>
      </c>
      <c r="J390" t="inlineStr">
        <is>
          <t>ince</t>
        </is>
      </c>
      <c r="K390" t="b">
        <v>1</v>
      </c>
      <c r="M390" t="n">
        <v>30</v>
      </c>
      <c r="N390" t="n">
        <v>28</v>
      </c>
      <c r="O390" t="n">
        <v>10</v>
      </c>
      <c r="P390" t="n">
        <v>972</v>
      </c>
      <c r="Q390" t="n">
        <v>1002</v>
      </c>
      <c r="R390" t="n">
        <v>3.202</v>
      </c>
      <c r="S390" t="n">
        <v>30.614</v>
      </c>
      <c r="T390" t="n">
        <v>9.56</v>
      </c>
      <c r="U390" t="n">
        <v>0.7776</v>
      </c>
      <c r="V390" t="b">
        <v>1</v>
      </c>
      <c r="X390" t="b">
        <v>0</v>
      </c>
      <c r="Y390" t="inlineStr">
        <is>
          <t>FLAS</t>
        </is>
      </c>
      <c r="Z390" t="n">
        <v>935</v>
      </c>
      <c r="AA390" t="n">
        <v>2.5</v>
      </c>
      <c r="AB390" t="n">
        <v>9.5</v>
      </c>
    </row>
    <row r="391">
      <c r="A391" t="inlineStr">
        <is>
          <t>2026-09-24 13:41:59</t>
        </is>
      </c>
      <c r="B391" t="inlineStr">
        <is>
          <t>MLLB_000_y1.0.3</t>
        </is>
      </c>
      <c r="C391" t="inlineStr">
        <is>
          <t>WHITE</t>
        </is>
      </c>
      <c r="D391" t="inlineStr">
        <is>
          <t>v4_white_MLLB_000_y103_0924</t>
        </is>
      </c>
      <c r="E391" t="n">
        <v>3.6</v>
      </c>
      <c r="F391" t="n">
        <v>3.608</v>
      </c>
      <c r="G391" t="n">
        <v>6</v>
      </c>
      <c r="H391" t="n">
        <v>100</v>
      </c>
      <c r="I391" t="n">
        <v>26</v>
      </c>
      <c r="J391" t="inlineStr">
        <is>
          <t>ince</t>
        </is>
      </c>
      <c r="K391" t="b">
        <v>1</v>
      </c>
      <c r="M391" t="n">
        <v>30</v>
      </c>
      <c r="N391" t="n">
        <v>28</v>
      </c>
      <c r="O391" t="n">
        <v>10</v>
      </c>
      <c r="P391" t="n">
        <v>972</v>
      </c>
      <c r="Q391" t="n">
        <v>1002</v>
      </c>
      <c r="R391" t="n">
        <v>4.489</v>
      </c>
      <c r="S391" t="n">
        <v>42.937</v>
      </c>
      <c r="T391" t="n">
        <v>9.566000000000001</v>
      </c>
      <c r="U391" t="n">
        <v>0.7779</v>
      </c>
      <c r="V391" t="b">
        <v>1</v>
      </c>
      <c r="X391" t="b">
        <v>0</v>
      </c>
      <c r="Y391" t="inlineStr">
        <is>
          <t>FLAS</t>
        </is>
      </c>
      <c r="Z391" t="n">
        <v>935</v>
      </c>
      <c r="AA391" t="n">
        <v>2.5</v>
      </c>
      <c r="AB391" t="n">
        <v>9.5</v>
      </c>
    </row>
    <row r="392">
      <c r="A392" t="inlineStr">
        <is>
          <t>2026-09-24 13:42:15</t>
        </is>
      </c>
      <c r="B392" t="inlineStr">
        <is>
          <t>MLLB_000_y1.0.3</t>
        </is>
      </c>
      <c r="C392" t="inlineStr">
        <is>
          <t>WHITE</t>
        </is>
      </c>
      <c r="D392" t="inlineStr">
        <is>
          <t>v4_white_MLLB_000_y103_0924</t>
        </is>
      </c>
      <c r="E392" t="n">
        <v>3.6</v>
      </c>
      <c r="F392" t="n">
        <v>3.608</v>
      </c>
      <c r="G392" t="n">
        <v>6</v>
      </c>
      <c r="H392" t="n">
        <v>100</v>
      </c>
      <c r="I392" t="n">
        <v>27</v>
      </c>
      <c r="J392" t="inlineStr">
        <is>
          <t>ince</t>
        </is>
      </c>
      <c r="K392" t="b">
        <v>1</v>
      </c>
      <c r="M392" t="n">
        <v>30</v>
      </c>
      <c r="N392" t="n">
        <v>28</v>
      </c>
      <c r="O392" t="n">
        <v>10</v>
      </c>
      <c r="P392" t="n">
        <v>972</v>
      </c>
      <c r="Q392" t="n">
        <v>1002</v>
      </c>
      <c r="R392" t="n">
        <v>5.174</v>
      </c>
      <c r="S392" t="n">
        <v>49.5</v>
      </c>
      <c r="T392" t="n">
        <v>9.566000000000001</v>
      </c>
      <c r="U392" t="n">
        <v>0.7778</v>
      </c>
      <c r="V392" t="b">
        <v>1</v>
      </c>
      <c r="X392" t="b">
        <v>0</v>
      </c>
      <c r="Y392" t="inlineStr">
        <is>
          <t>FLAS</t>
        </is>
      </c>
      <c r="Z392" t="n">
        <v>935</v>
      </c>
      <c r="AA392" t="n">
        <v>2.5</v>
      </c>
      <c r="AB392" t="n">
        <v>9.5</v>
      </c>
    </row>
    <row r="393">
      <c r="A393" t="inlineStr">
        <is>
          <t>2026-09-24 13:42:16</t>
        </is>
      </c>
      <c r="B393" t="inlineStr">
        <is>
          <t>MLLB_000_y1.0.3</t>
        </is>
      </c>
      <c r="C393" t="inlineStr">
        <is>
          <t>WHITE</t>
        </is>
      </c>
      <c r="D393" t="inlineStr">
        <is>
          <t>v4_white_MLLB_000_y103_0924</t>
        </is>
      </c>
      <c r="E393" t="n">
        <v>3.6</v>
      </c>
      <c r="F393" t="n">
        <v>3.608</v>
      </c>
      <c r="G393" t="n">
        <v>6</v>
      </c>
      <c r="H393" t="n">
        <v>100</v>
      </c>
      <c r="J393" t="inlineStr">
        <is>
          <t>bitti</t>
        </is>
      </c>
      <c r="K393" t="b">
        <v>0</v>
      </c>
      <c r="Z393" t="n">
        <v>935</v>
      </c>
      <c r="AA393" t="n">
        <v>2.5</v>
      </c>
      <c r="AB393" t="n">
        <v>9.5</v>
      </c>
    </row>
    <row r="394">
      <c r="A394" t="inlineStr">
        <is>
          <t>2026-09-24 13:42:31</t>
        </is>
      </c>
      <c r="B394" t="inlineStr">
        <is>
          <t>MLLB_000_y1.0.3</t>
        </is>
      </c>
      <c r="C394" t="inlineStr">
        <is>
          <t>WHITE</t>
        </is>
      </c>
      <c r="D394" t="inlineStr">
        <is>
          <t>v4_white_MLLB_000_y103_0924</t>
        </is>
      </c>
      <c r="E394" t="n">
        <v>3.6</v>
      </c>
      <c r="F394" t="n">
        <v>3.608</v>
      </c>
      <c r="G394" t="n">
        <v>6</v>
      </c>
      <c r="H394" t="n">
        <v>80</v>
      </c>
      <c r="I394" t="n">
        <v>12</v>
      </c>
      <c r="J394" t="inlineStr">
        <is>
          <t>kaba</t>
        </is>
      </c>
      <c r="K394" t="b">
        <v>1</v>
      </c>
      <c r="M394" t="n">
        <v>312</v>
      </c>
      <c r="N394" t="n">
        <v>48</v>
      </c>
      <c r="O394" t="n">
        <v>284</v>
      </c>
      <c r="P394" t="n">
        <v>690</v>
      </c>
      <c r="Q394" t="n">
        <v>1002</v>
      </c>
      <c r="R394" t="n">
        <v>1.102</v>
      </c>
      <c r="S394" t="n">
        <v>10.417</v>
      </c>
      <c r="T394" t="n">
        <v>9.451000000000001</v>
      </c>
      <c r="U394" t="n">
        <v>0.7775</v>
      </c>
      <c r="V394" t="b">
        <v>1</v>
      </c>
      <c r="X394" t="b">
        <v>0</v>
      </c>
      <c r="Y394" t="inlineStr">
        <is>
          <t>AKIM</t>
        </is>
      </c>
      <c r="Z394" t="n">
        <v>935</v>
      </c>
      <c r="AA394" t="n">
        <v>2.5</v>
      </c>
      <c r="AB394" t="n">
        <v>9.5</v>
      </c>
    </row>
    <row r="395">
      <c r="A395" t="inlineStr">
        <is>
          <t>2026-09-24 13:42:47</t>
        </is>
      </c>
      <c r="B395" t="inlineStr">
        <is>
          <t>MLLB_000_y1.0.3</t>
        </is>
      </c>
      <c r="C395" t="inlineStr">
        <is>
          <t>WHITE</t>
        </is>
      </c>
      <c r="D395" t="inlineStr">
        <is>
          <t>v4_white_MLLB_000_y103_0924</t>
        </is>
      </c>
      <c r="E395" t="n">
        <v>3.6</v>
      </c>
      <c r="F395" t="n">
        <v>3.608</v>
      </c>
      <c r="G395" t="n">
        <v>6</v>
      </c>
      <c r="H395" t="n">
        <v>80</v>
      </c>
      <c r="I395" t="n">
        <v>16</v>
      </c>
      <c r="J395" t="inlineStr">
        <is>
          <t>kaba</t>
        </is>
      </c>
      <c r="K395" t="b">
        <v>1</v>
      </c>
      <c r="M395" t="n">
        <v>242</v>
      </c>
      <c r="N395" t="n">
        <v>44</v>
      </c>
      <c r="O395" t="n">
        <v>214</v>
      </c>
      <c r="P395" t="n">
        <v>760</v>
      </c>
      <c r="Q395" t="n">
        <v>1002</v>
      </c>
      <c r="R395" t="n">
        <v>1.098</v>
      </c>
      <c r="S395" t="n">
        <v>10.417</v>
      </c>
      <c r="T395" t="n">
        <v>9.486000000000001</v>
      </c>
      <c r="U395" t="n">
        <v>0.7776</v>
      </c>
      <c r="V395" t="b">
        <v>1</v>
      </c>
      <c r="X395" t="b">
        <v>0</v>
      </c>
      <c r="Y395" t="inlineStr">
        <is>
          <t>AKIM</t>
        </is>
      </c>
      <c r="Z395" t="n">
        <v>935</v>
      </c>
      <c r="AA395" t="n">
        <v>2.5</v>
      </c>
      <c r="AB395" t="n">
        <v>9.5</v>
      </c>
    </row>
    <row r="396">
      <c r="A396" t="inlineStr">
        <is>
          <t>2026-09-24 13:43:03</t>
        </is>
      </c>
      <c r="B396" t="inlineStr">
        <is>
          <t>MLLB_000_y1.0.3</t>
        </is>
      </c>
      <c r="C396" t="inlineStr">
        <is>
          <t>WHITE</t>
        </is>
      </c>
      <c r="D396" t="inlineStr">
        <is>
          <t>v4_white_MLLB_000_y103_0924</t>
        </is>
      </c>
      <c r="E396" t="n">
        <v>3.6</v>
      </c>
      <c r="F396" t="n">
        <v>3.608</v>
      </c>
      <c r="G396" t="n">
        <v>6</v>
      </c>
      <c r="H396" t="n">
        <v>80</v>
      </c>
      <c r="I396" t="n">
        <v>20</v>
      </c>
      <c r="J396" t="inlineStr">
        <is>
          <t>kaba</t>
        </is>
      </c>
      <c r="K396" t="b">
        <v>1</v>
      </c>
      <c r="M396" t="n">
        <v>172</v>
      </c>
      <c r="N396" t="n">
        <v>48</v>
      </c>
      <c r="O396" t="n">
        <v>144</v>
      </c>
      <c r="P396" t="n">
        <v>830</v>
      </c>
      <c r="Q396" t="n">
        <v>1002</v>
      </c>
      <c r="R396" t="n">
        <v>1.094</v>
      </c>
      <c r="S396" t="n">
        <v>10.421</v>
      </c>
      <c r="T396" t="n">
        <v>9.526999999999999</v>
      </c>
      <c r="U396" t="n">
        <v>0.7778</v>
      </c>
      <c r="V396" t="b">
        <v>1</v>
      </c>
      <c r="X396" t="b">
        <v>0</v>
      </c>
      <c r="Y396" t="inlineStr">
        <is>
          <t>ON</t>
        </is>
      </c>
      <c r="Z396" t="n">
        <v>935</v>
      </c>
      <c r="AA396" t="n">
        <v>2.5</v>
      </c>
      <c r="AB396" t="n">
        <v>9.5</v>
      </c>
    </row>
    <row r="397">
      <c r="A397" t="inlineStr">
        <is>
          <t>2026-09-24 13:43:19</t>
        </is>
      </c>
      <c r="B397" t="inlineStr">
        <is>
          <t>MLLB_000_y1.0.3</t>
        </is>
      </c>
      <c r="C397" t="inlineStr">
        <is>
          <t>WHITE</t>
        </is>
      </c>
      <c r="D397" t="inlineStr">
        <is>
          <t>v4_white_MLLB_000_y103_0924</t>
        </is>
      </c>
      <c r="E397" t="n">
        <v>3.6</v>
      </c>
      <c r="F397" t="n">
        <v>3.608</v>
      </c>
      <c r="G397" t="n">
        <v>6</v>
      </c>
      <c r="H397" t="n">
        <v>80</v>
      </c>
      <c r="I397" t="n">
        <v>24</v>
      </c>
      <c r="J397" t="inlineStr">
        <is>
          <t>kaba</t>
        </is>
      </c>
      <c r="K397" t="b">
        <v>1</v>
      </c>
      <c r="M397" t="n">
        <v>100</v>
      </c>
      <c r="N397" t="n">
        <v>46</v>
      </c>
      <c r="O397" t="n">
        <v>72</v>
      </c>
      <c r="P397" t="n">
        <v>902</v>
      </c>
      <c r="Q397" t="n">
        <v>1002</v>
      </c>
      <c r="R397" t="n">
        <v>1.093</v>
      </c>
      <c r="S397" t="n">
        <v>10.417</v>
      </c>
      <c r="T397" t="n">
        <v>9.532</v>
      </c>
      <c r="U397" t="n">
        <v>0.7779</v>
      </c>
      <c r="V397" t="b">
        <v>1</v>
      </c>
      <c r="X397" t="b">
        <v>0</v>
      </c>
      <c r="Y397" t="inlineStr">
        <is>
          <t>ON</t>
        </is>
      </c>
      <c r="Z397" t="n">
        <v>935</v>
      </c>
      <c r="AA397" t="n">
        <v>2.5</v>
      </c>
      <c r="AB397" t="n">
        <v>9.5</v>
      </c>
    </row>
    <row r="398">
      <c r="A398" t="inlineStr">
        <is>
          <t>2026-09-24 13:43:35</t>
        </is>
      </c>
      <c r="B398" t="inlineStr">
        <is>
          <t>MLLB_000_y1.0.3</t>
        </is>
      </c>
      <c r="C398" t="inlineStr">
        <is>
          <t>WHITE</t>
        </is>
      </c>
      <c r="D398" t="inlineStr">
        <is>
          <t>v4_white_MLLB_000_y103_0924</t>
        </is>
      </c>
      <c r="E398" t="n">
        <v>3.6</v>
      </c>
      <c r="F398" t="n">
        <v>3.608</v>
      </c>
      <c r="G398" t="n">
        <v>6</v>
      </c>
      <c r="H398" t="n">
        <v>80</v>
      </c>
      <c r="I398" t="n">
        <v>28</v>
      </c>
      <c r="J398" t="inlineStr">
        <is>
          <t>kaba</t>
        </is>
      </c>
      <c r="K398" t="b">
        <v>1</v>
      </c>
      <c r="M398" t="n">
        <v>34</v>
      </c>
      <c r="N398" t="n">
        <v>28</v>
      </c>
      <c r="O398" t="n">
        <v>14</v>
      </c>
      <c r="P398" t="n">
        <v>968</v>
      </c>
      <c r="Q398" t="n">
        <v>1002</v>
      </c>
      <c r="R398" t="n">
        <v>1.091</v>
      </c>
      <c r="S398" t="n">
        <v>10.462</v>
      </c>
      <c r="T398" t="n">
        <v>9.593999999999999</v>
      </c>
      <c r="U398" t="n">
        <v>0.7772</v>
      </c>
      <c r="V398" t="b">
        <v>1</v>
      </c>
      <c r="X398" t="b">
        <v>1</v>
      </c>
      <c r="Z398" t="n">
        <v>935</v>
      </c>
      <c r="AA398" t="n">
        <v>2.5</v>
      </c>
      <c r="AB398" t="n">
        <v>9.5</v>
      </c>
    </row>
    <row r="399">
      <c r="A399" t="inlineStr">
        <is>
          <t>2026-09-24 13:43:51</t>
        </is>
      </c>
      <c r="B399" t="inlineStr">
        <is>
          <t>MLLB_000_y1.0.3</t>
        </is>
      </c>
      <c r="C399" t="inlineStr">
        <is>
          <t>WHITE</t>
        </is>
      </c>
      <c r="D399" t="inlineStr">
        <is>
          <t>v4_white_MLLB_000_y103_0924</t>
        </is>
      </c>
      <c r="E399" t="n">
        <v>3.6</v>
      </c>
      <c r="F399" t="n">
        <v>3.608</v>
      </c>
      <c r="G399" t="n">
        <v>6</v>
      </c>
      <c r="H399" t="n">
        <v>80</v>
      </c>
      <c r="I399" t="n">
        <v>32</v>
      </c>
      <c r="J399" t="inlineStr">
        <is>
          <t>kaba</t>
        </is>
      </c>
      <c r="K399" t="b">
        <v>1</v>
      </c>
      <c r="M399" t="n">
        <v>34</v>
      </c>
      <c r="N399" t="n">
        <v>28</v>
      </c>
      <c r="O399" t="n">
        <v>14</v>
      </c>
      <c r="P399" t="n">
        <v>968</v>
      </c>
      <c r="Q399" t="n">
        <v>1002</v>
      </c>
      <c r="R399" t="n">
        <v>4.769</v>
      </c>
      <c r="S399" t="n">
        <v>45.66</v>
      </c>
      <c r="T399" t="n">
        <v>9.574999999999999</v>
      </c>
      <c r="U399" t="n">
        <v>0.7776999999999999</v>
      </c>
      <c r="V399" t="b">
        <v>1</v>
      </c>
      <c r="X399" t="b">
        <v>0</v>
      </c>
      <c r="Y399" t="inlineStr">
        <is>
          <t>FLAS</t>
        </is>
      </c>
      <c r="Z399" t="n">
        <v>935</v>
      </c>
      <c r="AA399" t="n">
        <v>2.5</v>
      </c>
      <c r="AB399" t="n">
        <v>9.5</v>
      </c>
    </row>
    <row r="400">
      <c r="A400" t="inlineStr">
        <is>
          <t>2026-09-24 13:44:07</t>
        </is>
      </c>
      <c r="B400" t="inlineStr">
        <is>
          <t>MLLB_000_y1.0.3</t>
        </is>
      </c>
      <c r="C400" t="inlineStr">
        <is>
          <t>WHITE</t>
        </is>
      </c>
      <c r="D400" t="inlineStr">
        <is>
          <t>v4_white_MLLB_000_y103_0924</t>
        </is>
      </c>
      <c r="E400" t="n">
        <v>3.6</v>
      </c>
      <c r="F400" t="n">
        <v>3.608</v>
      </c>
      <c r="G400" t="n">
        <v>6</v>
      </c>
      <c r="H400" t="n">
        <v>80</v>
      </c>
      <c r="I400" t="n">
        <v>36</v>
      </c>
      <c r="J400" t="inlineStr">
        <is>
          <t>kaba</t>
        </is>
      </c>
      <c r="K400" t="b">
        <v>1</v>
      </c>
      <c r="M400" t="n">
        <v>34</v>
      </c>
      <c r="N400" t="n">
        <v>28</v>
      </c>
      <c r="O400" t="n">
        <v>14</v>
      </c>
      <c r="P400" t="n">
        <v>968</v>
      </c>
      <c r="Q400" t="n">
        <v>1002</v>
      </c>
      <c r="R400" t="n">
        <v>12.317</v>
      </c>
      <c r="S400" t="n">
        <v>118.018</v>
      </c>
      <c r="T400" t="n">
        <v>9.581</v>
      </c>
      <c r="U400" t="n">
        <v>0.7775</v>
      </c>
      <c r="V400" t="b">
        <v>1</v>
      </c>
      <c r="X400" t="b">
        <v>0</v>
      </c>
      <c r="Y400" t="inlineStr">
        <is>
          <t>FLAS</t>
        </is>
      </c>
      <c r="Z400" t="n">
        <v>935</v>
      </c>
      <c r="AA400" t="n">
        <v>2.5</v>
      </c>
      <c r="AB400" t="n">
        <v>9.5</v>
      </c>
    </row>
    <row r="401">
      <c r="A401" t="inlineStr">
        <is>
          <t>2026-09-24 13:44:23</t>
        </is>
      </c>
      <c r="B401" t="inlineStr">
        <is>
          <t>MLLB_000_y1.0.3</t>
        </is>
      </c>
      <c r="C401" t="inlineStr">
        <is>
          <t>WHITE</t>
        </is>
      </c>
      <c r="D401" t="inlineStr">
        <is>
          <t>v4_white_MLLB_000_y103_0924</t>
        </is>
      </c>
      <c r="E401" t="n">
        <v>3.6</v>
      </c>
      <c r="F401" t="n">
        <v>3.608</v>
      </c>
      <c r="G401" t="n">
        <v>6</v>
      </c>
      <c r="H401" t="n">
        <v>80</v>
      </c>
      <c r="I401" t="n">
        <v>25</v>
      </c>
      <c r="J401" t="inlineStr">
        <is>
          <t>ince</t>
        </is>
      </c>
      <c r="K401" t="b">
        <v>1</v>
      </c>
      <c r="M401" t="n">
        <v>82</v>
      </c>
      <c r="N401" t="n">
        <v>50</v>
      </c>
      <c r="O401" t="n">
        <v>54</v>
      </c>
      <c r="P401" t="n">
        <v>920</v>
      </c>
      <c r="Q401" t="n">
        <v>1002</v>
      </c>
      <c r="R401" t="n">
        <v>1.094</v>
      </c>
      <c r="S401" t="n">
        <v>10.462</v>
      </c>
      <c r="T401" t="n">
        <v>9.566000000000001</v>
      </c>
      <c r="U401" t="n">
        <v>0.7776999999999999</v>
      </c>
      <c r="V401" t="b">
        <v>1</v>
      </c>
      <c r="X401" t="b">
        <v>0</v>
      </c>
      <c r="Y401" t="inlineStr">
        <is>
          <t>ON</t>
        </is>
      </c>
      <c r="Z401" t="n">
        <v>935</v>
      </c>
      <c r="AA401" t="n">
        <v>2.5</v>
      </c>
      <c r="AB401" t="n">
        <v>9.5</v>
      </c>
    </row>
    <row r="402">
      <c r="A402" t="inlineStr">
        <is>
          <t>2026-09-24 13:44:39</t>
        </is>
      </c>
      <c r="B402" t="inlineStr">
        <is>
          <t>MLLB_000_y1.0.3</t>
        </is>
      </c>
      <c r="C402" t="inlineStr">
        <is>
          <t>WHITE</t>
        </is>
      </c>
      <c r="D402" t="inlineStr">
        <is>
          <t>v4_white_MLLB_000_y103_0924</t>
        </is>
      </c>
      <c r="E402" t="n">
        <v>3.6</v>
      </c>
      <c r="F402" t="n">
        <v>3.608</v>
      </c>
      <c r="G402" t="n">
        <v>6</v>
      </c>
      <c r="H402" t="n">
        <v>80</v>
      </c>
      <c r="I402" t="n">
        <v>26</v>
      </c>
      <c r="J402" t="inlineStr">
        <is>
          <t>ince</t>
        </is>
      </c>
      <c r="K402" t="b">
        <v>1</v>
      </c>
      <c r="M402" t="n">
        <v>64</v>
      </c>
      <c r="N402" t="n">
        <v>48</v>
      </c>
      <c r="O402" t="n">
        <v>34</v>
      </c>
      <c r="P402" t="n">
        <v>938</v>
      </c>
      <c r="Q402" t="n">
        <v>1002</v>
      </c>
      <c r="R402" t="n">
        <v>1.092</v>
      </c>
      <c r="S402" t="n">
        <v>10.417</v>
      </c>
      <c r="T402" t="n">
        <v>9.539</v>
      </c>
      <c r="U402" t="n">
        <v>0.7774</v>
      </c>
      <c r="V402" t="b">
        <v>1</v>
      </c>
      <c r="X402" t="b">
        <v>1</v>
      </c>
      <c r="Z402" t="n">
        <v>935</v>
      </c>
      <c r="AA402" t="n">
        <v>2.5</v>
      </c>
      <c r="AB402" t="n">
        <v>9.5</v>
      </c>
    </row>
    <row r="403">
      <c r="A403" t="inlineStr">
        <is>
          <t>2026-09-24 13:44:55</t>
        </is>
      </c>
      <c r="B403" t="inlineStr">
        <is>
          <t>MLLB_000_y1.0.3</t>
        </is>
      </c>
      <c r="C403" t="inlineStr">
        <is>
          <t>WHITE</t>
        </is>
      </c>
      <c r="D403" t="inlineStr">
        <is>
          <t>v4_white_MLLB_000_y103_0924</t>
        </is>
      </c>
      <c r="E403" t="n">
        <v>3.6</v>
      </c>
      <c r="F403" t="n">
        <v>3.608</v>
      </c>
      <c r="G403" t="n">
        <v>6</v>
      </c>
      <c r="H403" t="n">
        <v>80</v>
      </c>
      <c r="I403" t="n">
        <v>27</v>
      </c>
      <c r="J403" t="inlineStr">
        <is>
          <t>ince</t>
        </is>
      </c>
      <c r="K403" t="b">
        <v>1</v>
      </c>
      <c r="M403" t="n">
        <v>42</v>
      </c>
      <c r="N403" t="n">
        <v>44</v>
      </c>
      <c r="O403" t="n">
        <v>18</v>
      </c>
      <c r="P403" t="n">
        <v>960</v>
      </c>
      <c r="Q403" t="n">
        <v>1002</v>
      </c>
      <c r="R403" t="n">
        <v>1.092</v>
      </c>
      <c r="S403" t="n">
        <v>10.439</v>
      </c>
      <c r="T403" t="n">
        <v>9.555999999999999</v>
      </c>
      <c r="U403" t="n">
        <v>0.7772</v>
      </c>
      <c r="V403" t="b">
        <v>1</v>
      </c>
      <c r="X403" t="b">
        <v>1</v>
      </c>
      <c r="Z403" t="n">
        <v>935</v>
      </c>
      <c r="AA403" t="n">
        <v>2.5</v>
      </c>
      <c r="AB403" t="n">
        <v>9.5</v>
      </c>
    </row>
    <row r="404">
      <c r="A404" t="inlineStr">
        <is>
          <t>2026-09-24 13:45:11</t>
        </is>
      </c>
      <c r="B404" t="inlineStr">
        <is>
          <t>MLLB_000_y1.0.3</t>
        </is>
      </c>
      <c r="C404" t="inlineStr">
        <is>
          <t>WHITE</t>
        </is>
      </c>
      <c r="D404" t="inlineStr">
        <is>
          <t>v4_white_MLLB_000_y103_0924</t>
        </is>
      </c>
      <c r="E404" t="n">
        <v>3.6</v>
      </c>
      <c r="F404" t="n">
        <v>3.608</v>
      </c>
      <c r="G404" t="n">
        <v>6</v>
      </c>
      <c r="H404" t="n">
        <v>80</v>
      </c>
      <c r="I404" t="n">
        <v>29</v>
      </c>
      <c r="J404" t="inlineStr">
        <is>
          <t>ince</t>
        </is>
      </c>
      <c r="K404" t="b">
        <v>1</v>
      </c>
      <c r="M404" t="n">
        <v>34</v>
      </c>
      <c r="N404" t="n">
        <v>28</v>
      </c>
      <c r="O404" t="n">
        <v>14</v>
      </c>
      <c r="P404" t="n">
        <v>968</v>
      </c>
      <c r="Q404" t="n">
        <v>1002</v>
      </c>
      <c r="R404" t="n">
        <v>1.757</v>
      </c>
      <c r="S404" t="n">
        <v>16.74</v>
      </c>
      <c r="T404" t="n">
        <v>9.529</v>
      </c>
      <c r="U404" t="n">
        <v>0.7772</v>
      </c>
      <c r="V404" t="b">
        <v>1</v>
      </c>
      <c r="X404" t="b">
        <v>1</v>
      </c>
      <c r="Z404" t="n">
        <v>935</v>
      </c>
      <c r="AA404" t="n">
        <v>2.5</v>
      </c>
      <c r="AB404" t="n">
        <v>9.5</v>
      </c>
    </row>
    <row r="405">
      <c r="A405" t="inlineStr">
        <is>
          <t>2026-09-24 13:45:27</t>
        </is>
      </c>
      <c r="B405" t="inlineStr">
        <is>
          <t>MLLB_000_y1.0.3</t>
        </is>
      </c>
      <c r="C405" t="inlineStr">
        <is>
          <t>WHITE</t>
        </is>
      </c>
      <c r="D405" t="inlineStr">
        <is>
          <t>v4_white_MLLB_000_y103_0924</t>
        </is>
      </c>
      <c r="E405" t="n">
        <v>3.6</v>
      </c>
      <c r="F405" t="n">
        <v>3.608</v>
      </c>
      <c r="G405" t="n">
        <v>6</v>
      </c>
      <c r="H405" t="n">
        <v>80</v>
      </c>
      <c r="I405" t="n">
        <v>30</v>
      </c>
      <c r="J405" t="inlineStr">
        <is>
          <t>ince</t>
        </is>
      </c>
      <c r="K405" t="b">
        <v>1</v>
      </c>
      <c r="M405" t="n">
        <v>34</v>
      </c>
      <c r="N405" t="n">
        <v>28</v>
      </c>
      <c r="O405" t="n">
        <v>14</v>
      </c>
      <c r="P405" t="n">
        <v>968</v>
      </c>
      <c r="Q405" t="n">
        <v>1002</v>
      </c>
      <c r="R405" t="n">
        <v>2.914</v>
      </c>
      <c r="S405" t="n">
        <v>27.856</v>
      </c>
      <c r="T405" t="n">
        <v>9.558999999999999</v>
      </c>
      <c r="U405" t="n">
        <v>0.777</v>
      </c>
      <c r="V405" t="b">
        <v>1</v>
      </c>
      <c r="X405" t="b">
        <v>0</v>
      </c>
      <c r="Y405" t="inlineStr">
        <is>
          <t>FLAS</t>
        </is>
      </c>
      <c r="Z405" t="n">
        <v>935</v>
      </c>
      <c r="AA405" t="n">
        <v>2.5</v>
      </c>
      <c r="AB405" t="n">
        <v>9.5</v>
      </c>
    </row>
    <row r="406">
      <c r="A406" t="inlineStr">
        <is>
          <t>2026-09-24 13:45:43</t>
        </is>
      </c>
      <c r="B406" t="inlineStr">
        <is>
          <t>MLLB_000_y1.0.3</t>
        </is>
      </c>
      <c r="C406" t="inlineStr">
        <is>
          <t>WHITE</t>
        </is>
      </c>
      <c r="D406" t="inlineStr">
        <is>
          <t>v4_white_MLLB_000_y103_0924</t>
        </is>
      </c>
      <c r="E406" t="n">
        <v>3.6</v>
      </c>
      <c r="F406" t="n">
        <v>3.608</v>
      </c>
      <c r="G406" t="n">
        <v>6</v>
      </c>
      <c r="H406" t="n">
        <v>80</v>
      </c>
      <c r="I406" t="n">
        <v>31</v>
      </c>
      <c r="J406" t="inlineStr">
        <is>
          <t>ince</t>
        </is>
      </c>
      <c r="K406" t="b">
        <v>1</v>
      </c>
      <c r="M406" t="n">
        <v>34</v>
      </c>
      <c r="N406" t="n">
        <v>28</v>
      </c>
      <c r="O406" t="n">
        <v>14</v>
      </c>
      <c r="P406" t="n">
        <v>968</v>
      </c>
      <c r="Q406" t="n">
        <v>1002</v>
      </c>
      <c r="R406" t="n">
        <v>4.08</v>
      </c>
      <c r="S406" t="n">
        <v>39.037</v>
      </c>
      <c r="T406" t="n">
        <v>9.568</v>
      </c>
      <c r="U406" t="n">
        <v>0.7774</v>
      </c>
      <c r="V406" t="b">
        <v>1</v>
      </c>
      <c r="X406" t="b">
        <v>0</v>
      </c>
      <c r="Y406" t="inlineStr">
        <is>
          <t>FLAS</t>
        </is>
      </c>
      <c r="Z406" t="n">
        <v>935</v>
      </c>
      <c r="AA406" t="n">
        <v>2.5</v>
      </c>
      <c r="AB406" t="n">
        <v>9.5</v>
      </c>
    </row>
    <row r="407">
      <c r="A407" t="inlineStr">
        <is>
          <t>2026-09-24 13:45:43</t>
        </is>
      </c>
      <c r="B407" t="inlineStr">
        <is>
          <t>MLLB_000_y1.0.3</t>
        </is>
      </c>
      <c r="C407" t="inlineStr">
        <is>
          <t>WHITE</t>
        </is>
      </c>
      <c r="D407" t="inlineStr">
        <is>
          <t>v4_white_MLLB_000_y103_0924</t>
        </is>
      </c>
      <c r="E407" t="n">
        <v>3.6</v>
      </c>
      <c r="F407" t="n">
        <v>3.608</v>
      </c>
      <c r="G407" t="n">
        <v>6</v>
      </c>
      <c r="H407" t="n">
        <v>80</v>
      </c>
      <c r="J407" t="inlineStr">
        <is>
          <t>bitti</t>
        </is>
      </c>
      <c r="K407" t="b">
        <v>0</v>
      </c>
      <c r="Z407" t="n">
        <v>935</v>
      </c>
      <c r="AA407" t="n">
        <v>2.5</v>
      </c>
      <c r="AB407" t="n">
        <v>9.5</v>
      </c>
    </row>
    <row r="408">
      <c r="A408" t="inlineStr">
        <is>
          <t>2026-09-24 13:45:59</t>
        </is>
      </c>
      <c r="B408" t="inlineStr">
        <is>
          <t>MLLB_000_y1.0.3</t>
        </is>
      </c>
      <c r="C408" t="inlineStr">
        <is>
          <t>WHITE</t>
        </is>
      </c>
      <c r="D408" t="inlineStr">
        <is>
          <t>v4_white_MLLB_000_y103_0924</t>
        </is>
      </c>
      <c r="E408" t="n">
        <v>3.6</v>
      </c>
      <c r="F408" t="n">
        <v>3.608</v>
      </c>
      <c r="G408" t="n">
        <v>6</v>
      </c>
      <c r="H408" t="n">
        <v>60</v>
      </c>
      <c r="I408" t="n">
        <v>12</v>
      </c>
      <c r="J408" t="inlineStr">
        <is>
          <t>kaba</t>
        </is>
      </c>
      <c r="K408" t="b">
        <v>1</v>
      </c>
      <c r="M408" t="n">
        <v>358</v>
      </c>
      <c r="N408" t="n">
        <v>46</v>
      </c>
      <c r="O408" t="n">
        <v>330</v>
      </c>
      <c r="P408" t="n">
        <v>644</v>
      </c>
      <c r="Q408" t="n">
        <v>1002</v>
      </c>
      <c r="R408" t="n">
        <v>1.114</v>
      </c>
      <c r="S408" t="n">
        <v>10.462</v>
      </c>
      <c r="T408" t="n">
        <v>9.390000000000001</v>
      </c>
      <c r="U408" t="n">
        <v>0.7776999999999999</v>
      </c>
      <c r="V408" t="b">
        <v>1</v>
      </c>
      <c r="X408" t="b">
        <v>0</v>
      </c>
      <c r="Y408" t="inlineStr">
        <is>
          <t>AKIM</t>
        </is>
      </c>
      <c r="Z408" t="n">
        <v>935</v>
      </c>
      <c r="AA408" t="n">
        <v>2.5</v>
      </c>
      <c r="AB408" t="n">
        <v>9.5</v>
      </c>
    </row>
    <row r="409">
      <c r="A409" t="inlineStr">
        <is>
          <t>2026-09-24 13:46:15</t>
        </is>
      </c>
      <c r="B409" t="inlineStr">
        <is>
          <t>MLLB_000_y1.0.3</t>
        </is>
      </c>
      <c r="C409" t="inlineStr">
        <is>
          <t>WHITE</t>
        </is>
      </c>
      <c r="D409" t="inlineStr">
        <is>
          <t>v4_white_MLLB_000_y103_0924</t>
        </is>
      </c>
      <c r="E409" t="n">
        <v>3.6</v>
      </c>
      <c r="F409" t="n">
        <v>3.608</v>
      </c>
      <c r="G409" t="n">
        <v>6</v>
      </c>
      <c r="H409" t="n">
        <v>60</v>
      </c>
      <c r="I409" t="n">
        <v>16</v>
      </c>
      <c r="J409" t="inlineStr">
        <is>
          <t>kaba</t>
        </is>
      </c>
      <c r="K409" t="b">
        <v>1</v>
      </c>
      <c r="M409" t="n">
        <v>308</v>
      </c>
      <c r="N409" t="n">
        <v>48</v>
      </c>
      <c r="O409" t="n">
        <v>280</v>
      </c>
      <c r="P409" t="n">
        <v>694</v>
      </c>
      <c r="Q409" t="n">
        <v>1002</v>
      </c>
      <c r="R409" t="n">
        <v>1.103</v>
      </c>
      <c r="S409" t="n">
        <v>10.417</v>
      </c>
      <c r="T409" t="n">
        <v>9.442</v>
      </c>
      <c r="U409" t="n">
        <v>0.7773</v>
      </c>
      <c r="V409" t="b">
        <v>1</v>
      </c>
      <c r="X409" t="b">
        <v>0</v>
      </c>
      <c r="Y409" t="inlineStr">
        <is>
          <t>AKIM</t>
        </is>
      </c>
      <c r="Z409" t="n">
        <v>935</v>
      </c>
      <c r="AA409" t="n">
        <v>2.5</v>
      </c>
      <c r="AB409" t="n">
        <v>9.5</v>
      </c>
    </row>
    <row r="410">
      <c r="A410" t="inlineStr">
        <is>
          <t>2026-09-24 13:46:31</t>
        </is>
      </c>
      <c r="B410" t="inlineStr">
        <is>
          <t>MLLB_000_y1.0.3</t>
        </is>
      </c>
      <c r="C410" t="inlineStr">
        <is>
          <t>WHITE</t>
        </is>
      </c>
      <c r="D410" t="inlineStr">
        <is>
          <t>v4_white_MLLB_000_y103_0924</t>
        </is>
      </c>
      <c r="E410" t="n">
        <v>3.6</v>
      </c>
      <c r="F410" t="n">
        <v>3.608</v>
      </c>
      <c r="G410" t="n">
        <v>6</v>
      </c>
      <c r="H410" t="n">
        <v>60</v>
      </c>
      <c r="I410" t="n">
        <v>20</v>
      </c>
      <c r="J410" t="inlineStr">
        <is>
          <t>kaba</t>
        </is>
      </c>
      <c r="K410" t="b">
        <v>1</v>
      </c>
      <c r="M410" t="n">
        <v>256</v>
      </c>
      <c r="N410" t="n">
        <v>44</v>
      </c>
      <c r="O410" t="n">
        <v>230</v>
      </c>
      <c r="P410" t="n">
        <v>746</v>
      </c>
      <c r="Q410" t="n">
        <v>1002</v>
      </c>
      <c r="R410" t="n">
        <v>1.098</v>
      </c>
      <c r="S410" t="n">
        <v>10.417</v>
      </c>
      <c r="T410" t="n">
        <v>9.491</v>
      </c>
      <c r="U410" t="n">
        <v>0.7776</v>
      </c>
      <c r="V410" t="b">
        <v>1</v>
      </c>
      <c r="X410" t="b">
        <v>0</v>
      </c>
      <c r="Y410" t="inlineStr">
        <is>
          <t>AKIM</t>
        </is>
      </c>
      <c r="Z410" t="n">
        <v>935</v>
      </c>
      <c r="AA410" t="n">
        <v>2.5</v>
      </c>
      <c r="AB410" t="n">
        <v>9.5</v>
      </c>
    </row>
    <row r="411">
      <c r="A411" t="inlineStr">
        <is>
          <t>2026-09-24 13:46:47</t>
        </is>
      </c>
      <c r="B411" t="inlineStr">
        <is>
          <t>MLLB_000_y1.0.3</t>
        </is>
      </c>
      <c r="C411" t="inlineStr">
        <is>
          <t>WHITE</t>
        </is>
      </c>
      <c r="D411" t="inlineStr">
        <is>
          <t>v4_white_MLLB_000_y103_0924</t>
        </is>
      </c>
      <c r="E411" t="n">
        <v>3.6</v>
      </c>
      <c r="F411" t="n">
        <v>3.608</v>
      </c>
      <c r="G411" t="n">
        <v>6</v>
      </c>
      <c r="H411" t="n">
        <v>60</v>
      </c>
      <c r="I411" t="n">
        <v>24</v>
      </c>
      <c r="J411" t="inlineStr">
        <is>
          <t>kaba</t>
        </is>
      </c>
      <c r="K411" t="b">
        <v>1</v>
      </c>
      <c r="M411" t="n">
        <v>204</v>
      </c>
      <c r="N411" t="n">
        <v>50</v>
      </c>
      <c r="O411" t="n">
        <v>178</v>
      </c>
      <c r="P411" t="n">
        <v>798</v>
      </c>
      <c r="Q411" t="n">
        <v>1002</v>
      </c>
      <c r="R411" t="n">
        <v>1.095</v>
      </c>
      <c r="S411" t="n">
        <v>10.417</v>
      </c>
      <c r="T411" t="n">
        <v>9.515000000000001</v>
      </c>
      <c r="U411" t="n">
        <v>0.777</v>
      </c>
      <c r="V411" t="b">
        <v>1</v>
      </c>
      <c r="X411" t="b">
        <v>0</v>
      </c>
      <c r="Y411" t="inlineStr">
        <is>
          <t>ON</t>
        </is>
      </c>
      <c r="Z411" t="n">
        <v>935</v>
      </c>
      <c r="AA411" t="n">
        <v>2.5</v>
      </c>
      <c r="AB411" t="n">
        <v>9.5</v>
      </c>
    </row>
    <row r="412">
      <c r="A412" t="inlineStr">
        <is>
          <t>2026-09-24 13:47:03</t>
        </is>
      </c>
      <c r="B412" t="inlineStr">
        <is>
          <t>MLLB_000_y1.0.3</t>
        </is>
      </c>
      <c r="C412" t="inlineStr">
        <is>
          <t>WHITE</t>
        </is>
      </c>
      <c r="D412" t="inlineStr">
        <is>
          <t>v4_white_MLLB_000_y103_0924</t>
        </is>
      </c>
      <c r="E412" t="n">
        <v>3.6</v>
      </c>
      <c r="F412" t="n">
        <v>3.608</v>
      </c>
      <c r="G412" t="n">
        <v>6</v>
      </c>
      <c r="H412" t="n">
        <v>60</v>
      </c>
      <c r="I412" t="n">
        <v>28</v>
      </c>
      <c r="J412" t="inlineStr">
        <is>
          <t>kaba</t>
        </is>
      </c>
      <c r="K412" t="b">
        <v>1</v>
      </c>
      <c r="M412" t="n">
        <v>154</v>
      </c>
      <c r="N412" t="n">
        <v>44</v>
      </c>
      <c r="O412" t="n">
        <v>126</v>
      </c>
      <c r="P412" t="n">
        <v>848</v>
      </c>
      <c r="Q412" t="n">
        <v>1002</v>
      </c>
      <c r="R412" t="n">
        <v>1.093</v>
      </c>
      <c r="S412" t="n">
        <v>10.424</v>
      </c>
      <c r="T412" t="n">
        <v>9.538</v>
      </c>
      <c r="U412" t="n">
        <v>0.7773</v>
      </c>
      <c r="V412" t="b">
        <v>1</v>
      </c>
      <c r="X412" t="b">
        <v>0</v>
      </c>
      <c r="Y412" t="inlineStr">
        <is>
          <t>ON</t>
        </is>
      </c>
      <c r="Z412" t="n">
        <v>935</v>
      </c>
      <c r="AA412" t="n">
        <v>2.5</v>
      </c>
      <c r="AB412" t="n">
        <v>9.5</v>
      </c>
    </row>
    <row r="413">
      <c r="A413" t="inlineStr">
        <is>
          <t>2026-09-24 13:47:19</t>
        </is>
      </c>
      <c r="B413" t="inlineStr">
        <is>
          <t>MLLB_000_y1.0.3</t>
        </is>
      </c>
      <c r="C413" t="inlineStr">
        <is>
          <t>WHITE</t>
        </is>
      </c>
      <c r="D413" t="inlineStr">
        <is>
          <t>v4_white_MLLB_000_y103_0924</t>
        </is>
      </c>
      <c r="E413" t="n">
        <v>3.6</v>
      </c>
      <c r="F413" t="n">
        <v>3.608</v>
      </c>
      <c r="G413" t="n">
        <v>6</v>
      </c>
      <c r="H413" t="n">
        <v>60</v>
      </c>
      <c r="I413" t="n">
        <v>32</v>
      </c>
      <c r="J413" t="inlineStr">
        <is>
          <t>kaba</t>
        </is>
      </c>
      <c r="K413" t="b">
        <v>1</v>
      </c>
      <c r="M413" t="n">
        <v>102</v>
      </c>
      <c r="N413" t="n">
        <v>44</v>
      </c>
      <c r="O413" t="n">
        <v>74</v>
      </c>
      <c r="P413" t="n">
        <v>900</v>
      </c>
      <c r="Q413" t="n">
        <v>1002</v>
      </c>
      <c r="R413" t="n">
        <v>1.09</v>
      </c>
      <c r="S413" t="n">
        <v>10.417</v>
      </c>
      <c r="T413" t="n">
        <v>9.555</v>
      </c>
      <c r="U413" t="n">
        <v>0.7773</v>
      </c>
      <c r="V413" t="b">
        <v>1</v>
      </c>
      <c r="X413" t="b">
        <v>0</v>
      </c>
      <c r="Y413" t="inlineStr">
        <is>
          <t>ON</t>
        </is>
      </c>
      <c r="Z413" t="n">
        <v>935</v>
      </c>
      <c r="AA413" t="n">
        <v>2.5</v>
      </c>
      <c r="AB413" t="n">
        <v>9.5</v>
      </c>
    </row>
    <row r="414">
      <c r="A414" t="inlineStr">
        <is>
          <t>2026-09-24 13:47:35</t>
        </is>
      </c>
      <c r="B414" t="inlineStr">
        <is>
          <t>MLLB_000_y1.0.3</t>
        </is>
      </c>
      <c r="C414" t="inlineStr">
        <is>
          <t>WHITE</t>
        </is>
      </c>
      <c r="D414" t="inlineStr">
        <is>
          <t>v4_white_MLLB_000_y103_0924</t>
        </is>
      </c>
      <c r="E414" t="n">
        <v>3.6</v>
      </c>
      <c r="F414" t="n">
        <v>3.608</v>
      </c>
      <c r="G414" t="n">
        <v>6</v>
      </c>
      <c r="H414" t="n">
        <v>60</v>
      </c>
      <c r="I414" t="n">
        <v>36</v>
      </c>
      <c r="J414" t="inlineStr">
        <is>
          <t>kaba</t>
        </is>
      </c>
      <c r="K414" t="b">
        <v>1</v>
      </c>
      <c r="M414" t="n">
        <v>46</v>
      </c>
      <c r="N414" t="n">
        <v>38</v>
      </c>
      <c r="O414" t="n">
        <v>26</v>
      </c>
      <c r="P414" t="n">
        <v>956</v>
      </c>
      <c r="Q414" t="n">
        <v>1002</v>
      </c>
      <c r="R414" t="n">
        <v>1.094</v>
      </c>
      <c r="S414" t="n">
        <v>10.462</v>
      </c>
      <c r="T414" t="n">
        <v>9.568</v>
      </c>
      <c r="U414" t="n">
        <v>0.7779</v>
      </c>
      <c r="V414" t="b">
        <v>1</v>
      </c>
      <c r="X414" t="b">
        <v>1</v>
      </c>
      <c r="Z414" t="n">
        <v>935</v>
      </c>
      <c r="AA414" t="n">
        <v>2.5</v>
      </c>
      <c r="AB414" t="n">
        <v>9.5</v>
      </c>
    </row>
    <row r="415">
      <c r="A415" t="inlineStr">
        <is>
          <t>2026-09-24 13:47:51</t>
        </is>
      </c>
      <c r="B415" t="inlineStr">
        <is>
          <t>MLLB_000_y1.0.3</t>
        </is>
      </c>
      <c r="C415" t="inlineStr">
        <is>
          <t>WHITE</t>
        </is>
      </c>
      <c r="D415" t="inlineStr">
        <is>
          <t>v4_white_MLLB_000_y103_0924</t>
        </is>
      </c>
      <c r="E415" t="n">
        <v>3.6</v>
      </c>
      <c r="F415" t="n">
        <v>3.608</v>
      </c>
      <c r="G415" t="n">
        <v>6</v>
      </c>
      <c r="H415" t="n">
        <v>60</v>
      </c>
      <c r="I415" t="n">
        <v>40</v>
      </c>
      <c r="J415" t="inlineStr">
        <is>
          <t>kaba</t>
        </is>
      </c>
      <c r="K415" t="b">
        <v>1</v>
      </c>
      <c r="M415" t="n">
        <v>44</v>
      </c>
      <c r="N415" t="n">
        <v>28</v>
      </c>
      <c r="O415" t="n">
        <v>26</v>
      </c>
      <c r="P415" t="n">
        <v>958</v>
      </c>
      <c r="Q415" t="n">
        <v>1002</v>
      </c>
      <c r="R415" t="n">
        <v>3.257</v>
      </c>
      <c r="S415" t="n">
        <v>31.119</v>
      </c>
      <c r="T415" t="n">
        <v>9.555999999999999</v>
      </c>
      <c r="U415" t="n">
        <v>0.7778</v>
      </c>
      <c r="V415" t="b">
        <v>1</v>
      </c>
      <c r="X415" t="b">
        <v>0</v>
      </c>
      <c r="Y415" t="inlineStr">
        <is>
          <t>FLAS</t>
        </is>
      </c>
      <c r="Z415" t="n">
        <v>935</v>
      </c>
      <c r="AA415" t="n">
        <v>2.5</v>
      </c>
      <c r="AB415" t="n">
        <v>9.5</v>
      </c>
    </row>
    <row r="416">
      <c r="A416" t="inlineStr">
        <is>
          <t>2026-09-24 13:48:07</t>
        </is>
      </c>
      <c r="B416" t="inlineStr">
        <is>
          <t>MLLB_000_y1.0.3</t>
        </is>
      </c>
      <c r="C416" t="inlineStr">
        <is>
          <t>WHITE</t>
        </is>
      </c>
      <c r="D416" t="inlineStr">
        <is>
          <t>v4_white_MLLB_000_y103_0924</t>
        </is>
      </c>
      <c r="E416" t="n">
        <v>3.6</v>
      </c>
      <c r="F416" t="n">
        <v>3.608</v>
      </c>
      <c r="G416" t="n">
        <v>6</v>
      </c>
      <c r="H416" t="n">
        <v>60</v>
      </c>
      <c r="I416" t="n">
        <v>44</v>
      </c>
      <c r="J416" t="inlineStr">
        <is>
          <t>kaba</t>
        </is>
      </c>
      <c r="K416" t="b">
        <v>1</v>
      </c>
      <c r="M416" t="n">
        <v>44</v>
      </c>
      <c r="N416" t="n">
        <v>28</v>
      </c>
      <c r="O416" t="n">
        <v>26</v>
      </c>
      <c r="P416" t="n">
        <v>958</v>
      </c>
      <c r="Q416" t="n">
        <v>1002</v>
      </c>
      <c r="R416" t="n">
        <v>5.266</v>
      </c>
      <c r="S416" t="n">
        <v>50.427</v>
      </c>
      <c r="T416" t="n">
        <v>9.577</v>
      </c>
      <c r="U416" t="n">
        <v>0.7779</v>
      </c>
      <c r="V416" t="b">
        <v>1</v>
      </c>
      <c r="X416" t="b">
        <v>0</v>
      </c>
      <c r="Y416" t="inlineStr">
        <is>
          <t>FLAS</t>
        </is>
      </c>
      <c r="Z416" t="n">
        <v>935</v>
      </c>
      <c r="AA416" t="n">
        <v>2.5</v>
      </c>
      <c r="AB416" t="n">
        <v>9.5</v>
      </c>
    </row>
    <row r="417">
      <c r="A417" t="inlineStr">
        <is>
          <t>2026-09-24 13:48:23</t>
        </is>
      </c>
      <c r="B417" t="inlineStr">
        <is>
          <t>MLLB_000_y1.0.3</t>
        </is>
      </c>
      <c r="C417" t="inlineStr">
        <is>
          <t>WHITE</t>
        </is>
      </c>
      <c r="D417" t="inlineStr">
        <is>
          <t>v4_white_MLLB_000_y103_0924</t>
        </is>
      </c>
      <c r="E417" t="n">
        <v>3.6</v>
      </c>
      <c r="F417" t="n">
        <v>3.608</v>
      </c>
      <c r="G417" t="n">
        <v>6</v>
      </c>
      <c r="H417" t="n">
        <v>60</v>
      </c>
      <c r="I417" t="n">
        <v>33</v>
      </c>
      <c r="J417" t="inlineStr">
        <is>
          <t>ince</t>
        </is>
      </c>
      <c r="K417" t="b">
        <v>1</v>
      </c>
      <c r="M417" t="n">
        <v>88</v>
      </c>
      <c r="N417" t="n">
        <v>50</v>
      </c>
      <c r="O417" t="n">
        <v>58</v>
      </c>
      <c r="P417" t="n">
        <v>914</v>
      </c>
      <c r="Q417" t="n">
        <v>1002</v>
      </c>
      <c r="R417" t="n">
        <v>1.095</v>
      </c>
      <c r="S417" t="n">
        <v>10.462</v>
      </c>
      <c r="T417" t="n">
        <v>9.553000000000001</v>
      </c>
      <c r="U417" t="n">
        <v>0.7771</v>
      </c>
      <c r="V417" t="b">
        <v>1</v>
      </c>
      <c r="X417" t="b">
        <v>0</v>
      </c>
      <c r="Y417" t="inlineStr">
        <is>
          <t>ON</t>
        </is>
      </c>
      <c r="Z417" t="n">
        <v>935</v>
      </c>
      <c r="AA417" t="n">
        <v>2.5</v>
      </c>
      <c r="AB417" t="n">
        <v>9.5</v>
      </c>
    </row>
    <row r="418">
      <c r="A418" t="inlineStr">
        <is>
          <t>2026-09-24 13:48:39</t>
        </is>
      </c>
      <c r="B418" t="inlineStr">
        <is>
          <t>MLLB_000_y1.0.3</t>
        </is>
      </c>
      <c r="C418" t="inlineStr">
        <is>
          <t>WHITE</t>
        </is>
      </c>
      <c r="D418" t="inlineStr">
        <is>
          <t>v4_white_MLLB_000_y103_0924</t>
        </is>
      </c>
      <c r="E418" t="n">
        <v>3.6</v>
      </c>
      <c r="F418" t="n">
        <v>3.608</v>
      </c>
      <c r="G418" t="n">
        <v>6</v>
      </c>
      <c r="H418" t="n">
        <v>60</v>
      </c>
      <c r="I418" t="n">
        <v>34</v>
      </c>
      <c r="J418" t="inlineStr">
        <is>
          <t>ince</t>
        </is>
      </c>
      <c r="K418" t="b">
        <v>1</v>
      </c>
      <c r="M418" t="n">
        <v>74</v>
      </c>
      <c r="N418" t="n">
        <v>50</v>
      </c>
      <c r="O418" t="n">
        <v>46</v>
      </c>
      <c r="P418" t="n">
        <v>928</v>
      </c>
      <c r="Q418" t="n">
        <v>1002</v>
      </c>
      <c r="R418" t="n">
        <v>1.094</v>
      </c>
      <c r="S418" t="n">
        <v>10.462</v>
      </c>
      <c r="T418" t="n">
        <v>9.566000000000001</v>
      </c>
      <c r="U418" t="n">
        <v>0.7776</v>
      </c>
      <c r="V418" t="b">
        <v>1</v>
      </c>
      <c r="X418" t="b">
        <v>0</v>
      </c>
      <c r="Y418" t="inlineStr">
        <is>
          <t>ON</t>
        </is>
      </c>
      <c r="Z418" t="n">
        <v>935</v>
      </c>
      <c r="AA418" t="n">
        <v>2.5</v>
      </c>
      <c r="AB418" t="n">
        <v>9.5</v>
      </c>
    </row>
    <row r="419">
      <c r="A419" t="inlineStr">
        <is>
          <t>2026-09-24 13:48:55</t>
        </is>
      </c>
      <c r="B419" t="inlineStr">
        <is>
          <t>MLLB_000_y1.0.3</t>
        </is>
      </c>
      <c r="C419" t="inlineStr">
        <is>
          <t>WHITE</t>
        </is>
      </c>
      <c r="D419" t="inlineStr">
        <is>
          <t>v4_white_MLLB_000_y103_0924</t>
        </is>
      </c>
      <c r="E419" t="n">
        <v>3.6</v>
      </c>
      <c r="F419" t="n">
        <v>3.608</v>
      </c>
      <c r="G419" t="n">
        <v>6</v>
      </c>
      <c r="H419" t="n">
        <v>60</v>
      </c>
      <c r="I419" t="n">
        <v>35</v>
      </c>
      <c r="J419" t="inlineStr">
        <is>
          <t>ince</t>
        </is>
      </c>
      <c r="K419" t="b">
        <v>1</v>
      </c>
      <c r="M419" t="n">
        <v>60</v>
      </c>
      <c r="N419" t="n">
        <v>50</v>
      </c>
      <c r="O419" t="n">
        <v>30</v>
      </c>
      <c r="P419" t="n">
        <v>942</v>
      </c>
      <c r="Q419" t="n">
        <v>1002</v>
      </c>
      <c r="R419" t="n">
        <v>1.091</v>
      </c>
      <c r="S419" t="n">
        <v>10.417</v>
      </c>
      <c r="T419" t="n">
        <v>9.552</v>
      </c>
      <c r="U419" t="n">
        <v>0.7782</v>
      </c>
      <c r="V419" t="b">
        <v>1</v>
      </c>
      <c r="X419" t="b">
        <v>1</v>
      </c>
      <c r="Z419" t="n">
        <v>935</v>
      </c>
      <c r="AA419" t="n">
        <v>2.5</v>
      </c>
      <c r="AB419" t="n">
        <v>9.5</v>
      </c>
    </row>
    <row r="420">
      <c r="A420" t="inlineStr">
        <is>
          <t>2026-09-24 13:49:11</t>
        </is>
      </c>
      <c r="B420" t="inlineStr">
        <is>
          <t>MLLB_000_y1.0.3</t>
        </is>
      </c>
      <c r="C420" t="inlineStr">
        <is>
          <t>WHITE</t>
        </is>
      </c>
      <c r="D420" t="inlineStr">
        <is>
          <t>v4_white_MLLB_000_y103_0924</t>
        </is>
      </c>
      <c r="E420" t="n">
        <v>3.6</v>
      </c>
      <c r="F420" t="n">
        <v>3.608</v>
      </c>
      <c r="G420" t="n">
        <v>6</v>
      </c>
      <c r="H420" t="n">
        <v>60</v>
      </c>
      <c r="I420" t="n">
        <v>37</v>
      </c>
      <c r="J420" t="inlineStr">
        <is>
          <t>ince</t>
        </is>
      </c>
      <c r="K420" t="b">
        <v>1</v>
      </c>
      <c r="M420" t="n">
        <v>44</v>
      </c>
      <c r="N420" t="n">
        <v>28</v>
      </c>
      <c r="O420" t="n">
        <v>26</v>
      </c>
      <c r="P420" t="n">
        <v>958</v>
      </c>
      <c r="Q420" t="n">
        <v>1002</v>
      </c>
      <c r="R420" t="n">
        <v>1.09</v>
      </c>
      <c r="S420" t="n">
        <v>10.417</v>
      </c>
      <c r="T420" t="n">
        <v>9.554</v>
      </c>
      <c r="U420" t="n">
        <v>0.7771</v>
      </c>
      <c r="V420" t="b">
        <v>1</v>
      </c>
      <c r="X420" t="b">
        <v>1</v>
      </c>
      <c r="Z420" t="n">
        <v>935</v>
      </c>
      <c r="AA420" t="n">
        <v>2.5</v>
      </c>
      <c r="AB420" t="n">
        <v>9.5</v>
      </c>
    </row>
    <row r="421">
      <c r="A421" t="inlineStr">
        <is>
          <t>2026-09-24 13:49:27</t>
        </is>
      </c>
      <c r="B421" t="inlineStr">
        <is>
          <t>MLLB_000_y1.0.3</t>
        </is>
      </c>
      <c r="C421" t="inlineStr">
        <is>
          <t>WHITE</t>
        </is>
      </c>
      <c r="D421" t="inlineStr">
        <is>
          <t>v4_white_MLLB_000_y103_0924</t>
        </is>
      </c>
      <c r="E421" t="n">
        <v>3.6</v>
      </c>
      <c r="F421" t="n">
        <v>3.608</v>
      </c>
      <c r="G421" t="n">
        <v>6</v>
      </c>
      <c r="H421" t="n">
        <v>60</v>
      </c>
      <c r="I421" t="n">
        <v>38</v>
      </c>
      <c r="J421" t="inlineStr">
        <is>
          <t>ince</t>
        </is>
      </c>
      <c r="K421" t="b">
        <v>1</v>
      </c>
      <c r="M421" t="n">
        <v>44</v>
      </c>
      <c r="N421" t="n">
        <v>28</v>
      </c>
      <c r="O421" t="n">
        <v>26</v>
      </c>
      <c r="P421" t="n">
        <v>958</v>
      </c>
      <c r="Q421" t="n">
        <v>1002</v>
      </c>
      <c r="R421" t="n">
        <v>1.52</v>
      </c>
      <c r="S421" t="n">
        <v>14.554</v>
      </c>
      <c r="T421" t="n">
        <v>9.577</v>
      </c>
      <c r="U421" t="n">
        <v>0.7775</v>
      </c>
      <c r="V421" t="b">
        <v>1</v>
      </c>
      <c r="X421" t="b">
        <v>1</v>
      </c>
      <c r="Z421" t="n">
        <v>935</v>
      </c>
      <c r="AA421" t="n">
        <v>2.5</v>
      </c>
      <c r="AB421" t="n">
        <v>9.5</v>
      </c>
    </row>
    <row r="422">
      <c r="A422" t="inlineStr">
        <is>
          <t>2026-09-24 13:49:43</t>
        </is>
      </c>
      <c r="B422" t="inlineStr">
        <is>
          <t>MLLB_000_y1.0.3</t>
        </is>
      </c>
      <c r="C422" t="inlineStr">
        <is>
          <t>WHITE</t>
        </is>
      </c>
      <c r="D422" t="inlineStr">
        <is>
          <t>v4_white_MLLB_000_y103_0924</t>
        </is>
      </c>
      <c r="E422" t="n">
        <v>3.6</v>
      </c>
      <c r="F422" t="n">
        <v>3.608</v>
      </c>
      <c r="G422" t="n">
        <v>6</v>
      </c>
      <c r="H422" t="n">
        <v>60</v>
      </c>
      <c r="I422" t="n">
        <v>39</v>
      </c>
      <c r="J422" t="inlineStr">
        <is>
          <t>ince</t>
        </is>
      </c>
      <c r="K422" t="b">
        <v>1</v>
      </c>
      <c r="M422" t="n">
        <v>44</v>
      </c>
      <c r="N422" t="n">
        <v>28</v>
      </c>
      <c r="O422" t="n">
        <v>26</v>
      </c>
      <c r="P422" t="n">
        <v>958</v>
      </c>
      <c r="Q422" t="n">
        <v>1002</v>
      </c>
      <c r="R422" t="n">
        <v>2.317</v>
      </c>
      <c r="S422" t="n">
        <v>22.132</v>
      </c>
      <c r="T422" t="n">
        <v>9.553000000000001</v>
      </c>
      <c r="U422" t="n">
        <v>0.7775</v>
      </c>
      <c r="V422" t="b">
        <v>1</v>
      </c>
      <c r="X422" t="b">
        <v>1</v>
      </c>
      <c r="Z422" t="n">
        <v>935</v>
      </c>
      <c r="AA422" t="n">
        <v>2.5</v>
      </c>
      <c r="AB422" t="n">
        <v>9.5</v>
      </c>
    </row>
    <row r="423">
      <c r="A423" t="inlineStr">
        <is>
          <t>2026-09-24 13:49:44</t>
        </is>
      </c>
      <c r="B423" t="inlineStr">
        <is>
          <t>MLLB_000_y1.0.3</t>
        </is>
      </c>
      <c r="C423" t="inlineStr">
        <is>
          <t>WHITE</t>
        </is>
      </c>
      <c r="D423" t="inlineStr">
        <is>
          <t>v4_white_MLLB_000_y103_0924</t>
        </is>
      </c>
      <c r="E423" t="n">
        <v>3.6</v>
      </c>
      <c r="F423" t="n">
        <v>3.608</v>
      </c>
      <c r="G423" t="n">
        <v>6</v>
      </c>
      <c r="H423" t="n">
        <v>60</v>
      </c>
      <c r="J423" t="inlineStr">
        <is>
          <t>bitti</t>
        </is>
      </c>
      <c r="K423" t="b">
        <v>0</v>
      </c>
      <c r="Z423" t="n">
        <v>935</v>
      </c>
      <c r="AA423" t="n">
        <v>2.5</v>
      </c>
      <c r="AB423" t="n">
        <v>9.5</v>
      </c>
    </row>
    <row r="424">
      <c r="A424" t="inlineStr">
        <is>
          <t>2026-09-24 13:50:21</t>
        </is>
      </c>
      <c r="B424" t="inlineStr">
        <is>
          <t>MLLB_000_y1.0.3</t>
        </is>
      </c>
      <c r="C424" t="inlineStr">
        <is>
          <t>WHITE</t>
        </is>
      </c>
      <c r="D424" t="inlineStr">
        <is>
          <t>v4_white_MLLB_000_y103_0924</t>
        </is>
      </c>
      <c r="E424" t="n">
        <v>3.6</v>
      </c>
      <c r="F424" t="n">
        <v>3.608</v>
      </c>
      <c r="G424" t="n">
        <v>7</v>
      </c>
      <c r="H424" t="n">
        <v>100</v>
      </c>
      <c r="I424" t="n">
        <v>12</v>
      </c>
      <c r="J424" t="inlineStr">
        <is>
          <t>kaba</t>
        </is>
      </c>
      <c r="K424" t="b">
        <v>1</v>
      </c>
      <c r="M424" t="n">
        <v>222</v>
      </c>
      <c r="N424" t="n">
        <v>44</v>
      </c>
      <c r="O424" t="n">
        <v>196</v>
      </c>
      <c r="P424" t="n">
        <v>780</v>
      </c>
      <c r="Q424" t="n">
        <v>1002</v>
      </c>
      <c r="R424" t="n">
        <v>1.093</v>
      </c>
      <c r="S424" t="n">
        <v>12.81</v>
      </c>
      <c r="T424" t="n">
        <v>11.721</v>
      </c>
      <c r="U424" t="n">
        <v>0.7778</v>
      </c>
      <c r="V424" t="b">
        <v>1</v>
      </c>
      <c r="X424" t="b">
        <v>0</v>
      </c>
      <c r="Y424" t="inlineStr">
        <is>
          <t>ON</t>
        </is>
      </c>
      <c r="Z424" t="n">
        <v>935</v>
      </c>
      <c r="AA424" t="n">
        <v>2.5</v>
      </c>
      <c r="AB424" t="n">
        <v>9.5</v>
      </c>
    </row>
    <row r="425">
      <c r="A425" t="inlineStr">
        <is>
          <t>2026-09-24 13:50:37</t>
        </is>
      </c>
      <c r="B425" t="inlineStr">
        <is>
          <t>MLLB_000_y1.0.3</t>
        </is>
      </c>
      <c r="C425" t="inlineStr">
        <is>
          <t>WHITE</t>
        </is>
      </c>
      <c r="D425" t="inlineStr">
        <is>
          <t>v4_white_MLLB_000_y103_0924</t>
        </is>
      </c>
      <c r="E425" t="n">
        <v>3.6</v>
      </c>
      <c r="F425" t="n">
        <v>3.608</v>
      </c>
      <c r="G425" t="n">
        <v>7</v>
      </c>
      <c r="H425" t="n">
        <v>100</v>
      </c>
      <c r="I425" t="n">
        <v>16</v>
      </c>
      <c r="J425" t="inlineStr">
        <is>
          <t>kaba</t>
        </is>
      </c>
      <c r="K425" t="b">
        <v>1</v>
      </c>
      <c r="M425" t="n">
        <v>152</v>
      </c>
      <c r="N425" t="n">
        <v>44</v>
      </c>
      <c r="O425" t="n">
        <v>128</v>
      </c>
      <c r="P425" t="n">
        <v>850</v>
      </c>
      <c r="Q425" t="n">
        <v>1002</v>
      </c>
      <c r="R425" t="n">
        <v>1.084</v>
      </c>
      <c r="S425" t="n">
        <v>12.81</v>
      </c>
      <c r="T425" t="n">
        <v>11.812</v>
      </c>
      <c r="U425" t="n">
        <v>0.7778</v>
      </c>
      <c r="V425" t="b">
        <v>1</v>
      </c>
      <c r="X425" t="b">
        <v>0</v>
      </c>
      <c r="Y425" t="inlineStr">
        <is>
          <t>ON</t>
        </is>
      </c>
      <c r="Z425" t="n">
        <v>935</v>
      </c>
      <c r="AA425" t="n">
        <v>2.5</v>
      </c>
      <c r="AB425" t="n">
        <v>9.5</v>
      </c>
    </row>
    <row r="426">
      <c r="A426" t="inlineStr">
        <is>
          <t>2026-09-24 13:50:53</t>
        </is>
      </c>
      <c r="B426" t="inlineStr">
        <is>
          <t>MLLB_000_y1.0.3</t>
        </is>
      </c>
      <c r="C426" t="inlineStr">
        <is>
          <t>WHITE</t>
        </is>
      </c>
      <c r="D426" t="inlineStr">
        <is>
          <t>v4_white_MLLB_000_y103_0924</t>
        </is>
      </c>
      <c r="E426" t="n">
        <v>3.6</v>
      </c>
      <c r="F426" t="n">
        <v>3.608</v>
      </c>
      <c r="G426" t="n">
        <v>7</v>
      </c>
      <c r="H426" t="n">
        <v>100</v>
      </c>
      <c r="I426" t="n">
        <v>20</v>
      </c>
      <c r="J426" t="inlineStr">
        <is>
          <t>kaba</t>
        </is>
      </c>
      <c r="K426" t="b">
        <v>1</v>
      </c>
      <c r="M426" t="n">
        <v>82</v>
      </c>
      <c r="N426" t="n">
        <v>40</v>
      </c>
      <c r="O426" t="n">
        <v>58</v>
      </c>
      <c r="P426" t="n">
        <v>920</v>
      </c>
      <c r="Q426" t="n">
        <v>1002</v>
      </c>
      <c r="R426" t="n">
        <v>1.083</v>
      </c>
      <c r="S426" t="n">
        <v>12.837</v>
      </c>
      <c r="T426" t="n">
        <v>11.851</v>
      </c>
      <c r="U426" t="n">
        <v>0.7775</v>
      </c>
      <c r="V426" t="b">
        <v>1</v>
      </c>
      <c r="X426" t="b">
        <v>0</v>
      </c>
      <c r="Y426" t="inlineStr">
        <is>
          <t>ON</t>
        </is>
      </c>
      <c r="Z426" t="n">
        <v>935</v>
      </c>
      <c r="AA426" t="n">
        <v>2.5</v>
      </c>
      <c r="AB426" t="n">
        <v>9.5</v>
      </c>
    </row>
    <row r="427">
      <c r="A427" t="inlineStr">
        <is>
          <t>2026-09-24 13:51:09</t>
        </is>
      </c>
      <c r="B427" t="inlineStr">
        <is>
          <t>MLLB_000_y1.0.3</t>
        </is>
      </c>
      <c r="C427" t="inlineStr">
        <is>
          <t>WHITE</t>
        </is>
      </c>
      <c r="D427" t="inlineStr">
        <is>
          <t>v4_white_MLLB_000_y103_0924</t>
        </is>
      </c>
      <c r="E427" t="n">
        <v>3.6</v>
      </c>
      <c r="F427" t="n">
        <v>3.608</v>
      </c>
      <c r="G427" t="n">
        <v>7</v>
      </c>
      <c r="H427" t="n">
        <v>100</v>
      </c>
      <c r="I427" t="n">
        <v>24</v>
      </c>
      <c r="J427" t="inlineStr">
        <is>
          <t>kaba</t>
        </is>
      </c>
      <c r="K427" t="b">
        <v>1</v>
      </c>
      <c r="M427" t="n">
        <v>30</v>
      </c>
      <c r="N427" t="n">
        <v>28</v>
      </c>
      <c r="O427" t="n">
        <v>10</v>
      </c>
      <c r="P427" t="n">
        <v>972</v>
      </c>
      <c r="Q427" t="n">
        <v>1002</v>
      </c>
      <c r="R427" t="n">
        <v>1.307</v>
      </c>
      <c r="S427" t="n">
        <v>15.468</v>
      </c>
      <c r="T427" t="n">
        <v>11.833</v>
      </c>
      <c r="U427" t="n">
        <v>0.7776999999999999</v>
      </c>
      <c r="V427" t="b">
        <v>1</v>
      </c>
      <c r="X427" t="b">
        <v>1</v>
      </c>
      <c r="Z427" t="n">
        <v>935</v>
      </c>
      <c r="AA427" t="n">
        <v>2.5</v>
      </c>
      <c r="AB427" t="n">
        <v>9.5</v>
      </c>
    </row>
    <row r="428">
      <c r="A428" t="inlineStr">
        <is>
          <t>2026-09-24 13:51:25</t>
        </is>
      </c>
      <c r="B428" t="inlineStr">
        <is>
          <t>MLLB_000_y1.0.3</t>
        </is>
      </c>
      <c r="C428" t="inlineStr">
        <is>
          <t>WHITE</t>
        </is>
      </c>
      <c r="D428" t="inlineStr">
        <is>
          <t>v4_white_MLLB_000_y103_0924</t>
        </is>
      </c>
      <c r="E428" t="n">
        <v>3.6</v>
      </c>
      <c r="F428" t="n">
        <v>3.608</v>
      </c>
      <c r="G428" t="n">
        <v>7</v>
      </c>
      <c r="H428" t="n">
        <v>100</v>
      </c>
      <c r="I428" t="n">
        <v>28</v>
      </c>
      <c r="J428" t="inlineStr">
        <is>
          <t>kaba</t>
        </is>
      </c>
      <c r="K428" t="b">
        <v>1</v>
      </c>
      <c r="M428" t="n">
        <v>30</v>
      </c>
      <c r="N428" t="n">
        <v>28</v>
      </c>
      <c r="O428" t="n">
        <v>10</v>
      </c>
      <c r="P428" t="n">
        <v>972</v>
      </c>
      <c r="Q428" t="n">
        <v>1002</v>
      </c>
      <c r="R428" t="n">
        <v>5.14</v>
      </c>
      <c r="S428" t="n">
        <v>60.847</v>
      </c>
      <c r="T428" t="n">
        <v>11.838</v>
      </c>
      <c r="U428" t="n">
        <v>0.7772</v>
      </c>
      <c r="V428" t="b">
        <v>1</v>
      </c>
      <c r="X428" t="b">
        <v>0</v>
      </c>
      <c r="Y428" t="inlineStr">
        <is>
          <t>FLAS</t>
        </is>
      </c>
      <c r="Z428" t="n">
        <v>935</v>
      </c>
      <c r="AA428" t="n">
        <v>2.5</v>
      </c>
      <c r="AB428" t="n">
        <v>9.5</v>
      </c>
    </row>
    <row r="429">
      <c r="A429" t="inlineStr">
        <is>
          <t>2026-09-24 13:51:41</t>
        </is>
      </c>
      <c r="B429" t="inlineStr">
        <is>
          <t>MLLB_000_y1.0.3</t>
        </is>
      </c>
      <c r="C429" t="inlineStr">
        <is>
          <t>WHITE</t>
        </is>
      </c>
      <c r="D429" t="inlineStr">
        <is>
          <t>v4_white_MLLB_000_y103_0924</t>
        </is>
      </c>
      <c r="E429" t="n">
        <v>3.6</v>
      </c>
      <c r="F429" t="n">
        <v>3.608</v>
      </c>
      <c r="G429" t="n">
        <v>7</v>
      </c>
      <c r="H429" t="n">
        <v>100</v>
      </c>
      <c r="I429" t="n">
        <v>32</v>
      </c>
      <c r="J429" t="inlineStr">
        <is>
          <t>kaba</t>
        </is>
      </c>
      <c r="K429" t="b">
        <v>1</v>
      </c>
      <c r="M429" t="n">
        <v>30</v>
      </c>
      <c r="N429" t="n">
        <v>28</v>
      </c>
      <c r="O429" t="n">
        <v>10</v>
      </c>
      <c r="P429" t="n">
        <v>972</v>
      </c>
      <c r="Q429" t="n">
        <v>1002</v>
      </c>
      <c r="R429" t="n">
        <v>16.275</v>
      </c>
      <c r="S429" t="n">
        <v>192.445</v>
      </c>
      <c r="T429" t="n">
        <v>11.824</v>
      </c>
      <c r="U429" t="n">
        <v>0.7773</v>
      </c>
      <c r="V429" t="b">
        <v>1</v>
      </c>
      <c r="X429" t="b">
        <v>0</v>
      </c>
      <c r="Y429" t="inlineStr">
        <is>
          <t>FLAS</t>
        </is>
      </c>
      <c r="Z429" t="n">
        <v>935</v>
      </c>
      <c r="AA429" t="n">
        <v>2.5</v>
      </c>
      <c r="AB429" t="n">
        <v>9.5</v>
      </c>
    </row>
    <row r="430">
      <c r="A430" t="inlineStr">
        <is>
          <t>2026-09-24 13:51:57</t>
        </is>
      </c>
      <c r="B430" t="inlineStr">
        <is>
          <t>MLLB_000_y1.0.3</t>
        </is>
      </c>
      <c r="C430" t="inlineStr">
        <is>
          <t>WHITE</t>
        </is>
      </c>
      <c r="D430" t="inlineStr">
        <is>
          <t>v4_white_MLLB_000_y103_0924</t>
        </is>
      </c>
      <c r="E430" t="n">
        <v>3.6</v>
      </c>
      <c r="F430" t="n">
        <v>3.608</v>
      </c>
      <c r="G430" t="n">
        <v>7</v>
      </c>
      <c r="H430" t="n">
        <v>100</v>
      </c>
      <c r="I430" t="n">
        <v>21</v>
      </c>
      <c r="J430" t="inlineStr">
        <is>
          <t>ince</t>
        </is>
      </c>
      <c r="K430" t="b">
        <v>1</v>
      </c>
      <c r="M430" t="n">
        <v>64</v>
      </c>
      <c r="N430" t="n">
        <v>46</v>
      </c>
      <c r="O430" t="n">
        <v>38</v>
      </c>
      <c r="P430" t="n">
        <v>938</v>
      </c>
      <c r="Q430" t="n">
        <v>1002</v>
      </c>
      <c r="R430" t="n">
        <v>1.087</v>
      </c>
      <c r="S430" t="n">
        <v>12.856</v>
      </c>
      <c r="T430" t="n">
        <v>11.831</v>
      </c>
      <c r="U430" t="n">
        <v>0.7775</v>
      </c>
      <c r="V430" t="b">
        <v>1</v>
      </c>
      <c r="X430" t="b">
        <v>1</v>
      </c>
      <c r="Z430" t="n">
        <v>935</v>
      </c>
      <c r="AA430" t="n">
        <v>2.5</v>
      </c>
      <c r="AB430" t="n">
        <v>9.5</v>
      </c>
    </row>
    <row r="431">
      <c r="A431" t="inlineStr">
        <is>
          <t>2026-09-24 13:52:13</t>
        </is>
      </c>
      <c r="B431" t="inlineStr">
        <is>
          <t>MLLB_000_y1.0.3</t>
        </is>
      </c>
      <c r="C431" t="inlineStr">
        <is>
          <t>WHITE</t>
        </is>
      </c>
      <c r="D431" t="inlineStr">
        <is>
          <t>v4_white_MLLB_000_y103_0924</t>
        </is>
      </c>
      <c r="E431" t="n">
        <v>3.6</v>
      </c>
      <c r="F431" t="n">
        <v>3.608</v>
      </c>
      <c r="G431" t="n">
        <v>7</v>
      </c>
      <c r="H431" t="n">
        <v>100</v>
      </c>
      <c r="I431" t="n">
        <v>22</v>
      </c>
      <c r="J431" t="inlineStr">
        <is>
          <t>ince</t>
        </is>
      </c>
      <c r="K431" t="b">
        <v>1</v>
      </c>
      <c r="M431" t="n">
        <v>46</v>
      </c>
      <c r="N431" t="n">
        <v>42</v>
      </c>
      <c r="O431" t="n">
        <v>20</v>
      </c>
      <c r="P431" t="n">
        <v>956</v>
      </c>
      <c r="Q431" t="n">
        <v>1002</v>
      </c>
      <c r="R431" t="n">
        <v>1.085</v>
      </c>
      <c r="S431" t="n">
        <v>12.855</v>
      </c>
      <c r="T431" t="n">
        <v>11.85</v>
      </c>
      <c r="U431" t="n">
        <v>0.7778</v>
      </c>
      <c r="V431" t="b">
        <v>1</v>
      </c>
      <c r="X431" t="b">
        <v>1</v>
      </c>
      <c r="Z431" t="n">
        <v>935</v>
      </c>
      <c r="AA431" t="n">
        <v>2.5</v>
      </c>
      <c r="AB431" t="n">
        <v>9.5</v>
      </c>
    </row>
    <row r="432">
      <c r="A432" t="inlineStr">
        <is>
          <t>2026-09-24 13:52:26</t>
        </is>
      </c>
      <c r="B432" t="inlineStr">
        <is>
          <t>MLLB_000_y1.0.3</t>
        </is>
      </c>
      <c r="C432" t="inlineStr">
        <is>
          <t>WHITE</t>
        </is>
      </c>
      <c r="D432" t="inlineStr">
        <is>
          <t>v4_white_MLLB_000_y103_0924</t>
        </is>
      </c>
      <c r="E432" t="n">
        <v>3.6</v>
      </c>
      <c r="F432" t="n">
        <v>3.608</v>
      </c>
      <c r="G432" t="n">
        <v>7</v>
      </c>
      <c r="H432" t="n">
        <v>100</v>
      </c>
      <c r="I432" t="n">
        <v>23</v>
      </c>
      <c r="J432" t="inlineStr">
        <is>
          <t>ince</t>
        </is>
      </c>
      <c r="K432" t="b">
        <v>1</v>
      </c>
      <c r="M432" t="n">
        <v>30</v>
      </c>
      <c r="N432" t="n">
        <v>28</v>
      </c>
      <c r="O432" t="n">
        <v>10</v>
      </c>
      <c r="P432" t="n">
        <v>972</v>
      </c>
      <c r="Q432" t="n">
        <v>1002</v>
      </c>
      <c r="R432" t="n">
        <v>1.091</v>
      </c>
      <c r="S432" t="n">
        <v>12.926</v>
      </c>
      <c r="T432" t="n">
        <v>11.844</v>
      </c>
      <c r="U432" t="n">
        <v>0.7776999999999999</v>
      </c>
      <c r="V432" t="b">
        <v>1</v>
      </c>
      <c r="X432" t="b">
        <v>1</v>
      </c>
      <c r="Z432" t="n">
        <v>935</v>
      </c>
      <c r="AA432" t="n">
        <v>2.5</v>
      </c>
      <c r="AB432" t="n">
        <v>9.5</v>
      </c>
    </row>
    <row r="433">
      <c r="A433" t="inlineStr">
        <is>
          <t>2026-09-24 13:52:41</t>
        </is>
      </c>
      <c r="B433" t="inlineStr">
        <is>
          <t>MLLB_000_y1.0.3</t>
        </is>
      </c>
      <c r="C433" t="inlineStr">
        <is>
          <t>WHITE</t>
        </is>
      </c>
      <c r="D433" t="inlineStr">
        <is>
          <t>v4_white_MLLB_000_y103_0924</t>
        </is>
      </c>
      <c r="E433" t="n">
        <v>3.6</v>
      </c>
      <c r="F433" t="n">
        <v>3.608</v>
      </c>
      <c r="G433" t="n">
        <v>7</v>
      </c>
      <c r="H433" t="n">
        <v>100</v>
      </c>
      <c r="I433" t="n">
        <v>25</v>
      </c>
      <c r="J433" t="inlineStr">
        <is>
          <t>ince</t>
        </is>
      </c>
      <c r="K433" t="b">
        <v>1</v>
      </c>
      <c r="M433" t="n">
        <v>30</v>
      </c>
      <c r="N433" t="n">
        <v>28</v>
      </c>
      <c r="O433" t="n">
        <v>10</v>
      </c>
      <c r="P433" t="n">
        <v>972</v>
      </c>
      <c r="Q433" t="n">
        <v>1002</v>
      </c>
      <c r="R433" t="n">
        <v>2.548</v>
      </c>
      <c r="S433" t="n">
        <v>30.211</v>
      </c>
      <c r="T433" t="n">
        <v>11.858</v>
      </c>
      <c r="U433" t="n">
        <v>0.7782</v>
      </c>
      <c r="V433" t="b">
        <v>1</v>
      </c>
      <c r="X433" t="b">
        <v>0</v>
      </c>
      <c r="Y433" t="inlineStr">
        <is>
          <t>FLAS</t>
        </is>
      </c>
      <c r="Z433" t="n">
        <v>935</v>
      </c>
      <c r="AA433" t="n">
        <v>2.5</v>
      </c>
      <c r="AB433" t="n">
        <v>9.5</v>
      </c>
    </row>
    <row r="434">
      <c r="A434" t="inlineStr">
        <is>
          <t>2026-09-24 13:52:57</t>
        </is>
      </c>
      <c r="B434" t="inlineStr">
        <is>
          <t>MLLB_000_y1.0.3</t>
        </is>
      </c>
      <c r="C434" t="inlineStr">
        <is>
          <t>WHITE</t>
        </is>
      </c>
      <c r="D434" t="inlineStr">
        <is>
          <t>v4_white_MLLB_000_y103_0924</t>
        </is>
      </c>
      <c r="E434" t="n">
        <v>3.6</v>
      </c>
      <c r="F434" t="n">
        <v>3.608</v>
      </c>
      <c r="G434" t="n">
        <v>7</v>
      </c>
      <c r="H434" t="n">
        <v>100</v>
      </c>
      <c r="I434" t="n">
        <v>26</v>
      </c>
      <c r="J434" t="inlineStr">
        <is>
          <t>ince</t>
        </is>
      </c>
      <c r="K434" t="b">
        <v>1</v>
      </c>
      <c r="M434" t="n">
        <v>30</v>
      </c>
      <c r="N434" t="n">
        <v>28</v>
      </c>
      <c r="O434" t="n">
        <v>10</v>
      </c>
      <c r="P434" t="n">
        <v>972</v>
      </c>
      <c r="Q434" t="n">
        <v>1002</v>
      </c>
      <c r="R434" t="n">
        <v>3.63</v>
      </c>
      <c r="S434" t="n">
        <v>42.832</v>
      </c>
      <c r="T434" t="n">
        <v>11.798</v>
      </c>
      <c r="U434" t="n">
        <v>0.7781</v>
      </c>
      <c r="V434" t="b">
        <v>1</v>
      </c>
      <c r="X434" t="b">
        <v>0</v>
      </c>
      <c r="Y434" t="inlineStr">
        <is>
          <t>FLAS</t>
        </is>
      </c>
      <c r="Z434" t="n">
        <v>935</v>
      </c>
      <c r="AA434" t="n">
        <v>2.5</v>
      </c>
      <c r="AB434" t="n">
        <v>9.5</v>
      </c>
    </row>
    <row r="435">
      <c r="A435" t="inlineStr">
        <is>
          <t>2026-09-24 13:53:13</t>
        </is>
      </c>
      <c r="B435" t="inlineStr">
        <is>
          <t>MLLB_000_y1.0.3</t>
        </is>
      </c>
      <c r="C435" t="inlineStr">
        <is>
          <t>WHITE</t>
        </is>
      </c>
      <c r="D435" t="inlineStr">
        <is>
          <t>v4_white_MLLB_000_y103_0924</t>
        </is>
      </c>
      <c r="E435" t="n">
        <v>3.6</v>
      </c>
      <c r="F435" t="n">
        <v>3.608</v>
      </c>
      <c r="G435" t="n">
        <v>7</v>
      </c>
      <c r="H435" t="n">
        <v>100</v>
      </c>
      <c r="I435" t="n">
        <v>27</v>
      </c>
      <c r="J435" t="inlineStr">
        <is>
          <t>ince</t>
        </is>
      </c>
      <c r="K435" t="b">
        <v>1</v>
      </c>
      <c r="M435" t="n">
        <v>30</v>
      </c>
      <c r="N435" t="n">
        <v>28</v>
      </c>
      <c r="O435" t="n">
        <v>10</v>
      </c>
      <c r="P435" t="n">
        <v>972</v>
      </c>
      <c r="Q435" t="n">
        <v>1002</v>
      </c>
      <c r="R435" t="n">
        <v>4.215</v>
      </c>
      <c r="S435" t="n">
        <v>49.936</v>
      </c>
      <c r="T435" t="n">
        <v>11.848</v>
      </c>
      <c r="U435" t="n">
        <v>0.7776</v>
      </c>
      <c r="V435" t="b">
        <v>1</v>
      </c>
      <c r="X435" t="b">
        <v>0</v>
      </c>
      <c r="Y435" t="inlineStr">
        <is>
          <t>FLAS</t>
        </is>
      </c>
      <c r="Z435" t="n">
        <v>935</v>
      </c>
      <c r="AA435" t="n">
        <v>2.5</v>
      </c>
      <c r="AB435" t="n">
        <v>9.5</v>
      </c>
    </row>
    <row r="436">
      <c r="A436" t="inlineStr">
        <is>
          <t>2026-09-24 13:53:14</t>
        </is>
      </c>
      <c r="B436" t="inlineStr">
        <is>
          <t>MLLB_000_y1.0.3</t>
        </is>
      </c>
      <c r="C436" t="inlineStr">
        <is>
          <t>WHITE</t>
        </is>
      </c>
      <c r="D436" t="inlineStr">
        <is>
          <t>v4_white_MLLB_000_y103_0924</t>
        </is>
      </c>
      <c r="E436" t="n">
        <v>3.6</v>
      </c>
      <c r="F436" t="n">
        <v>3.608</v>
      </c>
      <c r="G436" t="n">
        <v>7</v>
      </c>
      <c r="H436" t="n">
        <v>100</v>
      </c>
      <c r="J436" t="inlineStr">
        <is>
          <t>bitti</t>
        </is>
      </c>
      <c r="K436" t="b">
        <v>0</v>
      </c>
      <c r="Z436" t="n">
        <v>935</v>
      </c>
      <c r="AA436" t="n">
        <v>2.5</v>
      </c>
      <c r="AB436" t="n">
        <v>9.5</v>
      </c>
    </row>
    <row r="437">
      <c r="A437" t="inlineStr">
        <is>
          <t>2026-09-24 13:53:29</t>
        </is>
      </c>
      <c r="B437" t="inlineStr">
        <is>
          <t>MLLB_000_y1.0.3</t>
        </is>
      </c>
      <c r="C437" t="inlineStr">
        <is>
          <t>WHITE</t>
        </is>
      </c>
      <c r="D437" t="inlineStr">
        <is>
          <t>v4_white_MLLB_000_y103_0924</t>
        </is>
      </c>
      <c r="E437" t="n">
        <v>3.6</v>
      </c>
      <c r="F437" t="n">
        <v>3.608</v>
      </c>
      <c r="G437" t="n">
        <v>7</v>
      </c>
      <c r="H437" t="n">
        <v>80</v>
      </c>
      <c r="I437" t="n">
        <v>12</v>
      </c>
      <c r="J437" t="inlineStr">
        <is>
          <t>kaba</t>
        </is>
      </c>
      <c r="K437" t="b">
        <v>1</v>
      </c>
      <c r="M437" t="n">
        <v>256</v>
      </c>
      <c r="N437" t="n">
        <v>40</v>
      </c>
      <c r="O437" t="n">
        <v>230</v>
      </c>
      <c r="P437" t="n">
        <v>746</v>
      </c>
      <c r="Q437" t="n">
        <v>1002</v>
      </c>
      <c r="R437" t="n">
        <v>1.095</v>
      </c>
      <c r="S437" t="n">
        <v>12.833</v>
      </c>
      <c r="T437" t="n">
        <v>11.723</v>
      </c>
      <c r="U437" t="n">
        <v>0.7784</v>
      </c>
      <c r="V437" t="b">
        <v>1</v>
      </c>
      <c r="X437" t="b">
        <v>0</v>
      </c>
      <c r="Y437" t="inlineStr">
        <is>
          <t>ON</t>
        </is>
      </c>
      <c r="Z437" t="n">
        <v>935</v>
      </c>
      <c r="AA437" t="n">
        <v>2.5</v>
      </c>
      <c r="AB437" t="n">
        <v>9.5</v>
      </c>
    </row>
    <row r="438">
      <c r="A438" t="inlineStr">
        <is>
          <t>2026-09-24 13:53:45</t>
        </is>
      </c>
      <c r="B438" t="inlineStr">
        <is>
          <t>MLLB_000_y1.0.3</t>
        </is>
      </c>
      <c r="C438" t="inlineStr">
        <is>
          <t>WHITE</t>
        </is>
      </c>
      <c r="D438" t="inlineStr">
        <is>
          <t>v4_white_MLLB_000_y103_0924</t>
        </is>
      </c>
      <c r="E438" t="n">
        <v>3.6</v>
      </c>
      <c r="F438" t="n">
        <v>3.608</v>
      </c>
      <c r="G438" t="n">
        <v>7</v>
      </c>
      <c r="H438" t="n">
        <v>80</v>
      </c>
      <c r="I438" t="n">
        <v>16</v>
      </c>
      <c r="J438" t="inlineStr">
        <is>
          <t>kaba</t>
        </is>
      </c>
      <c r="K438" t="b">
        <v>1</v>
      </c>
      <c r="M438" t="n">
        <v>200</v>
      </c>
      <c r="N438" t="n">
        <v>44</v>
      </c>
      <c r="O438" t="n">
        <v>176</v>
      </c>
      <c r="P438" t="n">
        <v>802</v>
      </c>
      <c r="Q438" t="n">
        <v>1002</v>
      </c>
      <c r="R438" t="n">
        <v>1.092</v>
      </c>
      <c r="S438" t="n">
        <v>12.863</v>
      </c>
      <c r="T438" t="n">
        <v>11.776</v>
      </c>
      <c r="U438" t="n">
        <v>0.7776</v>
      </c>
      <c r="V438" t="b">
        <v>1</v>
      </c>
      <c r="X438" t="b">
        <v>0</v>
      </c>
      <c r="Y438" t="inlineStr">
        <is>
          <t>ON</t>
        </is>
      </c>
      <c r="Z438" t="n">
        <v>935</v>
      </c>
      <c r="AA438" t="n">
        <v>2.5</v>
      </c>
      <c r="AB438" t="n">
        <v>9.5</v>
      </c>
    </row>
    <row r="439">
      <c r="A439" t="inlineStr">
        <is>
          <t>2026-09-24 13:54:01</t>
        </is>
      </c>
      <c r="B439" t="inlineStr">
        <is>
          <t>MLLB_000_y1.0.3</t>
        </is>
      </c>
      <c r="C439" t="inlineStr">
        <is>
          <t>WHITE</t>
        </is>
      </c>
      <c r="D439" t="inlineStr">
        <is>
          <t>v4_white_MLLB_000_y103_0924</t>
        </is>
      </c>
      <c r="E439" t="n">
        <v>3.6</v>
      </c>
      <c r="F439" t="n">
        <v>3.608</v>
      </c>
      <c r="G439" t="n">
        <v>7</v>
      </c>
      <c r="H439" t="n">
        <v>80</v>
      </c>
      <c r="I439" t="n">
        <v>20</v>
      </c>
      <c r="J439" t="inlineStr">
        <is>
          <t>kaba</t>
        </is>
      </c>
      <c r="K439" t="b">
        <v>1</v>
      </c>
      <c r="M439" t="n">
        <v>144</v>
      </c>
      <c r="N439" t="n">
        <v>40</v>
      </c>
      <c r="O439" t="n">
        <v>118</v>
      </c>
      <c r="P439" t="n">
        <v>858</v>
      </c>
      <c r="Q439" t="n">
        <v>1002</v>
      </c>
      <c r="R439" t="n">
        <v>1.09</v>
      </c>
      <c r="S439" t="n">
        <v>12.866</v>
      </c>
      <c r="T439" t="n">
        <v>11.801</v>
      </c>
      <c r="U439" t="n">
        <v>0.7784</v>
      </c>
      <c r="V439" t="b">
        <v>1</v>
      </c>
      <c r="X439" t="b">
        <v>0</v>
      </c>
      <c r="Y439" t="inlineStr">
        <is>
          <t>ON</t>
        </is>
      </c>
      <c r="Z439" t="n">
        <v>935</v>
      </c>
      <c r="AA439" t="n">
        <v>2.5</v>
      </c>
      <c r="AB439" t="n">
        <v>9.5</v>
      </c>
    </row>
    <row r="440">
      <c r="A440" t="inlineStr">
        <is>
          <t>2026-09-24 13:54:17</t>
        </is>
      </c>
      <c r="B440" t="inlineStr">
        <is>
          <t>MLLB_000_y1.0.3</t>
        </is>
      </c>
      <c r="C440" t="inlineStr">
        <is>
          <t>WHITE</t>
        </is>
      </c>
      <c r="D440" t="inlineStr">
        <is>
          <t>v4_white_MLLB_000_y103_0924</t>
        </is>
      </c>
      <c r="E440" t="n">
        <v>3.6</v>
      </c>
      <c r="F440" t="n">
        <v>3.608</v>
      </c>
      <c r="G440" t="n">
        <v>7</v>
      </c>
      <c r="H440" t="n">
        <v>80</v>
      </c>
      <c r="I440" t="n">
        <v>24</v>
      </c>
      <c r="J440" t="inlineStr">
        <is>
          <t>kaba</t>
        </is>
      </c>
      <c r="K440" t="b">
        <v>1</v>
      </c>
      <c r="M440" t="n">
        <v>86</v>
      </c>
      <c r="N440" t="n">
        <v>40</v>
      </c>
      <c r="O440" t="n">
        <v>62</v>
      </c>
      <c r="P440" t="n">
        <v>916</v>
      </c>
      <c r="Q440" t="n">
        <v>1002</v>
      </c>
      <c r="R440" t="n">
        <v>1.081</v>
      </c>
      <c r="S440" t="n">
        <v>12.81</v>
      </c>
      <c r="T440" t="n">
        <v>11.848</v>
      </c>
      <c r="U440" t="n">
        <v>0.7785</v>
      </c>
      <c r="V440" t="b">
        <v>1</v>
      </c>
      <c r="X440" t="b">
        <v>0</v>
      </c>
      <c r="Y440" t="inlineStr">
        <is>
          <t>ON</t>
        </is>
      </c>
      <c r="Z440" t="n">
        <v>935</v>
      </c>
      <c r="AA440" t="n">
        <v>2.5</v>
      </c>
      <c r="AB440" t="n">
        <v>9.5</v>
      </c>
    </row>
    <row r="441">
      <c r="A441" t="inlineStr">
        <is>
          <t>2026-09-24 13:54:33</t>
        </is>
      </c>
      <c r="B441" t="inlineStr">
        <is>
          <t>MLLB_000_y1.0.3</t>
        </is>
      </c>
      <c r="C441" t="inlineStr">
        <is>
          <t>WHITE</t>
        </is>
      </c>
      <c r="D441" t="inlineStr">
        <is>
          <t>v4_white_MLLB_000_y103_0924</t>
        </is>
      </c>
      <c r="E441" t="n">
        <v>3.6</v>
      </c>
      <c r="F441" t="n">
        <v>3.608</v>
      </c>
      <c r="G441" t="n">
        <v>7</v>
      </c>
      <c r="H441" t="n">
        <v>80</v>
      </c>
      <c r="I441" t="n">
        <v>28</v>
      </c>
      <c r="J441" t="inlineStr">
        <is>
          <t>kaba</t>
        </is>
      </c>
      <c r="K441" t="b">
        <v>1</v>
      </c>
      <c r="M441" t="n">
        <v>34</v>
      </c>
      <c r="N441" t="n">
        <v>34</v>
      </c>
      <c r="O441" t="n">
        <v>14</v>
      </c>
      <c r="P441" t="n">
        <v>968</v>
      </c>
      <c r="Q441" t="n">
        <v>1002</v>
      </c>
      <c r="R441" t="n">
        <v>1.082</v>
      </c>
      <c r="S441" t="n">
        <v>12.81</v>
      </c>
      <c r="T441" t="n">
        <v>11.836</v>
      </c>
      <c r="U441" t="n">
        <v>0.7785</v>
      </c>
      <c r="V441" t="b">
        <v>1</v>
      </c>
      <c r="X441" t="b">
        <v>1</v>
      </c>
      <c r="Z441" t="n">
        <v>935</v>
      </c>
      <c r="AA441" t="n">
        <v>2.5</v>
      </c>
      <c r="AB441" t="n">
        <v>9.5</v>
      </c>
    </row>
    <row r="442">
      <c r="A442" t="inlineStr">
        <is>
          <t>2026-09-24 13:54:49</t>
        </is>
      </c>
      <c r="B442" t="inlineStr">
        <is>
          <t>MLLB_000_y1.0.3</t>
        </is>
      </c>
      <c r="C442" t="inlineStr">
        <is>
          <t>WHITE</t>
        </is>
      </c>
      <c r="D442" t="inlineStr">
        <is>
          <t>v4_white_MLLB_000_y103_0924</t>
        </is>
      </c>
      <c r="E442" t="n">
        <v>3.6</v>
      </c>
      <c r="F442" t="n">
        <v>3.608</v>
      </c>
      <c r="G442" t="n">
        <v>7</v>
      </c>
      <c r="H442" t="n">
        <v>80</v>
      </c>
      <c r="I442" t="n">
        <v>32</v>
      </c>
      <c r="J442" t="inlineStr">
        <is>
          <t>kaba</t>
        </is>
      </c>
      <c r="K442" t="b">
        <v>1</v>
      </c>
      <c r="M442" t="n">
        <v>34</v>
      </c>
      <c r="N442" t="n">
        <v>32</v>
      </c>
      <c r="O442" t="n">
        <v>14</v>
      </c>
      <c r="P442" t="n">
        <v>968</v>
      </c>
      <c r="Q442" t="n">
        <v>1002</v>
      </c>
      <c r="R442" t="n">
        <v>3.784</v>
      </c>
      <c r="S442" t="n">
        <v>44.856</v>
      </c>
      <c r="T442" t="n">
        <v>11.854</v>
      </c>
      <c r="U442" t="n">
        <v>0.7786999999999999</v>
      </c>
      <c r="V442" t="b">
        <v>1</v>
      </c>
      <c r="X442" t="b">
        <v>0</v>
      </c>
      <c r="Y442" t="inlineStr">
        <is>
          <t>FLAS</t>
        </is>
      </c>
      <c r="Z442" t="n">
        <v>935</v>
      </c>
      <c r="AA442" t="n">
        <v>2.5</v>
      </c>
      <c r="AB442" t="n">
        <v>9.5</v>
      </c>
    </row>
    <row r="443">
      <c r="A443" t="inlineStr">
        <is>
          <t>2026-09-24 13:55:02</t>
        </is>
      </c>
      <c r="B443" t="inlineStr">
        <is>
          <t>MLLB_000_y1.0.3</t>
        </is>
      </c>
      <c r="C443" t="inlineStr">
        <is>
          <t>WHITE</t>
        </is>
      </c>
      <c r="D443" t="inlineStr">
        <is>
          <t>v4_white_MLLB_000_y103_0924</t>
        </is>
      </c>
      <c r="E443" t="n">
        <v>3.6</v>
      </c>
      <c r="F443" t="n">
        <v>3.608</v>
      </c>
      <c r="G443" t="n">
        <v>7</v>
      </c>
      <c r="H443" t="n">
        <v>80</v>
      </c>
      <c r="I443" t="n">
        <v>36</v>
      </c>
      <c r="J443" t="inlineStr">
        <is>
          <t>kaba</t>
        </is>
      </c>
      <c r="K443" t="b">
        <v>1</v>
      </c>
      <c r="M443" t="n">
        <v>34</v>
      </c>
      <c r="N443" t="n">
        <v>30</v>
      </c>
      <c r="O443" t="n">
        <v>14</v>
      </c>
      <c r="P443" t="n">
        <v>968</v>
      </c>
      <c r="Q443" t="n">
        <v>1002</v>
      </c>
      <c r="R443" t="n">
        <v>9.912000000000001</v>
      </c>
      <c r="S443" t="n">
        <v>116.997</v>
      </c>
      <c r="T443" t="n">
        <v>11.804</v>
      </c>
      <c r="U443" t="n">
        <v>0.7784</v>
      </c>
      <c r="V443" t="b">
        <v>1</v>
      </c>
      <c r="X443" t="b">
        <v>0</v>
      </c>
      <c r="Y443" t="inlineStr">
        <is>
          <t>FLAS</t>
        </is>
      </c>
      <c r="Z443" t="n">
        <v>935</v>
      </c>
      <c r="AA443" t="n">
        <v>2.5</v>
      </c>
      <c r="AB443" t="n">
        <v>9.5</v>
      </c>
    </row>
    <row r="444">
      <c r="A444" t="inlineStr">
        <is>
          <t>2026-09-24 13:55:17</t>
        </is>
      </c>
      <c r="B444" t="inlineStr">
        <is>
          <t>MLLB_000_y1.0.3</t>
        </is>
      </c>
      <c r="C444" t="inlineStr">
        <is>
          <t>WHITE</t>
        </is>
      </c>
      <c r="D444" t="inlineStr">
        <is>
          <t>v4_white_MLLB_000_y103_0924</t>
        </is>
      </c>
      <c r="E444" t="n">
        <v>3.6</v>
      </c>
      <c r="F444" t="n">
        <v>3.608</v>
      </c>
      <c r="G444" t="n">
        <v>7</v>
      </c>
      <c r="H444" t="n">
        <v>80</v>
      </c>
      <c r="I444" t="n">
        <v>25</v>
      </c>
      <c r="J444" t="inlineStr">
        <is>
          <t>ince</t>
        </is>
      </c>
      <c r="K444" t="b">
        <v>1</v>
      </c>
      <c r="M444" t="n">
        <v>72</v>
      </c>
      <c r="N444" t="n">
        <v>44</v>
      </c>
      <c r="O444" t="n">
        <v>48</v>
      </c>
      <c r="P444" t="n">
        <v>930</v>
      </c>
      <c r="Q444" t="n">
        <v>1002</v>
      </c>
      <c r="R444" t="n">
        <v>1.085</v>
      </c>
      <c r="S444" t="n">
        <v>12.84</v>
      </c>
      <c r="T444" t="n">
        <v>11.84</v>
      </c>
      <c r="U444" t="n">
        <v>0.778</v>
      </c>
      <c r="V444" t="b">
        <v>1</v>
      </c>
      <c r="X444" t="b">
        <v>0</v>
      </c>
      <c r="Y444" t="inlineStr">
        <is>
          <t>ON</t>
        </is>
      </c>
      <c r="Z444" t="n">
        <v>935</v>
      </c>
      <c r="AA444" t="n">
        <v>2.5</v>
      </c>
      <c r="AB444" t="n">
        <v>9.5</v>
      </c>
    </row>
    <row r="445">
      <c r="A445" t="inlineStr">
        <is>
          <t>2026-09-24 13:55:33</t>
        </is>
      </c>
      <c r="B445" t="inlineStr">
        <is>
          <t>MLLB_000_y1.0.3</t>
        </is>
      </c>
      <c r="C445" t="inlineStr">
        <is>
          <t>WHITE</t>
        </is>
      </c>
      <c r="D445" t="inlineStr">
        <is>
          <t>v4_white_MLLB_000_y103_0924</t>
        </is>
      </c>
      <c r="E445" t="n">
        <v>3.6</v>
      </c>
      <c r="F445" t="n">
        <v>3.608</v>
      </c>
      <c r="G445" t="n">
        <v>7</v>
      </c>
      <c r="H445" t="n">
        <v>80</v>
      </c>
      <c r="I445" t="n">
        <v>26</v>
      </c>
      <c r="J445" t="inlineStr">
        <is>
          <t>ince</t>
        </is>
      </c>
      <c r="K445" t="b">
        <v>1</v>
      </c>
      <c r="M445" t="n">
        <v>58</v>
      </c>
      <c r="N445" t="n">
        <v>40</v>
      </c>
      <c r="O445" t="n">
        <v>34</v>
      </c>
      <c r="P445" t="n">
        <v>944</v>
      </c>
      <c r="Q445" t="n">
        <v>1002</v>
      </c>
      <c r="R445" t="n">
        <v>1.083</v>
      </c>
      <c r="S445" t="n">
        <v>12.826</v>
      </c>
      <c r="T445" t="n">
        <v>11.842</v>
      </c>
      <c r="U445" t="n">
        <v>0.7785</v>
      </c>
      <c r="V445" t="b">
        <v>1</v>
      </c>
      <c r="X445" t="b">
        <v>1</v>
      </c>
      <c r="Z445" t="n">
        <v>935</v>
      </c>
      <c r="AA445" t="n">
        <v>2.5</v>
      </c>
      <c r="AB445" t="n">
        <v>9.5</v>
      </c>
    </row>
    <row r="446">
      <c r="A446" t="inlineStr">
        <is>
          <t>2026-09-24 13:55:49</t>
        </is>
      </c>
      <c r="B446" t="inlineStr">
        <is>
          <t>MLLB_000_y1.0.3</t>
        </is>
      </c>
      <c r="C446" t="inlineStr">
        <is>
          <t>WHITE</t>
        </is>
      </c>
      <c r="D446" t="inlineStr">
        <is>
          <t>v4_white_MLLB_000_y103_0924</t>
        </is>
      </c>
      <c r="E446" t="n">
        <v>3.6</v>
      </c>
      <c r="F446" t="n">
        <v>3.608</v>
      </c>
      <c r="G446" t="n">
        <v>7</v>
      </c>
      <c r="H446" t="n">
        <v>80</v>
      </c>
      <c r="I446" t="n">
        <v>27</v>
      </c>
      <c r="J446" t="inlineStr">
        <is>
          <t>ince</t>
        </is>
      </c>
      <c r="K446" t="b">
        <v>1</v>
      </c>
      <c r="M446" t="n">
        <v>42</v>
      </c>
      <c r="N446" t="n">
        <v>40</v>
      </c>
      <c r="O446" t="n">
        <v>18</v>
      </c>
      <c r="P446" t="n">
        <v>960</v>
      </c>
      <c r="Q446" t="n">
        <v>1002</v>
      </c>
      <c r="R446" t="n">
        <v>1.083</v>
      </c>
      <c r="S446" t="n">
        <v>12.813</v>
      </c>
      <c r="T446" t="n">
        <v>11.834</v>
      </c>
      <c r="U446" t="n">
        <v>0.7784</v>
      </c>
      <c r="V446" t="b">
        <v>1</v>
      </c>
      <c r="X446" t="b">
        <v>1</v>
      </c>
      <c r="Z446" t="n">
        <v>935</v>
      </c>
      <c r="AA446" t="n">
        <v>2.5</v>
      </c>
      <c r="AB446" t="n">
        <v>9.5</v>
      </c>
    </row>
    <row r="447">
      <c r="A447" t="inlineStr">
        <is>
          <t>2026-09-24 13:56:05</t>
        </is>
      </c>
      <c r="B447" t="inlineStr">
        <is>
          <t>MLLB_000_y1.0.3</t>
        </is>
      </c>
      <c r="C447" t="inlineStr">
        <is>
          <t>WHITE</t>
        </is>
      </c>
      <c r="D447" t="inlineStr">
        <is>
          <t>v4_white_MLLB_000_y103_0924</t>
        </is>
      </c>
      <c r="E447" t="n">
        <v>3.6</v>
      </c>
      <c r="F447" t="n">
        <v>3.608</v>
      </c>
      <c r="G447" t="n">
        <v>7</v>
      </c>
      <c r="H447" t="n">
        <v>80</v>
      </c>
      <c r="I447" t="n">
        <v>29</v>
      </c>
      <c r="J447" t="inlineStr">
        <is>
          <t>ince</t>
        </is>
      </c>
      <c r="K447" t="b">
        <v>1</v>
      </c>
      <c r="M447" t="n">
        <v>34</v>
      </c>
      <c r="N447" t="n">
        <v>32</v>
      </c>
      <c r="O447" t="n">
        <v>14</v>
      </c>
      <c r="P447" t="n">
        <v>968</v>
      </c>
      <c r="Q447" t="n">
        <v>1002</v>
      </c>
      <c r="R447" t="n">
        <v>1.364</v>
      </c>
      <c r="S447" t="n">
        <v>16.148</v>
      </c>
      <c r="T447" t="n">
        <v>11.843</v>
      </c>
      <c r="U447" t="n">
        <v>0.7783</v>
      </c>
      <c r="V447" t="b">
        <v>1</v>
      </c>
      <c r="X447" t="b">
        <v>1</v>
      </c>
      <c r="Z447" t="n">
        <v>935</v>
      </c>
      <c r="AA447" t="n">
        <v>2.5</v>
      </c>
      <c r="AB447" t="n">
        <v>9.5</v>
      </c>
    </row>
    <row r="448">
      <c r="A448" t="inlineStr">
        <is>
          <t>2026-09-24 13:56:21</t>
        </is>
      </c>
      <c r="B448" t="inlineStr">
        <is>
          <t>MLLB_000_y1.0.3</t>
        </is>
      </c>
      <c r="C448" t="inlineStr">
        <is>
          <t>WHITE</t>
        </is>
      </c>
      <c r="D448" t="inlineStr">
        <is>
          <t>v4_white_MLLB_000_y103_0924</t>
        </is>
      </c>
      <c r="E448" t="n">
        <v>3.6</v>
      </c>
      <c r="F448" t="n">
        <v>3.608</v>
      </c>
      <c r="G448" t="n">
        <v>7</v>
      </c>
      <c r="H448" t="n">
        <v>80</v>
      </c>
      <c r="I448" t="n">
        <v>30</v>
      </c>
      <c r="J448" t="inlineStr">
        <is>
          <t>ince</t>
        </is>
      </c>
      <c r="K448" t="b">
        <v>1</v>
      </c>
      <c r="M448" t="n">
        <v>34</v>
      </c>
      <c r="N448" t="n">
        <v>34</v>
      </c>
      <c r="O448" t="n">
        <v>14</v>
      </c>
      <c r="P448" t="n">
        <v>968</v>
      </c>
      <c r="Q448" t="n">
        <v>1002</v>
      </c>
      <c r="R448" t="n">
        <v>2.283</v>
      </c>
      <c r="S448" t="n">
        <v>27.029</v>
      </c>
      <c r="T448" t="n">
        <v>11.839</v>
      </c>
      <c r="U448" t="n">
        <v>0.7782</v>
      </c>
      <c r="V448" t="b">
        <v>1</v>
      </c>
      <c r="X448" t="b">
        <v>1</v>
      </c>
      <c r="Z448" t="n">
        <v>935</v>
      </c>
      <c r="AA448" t="n">
        <v>2.5</v>
      </c>
      <c r="AB448" t="n">
        <v>9.5</v>
      </c>
    </row>
    <row r="449">
      <c r="A449" t="inlineStr">
        <is>
          <t>2026-09-24 13:56:37</t>
        </is>
      </c>
      <c r="B449" t="inlineStr">
        <is>
          <t>MLLB_000_y1.0.3</t>
        </is>
      </c>
      <c r="C449" t="inlineStr">
        <is>
          <t>WHITE</t>
        </is>
      </c>
      <c r="D449" t="inlineStr">
        <is>
          <t>v4_white_MLLB_000_y103_0924</t>
        </is>
      </c>
      <c r="E449" t="n">
        <v>3.6</v>
      </c>
      <c r="F449" t="n">
        <v>3.608</v>
      </c>
      <c r="G449" t="n">
        <v>7</v>
      </c>
      <c r="H449" t="n">
        <v>80</v>
      </c>
      <c r="I449" t="n">
        <v>31</v>
      </c>
      <c r="J449" t="inlineStr">
        <is>
          <t>ince</t>
        </is>
      </c>
      <c r="K449" t="b">
        <v>1</v>
      </c>
      <c r="M449" t="n">
        <v>34</v>
      </c>
      <c r="N449" t="n">
        <v>32</v>
      </c>
      <c r="O449" t="n">
        <v>14</v>
      </c>
      <c r="P449" t="n">
        <v>968</v>
      </c>
      <c r="Q449" t="n">
        <v>1002</v>
      </c>
      <c r="R449" t="n">
        <v>3.237</v>
      </c>
      <c r="S449" t="n">
        <v>38.358</v>
      </c>
      <c r="T449" t="n">
        <v>11.849</v>
      </c>
      <c r="U449" t="n">
        <v>0.7782</v>
      </c>
      <c r="V449" t="b">
        <v>1</v>
      </c>
      <c r="X449" t="b">
        <v>0</v>
      </c>
      <c r="Y449" t="inlineStr">
        <is>
          <t>FLAS</t>
        </is>
      </c>
      <c r="Z449" t="n">
        <v>935</v>
      </c>
      <c r="AA449" t="n">
        <v>2.5</v>
      </c>
      <c r="AB449" t="n">
        <v>9.5</v>
      </c>
    </row>
    <row r="450">
      <c r="A450" t="inlineStr">
        <is>
          <t>2026-09-24 13:56:38</t>
        </is>
      </c>
      <c r="B450" t="inlineStr">
        <is>
          <t>MLLB_000_y1.0.3</t>
        </is>
      </c>
      <c r="C450" t="inlineStr">
        <is>
          <t>WHITE</t>
        </is>
      </c>
      <c r="D450" t="inlineStr">
        <is>
          <t>v4_white_MLLB_000_y103_0924</t>
        </is>
      </c>
      <c r="E450" t="n">
        <v>3.6</v>
      </c>
      <c r="F450" t="n">
        <v>3.608</v>
      </c>
      <c r="G450" t="n">
        <v>7</v>
      </c>
      <c r="H450" t="n">
        <v>80</v>
      </c>
      <c r="J450" t="inlineStr">
        <is>
          <t>bitti</t>
        </is>
      </c>
      <c r="K450" t="b">
        <v>0</v>
      </c>
      <c r="Z450" t="n">
        <v>935</v>
      </c>
      <c r="AA450" t="n">
        <v>2.5</v>
      </c>
      <c r="AB450" t="n">
        <v>9.5</v>
      </c>
    </row>
    <row r="451">
      <c r="A451" t="inlineStr">
        <is>
          <t>2026-09-24 13:56:53</t>
        </is>
      </c>
      <c r="B451" t="inlineStr">
        <is>
          <t>MLLB_000_y1.0.3</t>
        </is>
      </c>
      <c r="C451" t="inlineStr">
        <is>
          <t>WHITE</t>
        </is>
      </c>
      <c r="D451" t="inlineStr">
        <is>
          <t>v4_white_MLLB_000_y103_0924</t>
        </is>
      </c>
      <c r="E451" t="n">
        <v>3.6</v>
      </c>
      <c r="F451" t="n">
        <v>3.608</v>
      </c>
      <c r="G451" t="n">
        <v>7</v>
      </c>
      <c r="H451" t="n">
        <v>60</v>
      </c>
      <c r="I451" t="n">
        <v>12</v>
      </c>
      <c r="J451" t="inlineStr">
        <is>
          <t>kaba</t>
        </is>
      </c>
      <c r="K451" t="b">
        <v>1</v>
      </c>
      <c r="M451" t="n">
        <v>292</v>
      </c>
      <c r="N451" t="n">
        <v>38</v>
      </c>
      <c r="O451" t="n">
        <v>268</v>
      </c>
      <c r="P451" t="n">
        <v>710</v>
      </c>
      <c r="Q451" t="n">
        <v>1002</v>
      </c>
      <c r="R451" t="n">
        <v>1.095</v>
      </c>
      <c r="S451" t="n">
        <v>12.821</v>
      </c>
      <c r="T451" t="n">
        <v>11.71</v>
      </c>
      <c r="U451" t="n">
        <v>0.7784</v>
      </c>
      <c r="V451" t="b">
        <v>1</v>
      </c>
      <c r="X451" t="b">
        <v>0</v>
      </c>
      <c r="Y451" t="inlineStr">
        <is>
          <t>ON</t>
        </is>
      </c>
      <c r="Z451" t="n">
        <v>935</v>
      </c>
      <c r="AA451" t="n">
        <v>2.5</v>
      </c>
      <c r="AB451" t="n">
        <v>9.5</v>
      </c>
    </row>
    <row r="452">
      <c r="A452" t="inlineStr">
        <is>
          <t>2026-09-24 13:57:09</t>
        </is>
      </c>
      <c r="B452" t="inlineStr">
        <is>
          <t>MLLB_000_y1.0.3</t>
        </is>
      </c>
      <c r="C452" t="inlineStr">
        <is>
          <t>WHITE</t>
        </is>
      </c>
      <c r="D452" t="inlineStr">
        <is>
          <t>v4_white_MLLB_000_y103_0924</t>
        </is>
      </c>
      <c r="E452" t="n">
        <v>3.6</v>
      </c>
      <c r="F452" t="n">
        <v>3.608</v>
      </c>
      <c r="G452" t="n">
        <v>7</v>
      </c>
      <c r="H452" t="n">
        <v>60</v>
      </c>
      <c r="I452" t="n">
        <v>16</v>
      </c>
      <c r="J452" t="inlineStr">
        <is>
          <t>kaba</t>
        </is>
      </c>
      <c r="K452" t="b">
        <v>1</v>
      </c>
      <c r="M452" t="n">
        <v>254</v>
      </c>
      <c r="N452" t="n">
        <v>42</v>
      </c>
      <c r="O452" t="n">
        <v>230</v>
      </c>
      <c r="P452" t="n">
        <v>748</v>
      </c>
      <c r="Q452" t="n">
        <v>1002</v>
      </c>
      <c r="R452" t="n">
        <v>1.092</v>
      </c>
      <c r="S452" t="n">
        <v>12.826</v>
      </c>
      <c r="T452" t="n">
        <v>11.744</v>
      </c>
      <c r="U452" t="n">
        <v>0.7786</v>
      </c>
      <c r="V452" t="b">
        <v>1</v>
      </c>
      <c r="X452" t="b">
        <v>0</v>
      </c>
      <c r="Y452" t="inlineStr">
        <is>
          <t>ON</t>
        </is>
      </c>
      <c r="Z452" t="n">
        <v>935</v>
      </c>
      <c r="AA452" t="n">
        <v>2.5</v>
      </c>
      <c r="AB452" t="n">
        <v>9.5</v>
      </c>
    </row>
    <row r="453">
      <c r="A453" t="inlineStr">
        <is>
          <t>2026-09-24 13:57:25</t>
        </is>
      </c>
      <c r="B453" t="inlineStr">
        <is>
          <t>MLLB_000_y1.0.3</t>
        </is>
      </c>
      <c r="C453" t="inlineStr">
        <is>
          <t>WHITE</t>
        </is>
      </c>
      <c r="D453" t="inlineStr">
        <is>
          <t>v4_white_MLLB_000_y103_0924</t>
        </is>
      </c>
      <c r="E453" t="n">
        <v>3.6</v>
      </c>
      <c r="F453" t="n">
        <v>3.608</v>
      </c>
      <c r="G453" t="n">
        <v>7</v>
      </c>
      <c r="H453" t="n">
        <v>60</v>
      </c>
      <c r="I453" t="n">
        <v>20</v>
      </c>
      <c r="J453" t="inlineStr">
        <is>
          <t>kaba</t>
        </is>
      </c>
      <c r="K453" t="b">
        <v>1</v>
      </c>
      <c r="M453" t="n">
        <v>212</v>
      </c>
      <c r="N453" t="n">
        <v>40</v>
      </c>
      <c r="O453" t="n">
        <v>186</v>
      </c>
      <c r="P453" t="n">
        <v>790</v>
      </c>
      <c r="Q453" t="n">
        <v>1002</v>
      </c>
      <c r="R453" t="n">
        <v>1.088</v>
      </c>
      <c r="S453" t="n">
        <v>12.81</v>
      </c>
      <c r="T453" t="n">
        <v>11.774</v>
      </c>
      <c r="U453" t="n">
        <v>0.778</v>
      </c>
      <c r="V453" t="b">
        <v>1</v>
      </c>
      <c r="X453" t="b">
        <v>0</v>
      </c>
      <c r="Y453" t="inlineStr">
        <is>
          <t>ON</t>
        </is>
      </c>
      <c r="Z453" t="n">
        <v>935</v>
      </c>
      <c r="AA453" t="n">
        <v>2.5</v>
      </c>
      <c r="AB453" t="n">
        <v>9.5</v>
      </c>
    </row>
    <row r="454">
      <c r="A454" t="inlineStr">
        <is>
          <t>2026-09-24 13:57:41</t>
        </is>
      </c>
      <c r="B454" t="inlineStr">
        <is>
          <t>MLLB_000_y1.0.3</t>
        </is>
      </c>
      <c r="C454" t="inlineStr">
        <is>
          <t>WHITE</t>
        </is>
      </c>
      <c r="D454" t="inlineStr">
        <is>
          <t>v4_white_MLLB_000_y103_0924</t>
        </is>
      </c>
      <c r="E454" t="n">
        <v>3.6</v>
      </c>
      <c r="F454" t="n">
        <v>3.608</v>
      </c>
      <c r="G454" t="n">
        <v>7</v>
      </c>
      <c r="H454" t="n">
        <v>60</v>
      </c>
      <c r="I454" t="n">
        <v>24</v>
      </c>
      <c r="J454" t="inlineStr">
        <is>
          <t>kaba</t>
        </is>
      </c>
      <c r="K454" t="b">
        <v>1</v>
      </c>
      <c r="M454" t="n">
        <v>170</v>
      </c>
      <c r="N454" t="n">
        <v>40</v>
      </c>
      <c r="O454" t="n">
        <v>146</v>
      </c>
      <c r="P454" t="n">
        <v>832</v>
      </c>
      <c r="Q454" t="n">
        <v>1002</v>
      </c>
      <c r="R454" t="n">
        <v>1.101</v>
      </c>
      <c r="S454" t="n">
        <v>12.995</v>
      </c>
      <c r="T454" t="n">
        <v>11.804</v>
      </c>
      <c r="U454" t="n">
        <v>0.7781</v>
      </c>
      <c r="V454" t="b">
        <v>1</v>
      </c>
      <c r="X454" t="b">
        <v>0</v>
      </c>
      <c r="Y454" t="inlineStr">
        <is>
          <t>ON</t>
        </is>
      </c>
      <c r="Z454" t="n">
        <v>935</v>
      </c>
      <c r="AA454" t="n">
        <v>2.5</v>
      </c>
      <c r="AB454" t="n">
        <v>9.5</v>
      </c>
    </row>
    <row r="455">
      <c r="A455" t="inlineStr">
        <is>
          <t>2026-09-24 13:57:57</t>
        </is>
      </c>
      <c r="B455" t="inlineStr">
        <is>
          <t>MLLB_000_y1.0.3</t>
        </is>
      </c>
      <c r="C455" t="inlineStr">
        <is>
          <t>WHITE</t>
        </is>
      </c>
      <c r="D455" t="inlineStr">
        <is>
          <t>v4_white_MLLB_000_y103_0924</t>
        </is>
      </c>
      <c r="E455" t="n">
        <v>3.6</v>
      </c>
      <c r="F455" t="n">
        <v>3.608</v>
      </c>
      <c r="G455" t="n">
        <v>7</v>
      </c>
      <c r="H455" t="n">
        <v>60</v>
      </c>
      <c r="I455" t="n">
        <v>28</v>
      </c>
      <c r="J455" t="inlineStr">
        <is>
          <t>kaba</t>
        </is>
      </c>
      <c r="K455" t="b">
        <v>1</v>
      </c>
      <c r="M455" t="n">
        <v>130</v>
      </c>
      <c r="N455" t="n">
        <v>40</v>
      </c>
      <c r="O455" t="n">
        <v>106</v>
      </c>
      <c r="P455" t="n">
        <v>872</v>
      </c>
      <c r="Q455" t="n">
        <v>1002</v>
      </c>
      <c r="R455" t="n">
        <v>1.094</v>
      </c>
      <c r="S455" t="n">
        <v>12.903</v>
      </c>
      <c r="T455" t="n">
        <v>11.796</v>
      </c>
      <c r="U455" t="n">
        <v>0.7781</v>
      </c>
      <c r="V455" t="b">
        <v>1</v>
      </c>
      <c r="X455" t="b">
        <v>0</v>
      </c>
      <c r="Y455" t="inlineStr">
        <is>
          <t>ON</t>
        </is>
      </c>
      <c r="Z455" t="n">
        <v>935</v>
      </c>
      <c r="AA455" t="n">
        <v>2.5</v>
      </c>
      <c r="AB455" t="n">
        <v>9.5</v>
      </c>
    </row>
    <row r="456">
      <c r="A456" t="inlineStr">
        <is>
          <t>2026-09-24 13:58:13</t>
        </is>
      </c>
      <c r="B456" t="inlineStr">
        <is>
          <t>MLLB_000_y1.0.3</t>
        </is>
      </c>
      <c r="C456" t="inlineStr">
        <is>
          <t>WHITE</t>
        </is>
      </c>
      <c r="D456" t="inlineStr">
        <is>
          <t>v4_white_MLLB_000_y103_0924</t>
        </is>
      </c>
      <c r="E456" t="n">
        <v>3.6</v>
      </c>
      <c r="F456" t="n">
        <v>3.608</v>
      </c>
      <c r="G456" t="n">
        <v>7</v>
      </c>
      <c r="H456" t="n">
        <v>60</v>
      </c>
      <c r="I456" t="n">
        <v>32</v>
      </c>
      <c r="J456" t="inlineStr">
        <is>
          <t>kaba</t>
        </is>
      </c>
      <c r="K456" t="b">
        <v>1</v>
      </c>
      <c r="M456" t="n">
        <v>88</v>
      </c>
      <c r="N456" t="n">
        <v>46</v>
      </c>
      <c r="O456" t="n">
        <v>62</v>
      </c>
      <c r="P456" t="n">
        <v>914</v>
      </c>
      <c r="Q456" t="n">
        <v>1002</v>
      </c>
      <c r="R456" t="n">
        <v>1.082</v>
      </c>
      <c r="S456" t="n">
        <v>12.81</v>
      </c>
      <c r="T456" t="n">
        <v>11.844</v>
      </c>
      <c r="U456" t="n">
        <v>0.7779</v>
      </c>
      <c r="V456" t="b">
        <v>1</v>
      </c>
      <c r="X456" t="b">
        <v>0</v>
      </c>
      <c r="Y456" t="inlineStr">
        <is>
          <t>ON</t>
        </is>
      </c>
      <c r="Z456" t="n">
        <v>935</v>
      </c>
      <c r="AA456" t="n">
        <v>2.5</v>
      </c>
      <c r="AB456" t="n">
        <v>9.5</v>
      </c>
    </row>
    <row r="457">
      <c r="A457" t="inlineStr">
        <is>
          <t>2026-09-24 13:58:29</t>
        </is>
      </c>
      <c r="B457" t="inlineStr">
        <is>
          <t>MLLB_000_y1.0.3</t>
        </is>
      </c>
      <c r="C457" t="inlineStr">
        <is>
          <t>WHITE</t>
        </is>
      </c>
      <c r="D457" t="inlineStr">
        <is>
          <t>v4_white_MLLB_000_y103_0924</t>
        </is>
      </c>
      <c r="E457" t="n">
        <v>3.6</v>
      </c>
      <c r="F457" t="n">
        <v>3.608</v>
      </c>
      <c r="G457" t="n">
        <v>7</v>
      </c>
      <c r="H457" t="n">
        <v>60</v>
      </c>
      <c r="I457" t="n">
        <v>36</v>
      </c>
      <c r="J457" t="inlineStr">
        <is>
          <t>kaba</t>
        </is>
      </c>
      <c r="K457" t="b">
        <v>1</v>
      </c>
      <c r="M457" t="n">
        <v>46</v>
      </c>
      <c r="N457" t="n">
        <v>32</v>
      </c>
      <c r="O457" t="n">
        <v>26</v>
      </c>
      <c r="P457" t="n">
        <v>956</v>
      </c>
      <c r="Q457" t="n">
        <v>1002</v>
      </c>
      <c r="R457" t="n">
        <v>1.084</v>
      </c>
      <c r="S457" t="n">
        <v>12.81</v>
      </c>
      <c r="T457" t="n">
        <v>11.818</v>
      </c>
      <c r="U457" t="n">
        <v>0.7786</v>
      </c>
      <c r="V457" t="b">
        <v>1</v>
      </c>
      <c r="X457" t="b">
        <v>1</v>
      </c>
      <c r="Z457" t="n">
        <v>935</v>
      </c>
      <c r="AA457" t="n">
        <v>2.5</v>
      </c>
      <c r="AB457" t="n">
        <v>9.5</v>
      </c>
    </row>
    <row r="458">
      <c r="A458" t="inlineStr">
        <is>
          <t>2026-09-24 13:58:45</t>
        </is>
      </c>
      <c r="B458" t="inlineStr">
        <is>
          <t>MLLB_000_y1.0.3</t>
        </is>
      </c>
      <c r="C458" t="inlineStr">
        <is>
          <t>WHITE</t>
        </is>
      </c>
      <c r="D458" t="inlineStr">
        <is>
          <t>v4_white_MLLB_000_y103_0924</t>
        </is>
      </c>
      <c r="E458" t="n">
        <v>3.6</v>
      </c>
      <c r="F458" t="n">
        <v>3.608</v>
      </c>
      <c r="G458" t="n">
        <v>7</v>
      </c>
      <c r="H458" t="n">
        <v>60</v>
      </c>
      <c r="I458" t="n">
        <v>40</v>
      </c>
      <c r="J458" t="inlineStr">
        <is>
          <t>kaba</t>
        </is>
      </c>
      <c r="K458" t="b">
        <v>1</v>
      </c>
      <c r="M458" t="n">
        <v>44</v>
      </c>
      <c r="N458" t="n">
        <v>28</v>
      </c>
      <c r="O458" t="n">
        <v>26</v>
      </c>
      <c r="P458" t="n">
        <v>958</v>
      </c>
      <c r="Q458" t="n">
        <v>1002</v>
      </c>
      <c r="R458" t="n">
        <v>2.554</v>
      </c>
      <c r="S458" t="n">
        <v>30.211</v>
      </c>
      <c r="T458" t="n">
        <v>11.83</v>
      </c>
      <c r="U458" t="n">
        <v>0.7782</v>
      </c>
      <c r="V458" t="b">
        <v>1</v>
      </c>
      <c r="X458" t="b">
        <v>0</v>
      </c>
      <c r="Y458" t="inlineStr">
        <is>
          <t>FLAS</t>
        </is>
      </c>
      <c r="Z458" t="n">
        <v>935</v>
      </c>
      <c r="AA458" t="n">
        <v>2.5</v>
      </c>
      <c r="AB458" t="n">
        <v>9.5</v>
      </c>
    </row>
    <row r="459">
      <c r="A459" t="inlineStr">
        <is>
          <t>2026-09-24 13:59:01</t>
        </is>
      </c>
      <c r="B459" t="inlineStr">
        <is>
          <t>MLLB_000_y1.0.3</t>
        </is>
      </c>
      <c r="C459" t="inlineStr">
        <is>
          <t>WHITE</t>
        </is>
      </c>
      <c r="D459" t="inlineStr">
        <is>
          <t>v4_white_MLLB_000_y103_0924</t>
        </is>
      </c>
      <c r="E459" t="n">
        <v>3.6</v>
      </c>
      <c r="F459" t="n">
        <v>3.608</v>
      </c>
      <c r="G459" t="n">
        <v>7</v>
      </c>
      <c r="H459" t="n">
        <v>60</v>
      </c>
      <c r="I459" t="n">
        <v>44</v>
      </c>
      <c r="J459" t="inlineStr">
        <is>
          <t>kaba</t>
        </is>
      </c>
      <c r="K459" t="b">
        <v>1</v>
      </c>
      <c r="M459" t="n">
        <v>44</v>
      </c>
      <c r="N459" t="n">
        <v>28</v>
      </c>
      <c r="O459" t="n">
        <v>26</v>
      </c>
      <c r="P459" t="n">
        <v>958</v>
      </c>
      <c r="Q459" t="n">
        <v>1002</v>
      </c>
      <c r="R459" t="n">
        <v>4.187</v>
      </c>
      <c r="S459" t="n">
        <v>49.554</v>
      </c>
      <c r="T459" t="n">
        <v>11.834</v>
      </c>
      <c r="U459" t="n">
        <v>0.7785</v>
      </c>
      <c r="V459" t="b">
        <v>1</v>
      </c>
      <c r="X459" t="b">
        <v>0</v>
      </c>
      <c r="Y459" t="inlineStr">
        <is>
          <t>FLAS</t>
        </is>
      </c>
      <c r="Z459" t="n">
        <v>935</v>
      </c>
      <c r="AA459" t="n">
        <v>2.5</v>
      </c>
      <c r="AB459" t="n">
        <v>9.5</v>
      </c>
    </row>
    <row r="460">
      <c r="A460" t="inlineStr">
        <is>
          <t>2026-09-24 13:59:17</t>
        </is>
      </c>
      <c r="B460" t="inlineStr">
        <is>
          <t>MLLB_000_y1.0.3</t>
        </is>
      </c>
      <c r="C460" t="inlineStr">
        <is>
          <t>WHITE</t>
        </is>
      </c>
      <c r="D460" t="inlineStr">
        <is>
          <t>v4_white_MLLB_000_y103_0924</t>
        </is>
      </c>
      <c r="E460" t="n">
        <v>3.6</v>
      </c>
      <c r="F460" t="n">
        <v>3.608</v>
      </c>
      <c r="G460" t="n">
        <v>7</v>
      </c>
      <c r="H460" t="n">
        <v>60</v>
      </c>
      <c r="I460" t="n">
        <v>33</v>
      </c>
      <c r="J460" t="inlineStr">
        <is>
          <t>ince</t>
        </is>
      </c>
      <c r="K460" t="b">
        <v>1</v>
      </c>
      <c r="M460" t="n">
        <v>78</v>
      </c>
      <c r="N460" t="n">
        <v>42</v>
      </c>
      <c r="O460" t="n">
        <v>54</v>
      </c>
      <c r="P460" t="n">
        <v>924</v>
      </c>
      <c r="Q460" t="n">
        <v>1002</v>
      </c>
      <c r="R460" t="n">
        <v>1.086</v>
      </c>
      <c r="S460" t="n">
        <v>12.859</v>
      </c>
      <c r="T460" t="n">
        <v>11.838</v>
      </c>
      <c r="U460" t="n">
        <v>0.7781</v>
      </c>
      <c r="V460" t="b">
        <v>1</v>
      </c>
      <c r="X460" t="b">
        <v>0</v>
      </c>
      <c r="Y460" t="inlineStr">
        <is>
          <t>ON</t>
        </is>
      </c>
      <c r="Z460" t="n">
        <v>935</v>
      </c>
      <c r="AA460" t="n">
        <v>2.5</v>
      </c>
      <c r="AB460" t="n">
        <v>9.5</v>
      </c>
    </row>
    <row r="461">
      <c r="A461" t="inlineStr">
        <is>
          <t>2026-09-24 13:59:33</t>
        </is>
      </c>
      <c r="B461" t="inlineStr">
        <is>
          <t>MLLB_000_y1.0.3</t>
        </is>
      </c>
      <c r="C461" t="inlineStr">
        <is>
          <t>WHITE</t>
        </is>
      </c>
      <c r="D461" t="inlineStr">
        <is>
          <t>v4_white_MLLB_000_y103_0924</t>
        </is>
      </c>
      <c r="E461" t="n">
        <v>3.6</v>
      </c>
      <c r="F461" t="n">
        <v>3.608</v>
      </c>
      <c r="G461" t="n">
        <v>7</v>
      </c>
      <c r="H461" t="n">
        <v>60</v>
      </c>
      <c r="I461" t="n">
        <v>34</v>
      </c>
      <c r="J461" t="inlineStr">
        <is>
          <t>ince</t>
        </is>
      </c>
      <c r="K461" t="b">
        <v>1</v>
      </c>
      <c r="M461" t="n">
        <v>66</v>
      </c>
      <c r="N461" t="n">
        <v>40</v>
      </c>
      <c r="O461" t="n">
        <v>42</v>
      </c>
      <c r="P461" t="n">
        <v>936</v>
      </c>
      <c r="Q461" t="n">
        <v>1002</v>
      </c>
      <c r="R461" t="n">
        <v>1.085</v>
      </c>
      <c r="S461" t="n">
        <v>12.856</v>
      </c>
      <c r="T461" t="n">
        <v>11.851</v>
      </c>
      <c r="U461" t="n">
        <v>0.7786999999999999</v>
      </c>
      <c r="V461" t="b">
        <v>1</v>
      </c>
      <c r="X461" t="b">
        <v>1</v>
      </c>
      <c r="Z461" t="n">
        <v>935</v>
      </c>
      <c r="AA461" t="n">
        <v>2.5</v>
      </c>
      <c r="AB461" t="n">
        <v>9.5</v>
      </c>
    </row>
    <row r="462">
      <c r="A462" t="inlineStr">
        <is>
          <t>2026-09-24 13:59:49</t>
        </is>
      </c>
      <c r="B462" t="inlineStr">
        <is>
          <t>MLLB_000_y1.0.3</t>
        </is>
      </c>
      <c r="C462" t="inlineStr">
        <is>
          <t>WHITE</t>
        </is>
      </c>
      <c r="D462" t="inlineStr">
        <is>
          <t>v4_white_MLLB_000_y103_0924</t>
        </is>
      </c>
      <c r="E462" t="n">
        <v>3.6</v>
      </c>
      <c r="F462" t="n">
        <v>3.608</v>
      </c>
      <c r="G462" t="n">
        <v>7</v>
      </c>
      <c r="H462" t="n">
        <v>60</v>
      </c>
      <c r="I462" t="n">
        <v>35</v>
      </c>
      <c r="J462" t="inlineStr">
        <is>
          <t>ince</t>
        </is>
      </c>
      <c r="K462" t="b">
        <v>1</v>
      </c>
      <c r="M462" t="n">
        <v>56</v>
      </c>
      <c r="N462" t="n">
        <v>44</v>
      </c>
      <c r="O462" t="n">
        <v>30</v>
      </c>
      <c r="P462" t="n">
        <v>946</v>
      </c>
      <c r="Q462" t="n">
        <v>1002</v>
      </c>
      <c r="R462" t="n">
        <v>1.083</v>
      </c>
      <c r="S462" t="n">
        <v>12.825</v>
      </c>
      <c r="T462" t="n">
        <v>11.846</v>
      </c>
      <c r="U462" t="n">
        <v>0.7776999999999999</v>
      </c>
      <c r="V462" t="b">
        <v>1</v>
      </c>
      <c r="X462" t="b">
        <v>1</v>
      </c>
      <c r="Z462" t="n">
        <v>935</v>
      </c>
      <c r="AA462" t="n">
        <v>2.5</v>
      </c>
      <c r="AB462" t="n">
        <v>9.5</v>
      </c>
    </row>
    <row r="463">
      <c r="A463" t="inlineStr">
        <is>
          <t>2026-09-24 14:00:05</t>
        </is>
      </c>
      <c r="B463" t="inlineStr">
        <is>
          <t>MLLB_000_y1.0.3</t>
        </is>
      </c>
      <c r="C463" t="inlineStr">
        <is>
          <t>WHITE</t>
        </is>
      </c>
      <c r="D463" t="inlineStr">
        <is>
          <t>v4_white_MLLB_000_y103_0924</t>
        </is>
      </c>
      <c r="E463" t="n">
        <v>3.6</v>
      </c>
      <c r="F463" t="n">
        <v>3.608</v>
      </c>
      <c r="G463" t="n">
        <v>7</v>
      </c>
      <c r="H463" t="n">
        <v>60</v>
      </c>
      <c r="I463" t="n">
        <v>37</v>
      </c>
      <c r="J463" t="inlineStr">
        <is>
          <t>ince</t>
        </is>
      </c>
      <c r="K463" t="b">
        <v>1</v>
      </c>
      <c r="M463" t="n">
        <v>44</v>
      </c>
      <c r="N463" t="n">
        <v>28</v>
      </c>
      <c r="O463" t="n">
        <v>26</v>
      </c>
      <c r="P463" t="n">
        <v>958</v>
      </c>
      <c r="Q463" t="n">
        <v>1002</v>
      </c>
      <c r="R463" t="n">
        <v>1.083</v>
      </c>
      <c r="S463" t="n">
        <v>12.81</v>
      </c>
      <c r="T463" t="n">
        <v>11.826</v>
      </c>
      <c r="U463" t="n">
        <v>0.7784</v>
      </c>
      <c r="V463" t="b">
        <v>1</v>
      </c>
      <c r="X463" t="b">
        <v>1</v>
      </c>
      <c r="Z463" t="n">
        <v>935</v>
      </c>
      <c r="AA463" t="n">
        <v>2.5</v>
      </c>
      <c r="AB463" t="n">
        <v>9.5</v>
      </c>
    </row>
    <row r="464">
      <c r="A464" t="inlineStr">
        <is>
          <t>2026-09-24 14:00:18</t>
        </is>
      </c>
      <c r="B464" t="inlineStr">
        <is>
          <t>MLLB_000_y1.0.3</t>
        </is>
      </c>
      <c r="C464" t="inlineStr">
        <is>
          <t>WHITE</t>
        </is>
      </c>
      <c r="D464" t="inlineStr">
        <is>
          <t>v4_white_MLLB_000_y103_0924</t>
        </is>
      </c>
      <c r="E464" t="n">
        <v>3.6</v>
      </c>
      <c r="F464" t="n">
        <v>3.608</v>
      </c>
      <c r="G464" t="n">
        <v>7</v>
      </c>
      <c r="H464" t="n">
        <v>60</v>
      </c>
      <c r="I464" t="n">
        <v>38</v>
      </c>
      <c r="J464" t="inlineStr">
        <is>
          <t>ince</t>
        </is>
      </c>
      <c r="K464" t="b">
        <v>1</v>
      </c>
      <c r="M464" t="n">
        <v>44</v>
      </c>
      <c r="N464" t="n">
        <v>28</v>
      </c>
      <c r="O464" t="n">
        <v>26</v>
      </c>
      <c r="P464" t="n">
        <v>958</v>
      </c>
      <c r="Q464" t="n">
        <v>1002</v>
      </c>
      <c r="R464" t="n">
        <v>1.226</v>
      </c>
      <c r="S464" t="n">
        <v>14.508</v>
      </c>
      <c r="T464" t="n">
        <v>11.831</v>
      </c>
      <c r="U464" t="n">
        <v>0.778</v>
      </c>
      <c r="V464" t="b">
        <v>1</v>
      </c>
      <c r="X464" t="b">
        <v>1</v>
      </c>
      <c r="Z464" t="n">
        <v>935</v>
      </c>
      <c r="AA464" t="n">
        <v>2.5</v>
      </c>
      <c r="AB464" t="n">
        <v>9.5</v>
      </c>
    </row>
    <row r="465">
      <c r="A465" t="inlineStr">
        <is>
          <t>2026-09-24 14:00:34</t>
        </is>
      </c>
      <c r="B465" t="inlineStr">
        <is>
          <t>MLLB_000_y1.0.3</t>
        </is>
      </c>
      <c r="C465" t="inlineStr">
        <is>
          <t>WHITE</t>
        </is>
      </c>
      <c r="D465" t="inlineStr">
        <is>
          <t>v4_white_MLLB_000_y103_0924</t>
        </is>
      </c>
      <c r="E465" t="n">
        <v>3.6</v>
      </c>
      <c r="F465" t="n">
        <v>3.608</v>
      </c>
      <c r="G465" t="n">
        <v>7</v>
      </c>
      <c r="H465" t="n">
        <v>60</v>
      </c>
      <c r="I465" t="n">
        <v>39</v>
      </c>
      <c r="J465" t="inlineStr">
        <is>
          <t>ince</t>
        </is>
      </c>
      <c r="K465" t="b">
        <v>1</v>
      </c>
      <c r="M465" t="n">
        <v>44</v>
      </c>
      <c r="N465" t="n">
        <v>28</v>
      </c>
      <c r="O465" t="n">
        <v>26</v>
      </c>
      <c r="P465" t="n">
        <v>958</v>
      </c>
      <c r="Q465" t="n">
        <v>1002</v>
      </c>
      <c r="R465" t="n">
        <v>1.901</v>
      </c>
      <c r="S465" t="n">
        <v>22.492</v>
      </c>
      <c r="T465" t="n">
        <v>11.834</v>
      </c>
      <c r="U465" t="n">
        <v>0.7785</v>
      </c>
      <c r="V465" t="b">
        <v>1</v>
      </c>
      <c r="X465" t="b">
        <v>1</v>
      </c>
      <c r="Z465" t="n">
        <v>935</v>
      </c>
      <c r="AA465" t="n">
        <v>2.5</v>
      </c>
      <c r="AB465" t="n">
        <v>9.5</v>
      </c>
    </row>
    <row r="466">
      <c r="A466" t="inlineStr">
        <is>
          <t>2026-09-24 14:00:34</t>
        </is>
      </c>
      <c r="B466" t="inlineStr">
        <is>
          <t>MLLB_000_y1.0.3</t>
        </is>
      </c>
      <c r="C466" t="inlineStr">
        <is>
          <t>WHITE</t>
        </is>
      </c>
      <c r="D466" t="inlineStr">
        <is>
          <t>v4_white_MLLB_000_y103_0924</t>
        </is>
      </c>
      <c r="E466" t="n">
        <v>3.6</v>
      </c>
      <c r="F466" t="n">
        <v>3.608</v>
      </c>
      <c r="G466" t="n">
        <v>7</v>
      </c>
      <c r="H466" t="n">
        <v>60</v>
      </c>
      <c r="J466" t="inlineStr">
        <is>
          <t>bitti</t>
        </is>
      </c>
      <c r="K466" t="b">
        <v>0</v>
      </c>
      <c r="Z466" t="n">
        <v>935</v>
      </c>
      <c r="AA466" t="n">
        <v>2.5</v>
      </c>
      <c r="AB466" t="n">
        <v>9.5</v>
      </c>
    </row>
    <row r="467">
      <c r="A467" t="inlineStr">
        <is>
          <t>2026-09-24 14:01:13</t>
        </is>
      </c>
      <c r="B467" t="inlineStr">
        <is>
          <t>MLLB_000_y1.0.3</t>
        </is>
      </c>
      <c r="C467" t="inlineStr">
        <is>
          <t>WHITE</t>
        </is>
      </c>
      <c r="D467" t="inlineStr">
        <is>
          <t>v4_white_MLLB_000_y103_0924</t>
        </is>
      </c>
      <c r="E467" t="n">
        <v>3.6</v>
      </c>
      <c r="F467" t="n">
        <v>3.608</v>
      </c>
      <c r="G467" t="n">
        <v>8</v>
      </c>
      <c r="H467" t="n">
        <v>100</v>
      </c>
      <c r="I467" t="n">
        <v>12</v>
      </c>
      <c r="J467" t="inlineStr">
        <is>
          <t>kaba</t>
        </is>
      </c>
      <c r="K467" t="b">
        <v>1</v>
      </c>
      <c r="M467" t="n">
        <v>188</v>
      </c>
      <c r="N467" t="n">
        <v>36</v>
      </c>
      <c r="O467" t="n">
        <v>166</v>
      </c>
      <c r="P467" t="n">
        <v>814</v>
      </c>
      <c r="Q467" t="n">
        <v>1002</v>
      </c>
      <c r="R467" t="n">
        <v>1.086</v>
      </c>
      <c r="S467" t="n">
        <v>15.345</v>
      </c>
      <c r="T467" t="n">
        <v>14.136</v>
      </c>
      <c r="U467" t="n">
        <v>0.7784</v>
      </c>
      <c r="V467" t="b">
        <v>1</v>
      </c>
      <c r="X467" t="b">
        <v>0</v>
      </c>
      <c r="Y467" t="inlineStr">
        <is>
          <t>ON</t>
        </is>
      </c>
      <c r="Z467" t="n">
        <v>935</v>
      </c>
      <c r="AA467" t="n">
        <v>2.5</v>
      </c>
      <c r="AB467" t="n">
        <v>9.5</v>
      </c>
    </row>
    <row r="468">
      <c r="A468" t="inlineStr">
        <is>
          <t>2026-09-24 14:01:26</t>
        </is>
      </c>
      <c r="B468" t="inlineStr">
        <is>
          <t>MLLB_000_y1.0.3</t>
        </is>
      </c>
      <c r="C468" t="inlineStr">
        <is>
          <t>WHITE</t>
        </is>
      </c>
      <c r="D468" t="inlineStr">
        <is>
          <t>v4_white_MLLB_000_y103_0924</t>
        </is>
      </c>
      <c r="E468" t="n">
        <v>3.6</v>
      </c>
      <c r="F468" t="n">
        <v>3.608</v>
      </c>
      <c r="G468" t="n">
        <v>8</v>
      </c>
      <c r="H468" t="n">
        <v>100</v>
      </c>
      <c r="I468" t="n">
        <v>16</v>
      </c>
      <c r="J468" t="inlineStr">
        <is>
          <t>kaba</t>
        </is>
      </c>
      <c r="K468" t="b">
        <v>1</v>
      </c>
      <c r="M468" t="n">
        <v>130</v>
      </c>
      <c r="N468" t="n">
        <v>40</v>
      </c>
      <c r="O468" t="n">
        <v>106</v>
      </c>
      <c r="P468" t="n">
        <v>872</v>
      </c>
      <c r="Q468" t="n">
        <v>1002</v>
      </c>
      <c r="R468" t="n">
        <v>1.085</v>
      </c>
      <c r="S468" t="n">
        <v>15.327</v>
      </c>
      <c r="T468" t="n">
        <v>14.133</v>
      </c>
      <c r="U468" t="n">
        <v>0.7784</v>
      </c>
      <c r="V468" t="b">
        <v>1</v>
      </c>
      <c r="X468" t="b">
        <v>0</v>
      </c>
      <c r="Y468" t="inlineStr">
        <is>
          <t>ON</t>
        </is>
      </c>
      <c r="Z468" t="n">
        <v>935</v>
      </c>
      <c r="AA468" t="n">
        <v>2.5</v>
      </c>
      <c r="AB468" t="n">
        <v>9.5</v>
      </c>
    </row>
    <row r="469">
      <c r="A469" t="inlineStr">
        <is>
          <t>2026-09-24 14:01:41</t>
        </is>
      </c>
      <c r="B469" t="inlineStr">
        <is>
          <t>MLLB_000_y1.0.3</t>
        </is>
      </c>
      <c r="C469" t="inlineStr">
        <is>
          <t>WHITE</t>
        </is>
      </c>
      <c r="D469" t="inlineStr">
        <is>
          <t>v4_white_MLLB_000_y103_0924</t>
        </is>
      </c>
      <c r="E469" t="n">
        <v>3.6</v>
      </c>
      <c r="F469" t="n">
        <v>3.608</v>
      </c>
      <c r="G469" t="n">
        <v>8</v>
      </c>
      <c r="H469" t="n">
        <v>100</v>
      </c>
      <c r="I469" t="n">
        <v>20</v>
      </c>
      <c r="J469" t="inlineStr">
        <is>
          <t>kaba</t>
        </is>
      </c>
      <c r="K469" t="b">
        <v>1</v>
      </c>
      <c r="M469" t="n">
        <v>74</v>
      </c>
      <c r="N469" t="n">
        <v>36</v>
      </c>
      <c r="O469" t="n">
        <v>50</v>
      </c>
      <c r="P469" t="n">
        <v>928</v>
      </c>
      <c r="Q469" t="n">
        <v>1002</v>
      </c>
      <c r="R469" t="n">
        <v>1.08</v>
      </c>
      <c r="S469" t="n">
        <v>15.327</v>
      </c>
      <c r="T469" t="n">
        <v>14.198</v>
      </c>
      <c r="U469" t="n">
        <v>0.7784</v>
      </c>
      <c r="V469" t="b">
        <v>1</v>
      </c>
      <c r="X469" t="b">
        <v>0</v>
      </c>
      <c r="Y469" t="inlineStr">
        <is>
          <t>ON</t>
        </is>
      </c>
      <c r="Z469" t="n">
        <v>935</v>
      </c>
      <c r="AA469" t="n">
        <v>2.5</v>
      </c>
      <c r="AB469" t="n">
        <v>9.5</v>
      </c>
    </row>
    <row r="470">
      <c r="A470" t="inlineStr">
        <is>
          <t>2026-09-24 14:01:57</t>
        </is>
      </c>
      <c r="B470" t="inlineStr">
        <is>
          <t>MLLB_000_y1.0.3</t>
        </is>
      </c>
      <c r="C470" t="inlineStr">
        <is>
          <t>WHITE</t>
        </is>
      </c>
      <c r="D470" t="inlineStr">
        <is>
          <t>v4_white_MLLB_000_y103_0924</t>
        </is>
      </c>
      <c r="E470" t="n">
        <v>3.6</v>
      </c>
      <c r="F470" t="n">
        <v>3.608</v>
      </c>
      <c r="G470" t="n">
        <v>8</v>
      </c>
      <c r="H470" t="n">
        <v>100</v>
      </c>
      <c r="I470" t="n">
        <v>24</v>
      </c>
      <c r="J470" t="inlineStr">
        <is>
          <t>kaba</t>
        </is>
      </c>
      <c r="K470" t="b">
        <v>1</v>
      </c>
      <c r="M470" t="n">
        <v>30</v>
      </c>
      <c r="N470" t="n">
        <v>28</v>
      </c>
      <c r="O470" t="n">
        <v>10</v>
      </c>
      <c r="P470" t="n">
        <v>972</v>
      </c>
      <c r="Q470" t="n">
        <v>1002</v>
      </c>
      <c r="R470" t="n">
        <v>1.103</v>
      </c>
      <c r="S470" t="n">
        <v>15.656</v>
      </c>
      <c r="T470" t="n">
        <v>14.196</v>
      </c>
      <c r="U470" t="n">
        <v>0.7776999999999999</v>
      </c>
      <c r="V470" t="b">
        <v>1</v>
      </c>
      <c r="X470" t="b">
        <v>1</v>
      </c>
      <c r="Z470" t="n">
        <v>935</v>
      </c>
      <c r="AA470" t="n">
        <v>2.5</v>
      </c>
      <c r="AB470" t="n">
        <v>9.5</v>
      </c>
    </row>
    <row r="471">
      <c r="A471" t="inlineStr">
        <is>
          <t>2026-09-24 14:02:13</t>
        </is>
      </c>
      <c r="B471" t="inlineStr">
        <is>
          <t>MLLB_000_y1.0.3</t>
        </is>
      </c>
      <c r="C471" t="inlineStr">
        <is>
          <t>WHITE</t>
        </is>
      </c>
      <c r="D471" t="inlineStr">
        <is>
          <t>v4_white_MLLB_000_y103_0924</t>
        </is>
      </c>
      <c r="E471" t="n">
        <v>3.6</v>
      </c>
      <c r="F471" t="n">
        <v>3.608</v>
      </c>
      <c r="G471" t="n">
        <v>8</v>
      </c>
      <c r="H471" t="n">
        <v>100</v>
      </c>
      <c r="I471" t="n">
        <v>28</v>
      </c>
      <c r="J471" t="inlineStr">
        <is>
          <t>kaba</t>
        </is>
      </c>
      <c r="K471" t="b">
        <v>1</v>
      </c>
      <c r="M471" t="n">
        <v>30</v>
      </c>
      <c r="N471" t="n">
        <v>28</v>
      </c>
      <c r="O471" t="n">
        <v>10</v>
      </c>
      <c r="P471" t="n">
        <v>972</v>
      </c>
      <c r="Q471" t="n">
        <v>1002</v>
      </c>
      <c r="R471" t="n">
        <v>5.091</v>
      </c>
      <c r="S471" t="n">
        <v>72.221</v>
      </c>
      <c r="T471" t="n">
        <v>14.186</v>
      </c>
      <c r="U471" t="n">
        <v>0.778</v>
      </c>
      <c r="V471" t="b">
        <v>1</v>
      </c>
      <c r="X471" t="b">
        <v>0</v>
      </c>
      <c r="Y471" t="inlineStr">
        <is>
          <t>FLAS</t>
        </is>
      </c>
      <c r="Z471" t="n">
        <v>935</v>
      </c>
      <c r="AA471" t="n">
        <v>2.5</v>
      </c>
      <c r="AB471" t="n">
        <v>9.5</v>
      </c>
    </row>
    <row r="472">
      <c r="A472" t="inlineStr">
        <is>
          <t>2026-09-24 14:02:29</t>
        </is>
      </c>
      <c r="B472" t="inlineStr">
        <is>
          <t>MLLB_000_y1.0.3</t>
        </is>
      </c>
      <c r="C472" t="inlineStr">
        <is>
          <t>WHITE</t>
        </is>
      </c>
      <c r="D472" t="inlineStr">
        <is>
          <t>v4_white_MLLB_000_y103_0924</t>
        </is>
      </c>
      <c r="E472" t="n">
        <v>3.6</v>
      </c>
      <c r="F472" t="n">
        <v>3.608</v>
      </c>
      <c r="G472" t="n">
        <v>8</v>
      </c>
      <c r="H472" t="n">
        <v>100</v>
      </c>
      <c r="I472" t="n">
        <v>32</v>
      </c>
      <c r="J472" t="inlineStr">
        <is>
          <t>kaba</t>
        </is>
      </c>
      <c r="K472" t="b">
        <v>1</v>
      </c>
      <c r="M472" t="n">
        <v>30</v>
      </c>
      <c r="N472" t="n">
        <v>28</v>
      </c>
      <c r="O472" t="n">
        <v>10</v>
      </c>
      <c r="P472" t="n">
        <v>972</v>
      </c>
      <c r="Q472" t="n">
        <v>1002</v>
      </c>
      <c r="R472" t="n">
        <v>13.578</v>
      </c>
      <c r="S472" t="n">
        <v>192.979</v>
      </c>
      <c r="T472" t="n">
        <v>14.213</v>
      </c>
      <c r="U472" t="n">
        <v>0.7778</v>
      </c>
      <c r="V472" t="b">
        <v>1</v>
      </c>
      <c r="X472" t="b">
        <v>0</v>
      </c>
      <c r="Y472" t="inlineStr">
        <is>
          <t>FLAS</t>
        </is>
      </c>
      <c r="Z472" t="n">
        <v>935</v>
      </c>
      <c r="AA472" t="n">
        <v>2.5</v>
      </c>
      <c r="AB472" t="n">
        <v>9.5</v>
      </c>
    </row>
    <row r="473">
      <c r="A473" t="inlineStr">
        <is>
          <t>2026-09-24 14:02:45</t>
        </is>
      </c>
      <c r="B473" t="inlineStr">
        <is>
          <t>MLLB_000_y1.0.3</t>
        </is>
      </c>
      <c r="C473" t="inlineStr">
        <is>
          <t>WHITE</t>
        </is>
      </c>
      <c r="D473" t="inlineStr">
        <is>
          <t>v4_white_MLLB_000_y103_0924</t>
        </is>
      </c>
      <c r="E473" t="n">
        <v>3.6</v>
      </c>
      <c r="F473" t="n">
        <v>3.608</v>
      </c>
      <c r="G473" t="n">
        <v>8</v>
      </c>
      <c r="H473" t="n">
        <v>100</v>
      </c>
      <c r="I473" t="n">
        <v>21</v>
      </c>
      <c r="J473" t="inlineStr">
        <is>
          <t>ince</t>
        </is>
      </c>
      <c r="K473" t="b">
        <v>1</v>
      </c>
      <c r="M473" t="n">
        <v>58</v>
      </c>
      <c r="N473" t="n">
        <v>40</v>
      </c>
      <c r="O473" t="n">
        <v>34</v>
      </c>
      <c r="P473" t="n">
        <v>944</v>
      </c>
      <c r="Q473" t="n">
        <v>1002</v>
      </c>
      <c r="R473" t="n">
        <v>1.085</v>
      </c>
      <c r="S473" t="n">
        <v>15.421</v>
      </c>
      <c r="T473" t="n">
        <v>14.209</v>
      </c>
      <c r="U473" t="n">
        <v>0.7775</v>
      </c>
      <c r="V473" t="b">
        <v>1</v>
      </c>
      <c r="X473" t="b">
        <v>1</v>
      </c>
      <c r="Z473" t="n">
        <v>935</v>
      </c>
      <c r="AA473" t="n">
        <v>2.5</v>
      </c>
      <c r="AB473" t="n">
        <v>9.5</v>
      </c>
    </row>
    <row r="474">
      <c r="A474" t="inlineStr">
        <is>
          <t>2026-09-24 14:03:01</t>
        </is>
      </c>
      <c r="B474" t="inlineStr">
        <is>
          <t>MLLB_000_y1.0.3</t>
        </is>
      </c>
      <c r="C474" t="inlineStr">
        <is>
          <t>WHITE</t>
        </is>
      </c>
      <c r="D474" t="inlineStr">
        <is>
          <t>v4_white_MLLB_000_y103_0924</t>
        </is>
      </c>
      <c r="E474" t="n">
        <v>3.6</v>
      </c>
      <c r="F474" t="n">
        <v>3.608</v>
      </c>
      <c r="G474" t="n">
        <v>8</v>
      </c>
      <c r="H474" t="n">
        <v>100</v>
      </c>
      <c r="I474" t="n">
        <v>22</v>
      </c>
      <c r="J474" t="inlineStr">
        <is>
          <t>ince</t>
        </is>
      </c>
      <c r="K474" t="b">
        <v>1</v>
      </c>
      <c r="M474" t="n">
        <v>42</v>
      </c>
      <c r="N474" t="n">
        <v>40</v>
      </c>
      <c r="O474" t="n">
        <v>18</v>
      </c>
      <c r="P474" t="n">
        <v>960</v>
      </c>
      <c r="Q474" t="n">
        <v>1002</v>
      </c>
      <c r="R474" t="n">
        <v>1.079</v>
      </c>
      <c r="S474" t="n">
        <v>15.338</v>
      </c>
      <c r="T474" t="n">
        <v>14.215</v>
      </c>
      <c r="U474" t="n">
        <v>0.7778</v>
      </c>
      <c r="V474" t="b">
        <v>1</v>
      </c>
      <c r="X474" t="b">
        <v>1</v>
      </c>
      <c r="Z474" t="n">
        <v>935</v>
      </c>
      <c r="AA474" t="n">
        <v>2.5</v>
      </c>
      <c r="AB474" t="n">
        <v>9.5</v>
      </c>
    </row>
    <row r="475">
      <c r="A475" t="inlineStr">
        <is>
          <t>2026-09-24 14:03:17</t>
        </is>
      </c>
      <c r="B475" t="inlineStr">
        <is>
          <t>MLLB_000_y1.0.3</t>
        </is>
      </c>
      <c r="C475" t="inlineStr">
        <is>
          <t>WHITE</t>
        </is>
      </c>
      <c r="D475" t="inlineStr">
        <is>
          <t>v4_white_MLLB_000_y103_0924</t>
        </is>
      </c>
      <c r="E475" t="n">
        <v>3.6</v>
      </c>
      <c r="F475" t="n">
        <v>3.608</v>
      </c>
      <c r="G475" t="n">
        <v>8</v>
      </c>
      <c r="H475" t="n">
        <v>100</v>
      </c>
      <c r="I475" t="n">
        <v>23</v>
      </c>
      <c r="J475" t="inlineStr">
        <is>
          <t>ince</t>
        </is>
      </c>
      <c r="K475" t="b">
        <v>1</v>
      </c>
      <c r="M475" t="n">
        <v>30</v>
      </c>
      <c r="N475" t="n">
        <v>28</v>
      </c>
      <c r="O475" t="n">
        <v>10</v>
      </c>
      <c r="P475" t="n">
        <v>972</v>
      </c>
      <c r="Q475" t="n">
        <v>1002</v>
      </c>
      <c r="R475" t="n">
        <v>1.08</v>
      </c>
      <c r="S475" t="n">
        <v>15.327</v>
      </c>
      <c r="T475" t="n">
        <v>14.193</v>
      </c>
      <c r="U475" t="n">
        <v>0.7781</v>
      </c>
      <c r="V475" t="b">
        <v>1</v>
      </c>
      <c r="X475" t="b">
        <v>1</v>
      </c>
      <c r="Z475" t="n">
        <v>935</v>
      </c>
      <c r="AA475" t="n">
        <v>2.5</v>
      </c>
      <c r="AB475" t="n">
        <v>9.5</v>
      </c>
    </row>
    <row r="476">
      <c r="A476" t="inlineStr">
        <is>
          <t>2026-09-24 14:03:33</t>
        </is>
      </c>
      <c r="B476" t="inlineStr">
        <is>
          <t>MLLB_000_y1.0.3</t>
        </is>
      </c>
      <c r="C476" t="inlineStr">
        <is>
          <t>WHITE</t>
        </is>
      </c>
      <c r="D476" t="inlineStr">
        <is>
          <t>v4_white_MLLB_000_y103_0924</t>
        </is>
      </c>
      <c r="E476" t="n">
        <v>3.6</v>
      </c>
      <c r="F476" t="n">
        <v>3.608</v>
      </c>
      <c r="G476" t="n">
        <v>8</v>
      </c>
      <c r="H476" t="n">
        <v>100</v>
      </c>
      <c r="I476" t="n">
        <v>25</v>
      </c>
      <c r="J476" t="inlineStr">
        <is>
          <t>ince</t>
        </is>
      </c>
      <c r="K476" t="b">
        <v>1</v>
      </c>
      <c r="M476" t="n">
        <v>30</v>
      </c>
      <c r="N476" t="n">
        <v>28</v>
      </c>
      <c r="O476" t="n">
        <v>10</v>
      </c>
      <c r="P476" t="n">
        <v>972</v>
      </c>
      <c r="Q476" t="n">
        <v>1002</v>
      </c>
      <c r="R476" t="n">
        <v>2.101</v>
      </c>
      <c r="S476" t="n">
        <v>29.845</v>
      </c>
      <c r="T476" t="n">
        <v>14.207</v>
      </c>
      <c r="U476" t="n">
        <v>0.7784</v>
      </c>
      <c r="V476" t="b">
        <v>1</v>
      </c>
      <c r="X476" t="b">
        <v>1</v>
      </c>
      <c r="Z476" t="n">
        <v>935</v>
      </c>
      <c r="AA476" t="n">
        <v>2.5</v>
      </c>
      <c r="AB476" t="n">
        <v>9.5</v>
      </c>
    </row>
    <row r="477">
      <c r="A477" t="inlineStr">
        <is>
          <t>2026-09-24 14:03:49</t>
        </is>
      </c>
      <c r="B477" t="inlineStr">
        <is>
          <t>MLLB_000_y1.0.3</t>
        </is>
      </c>
      <c r="C477" t="inlineStr">
        <is>
          <t>WHITE</t>
        </is>
      </c>
      <c r="D477" t="inlineStr">
        <is>
          <t>v4_white_MLLB_000_y103_0924</t>
        </is>
      </c>
      <c r="E477" t="n">
        <v>3.6</v>
      </c>
      <c r="F477" t="n">
        <v>3.608</v>
      </c>
      <c r="G477" t="n">
        <v>8</v>
      </c>
      <c r="H477" t="n">
        <v>100</v>
      </c>
      <c r="I477" t="n">
        <v>26</v>
      </c>
      <c r="J477" t="inlineStr">
        <is>
          <t>ince</t>
        </is>
      </c>
      <c r="K477" t="b">
        <v>1</v>
      </c>
      <c r="M477" t="n">
        <v>30</v>
      </c>
      <c r="N477" t="n">
        <v>28</v>
      </c>
      <c r="O477" t="n">
        <v>10</v>
      </c>
      <c r="P477" t="n">
        <v>972</v>
      </c>
      <c r="Q477" t="n">
        <v>1002</v>
      </c>
      <c r="R477" t="n">
        <v>3.004</v>
      </c>
      <c r="S477" t="n">
        <v>42.671</v>
      </c>
      <c r="T477" t="n">
        <v>14.207</v>
      </c>
      <c r="U477" t="n">
        <v>0.7781</v>
      </c>
      <c r="V477" t="b">
        <v>1</v>
      </c>
      <c r="X477" t="b">
        <v>0</v>
      </c>
      <c r="Y477" t="inlineStr">
        <is>
          <t>FLAS</t>
        </is>
      </c>
      <c r="Z477" t="n">
        <v>935</v>
      </c>
      <c r="AA477" t="n">
        <v>2.5</v>
      </c>
      <c r="AB477" t="n">
        <v>9.5</v>
      </c>
    </row>
    <row r="478">
      <c r="A478" t="inlineStr">
        <is>
          <t>2026-09-24 14:04:05</t>
        </is>
      </c>
      <c r="B478" t="inlineStr">
        <is>
          <t>MLLB_000_y1.0.3</t>
        </is>
      </c>
      <c r="C478" t="inlineStr">
        <is>
          <t>WHITE</t>
        </is>
      </c>
      <c r="D478" t="inlineStr">
        <is>
          <t>v4_white_MLLB_000_y103_0924</t>
        </is>
      </c>
      <c r="E478" t="n">
        <v>3.6</v>
      </c>
      <c r="F478" t="n">
        <v>3.608</v>
      </c>
      <c r="G478" t="n">
        <v>8</v>
      </c>
      <c r="H478" t="n">
        <v>100</v>
      </c>
      <c r="I478" t="n">
        <v>27</v>
      </c>
      <c r="J478" t="inlineStr">
        <is>
          <t>ince</t>
        </is>
      </c>
      <c r="K478" t="b">
        <v>1</v>
      </c>
      <c r="M478" t="n">
        <v>30</v>
      </c>
      <c r="N478" t="n">
        <v>28</v>
      </c>
      <c r="O478" t="n">
        <v>10</v>
      </c>
      <c r="P478" t="n">
        <v>972</v>
      </c>
      <c r="Q478" t="n">
        <v>1002</v>
      </c>
      <c r="R478" t="n">
        <v>3.505</v>
      </c>
      <c r="S478" t="n">
        <v>49.827</v>
      </c>
      <c r="T478" t="n">
        <v>14.218</v>
      </c>
      <c r="U478" t="n">
        <v>0.7786999999999999</v>
      </c>
      <c r="V478" t="b">
        <v>1</v>
      </c>
      <c r="X478" t="b">
        <v>0</v>
      </c>
      <c r="Y478" t="inlineStr">
        <is>
          <t>FLAS</t>
        </is>
      </c>
      <c r="Z478" t="n">
        <v>935</v>
      </c>
      <c r="AA478" t="n">
        <v>2.5</v>
      </c>
      <c r="AB478" t="n">
        <v>9.5</v>
      </c>
    </row>
    <row r="479">
      <c r="A479" t="inlineStr">
        <is>
          <t>2026-09-24 14:04:06</t>
        </is>
      </c>
      <c r="B479" t="inlineStr">
        <is>
          <t>MLLB_000_y1.0.3</t>
        </is>
      </c>
      <c r="C479" t="inlineStr">
        <is>
          <t>WHITE</t>
        </is>
      </c>
      <c r="D479" t="inlineStr">
        <is>
          <t>v4_white_MLLB_000_y103_0924</t>
        </is>
      </c>
      <c r="E479" t="n">
        <v>3.6</v>
      </c>
      <c r="F479" t="n">
        <v>3.608</v>
      </c>
      <c r="G479" t="n">
        <v>8</v>
      </c>
      <c r="H479" t="n">
        <v>100</v>
      </c>
      <c r="J479" t="inlineStr">
        <is>
          <t>bitti</t>
        </is>
      </c>
      <c r="K479" t="b">
        <v>0</v>
      </c>
      <c r="Z479" t="n">
        <v>935</v>
      </c>
      <c r="AA479" t="n">
        <v>2.5</v>
      </c>
      <c r="AB479" t="n">
        <v>9.5</v>
      </c>
    </row>
    <row r="480">
      <c r="A480" t="inlineStr">
        <is>
          <t>2026-09-24 14:04:21</t>
        </is>
      </c>
      <c r="B480" t="inlineStr">
        <is>
          <t>MLLB_000_y1.0.3</t>
        </is>
      </c>
      <c r="C480" t="inlineStr">
        <is>
          <t>WHITE</t>
        </is>
      </c>
      <c r="D480" t="inlineStr">
        <is>
          <t>v4_white_MLLB_000_y103_0924</t>
        </is>
      </c>
      <c r="E480" t="n">
        <v>3.6</v>
      </c>
      <c r="F480" t="n">
        <v>3.608</v>
      </c>
      <c r="G480" t="n">
        <v>8</v>
      </c>
      <c r="H480" t="n">
        <v>80</v>
      </c>
      <c r="I480" t="n">
        <v>12</v>
      </c>
      <c r="J480" t="inlineStr">
        <is>
          <t>kaba</t>
        </is>
      </c>
      <c r="K480" t="b">
        <v>1</v>
      </c>
      <c r="M480" t="n">
        <v>216</v>
      </c>
      <c r="N480" t="n">
        <v>36</v>
      </c>
      <c r="O480" t="n">
        <v>194</v>
      </c>
      <c r="P480" t="n">
        <v>786</v>
      </c>
      <c r="Q480" t="n">
        <v>1002</v>
      </c>
      <c r="R480" t="n">
        <v>1.088</v>
      </c>
      <c r="S480" t="n">
        <v>15.33</v>
      </c>
      <c r="T480" t="n">
        <v>14.087</v>
      </c>
      <c r="U480" t="n">
        <v>0.7783</v>
      </c>
      <c r="V480" t="b">
        <v>1</v>
      </c>
      <c r="X480" t="b">
        <v>0</v>
      </c>
      <c r="Y480" t="inlineStr">
        <is>
          <t>ON</t>
        </is>
      </c>
      <c r="Z480" t="n">
        <v>935</v>
      </c>
      <c r="AA480" t="n">
        <v>2.5</v>
      </c>
      <c r="AB480" t="n">
        <v>9.5</v>
      </c>
    </row>
    <row r="481">
      <c r="A481" t="inlineStr">
        <is>
          <t>2026-09-24 14:04:37</t>
        </is>
      </c>
      <c r="B481" t="inlineStr">
        <is>
          <t>MLLB_000_y1.0.3</t>
        </is>
      </c>
      <c r="C481" t="inlineStr">
        <is>
          <t>WHITE</t>
        </is>
      </c>
      <c r="D481" t="inlineStr">
        <is>
          <t>v4_white_MLLB_000_y103_0924</t>
        </is>
      </c>
      <c r="E481" t="n">
        <v>3.6</v>
      </c>
      <c r="F481" t="n">
        <v>3.608</v>
      </c>
      <c r="G481" t="n">
        <v>8</v>
      </c>
      <c r="H481" t="n">
        <v>80</v>
      </c>
      <c r="I481" t="n">
        <v>16</v>
      </c>
      <c r="J481" t="inlineStr">
        <is>
          <t>kaba</t>
        </is>
      </c>
      <c r="K481" t="b">
        <v>1</v>
      </c>
      <c r="M481" t="n">
        <v>170</v>
      </c>
      <c r="N481" t="n">
        <v>42</v>
      </c>
      <c r="O481" t="n">
        <v>146</v>
      </c>
      <c r="P481" t="n">
        <v>832</v>
      </c>
      <c r="Q481" t="n">
        <v>1002</v>
      </c>
      <c r="R481" t="n">
        <v>1.086</v>
      </c>
      <c r="S481" t="n">
        <v>15.367</v>
      </c>
      <c r="T481" t="n">
        <v>14.146</v>
      </c>
      <c r="U481" t="n">
        <v>0.7788</v>
      </c>
      <c r="V481" t="b">
        <v>1</v>
      </c>
      <c r="X481" t="b">
        <v>0</v>
      </c>
      <c r="Y481" t="inlineStr">
        <is>
          <t>ON</t>
        </is>
      </c>
      <c r="Z481" t="n">
        <v>935</v>
      </c>
      <c r="AA481" t="n">
        <v>2.5</v>
      </c>
      <c r="AB481" t="n">
        <v>9.5</v>
      </c>
    </row>
    <row r="482">
      <c r="A482" t="inlineStr">
        <is>
          <t>2026-09-24 14:04:53</t>
        </is>
      </c>
      <c r="B482" t="inlineStr">
        <is>
          <t>MLLB_000_y1.0.3</t>
        </is>
      </c>
      <c r="C482" t="inlineStr">
        <is>
          <t>WHITE</t>
        </is>
      </c>
      <c r="D482" t="inlineStr">
        <is>
          <t>v4_white_MLLB_000_y103_0924</t>
        </is>
      </c>
      <c r="E482" t="n">
        <v>3.6</v>
      </c>
      <c r="F482" t="n">
        <v>3.608</v>
      </c>
      <c r="G482" t="n">
        <v>8</v>
      </c>
      <c r="H482" t="n">
        <v>80</v>
      </c>
      <c r="I482" t="n">
        <v>20</v>
      </c>
      <c r="J482" t="inlineStr">
        <is>
          <t>kaba</t>
        </is>
      </c>
      <c r="K482" t="b">
        <v>1</v>
      </c>
      <c r="M482" t="n">
        <v>124</v>
      </c>
      <c r="N482" t="n">
        <v>36</v>
      </c>
      <c r="O482" t="n">
        <v>102</v>
      </c>
      <c r="P482" t="n">
        <v>878</v>
      </c>
      <c r="Q482" t="n">
        <v>1002</v>
      </c>
      <c r="R482" t="n">
        <v>1.089</v>
      </c>
      <c r="S482" t="n">
        <v>15.421</v>
      </c>
      <c r="T482" t="n">
        <v>14.167</v>
      </c>
      <c r="U482" t="n">
        <v>0.7788</v>
      </c>
      <c r="V482" t="b">
        <v>1</v>
      </c>
      <c r="X482" t="b">
        <v>0</v>
      </c>
      <c r="Y482" t="inlineStr">
        <is>
          <t>ON</t>
        </is>
      </c>
      <c r="Z482" t="n">
        <v>935</v>
      </c>
      <c r="AA482" t="n">
        <v>2.5</v>
      </c>
      <c r="AB482" t="n">
        <v>9.5</v>
      </c>
    </row>
    <row r="483">
      <c r="A483" t="inlineStr">
        <is>
          <t>2026-09-24 14:05:09</t>
        </is>
      </c>
      <c r="B483" t="inlineStr">
        <is>
          <t>MLLB_000_y1.0.3</t>
        </is>
      </c>
      <c r="C483" t="inlineStr">
        <is>
          <t>WHITE</t>
        </is>
      </c>
      <c r="D483" t="inlineStr">
        <is>
          <t>v4_white_MLLB_000_y103_0924</t>
        </is>
      </c>
      <c r="E483" t="n">
        <v>3.6</v>
      </c>
      <c r="F483" t="n">
        <v>3.608</v>
      </c>
      <c r="G483" t="n">
        <v>8</v>
      </c>
      <c r="H483" t="n">
        <v>80</v>
      </c>
      <c r="I483" t="n">
        <v>24</v>
      </c>
      <c r="J483" t="inlineStr">
        <is>
          <t>kaba</t>
        </is>
      </c>
      <c r="K483" t="b">
        <v>1</v>
      </c>
      <c r="M483" t="n">
        <v>78</v>
      </c>
      <c r="N483" t="n">
        <v>36</v>
      </c>
      <c r="O483" t="n">
        <v>54</v>
      </c>
      <c r="P483" t="n">
        <v>924</v>
      </c>
      <c r="Q483" t="n">
        <v>1002</v>
      </c>
      <c r="R483" t="n">
        <v>1.082</v>
      </c>
      <c r="S483" t="n">
        <v>15.372</v>
      </c>
      <c r="T483" t="n">
        <v>14.206</v>
      </c>
      <c r="U483" t="n">
        <v>0.7785</v>
      </c>
      <c r="V483" t="b">
        <v>1</v>
      </c>
      <c r="X483" t="b">
        <v>0</v>
      </c>
      <c r="Y483" t="inlineStr">
        <is>
          <t>ON</t>
        </is>
      </c>
      <c r="Z483" t="n">
        <v>935</v>
      </c>
      <c r="AA483" t="n">
        <v>2.5</v>
      </c>
      <c r="AB483" t="n">
        <v>9.5</v>
      </c>
    </row>
    <row r="484">
      <c r="A484" t="inlineStr">
        <is>
          <t>2026-09-24 14:05:25</t>
        </is>
      </c>
      <c r="B484" t="inlineStr">
        <is>
          <t>MLLB_000_y1.0.3</t>
        </is>
      </c>
      <c r="C484" t="inlineStr">
        <is>
          <t>WHITE</t>
        </is>
      </c>
      <c r="D484" t="inlineStr">
        <is>
          <t>v4_white_MLLB_000_y103_0924</t>
        </is>
      </c>
      <c r="E484" t="n">
        <v>3.6</v>
      </c>
      <c r="F484" t="n">
        <v>3.608</v>
      </c>
      <c r="G484" t="n">
        <v>8</v>
      </c>
      <c r="H484" t="n">
        <v>80</v>
      </c>
      <c r="I484" t="n">
        <v>28</v>
      </c>
      <c r="J484" t="inlineStr">
        <is>
          <t>kaba</t>
        </is>
      </c>
      <c r="K484" t="b">
        <v>1</v>
      </c>
      <c r="M484" t="n">
        <v>34</v>
      </c>
      <c r="N484" t="n">
        <v>34</v>
      </c>
      <c r="O484" t="n">
        <v>14</v>
      </c>
      <c r="P484" t="n">
        <v>968</v>
      </c>
      <c r="Q484" t="n">
        <v>1002</v>
      </c>
      <c r="R484" t="n">
        <v>1.081</v>
      </c>
      <c r="S484" t="n">
        <v>15.364</v>
      </c>
      <c r="T484" t="n">
        <v>14.209</v>
      </c>
      <c r="U484" t="n">
        <v>0.7786</v>
      </c>
      <c r="V484" t="b">
        <v>1</v>
      </c>
      <c r="X484" t="b">
        <v>1</v>
      </c>
      <c r="Z484" t="n">
        <v>935</v>
      </c>
      <c r="AA484" t="n">
        <v>2.5</v>
      </c>
      <c r="AB484" t="n">
        <v>9.5</v>
      </c>
    </row>
    <row r="485">
      <c r="A485" t="inlineStr">
        <is>
          <t>2026-09-24 14:05:41</t>
        </is>
      </c>
      <c r="B485" t="inlineStr">
        <is>
          <t>MLLB_000_y1.0.3</t>
        </is>
      </c>
      <c r="C485" t="inlineStr">
        <is>
          <t>WHITE</t>
        </is>
      </c>
      <c r="D485" t="inlineStr">
        <is>
          <t>v4_white_MLLB_000_y103_0924</t>
        </is>
      </c>
      <c r="E485" t="n">
        <v>3.6</v>
      </c>
      <c r="F485" t="n">
        <v>3.608</v>
      </c>
      <c r="G485" t="n">
        <v>8</v>
      </c>
      <c r="H485" t="n">
        <v>80</v>
      </c>
      <c r="I485" t="n">
        <v>32</v>
      </c>
      <c r="J485" t="inlineStr">
        <is>
          <t>kaba</t>
        </is>
      </c>
      <c r="K485" t="b">
        <v>1</v>
      </c>
      <c r="M485" t="n">
        <v>34</v>
      </c>
      <c r="N485" t="n">
        <v>34</v>
      </c>
      <c r="O485" t="n">
        <v>14</v>
      </c>
      <c r="P485" t="n">
        <v>968</v>
      </c>
      <c r="Q485" t="n">
        <v>1002</v>
      </c>
      <c r="R485" t="n">
        <v>3.219</v>
      </c>
      <c r="S485" t="n">
        <v>45.767</v>
      </c>
      <c r="T485" t="n">
        <v>14.218</v>
      </c>
      <c r="U485" t="n">
        <v>0.7782</v>
      </c>
      <c r="V485" t="b">
        <v>1</v>
      </c>
      <c r="X485" t="b">
        <v>0</v>
      </c>
      <c r="Y485" t="inlineStr">
        <is>
          <t>FLAS</t>
        </is>
      </c>
      <c r="Z485" t="n">
        <v>935</v>
      </c>
      <c r="AA485" t="n">
        <v>2.5</v>
      </c>
      <c r="AB485" t="n">
        <v>9.5</v>
      </c>
    </row>
    <row r="486">
      <c r="A486" t="inlineStr">
        <is>
          <t>2026-09-24 14:05:57</t>
        </is>
      </c>
      <c r="B486" t="inlineStr">
        <is>
          <t>MLLB_000_y1.0.3</t>
        </is>
      </c>
      <c r="C486" t="inlineStr">
        <is>
          <t>WHITE</t>
        </is>
      </c>
      <c r="D486" t="inlineStr">
        <is>
          <t>v4_white_MLLB_000_y103_0924</t>
        </is>
      </c>
      <c r="E486" t="n">
        <v>3.6</v>
      </c>
      <c r="F486" t="n">
        <v>3.608</v>
      </c>
      <c r="G486" t="n">
        <v>8</v>
      </c>
      <c r="H486" t="n">
        <v>80</v>
      </c>
      <c r="I486" t="n">
        <v>36</v>
      </c>
      <c r="J486" t="inlineStr">
        <is>
          <t>kaba</t>
        </is>
      </c>
      <c r="K486" t="b">
        <v>1</v>
      </c>
      <c r="M486" t="n">
        <v>34</v>
      </c>
      <c r="N486" t="n">
        <v>34</v>
      </c>
      <c r="O486" t="n">
        <v>14</v>
      </c>
      <c r="P486" t="n">
        <v>968</v>
      </c>
      <c r="Q486" t="n">
        <v>1002</v>
      </c>
      <c r="R486" t="n">
        <v>8.426</v>
      </c>
      <c r="S486" t="n">
        <v>119.6</v>
      </c>
      <c r="T486" t="n">
        <v>14.194</v>
      </c>
      <c r="U486" t="n">
        <v>0.7782</v>
      </c>
      <c r="V486" t="b">
        <v>1</v>
      </c>
      <c r="X486" t="b">
        <v>0</v>
      </c>
      <c r="Y486" t="inlineStr">
        <is>
          <t>FLAS</t>
        </is>
      </c>
      <c r="Z486" t="n">
        <v>935</v>
      </c>
      <c r="AA486" t="n">
        <v>2.5</v>
      </c>
      <c r="AB486" t="n">
        <v>9.5</v>
      </c>
    </row>
    <row r="487">
      <c r="A487" t="inlineStr">
        <is>
          <t>2026-09-24 14:06:13</t>
        </is>
      </c>
      <c r="B487" t="inlineStr">
        <is>
          <t>MLLB_000_y1.0.3</t>
        </is>
      </c>
      <c r="C487" t="inlineStr">
        <is>
          <t>WHITE</t>
        </is>
      </c>
      <c r="D487" t="inlineStr">
        <is>
          <t>v4_white_MLLB_000_y103_0924</t>
        </is>
      </c>
      <c r="E487" t="n">
        <v>3.6</v>
      </c>
      <c r="F487" t="n">
        <v>3.608</v>
      </c>
      <c r="G487" t="n">
        <v>8</v>
      </c>
      <c r="H487" t="n">
        <v>80</v>
      </c>
      <c r="I487" t="n">
        <v>25</v>
      </c>
      <c r="J487" t="inlineStr">
        <is>
          <t>ince</t>
        </is>
      </c>
      <c r="K487" t="b">
        <v>1</v>
      </c>
      <c r="M487" t="n">
        <v>66</v>
      </c>
      <c r="N487" t="n">
        <v>36</v>
      </c>
      <c r="O487" t="n">
        <v>42</v>
      </c>
      <c r="P487" t="n">
        <v>936</v>
      </c>
      <c r="Q487" t="n">
        <v>1002</v>
      </c>
      <c r="R487" t="n">
        <v>1.078</v>
      </c>
      <c r="S487" t="n">
        <v>15.327</v>
      </c>
      <c r="T487" t="n">
        <v>14.216</v>
      </c>
      <c r="U487" t="n">
        <v>0.7783</v>
      </c>
      <c r="V487" t="b">
        <v>1</v>
      </c>
      <c r="X487" t="b">
        <v>1</v>
      </c>
      <c r="Z487" t="n">
        <v>935</v>
      </c>
      <c r="AA487" t="n">
        <v>2.5</v>
      </c>
      <c r="AB487" t="n">
        <v>9.5</v>
      </c>
    </row>
    <row r="488">
      <c r="A488" t="inlineStr">
        <is>
          <t>2026-09-24 14:06:29</t>
        </is>
      </c>
      <c r="B488" t="inlineStr">
        <is>
          <t>MLLB_000_y1.0.3</t>
        </is>
      </c>
      <c r="C488" t="inlineStr">
        <is>
          <t>WHITE</t>
        </is>
      </c>
      <c r="D488" t="inlineStr">
        <is>
          <t>v4_white_MLLB_000_y103_0924</t>
        </is>
      </c>
      <c r="E488" t="n">
        <v>3.6</v>
      </c>
      <c r="F488" t="n">
        <v>3.608</v>
      </c>
      <c r="G488" t="n">
        <v>8</v>
      </c>
      <c r="H488" t="n">
        <v>80</v>
      </c>
      <c r="I488" t="n">
        <v>26</v>
      </c>
      <c r="J488" t="inlineStr">
        <is>
          <t>ince</t>
        </is>
      </c>
      <c r="K488" t="b">
        <v>1</v>
      </c>
      <c r="M488" t="n">
        <v>54</v>
      </c>
      <c r="N488" t="n">
        <v>42</v>
      </c>
      <c r="O488" t="n">
        <v>30</v>
      </c>
      <c r="P488" t="n">
        <v>948</v>
      </c>
      <c r="Q488" t="n">
        <v>1002</v>
      </c>
      <c r="R488" t="n">
        <v>1.079</v>
      </c>
      <c r="S488" t="n">
        <v>15.331</v>
      </c>
      <c r="T488" t="n">
        <v>14.211</v>
      </c>
      <c r="U488" t="n">
        <v>0.7785</v>
      </c>
      <c r="V488" t="b">
        <v>1</v>
      </c>
      <c r="X488" t="b">
        <v>1</v>
      </c>
      <c r="Z488" t="n">
        <v>935</v>
      </c>
      <c r="AA488" t="n">
        <v>2.5</v>
      </c>
      <c r="AB488" t="n">
        <v>9.5</v>
      </c>
    </row>
    <row r="489">
      <c r="A489" t="inlineStr">
        <is>
          <t>2026-09-24 14:06:45</t>
        </is>
      </c>
      <c r="B489" t="inlineStr">
        <is>
          <t>MLLB_000_y1.0.3</t>
        </is>
      </c>
      <c r="C489" t="inlineStr">
        <is>
          <t>WHITE</t>
        </is>
      </c>
      <c r="D489" t="inlineStr">
        <is>
          <t>v4_white_MLLB_000_y103_0924</t>
        </is>
      </c>
      <c r="E489" t="n">
        <v>3.6</v>
      </c>
      <c r="F489" t="n">
        <v>3.608</v>
      </c>
      <c r="G489" t="n">
        <v>8</v>
      </c>
      <c r="H489" t="n">
        <v>80</v>
      </c>
      <c r="I489" t="n">
        <v>27</v>
      </c>
      <c r="J489" t="inlineStr">
        <is>
          <t>ince</t>
        </is>
      </c>
      <c r="K489" t="b">
        <v>1</v>
      </c>
      <c r="M489" t="n">
        <v>40</v>
      </c>
      <c r="N489" t="n">
        <v>36</v>
      </c>
      <c r="O489" t="n">
        <v>18</v>
      </c>
      <c r="P489" t="n">
        <v>962</v>
      </c>
      <c r="Q489" t="n">
        <v>1002</v>
      </c>
      <c r="R489" t="n">
        <v>1.083</v>
      </c>
      <c r="S489" t="n">
        <v>15.396</v>
      </c>
      <c r="T489" t="n">
        <v>14.211</v>
      </c>
      <c r="U489" t="n">
        <v>0.7783</v>
      </c>
      <c r="V489" t="b">
        <v>1</v>
      </c>
      <c r="X489" t="b">
        <v>1</v>
      </c>
      <c r="Z489" t="n">
        <v>935</v>
      </c>
      <c r="AA489" t="n">
        <v>2.5</v>
      </c>
      <c r="AB489" t="n">
        <v>9.5</v>
      </c>
    </row>
    <row r="490">
      <c r="A490" t="inlineStr">
        <is>
          <t>2026-09-24 14:07:01</t>
        </is>
      </c>
      <c r="B490" t="inlineStr">
        <is>
          <t>MLLB_000_y1.0.3</t>
        </is>
      </c>
      <c r="C490" t="inlineStr">
        <is>
          <t>WHITE</t>
        </is>
      </c>
      <c r="D490" t="inlineStr">
        <is>
          <t>v4_white_MLLB_000_y103_0924</t>
        </is>
      </c>
      <c r="E490" t="n">
        <v>3.6</v>
      </c>
      <c r="F490" t="n">
        <v>3.608</v>
      </c>
      <c r="G490" t="n">
        <v>8</v>
      </c>
      <c r="H490" t="n">
        <v>80</v>
      </c>
      <c r="I490" t="n">
        <v>29</v>
      </c>
      <c r="J490" t="inlineStr">
        <is>
          <t>ince</t>
        </is>
      </c>
      <c r="K490" t="b">
        <v>1</v>
      </c>
      <c r="M490" t="n">
        <v>34</v>
      </c>
      <c r="N490" t="n">
        <v>32</v>
      </c>
      <c r="O490" t="n">
        <v>14</v>
      </c>
      <c r="P490" t="n">
        <v>968</v>
      </c>
      <c r="Q490" t="n">
        <v>1002</v>
      </c>
      <c r="R490" t="n">
        <v>1.165</v>
      </c>
      <c r="S490" t="n">
        <v>16.551</v>
      </c>
      <c r="T490" t="n">
        <v>14.205</v>
      </c>
      <c r="U490" t="n">
        <v>0.7786</v>
      </c>
      <c r="V490" t="b">
        <v>1</v>
      </c>
      <c r="X490" t="b">
        <v>1</v>
      </c>
      <c r="Z490" t="n">
        <v>935</v>
      </c>
      <c r="AA490" t="n">
        <v>2.5</v>
      </c>
      <c r="AB490" t="n">
        <v>9.5</v>
      </c>
    </row>
    <row r="491">
      <c r="A491" t="inlineStr">
        <is>
          <t>2026-09-24 14:07:17</t>
        </is>
      </c>
      <c r="B491" t="inlineStr">
        <is>
          <t>MLLB_000_y1.0.3</t>
        </is>
      </c>
      <c r="C491" t="inlineStr">
        <is>
          <t>WHITE</t>
        </is>
      </c>
      <c r="D491" t="inlineStr">
        <is>
          <t>v4_white_MLLB_000_y103_0924</t>
        </is>
      </c>
      <c r="E491" t="n">
        <v>3.6</v>
      </c>
      <c r="F491" t="n">
        <v>3.608</v>
      </c>
      <c r="G491" t="n">
        <v>8</v>
      </c>
      <c r="H491" t="n">
        <v>80</v>
      </c>
      <c r="I491" t="n">
        <v>30</v>
      </c>
      <c r="J491" t="inlineStr">
        <is>
          <t>ince</t>
        </is>
      </c>
      <c r="K491" t="b">
        <v>1</v>
      </c>
      <c r="M491" t="n">
        <v>34</v>
      </c>
      <c r="N491" t="n">
        <v>34</v>
      </c>
      <c r="O491" t="n">
        <v>14</v>
      </c>
      <c r="P491" t="n">
        <v>968</v>
      </c>
      <c r="Q491" t="n">
        <v>1002</v>
      </c>
      <c r="R491" t="n">
        <v>1.936</v>
      </c>
      <c r="S491" t="n">
        <v>27.518</v>
      </c>
      <c r="T491" t="n">
        <v>14.211</v>
      </c>
      <c r="U491" t="n">
        <v>0.7776999999999999</v>
      </c>
      <c r="V491" t="b">
        <v>1</v>
      </c>
      <c r="X491" t="b">
        <v>1</v>
      </c>
      <c r="Z491" t="n">
        <v>935</v>
      </c>
      <c r="AA491" t="n">
        <v>2.5</v>
      </c>
      <c r="AB491" t="n">
        <v>9.5</v>
      </c>
    </row>
    <row r="492">
      <c r="A492" t="inlineStr">
        <is>
          <t>2026-09-24 14:07:33</t>
        </is>
      </c>
      <c r="B492" t="inlineStr">
        <is>
          <t>MLLB_000_y1.0.3</t>
        </is>
      </c>
      <c r="C492" t="inlineStr">
        <is>
          <t>WHITE</t>
        </is>
      </c>
      <c r="D492" t="inlineStr">
        <is>
          <t>v4_white_MLLB_000_y103_0924</t>
        </is>
      </c>
      <c r="E492" t="n">
        <v>3.6</v>
      </c>
      <c r="F492" t="n">
        <v>3.608</v>
      </c>
      <c r="G492" t="n">
        <v>8</v>
      </c>
      <c r="H492" t="n">
        <v>80</v>
      </c>
      <c r="I492" t="n">
        <v>31</v>
      </c>
      <c r="J492" t="inlineStr">
        <is>
          <t>ince</t>
        </is>
      </c>
      <c r="K492" t="b">
        <v>1</v>
      </c>
      <c r="M492" t="n">
        <v>34</v>
      </c>
      <c r="N492" t="n">
        <v>32</v>
      </c>
      <c r="O492" t="n">
        <v>14</v>
      </c>
      <c r="P492" t="n">
        <v>968</v>
      </c>
      <c r="Q492" t="n">
        <v>1002</v>
      </c>
      <c r="R492" t="n">
        <v>2.711</v>
      </c>
      <c r="S492" t="n">
        <v>38.463</v>
      </c>
      <c r="T492" t="n">
        <v>14.187</v>
      </c>
      <c r="U492" t="n">
        <v>0.7782</v>
      </c>
      <c r="V492" t="b">
        <v>1</v>
      </c>
      <c r="X492" t="b">
        <v>0</v>
      </c>
      <c r="Y492" t="inlineStr">
        <is>
          <t>FLAS</t>
        </is>
      </c>
      <c r="Z492" t="n">
        <v>935</v>
      </c>
      <c r="AA492" t="n">
        <v>2.5</v>
      </c>
      <c r="AB492" t="n">
        <v>9.5</v>
      </c>
    </row>
    <row r="493">
      <c r="A493" t="inlineStr">
        <is>
          <t>2026-09-24 14:07:34</t>
        </is>
      </c>
      <c r="B493" t="inlineStr">
        <is>
          <t>MLLB_000_y1.0.3</t>
        </is>
      </c>
      <c r="C493" t="inlineStr">
        <is>
          <t>WHITE</t>
        </is>
      </c>
      <c r="D493" t="inlineStr">
        <is>
          <t>v4_white_MLLB_000_y103_0924</t>
        </is>
      </c>
      <c r="E493" t="n">
        <v>3.6</v>
      </c>
      <c r="F493" t="n">
        <v>3.608</v>
      </c>
      <c r="G493" t="n">
        <v>8</v>
      </c>
      <c r="H493" t="n">
        <v>80</v>
      </c>
      <c r="J493" t="inlineStr">
        <is>
          <t>bitti</t>
        </is>
      </c>
      <c r="K493" t="b">
        <v>0</v>
      </c>
      <c r="Z493" t="n">
        <v>935</v>
      </c>
      <c r="AA493" t="n">
        <v>2.5</v>
      </c>
      <c r="AB493" t="n">
        <v>9.5</v>
      </c>
    </row>
    <row r="494">
      <c r="A494" t="inlineStr">
        <is>
          <t>2026-09-24 14:07:49</t>
        </is>
      </c>
      <c r="B494" t="inlineStr">
        <is>
          <t>MLLB_000_y1.0.3</t>
        </is>
      </c>
      <c r="C494" t="inlineStr">
        <is>
          <t>WHITE</t>
        </is>
      </c>
      <c r="D494" t="inlineStr">
        <is>
          <t>v4_white_MLLB_000_y103_0924</t>
        </is>
      </c>
      <c r="E494" t="n">
        <v>3.6</v>
      </c>
      <c r="F494" t="n">
        <v>3.608</v>
      </c>
      <c r="G494" t="n">
        <v>8</v>
      </c>
      <c r="H494" t="n">
        <v>60</v>
      </c>
      <c r="I494" t="n">
        <v>12</v>
      </c>
      <c r="J494" t="inlineStr">
        <is>
          <t>kaba</t>
        </is>
      </c>
      <c r="K494" t="b">
        <v>1</v>
      </c>
      <c r="M494" t="n">
        <v>246</v>
      </c>
      <c r="N494" t="n">
        <v>38</v>
      </c>
      <c r="O494" t="n">
        <v>224</v>
      </c>
      <c r="P494" t="n">
        <v>756</v>
      </c>
      <c r="Q494" t="n">
        <v>1002</v>
      </c>
      <c r="R494" t="n">
        <v>1.088</v>
      </c>
      <c r="S494" t="n">
        <v>15.333</v>
      </c>
      <c r="T494" t="n">
        <v>14.088</v>
      </c>
      <c r="U494" t="n">
        <v>0.7782</v>
      </c>
      <c r="V494" t="b">
        <v>1</v>
      </c>
      <c r="X494" t="b">
        <v>0</v>
      </c>
      <c r="Y494" t="inlineStr">
        <is>
          <t>ON</t>
        </is>
      </c>
      <c r="Z494" t="n">
        <v>935</v>
      </c>
      <c r="AA494" t="n">
        <v>2.5</v>
      </c>
      <c r="AB494" t="n">
        <v>9.5</v>
      </c>
    </row>
    <row r="495">
      <c r="A495" t="inlineStr">
        <is>
          <t>2026-09-24 14:08:05</t>
        </is>
      </c>
      <c r="B495" t="inlineStr">
        <is>
          <t>MLLB_000_y1.0.3</t>
        </is>
      </c>
      <c r="C495" t="inlineStr">
        <is>
          <t>WHITE</t>
        </is>
      </c>
      <c r="D495" t="inlineStr">
        <is>
          <t>v4_white_MLLB_000_y103_0924</t>
        </is>
      </c>
      <c r="E495" t="n">
        <v>3.6</v>
      </c>
      <c r="F495" t="n">
        <v>3.608</v>
      </c>
      <c r="G495" t="n">
        <v>8</v>
      </c>
      <c r="H495" t="n">
        <v>60</v>
      </c>
      <c r="I495" t="n">
        <v>16</v>
      </c>
      <c r="J495" t="inlineStr">
        <is>
          <t>kaba</t>
        </is>
      </c>
      <c r="K495" t="b">
        <v>1</v>
      </c>
      <c r="M495" t="n">
        <v>214</v>
      </c>
      <c r="N495" t="n">
        <v>40</v>
      </c>
      <c r="O495" t="n">
        <v>190</v>
      </c>
      <c r="P495" t="n">
        <v>788</v>
      </c>
      <c r="Q495" t="n">
        <v>1002</v>
      </c>
      <c r="R495" t="n">
        <v>1.093</v>
      </c>
      <c r="S495" t="n">
        <v>15.393</v>
      </c>
      <c r="T495" t="n">
        <v>14.077</v>
      </c>
      <c r="U495" t="n">
        <v>0.7783</v>
      </c>
      <c r="V495" t="b">
        <v>1</v>
      </c>
      <c r="X495" t="b">
        <v>0</v>
      </c>
      <c r="Y495" t="inlineStr">
        <is>
          <t>ON</t>
        </is>
      </c>
      <c r="Z495" t="n">
        <v>935</v>
      </c>
      <c r="AA495" t="n">
        <v>2.5</v>
      </c>
      <c r="AB495" t="n">
        <v>9.5</v>
      </c>
    </row>
    <row r="496">
      <c r="A496" t="inlineStr">
        <is>
          <t>2026-09-24 14:08:21</t>
        </is>
      </c>
      <c r="B496" t="inlineStr">
        <is>
          <t>MLLB_000_y1.0.3</t>
        </is>
      </c>
      <c r="C496" t="inlineStr">
        <is>
          <t>WHITE</t>
        </is>
      </c>
      <c r="D496" t="inlineStr">
        <is>
          <t>v4_white_MLLB_000_y103_0924</t>
        </is>
      </c>
      <c r="E496" t="n">
        <v>3.6</v>
      </c>
      <c r="F496" t="n">
        <v>3.608</v>
      </c>
      <c r="G496" t="n">
        <v>8</v>
      </c>
      <c r="H496" t="n">
        <v>60</v>
      </c>
      <c r="I496" t="n">
        <v>20</v>
      </c>
      <c r="J496" t="inlineStr">
        <is>
          <t>kaba</t>
        </is>
      </c>
      <c r="K496" t="b">
        <v>1</v>
      </c>
      <c r="M496" t="n">
        <v>182</v>
      </c>
      <c r="N496" t="n">
        <v>36</v>
      </c>
      <c r="O496" t="n">
        <v>158</v>
      </c>
      <c r="P496" t="n">
        <v>820</v>
      </c>
      <c r="Q496" t="n">
        <v>1002</v>
      </c>
      <c r="R496" t="n">
        <v>1.085</v>
      </c>
      <c r="S496" t="n">
        <v>15.327</v>
      </c>
      <c r="T496" t="n">
        <v>14.121</v>
      </c>
      <c r="U496" t="n">
        <v>0.778</v>
      </c>
      <c r="V496" t="b">
        <v>1</v>
      </c>
      <c r="X496" t="b">
        <v>0</v>
      </c>
      <c r="Y496" t="inlineStr">
        <is>
          <t>ON</t>
        </is>
      </c>
      <c r="Z496" t="n">
        <v>935</v>
      </c>
      <c r="AA496" t="n">
        <v>2.5</v>
      </c>
      <c r="AB496" t="n">
        <v>9.5</v>
      </c>
    </row>
    <row r="497">
      <c r="A497" t="inlineStr">
        <is>
          <t>2026-09-24 14:08:37</t>
        </is>
      </c>
      <c r="B497" t="inlineStr">
        <is>
          <t>MLLB_000_y1.0.3</t>
        </is>
      </c>
      <c r="C497" t="inlineStr">
        <is>
          <t>WHITE</t>
        </is>
      </c>
      <c r="D497" t="inlineStr">
        <is>
          <t>v4_white_MLLB_000_y103_0924</t>
        </is>
      </c>
      <c r="E497" t="n">
        <v>3.6</v>
      </c>
      <c r="F497" t="n">
        <v>3.608</v>
      </c>
      <c r="G497" t="n">
        <v>8</v>
      </c>
      <c r="H497" t="n">
        <v>60</v>
      </c>
      <c r="I497" t="n">
        <v>24</v>
      </c>
      <c r="J497" t="inlineStr">
        <is>
          <t>kaba</t>
        </is>
      </c>
      <c r="K497" t="b">
        <v>1</v>
      </c>
      <c r="M497" t="n">
        <v>148</v>
      </c>
      <c r="N497" t="n">
        <v>38</v>
      </c>
      <c r="O497" t="n">
        <v>124</v>
      </c>
      <c r="P497" t="n">
        <v>854</v>
      </c>
      <c r="Q497" t="n">
        <v>1002</v>
      </c>
      <c r="R497" t="n">
        <v>1.087</v>
      </c>
      <c r="S497" t="n">
        <v>15.374</v>
      </c>
      <c r="T497" t="n">
        <v>14.149</v>
      </c>
      <c r="U497" t="n">
        <v>0.7783</v>
      </c>
      <c r="V497" t="b">
        <v>1</v>
      </c>
      <c r="X497" t="b">
        <v>0</v>
      </c>
      <c r="Y497" t="inlineStr">
        <is>
          <t>ON</t>
        </is>
      </c>
      <c r="Z497" t="n">
        <v>935</v>
      </c>
      <c r="AA497" t="n">
        <v>2.5</v>
      </c>
      <c r="AB497" t="n">
        <v>9.5</v>
      </c>
    </row>
    <row r="498">
      <c r="A498" t="inlineStr">
        <is>
          <t>2026-09-24 14:08:53</t>
        </is>
      </c>
      <c r="B498" t="inlineStr">
        <is>
          <t>MLLB_000_y1.0.3</t>
        </is>
      </c>
      <c r="C498" t="inlineStr">
        <is>
          <t>WHITE</t>
        </is>
      </c>
      <c r="D498" t="inlineStr">
        <is>
          <t>v4_white_MLLB_000_y103_0924</t>
        </is>
      </c>
      <c r="E498" t="n">
        <v>3.6</v>
      </c>
      <c r="F498" t="n">
        <v>3.608</v>
      </c>
      <c r="G498" t="n">
        <v>8</v>
      </c>
      <c r="H498" t="n">
        <v>60</v>
      </c>
      <c r="I498" t="n">
        <v>28</v>
      </c>
      <c r="J498" t="inlineStr">
        <is>
          <t>kaba</t>
        </is>
      </c>
      <c r="K498" t="b">
        <v>1</v>
      </c>
      <c r="M498" t="n">
        <v>114</v>
      </c>
      <c r="N498" t="n">
        <v>42</v>
      </c>
      <c r="O498" t="n">
        <v>90</v>
      </c>
      <c r="P498" t="n">
        <v>888</v>
      </c>
      <c r="Q498" t="n">
        <v>1002</v>
      </c>
      <c r="R498" t="n">
        <v>1.082</v>
      </c>
      <c r="S498" t="n">
        <v>15.327</v>
      </c>
      <c r="T498" t="n">
        <v>14.165</v>
      </c>
      <c r="U498" t="n">
        <v>0.7785</v>
      </c>
      <c r="V498" t="b">
        <v>1</v>
      </c>
      <c r="X498" t="b">
        <v>0</v>
      </c>
      <c r="Y498" t="inlineStr">
        <is>
          <t>ON</t>
        </is>
      </c>
      <c r="Z498" t="n">
        <v>935</v>
      </c>
      <c r="AA498" t="n">
        <v>2.5</v>
      </c>
      <c r="AB498" t="n">
        <v>9.5</v>
      </c>
    </row>
    <row r="499">
      <c r="A499" t="inlineStr">
        <is>
          <t>2026-09-24 14:09:09</t>
        </is>
      </c>
      <c r="B499" t="inlineStr">
        <is>
          <t>MLLB_000_y1.0.3</t>
        </is>
      </c>
      <c r="C499" t="inlineStr">
        <is>
          <t>WHITE</t>
        </is>
      </c>
      <c r="D499" t="inlineStr">
        <is>
          <t>v4_white_MLLB_000_y103_0924</t>
        </is>
      </c>
      <c r="E499" t="n">
        <v>3.6</v>
      </c>
      <c r="F499" t="n">
        <v>3.608</v>
      </c>
      <c r="G499" t="n">
        <v>8</v>
      </c>
      <c r="H499" t="n">
        <v>60</v>
      </c>
      <c r="I499" t="n">
        <v>32</v>
      </c>
      <c r="J499" t="inlineStr">
        <is>
          <t>kaba</t>
        </is>
      </c>
      <c r="K499" t="b">
        <v>1</v>
      </c>
      <c r="M499" t="n">
        <v>80</v>
      </c>
      <c r="N499" t="n">
        <v>36</v>
      </c>
      <c r="O499" t="n">
        <v>58</v>
      </c>
      <c r="P499" t="n">
        <v>922</v>
      </c>
      <c r="Q499" t="n">
        <v>1002</v>
      </c>
      <c r="R499" t="n">
        <v>1.086</v>
      </c>
      <c r="S499" t="n">
        <v>15.421</v>
      </c>
      <c r="T499" t="n">
        <v>14.194</v>
      </c>
      <c r="U499" t="n">
        <v>0.7784</v>
      </c>
      <c r="V499" t="b">
        <v>1</v>
      </c>
      <c r="X499" t="b">
        <v>0</v>
      </c>
      <c r="Y499" t="inlineStr">
        <is>
          <t>ON</t>
        </is>
      </c>
      <c r="Z499" t="n">
        <v>935</v>
      </c>
      <c r="AA499" t="n">
        <v>2.5</v>
      </c>
      <c r="AB499" t="n">
        <v>9.5</v>
      </c>
    </row>
    <row r="500">
      <c r="A500" t="inlineStr">
        <is>
          <t>2026-09-24 14:09:25</t>
        </is>
      </c>
      <c r="B500" t="inlineStr">
        <is>
          <t>MLLB_000_y1.0.3</t>
        </is>
      </c>
      <c r="C500" t="inlineStr">
        <is>
          <t>WHITE</t>
        </is>
      </c>
      <c r="D500" t="inlineStr">
        <is>
          <t>v4_white_MLLB_000_y103_0924</t>
        </is>
      </c>
      <c r="E500" t="n">
        <v>3.6</v>
      </c>
      <c r="F500" t="n">
        <v>3.608</v>
      </c>
      <c r="G500" t="n">
        <v>8</v>
      </c>
      <c r="H500" t="n">
        <v>60</v>
      </c>
      <c r="I500" t="n">
        <v>36</v>
      </c>
      <c r="J500" t="inlineStr">
        <is>
          <t>kaba</t>
        </is>
      </c>
      <c r="K500" t="b">
        <v>1</v>
      </c>
      <c r="M500" t="n">
        <v>46</v>
      </c>
      <c r="N500" t="n">
        <v>32</v>
      </c>
      <c r="O500" t="n">
        <v>26</v>
      </c>
      <c r="P500" t="n">
        <v>956</v>
      </c>
      <c r="Q500" t="n">
        <v>1002</v>
      </c>
      <c r="R500" t="n">
        <v>1.081</v>
      </c>
      <c r="S500" t="n">
        <v>15.353</v>
      </c>
      <c r="T500" t="n">
        <v>14.197</v>
      </c>
      <c r="U500" t="n">
        <v>0.7779</v>
      </c>
      <c r="V500" t="b">
        <v>1</v>
      </c>
      <c r="X500" t="b">
        <v>1</v>
      </c>
      <c r="Z500" t="n">
        <v>935</v>
      </c>
      <c r="AA500" t="n">
        <v>2.5</v>
      </c>
      <c r="AB500" t="n">
        <v>9.5</v>
      </c>
    </row>
    <row r="501">
      <c r="A501" t="inlineStr">
        <is>
          <t>2026-09-24 14:09:41</t>
        </is>
      </c>
      <c r="B501" t="inlineStr">
        <is>
          <t>MLLB_000_y1.0.3</t>
        </is>
      </c>
      <c r="C501" t="inlineStr">
        <is>
          <t>WHITE</t>
        </is>
      </c>
      <c r="D501" t="inlineStr">
        <is>
          <t>v4_white_MLLB_000_y103_0924</t>
        </is>
      </c>
      <c r="E501" t="n">
        <v>3.6</v>
      </c>
      <c r="F501" t="n">
        <v>3.608</v>
      </c>
      <c r="G501" t="n">
        <v>8</v>
      </c>
      <c r="H501" t="n">
        <v>60</v>
      </c>
      <c r="I501" t="n">
        <v>40</v>
      </c>
      <c r="J501" t="inlineStr">
        <is>
          <t>kaba</t>
        </is>
      </c>
      <c r="K501" t="b">
        <v>1</v>
      </c>
      <c r="M501" t="n">
        <v>44</v>
      </c>
      <c r="N501" t="n">
        <v>28</v>
      </c>
      <c r="O501" t="n">
        <v>26</v>
      </c>
      <c r="P501" t="n">
        <v>958</v>
      </c>
      <c r="Q501" t="n">
        <v>1002</v>
      </c>
      <c r="R501" t="n">
        <v>2.169</v>
      </c>
      <c r="S501" t="n">
        <v>30.765</v>
      </c>
      <c r="T501" t="n">
        <v>14.184</v>
      </c>
      <c r="U501" t="n">
        <v>0.7782</v>
      </c>
      <c r="V501" t="b">
        <v>1</v>
      </c>
      <c r="X501" t="b">
        <v>1</v>
      </c>
      <c r="Z501" t="n">
        <v>935</v>
      </c>
      <c r="AA501" t="n">
        <v>2.5</v>
      </c>
      <c r="AB501" t="n">
        <v>9.5</v>
      </c>
    </row>
    <row r="502">
      <c r="A502" t="inlineStr">
        <is>
          <t>2026-09-24 14:09:57</t>
        </is>
      </c>
      <c r="B502" t="inlineStr">
        <is>
          <t>MLLB_000_y1.0.3</t>
        </is>
      </c>
      <c r="C502" t="inlineStr">
        <is>
          <t>WHITE</t>
        </is>
      </c>
      <c r="D502" t="inlineStr">
        <is>
          <t>v4_white_MLLB_000_y103_0924</t>
        </is>
      </c>
      <c r="E502" t="n">
        <v>3.6</v>
      </c>
      <c r="F502" t="n">
        <v>3.608</v>
      </c>
      <c r="G502" t="n">
        <v>8</v>
      </c>
      <c r="H502" t="n">
        <v>60</v>
      </c>
      <c r="I502" t="n">
        <v>44</v>
      </c>
      <c r="J502" t="inlineStr">
        <is>
          <t>kaba</t>
        </is>
      </c>
      <c r="K502" t="b">
        <v>1</v>
      </c>
      <c r="M502" t="n">
        <v>44</v>
      </c>
      <c r="N502" t="n">
        <v>28</v>
      </c>
      <c r="O502" t="n">
        <v>26</v>
      </c>
      <c r="P502" t="n">
        <v>958</v>
      </c>
      <c r="Q502" t="n">
        <v>1002</v>
      </c>
      <c r="R502" t="n">
        <v>3.566</v>
      </c>
      <c r="S502" t="n">
        <v>50.548</v>
      </c>
      <c r="T502" t="n">
        <v>14.173</v>
      </c>
      <c r="U502" t="n">
        <v>0.7778</v>
      </c>
      <c r="V502" t="b">
        <v>1</v>
      </c>
      <c r="X502" t="b">
        <v>0</v>
      </c>
      <c r="Y502" t="inlineStr">
        <is>
          <t>FLAS</t>
        </is>
      </c>
      <c r="Z502" t="n">
        <v>935</v>
      </c>
      <c r="AA502" t="n">
        <v>2.5</v>
      </c>
      <c r="AB502" t="n">
        <v>9.5</v>
      </c>
    </row>
    <row r="503">
      <c r="A503" t="inlineStr">
        <is>
          <t>2026-09-24 14:10:13</t>
        </is>
      </c>
      <c r="B503" t="inlineStr">
        <is>
          <t>MLLB_000_y1.0.3</t>
        </is>
      </c>
      <c r="C503" t="inlineStr">
        <is>
          <t>WHITE</t>
        </is>
      </c>
      <c r="D503" t="inlineStr">
        <is>
          <t>v4_white_MLLB_000_y103_0924</t>
        </is>
      </c>
      <c r="E503" t="n">
        <v>3.6</v>
      </c>
      <c r="F503" t="n">
        <v>3.608</v>
      </c>
      <c r="G503" t="n">
        <v>8</v>
      </c>
      <c r="H503" t="n">
        <v>60</v>
      </c>
      <c r="I503" t="n">
        <v>48</v>
      </c>
      <c r="J503" t="inlineStr">
        <is>
          <t>kaba</t>
        </is>
      </c>
      <c r="K503" t="b">
        <v>1</v>
      </c>
      <c r="M503" t="n">
        <v>44</v>
      </c>
      <c r="N503" t="n">
        <v>28</v>
      </c>
      <c r="O503" t="n">
        <v>26</v>
      </c>
      <c r="P503" t="n">
        <v>958</v>
      </c>
      <c r="Q503" t="n">
        <v>1002</v>
      </c>
      <c r="R503" t="n">
        <v>7.158</v>
      </c>
      <c r="S503" t="n">
        <v>101.504</v>
      </c>
      <c r="T503" t="n">
        <v>14.18</v>
      </c>
      <c r="U503" t="n">
        <v>0.7776999999999999</v>
      </c>
      <c r="V503" t="b">
        <v>1</v>
      </c>
      <c r="X503" t="b">
        <v>0</v>
      </c>
      <c r="Y503" t="inlineStr">
        <is>
          <t>FLAS</t>
        </is>
      </c>
      <c r="Z503" t="n">
        <v>935</v>
      </c>
      <c r="AA503" t="n">
        <v>2.5</v>
      </c>
      <c r="AB503" t="n">
        <v>9.5</v>
      </c>
    </row>
    <row r="504">
      <c r="A504" t="inlineStr">
        <is>
          <t>2026-09-24 14:10:25</t>
        </is>
      </c>
      <c r="B504" t="inlineStr">
        <is>
          <t>MLLB_000_y1.0.3</t>
        </is>
      </c>
      <c r="C504" t="inlineStr">
        <is>
          <t>WHITE</t>
        </is>
      </c>
      <c r="D504" t="inlineStr">
        <is>
          <t>v4_white_MLLB_000_y103_0924</t>
        </is>
      </c>
      <c r="E504" t="n">
        <v>3.6</v>
      </c>
      <c r="F504" t="n">
        <v>3.608</v>
      </c>
      <c r="G504" t="n">
        <v>8</v>
      </c>
      <c r="H504" t="n">
        <v>60</v>
      </c>
      <c r="I504" t="n">
        <v>33</v>
      </c>
      <c r="J504" t="inlineStr">
        <is>
          <t>ince</t>
        </is>
      </c>
      <c r="K504" t="b">
        <v>1</v>
      </c>
      <c r="M504" t="n">
        <v>70</v>
      </c>
      <c r="N504" t="n">
        <v>40</v>
      </c>
      <c r="O504" t="n">
        <v>48</v>
      </c>
      <c r="P504" t="n">
        <v>932</v>
      </c>
      <c r="Q504" t="n">
        <v>1002</v>
      </c>
      <c r="R504" t="n">
        <v>1.078</v>
      </c>
      <c r="S504" t="n">
        <v>15.28</v>
      </c>
      <c r="T504" t="n">
        <v>14.169</v>
      </c>
      <c r="U504" t="n">
        <v>0.7779</v>
      </c>
      <c r="V504" t="b">
        <v>1</v>
      </c>
      <c r="X504" t="b">
        <v>0</v>
      </c>
      <c r="Y504" t="inlineStr">
        <is>
          <t>ON</t>
        </is>
      </c>
      <c r="Z504" t="n">
        <v>935</v>
      </c>
      <c r="AA504" t="n">
        <v>2.5</v>
      </c>
      <c r="AB504" t="n">
        <v>9.5</v>
      </c>
    </row>
    <row r="505">
      <c r="A505" t="inlineStr">
        <is>
          <t>2026-09-24 14:10:41</t>
        </is>
      </c>
      <c r="B505" t="inlineStr">
        <is>
          <t>MLLB_000_y1.0.3</t>
        </is>
      </c>
      <c r="C505" t="inlineStr">
        <is>
          <t>WHITE</t>
        </is>
      </c>
      <c r="D505" t="inlineStr">
        <is>
          <t>v4_white_MLLB_000_y103_0924</t>
        </is>
      </c>
      <c r="E505" t="n">
        <v>3.6</v>
      </c>
      <c r="F505" t="n">
        <v>3.608</v>
      </c>
      <c r="G505" t="n">
        <v>8</v>
      </c>
      <c r="H505" t="n">
        <v>60</v>
      </c>
      <c r="I505" t="n">
        <v>34</v>
      </c>
      <c r="J505" t="inlineStr">
        <is>
          <t>ince</t>
        </is>
      </c>
      <c r="K505" t="b">
        <v>1</v>
      </c>
      <c r="M505" t="n">
        <v>62</v>
      </c>
      <c r="N505" t="n">
        <v>40</v>
      </c>
      <c r="O505" t="n">
        <v>38</v>
      </c>
      <c r="P505" t="n">
        <v>940</v>
      </c>
      <c r="Q505" t="n">
        <v>1002</v>
      </c>
      <c r="R505" t="n">
        <v>1.081</v>
      </c>
      <c r="S505" t="n">
        <v>15.327</v>
      </c>
      <c r="T505" t="n">
        <v>14.177</v>
      </c>
      <c r="U505" t="n">
        <v>0.7783</v>
      </c>
      <c r="V505" t="b">
        <v>1</v>
      </c>
      <c r="X505" t="b">
        <v>1</v>
      </c>
      <c r="Z505" t="n">
        <v>935</v>
      </c>
      <c r="AA505" t="n">
        <v>2.5</v>
      </c>
      <c r="AB505" t="n">
        <v>9.5</v>
      </c>
    </row>
    <row r="506">
      <c r="A506" t="inlineStr">
        <is>
          <t>2026-09-24 14:10:57</t>
        </is>
      </c>
      <c r="B506" t="inlineStr">
        <is>
          <t>MLLB_000_y1.0.3</t>
        </is>
      </c>
      <c r="C506" t="inlineStr">
        <is>
          <t>WHITE</t>
        </is>
      </c>
      <c r="D506" t="inlineStr">
        <is>
          <t>v4_white_MLLB_000_y103_0924</t>
        </is>
      </c>
      <c r="E506" t="n">
        <v>3.6</v>
      </c>
      <c r="F506" t="n">
        <v>3.608</v>
      </c>
      <c r="G506" t="n">
        <v>8</v>
      </c>
      <c r="H506" t="n">
        <v>60</v>
      </c>
      <c r="I506" t="n">
        <v>35</v>
      </c>
      <c r="J506" t="inlineStr">
        <is>
          <t>ince</t>
        </is>
      </c>
      <c r="K506" t="b">
        <v>1</v>
      </c>
      <c r="M506" t="n">
        <v>54</v>
      </c>
      <c r="N506" t="n">
        <v>42</v>
      </c>
      <c r="O506" t="n">
        <v>30</v>
      </c>
      <c r="P506" t="n">
        <v>948</v>
      </c>
      <c r="Q506" t="n">
        <v>1002</v>
      </c>
      <c r="R506" t="n">
        <v>1.08</v>
      </c>
      <c r="S506" t="n">
        <v>15.327</v>
      </c>
      <c r="T506" t="n">
        <v>14.193</v>
      </c>
      <c r="U506" t="n">
        <v>0.778</v>
      </c>
      <c r="V506" t="b">
        <v>1</v>
      </c>
      <c r="X506" t="b">
        <v>1</v>
      </c>
      <c r="Z506" t="n">
        <v>935</v>
      </c>
      <c r="AA506" t="n">
        <v>2.5</v>
      </c>
      <c r="AB506" t="n">
        <v>9.5</v>
      </c>
    </row>
    <row r="507">
      <c r="A507" t="inlineStr">
        <is>
          <t>2026-09-24 14:10:58</t>
        </is>
      </c>
      <c r="B507" t="inlineStr">
        <is>
          <t>MLLB_000_y1.0.3</t>
        </is>
      </c>
      <c r="C507" t="inlineStr">
        <is>
          <t>WHITE</t>
        </is>
      </c>
      <c r="D507" t="inlineStr">
        <is>
          <t>v4_white_MLLB_000_y103_0924</t>
        </is>
      </c>
      <c r="E507" t="n">
        <v>3.6</v>
      </c>
      <c r="F507" t="n">
        <v>3.608</v>
      </c>
      <c r="G507" t="n">
        <v>8</v>
      </c>
      <c r="H507" t="n">
        <v>60</v>
      </c>
      <c r="I507" t="n">
        <v>37</v>
      </c>
      <c r="J507" t="inlineStr">
        <is>
          <t>ince</t>
        </is>
      </c>
      <c r="K507" t="b">
        <v>0</v>
      </c>
      <c r="L507" t="inlineStr">
        <is>
          <t>iki-OK-arasi-monotonluk</t>
        </is>
      </c>
      <c r="X507" t="b">
        <v>1</v>
      </c>
      <c r="Z507" t="n">
        <v>935</v>
      </c>
      <c r="AA507" t="n">
        <v>2.5</v>
      </c>
      <c r="AB507" t="n">
        <v>9.5</v>
      </c>
    </row>
    <row r="508">
      <c r="A508" t="inlineStr">
        <is>
          <t>2026-09-24 14:10:58</t>
        </is>
      </c>
      <c r="B508" t="inlineStr">
        <is>
          <t>MLLB_000_y1.0.3</t>
        </is>
      </c>
      <c r="C508" t="inlineStr">
        <is>
          <t>WHITE</t>
        </is>
      </c>
      <c r="D508" t="inlineStr">
        <is>
          <t>v4_white_MLLB_000_y103_0924</t>
        </is>
      </c>
      <c r="E508" t="n">
        <v>3.6</v>
      </c>
      <c r="F508" t="n">
        <v>3.608</v>
      </c>
      <c r="G508" t="n">
        <v>8</v>
      </c>
      <c r="H508" t="n">
        <v>60</v>
      </c>
      <c r="I508" t="n">
        <v>38</v>
      </c>
      <c r="J508" t="inlineStr">
        <is>
          <t>ince</t>
        </is>
      </c>
      <c r="K508" t="b">
        <v>0</v>
      </c>
      <c r="L508" t="inlineStr">
        <is>
          <t>iki-OK-arasi-monotonluk</t>
        </is>
      </c>
      <c r="X508" t="b">
        <v>1</v>
      </c>
      <c r="Z508" t="n">
        <v>935</v>
      </c>
      <c r="AA508" t="n">
        <v>2.5</v>
      </c>
      <c r="AB508" t="n">
        <v>9.5</v>
      </c>
    </row>
    <row r="509">
      <c r="A509" t="inlineStr">
        <is>
          <t>2026-09-24 14:10:58</t>
        </is>
      </c>
      <c r="B509" t="inlineStr">
        <is>
          <t>MLLB_000_y1.0.3</t>
        </is>
      </c>
      <c r="C509" t="inlineStr">
        <is>
          <t>WHITE</t>
        </is>
      </c>
      <c r="D509" t="inlineStr">
        <is>
          <t>v4_white_MLLB_000_y103_0924</t>
        </is>
      </c>
      <c r="E509" t="n">
        <v>3.6</v>
      </c>
      <c r="F509" t="n">
        <v>3.608</v>
      </c>
      <c r="G509" t="n">
        <v>8</v>
      </c>
      <c r="H509" t="n">
        <v>60</v>
      </c>
      <c r="I509" t="n">
        <v>39</v>
      </c>
      <c r="J509" t="inlineStr">
        <is>
          <t>ince</t>
        </is>
      </c>
      <c r="K509" t="b">
        <v>0</v>
      </c>
      <c r="L509" t="inlineStr">
        <is>
          <t>iki-OK-arasi-monotonluk</t>
        </is>
      </c>
      <c r="X509" t="b">
        <v>1</v>
      </c>
      <c r="Z509" t="n">
        <v>935</v>
      </c>
      <c r="AA509" t="n">
        <v>2.5</v>
      </c>
      <c r="AB509" t="n">
        <v>9.5</v>
      </c>
    </row>
    <row r="510">
      <c r="A510" t="inlineStr">
        <is>
          <t>2026-09-24 14:11:13</t>
        </is>
      </c>
      <c r="B510" t="inlineStr">
        <is>
          <t>MLLB_000_y1.0.3</t>
        </is>
      </c>
      <c r="C510" t="inlineStr">
        <is>
          <t>WHITE</t>
        </is>
      </c>
      <c r="D510" t="inlineStr">
        <is>
          <t>v4_white_MLLB_000_y103_0924</t>
        </is>
      </c>
      <c r="E510" t="n">
        <v>3.6</v>
      </c>
      <c r="F510" t="n">
        <v>3.608</v>
      </c>
      <c r="G510" t="n">
        <v>8</v>
      </c>
      <c r="H510" t="n">
        <v>60</v>
      </c>
      <c r="I510" t="n">
        <v>41</v>
      </c>
      <c r="J510" t="inlineStr">
        <is>
          <t>ince</t>
        </is>
      </c>
      <c r="K510" t="b">
        <v>1</v>
      </c>
      <c r="M510" t="n">
        <v>44</v>
      </c>
      <c r="N510" t="n">
        <v>28</v>
      </c>
      <c r="O510" t="n">
        <v>26</v>
      </c>
      <c r="P510" t="n">
        <v>958</v>
      </c>
      <c r="Q510" t="n">
        <v>1002</v>
      </c>
      <c r="R510" t="n">
        <v>2.713</v>
      </c>
      <c r="S510" t="n">
        <v>38.463</v>
      </c>
      <c r="T510" t="n">
        <v>14.177</v>
      </c>
      <c r="U510" t="n">
        <v>0.7781</v>
      </c>
      <c r="V510" t="b">
        <v>1</v>
      </c>
      <c r="X510" t="b">
        <v>0</v>
      </c>
      <c r="Y510" t="inlineStr">
        <is>
          <t>FLAS</t>
        </is>
      </c>
      <c r="Z510" t="n">
        <v>935</v>
      </c>
      <c r="AA510" t="n">
        <v>2.5</v>
      </c>
      <c r="AB510" t="n">
        <v>9.5</v>
      </c>
    </row>
    <row r="511">
      <c r="A511" t="inlineStr">
        <is>
          <t>2026-09-24 14:11:29</t>
        </is>
      </c>
      <c r="B511" t="inlineStr">
        <is>
          <t>MLLB_000_y1.0.3</t>
        </is>
      </c>
      <c r="C511" t="inlineStr">
        <is>
          <t>WHITE</t>
        </is>
      </c>
      <c r="D511" t="inlineStr">
        <is>
          <t>v4_white_MLLB_000_y103_0924</t>
        </is>
      </c>
      <c r="E511" t="n">
        <v>3.6</v>
      </c>
      <c r="F511" t="n">
        <v>3.608</v>
      </c>
      <c r="G511" t="n">
        <v>8</v>
      </c>
      <c r="H511" t="n">
        <v>60</v>
      </c>
      <c r="I511" t="n">
        <v>42</v>
      </c>
      <c r="J511" t="inlineStr">
        <is>
          <t>ince</t>
        </is>
      </c>
      <c r="K511" t="b">
        <v>1</v>
      </c>
      <c r="M511" t="n">
        <v>46</v>
      </c>
      <c r="N511" t="n">
        <v>28</v>
      </c>
      <c r="O511" t="n">
        <v>26</v>
      </c>
      <c r="P511" t="n">
        <v>956</v>
      </c>
      <c r="Q511" t="n">
        <v>1002</v>
      </c>
      <c r="R511" t="n">
        <v>3.085</v>
      </c>
      <c r="S511" t="n">
        <v>43.775</v>
      </c>
      <c r="T511" t="n">
        <v>14.188</v>
      </c>
      <c r="U511" t="n">
        <v>0.7783</v>
      </c>
      <c r="V511" t="b">
        <v>1</v>
      </c>
      <c r="X511" t="b">
        <v>0</v>
      </c>
      <c r="Y511" t="inlineStr">
        <is>
          <t>FLAS</t>
        </is>
      </c>
      <c r="Z511" t="n">
        <v>935</v>
      </c>
      <c r="AA511" t="n">
        <v>2.5</v>
      </c>
      <c r="AB511" t="n">
        <v>9.5</v>
      </c>
    </row>
    <row r="512">
      <c r="A512" t="inlineStr">
        <is>
          <t>2026-09-24 14:11:45</t>
        </is>
      </c>
      <c r="B512" t="inlineStr">
        <is>
          <t>MLLB_000_y1.0.3</t>
        </is>
      </c>
      <c r="C512" t="inlineStr">
        <is>
          <t>WHITE</t>
        </is>
      </c>
      <c r="D512" t="inlineStr">
        <is>
          <t>v4_white_MLLB_000_y103_0924</t>
        </is>
      </c>
      <c r="E512" t="n">
        <v>3.6</v>
      </c>
      <c r="F512" t="n">
        <v>3.608</v>
      </c>
      <c r="G512" t="n">
        <v>8</v>
      </c>
      <c r="H512" t="n">
        <v>60</v>
      </c>
      <c r="I512" t="n">
        <v>43</v>
      </c>
      <c r="J512" t="inlineStr">
        <is>
          <t>ince</t>
        </is>
      </c>
      <c r="K512" t="b">
        <v>1</v>
      </c>
      <c r="M512" t="n">
        <v>44</v>
      </c>
      <c r="N512" t="n">
        <v>28</v>
      </c>
      <c r="O512" t="n">
        <v>26</v>
      </c>
      <c r="P512" t="n">
        <v>958</v>
      </c>
      <c r="Q512" t="n">
        <v>1002</v>
      </c>
      <c r="R512" t="n">
        <v>3.321</v>
      </c>
      <c r="S512" t="n">
        <v>47.113</v>
      </c>
      <c r="T512" t="n">
        <v>14.188</v>
      </c>
      <c r="U512" t="n">
        <v>0.7776</v>
      </c>
      <c r="V512" t="b">
        <v>1</v>
      </c>
      <c r="X512" t="b">
        <v>0</v>
      </c>
      <c r="Y512" t="inlineStr">
        <is>
          <t>FLAS</t>
        </is>
      </c>
      <c r="Z512" t="n">
        <v>935</v>
      </c>
      <c r="AA512" t="n">
        <v>2.5</v>
      </c>
      <c r="AB512" t="n">
        <v>9.5</v>
      </c>
    </row>
    <row r="513">
      <c r="A513" t="inlineStr">
        <is>
          <t>2026-09-24 14:11:45</t>
        </is>
      </c>
      <c r="B513" t="inlineStr">
        <is>
          <t>MLLB_000_y1.0.3</t>
        </is>
      </c>
      <c r="C513" t="inlineStr">
        <is>
          <t>WHITE</t>
        </is>
      </c>
      <c r="D513" t="inlineStr">
        <is>
          <t>v4_white_MLLB_000_y103_0924</t>
        </is>
      </c>
      <c r="E513" t="n">
        <v>3.6</v>
      </c>
      <c r="F513" t="n">
        <v>3.608</v>
      </c>
      <c r="G513" t="n">
        <v>8</v>
      </c>
      <c r="H513" t="n">
        <v>60</v>
      </c>
      <c r="J513" t="inlineStr">
        <is>
          <t>bitti</t>
        </is>
      </c>
      <c r="K513" t="b">
        <v>0</v>
      </c>
      <c r="Z513" t="n">
        <v>935</v>
      </c>
      <c r="AA513" t="n">
        <v>2.5</v>
      </c>
      <c r="AB513" t="n">
        <v>9.5</v>
      </c>
    </row>
    <row r="514">
      <c r="A514" t="inlineStr">
        <is>
          <t>2026-09-24 14:12:07</t>
        </is>
      </c>
      <c r="B514" t="inlineStr">
        <is>
          <t>MLLB_000_y1.0.3</t>
        </is>
      </c>
      <c r="C514" t="inlineStr">
        <is>
          <t>WHITE</t>
        </is>
      </c>
      <c r="D514" t="inlineStr">
        <is>
          <t>v4_white_MLLB_000_y103_0924</t>
        </is>
      </c>
      <c r="E514" t="n">
        <v>3.6</v>
      </c>
      <c r="F514" t="n">
        <v>3.608</v>
      </c>
      <c r="G514" t="n">
        <v>10</v>
      </c>
      <c r="H514" t="n">
        <v>100</v>
      </c>
      <c r="I514" t="n">
        <v>12</v>
      </c>
      <c r="J514" t="inlineStr">
        <is>
          <t>kaba</t>
        </is>
      </c>
      <c r="K514" t="b">
        <v>1</v>
      </c>
      <c r="M514" t="n">
        <v>146</v>
      </c>
      <c r="N514" t="n">
        <v>32</v>
      </c>
      <c r="O514" t="n">
        <v>126</v>
      </c>
      <c r="P514" t="n">
        <v>856</v>
      </c>
      <c r="Q514" t="n">
        <v>1002</v>
      </c>
      <c r="R514" t="n">
        <v>1.079</v>
      </c>
      <c r="S514" t="n">
        <v>20.268</v>
      </c>
      <c r="T514" t="n">
        <v>18.792</v>
      </c>
      <c r="U514" t="n">
        <v>0.778</v>
      </c>
      <c r="V514" t="b">
        <v>1</v>
      </c>
      <c r="X514" t="b">
        <v>0</v>
      </c>
      <c r="Y514" t="inlineStr">
        <is>
          <t>ON</t>
        </is>
      </c>
      <c r="Z514" t="n">
        <v>935</v>
      </c>
      <c r="AA514" t="n">
        <v>2.5</v>
      </c>
      <c r="AB514" t="n">
        <v>9.5</v>
      </c>
    </row>
    <row r="515">
      <c r="A515" t="inlineStr">
        <is>
          <t>2026-09-24 14:12:23</t>
        </is>
      </c>
      <c r="B515" t="inlineStr">
        <is>
          <t>MLLB_000_y1.0.3</t>
        </is>
      </c>
      <c r="C515" t="inlineStr">
        <is>
          <t>WHITE</t>
        </is>
      </c>
      <c r="D515" t="inlineStr">
        <is>
          <t>v4_white_MLLB_000_y103_0924</t>
        </is>
      </c>
      <c r="E515" t="n">
        <v>3.6</v>
      </c>
      <c r="F515" t="n">
        <v>3.608</v>
      </c>
      <c r="G515" t="n">
        <v>10</v>
      </c>
      <c r="H515" t="n">
        <v>100</v>
      </c>
      <c r="I515" t="n">
        <v>16</v>
      </c>
      <c r="J515" t="inlineStr">
        <is>
          <t>kaba</t>
        </is>
      </c>
      <c r="K515" t="b">
        <v>1</v>
      </c>
      <c r="M515" t="n">
        <v>104</v>
      </c>
      <c r="N515" t="n">
        <v>36</v>
      </c>
      <c r="O515" t="n">
        <v>82</v>
      </c>
      <c r="P515" t="n">
        <v>898</v>
      </c>
      <c r="Q515" t="n">
        <v>1002</v>
      </c>
      <c r="R515" t="n">
        <v>1.079</v>
      </c>
      <c r="S515" t="n">
        <v>20.337</v>
      </c>
      <c r="T515" t="n">
        <v>18.846</v>
      </c>
      <c r="U515" t="n">
        <v>0.7776999999999999</v>
      </c>
      <c r="V515" t="b">
        <v>1</v>
      </c>
      <c r="X515" t="b">
        <v>0</v>
      </c>
      <c r="Y515" t="inlineStr">
        <is>
          <t>ON</t>
        </is>
      </c>
      <c r="Z515" t="n">
        <v>935</v>
      </c>
      <c r="AA515" t="n">
        <v>2.5</v>
      </c>
      <c r="AB515" t="n">
        <v>9.5</v>
      </c>
    </row>
    <row r="516">
      <c r="A516" t="inlineStr">
        <is>
          <t>2026-09-24 14:12:39</t>
        </is>
      </c>
      <c r="B516" t="inlineStr">
        <is>
          <t>MLLB_000_y1.0.3</t>
        </is>
      </c>
      <c r="C516" t="inlineStr">
        <is>
          <t>WHITE</t>
        </is>
      </c>
      <c r="D516" t="inlineStr">
        <is>
          <t>v4_white_MLLB_000_y103_0924</t>
        </is>
      </c>
      <c r="E516" t="n">
        <v>3.6</v>
      </c>
      <c r="F516" t="n">
        <v>3.608</v>
      </c>
      <c r="G516" t="n">
        <v>10</v>
      </c>
      <c r="H516" t="n">
        <v>100</v>
      </c>
      <c r="I516" t="n">
        <v>20</v>
      </c>
      <c r="J516" t="inlineStr">
        <is>
          <t>kaba</t>
        </is>
      </c>
      <c r="K516" t="b">
        <v>1</v>
      </c>
      <c r="M516" t="n">
        <v>62</v>
      </c>
      <c r="N516" t="n">
        <v>34</v>
      </c>
      <c r="O516" t="n">
        <v>40</v>
      </c>
      <c r="P516" t="n">
        <v>940</v>
      </c>
      <c r="Q516" t="n">
        <v>1002</v>
      </c>
      <c r="R516" t="n">
        <v>1.073</v>
      </c>
      <c r="S516" t="n">
        <v>20.233</v>
      </c>
      <c r="T516" t="n">
        <v>18.863</v>
      </c>
      <c r="U516" t="n">
        <v>0.7778</v>
      </c>
      <c r="V516" t="b">
        <v>1</v>
      </c>
      <c r="X516" t="b">
        <v>1</v>
      </c>
      <c r="Z516" t="n">
        <v>935</v>
      </c>
      <c r="AA516" t="n">
        <v>2.5</v>
      </c>
      <c r="AB516" t="n">
        <v>9.5</v>
      </c>
    </row>
    <row r="517">
      <c r="A517" t="inlineStr">
        <is>
          <t>2026-09-24 14:12:55</t>
        </is>
      </c>
      <c r="B517" t="inlineStr">
        <is>
          <t>MLLB_000_y1.0.3</t>
        </is>
      </c>
      <c r="C517" t="inlineStr">
        <is>
          <t>WHITE</t>
        </is>
      </c>
      <c r="D517" t="inlineStr">
        <is>
          <t>v4_white_MLLB_000_y103_0924</t>
        </is>
      </c>
      <c r="E517" t="n">
        <v>3.6</v>
      </c>
      <c r="F517" t="n">
        <v>3.608</v>
      </c>
      <c r="G517" t="n">
        <v>10</v>
      </c>
      <c r="H517" t="n">
        <v>100</v>
      </c>
      <c r="I517" t="n">
        <v>24</v>
      </c>
      <c r="J517" t="inlineStr">
        <is>
          <t>kaba</t>
        </is>
      </c>
      <c r="K517" t="b">
        <v>1</v>
      </c>
      <c r="M517" t="n">
        <v>30</v>
      </c>
      <c r="N517" t="n">
        <v>28</v>
      </c>
      <c r="O517" t="n">
        <v>10</v>
      </c>
      <c r="P517" t="n">
        <v>972</v>
      </c>
      <c r="Q517" t="n">
        <v>1002</v>
      </c>
      <c r="R517" t="n">
        <v>1.074</v>
      </c>
      <c r="S517" t="n">
        <v>20.268</v>
      </c>
      <c r="T517" t="n">
        <v>18.872</v>
      </c>
      <c r="U517" t="n">
        <v>0.778</v>
      </c>
      <c r="V517" t="b">
        <v>1</v>
      </c>
      <c r="X517" t="b">
        <v>1</v>
      </c>
      <c r="Z517" t="n">
        <v>935</v>
      </c>
      <c r="AA517" t="n">
        <v>2.5</v>
      </c>
      <c r="AB517" t="n">
        <v>9.5</v>
      </c>
    </row>
    <row r="518">
      <c r="A518" t="inlineStr">
        <is>
          <t>2026-09-24 14:13:11</t>
        </is>
      </c>
      <c r="B518" t="inlineStr">
        <is>
          <t>MLLB_000_y1.0.3</t>
        </is>
      </c>
      <c r="C518" t="inlineStr">
        <is>
          <t>WHITE</t>
        </is>
      </c>
      <c r="D518" t="inlineStr">
        <is>
          <t>v4_white_MLLB_000_y103_0924</t>
        </is>
      </c>
      <c r="E518" t="n">
        <v>3.6</v>
      </c>
      <c r="F518" t="n">
        <v>3.608</v>
      </c>
      <c r="G518" t="n">
        <v>10</v>
      </c>
      <c r="H518" t="n">
        <v>100</v>
      </c>
      <c r="I518" t="n">
        <v>28</v>
      </c>
      <c r="J518" t="inlineStr">
        <is>
          <t>kaba</t>
        </is>
      </c>
      <c r="K518" t="b">
        <v>1</v>
      </c>
      <c r="M518" t="n">
        <v>30</v>
      </c>
      <c r="N518" t="n">
        <v>28</v>
      </c>
      <c r="O518" t="n">
        <v>10</v>
      </c>
      <c r="P518" t="n">
        <v>972</v>
      </c>
      <c r="Q518" t="n">
        <v>1002</v>
      </c>
      <c r="R518" t="n">
        <v>4.139</v>
      </c>
      <c r="S518" t="n">
        <v>78.152</v>
      </c>
      <c r="T518" t="n">
        <v>18.884</v>
      </c>
      <c r="U518" t="n">
        <v>0.7776999999999999</v>
      </c>
      <c r="V518" t="b">
        <v>1</v>
      </c>
      <c r="X518" t="b">
        <v>0</v>
      </c>
      <c r="Y518" t="inlineStr">
        <is>
          <t>FLAS</t>
        </is>
      </c>
      <c r="Z518" t="n">
        <v>935</v>
      </c>
      <c r="AA518" t="n">
        <v>2.5</v>
      </c>
      <c r="AB518" t="n">
        <v>9.5</v>
      </c>
    </row>
    <row r="519">
      <c r="A519" t="inlineStr">
        <is>
          <t>2026-09-24 14:13:27</t>
        </is>
      </c>
      <c r="B519" t="inlineStr">
        <is>
          <t>MLLB_000_y1.0.3</t>
        </is>
      </c>
      <c r="C519" t="inlineStr">
        <is>
          <t>WHITE</t>
        </is>
      </c>
      <c r="D519" t="inlineStr">
        <is>
          <t>v4_white_MLLB_000_y103_0924</t>
        </is>
      </c>
      <c r="E519" t="n">
        <v>3.6</v>
      </c>
      <c r="F519" t="n">
        <v>3.608</v>
      </c>
      <c r="G519" t="n">
        <v>10</v>
      </c>
      <c r="H519" t="n">
        <v>100</v>
      </c>
      <c r="I519" t="n">
        <v>32</v>
      </c>
      <c r="J519" t="inlineStr">
        <is>
          <t>kaba</t>
        </is>
      </c>
      <c r="K519" t="b">
        <v>1</v>
      </c>
      <c r="M519" t="n">
        <v>30</v>
      </c>
      <c r="N519" t="n">
        <v>28</v>
      </c>
      <c r="O519" t="n">
        <v>10</v>
      </c>
      <c r="P519" t="n">
        <v>972</v>
      </c>
      <c r="Q519" t="n">
        <v>1002</v>
      </c>
      <c r="R519" t="n">
        <v>10.478</v>
      </c>
      <c r="S519" t="n">
        <v>197.797</v>
      </c>
      <c r="T519" t="n">
        <v>18.877</v>
      </c>
      <c r="U519" t="n">
        <v>0.7782</v>
      </c>
      <c r="V519" t="b">
        <v>1</v>
      </c>
      <c r="X519" t="b">
        <v>0</v>
      </c>
      <c r="Y519" t="inlineStr">
        <is>
          <t>FLAS</t>
        </is>
      </c>
      <c r="Z519" t="n">
        <v>935</v>
      </c>
      <c r="AA519" t="n">
        <v>2.5</v>
      </c>
      <c r="AB519" t="n">
        <v>9.5</v>
      </c>
    </row>
    <row r="520">
      <c r="A520" t="inlineStr">
        <is>
          <t>2026-09-24 14:13:43</t>
        </is>
      </c>
      <c r="B520" t="inlineStr">
        <is>
          <t>MLLB_000_y1.0.3</t>
        </is>
      </c>
      <c r="C520" t="inlineStr">
        <is>
          <t>WHITE</t>
        </is>
      </c>
      <c r="D520" t="inlineStr">
        <is>
          <t>v4_white_MLLB_000_y103_0924</t>
        </is>
      </c>
      <c r="E520" t="n">
        <v>3.6</v>
      </c>
      <c r="F520" t="n">
        <v>3.608</v>
      </c>
      <c r="G520" t="n">
        <v>10</v>
      </c>
      <c r="H520" t="n">
        <v>100</v>
      </c>
      <c r="I520" t="n">
        <v>17</v>
      </c>
      <c r="J520" t="inlineStr">
        <is>
          <t>ince</t>
        </is>
      </c>
      <c r="K520" t="b">
        <v>1</v>
      </c>
      <c r="M520" t="n">
        <v>94</v>
      </c>
      <c r="N520" t="n">
        <v>34</v>
      </c>
      <c r="O520" t="n">
        <v>72</v>
      </c>
      <c r="P520" t="n">
        <v>908</v>
      </c>
      <c r="Q520" t="n">
        <v>1002</v>
      </c>
      <c r="R520" t="n">
        <v>1.075</v>
      </c>
      <c r="S520" t="n">
        <v>20.268</v>
      </c>
      <c r="T520" t="n">
        <v>18.846</v>
      </c>
      <c r="U520" t="n">
        <v>0.778</v>
      </c>
      <c r="V520" t="b">
        <v>1</v>
      </c>
      <c r="X520" t="b">
        <v>0</v>
      </c>
      <c r="Y520" t="inlineStr">
        <is>
          <t>ON</t>
        </is>
      </c>
      <c r="Z520" t="n">
        <v>935</v>
      </c>
      <c r="AA520" t="n">
        <v>2.5</v>
      </c>
      <c r="AB520" t="n">
        <v>9.5</v>
      </c>
    </row>
    <row r="521">
      <c r="A521" t="inlineStr">
        <is>
          <t>2026-09-24 14:13:59</t>
        </is>
      </c>
      <c r="B521" t="inlineStr">
        <is>
          <t>MLLB_000_y1.0.3</t>
        </is>
      </c>
      <c r="C521" t="inlineStr">
        <is>
          <t>WHITE</t>
        </is>
      </c>
      <c r="D521" t="inlineStr">
        <is>
          <t>v4_white_MLLB_000_y103_0924</t>
        </is>
      </c>
      <c r="E521" t="n">
        <v>3.6</v>
      </c>
      <c r="F521" t="n">
        <v>3.608</v>
      </c>
      <c r="G521" t="n">
        <v>10</v>
      </c>
      <c r="H521" t="n">
        <v>100</v>
      </c>
      <c r="I521" t="n">
        <v>18</v>
      </c>
      <c r="J521" t="inlineStr">
        <is>
          <t>ince</t>
        </is>
      </c>
      <c r="K521" t="b">
        <v>1</v>
      </c>
      <c r="M521" t="n">
        <v>82</v>
      </c>
      <c r="N521" t="n">
        <v>32</v>
      </c>
      <c r="O521" t="n">
        <v>62</v>
      </c>
      <c r="P521" t="n">
        <v>920</v>
      </c>
      <c r="Q521" t="n">
        <v>1002</v>
      </c>
      <c r="R521" t="n">
        <v>1.075</v>
      </c>
      <c r="S521" t="n">
        <v>20.268</v>
      </c>
      <c r="T521" t="n">
        <v>18.856</v>
      </c>
      <c r="U521" t="n">
        <v>0.7781</v>
      </c>
      <c r="V521" t="b">
        <v>1</v>
      </c>
      <c r="X521" t="b">
        <v>0</v>
      </c>
      <c r="Y521" t="inlineStr">
        <is>
          <t>ON</t>
        </is>
      </c>
      <c r="Z521" t="n">
        <v>935</v>
      </c>
      <c r="AA521" t="n">
        <v>2.5</v>
      </c>
      <c r="AB521" t="n">
        <v>9.5</v>
      </c>
    </row>
    <row r="522">
      <c r="A522" t="inlineStr">
        <is>
          <t>2026-09-24 14:14:15</t>
        </is>
      </c>
      <c r="B522" t="inlineStr">
        <is>
          <t>MLLB_000_y1.0.3</t>
        </is>
      </c>
      <c r="C522" t="inlineStr">
        <is>
          <t>WHITE</t>
        </is>
      </c>
      <c r="D522" t="inlineStr">
        <is>
          <t>v4_white_MLLB_000_y103_0924</t>
        </is>
      </c>
      <c r="E522" t="n">
        <v>3.6</v>
      </c>
      <c r="F522" t="n">
        <v>3.608</v>
      </c>
      <c r="G522" t="n">
        <v>10</v>
      </c>
      <c r="H522" t="n">
        <v>100</v>
      </c>
      <c r="I522" t="n">
        <v>19</v>
      </c>
      <c r="J522" t="inlineStr">
        <is>
          <t>ince</t>
        </is>
      </c>
      <c r="K522" t="b">
        <v>1</v>
      </c>
      <c r="M522" t="n">
        <v>72</v>
      </c>
      <c r="N522" t="n">
        <v>36</v>
      </c>
      <c r="O522" t="n">
        <v>50</v>
      </c>
      <c r="P522" t="n">
        <v>930</v>
      </c>
      <c r="Q522" t="n">
        <v>1002</v>
      </c>
      <c r="R522" t="n">
        <v>1.074</v>
      </c>
      <c r="S522" t="n">
        <v>20.268</v>
      </c>
      <c r="T522" t="n">
        <v>18.866</v>
      </c>
      <c r="U522" t="n">
        <v>0.7786</v>
      </c>
      <c r="V522" t="b">
        <v>1</v>
      </c>
      <c r="X522" t="b">
        <v>0</v>
      </c>
      <c r="Y522" t="inlineStr">
        <is>
          <t>ON</t>
        </is>
      </c>
      <c r="Z522" t="n">
        <v>935</v>
      </c>
      <c r="AA522" t="n">
        <v>2.5</v>
      </c>
      <c r="AB522" t="n">
        <v>9.5</v>
      </c>
    </row>
    <row r="523">
      <c r="A523" t="inlineStr">
        <is>
          <t>2026-09-24 14:14:16</t>
        </is>
      </c>
      <c r="B523" t="inlineStr">
        <is>
          <t>MLLB_000_y1.0.3</t>
        </is>
      </c>
      <c r="C523" t="inlineStr">
        <is>
          <t>WHITE</t>
        </is>
      </c>
      <c r="D523" t="inlineStr">
        <is>
          <t>v4_white_MLLB_000_y103_0924</t>
        </is>
      </c>
      <c r="E523" t="n">
        <v>3.6</v>
      </c>
      <c r="F523" t="n">
        <v>3.608</v>
      </c>
      <c r="G523" t="n">
        <v>10</v>
      </c>
      <c r="H523" t="n">
        <v>100</v>
      </c>
      <c r="I523" t="n">
        <v>21</v>
      </c>
      <c r="J523" t="inlineStr">
        <is>
          <t>ince</t>
        </is>
      </c>
      <c r="K523" t="b">
        <v>0</v>
      </c>
      <c r="L523" t="inlineStr">
        <is>
          <t>iki-OK-arasi-monotonluk</t>
        </is>
      </c>
      <c r="X523" t="b">
        <v>1</v>
      </c>
      <c r="Z523" t="n">
        <v>935</v>
      </c>
      <c r="AA523" t="n">
        <v>2.5</v>
      </c>
      <c r="AB523" t="n">
        <v>9.5</v>
      </c>
    </row>
    <row r="524">
      <c r="A524" t="inlineStr">
        <is>
          <t>2026-09-24 14:14:16</t>
        </is>
      </c>
      <c r="B524" t="inlineStr">
        <is>
          <t>MLLB_000_y1.0.3</t>
        </is>
      </c>
      <c r="C524" t="inlineStr">
        <is>
          <t>WHITE</t>
        </is>
      </c>
      <c r="D524" t="inlineStr">
        <is>
          <t>v4_white_MLLB_000_y103_0924</t>
        </is>
      </c>
      <c r="E524" t="n">
        <v>3.6</v>
      </c>
      <c r="F524" t="n">
        <v>3.608</v>
      </c>
      <c r="G524" t="n">
        <v>10</v>
      </c>
      <c r="H524" t="n">
        <v>100</v>
      </c>
      <c r="I524" t="n">
        <v>22</v>
      </c>
      <c r="J524" t="inlineStr">
        <is>
          <t>ince</t>
        </is>
      </c>
      <c r="K524" t="b">
        <v>0</v>
      </c>
      <c r="L524" t="inlineStr">
        <is>
          <t>iki-OK-arasi-monotonluk</t>
        </is>
      </c>
      <c r="X524" t="b">
        <v>1</v>
      </c>
      <c r="Z524" t="n">
        <v>935</v>
      </c>
      <c r="AA524" t="n">
        <v>2.5</v>
      </c>
      <c r="AB524" t="n">
        <v>9.5</v>
      </c>
    </row>
    <row r="525">
      <c r="A525" t="inlineStr">
        <is>
          <t>2026-09-24 14:14:16</t>
        </is>
      </c>
      <c r="B525" t="inlineStr">
        <is>
          <t>MLLB_000_y1.0.3</t>
        </is>
      </c>
      <c r="C525" t="inlineStr">
        <is>
          <t>WHITE</t>
        </is>
      </c>
      <c r="D525" t="inlineStr">
        <is>
          <t>v4_white_MLLB_000_y103_0924</t>
        </is>
      </c>
      <c r="E525" t="n">
        <v>3.6</v>
      </c>
      <c r="F525" t="n">
        <v>3.608</v>
      </c>
      <c r="G525" t="n">
        <v>10</v>
      </c>
      <c r="H525" t="n">
        <v>100</v>
      </c>
      <c r="I525" t="n">
        <v>23</v>
      </c>
      <c r="J525" t="inlineStr">
        <is>
          <t>ince</t>
        </is>
      </c>
      <c r="K525" t="b">
        <v>0</v>
      </c>
      <c r="L525" t="inlineStr">
        <is>
          <t>iki-OK-arasi-monotonluk</t>
        </is>
      </c>
      <c r="X525" t="b">
        <v>1</v>
      </c>
      <c r="Z525" t="n">
        <v>935</v>
      </c>
      <c r="AA525" t="n">
        <v>2.5</v>
      </c>
      <c r="AB525" t="n">
        <v>9.5</v>
      </c>
    </row>
    <row r="526">
      <c r="A526" t="inlineStr">
        <is>
          <t>2026-09-24 14:14:31</t>
        </is>
      </c>
      <c r="B526" t="inlineStr">
        <is>
          <t>MLLB_000_y1.0.3</t>
        </is>
      </c>
      <c r="C526" t="inlineStr">
        <is>
          <t>WHITE</t>
        </is>
      </c>
      <c r="D526" t="inlineStr">
        <is>
          <t>v4_white_MLLB_000_y103_0924</t>
        </is>
      </c>
      <c r="E526" t="n">
        <v>3.6</v>
      </c>
      <c r="F526" t="n">
        <v>3.608</v>
      </c>
      <c r="G526" t="n">
        <v>10</v>
      </c>
      <c r="H526" t="n">
        <v>100</v>
      </c>
      <c r="I526" t="n">
        <v>25</v>
      </c>
      <c r="J526" t="inlineStr">
        <is>
          <t>ince</t>
        </is>
      </c>
      <c r="K526" t="b">
        <v>1</v>
      </c>
      <c r="M526" t="n">
        <v>30</v>
      </c>
      <c r="N526" t="n">
        <v>28</v>
      </c>
      <c r="O526" t="n">
        <v>10</v>
      </c>
      <c r="P526" t="n">
        <v>972</v>
      </c>
      <c r="Q526" t="n">
        <v>1002</v>
      </c>
      <c r="R526" t="n">
        <v>1.627</v>
      </c>
      <c r="S526" t="n">
        <v>30.667</v>
      </c>
      <c r="T526" t="n">
        <v>18.85</v>
      </c>
      <c r="U526" t="n">
        <v>0.7779</v>
      </c>
      <c r="V526" t="b">
        <v>1</v>
      </c>
      <c r="X526" t="b">
        <v>1</v>
      </c>
      <c r="Z526" t="n">
        <v>935</v>
      </c>
      <c r="AA526" t="n">
        <v>2.5</v>
      </c>
      <c r="AB526" t="n">
        <v>9.5</v>
      </c>
    </row>
    <row r="527">
      <c r="A527" t="inlineStr">
        <is>
          <t>2026-09-24 14:14:47</t>
        </is>
      </c>
      <c r="B527" t="inlineStr">
        <is>
          <t>MLLB_000_y1.0.3</t>
        </is>
      </c>
      <c r="C527" t="inlineStr">
        <is>
          <t>WHITE</t>
        </is>
      </c>
      <c r="D527" t="inlineStr">
        <is>
          <t>v4_white_MLLB_000_y103_0924</t>
        </is>
      </c>
      <c r="E527" t="n">
        <v>3.6</v>
      </c>
      <c r="F527" t="n">
        <v>3.608</v>
      </c>
      <c r="G527" t="n">
        <v>10</v>
      </c>
      <c r="H527" t="n">
        <v>100</v>
      </c>
      <c r="I527" t="n">
        <v>26</v>
      </c>
      <c r="J527" t="inlineStr">
        <is>
          <t>ince</t>
        </is>
      </c>
      <c r="K527" t="b">
        <v>1</v>
      </c>
      <c r="M527" t="n">
        <v>30</v>
      </c>
      <c r="N527" t="n">
        <v>28</v>
      </c>
      <c r="O527" t="n">
        <v>10</v>
      </c>
      <c r="P527" t="n">
        <v>972</v>
      </c>
      <c r="Q527" t="n">
        <v>1002</v>
      </c>
      <c r="R527" t="n">
        <v>2.303</v>
      </c>
      <c r="S527" t="n">
        <v>43.468</v>
      </c>
      <c r="T527" t="n">
        <v>18.876</v>
      </c>
      <c r="U527" t="n">
        <v>0.778</v>
      </c>
      <c r="V527" t="b">
        <v>1</v>
      </c>
      <c r="X527" t="b">
        <v>1</v>
      </c>
      <c r="Z527" t="n">
        <v>935</v>
      </c>
      <c r="AA527" t="n">
        <v>2.5</v>
      </c>
      <c r="AB527" t="n">
        <v>9.5</v>
      </c>
    </row>
    <row r="528">
      <c r="A528" t="inlineStr">
        <is>
          <t>2026-09-24 14:15:03</t>
        </is>
      </c>
      <c r="B528" t="inlineStr">
        <is>
          <t>MLLB_000_y1.0.3</t>
        </is>
      </c>
      <c r="C528" t="inlineStr">
        <is>
          <t>WHITE</t>
        </is>
      </c>
      <c r="D528" t="inlineStr">
        <is>
          <t>v4_white_MLLB_000_y103_0924</t>
        </is>
      </c>
      <c r="E528" t="n">
        <v>3.6</v>
      </c>
      <c r="F528" t="n">
        <v>3.608</v>
      </c>
      <c r="G528" t="n">
        <v>10</v>
      </c>
      <c r="H528" t="n">
        <v>100</v>
      </c>
      <c r="I528" t="n">
        <v>27</v>
      </c>
      <c r="J528" t="inlineStr">
        <is>
          <t>ince</t>
        </is>
      </c>
      <c r="K528" t="b">
        <v>1</v>
      </c>
      <c r="M528" t="n">
        <v>30</v>
      </c>
      <c r="N528" t="n">
        <v>28</v>
      </c>
      <c r="O528" t="n">
        <v>10</v>
      </c>
      <c r="P528" t="n">
        <v>972</v>
      </c>
      <c r="Q528" t="n">
        <v>1002</v>
      </c>
      <c r="R528" t="n">
        <v>2.688</v>
      </c>
      <c r="S528" t="n">
        <v>50.756</v>
      </c>
      <c r="T528" t="n">
        <v>18.884</v>
      </c>
      <c r="U528" t="n">
        <v>0.7778</v>
      </c>
      <c r="V528" t="b">
        <v>1</v>
      </c>
      <c r="X528" t="b">
        <v>0</v>
      </c>
      <c r="Y528" t="inlineStr">
        <is>
          <t>FLAS</t>
        </is>
      </c>
      <c r="Z528" t="n">
        <v>935</v>
      </c>
      <c r="AA528" t="n">
        <v>2.5</v>
      </c>
      <c r="AB528" t="n">
        <v>9.5</v>
      </c>
    </row>
    <row r="529">
      <c r="A529" t="inlineStr">
        <is>
          <t>2026-09-24 14:15:04</t>
        </is>
      </c>
      <c r="B529" t="inlineStr">
        <is>
          <t>MLLB_000_y1.0.3</t>
        </is>
      </c>
      <c r="C529" t="inlineStr">
        <is>
          <t>WHITE</t>
        </is>
      </c>
      <c r="D529" t="inlineStr">
        <is>
          <t>v4_white_MLLB_000_y103_0924</t>
        </is>
      </c>
      <c r="E529" t="n">
        <v>3.6</v>
      </c>
      <c r="F529" t="n">
        <v>3.608</v>
      </c>
      <c r="G529" t="n">
        <v>10</v>
      </c>
      <c r="H529" t="n">
        <v>100</v>
      </c>
      <c r="J529" t="inlineStr">
        <is>
          <t>bitti</t>
        </is>
      </c>
      <c r="K529" t="b">
        <v>0</v>
      </c>
      <c r="Z529" t="n">
        <v>935</v>
      </c>
      <c r="AA529" t="n">
        <v>2.5</v>
      </c>
      <c r="AB529" t="n">
        <v>9.5</v>
      </c>
    </row>
    <row r="530">
      <c r="A530" t="inlineStr">
        <is>
          <t>2026-09-24 14:15:19</t>
        </is>
      </c>
      <c r="B530" t="inlineStr">
        <is>
          <t>MLLB_000_y1.0.3</t>
        </is>
      </c>
      <c r="C530" t="inlineStr">
        <is>
          <t>WHITE</t>
        </is>
      </c>
      <c r="D530" t="inlineStr">
        <is>
          <t>v4_white_MLLB_000_y103_0924</t>
        </is>
      </c>
      <c r="E530" t="n">
        <v>3.6</v>
      </c>
      <c r="F530" t="n">
        <v>3.608</v>
      </c>
      <c r="G530" t="n">
        <v>10</v>
      </c>
      <c r="H530" t="n">
        <v>80</v>
      </c>
      <c r="I530" t="n">
        <v>12</v>
      </c>
      <c r="J530" t="inlineStr">
        <is>
          <t>kaba</t>
        </is>
      </c>
      <c r="K530" t="b">
        <v>1</v>
      </c>
      <c r="M530" t="n">
        <v>168</v>
      </c>
      <c r="N530" t="n">
        <v>36</v>
      </c>
      <c r="O530" t="n">
        <v>146</v>
      </c>
      <c r="P530" t="n">
        <v>834</v>
      </c>
      <c r="Q530" t="n">
        <v>1002</v>
      </c>
      <c r="R530" t="n">
        <v>1.079</v>
      </c>
      <c r="S530" t="n">
        <v>20.268</v>
      </c>
      <c r="T530" t="n">
        <v>18.793</v>
      </c>
      <c r="U530" t="n">
        <v>0.7779</v>
      </c>
      <c r="V530" t="b">
        <v>1</v>
      </c>
      <c r="X530" t="b">
        <v>0</v>
      </c>
      <c r="Y530" t="inlineStr">
        <is>
          <t>ON</t>
        </is>
      </c>
      <c r="Z530" t="n">
        <v>935</v>
      </c>
      <c r="AA530" t="n">
        <v>2.5</v>
      </c>
      <c r="AB530" t="n">
        <v>9.5</v>
      </c>
    </row>
    <row r="531">
      <c r="A531" t="inlineStr">
        <is>
          <t>2026-09-24 14:15:35</t>
        </is>
      </c>
      <c r="B531" t="inlineStr">
        <is>
          <t>MLLB_000_y1.0.3</t>
        </is>
      </c>
      <c r="C531" t="inlineStr">
        <is>
          <t>WHITE</t>
        </is>
      </c>
      <c r="D531" t="inlineStr">
        <is>
          <t>v4_white_MLLB_000_y103_0924</t>
        </is>
      </c>
      <c r="E531" t="n">
        <v>3.6</v>
      </c>
      <c r="F531" t="n">
        <v>3.608</v>
      </c>
      <c r="G531" t="n">
        <v>10</v>
      </c>
      <c r="H531" t="n">
        <v>80</v>
      </c>
      <c r="I531" t="n">
        <v>16</v>
      </c>
      <c r="J531" t="inlineStr">
        <is>
          <t>kaba</t>
        </is>
      </c>
      <c r="K531" t="b">
        <v>1</v>
      </c>
      <c r="M531" t="n">
        <v>134</v>
      </c>
      <c r="N531" t="n">
        <v>32</v>
      </c>
      <c r="O531" t="n">
        <v>114</v>
      </c>
      <c r="P531" t="n">
        <v>868</v>
      </c>
      <c r="Q531" t="n">
        <v>1002</v>
      </c>
      <c r="R531" t="n">
        <v>1.078</v>
      </c>
      <c r="S531" t="n">
        <v>20.27</v>
      </c>
      <c r="T531" t="n">
        <v>18.808</v>
      </c>
      <c r="U531" t="n">
        <v>0.778</v>
      </c>
      <c r="V531" t="b">
        <v>1</v>
      </c>
      <c r="X531" t="b">
        <v>0</v>
      </c>
      <c r="Y531" t="inlineStr">
        <is>
          <t>ON</t>
        </is>
      </c>
      <c r="Z531" t="n">
        <v>935</v>
      </c>
      <c r="AA531" t="n">
        <v>2.5</v>
      </c>
      <c r="AB531" t="n">
        <v>9.5</v>
      </c>
    </row>
    <row r="532">
      <c r="A532" t="inlineStr">
        <is>
          <t>2026-09-24 14:15:51</t>
        </is>
      </c>
      <c r="B532" t="inlineStr">
        <is>
          <t>MLLB_000_y1.0.3</t>
        </is>
      </c>
      <c r="C532" t="inlineStr">
        <is>
          <t>WHITE</t>
        </is>
      </c>
      <c r="D532" t="inlineStr">
        <is>
          <t>v4_white_MLLB_000_y103_0924</t>
        </is>
      </c>
      <c r="E532" t="n">
        <v>3.6</v>
      </c>
      <c r="F532" t="n">
        <v>3.608</v>
      </c>
      <c r="G532" t="n">
        <v>10</v>
      </c>
      <c r="H532" t="n">
        <v>80</v>
      </c>
      <c r="I532" t="n">
        <v>20</v>
      </c>
      <c r="J532" t="inlineStr">
        <is>
          <t>kaba</t>
        </is>
      </c>
      <c r="K532" t="b">
        <v>1</v>
      </c>
      <c r="M532" t="n">
        <v>100</v>
      </c>
      <c r="N532" t="n">
        <v>36</v>
      </c>
      <c r="O532" t="n">
        <v>78</v>
      </c>
      <c r="P532" t="n">
        <v>902</v>
      </c>
      <c r="Q532" t="n">
        <v>1002</v>
      </c>
      <c r="R532" t="n">
        <v>1.076</v>
      </c>
      <c r="S532" t="n">
        <v>20.268</v>
      </c>
      <c r="T532" t="n">
        <v>18.832</v>
      </c>
      <c r="U532" t="n">
        <v>0.778</v>
      </c>
      <c r="V532" t="b">
        <v>1</v>
      </c>
      <c r="X532" t="b">
        <v>0</v>
      </c>
      <c r="Y532" t="inlineStr">
        <is>
          <t>ON</t>
        </is>
      </c>
      <c r="Z532" t="n">
        <v>935</v>
      </c>
      <c r="AA532" t="n">
        <v>2.5</v>
      </c>
      <c r="AB532" t="n">
        <v>9.5</v>
      </c>
    </row>
    <row r="533">
      <c r="A533" t="inlineStr">
        <is>
          <t>2026-09-24 14:16:07</t>
        </is>
      </c>
      <c r="B533" t="inlineStr">
        <is>
          <t>MLLB_000_y1.0.3</t>
        </is>
      </c>
      <c r="C533" t="inlineStr">
        <is>
          <t>WHITE</t>
        </is>
      </c>
      <c r="D533" t="inlineStr">
        <is>
          <t>v4_white_MLLB_000_y103_0924</t>
        </is>
      </c>
      <c r="E533" t="n">
        <v>3.6</v>
      </c>
      <c r="F533" t="n">
        <v>3.608</v>
      </c>
      <c r="G533" t="n">
        <v>10</v>
      </c>
      <c r="H533" t="n">
        <v>80</v>
      </c>
      <c r="I533" t="n">
        <v>24</v>
      </c>
      <c r="J533" t="inlineStr">
        <is>
          <t>kaba</t>
        </is>
      </c>
      <c r="K533" t="b">
        <v>1</v>
      </c>
      <c r="M533" t="n">
        <v>66</v>
      </c>
      <c r="N533" t="n">
        <v>32</v>
      </c>
      <c r="O533" t="n">
        <v>46</v>
      </c>
      <c r="P533" t="n">
        <v>936</v>
      </c>
      <c r="Q533" t="n">
        <v>1002</v>
      </c>
      <c r="R533" t="n">
        <v>1.072</v>
      </c>
      <c r="S533" t="n">
        <v>20.231</v>
      </c>
      <c r="T533" t="n">
        <v>18.869</v>
      </c>
      <c r="U533" t="n">
        <v>0.7782</v>
      </c>
      <c r="V533" t="b">
        <v>1</v>
      </c>
      <c r="X533" t="b">
        <v>1</v>
      </c>
      <c r="Z533" t="n">
        <v>935</v>
      </c>
      <c r="AA533" t="n">
        <v>2.5</v>
      </c>
      <c r="AB533" t="n">
        <v>9.5</v>
      </c>
    </row>
    <row r="534">
      <c r="A534" t="inlineStr">
        <is>
          <t>2026-09-24 14:16:23</t>
        </is>
      </c>
      <c r="B534" t="inlineStr">
        <is>
          <t>MLLB_000_y1.0.3</t>
        </is>
      </c>
      <c r="C534" t="inlineStr">
        <is>
          <t>WHITE</t>
        </is>
      </c>
      <c r="D534" t="inlineStr">
        <is>
          <t>v4_white_MLLB_000_y103_0924</t>
        </is>
      </c>
      <c r="E534" t="n">
        <v>3.6</v>
      </c>
      <c r="F534" t="n">
        <v>3.608</v>
      </c>
      <c r="G534" t="n">
        <v>10</v>
      </c>
      <c r="H534" t="n">
        <v>80</v>
      </c>
      <c r="I534" t="n">
        <v>28</v>
      </c>
      <c r="J534" t="inlineStr">
        <is>
          <t>kaba</t>
        </is>
      </c>
      <c r="K534" t="b">
        <v>1</v>
      </c>
      <c r="M534" t="n">
        <v>34</v>
      </c>
      <c r="N534" t="n">
        <v>32</v>
      </c>
      <c r="O534" t="n">
        <v>14</v>
      </c>
      <c r="P534" t="n">
        <v>968</v>
      </c>
      <c r="Q534" t="n">
        <v>1002</v>
      </c>
      <c r="R534" t="n">
        <v>1.074</v>
      </c>
      <c r="S534" t="n">
        <v>20.284</v>
      </c>
      <c r="T534" t="n">
        <v>18.88</v>
      </c>
      <c r="U534" t="n">
        <v>0.7783</v>
      </c>
      <c r="V534" t="b">
        <v>1</v>
      </c>
      <c r="X534" t="b">
        <v>1</v>
      </c>
      <c r="Z534" t="n">
        <v>935</v>
      </c>
      <c r="AA534" t="n">
        <v>2.5</v>
      </c>
      <c r="AB534" t="n">
        <v>9.5</v>
      </c>
    </row>
    <row r="535">
      <c r="A535" t="inlineStr">
        <is>
          <t>2026-09-24 14:16:39</t>
        </is>
      </c>
      <c r="B535" t="inlineStr">
        <is>
          <t>MLLB_000_y1.0.3</t>
        </is>
      </c>
      <c r="C535" t="inlineStr">
        <is>
          <t>WHITE</t>
        </is>
      </c>
      <c r="D535" t="inlineStr">
        <is>
          <t>v4_white_MLLB_000_y103_0924</t>
        </is>
      </c>
      <c r="E535" t="n">
        <v>3.6</v>
      </c>
      <c r="F535" t="n">
        <v>3.608</v>
      </c>
      <c r="G535" t="n">
        <v>10</v>
      </c>
      <c r="H535" t="n">
        <v>80</v>
      </c>
      <c r="I535" t="n">
        <v>32</v>
      </c>
      <c r="J535" t="inlineStr">
        <is>
          <t>kaba</t>
        </is>
      </c>
      <c r="K535" t="b">
        <v>1</v>
      </c>
      <c r="M535" t="n">
        <v>34</v>
      </c>
      <c r="N535" t="n">
        <v>32</v>
      </c>
      <c r="O535" t="n">
        <v>14</v>
      </c>
      <c r="P535" t="n">
        <v>968</v>
      </c>
      <c r="Q535" t="n">
        <v>1002</v>
      </c>
      <c r="R535" t="n">
        <v>2.473</v>
      </c>
      <c r="S535" t="n">
        <v>46.682</v>
      </c>
      <c r="T535" t="n">
        <v>18.874</v>
      </c>
      <c r="U535" t="n">
        <v>0.7785</v>
      </c>
      <c r="V535" t="b">
        <v>1</v>
      </c>
      <c r="X535" t="b">
        <v>1</v>
      </c>
      <c r="Z535" t="n">
        <v>935</v>
      </c>
      <c r="AA535" t="n">
        <v>2.5</v>
      </c>
      <c r="AB535" t="n">
        <v>9.5</v>
      </c>
    </row>
    <row r="536">
      <c r="A536" t="inlineStr">
        <is>
          <t>2026-09-24 14:16:55</t>
        </is>
      </c>
      <c r="B536" t="inlineStr">
        <is>
          <t>MLLB_000_y1.0.3</t>
        </is>
      </c>
      <c r="C536" t="inlineStr">
        <is>
          <t>WHITE</t>
        </is>
      </c>
      <c r="D536" t="inlineStr">
        <is>
          <t>v4_white_MLLB_000_y103_0924</t>
        </is>
      </c>
      <c r="E536" t="n">
        <v>3.6</v>
      </c>
      <c r="F536" t="n">
        <v>3.608</v>
      </c>
      <c r="G536" t="n">
        <v>10</v>
      </c>
      <c r="H536" t="n">
        <v>80</v>
      </c>
      <c r="I536" t="n">
        <v>36</v>
      </c>
      <c r="J536" t="inlineStr">
        <is>
          <t>kaba</t>
        </is>
      </c>
      <c r="K536" t="b">
        <v>1</v>
      </c>
      <c r="M536" t="n">
        <v>34</v>
      </c>
      <c r="N536" t="n">
        <v>34</v>
      </c>
      <c r="O536" t="n">
        <v>14</v>
      </c>
      <c r="P536" t="n">
        <v>968</v>
      </c>
      <c r="Q536" t="n">
        <v>1002</v>
      </c>
      <c r="R536" t="n">
        <v>6.462</v>
      </c>
      <c r="S536" t="n">
        <v>121.792</v>
      </c>
      <c r="T536" t="n">
        <v>18.848</v>
      </c>
      <c r="U536" t="n">
        <v>0.7782</v>
      </c>
      <c r="V536" t="b">
        <v>1</v>
      </c>
      <c r="X536" t="b">
        <v>0</v>
      </c>
      <c r="Y536" t="inlineStr">
        <is>
          <t>FLAS</t>
        </is>
      </c>
      <c r="Z536" t="n">
        <v>935</v>
      </c>
      <c r="AA536" t="n">
        <v>2.5</v>
      </c>
      <c r="AB536" t="n">
        <v>9.5</v>
      </c>
    </row>
    <row r="537">
      <c r="A537" t="inlineStr">
        <is>
          <t>2026-09-24 14:17:11</t>
        </is>
      </c>
      <c r="B537" t="inlineStr">
        <is>
          <t>MLLB_000_y1.0.3</t>
        </is>
      </c>
      <c r="C537" t="inlineStr">
        <is>
          <t>WHITE</t>
        </is>
      </c>
      <c r="D537" t="inlineStr">
        <is>
          <t>v4_white_MLLB_000_y103_0924</t>
        </is>
      </c>
      <c r="E537" t="n">
        <v>3.6</v>
      </c>
      <c r="F537" t="n">
        <v>3.608</v>
      </c>
      <c r="G537" t="n">
        <v>10</v>
      </c>
      <c r="H537" t="n">
        <v>80</v>
      </c>
      <c r="I537" t="n">
        <v>21</v>
      </c>
      <c r="J537" t="inlineStr">
        <is>
          <t>ince</t>
        </is>
      </c>
      <c r="K537" t="b">
        <v>1</v>
      </c>
      <c r="M537" t="n">
        <v>92</v>
      </c>
      <c r="N537" t="n">
        <v>38</v>
      </c>
      <c r="O537" t="n">
        <v>70</v>
      </c>
      <c r="P537" t="n">
        <v>910</v>
      </c>
      <c r="Q537" t="n">
        <v>1002</v>
      </c>
      <c r="R537" t="n">
        <v>1.076</v>
      </c>
      <c r="S537" t="n">
        <v>20.273</v>
      </c>
      <c r="T537" t="n">
        <v>18.835</v>
      </c>
      <c r="U537" t="n">
        <v>0.7786999999999999</v>
      </c>
      <c r="V537" t="b">
        <v>1</v>
      </c>
      <c r="X537" t="b">
        <v>0</v>
      </c>
      <c r="Y537" t="inlineStr">
        <is>
          <t>ON</t>
        </is>
      </c>
      <c r="Z537" t="n">
        <v>935</v>
      </c>
      <c r="AA537" t="n">
        <v>2.5</v>
      </c>
      <c r="AB537" t="n">
        <v>9.5</v>
      </c>
    </row>
    <row r="538">
      <c r="A538" t="inlineStr">
        <is>
          <t>2026-09-24 14:17:27</t>
        </is>
      </c>
      <c r="B538" t="inlineStr">
        <is>
          <t>MLLB_000_y1.0.3</t>
        </is>
      </c>
      <c r="C538" t="inlineStr">
        <is>
          <t>WHITE</t>
        </is>
      </c>
      <c r="D538" t="inlineStr">
        <is>
          <t>v4_white_MLLB_000_y103_0924</t>
        </is>
      </c>
      <c r="E538" t="n">
        <v>3.6</v>
      </c>
      <c r="F538" t="n">
        <v>3.608</v>
      </c>
      <c r="G538" t="n">
        <v>10</v>
      </c>
      <c r="H538" t="n">
        <v>80</v>
      </c>
      <c r="I538" t="n">
        <v>22</v>
      </c>
      <c r="J538" t="inlineStr">
        <is>
          <t>ince</t>
        </is>
      </c>
      <c r="K538" t="b">
        <v>1</v>
      </c>
      <c r="M538" t="n">
        <v>82</v>
      </c>
      <c r="N538" t="n">
        <v>32</v>
      </c>
      <c r="O538" t="n">
        <v>62</v>
      </c>
      <c r="P538" t="n">
        <v>920</v>
      </c>
      <c r="Q538" t="n">
        <v>1002</v>
      </c>
      <c r="R538" t="n">
        <v>1.075</v>
      </c>
      <c r="S538" t="n">
        <v>20.268</v>
      </c>
      <c r="T538" t="n">
        <v>18.855</v>
      </c>
      <c r="U538" t="n">
        <v>0.7784</v>
      </c>
      <c r="V538" t="b">
        <v>1</v>
      </c>
      <c r="X538" t="b">
        <v>0</v>
      </c>
      <c r="Y538" t="inlineStr">
        <is>
          <t>ON</t>
        </is>
      </c>
      <c r="Z538" t="n">
        <v>935</v>
      </c>
      <c r="AA538" t="n">
        <v>2.5</v>
      </c>
      <c r="AB538" t="n">
        <v>9.5</v>
      </c>
    </row>
    <row r="539">
      <c r="A539" t="inlineStr">
        <is>
          <t>2026-09-24 14:17:43</t>
        </is>
      </c>
      <c r="B539" t="inlineStr">
        <is>
          <t>MLLB_000_y1.0.3</t>
        </is>
      </c>
      <c r="C539" t="inlineStr">
        <is>
          <t>WHITE</t>
        </is>
      </c>
      <c r="D539" t="inlineStr">
        <is>
          <t>v4_white_MLLB_000_y103_0924</t>
        </is>
      </c>
      <c r="E539" t="n">
        <v>3.6</v>
      </c>
      <c r="F539" t="n">
        <v>3.608</v>
      </c>
      <c r="G539" t="n">
        <v>10</v>
      </c>
      <c r="H539" t="n">
        <v>80</v>
      </c>
      <c r="I539" t="n">
        <v>23</v>
      </c>
      <c r="J539" t="inlineStr">
        <is>
          <t>ince</t>
        </is>
      </c>
      <c r="K539" t="b">
        <v>1</v>
      </c>
      <c r="M539" t="n">
        <v>74</v>
      </c>
      <c r="N539" t="n">
        <v>32</v>
      </c>
      <c r="O539" t="n">
        <v>54</v>
      </c>
      <c r="P539" t="n">
        <v>928</v>
      </c>
      <c r="Q539" t="n">
        <v>1002</v>
      </c>
      <c r="R539" t="n">
        <v>1.075</v>
      </c>
      <c r="S539" t="n">
        <v>20.268</v>
      </c>
      <c r="T539" t="n">
        <v>18.858</v>
      </c>
      <c r="U539" t="n">
        <v>0.7786</v>
      </c>
      <c r="V539" t="b">
        <v>1</v>
      </c>
      <c r="X539" t="b">
        <v>0</v>
      </c>
      <c r="Y539" t="inlineStr">
        <is>
          <t>ON</t>
        </is>
      </c>
      <c r="Z539" t="n">
        <v>935</v>
      </c>
      <c r="AA539" t="n">
        <v>2.5</v>
      </c>
      <c r="AB539" t="n">
        <v>9.5</v>
      </c>
    </row>
    <row r="540">
      <c r="A540" t="inlineStr">
        <is>
          <t>2026-09-24 14:17:44</t>
        </is>
      </c>
      <c r="B540" t="inlineStr">
        <is>
          <t>MLLB_000_y1.0.3</t>
        </is>
      </c>
      <c r="C540" t="inlineStr">
        <is>
          <t>WHITE</t>
        </is>
      </c>
      <c r="D540" t="inlineStr">
        <is>
          <t>v4_white_MLLB_000_y103_0924</t>
        </is>
      </c>
      <c r="E540" t="n">
        <v>3.6</v>
      </c>
      <c r="F540" t="n">
        <v>3.608</v>
      </c>
      <c r="G540" t="n">
        <v>10</v>
      </c>
      <c r="H540" t="n">
        <v>80</v>
      </c>
      <c r="I540" t="n">
        <v>25</v>
      </c>
      <c r="J540" t="inlineStr">
        <is>
          <t>ince</t>
        </is>
      </c>
      <c r="K540" t="b">
        <v>0</v>
      </c>
      <c r="L540" t="inlineStr">
        <is>
          <t>iki-OK-arasi-monotonluk</t>
        </is>
      </c>
      <c r="X540" t="b">
        <v>1</v>
      </c>
      <c r="Z540" t="n">
        <v>935</v>
      </c>
      <c r="AA540" t="n">
        <v>2.5</v>
      </c>
      <c r="AB540" t="n">
        <v>9.5</v>
      </c>
    </row>
    <row r="541">
      <c r="A541" t="inlineStr">
        <is>
          <t>2026-09-24 14:17:44</t>
        </is>
      </c>
      <c r="B541" t="inlineStr">
        <is>
          <t>MLLB_000_y1.0.3</t>
        </is>
      </c>
      <c r="C541" t="inlineStr">
        <is>
          <t>WHITE</t>
        </is>
      </c>
      <c r="D541" t="inlineStr">
        <is>
          <t>v4_white_MLLB_000_y103_0924</t>
        </is>
      </c>
      <c r="E541" t="n">
        <v>3.6</v>
      </c>
      <c r="F541" t="n">
        <v>3.608</v>
      </c>
      <c r="G541" t="n">
        <v>10</v>
      </c>
      <c r="H541" t="n">
        <v>80</v>
      </c>
      <c r="I541" t="n">
        <v>26</v>
      </c>
      <c r="J541" t="inlineStr">
        <is>
          <t>ince</t>
        </is>
      </c>
      <c r="K541" t="b">
        <v>0</v>
      </c>
      <c r="L541" t="inlineStr">
        <is>
          <t>iki-OK-arasi-monotonluk</t>
        </is>
      </c>
      <c r="X541" t="b">
        <v>1</v>
      </c>
      <c r="Z541" t="n">
        <v>935</v>
      </c>
      <c r="AA541" t="n">
        <v>2.5</v>
      </c>
      <c r="AB541" t="n">
        <v>9.5</v>
      </c>
    </row>
    <row r="542">
      <c r="A542" t="inlineStr">
        <is>
          <t>2026-09-24 14:17:44</t>
        </is>
      </c>
      <c r="B542" t="inlineStr">
        <is>
          <t>MLLB_000_y1.0.3</t>
        </is>
      </c>
      <c r="C542" t="inlineStr">
        <is>
          <t>WHITE</t>
        </is>
      </c>
      <c r="D542" t="inlineStr">
        <is>
          <t>v4_white_MLLB_000_y103_0924</t>
        </is>
      </c>
      <c r="E542" t="n">
        <v>3.6</v>
      </c>
      <c r="F542" t="n">
        <v>3.608</v>
      </c>
      <c r="G542" t="n">
        <v>10</v>
      </c>
      <c r="H542" t="n">
        <v>80</v>
      </c>
      <c r="I542" t="n">
        <v>27</v>
      </c>
      <c r="J542" t="inlineStr">
        <is>
          <t>ince</t>
        </is>
      </c>
      <c r="K542" t="b">
        <v>0</v>
      </c>
      <c r="L542" t="inlineStr">
        <is>
          <t>iki-OK-arasi-monotonluk</t>
        </is>
      </c>
      <c r="X542" t="b">
        <v>1</v>
      </c>
      <c r="Z542" t="n">
        <v>935</v>
      </c>
      <c r="AA542" t="n">
        <v>2.5</v>
      </c>
      <c r="AB542" t="n">
        <v>9.5</v>
      </c>
    </row>
    <row r="543">
      <c r="A543" t="inlineStr">
        <is>
          <t>2026-09-24 14:17:44</t>
        </is>
      </c>
      <c r="B543" t="inlineStr">
        <is>
          <t>MLLB_000_y1.0.3</t>
        </is>
      </c>
      <c r="C543" t="inlineStr">
        <is>
          <t>WHITE</t>
        </is>
      </c>
      <c r="D543" t="inlineStr">
        <is>
          <t>v4_white_MLLB_000_y103_0924</t>
        </is>
      </c>
      <c r="E543" t="n">
        <v>3.6</v>
      </c>
      <c r="F543" t="n">
        <v>3.608</v>
      </c>
      <c r="G543" t="n">
        <v>10</v>
      </c>
      <c r="H543" t="n">
        <v>80</v>
      </c>
      <c r="I543" t="n">
        <v>29</v>
      </c>
      <c r="J543" t="inlineStr">
        <is>
          <t>ince</t>
        </is>
      </c>
      <c r="K543" t="b">
        <v>0</v>
      </c>
      <c r="L543" t="inlineStr">
        <is>
          <t>iki-OK-arasi-monotonluk</t>
        </is>
      </c>
      <c r="X543" t="b">
        <v>1</v>
      </c>
      <c r="Z543" t="n">
        <v>935</v>
      </c>
      <c r="AA543" t="n">
        <v>2.5</v>
      </c>
      <c r="AB543" t="n">
        <v>9.5</v>
      </c>
    </row>
    <row r="544">
      <c r="A544" t="inlineStr">
        <is>
          <t>2026-09-24 14:17:44</t>
        </is>
      </c>
      <c r="B544" t="inlineStr">
        <is>
          <t>MLLB_000_y1.0.3</t>
        </is>
      </c>
      <c r="C544" t="inlineStr">
        <is>
          <t>WHITE</t>
        </is>
      </c>
      <c r="D544" t="inlineStr">
        <is>
          <t>v4_white_MLLB_000_y103_0924</t>
        </is>
      </c>
      <c r="E544" t="n">
        <v>3.6</v>
      </c>
      <c r="F544" t="n">
        <v>3.608</v>
      </c>
      <c r="G544" t="n">
        <v>10</v>
      </c>
      <c r="H544" t="n">
        <v>80</v>
      </c>
      <c r="I544" t="n">
        <v>30</v>
      </c>
      <c r="J544" t="inlineStr">
        <is>
          <t>ince</t>
        </is>
      </c>
      <c r="K544" t="b">
        <v>0</v>
      </c>
      <c r="L544" t="inlineStr">
        <is>
          <t>iki-OK-arasi-monotonluk</t>
        </is>
      </c>
      <c r="X544" t="b">
        <v>1</v>
      </c>
      <c r="Z544" t="n">
        <v>935</v>
      </c>
      <c r="AA544" t="n">
        <v>2.5</v>
      </c>
      <c r="AB544" t="n">
        <v>9.5</v>
      </c>
    </row>
    <row r="545">
      <c r="A545" t="inlineStr">
        <is>
          <t>2026-09-24 14:17:44</t>
        </is>
      </c>
      <c r="B545" t="inlineStr">
        <is>
          <t>MLLB_000_y1.0.3</t>
        </is>
      </c>
      <c r="C545" t="inlineStr">
        <is>
          <t>WHITE</t>
        </is>
      </c>
      <c r="D545" t="inlineStr">
        <is>
          <t>v4_white_MLLB_000_y103_0924</t>
        </is>
      </c>
      <c r="E545" t="n">
        <v>3.6</v>
      </c>
      <c r="F545" t="n">
        <v>3.608</v>
      </c>
      <c r="G545" t="n">
        <v>10</v>
      </c>
      <c r="H545" t="n">
        <v>80</v>
      </c>
      <c r="I545" t="n">
        <v>31</v>
      </c>
      <c r="J545" t="inlineStr">
        <is>
          <t>ince</t>
        </is>
      </c>
      <c r="K545" t="b">
        <v>0</v>
      </c>
      <c r="L545" t="inlineStr">
        <is>
          <t>iki-OK-arasi-monotonluk</t>
        </is>
      </c>
      <c r="X545" t="b">
        <v>1</v>
      </c>
      <c r="Z545" t="n">
        <v>935</v>
      </c>
      <c r="AA545" t="n">
        <v>2.5</v>
      </c>
      <c r="AB545" t="n">
        <v>9.5</v>
      </c>
    </row>
    <row r="546">
      <c r="A546" t="inlineStr">
        <is>
          <t>2026-09-24 14:17:59</t>
        </is>
      </c>
      <c r="B546" t="inlineStr">
        <is>
          <t>MLLB_000_y1.0.3</t>
        </is>
      </c>
      <c r="C546" t="inlineStr">
        <is>
          <t>WHITE</t>
        </is>
      </c>
      <c r="D546" t="inlineStr">
        <is>
          <t>v4_white_MLLB_000_y103_0924</t>
        </is>
      </c>
      <c r="E546" t="n">
        <v>3.6</v>
      </c>
      <c r="F546" t="n">
        <v>3.608</v>
      </c>
      <c r="G546" t="n">
        <v>10</v>
      </c>
      <c r="H546" t="n">
        <v>80</v>
      </c>
      <c r="I546" t="n">
        <v>33</v>
      </c>
      <c r="J546" t="inlineStr">
        <is>
          <t>ince</t>
        </is>
      </c>
      <c r="K546" t="b">
        <v>1</v>
      </c>
      <c r="M546" t="n">
        <v>36</v>
      </c>
      <c r="N546" t="n">
        <v>34</v>
      </c>
      <c r="O546" t="n">
        <v>16</v>
      </c>
      <c r="P546" t="n">
        <v>968</v>
      </c>
      <c r="Q546" t="n">
        <v>1004</v>
      </c>
      <c r="R546" t="n">
        <v>2.764</v>
      </c>
      <c r="S546" t="n">
        <v>52.183</v>
      </c>
      <c r="T546" t="n">
        <v>18.882</v>
      </c>
      <c r="U546" t="n">
        <v>0.7782</v>
      </c>
      <c r="V546" t="b">
        <v>1</v>
      </c>
      <c r="X546" t="b">
        <v>0</v>
      </c>
      <c r="Y546" t="inlineStr">
        <is>
          <t>FLAS</t>
        </is>
      </c>
      <c r="Z546" t="n">
        <v>935</v>
      </c>
      <c r="AA546" t="n">
        <v>2.5</v>
      </c>
      <c r="AB546" t="n">
        <v>9.5</v>
      </c>
    </row>
    <row r="547">
      <c r="A547" t="inlineStr">
        <is>
          <t>2026-09-24 14:18:15</t>
        </is>
      </c>
      <c r="B547" t="inlineStr">
        <is>
          <t>MLLB_000_y1.0.3</t>
        </is>
      </c>
      <c r="C547" t="inlineStr">
        <is>
          <t>WHITE</t>
        </is>
      </c>
      <c r="D547" t="inlineStr">
        <is>
          <t>v4_white_MLLB_000_y103_0924</t>
        </is>
      </c>
      <c r="E547" t="n">
        <v>3.6</v>
      </c>
      <c r="F547" t="n">
        <v>3.608</v>
      </c>
      <c r="G547" t="n">
        <v>10</v>
      </c>
      <c r="H547" t="n">
        <v>80</v>
      </c>
      <c r="I547" t="n">
        <v>34</v>
      </c>
      <c r="J547" t="inlineStr">
        <is>
          <t>ince</t>
        </is>
      </c>
      <c r="K547" t="b">
        <v>1</v>
      </c>
      <c r="M547" t="n">
        <v>34</v>
      </c>
      <c r="N547" t="n">
        <v>34</v>
      </c>
      <c r="O547" t="n">
        <v>14</v>
      </c>
      <c r="P547" t="n">
        <v>968</v>
      </c>
      <c r="Q547" t="n">
        <v>1002</v>
      </c>
      <c r="R547" t="n">
        <v>4.069</v>
      </c>
      <c r="S547" t="n">
        <v>76.65300000000001</v>
      </c>
      <c r="T547" t="n">
        <v>18.836</v>
      </c>
      <c r="U547" t="n">
        <v>0.7786</v>
      </c>
      <c r="V547" t="b">
        <v>1</v>
      </c>
      <c r="X547" t="b">
        <v>0</v>
      </c>
      <c r="Y547" t="inlineStr">
        <is>
          <t>FLAS</t>
        </is>
      </c>
      <c r="Z547" t="n">
        <v>935</v>
      </c>
      <c r="AA547" t="n">
        <v>2.5</v>
      </c>
      <c r="AB547" t="n">
        <v>9.5</v>
      </c>
    </row>
    <row r="548">
      <c r="A548" t="inlineStr">
        <is>
          <t>2026-09-24 14:18:28</t>
        </is>
      </c>
      <c r="B548" t="inlineStr">
        <is>
          <t>MLLB_000_y1.0.3</t>
        </is>
      </c>
      <c r="C548" t="inlineStr">
        <is>
          <t>WHITE</t>
        </is>
      </c>
      <c r="D548" t="inlineStr">
        <is>
          <t>v4_white_MLLB_000_y103_0924</t>
        </is>
      </c>
      <c r="E548" t="n">
        <v>3.6</v>
      </c>
      <c r="F548" t="n">
        <v>3.608</v>
      </c>
      <c r="G548" t="n">
        <v>10</v>
      </c>
      <c r="H548" t="n">
        <v>80</v>
      </c>
      <c r="I548" t="n">
        <v>35</v>
      </c>
      <c r="J548" t="inlineStr">
        <is>
          <t>ince</t>
        </is>
      </c>
      <c r="K548" t="b">
        <v>1</v>
      </c>
      <c r="M548" t="n">
        <v>34</v>
      </c>
      <c r="N548" t="n">
        <v>32</v>
      </c>
      <c r="O548" t="n">
        <v>14</v>
      </c>
      <c r="P548" t="n">
        <v>968</v>
      </c>
      <c r="Q548" t="n">
        <v>1002</v>
      </c>
      <c r="R548" t="n">
        <v>5.064</v>
      </c>
      <c r="S548" t="n">
        <v>95.419</v>
      </c>
      <c r="T548" t="n">
        <v>18.843</v>
      </c>
      <c r="U548" t="n">
        <v>0.7779</v>
      </c>
      <c r="V548" t="b">
        <v>1</v>
      </c>
      <c r="X548" t="b">
        <v>0</v>
      </c>
      <c r="Y548" t="inlineStr">
        <is>
          <t>FLAS</t>
        </is>
      </c>
      <c r="Z548" t="n">
        <v>935</v>
      </c>
      <c r="AA548" t="n">
        <v>2.5</v>
      </c>
      <c r="AB548" t="n">
        <v>9.5</v>
      </c>
    </row>
    <row r="549">
      <c r="A549" t="inlineStr">
        <is>
          <t>2026-09-24 14:18:28</t>
        </is>
      </c>
      <c r="B549" t="inlineStr">
        <is>
          <t>MLLB_000_y1.0.3</t>
        </is>
      </c>
      <c r="C549" t="inlineStr">
        <is>
          <t>WHITE</t>
        </is>
      </c>
      <c r="D549" t="inlineStr">
        <is>
          <t>v4_white_MLLB_000_y103_0924</t>
        </is>
      </c>
      <c r="E549" t="n">
        <v>3.6</v>
      </c>
      <c r="F549" t="n">
        <v>3.608</v>
      </c>
      <c r="G549" t="n">
        <v>10</v>
      </c>
      <c r="H549" t="n">
        <v>80</v>
      </c>
      <c r="J549" t="inlineStr">
        <is>
          <t>bitti</t>
        </is>
      </c>
      <c r="K549" t="b">
        <v>0</v>
      </c>
      <c r="Z549" t="n">
        <v>935</v>
      </c>
      <c r="AA549" t="n">
        <v>2.5</v>
      </c>
      <c r="AB549" t="n">
        <v>9.5</v>
      </c>
    </row>
    <row r="550">
      <c r="A550" t="inlineStr">
        <is>
          <t>2026-09-24 14:18:43</t>
        </is>
      </c>
      <c r="B550" t="inlineStr">
        <is>
          <t>MLLB_000_y1.0.3</t>
        </is>
      </c>
      <c r="C550" t="inlineStr">
        <is>
          <t>WHITE</t>
        </is>
      </c>
      <c r="D550" t="inlineStr">
        <is>
          <t>v4_white_MLLB_000_y103_0924</t>
        </is>
      </c>
      <c r="E550" t="n">
        <v>3.6</v>
      </c>
      <c r="F550" t="n">
        <v>3.608</v>
      </c>
      <c r="G550" t="n">
        <v>10</v>
      </c>
      <c r="H550" t="n">
        <v>60</v>
      </c>
      <c r="I550" t="n">
        <v>12</v>
      </c>
      <c r="J550" t="inlineStr">
        <is>
          <t>kaba</t>
        </is>
      </c>
      <c r="K550" t="b">
        <v>1</v>
      </c>
      <c r="M550" t="n">
        <v>192</v>
      </c>
      <c r="N550" t="n">
        <v>32</v>
      </c>
      <c r="O550" t="n">
        <v>170</v>
      </c>
      <c r="P550" t="n">
        <v>810</v>
      </c>
      <c r="Q550" t="n">
        <v>1002</v>
      </c>
      <c r="R550" t="n">
        <v>1.083</v>
      </c>
      <c r="S550" t="n">
        <v>20.272</v>
      </c>
      <c r="T550" t="n">
        <v>18.725</v>
      </c>
      <c r="U550" t="n">
        <v>0.7784</v>
      </c>
      <c r="V550" t="b">
        <v>1</v>
      </c>
      <c r="X550" t="b">
        <v>0</v>
      </c>
      <c r="Y550" t="inlineStr">
        <is>
          <t>ON</t>
        </is>
      </c>
      <c r="Z550" t="n">
        <v>935</v>
      </c>
      <c r="AA550" t="n">
        <v>2.5</v>
      </c>
      <c r="AB550" t="n">
        <v>9.5</v>
      </c>
    </row>
    <row r="551">
      <c r="A551" t="inlineStr">
        <is>
          <t>2026-09-24 14:18:59</t>
        </is>
      </c>
      <c r="B551" t="inlineStr">
        <is>
          <t>MLLB_000_y1.0.3</t>
        </is>
      </c>
      <c r="C551" t="inlineStr">
        <is>
          <t>WHITE</t>
        </is>
      </c>
      <c r="D551" t="inlineStr">
        <is>
          <t>v4_white_MLLB_000_y103_0924</t>
        </is>
      </c>
      <c r="E551" t="n">
        <v>3.6</v>
      </c>
      <c r="F551" t="n">
        <v>3.608</v>
      </c>
      <c r="G551" t="n">
        <v>10</v>
      </c>
      <c r="H551" t="n">
        <v>60</v>
      </c>
      <c r="I551" t="n">
        <v>16</v>
      </c>
      <c r="J551" t="inlineStr">
        <is>
          <t>kaba</t>
        </is>
      </c>
      <c r="K551" t="b">
        <v>1</v>
      </c>
      <c r="M551" t="n">
        <v>168</v>
      </c>
      <c r="N551" t="n">
        <v>38</v>
      </c>
      <c r="O551" t="n">
        <v>146</v>
      </c>
      <c r="P551" t="n">
        <v>834</v>
      </c>
      <c r="Q551" t="n">
        <v>1002</v>
      </c>
      <c r="R551" t="n">
        <v>1.079</v>
      </c>
      <c r="S551" t="n">
        <v>20.235</v>
      </c>
      <c r="T551" t="n">
        <v>18.747</v>
      </c>
      <c r="U551" t="n">
        <v>0.7781</v>
      </c>
      <c r="V551" t="b">
        <v>1</v>
      </c>
      <c r="X551" t="b">
        <v>0</v>
      </c>
      <c r="Y551" t="inlineStr">
        <is>
          <t>ON</t>
        </is>
      </c>
      <c r="Z551" t="n">
        <v>935</v>
      </c>
      <c r="AA551" t="n">
        <v>2.5</v>
      </c>
      <c r="AB551" t="n">
        <v>9.5</v>
      </c>
    </row>
    <row r="552">
      <c r="A552" t="inlineStr">
        <is>
          <t>2026-09-24 14:19:15</t>
        </is>
      </c>
      <c r="B552" t="inlineStr">
        <is>
          <t>MLLB_000_y1.0.3</t>
        </is>
      </c>
      <c r="C552" t="inlineStr">
        <is>
          <t>WHITE</t>
        </is>
      </c>
      <c r="D552" t="inlineStr">
        <is>
          <t>v4_white_MLLB_000_y103_0924</t>
        </is>
      </c>
      <c r="E552" t="n">
        <v>3.6</v>
      </c>
      <c r="F552" t="n">
        <v>3.608</v>
      </c>
      <c r="G552" t="n">
        <v>10</v>
      </c>
      <c r="H552" t="n">
        <v>60</v>
      </c>
      <c r="I552" t="n">
        <v>20</v>
      </c>
      <c r="J552" t="inlineStr">
        <is>
          <t>kaba</t>
        </is>
      </c>
      <c r="K552" t="b">
        <v>1</v>
      </c>
      <c r="M552" t="n">
        <v>144</v>
      </c>
      <c r="N552" t="n">
        <v>32</v>
      </c>
      <c r="O552" t="n">
        <v>122</v>
      </c>
      <c r="P552" t="n">
        <v>858</v>
      </c>
      <c r="Q552" t="n">
        <v>1002</v>
      </c>
      <c r="R552" t="n">
        <v>1.079</v>
      </c>
      <c r="S552" t="n">
        <v>20.268</v>
      </c>
      <c r="T552" t="n">
        <v>18.792</v>
      </c>
      <c r="U552" t="n">
        <v>0.7783</v>
      </c>
      <c r="V552" t="b">
        <v>1</v>
      </c>
      <c r="X552" t="b">
        <v>0</v>
      </c>
      <c r="Y552" t="inlineStr">
        <is>
          <t>ON</t>
        </is>
      </c>
      <c r="Z552" t="n">
        <v>935</v>
      </c>
      <c r="AA552" t="n">
        <v>2.5</v>
      </c>
      <c r="AB552" t="n">
        <v>9.5</v>
      </c>
    </row>
    <row r="553">
      <c r="A553" t="inlineStr">
        <is>
          <t>2026-09-24 14:19:31</t>
        </is>
      </c>
      <c r="B553" t="inlineStr">
        <is>
          <t>MLLB_000_y1.0.3</t>
        </is>
      </c>
      <c r="C553" t="inlineStr">
        <is>
          <t>WHITE</t>
        </is>
      </c>
      <c r="D553" t="inlineStr">
        <is>
          <t>v4_white_MLLB_000_y103_0924</t>
        </is>
      </c>
      <c r="E553" t="n">
        <v>3.6</v>
      </c>
      <c r="F553" t="n">
        <v>3.608</v>
      </c>
      <c r="G553" t="n">
        <v>10</v>
      </c>
      <c r="H553" t="n">
        <v>60</v>
      </c>
      <c r="I553" t="n">
        <v>24</v>
      </c>
      <c r="J553" t="inlineStr">
        <is>
          <t>kaba</t>
        </is>
      </c>
      <c r="K553" t="b">
        <v>1</v>
      </c>
      <c r="M553" t="n">
        <v>120</v>
      </c>
      <c r="N553" t="n">
        <v>38</v>
      </c>
      <c r="O553" t="n">
        <v>98</v>
      </c>
      <c r="P553" t="n">
        <v>882</v>
      </c>
      <c r="Q553" t="n">
        <v>1002</v>
      </c>
      <c r="R553" t="n">
        <v>1.077</v>
      </c>
      <c r="S553" t="n">
        <v>20.268</v>
      </c>
      <c r="T553" t="n">
        <v>18.826</v>
      </c>
      <c r="U553" t="n">
        <v>0.7786</v>
      </c>
      <c r="V553" t="b">
        <v>1</v>
      </c>
      <c r="X553" t="b">
        <v>0</v>
      </c>
      <c r="Y553" t="inlineStr">
        <is>
          <t>ON</t>
        </is>
      </c>
      <c r="Z553" t="n">
        <v>935</v>
      </c>
      <c r="AA553" t="n">
        <v>2.5</v>
      </c>
      <c r="AB553" t="n">
        <v>9.5</v>
      </c>
    </row>
    <row r="554">
      <c r="A554" t="inlineStr">
        <is>
          <t>2026-09-24 14:19:47</t>
        </is>
      </c>
      <c r="B554" t="inlineStr">
        <is>
          <t>MLLB_000_y1.0.3</t>
        </is>
      </c>
      <c r="C554" t="inlineStr">
        <is>
          <t>WHITE</t>
        </is>
      </c>
      <c r="D554" t="inlineStr">
        <is>
          <t>v4_white_MLLB_000_y103_0924</t>
        </is>
      </c>
      <c r="E554" t="n">
        <v>3.6</v>
      </c>
      <c r="F554" t="n">
        <v>3.608</v>
      </c>
      <c r="G554" t="n">
        <v>10</v>
      </c>
      <c r="H554" t="n">
        <v>60</v>
      </c>
      <c r="I554" t="n">
        <v>28</v>
      </c>
      <c r="J554" t="inlineStr">
        <is>
          <t>kaba</t>
        </is>
      </c>
      <c r="K554" t="b">
        <v>1</v>
      </c>
      <c r="M554" t="n">
        <v>94</v>
      </c>
      <c r="N554" t="n">
        <v>32</v>
      </c>
      <c r="O554" t="n">
        <v>74</v>
      </c>
      <c r="P554" t="n">
        <v>908</v>
      </c>
      <c r="Q554" t="n">
        <v>1002</v>
      </c>
      <c r="R554" t="n">
        <v>1.076</v>
      </c>
      <c r="S554" t="n">
        <v>20.268</v>
      </c>
      <c r="T554" t="n">
        <v>18.832</v>
      </c>
      <c r="U554" t="n">
        <v>0.7782</v>
      </c>
      <c r="V554" t="b">
        <v>1</v>
      </c>
      <c r="X554" t="b">
        <v>0</v>
      </c>
      <c r="Y554" t="inlineStr">
        <is>
          <t>ON</t>
        </is>
      </c>
      <c r="Z554" t="n">
        <v>935</v>
      </c>
      <c r="AA554" t="n">
        <v>2.5</v>
      </c>
      <c r="AB554" t="n">
        <v>9.5</v>
      </c>
    </row>
    <row r="555">
      <c r="A555" t="inlineStr">
        <is>
          <t>2026-09-24 14:20:03</t>
        </is>
      </c>
      <c r="B555" t="inlineStr">
        <is>
          <t>MLLB_000_y1.0.3</t>
        </is>
      </c>
      <c r="C555" t="inlineStr">
        <is>
          <t>WHITE</t>
        </is>
      </c>
      <c r="D555" t="inlineStr">
        <is>
          <t>v4_white_MLLB_000_y103_0924</t>
        </is>
      </c>
      <c r="E555" t="n">
        <v>3.6</v>
      </c>
      <c r="F555" t="n">
        <v>3.608</v>
      </c>
      <c r="G555" t="n">
        <v>10</v>
      </c>
      <c r="H555" t="n">
        <v>60</v>
      </c>
      <c r="I555" t="n">
        <v>32</v>
      </c>
      <c r="J555" t="inlineStr">
        <is>
          <t>kaba</t>
        </is>
      </c>
      <c r="K555" t="b">
        <v>1</v>
      </c>
      <c r="M555" t="n">
        <v>70</v>
      </c>
      <c r="N555" t="n">
        <v>34</v>
      </c>
      <c r="O555" t="n">
        <v>48</v>
      </c>
      <c r="P555" t="n">
        <v>932</v>
      </c>
      <c r="Q555" t="n">
        <v>1002</v>
      </c>
      <c r="R555" t="n">
        <v>1.074</v>
      </c>
      <c r="S555" t="n">
        <v>20.257</v>
      </c>
      <c r="T555" t="n">
        <v>18.857</v>
      </c>
      <c r="U555" t="n">
        <v>0.7786</v>
      </c>
      <c r="V555" t="b">
        <v>1</v>
      </c>
      <c r="X555" t="b">
        <v>0</v>
      </c>
      <c r="Y555" t="inlineStr">
        <is>
          <t>ON</t>
        </is>
      </c>
      <c r="Z555" t="n">
        <v>935</v>
      </c>
      <c r="AA555" t="n">
        <v>2.5</v>
      </c>
      <c r="AB555" t="n">
        <v>9.5</v>
      </c>
    </row>
    <row r="556">
      <c r="A556" t="inlineStr">
        <is>
          <t>2026-09-24 14:20:19</t>
        </is>
      </c>
      <c r="B556" t="inlineStr">
        <is>
          <t>MLLB_000_y1.0.3</t>
        </is>
      </c>
      <c r="C556" t="inlineStr">
        <is>
          <t>WHITE</t>
        </is>
      </c>
      <c r="D556" t="inlineStr">
        <is>
          <t>v4_white_MLLB_000_y103_0924</t>
        </is>
      </c>
      <c r="E556" t="n">
        <v>3.6</v>
      </c>
      <c r="F556" t="n">
        <v>3.608</v>
      </c>
      <c r="G556" t="n">
        <v>10</v>
      </c>
      <c r="H556" t="n">
        <v>60</v>
      </c>
      <c r="I556" t="n">
        <v>36</v>
      </c>
      <c r="J556" t="inlineStr">
        <is>
          <t>kaba</t>
        </is>
      </c>
      <c r="K556" t="b">
        <v>1</v>
      </c>
      <c r="M556" t="n">
        <v>46</v>
      </c>
      <c r="N556" t="n">
        <v>34</v>
      </c>
      <c r="O556" t="n">
        <v>26</v>
      </c>
      <c r="P556" t="n">
        <v>956</v>
      </c>
      <c r="Q556" t="n">
        <v>1002</v>
      </c>
      <c r="R556" t="n">
        <v>1.074</v>
      </c>
      <c r="S556" t="n">
        <v>20.268</v>
      </c>
      <c r="T556" t="n">
        <v>18.869</v>
      </c>
      <c r="U556" t="n">
        <v>0.7782</v>
      </c>
      <c r="V556" t="b">
        <v>1</v>
      </c>
      <c r="X556" t="b">
        <v>1</v>
      </c>
      <c r="Z556" t="n">
        <v>935</v>
      </c>
      <c r="AA556" t="n">
        <v>2.5</v>
      </c>
      <c r="AB556" t="n">
        <v>9.5</v>
      </c>
    </row>
    <row r="557">
      <c r="A557" t="inlineStr">
        <is>
          <t>2026-09-24 14:20:35</t>
        </is>
      </c>
      <c r="B557" t="inlineStr">
        <is>
          <t>MLLB_000_y1.0.3</t>
        </is>
      </c>
      <c r="C557" t="inlineStr">
        <is>
          <t>WHITE</t>
        </is>
      </c>
      <c r="D557" t="inlineStr">
        <is>
          <t>v4_white_MLLB_000_y103_0924</t>
        </is>
      </c>
      <c r="E557" t="n">
        <v>3.6</v>
      </c>
      <c r="F557" t="n">
        <v>3.608</v>
      </c>
      <c r="G557" t="n">
        <v>10</v>
      </c>
      <c r="H557" t="n">
        <v>60</v>
      </c>
      <c r="I557" t="n">
        <v>40</v>
      </c>
      <c r="J557" t="inlineStr">
        <is>
          <t>kaba</t>
        </is>
      </c>
      <c r="K557" t="b">
        <v>1</v>
      </c>
      <c r="M557" t="n">
        <v>44</v>
      </c>
      <c r="N557" t="n">
        <v>28</v>
      </c>
      <c r="O557" t="n">
        <v>26</v>
      </c>
      <c r="P557" t="n">
        <v>958</v>
      </c>
      <c r="Q557" t="n">
        <v>1002</v>
      </c>
      <c r="R557" t="n">
        <v>1.649</v>
      </c>
      <c r="S557" t="n">
        <v>31.113</v>
      </c>
      <c r="T557" t="n">
        <v>18.87</v>
      </c>
      <c r="U557" t="n">
        <v>0.7783</v>
      </c>
      <c r="V557" t="b">
        <v>1</v>
      </c>
      <c r="X557" t="b">
        <v>1</v>
      </c>
      <c r="Z557" t="n">
        <v>935</v>
      </c>
      <c r="AA557" t="n">
        <v>2.5</v>
      </c>
      <c r="AB557" t="n">
        <v>9.5</v>
      </c>
    </row>
    <row r="558">
      <c r="A558" t="inlineStr">
        <is>
          <t>2026-09-24 14:20:51</t>
        </is>
      </c>
      <c r="B558" t="inlineStr">
        <is>
          <t>MLLB_000_y1.0.3</t>
        </is>
      </c>
      <c r="C558" t="inlineStr">
        <is>
          <t>WHITE</t>
        </is>
      </c>
      <c r="D558" t="inlineStr">
        <is>
          <t>v4_white_MLLB_000_y103_0924</t>
        </is>
      </c>
      <c r="E558" t="n">
        <v>3.6</v>
      </c>
      <c r="F558" t="n">
        <v>3.608</v>
      </c>
      <c r="G558" t="n">
        <v>10</v>
      </c>
      <c r="H558" t="n">
        <v>60</v>
      </c>
      <c r="I558" t="n">
        <v>44</v>
      </c>
      <c r="J558" t="inlineStr">
        <is>
          <t>kaba</t>
        </is>
      </c>
      <c r="K558" t="b">
        <v>1</v>
      </c>
      <c r="M558" t="n">
        <v>44</v>
      </c>
      <c r="N558" t="n">
        <v>28</v>
      </c>
      <c r="O558" t="n">
        <v>26</v>
      </c>
      <c r="P558" t="n">
        <v>958</v>
      </c>
      <c r="Q558" t="n">
        <v>1002</v>
      </c>
      <c r="R558" t="n">
        <v>2.753</v>
      </c>
      <c r="S558" t="n">
        <v>51.908</v>
      </c>
      <c r="T558" t="n">
        <v>18.855</v>
      </c>
      <c r="U558" t="n">
        <v>0.7786</v>
      </c>
      <c r="V558" t="b">
        <v>1</v>
      </c>
      <c r="X558" t="b">
        <v>0</v>
      </c>
      <c r="Y558" t="inlineStr">
        <is>
          <t>FLAS</t>
        </is>
      </c>
      <c r="Z558" t="n">
        <v>935</v>
      </c>
      <c r="AA558" t="n">
        <v>2.5</v>
      </c>
      <c r="AB558" t="n">
        <v>9.5</v>
      </c>
    </row>
    <row r="559">
      <c r="A559" t="inlineStr">
        <is>
          <t>2026-09-24 14:21:07</t>
        </is>
      </c>
      <c r="B559" t="inlineStr">
        <is>
          <t>MLLB_000_y1.0.3</t>
        </is>
      </c>
      <c r="C559" t="inlineStr">
        <is>
          <t>WHITE</t>
        </is>
      </c>
      <c r="D559" t="inlineStr">
        <is>
          <t>v4_white_MLLB_000_y103_0924</t>
        </is>
      </c>
      <c r="E559" t="n">
        <v>3.6</v>
      </c>
      <c r="F559" t="n">
        <v>3.608</v>
      </c>
      <c r="G559" t="n">
        <v>10</v>
      </c>
      <c r="H559" t="n">
        <v>60</v>
      </c>
      <c r="I559" t="n">
        <v>48</v>
      </c>
      <c r="J559" t="inlineStr">
        <is>
          <t>kaba</t>
        </is>
      </c>
      <c r="K559" t="b">
        <v>1</v>
      </c>
      <c r="M559" t="n">
        <v>46</v>
      </c>
      <c r="N559" t="n">
        <v>28</v>
      </c>
      <c r="O559" t="n">
        <v>26</v>
      </c>
      <c r="P559" t="n">
        <v>956</v>
      </c>
      <c r="Q559" t="n">
        <v>1002</v>
      </c>
      <c r="R559" t="n">
        <v>5.494</v>
      </c>
      <c r="S559" t="n">
        <v>103.695</v>
      </c>
      <c r="T559" t="n">
        <v>18.874</v>
      </c>
      <c r="U559" t="n">
        <v>0.7779</v>
      </c>
      <c r="V559" t="b">
        <v>1</v>
      </c>
      <c r="X559" t="b">
        <v>0</v>
      </c>
      <c r="Y559" t="inlineStr">
        <is>
          <t>FLAS</t>
        </is>
      </c>
      <c r="Z559" t="n">
        <v>935</v>
      </c>
      <c r="AA559" t="n">
        <v>2.5</v>
      </c>
      <c r="AB559" t="n">
        <v>9.5</v>
      </c>
    </row>
    <row r="560">
      <c r="A560" t="inlineStr">
        <is>
          <t>2026-09-24 14:21:23</t>
        </is>
      </c>
      <c r="B560" t="inlineStr">
        <is>
          <t>MLLB_000_y1.0.3</t>
        </is>
      </c>
      <c r="C560" t="inlineStr">
        <is>
          <t>WHITE</t>
        </is>
      </c>
      <c r="D560" t="inlineStr">
        <is>
          <t>v4_white_MLLB_000_y103_0924</t>
        </is>
      </c>
      <c r="E560" t="n">
        <v>3.6</v>
      </c>
      <c r="F560" t="n">
        <v>3.608</v>
      </c>
      <c r="G560" t="n">
        <v>10</v>
      </c>
      <c r="H560" t="n">
        <v>60</v>
      </c>
      <c r="I560" t="n">
        <v>33</v>
      </c>
      <c r="J560" t="inlineStr">
        <is>
          <t>ince</t>
        </is>
      </c>
      <c r="K560" t="b">
        <v>1</v>
      </c>
      <c r="M560" t="n">
        <v>64</v>
      </c>
      <c r="N560" t="n">
        <v>38</v>
      </c>
      <c r="O560" t="n">
        <v>42</v>
      </c>
      <c r="P560" t="n">
        <v>938</v>
      </c>
      <c r="Q560" t="n">
        <v>1002</v>
      </c>
      <c r="R560" t="n">
        <v>1.074</v>
      </c>
      <c r="S560" t="n">
        <v>20.268</v>
      </c>
      <c r="T560" t="n">
        <v>18.879</v>
      </c>
      <c r="U560" t="n">
        <v>0.7783</v>
      </c>
      <c r="V560" t="b">
        <v>1</v>
      </c>
      <c r="X560" t="b">
        <v>1</v>
      </c>
      <c r="Z560" t="n">
        <v>935</v>
      </c>
      <c r="AA560" t="n">
        <v>2.5</v>
      </c>
      <c r="AB560" t="n">
        <v>9.5</v>
      </c>
    </row>
    <row r="561">
      <c r="A561" t="inlineStr">
        <is>
          <t>2026-09-24 14:21:39</t>
        </is>
      </c>
      <c r="B561" t="inlineStr">
        <is>
          <t>MLLB_000_y1.0.3</t>
        </is>
      </c>
      <c r="C561" t="inlineStr">
        <is>
          <t>WHITE</t>
        </is>
      </c>
      <c r="D561" t="inlineStr">
        <is>
          <t>v4_white_MLLB_000_y103_0924</t>
        </is>
      </c>
      <c r="E561" t="n">
        <v>3.6</v>
      </c>
      <c r="F561" t="n">
        <v>3.608</v>
      </c>
      <c r="G561" t="n">
        <v>10</v>
      </c>
      <c r="H561" t="n">
        <v>60</v>
      </c>
      <c r="I561" t="n">
        <v>34</v>
      </c>
      <c r="J561" t="inlineStr">
        <is>
          <t>ince</t>
        </is>
      </c>
      <c r="K561" t="b">
        <v>1</v>
      </c>
      <c r="M561" t="n">
        <v>58</v>
      </c>
      <c r="N561" t="n">
        <v>34</v>
      </c>
      <c r="O561" t="n">
        <v>36</v>
      </c>
      <c r="P561" t="n">
        <v>944</v>
      </c>
      <c r="Q561" t="n">
        <v>1002</v>
      </c>
      <c r="R561" t="n">
        <v>1.074</v>
      </c>
      <c r="S561" t="n">
        <v>20.276</v>
      </c>
      <c r="T561" t="n">
        <v>18.876</v>
      </c>
      <c r="U561" t="n">
        <v>0.7783</v>
      </c>
      <c r="V561" t="b">
        <v>1</v>
      </c>
      <c r="X561" t="b">
        <v>1</v>
      </c>
      <c r="Z561" t="n">
        <v>935</v>
      </c>
      <c r="AA561" t="n">
        <v>2.5</v>
      </c>
      <c r="AB561" t="n">
        <v>9.5</v>
      </c>
    </row>
    <row r="562">
      <c r="A562" t="inlineStr">
        <is>
          <t>2026-09-24 14:21:55</t>
        </is>
      </c>
      <c r="B562" t="inlineStr">
        <is>
          <t>MLLB_000_y1.0.3</t>
        </is>
      </c>
      <c r="C562" t="inlineStr">
        <is>
          <t>WHITE</t>
        </is>
      </c>
      <c r="D562" t="inlineStr">
        <is>
          <t>v4_white_MLLB_000_y103_0924</t>
        </is>
      </c>
      <c r="E562" t="n">
        <v>3.6</v>
      </c>
      <c r="F562" t="n">
        <v>3.608</v>
      </c>
      <c r="G562" t="n">
        <v>10</v>
      </c>
      <c r="H562" t="n">
        <v>60</v>
      </c>
      <c r="I562" t="n">
        <v>35</v>
      </c>
      <c r="J562" t="inlineStr">
        <is>
          <t>ince</t>
        </is>
      </c>
      <c r="K562" t="b">
        <v>1</v>
      </c>
      <c r="M562" t="n">
        <v>50</v>
      </c>
      <c r="N562" t="n">
        <v>32</v>
      </c>
      <c r="O562" t="n">
        <v>30</v>
      </c>
      <c r="P562" t="n">
        <v>952</v>
      </c>
      <c r="Q562" t="n">
        <v>1002</v>
      </c>
      <c r="R562" t="n">
        <v>1.073</v>
      </c>
      <c r="S562" t="n">
        <v>20.268</v>
      </c>
      <c r="T562" t="n">
        <v>18.887</v>
      </c>
      <c r="U562" t="n">
        <v>0.7781</v>
      </c>
      <c r="V562" t="b">
        <v>1</v>
      </c>
      <c r="X562" t="b">
        <v>1</v>
      </c>
      <c r="Z562" t="n">
        <v>935</v>
      </c>
      <c r="AA562" t="n">
        <v>2.5</v>
      </c>
      <c r="AB562" t="n">
        <v>9.5</v>
      </c>
    </row>
    <row r="563">
      <c r="A563" t="inlineStr">
        <is>
          <t>2026-09-24 14:21:56</t>
        </is>
      </c>
      <c r="B563" t="inlineStr">
        <is>
          <t>MLLB_000_y1.0.3</t>
        </is>
      </c>
      <c r="C563" t="inlineStr">
        <is>
          <t>WHITE</t>
        </is>
      </c>
      <c r="D563" t="inlineStr">
        <is>
          <t>v4_white_MLLB_000_y103_0924</t>
        </is>
      </c>
      <c r="E563" t="n">
        <v>3.6</v>
      </c>
      <c r="F563" t="n">
        <v>3.608</v>
      </c>
      <c r="G563" t="n">
        <v>10</v>
      </c>
      <c r="H563" t="n">
        <v>60</v>
      </c>
      <c r="I563" t="n">
        <v>37</v>
      </c>
      <c r="J563" t="inlineStr">
        <is>
          <t>ince</t>
        </is>
      </c>
      <c r="K563" t="b">
        <v>0</v>
      </c>
      <c r="L563" t="inlineStr">
        <is>
          <t>iki-OK-arasi-monotonluk</t>
        </is>
      </c>
      <c r="X563" t="b">
        <v>1</v>
      </c>
      <c r="Z563" t="n">
        <v>935</v>
      </c>
      <c r="AA563" t="n">
        <v>2.5</v>
      </c>
      <c r="AB563" t="n">
        <v>9.5</v>
      </c>
    </row>
    <row r="564">
      <c r="A564" t="inlineStr">
        <is>
          <t>2026-09-24 14:21:56</t>
        </is>
      </c>
      <c r="B564" t="inlineStr">
        <is>
          <t>MLLB_000_y1.0.3</t>
        </is>
      </c>
      <c r="C564" t="inlineStr">
        <is>
          <t>WHITE</t>
        </is>
      </c>
      <c r="D564" t="inlineStr">
        <is>
          <t>v4_white_MLLB_000_y103_0924</t>
        </is>
      </c>
      <c r="E564" t="n">
        <v>3.6</v>
      </c>
      <c r="F564" t="n">
        <v>3.608</v>
      </c>
      <c r="G564" t="n">
        <v>10</v>
      </c>
      <c r="H564" t="n">
        <v>60</v>
      </c>
      <c r="I564" t="n">
        <v>38</v>
      </c>
      <c r="J564" t="inlineStr">
        <is>
          <t>ince</t>
        </is>
      </c>
      <c r="K564" t="b">
        <v>0</v>
      </c>
      <c r="L564" t="inlineStr">
        <is>
          <t>iki-OK-arasi-monotonluk</t>
        </is>
      </c>
      <c r="X564" t="b">
        <v>1</v>
      </c>
      <c r="Z564" t="n">
        <v>935</v>
      </c>
      <c r="AA564" t="n">
        <v>2.5</v>
      </c>
      <c r="AB564" t="n">
        <v>9.5</v>
      </c>
    </row>
    <row r="565">
      <c r="A565" t="inlineStr">
        <is>
          <t>2026-09-24 14:21:56</t>
        </is>
      </c>
      <c r="B565" t="inlineStr">
        <is>
          <t>MLLB_000_y1.0.3</t>
        </is>
      </c>
      <c r="C565" t="inlineStr">
        <is>
          <t>WHITE</t>
        </is>
      </c>
      <c r="D565" t="inlineStr">
        <is>
          <t>v4_white_MLLB_000_y103_0924</t>
        </is>
      </c>
      <c r="E565" t="n">
        <v>3.6</v>
      </c>
      <c r="F565" t="n">
        <v>3.608</v>
      </c>
      <c r="G565" t="n">
        <v>10</v>
      </c>
      <c r="H565" t="n">
        <v>60</v>
      </c>
      <c r="I565" t="n">
        <v>39</v>
      </c>
      <c r="J565" t="inlineStr">
        <is>
          <t>ince</t>
        </is>
      </c>
      <c r="K565" t="b">
        <v>0</v>
      </c>
      <c r="L565" t="inlineStr">
        <is>
          <t>iki-OK-arasi-monotonluk</t>
        </is>
      </c>
      <c r="X565" t="b">
        <v>1</v>
      </c>
      <c r="Z565" t="n">
        <v>935</v>
      </c>
      <c r="AA565" t="n">
        <v>2.5</v>
      </c>
      <c r="AB565" t="n">
        <v>9.5</v>
      </c>
    </row>
    <row r="566">
      <c r="A566" t="inlineStr">
        <is>
          <t>2026-09-24 14:22:11</t>
        </is>
      </c>
      <c r="B566" t="inlineStr">
        <is>
          <t>MLLB_000_y1.0.3</t>
        </is>
      </c>
      <c r="C566" t="inlineStr">
        <is>
          <t>WHITE</t>
        </is>
      </c>
      <c r="D566" t="inlineStr">
        <is>
          <t>v4_white_MLLB_000_y103_0924</t>
        </is>
      </c>
      <c r="E566" t="n">
        <v>3.6</v>
      </c>
      <c r="F566" t="n">
        <v>3.608</v>
      </c>
      <c r="G566" t="n">
        <v>10</v>
      </c>
      <c r="H566" t="n">
        <v>60</v>
      </c>
      <c r="I566" t="n">
        <v>41</v>
      </c>
      <c r="J566" t="inlineStr">
        <is>
          <t>ince</t>
        </is>
      </c>
      <c r="K566" t="b">
        <v>1</v>
      </c>
      <c r="M566" t="n">
        <v>44</v>
      </c>
      <c r="N566" t="n">
        <v>28</v>
      </c>
      <c r="O566" t="n">
        <v>26</v>
      </c>
      <c r="P566" t="n">
        <v>958</v>
      </c>
      <c r="Q566" t="n">
        <v>1002</v>
      </c>
      <c r="R566" t="n">
        <v>2.092</v>
      </c>
      <c r="S566" t="n">
        <v>39.456</v>
      </c>
      <c r="T566" t="n">
        <v>18.864</v>
      </c>
      <c r="U566" t="n">
        <v>0.7781</v>
      </c>
      <c r="V566" t="b">
        <v>1</v>
      </c>
      <c r="X566" t="b">
        <v>1</v>
      </c>
      <c r="Z566" t="n">
        <v>935</v>
      </c>
      <c r="AA566" t="n">
        <v>2.5</v>
      </c>
      <c r="AB566" t="n">
        <v>9.5</v>
      </c>
    </row>
    <row r="567">
      <c r="A567" t="inlineStr">
        <is>
          <t>2026-09-24 14:22:27</t>
        </is>
      </c>
      <c r="B567" t="inlineStr">
        <is>
          <t>MLLB_000_y1.0.3</t>
        </is>
      </c>
      <c r="C567" t="inlineStr">
        <is>
          <t>WHITE</t>
        </is>
      </c>
      <c r="D567" t="inlineStr">
        <is>
          <t>v4_white_MLLB_000_y103_0924</t>
        </is>
      </c>
      <c r="E567" t="n">
        <v>3.6</v>
      </c>
      <c r="F567" t="n">
        <v>3.608</v>
      </c>
      <c r="G567" t="n">
        <v>10</v>
      </c>
      <c r="H567" t="n">
        <v>60</v>
      </c>
      <c r="I567" t="n">
        <v>42</v>
      </c>
      <c r="J567" t="inlineStr">
        <is>
          <t>ince</t>
        </is>
      </c>
      <c r="K567" t="b">
        <v>1</v>
      </c>
      <c r="M567" t="n">
        <v>46</v>
      </c>
      <c r="N567" t="n">
        <v>28</v>
      </c>
      <c r="O567" t="n">
        <v>26</v>
      </c>
      <c r="P567" t="n">
        <v>956</v>
      </c>
      <c r="Q567" t="n">
        <v>1002</v>
      </c>
      <c r="R567" t="n">
        <v>2.353</v>
      </c>
      <c r="S567" t="n">
        <v>44.428</v>
      </c>
      <c r="T567" t="n">
        <v>18.883</v>
      </c>
      <c r="U567" t="n">
        <v>0.7784</v>
      </c>
      <c r="V567" t="b">
        <v>1</v>
      </c>
      <c r="X567" t="b">
        <v>1</v>
      </c>
      <c r="Z567" t="n">
        <v>935</v>
      </c>
      <c r="AA567" t="n">
        <v>2.5</v>
      </c>
      <c r="AB567" t="n">
        <v>9.5</v>
      </c>
    </row>
    <row r="568">
      <c r="A568" t="inlineStr">
        <is>
          <t>2026-09-24 14:22:43</t>
        </is>
      </c>
      <c r="B568" t="inlineStr">
        <is>
          <t>MLLB_000_y1.0.3</t>
        </is>
      </c>
      <c r="C568" t="inlineStr">
        <is>
          <t>WHITE</t>
        </is>
      </c>
      <c r="D568" t="inlineStr">
        <is>
          <t>v4_white_MLLB_000_y103_0924</t>
        </is>
      </c>
      <c r="E568" t="n">
        <v>3.6</v>
      </c>
      <c r="F568" t="n">
        <v>3.608</v>
      </c>
      <c r="G568" t="n">
        <v>10</v>
      </c>
      <c r="H568" t="n">
        <v>60</v>
      </c>
      <c r="I568" t="n">
        <v>43</v>
      </c>
      <c r="J568" t="inlineStr">
        <is>
          <t>ince</t>
        </is>
      </c>
      <c r="K568" t="b">
        <v>1</v>
      </c>
      <c r="M568" t="n">
        <v>46</v>
      </c>
      <c r="N568" t="n">
        <v>28</v>
      </c>
      <c r="O568" t="n">
        <v>26</v>
      </c>
      <c r="P568" t="n">
        <v>956</v>
      </c>
      <c r="Q568" t="n">
        <v>1002</v>
      </c>
      <c r="R568" t="n">
        <v>2.557</v>
      </c>
      <c r="S568" t="n">
        <v>48.278</v>
      </c>
      <c r="T568" t="n">
        <v>18.881</v>
      </c>
      <c r="U568" t="n">
        <v>0.778</v>
      </c>
      <c r="V568" t="b">
        <v>1</v>
      </c>
      <c r="X568" t="b">
        <v>0</v>
      </c>
      <c r="Y568" t="inlineStr">
        <is>
          <t>FLAS</t>
        </is>
      </c>
      <c r="Z568" t="n">
        <v>935</v>
      </c>
      <c r="AA568" t="n">
        <v>2.5</v>
      </c>
      <c r="AB568" t="n">
        <v>9.5</v>
      </c>
    </row>
    <row r="569">
      <c r="A569" t="inlineStr">
        <is>
          <t>2026-09-24 14:22:44</t>
        </is>
      </c>
      <c r="B569" t="inlineStr">
        <is>
          <t>MLLB_000_y1.0.3</t>
        </is>
      </c>
      <c r="C569" t="inlineStr">
        <is>
          <t>WHITE</t>
        </is>
      </c>
      <c r="D569" t="inlineStr">
        <is>
          <t>v4_white_MLLB_000_y103_0924</t>
        </is>
      </c>
      <c r="E569" t="n">
        <v>3.6</v>
      </c>
      <c r="F569" t="n">
        <v>3.608</v>
      </c>
      <c r="G569" t="n">
        <v>10</v>
      </c>
      <c r="H569" t="n">
        <v>60</v>
      </c>
      <c r="J569" t="inlineStr">
        <is>
          <t>bitti</t>
        </is>
      </c>
      <c r="K569" t="b">
        <v>0</v>
      </c>
      <c r="Z569" t="n">
        <v>935</v>
      </c>
      <c r="AA569" t="n">
        <v>2.5</v>
      </c>
      <c r="AB569" t="n">
        <v>9.5</v>
      </c>
    </row>
    <row r="570">
      <c r="A570" t="inlineStr">
        <is>
          <t>2026-09-24 14:23:05</t>
        </is>
      </c>
      <c r="B570" t="inlineStr">
        <is>
          <t>MLLB_000_y1.0.3</t>
        </is>
      </c>
      <c r="C570" t="inlineStr">
        <is>
          <t>WHITE</t>
        </is>
      </c>
      <c r="D570" t="inlineStr">
        <is>
          <t>v4_white_MLLB_000_y103_0924</t>
        </is>
      </c>
      <c r="E570" t="n">
        <v>3.6</v>
      </c>
      <c r="F570" t="n">
        <v>3.608</v>
      </c>
      <c r="G570" t="n">
        <v>15</v>
      </c>
      <c r="H570" t="n">
        <v>100</v>
      </c>
      <c r="I570" t="n">
        <v>12</v>
      </c>
      <c r="J570" t="inlineStr">
        <is>
          <t>kaba</t>
        </is>
      </c>
      <c r="K570" t="b">
        <v>1</v>
      </c>
      <c r="M570" t="n">
        <v>98</v>
      </c>
      <c r="N570" t="n">
        <v>32</v>
      </c>
      <c r="O570" t="n">
        <v>78</v>
      </c>
      <c r="P570" t="n">
        <v>904</v>
      </c>
      <c r="Q570" t="n">
        <v>1002</v>
      </c>
      <c r="R570" t="n">
        <v>1.064</v>
      </c>
      <c r="S570" t="n">
        <v>33.048</v>
      </c>
      <c r="T570" t="n">
        <v>31.068</v>
      </c>
      <c r="U570" t="n">
        <v>0.7784</v>
      </c>
      <c r="V570" t="b">
        <v>1</v>
      </c>
      <c r="X570" t="b">
        <v>0</v>
      </c>
      <c r="Y570" t="inlineStr">
        <is>
          <t>ON</t>
        </is>
      </c>
      <c r="Z570" t="n">
        <v>935</v>
      </c>
      <c r="AA570" t="n">
        <v>2.5</v>
      </c>
      <c r="AB570" t="n">
        <v>9.5</v>
      </c>
    </row>
    <row r="571">
      <c r="A571" t="inlineStr">
        <is>
          <t>2026-09-24 14:23:21</t>
        </is>
      </c>
      <c r="B571" t="inlineStr">
        <is>
          <t>MLLB_000_y1.0.3</t>
        </is>
      </c>
      <c r="C571" t="inlineStr">
        <is>
          <t>WHITE</t>
        </is>
      </c>
      <c r="D571" t="inlineStr">
        <is>
          <t>v4_white_MLLB_000_y103_0924</t>
        </is>
      </c>
      <c r="E571" t="n">
        <v>3.6</v>
      </c>
      <c r="F571" t="n">
        <v>3.608</v>
      </c>
      <c r="G571" t="n">
        <v>15</v>
      </c>
      <c r="H571" t="n">
        <v>100</v>
      </c>
      <c r="I571" t="n">
        <v>16</v>
      </c>
      <c r="J571" t="inlineStr">
        <is>
          <t>kaba</t>
        </is>
      </c>
      <c r="K571" t="b">
        <v>1</v>
      </c>
      <c r="M571" t="n">
        <v>74</v>
      </c>
      <c r="N571" t="n">
        <v>28</v>
      </c>
      <c r="O571" t="n">
        <v>54</v>
      </c>
      <c r="P571" t="n">
        <v>928</v>
      </c>
      <c r="Q571" t="n">
        <v>1002</v>
      </c>
      <c r="R571" t="n">
        <v>1.063</v>
      </c>
      <c r="S571" t="n">
        <v>33.072</v>
      </c>
      <c r="T571" t="n">
        <v>31.121</v>
      </c>
      <c r="U571" t="n">
        <v>0.7783</v>
      </c>
      <c r="V571" t="b">
        <v>1</v>
      </c>
      <c r="X571" t="b">
        <v>0</v>
      </c>
      <c r="Y571" t="inlineStr">
        <is>
          <t>ON</t>
        </is>
      </c>
      <c r="Z571" t="n">
        <v>935</v>
      </c>
      <c r="AA571" t="n">
        <v>2.5</v>
      </c>
      <c r="AB571" t="n">
        <v>9.5</v>
      </c>
    </row>
    <row r="572">
      <c r="A572" t="inlineStr">
        <is>
          <t>2026-09-24 14:23:37</t>
        </is>
      </c>
      <c r="B572" t="inlineStr">
        <is>
          <t>MLLB_000_y1.0.3</t>
        </is>
      </c>
      <c r="C572" t="inlineStr">
        <is>
          <t>WHITE</t>
        </is>
      </c>
      <c r="D572" t="inlineStr">
        <is>
          <t>v4_white_MLLB_000_y103_0924</t>
        </is>
      </c>
      <c r="E572" t="n">
        <v>3.6</v>
      </c>
      <c r="F572" t="n">
        <v>3.608</v>
      </c>
      <c r="G572" t="n">
        <v>15</v>
      </c>
      <c r="H572" t="n">
        <v>100</v>
      </c>
      <c r="I572" t="n">
        <v>20</v>
      </c>
      <c r="J572" t="inlineStr">
        <is>
          <t>kaba</t>
        </is>
      </c>
      <c r="K572" t="b">
        <v>1</v>
      </c>
      <c r="M572" t="n">
        <v>48</v>
      </c>
      <c r="N572" t="n">
        <v>28</v>
      </c>
      <c r="O572" t="n">
        <v>30</v>
      </c>
      <c r="P572" t="n">
        <v>954</v>
      </c>
      <c r="Q572" t="n">
        <v>1002</v>
      </c>
      <c r="R572" t="n">
        <v>1.063</v>
      </c>
      <c r="S572" t="n">
        <v>33.075</v>
      </c>
      <c r="T572" t="n">
        <v>31.127</v>
      </c>
      <c r="U572" t="n">
        <v>0.7788</v>
      </c>
      <c r="V572" t="b">
        <v>1</v>
      </c>
      <c r="X572" t="b">
        <v>1</v>
      </c>
      <c r="Z572" t="n">
        <v>935</v>
      </c>
      <c r="AA572" t="n">
        <v>2.5</v>
      </c>
      <c r="AB572" t="n">
        <v>9.5</v>
      </c>
    </row>
    <row r="573">
      <c r="A573" t="inlineStr">
        <is>
          <t>2026-09-24 14:23:53</t>
        </is>
      </c>
      <c r="B573" t="inlineStr">
        <is>
          <t>MLLB_000_y1.0.3</t>
        </is>
      </c>
      <c r="C573" t="inlineStr">
        <is>
          <t>WHITE</t>
        </is>
      </c>
      <c r="D573" t="inlineStr">
        <is>
          <t>v4_white_MLLB_000_y103_0924</t>
        </is>
      </c>
      <c r="E573" t="n">
        <v>3.6</v>
      </c>
      <c r="F573" t="n">
        <v>3.608</v>
      </c>
      <c r="G573" t="n">
        <v>15</v>
      </c>
      <c r="H573" t="n">
        <v>100</v>
      </c>
      <c r="I573" t="n">
        <v>24</v>
      </c>
      <c r="J573" t="inlineStr">
        <is>
          <t>kaba</t>
        </is>
      </c>
      <c r="K573" t="b">
        <v>1</v>
      </c>
      <c r="M573" t="n">
        <v>30</v>
      </c>
      <c r="N573" t="n">
        <v>28</v>
      </c>
      <c r="O573" t="n">
        <v>10</v>
      </c>
      <c r="P573" t="n">
        <v>972</v>
      </c>
      <c r="Q573" t="n">
        <v>1002</v>
      </c>
      <c r="R573" t="n">
        <v>1.063</v>
      </c>
      <c r="S573" t="n">
        <v>33.099</v>
      </c>
      <c r="T573" t="n">
        <v>31.142</v>
      </c>
      <c r="U573" t="n">
        <v>0.7783</v>
      </c>
      <c r="V573" t="b">
        <v>1</v>
      </c>
      <c r="X573" t="b">
        <v>1</v>
      </c>
      <c r="Z573" t="n">
        <v>935</v>
      </c>
      <c r="AA573" t="n">
        <v>2.5</v>
      </c>
      <c r="AB573" t="n">
        <v>9.5</v>
      </c>
    </row>
    <row r="574">
      <c r="A574" t="inlineStr">
        <is>
          <t>2026-09-24 14:24:09</t>
        </is>
      </c>
      <c r="B574" t="inlineStr">
        <is>
          <t>MLLB_000_y1.0.3</t>
        </is>
      </c>
      <c r="C574" t="inlineStr">
        <is>
          <t>WHITE</t>
        </is>
      </c>
      <c r="D574" t="inlineStr">
        <is>
          <t>v4_white_MLLB_000_y103_0924</t>
        </is>
      </c>
      <c r="E574" t="n">
        <v>3.6</v>
      </c>
      <c r="F574" t="n">
        <v>3.608</v>
      </c>
      <c r="G574" t="n">
        <v>15</v>
      </c>
      <c r="H574" t="n">
        <v>100</v>
      </c>
      <c r="I574" t="n">
        <v>28</v>
      </c>
      <c r="J574" t="inlineStr">
        <is>
          <t>kaba</t>
        </is>
      </c>
      <c r="K574" t="b">
        <v>1</v>
      </c>
      <c r="M574" t="n">
        <v>30</v>
      </c>
      <c r="N574" t="n">
        <v>28</v>
      </c>
      <c r="O574" t="n">
        <v>10</v>
      </c>
      <c r="P574" t="n">
        <v>972</v>
      </c>
      <c r="Q574" t="n">
        <v>1002</v>
      </c>
      <c r="R574" t="n">
        <v>2.22</v>
      </c>
      <c r="S574" t="n">
        <v>78.902</v>
      </c>
      <c r="T574" t="n">
        <v>35.533</v>
      </c>
      <c r="U574" t="n">
        <v>0.7783</v>
      </c>
      <c r="V574" t="b">
        <v>1</v>
      </c>
      <c r="X574" t="b">
        <v>1</v>
      </c>
      <c r="Z574" t="n">
        <v>935</v>
      </c>
      <c r="AA574" t="n">
        <v>2.5</v>
      </c>
      <c r="AB574" t="n">
        <v>9.5</v>
      </c>
    </row>
    <row r="575">
      <c r="A575" t="inlineStr">
        <is>
          <t>2026-09-24 14:24:25</t>
        </is>
      </c>
      <c r="B575" t="inlineStr">
        <is>
          <t>MLLB_000_y1.0.3</t>
        </is>
      </c>
      <c r="C575" t="inlineStr">
        <is>
          <t>WHITE</t>
        </is>
      </c>
      <c r="D575" t="inlineStr">
        <is>
          <t>v4_white_MLLB_000_y103_0924</t>
        </is>
      </c>
      <c r="E575" t="n">
        <v>3.6</v>
      </c>
      <c r="F575" t="n">
        <v>3.608</v>
      </c>
      <c r="G575" t="n">
        <v>15</v>
      </c>
      <c r="H575" t="n">
        <v>100</v>
      </c>
      <c r="I575" t="n">
        <v>32</v>
      </c>
      <c r="J575" t="inlineStr">
        <is>
          <t>kaba</t>
        </is>
      </c>
      <c r="K575" t="b">
        <v>1</v>
      </c>
      <c r="M575" t="n">
        <v>30</v>
      </c>
      <c r="N575" t="n">
        <v>28</v>
      </c>
      <c r="O575" t="n">
        <v>10</v>
      </c>
      <c r="P575" t="n">
        <v>972</v>
      </c>
      <c r="Q575" t="n">
        <v>1002</v>
      </c>
      <c r="R575" t="n">
        <v>5.574</v>
      </c>
      <c r="S575" t="n">
        <v>197.797</v>
      </c>
      <c r="T575" t="n">
        <v>35.488</v>
      </c>
      <c r="U575" t="n">
        <v>0.7782</v>
      </c>
      <c r="V575" t="b">
        <v>1</v>
      </c>
      <c r="X575" t="b">
        <v>0</v>
      </c>
      <c r="Y575" t="inlineStr">
        <is>
          <t>FLAS</t>
        </is>
      </c>
      <c r="Z575" t="n">
        <v>935</v>
      </c>
      <c r="AA575" t="n">
        <v>2.5</v>
      </c>
      <c r="AB575" t="n">
        <v>9.5</v>
      </c>
    </row>
    <row r="576">
      <c r="A576" t="inlineStr">
        <is>
          <t>2026-09-24 14:24:41</t>
        </is>
      </c>
      <c r="B576" t="inlineStr">
        <is>
          <t>MLLB_000_y1.0.3</t>
        </is>
      </c>
      <c r="C576" t="inlineStr">
        <is>
          <t>WHITE</t>
        </is>
      </c>
      <c r="D576" t="inlineStr">
        <is>
          <t>v4_white_MLLB_000_y103_0924</t>
        </is>
      </c>
      <c r="E576" t="n">
        <v>3.6</v>
      </c>
      <c r="F576" t="n">
        <v>3.608</v>
      </c>
      <c r="G576" t="n">
        <v>15</v>
      </c>
      <c r="H576" t="n">
        <v>100</v>
      </c>
      <c r="I576" t="n">
        <v>36</v>
      </c>
      <c r="J576" t="inlineStr">
        <is>
          <t>kaba</t>
        </is>
      </c>
      <c r="K576" t="b">
        <v>1</v>
      </c>
      <c r="M576" t="n">
        <v>30</v>
      </c>
      <c r="N576" t="n">
        <v>28</v>
      </c>
      <c r="O576" t="n">
        <v>10</v>
      </c>
      <c r="P576" t="n">
        <v>972</v>
      </c>
      <c r="Q576" t="n">
        <v>1002</v>
      </c>
      <c r="R576" t="n">
        <v>6.498</v>
      </c>
      <c r="S576" t="n">
        <v>230.776</v>
      </c>
      <c r="T576" t="n">
        <v>35.514</v>
      </c>
      <c r="U576" t="n">
        <v>0.7781</v>
      </c>
      <c r="V576" t="b">
        <v>1</v>
      </c>
      <c r="X576" t="b">
        <v>0</v>
      </c>
      <c r="Y576" t="inlineStr">
        <is>
          <t>FLAS</t>
        </is>
      </c>
      <c r="Z576" t="n">
        <v>935</v>
      </c>
      <c r="AA576" t="n">
        <v>2.5</v>
      </c>
      <c r="AB576" t="n">
        <v>9.5</v>
      </c>
    </row>
    <row r="577">
      <c r="A577" t="inlineStr">
        <is>
          <t>2026-09-24 14:24:57</t>
        </is>
      </c>
      <c r="B577" t="inlineStr">
        <is>
          <t>MLLB_000_y1.0.3</t>
        </is>
      </c>
      <c r="C577" t="inlineStr">
        <is>
          <t>WHITE</t>
        </is>
      </c>
      <c r="D577" t="inlineStr">
        <is>
          <t>v4_white_MLLB_000_y103_0924</t>
        </is>
      </c>
      <c r="E577" t="n">
        <v>3.6</v>
      </c>
      <c r="F577" t="n">
        <v>3.608</v>
      </c>
      <c r="G577" t="n">
        <v>15</v>
      </c>
      <c r="H577" t="n">
        <v>100</v>
      </c>
      <c r="I577" t="n">
        <v>17</v>
      </c>
      <c r="J577" t="inlineStr">
        <is>
          <t>ince</t>
        </is>
      </c>
      <c r="K577" t="b">
        <v>1</v>
      </c>
      <c r="M577" t="n">
        <v>68</v>
      </c>
      <c r="N577" t="n">
        <v>32</v>
      </c>
      <c r="O577" t="n">
        <v>46</v>
      </c>
      <c r="P577" t="n">
        <v>934</v>
      </c>
      <c r="Q577" t="n">
        <v>1002</v>
      </c>
      <c r="R577" t="n">
        <v>1.064</v>
      </c>
      <c r="S577" t="n">
        <v>33.099</v>
      </c>
      <c r="T577" t="n">
        <v>31.105</v>
      </c>
      <c r="U577" t="n">
        <v>0.7784</v>
      </c>
      <c r="V577" t="b">
        <v>1</v>
      </c>
      <c r="X577" t="b">
        <v>0</v>
      </c>
      <c r="Y577" t="inlineStr">
        <is>
          <t>ON</t>
        </is>
      </c>
      <c r="Z577" t="n">
        <v>935</v>
      </c>
      <c r="AA577" t="n">
        <v>2.5</v>
      </c>
      <c r="AB577" t="n">
        <v>9.5</v>
      </c>
    </row>
    <row r="578">
      <c r="A578" t="inlineStr">
        <is>
          <t>2026-09-24 14:25:13</t>
        </is>
      </c>
      <c r="B578" t="inlineStr">
        <is>
          <t>MLLB_000_y1.0.3</t>
        </is>
      </c>
      <c r="C578" t="inlineStr">
        <is>
          <t>WHITE</t>
        </is>
      </c>
      <c r="D578" t="inlineStr">
        <is>
          <t>v4_white_MLLB_000_y103_0924</t>
        </is>
      </c>
      <c r="E578" t="n">
        <v>3.6</v>
      </c>
      <c r="F578" t="n">
        <v>3.608</v>
      </c>
      <c r="G578" t="n">
        <v>15</v>
      </c>
      <c r="H578" t="n">
        <v>100</v>
      </c>
      <c r="I578" t="n">
        <v>18</v>
      </c>
      <c r="J578" t="inlineStr">
        <is>
          <t>ince</t>
        </is>
      </c>
      <c r="K578" t="b">
        <v>1</v>
      </c>
      <c r="M578" t="n">
        <v>60</v>
      </c>
      <c r="N578" t="n">
        <v>28</v>
      </c>
      <c r="O578" t="n">
        <v>42</v>
      </c>
      <c r="P578" t="n">
        <v>942</v>
      </c>
      <c r="Q578" t="n">
        <v>1002</v>
      </c>
      <c r="R578" t="n">
        <v>1.062</v>
      </c>
      <c r="S578" t="n">
        <v>33.048</v>
      </c>
      <c r="T578" t="n">
        <v>31.114</v>
      </c>
      <c r="U578" t="n">
        <v>0.7778</v>
      </c>
      <c r="V578" t="b">
        <v>1</v>
      </c>
      <c r="X578" t="b">
        <v>1</v>
      </c>
      <c r="Z578" t="n">
        <v>935</v>
      </c>
      <c r="AA578" t="n">
        <v>2.5</v>
      </c>
      <c r="AB578" t="n">
        <v>9.5</v>
      </c>
    </row>
    <row r="579">
      <c r="A579" t="inlineStr">
        <is>
          <t>2026-09-24 14:25:29</t>
        </is>
      </c>
      <c r="B579" t="inlineStr">
        <is>
          <t>MLLB_000_y1.0.3</t>
        </is>
      </c>
      <c r="C579" t="inlineStr">
        <is>
          <t>WHITE</t>
        </is>
      </c>
      <c r="D579" t="inlineStr">
        <is>
          <t>v4_white_MLLB_000_y103_0924</t>
        </is>
      </c>
      <c r="E579" t="n">
        <v>3.6</v>
      </c>
      <c r="F579" t="n">
        <v>3.608</v>
      </c>
      <c r="G579" t="n">
        <v>15</v>
      </c>
      <c r="H579" t="n">
        <v>100</v>
      </c>
      <c r="I579" t="n">
        <v>19</v>
      </c>
      <c r="J579" t="inlineStr">
        <is>
          <t>ince</t>
        </is>
      </c>
      <c r="K579" t="b">
        <v>1</v>
      </c>
      <c r="M579" t="n">
        <v>56</v>
      </c>
      <c r="N579" t="n">
        <v>32</v>
      </c>
      <c r="O579" t="n">
        <v>34</v>
      </c>
      <c r="P579" t="n">
        <v>946</v>
      </c>
      <c r="Q579" t="n">
        <v>1002</v>
      </c>
      <c r="R579" t="n">
        <v>1.063</v>
      </c>
      <c r="S579" t="n">
        <v>33.058</v>
      </c>
      <c r="T579" t="n">
        <v>31.105</v>
      </c>
      <c r="U579" t="n">
        <v>0.7776999999999999</v>
      </c>
      <c r="V579" t="b">
        <v>1</v>
      </c>
      <c r="X579" t="b">
        <v>1</v>
      </c>
      <c r="Z579" t="n">
        <v>935</v>
      </c>
      <c r="AA579" t="n">
        <v>2.5</v>
      </c>
      <c r="AB579" t="n">
        <v>9.5</v>
      </c>
    </row>
    <row r="580">
      <c r="A580" t="inlineStr">
        <is>
          <t>2026-09-24 14:25:30</t>
        </is>
      </c>
      <c r="B580" t="inlineStr">
        <is>
          <t>MLLB_000_y1.0.3</t>
        </is>
      </c>
      <c r="C580" t="inlineStr">
        <is>
          <t>WHITE</t>
        </is>
      </c>
      <c r="D580" t="inlineStr">
        <is>
          <t>v4_white_MLLB_000_y103_0924</t>
        </is>
      </c>
      <c r="E580" t="n">
        <v>3.6</v>
      </c>
      <c r="F580" t="n">
        <v>3.608</v>
      </c>
      <c r="G580" t="n">
        <v>15</v>
      </c>
      <c r="H580" t="n">
        <v>100</v>
      </c>
      <c r="I580" t="n">
        <v>21</v>
      </c>
      <c r="J580" t="inlineStr">
        <is>
          <t>ince</t>
        </is>
      </c>
      <c r="K580" t="b">
        <v>0</v>
      </c>
      <c r="L580" t="inlineStr">
        <is>
          <t>iki-OK-arasi-monotonluk</t>
        </is>
      </c>
      <c r="X580" t="b">
        <v>1</v>
      </c>
      <c r="Z580" t="n">
        <v>935</v>
      </c>
      <c r="AA580" t="n">
        <v>2.5</v>
      </c>
      <c r="AB580" t="n">
        <v>9.5</v>
      </c>
    </row>
    <row r="581">
      <c r="A581" t="inlineStr">
        <is>
          <t>2026-09-24 14:25:30</t>
        </is>
      </c>
      <c r="B581" t="inlineStr">
        <is>
          <t>MLLB_000_y1.0.3</t>
        </is>
      </c>
      <c r="C581" t="inlineStr">
        <is>
          <t>WHITE</t>
        </is>
      </c>
      <c r="D581" t="inlineStr">
        <is>
          <t>v4_white_MLLB_000_y103_0924</t>
        </is>
      </c>
      <c r="E581" t="n">
        <v>3.6</v>
      </c>
      <c r="F581" t="n">
        <v>3.608</v>
      </c>
      <c r="G581" t="n">
        <v>15</v>
      </c>
      <c r="H581" t="n">
        <v>100</v>
      </c>
      <c r="I581" t="n">
        <v>22</v>
      </c>
      <c r="J581" t="inlineStr">
        <is>
          <t>ince</t>
        </is>
      </c>
      <c r="K581" t="b">
        <v>0</v>
      </c>
      <c r="L581" t="inlineStr">
        <is>
          <t>iki-OK-arasi-monotonluk</t>
        </is>
      </c>
      <c r="X581" t="b">
        <v>1</v>
      </c>
      <c r="Z581" t="n">
        <v>935</v>
      </c>
      <c r="AA581" t="n">
        <v>2.5</v>
      </c>
      <c r="AB581" t="n">
        <v>9.5</v>
      </c>
    </row>
    <row r="582">
      <c r="A582" t="inlineStr">
        <is>
          <t>2026-09-24 14:25:30</t>
        </is>
      </c>
      <c r="B582" t="inlineStr">
        <is>
          <t>MLLB_000_y1.0.3</t>
        </is>
      </c>
      <c r="C582" t="inlineStr">
        <is>
          <t>WHITE</t>
        </is>
      </c>
      <c r="D582" t="inlineStr">
        <is>
          <t>v4_white_MLLB_000_y103_0924</t>
        </is>
      </c>
      <c r="E582" t="n">
        <v>3.6</v>
      </c>
      <c r="F582" t="n">
        <v>3.608</v>
      </c>
      <c r="G582" t="n">
        <v>15</v>
      </c>
      <c r="H582" t="n">
        <v>100</v>
      </c>
      <c r="I582" t="n">
        <v>23</v>
      </c>
      <c r="J582" t="inlineStr">
        <is>
          <t>ince</t>
        </is>
      </c>
      <c r="K582" t="b">
        <v>0</v>
      </c>
      <c r="L582" t="inlineStr">
        <is>
          <t>iki-OK-arasi-monotonluk</t>
        </is>
      </c>
      <c r="X582" t="b">
        <v>1</v>
      </c>
      <c r="Z582" t="n">
        <v>935</v>
      </c>
      <c r="AA582" t="n">
        <v>2.5</v>
      </c>
      <c r="AB582" t="n">
        <v>9.5</v>
      </c>
    </row>
    <row r="583">
      <c r="A583" t="inlineStr">
        <is>
          <t>2026-09-24 14:25:30</t>
        </is>
      </c>
      <c r="B583" t="inlineStr">
        <is>
          <t>MLLB_000_y1.0.3</t>
        </is>
      </c>
      <c r="C583" t="inlineStr">
        <is>
          <t>WHITE</t>
        </is>
      </c>
      <c r="D583" t="inlineStr">
        <is>
          <t>v4_white_MLLB_000_y103_0924</t>
        </is>
      </c>
      <c r="E583" t="n">
        <v>3.6</v>
      </c>
      <c r="F583" t="n">
        <v>3.608</v>
      </c>
      <c r="G583" t="n">
        <v>15</v>
      </c>
      <c r="H583" t="n">
        <v>100</v>
      </c>
      <c r="I583" t="n">
        <v>25</v>
      </c>
      <c r="J583" t="inlineStr">
        <is>
          <t>ince</t>
        </is>
      </c>
      <c r="K583" t="b">
        <v>0</v>
      </c>
      <c r="L583" t="inlineStr">
        <is>
          <t>iki-OK-arasi-monotonluk</t>
        </is>
      </c>
      <c r="X583" t="b">
        <v>1</v>
      </c>
      <c r="Z583" t="n">
        <v>935</v>
      </c>
      <c r="AA583" t="n">
        <v>2.5</v>
      </c>
      <c r="AB583" t="n">
        <v>9.5</v>
      </c>
    </row>
    <row r="584">
      <c r="A584" t="inlineStr">
        <is>
          <t>2026-09-24 14:25:30</t>
        </is>
      </c>
      <c r="B584" t="inlineStr">
        <is>
          <t>MLLB_000_y1.0.3</t>
        </is>
      </c>
      <c r="C584" t="inlineStr">
        <is>
          <t>WHITE</t>
        </is>
      </c>
      <c r="D584" t="inlineStr">
        <is>
          <t>v4_white_MLLB_000_y103_0924</t>
        </is>
      </c>
      <c r="E584" t="n">
        <v>3.6</v>
      </c>
      <c r="F584" t="n">
        <v>3.608</v>
      </c>
      <c r="G584" t="n">
        <v>15</v>
      </c>
      <c r="H584" t="n">
        <v>100</v>
      </c>
      <c r="I584" t="n">
        <v>26</v>
      </c>
      <c r="J584" t="inlineStr">
        <is>
          <t>ince</t>
        </is>
      </c>
      <c r="K584" t="b">
        <v>0</v>
      </c>
      <c r="L584" t="inlineStr">
        <is>
          <t>iki-OK-arasi-monotonluk</t>
        </is>
      </c>
      <c r="X584" t="b">
        <v>1</v>
      </c>
      <c r="Z584" t="n">
        <v>935</v>
      </c>
      <c r="AA584" t="n">
        <v>2.5</v>
      </c>
      <c r="AB584" t="n">
        <v>9.5</v>
      </c>
    </row>
    <row r="585">
      <c r="A585" t="inlineStr">
        <is>
          <t>2026-09-24 14:25:30</t>
        </is>
      </c>
      <c r="B585" t="inlineStr">
        <is>
          <t>MLLB_000_y1.0.3</t>
        </is>
      </c>
      <c r="C585" t="inlineStr">
        <is>
          <t>WHITE</t>
        </is>
      </c>
      <c r="D585" t="inlineStr">
        <is>
          <t>v4_white_MLLB_000_y103_0924</t>
        </is>
      </c>
      <c r="E585" t="n">
        <v>3.6</v>
      </c>
      <c r="F585" t="n">
        <v>3.608</v>
      </c>
      <c r="G585" t="n">
        <v>15</v>
      </c>
      <c r="H585" t="n">
        <v>100</v>
      </c>
      <c r="I585" t="n">
        <v>27</v>
      </c>
      <c r="J585" t="inlineStr">
        <is>
          <t>ince</t>
        </is>
      </c>
      <c r="K585" t="b">
        <v>0</v>
      </c>
      <c r="L585" t="inlineStr">
        <is>
          <t>iki-OK-arasi-monotonluk</t>
        </is>
      </c>
      <c r="X585" t="b">
        <v>1</v>
      </c>
      <c r="Z585" t="n">
        <v>935</v>
      </c>
      <c r="AA585" t="n">
        <v>2.5</v>
      </c>
      <c r="AB585" t="n">
        <v>9.5</v>
      </c>
    </row>
    <row r="586">
      <c r="A586" t="inlineStr">
        <is>
          <t>2026-09-24 14:25:45</t>
        </is>
      </c>
      <c r="B586" t="inlineStr">
        <is>
          <t>MLLB_000_y1.0.3</t>
        </is>
      </c>
      <c r="C586" t="inlineStr">
        <is>
          <t>WHITE</t>
        </is>
      </c>
      <c r="D586" t="inlineStr">
        <is>
          <t>v4_white_MLLB_000_y103_0924</t>
        </is>
      </c>
      <c r="E586" t="n">
        <v>3.6</v>
      </c>
      <c r="F586" t="n">
        <v>3.608</v>
      </c>
      <c r="G586" t="n">
        <v>15</v>
      </c>
      <c r="H586" t="n">
        <v>100</v>
      </c>
      <c r="I586" t="n">
        <v>29</v>
      </c>
      <c r="J586" t="inlineStr">
        <is>
          <t>ince</t>
        </is>
      </c>
      <c r="K586" t="b">
        <v>1</v>
      </c>
      <c r="M586" t="n">
        <v>30</v>
      </c>
      <c r="N586" t="n">
        <v>28</v>
      </c>
      <c r="O586" t="n">
        <v>10</v>
      </c>
      <c r="P586" t="n">
        <v>972</v>
      </c>
      <c r="Q586" t="n">
        <v>1002</v>
      </c>
      <c r="R586" t="n">
        <v>3.022</v>
      </c>
      <c r="S586" t="n">
        <v>107.461</v>
      </c>
      <c r="T586" t="n">
        <v>35.558</v>
      </c>
      <c r="U586" t="n">
        <v>0.7778</v>
      </c>
      <c r="V586" t="b">
        <v>1</v>
      </c>
      <c r="X586" t="b">
        <v>0</v>
      </c>
      <c r="Y586" t="inlineStr">
        <is>
          <t>FLAS</t>
        </is>
      </c>
      <c r="Z586" t="n">
        <v>935</v>
      </c>
      <c r="AA586" t="n">
        <v>2.5</v>
      </c>
      <c r="AB586" t="n">
        <v>9.5</v>
      </c>
    </row>
    <row r="587">
      <c r="A587" t="inlineStr">
        <is>
          <t>2026-09-24 14:26:01</t>
        </is>
      </c>
      <c r="B587" t="inlineStr">
        <is>
          <t>MLLB_000_y1.0.3</t>
        </is>
      </c>
      <c r="C587" t="inlineStr">
        <is>
          <t>WHITE</t>
        </is>
      </c>
      <c r="D587" t="inlineStr">
        <is>
          <t>v4_white_MLLB_000_y103_0924</t>
        </is>
      </c>
      <c r="E587" t="n">
        <v>3.6</v>
      </c>
      <c r="F587" t="n">
        <v>3.608</v>
      </c>
      <c r="G587" t="n">
        <v>15</v>
      </c>
      <c r="H587" t="n">
        <v>100</v>
      </c>
      <c r="I587" t="n">
        <v>30</v>
      </c>
      <c r="J587" t="inlineStr">
        <is>
          <t>ince</t>
        </is>
      </c>
      <c r="K587" t="b">
        <v>1</v>
      </c>
      <c r="M587" t="n">
        <v>30</v>
      </c>
      <c r="N587" t="n">
        <v>28</v>
      </c>
      <c r="O587" t="n">
        <v>10</v>
      </c>
      <c r="P587" t="n">
        <v>972</v>
      </c>
      <c r="Q587" t="n">
        <v>1002</v>
      </c>
      <c r="R587" t="n">
        <v>4.337</v>
      </c>
      <c r="S587" t="n">
        <v>154.356</v>
      </c>
      <c r="T587" t="n">
        <v>35.594</v>
      </c>
      <c r="U587" t="n">
        <v>0.7786</v>
      </c>
      <c r="V587" t="b">
        <v>1</v>
      </c>
      <c r="X587" t="b">
        <v>0</v>
      </c>
      <c r="Y587" t="inlineStr">
        <is>
          <t>FLAS</t>
        </is>
      </c>
      <c r="Z587" t="n">
        <v>935</v>
      </c>
      <c r="AA587" t="n">
        <v>2.5</v>
      </c>
      <c r="AB587" t="n">
        <v>9.5</v>
      </c>
    </row>
    <row r="588">
      <c r="A588" t="inlineStr">
        <is>
          <t>2026-09-24 14:26:17</t>
        </is>
      </c>
      <c r="B588" t="inlineStr">
        <is>
          <t>MLLB_000_y1.0.3</t>
        </is>
      </c>
      <c r="C588" t="inlineStr">
        <is>
          <t>WHITE</t>
        </is>
      </c>
      <c r="D588" t="inlineStr">
        <is>
          <t>v4_white_MLLB_000_y103_0924</t>
        </is>
      </c>
      <c r="E588" t="n">
        <v>3.6</v>
      </c>
      <c r="F588" t="n">
        <v>3.608</v>
      </c>
      <c r="G588" t="n">
        <v>15</v>
      </c>
      <c r="H588" t="n">
        <v>100</v>
      </c>
      <c r="I588" t="n">
        <v>31</v>
      </c>
      <c r="J588" t="inlineStr">
        <is>
          <t>ince</t>
        </is>
      </c>
      <c r="K588" t="b">
        <v>1</v>
      </c>
      <c r="M588" t="n">
        <v>30</v>
      </c>
      <c r="N588" t="n">
        <v>28</v>
      </c>
      <c r="O588" t="n">
        <v>10</v>
      </c>
      <c r="P588" t="n">
        <v>972</v>
      </c>
      <c r="Q588" t="n">
        <v>1002</v>
      </c>
      <c r="R588" t="n">
        <v>5.125</v>
      </c>
      <c r="S588" t="n">
        <v>182.519</v>
      </c>
      <c r="T588" t="n">
        <v>35.614</v>
      </c>
      <c r="U588" t="n">
        <v>0.778</v>
      </c>
      <c r="V588" t="b">
        <v>1</v>
      </c>
      <c r="X588" t="b">
        <v>0</v>
      </c>
      <c r="Y588" t="inlineStr">
        <is>
          <t>FLAS</t>
        </is>
      </c>
      <c r="Z588" t="n">
        <v>935</v>
      </c>
      <c r="AA588" t="n">
        <v>2.5</v>
      </c>
      <c r="AB588" t="n">
        <v>9.5</v>
      </c>
    </row>
    <row r="589">
      <c r="A589" t="inlineStr">
        <is>
          <t>2026-09-24 14:26:18</t>
        </is>
      </c>
      <c r="B589" t="inlineStr">
        <is>
          <t>MLLB_000_y1.0.3</t>
        </is>
      </c>
      <c r="C589" t="inlineStr">
        <is>
          <t>WHITE</t>
        </is>
      </c>
      <c r="D589" t="inlineStr">
        <is>
          <t>v4_white_MLLB_000_y103_0924</t>
        </is>
      </c>
      <c r="E589" t="n">
        <v>3.6</v>
      </c>
      <c r="F589" t="n">
        <v>3.608</v>
      </c>
      <c r="G589" t="n">
        <v>15</v>
      </c>
      <c r="H589" t="n">
        <v>100</v>
      </c>
      <c r="J589" t="inlineStr">
        <is>
          <t>bitti</t>
        </is>
      </c>
      <c r="K589" t="b">
        <v>0</v>
      </c>
      <c r="Z589" t="n">
        <v>935</v>
      </c>
      <c r="AA589" t="n">
        <v>2.5</v>
      </c>
      <c r="AB589" t="n">
        <v>9.5</v>
      </c>
    </row>
    <row r="590">
      <c r="A590" t="inlineStr">
        <is>
          <t>2026-09-24 14:26:33</t>
        </is>
      </c>
      <c r="B590" t="inlineStr">
        <is>
          <t>MLLB_000_y1.0.3</t>
        </is>
      </c>
      <c r="C590" t="inlineStr">
        <is>
          <t>WHITE</t>
        </is>
      </c>
      <c r="D590" t="inlineStr">
        <is>
          <t>v4_white_MLLB_000_y103_0924</t>
        </is>
      </c>
      <c r="E590" t="n">
        <v>3.6</v>
      </c>
      <c r="F590" t="n">
        <v>3.608</v>
      </c>
      <c r="G590" t="n">
        <v>15</v>
      </c>
      <c r="H590" t="n">
        <v>80</v>
      </c>
      <c r="I590" t="n">
        <v>12</v>
      </c>
      <c r="J590" t="inlineStr">
        <is>
          <t>kaba</t>
        </is>
      </c>
      <c r="K590" t="b">
        <v>1</v>
      </c>
      <c r="M590" t="n">
        <v>112</v>
      </c>
      <c r="N590" t="n">
        <v>30</v>
      </c>
      <c r="O590" t="n">
        <v>92</v>
      </c>
      <c r="P590" t="n">
        <v>890</v>
      </c>
      <c r="Q590" t="n">
        <v>1002</v>
      </c>
      <c r="R590" t="n">
        <v>1.068</v>
      </c>
      <c r="S590" t="n">
        <v>33.169</v>
      </c>
      <c r="T590" t="n">
        <v>31.048</v>
      </c>
      <c r="U590" t="n">
        <v>0.7783</v>
      </c>
      <c r="V590" t="b">
        <v>1</v>
      </c>
      <c r="X590" t="b">
        <v>0</v>
      </c>
      <c r="Y590" t="inlineStr">
        <is>
          <t>ON</t>
        </is>
      </c>
      <c r="Z590" t="n">
        <v>935</v>
      </c>
      <c r="AA590" t="n">
        <v>2.5</v>
      </c>
      <c r="AB590" t="n">
        <v>9.5</v>
      </c>
    </row>
    <row r="591">
      <c r="A591" t="inlineStr">
        <is>
          <t>2026-09-24 14:26:49</t>
        </is>
      </c>
      <c r="B591" t="inlineStr">
        <is>
          <t>MLLB_000_y1.0.3</t>
        </is>
      </c>
      <c r="C591" t="inlineStr">
        <is>
          <t>WHITE</t>
        </is>
      </c>
      <c r="D591" t="inlineStr">
        <is>
          <t>v4_white_MLLB_000_y103_0924</t>
        </is>
      </c>
      <c r="E591" t="n">
        <v>3.6</v>
      </c>
      <c r="F591" t="n">
        <v>3.608</v>
      </c>
      <c r="G591" t="n">
        <v>15</v>
      </c>
      <c r="H591" t="n">
        <v>80</v>
      </c>
      <c r="I591" t="n">
        <v>16</v>
      </c>
      <c r="J591" t="inlineStr">
        <is>
          <t>kaba</t>
        </is>
      </c>
      <c r="K591" t="b">
        <v>1</v>
      </c>
      <c r="M591" t="n">
        <v>92</v>
      </c>
      <c r="N591" t="n">
        <v>30</v>
      </c>
      <c r="O591" t="n">
        <v>72</v>
      </c>
      <c r="P591" t="n">
        <v>910</v>
      </c>
      <c r="Q591" t="n">
        <v>1002</v>
      </c>
      <c r="R591" t="n">
        <v>1.064</v>
      </c>
      <c r="S591" t="n">
        <v>33.048</v>
      </c>
      <c r="T591" t="n">
        <v>31.074</v>
      </c>
      <c r="U591" t="n">
        <v>0.7781</v>
      </c>
      <c r="V591" t="b">
        <v>1</v>
      </c>
      <c r="X591" t="b">
        <v>0</v>
      </c>
      <c r="Y591" t="inlineStr">
        <is>
          <t>ON</t>
        </is>
      </c>
      <c r="Z591" t="n">
        <v>935</v>
      </c>
      <c r="AA591" t="n">
        <v>2.5</v>
      </c>
      <c r="AB591" t="n">
        <v>9.5</v>
      </c>
    </row>
    <row r="592">
      <c r="A592" t="inlineStr">
        <is>
          <t>2026-09-24 14:27:05</t>
        </is>
      </c>
      <c r="B592" t="inlineStr">
        <is>
          <t>MLLB_000_y1.0.3</t>
        </is>
      </c>
      <c r="C592" t="inlineStr">
        <is>
          <t>WHITE</t>
        </is>
      </c>
      <c r="D592" t="inlineStr">
        <is>
          <t>v4_white_MLLB_000_y103_0924</t>
        </is>
      </c>
      <c r="E592" t="n">
        <v>3.6</v>
      </c>
      <c r="F592" t="n">
        <v>3.608</v>
      </c>
      <c r="G592" t="n">
        <v>15</v>
      </c>
      <c r="H592" t="n">
        <v>80</v>
      </c>
      <c r="I592" t="n">
        <v>20</v>
      </c>
      <c r="J592" t="inlineStr">
        <is>
          <t>kaba</t>
        </is>
      </c>
      <c r="K592" t="b">
        <v>1</v>
      </c>
      <c r="M592" t="n">
        <v>72</v>
      </c>
      <c r="N592" t="n">
        <v>30</v>
      </c>
      <c r="O592" t="n">
        <v>52</v>
      </c>
      <c r="P592" t="n">
        <v>930</v>
      </c>
      <c r="Q592" t="n">
        <v>1002</v>
      </c>
      <c r="R592" t="n">
        <v>1.066</v>
      </c>
      <c r="S592" t="n">
        <v>33.15</v>
      </c>
      <c r="T592" t="n">
        <v>31.108</v>
      </c>
      <c r="U592" t="n">
        <v>0.7779</v>
      </c>
      <c r="V592" t="b">
        <v>1</v>
      </c>
      <c r="X592" t="b">
        <v>0</v>
      </c>
      <c r="Y592" t="inlineStr">
        <is>
          <t>ON</t>
        </is>
      </c>
      <c r="Z592" t="n">
        <v>935</v>
      </c>
      <c r="AA592" t="n">
        <v>2.5</v>
      </c>
      <c r="AB592" t="n">
        <v>9.5</v>
      </c>
    </row>
    <row r="593">
      <c r="A593" t="inlineStr">
        <is>
          <t>2026-09-24 14:27:21</t>
        </is>
      </c>
      <c r="B593" t="inlineStr">
        <is>
          <t>MLLB_000_y1.0.3</t>
        </is>
      </c>
      <c r="C593" t="inlineStr">
        <is>
          <t>WHITE</t>
        </is>
      </c>
      <c r="D593" t="inlineStr">
        <is>
          <t>v4_white_MLLB_000_y103_0924</t>
        </is>
      </c>
      <c r="E593" t="n">
        <v>3.6</v>
      </c>
      <c r="F593" t="n">
        <v>3.608</v>
      </c>
      <c r="G593" t="n">
        <v>15</v>
      </c>
      <c r="H593" t="n">
        <v>80</v>
      </c>
      <c r="I593" t="n">
        <v>24</v>
      </c>
      <c r="J593" t="inlineStr">
        <is>
          <t>kaba</t>
        </is>
      </c>
      <c r="K593" t="b">
        <v>1</v>
      </c>
      <c r="M593" t="n">
        <v>52</v>
      </c>
      <c r="N593" t="n">
        <v>28</v>
      </c>
      <c r="O593" t="n">
        <v>34</v>
      </c>
      <c r="P593" t="n">
        <v>950</v>
      </c>
      <c r="Q593" t="n">
        <v>1002</v>
      </c>
      <c r="R593" t="n">
        <v>1.062</v>
      </c>
      <c r="S593" t="n">
        <v>33.099</v>
      </c>
      <c r="T593" t="n">
        <v>31.153</v>
      </c>
      <c r="U593" t="n">
        <v>0.7785</v>
      </c>
      <c r="V593" t="b">
        <v>1</v>
      </c>
      <c r="X593" t="b">
        <v>1</v>
      </c>
      <c r="Z593" t="n">
        <v>935</v>
      </c>
      <c r="AA593" t="n">
        <v>2.5</v>
      </c>
      <c r="AB593" t="n">
        <v>9.5</v>
      </c>
    </row>
    <row r="594">
      <c r="A594" t="inlineStr">
        <is>
          <t>2026-09-24 14:27:37</t>
        </is>
      </c>
      <c r="B594" t="inlineStr">
        <is>
          <t>MLLB_000_y1.0.3</t>
        </is>
      </c>
      <c r="C594" t="inlineStr">
        <is>
          <t>WHITE</t>
        </is>
      </c>
      <c r="D594" t="inlineStr">
        <is>
          <t>v4_white_MLLB_000_y103_0924</t>
        </is>
      </c>
      <c r="E594" t="n">
        <v>3.6</v>
      </c>
      <c r="F594" t="n">
        <v>3.608</v>
      </c>
      <c r="G594" t="n">
        <v>15</v>
      </c>
      <c r="H594" t="n">
        <v>80</v>
      </c>
      <c r="I594" t="n">
        <v>28</v>
      </c>
      <c r="J594" t="inlineStr">
        <is>
          <t>kaba</t>
        </is>
      </c>
      <c r="K594" t="b">
        <v>1</v>
      </c>
      <c r="M594" t="n">
        <v>34</v>
      </c>
      <c r="N594" t="n">
        <v>34</v>
      </c>
      <c r="O594" t="n">
        <v>14</v>
      </c>
      <c r="P594" t="n">
        <v>968</v>
      </c>
      <c r="Q594" t="n">
        <v>1002</v>
      </c>
      <c r="R594" t="n">
        <v>1.063</v>
      </c>
      <c r="S594" t="n">
        <v>33.091</v>
      </c>
      <c r="T594" t="n">
        <v>31.136</v>
      </c>
      <c r="U594" t="n">
        <v>0.7779</v>
      </c>
      <c r="V594" t="b">
        <v>1</v>
      </c>
      <c r="X594" t="b">
        <v>1</v>
      </c>
      <c r="Z594" t="n">
        <v>935</v>
      </c>
      <c r="AA594" t="n">
        <v>2.5</v>
      </c>
      <c r="AB594" t="n">
        <v>9.5</v>
      </c>
    </row>
    <row r="595">
      <c r="A595" t="inlineStr">
        <is>
          <t>2026-09-24 14:27:50</t>
        </is>
      </c>
      <c r="B595" t="inlineStr">
        <is>
          <t>MLLB_000_y1.0.3</t>
        </is>
      </c>
      <c r="C595" t="inlineStr">
        <is>
          <t>WHITE</t>
        </is>
      </c>
      <c r="D595" t="inlineStr">
        <is>
          <t>v4_white_MLLB_000_y103_0924</t>
        </is>
      </c>
      <c r="E595" t="n">
        <v>3.6</v>
      </c>
      <c r="F595" t="n">
        <v>3.608</v>
      </c>
      <c r="G595" t="n">
        <v>15</v>
      </c>
      <c r="H595" t="n">
        <v>80</v>
      </c>
      <c r="I595" t="n">
        <v>32</v>
      </c>
      <c r="J595" t="inlineStr">
        <is>
          <t>kaba</t>
        </is>
      </c>
      <c r="K595" t="b">
        <v>1</v>
      </c>
      <c r="M595" t="n">
        <v>34</v>
      </c>
      <c r="N595" t="n">
        <v>32</v>
      </c>
      <c r="O595" t="n">
        <v>14</v>
      </c>
      <c r="P595" t="n">
        <v>968</v>
      </c>
      <c r="Q595" t="n">
        <v>1002</v>
      </c>
      <c r="R595" t="n">
        <v>1.502</v>
      </c>
      <c r="S595" t="n">
        <v>46.704</v>
      </c>
      <c r="T595" t="n">
        <v>31.103</v>
      </c>
      <c r="U595" t="n">
        <v>0.7782</v>
      </c>
      <c r="V595" t="b">
        <v>1</v>
      </c>
      <c r="X595" t="b">
        <v>1</v>
      </c>
      <c r="Z595" t="n">
        <v>935</v>
      </c>
      <c r="AA595" t="n">
        <v>2.5</v>
      </c>
      <c r="AB595" t="n">
        <v>9.5</v>
      </c>
    </row>
    <row r="596">
      <c r="A596" t="inlineStr">
        <is>
          <t>2026-09-24 14:28:05</t>
        </is>
      </c>
      <c r="B596" t="inlineStr">
        <is>
          <t>MLLB_000_y1.0.3</t>
        </is>
      </c>
      <c r="C596" t="inlineStr">
        <is>
          <t>WHITE</t>
        </is>
      </c>
      <c r="D596" t="inlineStr">
        <is>
          <t>v4_white_MLLB_000_y103_0924</t>
        </is>
      </c>
      <c r="E596" t="n">
        <v>3.6</v>
      </c>
      <c r="F596" t="n">
        <v>3.608</v>
      </c>
      <c r="G596" t="n">
        <v>15</v>
      </c>
      <c r="H596" t="n">
        <v>80</v>
      </c>
      <c r="I596" t="n">
        <v>36</v>
      </c>
      <c r="J596" t="inlineStr">
        <is>
          <t>kaba</t>
        </is>
      </c>
      <c r="K596" t="b">
        <v>1</v>
      </c>
      <c r="M596" t="n">
        <v>34</v>
      </c>
      <c r="N596" t="n">
        <v>32</v>
      </c>
      <c r="O596" t="n">
        <v>14</v>
      </c>
      <c r="P596" t="n">
        <v>968</v>
      </c>
      <c r="Q596" t="n">
        <v>1002</v>
      </c>
      <c r="R596" t="n">
        <v>3.374</v>
      </c>
      <c r="S596" t="n">
        <v>120.282</v>
      </c>
      <c r="T596" t="n">
        <v>35.647</v>
      </c>
      <c r="U596" t="n">
        <v>0.7784</v>
      </c>
      <c r="V596" t="b">
        <v>1</v>
      </c>
      <c r="X596" t="b">
        <v>0</v>
      </c>
      <c r="Y596" t="inlineStr">
        <is>
          <t>FLAS</t>
        </is>
      </c>
      <c r="Z596" t="n">
        <v>935</v>
      </c>
      <c r="AA596" t="n">
        <v>2.5</v>
      </c>
      <c r="AB596" t="n">
        <v>9.5</v>
      </c>
    </row>
    <row r="597">
      <c r="A597" t="inlineStr">
        <is>
          <t>2026-09-24 14:28:18</t>
        </is>
      </c>
      <c r="B597" t="inlineStr">
        <is>
          <t>MLLB_000_y1.0.3</t>
        </is>
      </c>
      <c r="C597" t="inlineStr">
        <is>
          <t>WHITE</t>
        </is>
      </c>
      <c r="D597" t="inlineStr">
        <is>
          <t>v4_white_MLLB_000_y103_0924</t>
        </is>
      </c>
      <c r="E597" t="n">
        <v>3.6</v>
      </c>
      <c r="F597" t="n">
        <v>3.608</v>
      </c>
      <c r="G597" t="n">
        <v>15</v>
      </c>
      <c r="H597" t="n">
        <v>80</v>
      </c>
      <c r="I597" t="n">
        <v>40</v>
      </c>
      <c r="J597" t="inlineStr">
        <is>
          <t>kaba</t>
        </is>
      </c>
      <c r="K597" t="b">
        <v>1</v>
      </c>
      <c r="M597" t="n">
        <v>34</v>
      </c>
      <c r="N597" t="n">
        <v>32</v>
      </c>
      <c r="O597" t="n">
        <v>14</v>
      </c>
      <c r="P597" t="n">
        <v>968</v>
      </c>
      <c r="Q597" t="n">
        <v>1002</v>
      </c>
      <c r="R597" t="n">
        <v>5.085</v>
      </c>
      <c r="S597" t="n">
        <v>180.993</v>
      </c>
      <c r="T597" t="n">
        <v>35.595</v>
      </c>
      <c r="U597" t="n">
        <v>0.7774</v>
      </c>
      <c r="V597" t="b">
        <v>1</v>
      </c>
      <c r="X597" t="b">
        <v>0</v>
      </c>
      <c r="Y597" t="inlineStr">
        <is>
          <t>FLAS</t>
        </is>
      </c>
      <c r="Z597" t="n">
        <v>935</v>
      </c>
      <c r="AA597" t="n">
        <v>2.5</v>
      </c>
      <c r="AB597" t="n">
        <v>9.5</v>
      </c>
    </row>
    <row r="598">
      <c r="A598" t="inlineStr">
        <is>
          <t>2026-09-24 14:28:33</t>
        </is>
      </c>
      <c r="B598" t="inlineStr">
        <is>
          <t>MLLB_000_y1.0.3</t>
        </is>
      </c>
      <c r="C598" t="inlineStr">
        <is>
          <t>WHITE</t>
        </is>
      </c>
      <c r="D598" t="inlineStr">
        <is>
          <t>v4_white_MLLB_000_y103_0924</t>
        </is>
      </c>
      <c r="E598" t="n">
        <v>3.6</v>
      </c>
      <c r="F598" t="n">
        <v>3.608</v>
      </c>
      <c r="G598" t="n">
        <v>15</v>
      </c>
      <c r="H598" t="n">
        <v>80</v>
      </c>
      <c r="I598" t="n">
        <v>21</v>
      </c>
      <c r="J598" t="inlineStr">
        <is>
          <t>ince</t>
        </is>
      </c>
      <c r="K598" t="b">
        <v>1</v>
      </c>
      <c r="M598" t="n">
        <v>68</v>
      </c>
      <c r="N598" t="n">
        <v>30</v>
      </c>
      <c r="O598" t="n">
        <v>48</v>
      </c>
      <c r="P598" t="n">
        <v>934</v>
      </c>
      <c r="Q598" t="n">
        <v>1002</v>
      </c>
      <c r="R598" t="n">
        <v>1.062</v>
      </c>
      <c r="S598" t="n">
        <v>33.048</v>
      </c>
      <c r="T598" t="n">
        <v>31.108</v>
      </c>
      <c r="U598" t="n">
        <v>0.7779</v>
      </c>
      <c r="V598" t="b">
        <v>1</v>
      </c>
      <c r="X598" t="b">
        <v>0</v>
      </c>
      <c r="Y598" t="inlineStr">
        <is>
          <t>ON</t>
        </is>
      </c>
      <c r="Z598" t="n">
        <v>935</v>
      </c>
      <c r="AA598" t="n">
        <v>2.5</v>
      </c>
      <c r="AB598" t="n">
        <v>9.5</v>
      </c>
    </row>
    <row r="599">
      <c r="A599" t="inlineStr">
        <is>
          <t>2026-09-24 14:28:49</t>
        </is>
      </c>
      <c r="B599" t="inlineStr">
        <is>
          <t>MLLB_000_y1.0.3</t>
        </is>
      </c>
      <c r="C599" t="inlineStr">
        <is>
          <t>WHITE</t>
        </is>
      </c>
      <c r="D599" t="inlineStr">
        <is>
          <t>v4_white_MLLB_000_y103_0924</t>
        </is>
      </c>
      <c r="E599" t="n">
        <v>3.6</v>
      </c>
      <c r="F599" t="n">
        <v>3.608</v>
      </c>
      <c r="G599" t="n">
        <v>15</v>
      </c>
      <c r="H599" t="n">
        <v>80</v>
      </c>
      <c r="I599" t="n">
        <v>22</v>
      </c>
      <c r="J599" t="inlineStr">
        <is>
          <t>ince</t>
        </is>
      </c>
      <c r="K599" t="b">
        <v>1</v>
      </c>
      <c r="M599" t="n">
        <v>62</v>
      </c>
      <c r="N599" t="n">
        <v>32</v>
      </c>
      <c r="O599" t="n">
        <v>42</v>
      </c>
      <c r="P599" t="n">
        <v>940</v>
      </c>
      <c r="Q599" t="n">
        <v>1002</v>
      </c>
      <c r="R599" t="n">
        <v>1.064</v>
      </c>
      <c r="S599" t="n">
        <v>33.103</v>
      </c>
      <c r="T599" t="n">
        <v>31.125</v>
      </c>
      <c r="U599" t="n">
        <v>0.7779</v>
      </c>
      <c r="V599" t="b">
        <v>1</v>
      </c>
      <c r="X599" t="b">
        <v>1</v>
      </c>
      <c r="Z599" t="n">
        <v>935</v>
      </c>
      <c r="AA599" t="n">
        <v>2.5</v>
      </c>
      <c r="AB599" t="n">
        <v>9.5</v>
      </c>
    </row>
    <row r="600">
      <c r="A600" t="inlineStr">
        <is>
          <t>2026-09-24 14:29:05</t>
        </is>
      </c>
      <c r="B600" t="inlineStr">
        <is>
          <t>MLLB_000_y1.0.3</t>
        </is>
      </c>
      <c r="C600" t="inlineStr">
        <is>
          <t>WHITE</t>
        </is>
      </c>
      <c r="D600" t="inlineStr">
        <is>
          <t>v4_white_MLLB_000_y103_0924</t>
        </is>
      </c>
      <c r="E600" t="n">
        <v>3.6</v>
      </c>
      <c r="F600" t="n">
        <v>3.608</v>
      </c>
      <c r="G600" t="n">
        <v>15</v>
      </c>
      <c r="H600" t="n">
        <v>80</v>
      </c>
      <c r="I600" t="n">
        <v>23</v>
      </c>
      <c r="J600" t="inlineStr">
        <is>
          <t>ince</t>
        </is>
      </c>
      <c r="K600" t="b">
        <v>1</v>
      </c>
      <c r="M600" t="n">
        <v>58</v>
      </c>
      <c r="N600" t="n">
        <v>32</v>
      </c>
      <c r="O600" t="n">
        <v>38</v>
      </c>
      <c r="P600" t="n">
        <v>944</v>
      </c>
      <c r="Q600" t="n">
        <v>1002</v>
      </c>
      <c r="R600" t="n">
        <v>1.063</v>
      </c>
      <c r="S600" t="n">
        <v>33.099</v>
      </c>
      <c r="T600" t="n">
        <v>31.127</v>
      </c>
      <c r="U600" t="n">
        <v>0.7786</v>
      </c>
      <c r="V600" t="b">
        <v>1</v>
      </c>
      <c r="X600" t="b">
        <v>1</v>
      </c>
      <c r="Z600" t="n">
        <v>935</v>
      </c>
      <c r="AA600" t="n">
        <v>2.5</v>
      </c>
      <c r="AB600" t="n">
        <v>9.5</v>
      </c>
    </row>
    <row r="601">
      <c r="A601" t="inlineStr">
        <is>
          <t>2026-09-24 14:29:06</t>
        </is>
      </c>
      <c r="B601" t="inlineStr">
        <is>
          <t>MLLB_000_y1.0.3</t>
        </is>
      </c>
      <c r="C601" t="inlineStr">
        <is>
          <t>WHITE</t>
        </is>
      </c>
      <c r="D601" t="inlineStr">
        <is>
          <t>v4_white_MLLB_000_y103_0924</t>
        </is>
      </c>
      <c r="E601" t="n">
        <v>3.6</v>
      </c>
      <c r="F601" t="n">
        <v>3.608</v>
      </c>
      <c r="G601" t="n">
        <v>15</v>
      </c>
      <c r="H601" t="n">
        <v>80</v>
      </c>
      <c r="I601" t="n">
        <v>25</v>
      </c>
      <c r="J601" t="inlineStr">
        <is>
          <t>ince</t>
        </is>
      </c>
      <c r="K601" t="b">
        <v>0</v>
      </c>
      <c r="L601" t="inlineStr">
        <is>
          <t>iki-OK-arasi-monotonluk</t>
        </is>
      </c>
      <c r="X601" t="b">
        <v>1</v>
      </c>
      <c r="Z601" t="n">
        <v>935</v>
      </c>
      <c r="AA601" t="n">
        <v>2.5</v>
      </c>
      <c r="AB601" t="n">
        <v>9.5</v>
      </c>
    </row>
    <row r="602">
      <c r="A602" t="inlineStr">
        <is>
          <t>2026-09-24 14:29:06</t>
        </is>
      </c>
      <c r="B602" t="inlineStr">
        <is>
          <t>MLLB_000_y1.0.3</t>
        </is>
      </c>
      <c r="C602" t="inlineStr">
        <is>
          <t>WHITE</t>
        </is>
      </c>
      <c r="D602" t="inlineStr">
        <is>
          <t>v4_white_MLLB_000_y103_0924</t>
        </is>
      </c>
      <c r="E602" t="n">
        <v>3.6</v>
      </c>
      <c r="F602" t="n">
        <v>3.608</v>
      </c>
      <c r="G602" t="n">
        <v>15</v>
      </c>
      <c r="H602" t="n">
        <v>80</v>
      </c>
      <c r="I602" t="n">
        <v>26</v>
      </c>
      <c r="J602" t="inlineStr">
        <is>
          <t>ince</t>
        </is>
      </c>
      <c r="K602" t="b">
        <v>0</v>
      </c>
      <c r="L602" t="inlineStr">
        <is>
          <t>iki-OK-arasi-monotonluk</t>
        </is>
      </c>
      <c r="X602" t="b">
        <v>1</v>
      </c>
      <c r="Z602" t="n">
        <v>935</v>
      </c>
      <c r="AA602" t="n">
        <v>2.5</v>
      </c>
      <c r="AB602" t="n">
        <v>9.5</v>
      </c>
    </row>
    <row r="603">
      <c r="A603" t="inlineStr">
        <is>
          <t>2026-09-24 14:29:06</t>
        </is>
      </c>
      <c r="B603" t="inlineStr">
        <is>
          <t>MLLB_000_y1.0.3</t>
        </is>
      </c>
      <c r="C603" t="inlineStr">
        <is>
          <t>WHITE</t>
        </is>
      </c>
      <c r="D603" t="inlineStr">
        <is>
          <t>v4_white_MLLB_000_y103_0924</t>
        </is>
      </c>
      <c r="E603" t="n">
        <v>3.6</v>
      </c>
      <c r="F603" t="n">
        <v>3.608</v>
      </c>
      <c r="G603" t="n">
        <v>15</v>
      </c>
      <c r="H603" t="n">
        <v>80</v>
      </c>
      <c r="I603" t="n">
        <v>27</v>
      </c>
      <c r="J603" t="inlineStr">
        <is>
          <t>ince</t>
        </is>
      </c>
      <c r="K603" t="b">
        <v>0</v>
      </c>
      <c r="L603" t="inlineStr">
        <is>
          <t>iki-OK-arasi-monotonluk</t>
        </is>
      </c>
      <c r="X603" t="b">
        <v>1</v>
      </c>
      <c r="Z603" t="n">
        <v>935</v>
      </c>
      <c r="AA603" t="n">
        <v>2.5</v>
      </c>
      <c r="AB603" t="n">
        <v>9.5</v>
      </c>
    </row>
    <row r="604">
      <c r="A604" t="inlineStr">
        <is>
          <t>2026-09-24 14:29:06</t>
        </is>
      </c>
      <c r="B604" t="inlineStr">
        <is>
          <t>MLLB_000_y1.0.3</t>
        </is>
      </c>
      <c r="C604" t="inlineStr">
        <is>
          <t>WHITE</t>
        </is>
      </c>
      <c r="D604" t="inlineStr">
        <is>
          <t>v4_white_MLLB_000_y103_0924</t>
        </is>
      </c>
      <c r="E604" t="n">
        <v>3.6</v>
      </c>
      <c r="F604" t="n">
        <v>3.608</v>
      </c>
      <c r="G604" t="n">
        <v>15</v>
      </c>
      <c r="H604" t="n">
        <v>80</v>
      </c>
      <c r="I604" t="n">
        <v>29</v>
      </c>
      <c r="J604" t="inlineStr">
        <is>
          <t>ince</t>
        </is>
      </c>
      <c r="K604" t="b">
        <v>0</v>
      </c>
      <c r="L604" t="inlineStr">
        <is>
          <t>iki-OK-arasi-monotonluk</t>
        </is>
      </c>
      <c r="X604" t="b">
        <v>1</v>
      </c>
      <c r="Z604" t="n">
        <v>935</v>
      </c>
      <c r="AA604" t="n">
        <v>2.5</v>
      </c>
      <c r="AB604" t="n">
        <v>9.5</v>
      </c>
    </row>
    <row r="605">
      <c r="A605" t="inlineStr">
        <is>
          <t>2026-09-24 14:29:06</t>
        </is>
      </c>
      <c r="B605" t="inlineStr">
        <is>
          <t>MLLB_000_y1.0.3</t>
        </is>
      </c>
      <c r="C605" t="inlineStr">
        <is>
          <t>WHITE</t>
        </is>
      </c>
      <c r="D605" t="inlineStr">
        <is>
          <t>v4_white_MLLB_000_y103_0924</t>
        </is>
      </c>
      <c r="E605" t="n">
        <v>3.6</v>
      </c>
      <c r="F605" t="n">
        <v>3.608</v>
      </c>
      <c r="G605" t="n">
        <v>15</v>
      </c>
      <c r="H605" t="n">
        <v>80</v>
      </c>
      <c r="I605" t="n">
        <v>30</v>
      </c>
      <c r="J605" t="inlineStr">
        <is>
          <t>ince</t>
        </is>
      </c>
      <c r="K605" t="b">
        <v>0</v>
      </c>
      <c r="L605" t="inlineStr">
        <is>
          <t>iki-OK-arasi-monotonluk</t>
        </is>
      </c>
      <c r="X605" t="b">
        <v>1</v>
      </c>
      <c r="Z605" t="n">
        <v>935</v>
      </c>
      <c r="AA605" t="n">
        <v>2.5</v>
      </c>
      <c r="AB605" t="n">
        <v>9.5</v>
      </c>
    </row>
    <row r="606">
      <c r="A606" t="inlineStr">
        <is>
          <t>2026-09-24 14:29:06</t>
        </is>
      </c>
      <c r="B606" t="inlineStr">
        <is>
          <t>MLLB_000_y1.0.3</t>
        </is>
      </c>
      <c r="C606" t="inlineStr">
        <is>
          <t>WHITE</t>
        </is>
      </c>
      <c r="D606" t="inlineStr">
        <is>
          <t>v4_white_MLLB_000_y103_0924</t>
        </is>
      </c>
      <c r="E606" t="n">
        <v>3.6</v>
      </c>
      <c r="F606" t="n">
        <v>3.608</v>
      </c>
      <c r="G606" t="n">
        <v>15</v>
      </c>
      <c r="H606" t="n">
        <v>80</v>
      </c>
      <c r="I606" t="n">
        <v>31</v>
      </c>
      <c r="J606" t="inlineStr">
        <is>
          <t>ince</t>
        </is>
      </c>
      <c r="K606" t="b">
        <v>0</v>
      </c>
      <c r="L606" t="inlineStr">
        <is>
          <t>iki-OK-arasi-monotonluk</t>
        </is>
      </c>
      <c r="X606" t="b">
        <v>1</v>
      </c>
      <c r="Z606" t="n">
        <v>935</v>
      </c>
      <c r="AA606" t="n">
        <v>2.5</v>
      </c>
      <c r="AB606" t="n">
        <v>9.5</v>
      </c>
    </row>
    <row r="607">
      <c r="A607" t="inlineStr">
        <is>
          <t>2026-09-24 14:29:21</t>
        </is>
      </c>
      <c r="B607" t="inlineStr">
        <is>
          <t>MLLB_000_y1.0.3</t>
        </is>
      </c>
      <c r="C607" t="inlineStr">
        <is>
          <t>WHITE</t>
        </is>
      </c>
      <c r="D607" t="inlineStr">
        <is>
          <t>v4_white_MLLB_000_y103_0924</t>
        </is>
      </c>
      <c r="E607" t="n">
        <v>3.6</v>
      </c>
      <c r="F607" t="n">
        <v>3.608</v>
      </c>
      <c r="G607" t="n">
        <v>15</v>
      </c>
      <c r="H607" t="n">
        <v>80</v>
      </c>
      <c r="I607" t="n">
        <v>33</v>
      </c>
      <c r="J607" t="inlineStr">
        <is>
          <t>ince</t>
        </is>
      </c>
      <c r="K607" t="b">
        <v>1</v>
      </c>
      <c r="M607" t="n">
        <v>34</v>
      </c>
      <c r="N607" t="n">
        <v>32</v>
      </c>
      <c r="O607" t="n">
        <v>14</v>
      </c>
      <c r="P607" t="n">
        <v>968</v>
      </c>
      <c r="Q607" t="n">
        <v>1002</v>
      </c>
      <c r="R607" t="n">
        <v>1.674</v>
      </c>
      <c r="S607" t="n">
        <v>52.128</v>
      </c>
      <c r="T607" t="n">
        <v>31.145</v>
      </c>
      <c r="U607" t="n">
        <v>0.7782</v>
      </c>
      <c r="V607" t="b">
        <v>1</v>
      </c>
      <c r="X607" t="b">
        <v>1</v>
      </c>
      <c r="Z607" t="n">
        <v>935</v>
      </c>
      <c r="AA607" t="n">
        <v>2.5</v>
      </c>
      <c r="AB607" t="n">
        <v>9.5</v>
      </c>
    </row>
    <row r="608">
      <c r="A608" t="inlineStr">
        <is>
          <t>2026-09-24 14:29:37</t>
        </is>
      </c>
      <c r="B608" t="inlineStr">
        <is>
          <t>MLLB_000_y1.0.3</t>
        </is>
      </c>
      <c r="C608" t="inlineStr">
        <is>
          <t>WHITE</t>
        </is>
      </c>
      <c r="D608" t="inlineStr">
        <is>
          <t>v4_white_MLLB_000_y103_0924</t>
        </is>
      </c>
      <c r="E608" t="n">
        <v>3.6</v>
      </c>
      <c r="F608" t="n">
        <v>3.608</v>
      </c>
      <c r="G608" t="n">
        <v>15</v>
      </c>
      <c r="H608" t="n">
        <v>80</v>
      </c>
      <c r="I608" t="n">
        <v>34</v>
      </c>
      <c r="J608" t="inlineStr">
        <is>
          <t>ince</t>
        </is>
      </c>
      <c r="K608" t="b">
        <v>1</v>
      </c>
      <c r="M608" t="n">
        <v>34</v>
      </c>
      <c r="N608" t="n">
        <v>32</v>
      </c>
      <c r="O608" t="n">
        <v>14</v>
      </c>
      <c r="P608" t="n">
        <v>968</v>
      </c>
      <c r="Q608" t="n">
        <v>1002</v>
      </c>
      <c r="R608" t="n">
        <v>2.122</v>
      </c>
      <c r="S608" t="n">
        <v>75.904</v>
      </c>
      <c r="T608" t="n">
        <v>35.77</v>
      </c>
      <c r="U608" t="n">
        <v>0.7778</v>
      </c>
      <c r="V608" t="b">
        <v>1</v>
      </c>
      <c r="X608" t="b">
        <v>1</v>
      </c>
      <c r="Z608" t="n">
        <v>935</v>
      </c>
      <c r="AA608" t="n">
        <v>2.5</v>
      </c>
      <c r="AB608" t="n">
        <v>9.5</v>
      </c>
    </row>
    <row r="609">
      <c r="A609" t="inlineStr">
        <is>
          <t>2026-09-24 14:29:53</t>
        </is>
      </c>
      <c r="B609" t="inlineStr">
        <is>
          <t>MLLB_000_y1.0.3</t>
        </is>
      </c>
      <c r="C609" t="inlineStr">
        <is>
          <t>WHITE</t>
        </is>
      </c>
      <c r="D609" t="inlineStr">
        <is>
          <t>v4_white_MLLB_000_y103_0924</t>
        </is>
      </c>
      <c r="E609" t="n">
        <v>3.6</v>
      </c>
      <c r="F609" t="n">
        <v>3.608</v>
      </c>
      <c r="G609" t="n">
        <v>15</v>
      </c>
      <c r="H609" t="n">
        <v>80</v>
      </c>
      <c r="I609" t="n">
        <v>35</v>
      </c>
      <c r="J609" t="inlineStr">
        <is>
          <t>ince</t>
        </is>
      </c>
      <c r="K609" t="b">
        <v>1</v>
      </c>
      <c r="M609" t="n">
        <v>34</v>
      </c>
      <c r="N609" t="n">
        <v>32</v>
      </c>
      <c r="O609" t="n">
        <v>14</v>
      </c>
      <c r="P609" t="n">
        <v>968</v>
      </c>
      <c r="Q609" t="n">
        <v>1002</v>
      </c>
      <c r="R609" t="n">
        <v>2.64</v>
      </c>
      <c r="S609" t="n">
        <v>94.667</v>
      </c>
      <c r="T609" t="n">
        <v>35.859</v>
      </c>
      <c r="U609" t="n">
        <v>0.7782</v>
      </c>
      <c r="V609" t="b">
        <v>1</v>
      </c>
      <c r="X609" t="b">
        <v>0</v>
      </c>
      <c r="Y609" t="inlineStr">
        <is>
          <t>FLAS</t>
        </is>
      </c>
      <c r="Z609" t="n">
        <v>935</v>
      </c>
      <c r="AA609" t="n">
        <v>2.5</v>
      </c>
      <c r="AB609" t="n">
        <v>9.5</v>
      </c>
    </row>
    <row r="610">
      <c r="A610" t="inlineStr">
        <is>
          <t>2026-09-24 14:29:54</t>
        </is>
      </c>
      <c r="B610" t="inlineStr">
        <is>
          <t>MLLB_000_y1.0.3</t>
        </is>
      </c>
      <c r="C610" t="inlineStr">
        <is>
          <t>WHITE</t>
        </is>
      </c>
      <c r="D610" t="inlineStr">
        <is>
          <t>v4_white_MLLB_000_y103_0924</t>
        </is>
      </c>
      <c r="E610" t="n">
        <v>3.6</v>
      </c>
      <c r="F610" t="n">
        <v>3.608</v>
      </c>
      <c r="G610" t="n">
        <v>15</v>
      </c>
      <c r="H610" t="n">
        <v>80</v>
      </c>
      <c r="J610" t="inlineStr">
        <is>
          <t>bitti</t>
        </is>
      </c>
      <c r="K610" t="b">
        <v>0</v>
      </c>
      <c r="Z610" t="n">
        <v>935</v>
      </c>
      <c r="AA610" t="n">
        <v>2.5</v>
      </c>
      <c r="AB610" t="n">
        <v>9.5</v>
      </c>
    </row>
    <row r="611">
      <c r="A611" t="inlineStr">
        <is>
          <t>2026-09-24 14:30:09</t>
        </is>
      </c>
      <c r="B611" t="inlineStr">
        <is>
          <t>MLLB_000_y1.0.3</t>
        </is>
      </c>
      <c r="C611" t="inlineStr">
        <is>
          <t>WHITE</t>
        </is>
      </c>
      <c r="D611" t="inlineStr">
        <is>
          <t>v4_white_MLLB_000_y103_0924</t>
        </is>
      </c>
      <c r="E611" t="n">
        <v>3.6</v>
      </c>
      <c r="F611" t="n">
        <v>3.608</v>
      </c>
      <c r="G611" t="n">
        <v>15</v>
      </c>
      <c r="H611" t="n">
        <v>60</v>
      </c>
      <c r="I611" t="n">
        <v>12</v>
      </c>
      <c r="J611" t="inlineStr">
        <is>
          <t>kaba</t>
        </is>
      </c>
      <c r="K611" t="b">
        <v>1</v>
      </c>
      <c r="M611" t="n">
        <v>126</v>
      </c>
      <c r="N611" t="n">
        <v>32</v>
      </c>
      <c r="O611" t="n">
        <v>106</v>
      </c>
      <c r="P611" t="n">
        <v>876</v>
      </c>
      <c r="Q611" t="n">
        <v>1002</v>
      </c>
      <c r="R611" t="n">
        <v>1.067</v>
      </c>
      <c r="S611" t="n">
        <v>33.085</v>
      </c>
      <c r="T611" t="n">
        <v>31.018</v>
      </c>
      <c r="U611" t="n">
        <v>0.7784</v>
      </c>
      <c r="V611" t="b">
        <v>1</v>
      </c>
      <c r="X611" t="b">
        <v>0</v>
      </c>
      <c r="Y611" t="inlineStr">
        <is>
          <t>ON</t>
        </is>
      </c>
      <c r="Z611" t="n">
        <v>935</v>
      </c>
      <c r="AA611" t="n">
        <v>2.5</v>
      </c>
      <c r="AB611" t="n">
        <v>9.5</v>
      </c>
    </row>
    <row r="612">
      <c r="A612" t="inlineStr">
        <is>
          <t>2026-09-24 14:30:25</t>
        </is>
      </c>
      <c r="B612" t="inlineStr">
        <is>
          <t>MLLB_000_y1.0.3</t>
        </is>
      </c>
      <c r="C612" t="inlineStr">
        <is>
          <t>WHITE</t>
        </is>
      </c>
      <c r="D612" t="inlineStr">
        <is>
          <t>v4_white_MLLB_000_y103_0924</t>
        </is>
      </c>
      <c r="E612" t="n">
        <v>3.6</v>
      </c>
      <c r="F612" t="n">
        <v>3.608</v>
      </c>
      <c r="G612" t="n">
        <v>15</v>
      </c>
      <c r="H612" t="n">
        <v>60</v>
      </c>
      <c r="I612" t="n">
        <v>16</v>
      </c>
      <c r="J612" t="inlineStr">
        <is>
          <t>kaba</t>
        </is>
      </c>
      <c r="K612" t="b">
        <v>1</v>
      </c>
      <c r="M612" t="n">
        <v>112</v>
      </c>
      <c r="N612" t="n">
        <v>28</v>
      </c>
      <c r="O612" t="n">
        <v>94</v>
      </c>
      <c r="P612" t="n">
        <v>890</v>
      </c>
      <c r="Q612" t="n">
        <v>1002</v>
      </c>
      <c r="R612" t="n">
        <v>1.065</v>
      </c>
      <c r="S612" t="n">
        <v>33.062</v>
      </c>
      <c r="T612" t="n">
        <v>31.038</v>
      </c>
      <c r="U612" t="n">
        <v>0.7784</v>
      </c>
      <c r="V612" t="b">
        <v>1</v>
      </c>
      <c r="X612" t="b">
        <v>0</v>
      </c>
      <c r="Y612" t="inlineStr">
        <is>
          <t>ON</t>
        </is>
      </c>
      <c r="Z612" t="n">
        <v>935</v>
      </c>
      <c r="AA612" t="n">
        <v>2.5</v>
      </c>
      <c r="AB612" t="n">
        <v>9.5</v>
      </c>
    </row>
    <row r="613">
      <c r="A613" t="inlineStr">
        <is>
          <t>2026-09-24 14:30:41</t>
        </is>
      </c>
      <c r="B613" t="inlineStr">
        <is>
          <t>MLLB_000_y1.0.3</t>
        </is>
      </c>
      <c r="C613" t="inlineStr">
        <is>
          <t>WHITE</t>
        </is>
      </c>
      <c r="D613" t="inlineStr">
        <is>
          <t>v4_white_MLLB_000_y103_0924</t>
        </is>
      </c>
      <c r="E613" t="n">
        <v>3.6</v>
      </c>
      <c r="F613" t="n">
        <v>3.608</v>
      </c>
      <c r="G613" t="n">
        <v>15</v>
      </c>
      <c r="H613" t="n">
        <v>60</v>
      </c>
      <c r="I613" t="n">
        <v>20</v>
      </c>
      <c r="J613" t="inlineStr">
        <is>
          <t>kaba</t>
        </is>
      </c>
      <c r="K613" t="b">
        <v>1</v>
      </c>
      <c r="M613" t="n">
        <v>100</v>
      </c>
      <c r="N613" t="n">
        <v>32</v>
      </c>
      <c r="O613" t="n">
        <v>78</v>
      </c>
      <c r="P613" t="n">
        <v>902</v>
      </c>
      <c r="Q613" t="n">
        <v>1002</v>
      </c>
      <c r="R613" t="n">
        <v>1.065</v>
      </c>
      <c r="S613" t="n">
        <v>33.091</v>
      </c>
      <c r="T613" t="n">
        <v>31.068</v>
      </c>
      <c r="U613" t="n">
        <v>0.7778</v>
      </c>
      <c r="V613" t="b">
        <v>1</v>
      </c>
      <c r="X613" t="b">
        <v>0</v>
      </c>
      <c r="Y613" t="inlineStr">
        <is>
          <t>ON</t>
        </is>
      </c>
      <c r="Z613" t="n">
        <v>935</v>
      </c>
      <c r="AA613" t="n">
        <v>2.5</v>
      </c>
      <c r="AB613" t="n">
        <v>9.5</v>
      </c>
    </row>
    <row r="614">
      <c r="A614" t="inlineStr">
        <is>
          <t>2026-09-24 14:30:57</t>
        </is>
      </c>
      <c r="B614" t="inlineStr">
        <is>
          <t>MLLB_000_y1.0.3</t>
        </is>
      </c>
      <c r="C614" t="inlineStr">
        <is>
          <t>WHITE</t>
        </is>
      </c>
      <c r="D614" t="inlineStr">
        <is>
          <t>v4_white_MLLB_000_y103_0924</t>
        </is>
      </c>
      <c r="E614" t="n">
        <v>3.6</v>
      </c>
      <c r="F614" t="n">
        <v>3.608</v>
      </c>
      <c r="G614" t="n">
        <v>15</v>
      </c>
      <c r="H614" t="n">
        <v>60</v>
      </c>
      <c r="I614" t="n">
        <v>24</v>
      </c>
      <c r="J614" t="inlineStr">
        <is>
          <t>kaba</t>
        </is>
      </c>
      <c r="K614" t="b">
        <v>1</v>
      </c>
      <c r="M614" t="n">
        <v>86</v>
      </c>
      <c r="N614" t="n">
        <v>34</v>
      </c>
      <c r="O614" t="n">
        <v>66</v>
      </c>
      <c r="P614" t="n">
        <v>916</v>
      </c>
      <c r="Q614" t="n">
        <v>1002</v>
      </c>
      <c r="R614" t="n">
        <v>1.065</v>
      </c>
      <c r="S614" t="n">
        <v>33.128</v>
      </c>
      <c r="T614" t="n">
        <v>31.104</v>
      </c>
      <c r="U614" t="n">
        <v>0.7778</v>
      </c>
      <c r="V614" t="b">
        <v>1</v>
      </c>
      <c r="X614" t="b">
        <v>0</v>
      </c>
      <c r="Y614" t="inlineStr">
        <is>
          <t>ON</t>
        </is>
      </c>
      <c r="Z614" t="n">
        <v>935</v>
      </c>
      <c r="AA614" t="n">
        <v>2.5</v>
      </c>
      <c r="AB614" t="n">
        <v>9.5</v>
      </c>
    </row>
    <row r="615">
      <c r="A615" t="inlineStr">
        <is>
          <t>2026-09-24 14:31:13</t>
        </is>
      </c>
      <c r="B615" t="inlineStr">
        <is>
          <t>MLLB_000_y1.0.3</t>
        </is>
      </c>
      <c r="C615" t="inlineStr">
        <is>
          <t>WHITE</t>
        </is>
      </c>
      <c r="D615" t="inlineStr">
        <is>
          <t>v4_white_MLLB_000_y103_0924</t>
        </is>
      </c>
      <c r="E615" t="n">
        <v>3.6</v>
      </c>
      <c r="F615" t="n">
        <v>3.608</v>
      </c>
      <c r="G615" t="n">
        <v>15</v>
      </c>
      <c r="H615" t="n">
        <v>60</v>
      </c>
      <c r="I615" t="n">
        <v>28</v>
      </c>
      <c r="J615" t="inlineStr">
        <is>
          <t>kaba</t>
        </is>
      </c>
      <c r="K615" t="b">
        <v>1</v>
      </c>
      <c r="M615" t="n">
        <v>72</v>
      </c>
      <c r="N615" t="n">
        <v>30</v>
      </c>
      <c r="O615" t="n">
        <v>52</v>
      </c>
      <c r="P615" t="n">
        <v>930</v>
      </c>
      <c r="Q615" t="n">
        <v>1002</v>
      </c>
      <c r="R615" t="n">
        <v>1.063</v>
      </c>
      <c r="S615" t="n">
        <v>33.099</v>
      </c>
      <c r="T615" t="n">
        <v>31.127</v>
      </c>
      <c r="U615" t="n">
        <v>0.7786999999999999</v>
      </c>
      <c r="V615" t="b">
        <v>1</v>
      </c>
      <c r="X615" t="b">
        <v>0</v>
      </c>
      <c r="Y615" t="inlineStr">
        <is>
          <t>ON</t>
        </is>
      </c>
      <c r="Z615" t="n">
        <v>935</v>
      </c>
      <c r="AA615" t="n">
        <v>2.5</v>
      </c>
      <c r="AB615" t="n">
        <v>9.5</v>
      </c>
    </row>
    <row r="616">
      <c r="A616" t="inlineStr">
        <is>
          <t>2026-09-24 14:31:29</t>
        </is>
      </c>
      <c r="B616" t="inlineStr">
        <is>
          <t>MLLB_000_y1.0.3</t>
        </is>
      </c>
      <c r="C616" t="inlineStr">
        <is>
          <t>WHITE</t>
        </is>
      </c>
      <c r="D616" t="inlineStr">
        <is>
          <t>v4_white_MLLB_000_y103_0924</t>
        </is>
      </c>
      <c r="E616" t="n">
        <v>3.6</v>
      </c>
      <c r="F616" t="n">
        <v>3.608</v>
      </c>
      <c r="G616" t="n">
        <v>15</v>
      </c>
      <c r="H616" t="n">
        <v>60</v>
      </c>
      <c r="I616" t="n">
        <v>32</v>
      </c>
      <c r="J616" t="inlineStr">
        <is>
          <t>kaba</t>
        </is>
      </c>
      <c r="K616" t="b">
        <v>1</v>
      </c>
      <c r="M616" t="n">
        <v>58</v>
      </c>
      <c r="N616" t="n">
        <v>32</v>
      </c>
      <c r="O616" t="n">
        <v>38</v>
      </c>
      <c r="P616" t="n">
        <v>944</v>
      </c>
      <c r="Q616" t="n">
        <v>1002</v>
      </c>
      <c r="R616" t="n">
        <v>1.064</v>
      </c>
      <c r="S616" t="n">
        <v>33.15</v>
      </c>
      <c r="T616" t="n">
        <v>31.145</v>
      </c>
      <c r="U616" t="n">
        <v>0.7783</v>
      </c>
      <c r="V616" t="b">
        <v>1</v>
      </c>
      <c r="X616" t="b">
        <v>1</v>
      </c>
      <c r="Z616" t="n">
        <v>935</v>
      </c>
      <c r="AA616" t="n">
        <v>2.5</v>
      </c>
      <c r="AB616" t="n">
        <v>9.5</v>
      </c>
    </row>
    <row r="617">
      <c r="A617" t="inlineStr">
        <is>
          <t>2026-09-24 14:31:45</t>
        </is>
      </c>
      <c r="B617" t="inlineStr">
        <is>
          <t>MLLB_000_y1.0.3</t>
        </is>
      </c>
      <c r="C617" t="inlineStr">
        <is>
          <t>WHITE</t>
        </is>
      </c>
      <c r="D617" t="inlineStr">
        <is>
          <t>v4_white_MLLB_000_y103_0924</t>
        </is>
      </c>
      <c r="E617" t="n">
        <v>3.6</v>
      </c>
      <c r="F617" t="n">
        <v>3.608</v>
      </c>
      <c r="G617" t="n">
        <v>15</v>
      </c>
      <c r="H617" t="n">
        <v>60</v>
      </c>
      <c r="I617" t="n">
        <v>36</v>
      </c>
      <c r="J617" t="inlineStr">
        <is>
          <t>kaba</t>
        </is>
      </c>
      <c r="K617" t="b">
        <v>1</v>
      </c>
      <c r="M617" t="n">
        <v>46</v>
      </c>
      <c r="N617" t="n">
        <v>28</v>
      </c>
      <c r="O617" t="n">
        <v>26</v>
      </c>
      <c r="P617" t="n">
        <v>956</v>
      </c>
      <c r="Q617" t="n">
        <v>1002</v>
      </c>
      <c r="R617" t="n">
        <v>1.063</v>
      </c>
      <c r="S617" t="n">
        <v>33.082</v>
      </c>
      <c r="T617" t="n">
        <v>31.12</v>
      </c>
      <c r="U617" t="n">
        <v>0.7785</v>
      </c>
      <c r="V617" t="b">
        <v>1</v>
      </c>
      <c r="X617" t="b">
        <v>1</v>
      </c>
      <c r="Z617" t="n">
        <v>935</v>
      </c>
      <c r="AA617" t="n">
        <v>2.5</v>
      </c>
      <c r="AB617" t="n">
        <v>9.5</v>
      </c>
    </row>
    <row r="618">
      <c r="A618" t="inlineStr">
        <is>
          <t>2026-09-24 14:31:58</t>
        </is>
      </c>
      <c r="B618" t="inlineStr">
        <is>
          <t>MLLB_000_y1.0.3</t>
        </is>
      </c>
      <c r="C618" t="inlineStr">
        <is>
          <t>WHITE</t>
        </is>
      </c>
      <c r="D618" t="inlineStr">
        <is>
          <t>v4_white_MLLB_000_y103_0924</t>
        </is>
      </c>
      <c r="E618" t="n">
        <v>3.6</v>
      </c>
      <c r="F618" t="n">
        <v>3.608</v>
      </c>
      <c r="G618" t="n">
        <v>15</v>
      </c>
      <c r="H618" t="n">
        <v>60</v>
      </c>
      <c r="I618" t="n">
        <v>40</v>
      </c>
      <c r="J618" t="inlineStr">
        <is>
          <t>kaba</t>
        </is>
      </c>
      <c r="K618" t="b">
        <v>1</v>
      </c>
      <c r="M618" t="n">
        <v>46</v>
      </c>
      <c r="N618" t="n">
        <v>28</v>
      </c>
      <c r="O618" t="n">
        <v>26</v>
      </c>
      <c r="P618" t="n">
        <v>956</v>
      </c>
      <c r="Q618" t="n">
        <v>1002</v>
      </c>
      <c r="R618" t="n">
        <v>1.068</v>
      </c>
      <c r="S618" t="n">
        <v>33.228</v>
      </c>
      <c r="T618" t="n">
        <v>31.098</v>
      </c>
      <c r="U618" t="n">
        <v>0.7779</v>
      </c>
      <c r="V618" t="b">
        <v>1</v>
      </c>
      <c r="X618" t="b">
        <v>1</v>
      </c>
      <c r="Z618" t="n">
        <v>935</v>
      </c>
      <c r="AA618" t="n">
        <v>2.5</v>
      </c>
      <c r="AB618" t="n">
        <v>9.5</v>
      </c>
    </row>
    <row r="619">
      <c r="A619" t="inlineStr">
        <is>
          <t>2026-09-24 14:32:13</t>
        </is>
      </c>
      <c r="B619" t="inlineStr">
        <is>
          <t>MLLB_000_y1.0.3</t>
        </is>
      </c>
      <c r="C619" t="inlineStr">
        <is>
          <t>WHITE</t>
        </is>
      </c>
      <c r="D619" t="inlineStr">
        <is>
          <t>v4_white_MLLB_000_y103_0924</t>
        </is>
      </c>
      <c r="E619" t="n">
        <v>3.6</v>
      </c>
      <c r="F619" t="n">
        <v>3.608</v>
      </c>
      <c r="G619" t="n">
        <v>15</v>
      </c>
      <c r="H619" t="n">
        <v>60</v>
      </c>
      <c r="I619" t="n">
        <v>44</v>
      </c>
      <c r="J619" t="inlineStr">
        <is>
          <t>kaba</t>
        </is>
      </c>
      <c r="K619" t="b">
        <v>1</v>
      </c>
      <c r="M619" t="n">
        <v>46</v>
      </c>
      <c r="N619" t="n">
        <v>28</v>
      </c>
      <c r="O619" t="n">
        <v>26</v>
      </c>
      <c r="P619" t="n">
        <v>956</v>
      </c>
      <c r="Q619" t="n">
        <v>1002</v>
      </c>
      <c r="R619" t="n">
        <v>1.665</v>
      </c>
      <c r="S619" t="n">
        <v>51.856</v>
      </c>
      <c r="T619" t="n">
        <v>31.152</v>
      </c>
      <c r="U619" t="n">
        <v>0.7786999999999999</v>
      </c>
      <c r="V619" t="b">
        <v>1</v>
      </c>
      <c r="X619" t="b">
        <v>1</v>
      </c>
      <c r="Z619" t="n">
        <v>935</v>
      </c>
      <c r="AA619" t="n">
        <v>2.5</v>
      </c>
      <c r="AB619" t="n">
        <v>9.5</v>
      </c>
    </row>
    <row r="620">
      <c r="A620" t="inlineStr">
        <is>
          <t>2026-09-24 14:32:29</t>
        </is>
      </c>
      <c r="B620" t="inlineStr">
        <is>
          <t>MLLB_000_y1.0.3</t>
        </is>
      </c>
      <c r="C620" t="inlineStr">
        <is>
          <t>WHITE</t>
        </is>
      </c>
      <c r="D620" t="inlineStr">
        <is>
          <t>v4_white_MLLB_000_y103_0924</t>
        </is>
      </c>
      <c r="E620" t="n">
        <v>3.6</v>
      </c>
      <c r="F620" t="n">
        <v>3.608</v>
      </c>
      <c r="G620" t="n">
        <v>15</v>
      </c>
      <c r="H620" t="n">
        <v>60</v>
      </c>
      <c r="I620" t="n">
        <v>48</v>
      </c>
      <c r="J620" t="inlineStr">
        <is>
          <t>kaba</t>
        </is>
      </c>
      <c r="K620" t="b">
        <v>1</v>
      </c>
      <c r="M620" t="n">
        <v>46</v>
      </c>
      <c r="N620" t="n">
        <v>28</v>
      </c>
      <c r="O620" t="n">
        <v>26</v>
      </c>
      <c r="P620" t="n">
        <v>956</v>
      </c>
      <c r="Q620" t="n">
        <v>1002</v>
      </c>
      <c r="R620" t="n">
        <v>2.877</v>
      </c>
      <c r="S620" t="n">
        <v>102.321</v>
      </c>
      <c r="T620" t="n">
        <v>35.564</v>
      </c>
      <c r="U620" t="n">
        <v>0.7776999999999999</v>
      </c>
      <c r="V620" t="b">
        <v>1</v>
      </c>
      <c r="X620" t="b">
        <v>0</v>
      </c>
      <c r="Y620" t="inlineStr">
        <is>
          <t>FLAS</t>
        </is>
      </c>
      <c r="Z620" t="n">
        <v>935</v>
      </c>
      <c r="AA620" t="n">
        <v>2.5</v>
      </c>
      <c r="AB620" t="n">
        <v>9.5</v>
      </c>
    </row>
    <row r="621">
      <c r="A621" t="inlineStr">
        <is>
          <t>2026-09-24 14:32:45</t>
        </is>
      </c>
      <c r="B621" t="inlineStr">
        <is>
          <t>MLLB_000_y1.0.3</t>
        </is>
      </c>
      <c r="C621" t="inlineStr">
        <is>
          <t>WHITE</t>
        </is>
      </c>
      <c r="D621" t="inlineStr">
        <is>
          <t>v4_white_MLLB_000_y103_0924</t>
        </is>
      </c>
      <c r="E621" t="n">
        <v>3.6</v>
      </c>
      <c r="F621" t="n">
        <v>3.608</v>
      </c>
      <c r="G621" t="n">
        <v>15</v>
      </c>
      <c r="H621" t="n">
        <v>60</v>
      </c>
      <c r="I621" t="n">
        <v>52</v>
      </c>
      <c r="J621" t="inlineStr">
        <is>
          <t>kaba</t>
        </is>
      </c>
      <c r="K621" t="b">
        <v>1</v>
      </c>
      <c r="M621" t="n">
        <v>46</v>
      </c>
      <c r="N621" t="n">
        <v>28</v>
      </c>
      <c r="O621" t="n">
        <v>26</v>
      </c>
      <c r="P621" t="n">
        <v>956</v>
      </c>
      <c r="Q621" t="n">
        <v>1002</v>
      </c>
      <c r="R621" t="n">
        <v>3.848</v>
      </c>
      <c r="S621" t="n">
        <v>136.916</v>
      </c>
      <c r="T621" t="n">
        <v>35.584</v>
      </c>
      <c r="U621" t="n">
        <v>0.7783</v>
      </c>
      <c r="V621" t="b">
        <v>1</v>
      </c>
      <c r="X621" t="b">
        <v>0</v>
      </c>
      <c r="Y621" t="inlineStr">
        <is>
          <t>FLAS</t>
        </is>
      </c>
      <c r="Z621" t="n">
        <v>935</v>
      </c>
      <c r="AA621" t="n">
        <v>2.5</v>
      </c>
      <c r="AB621" t="n">
        <v>9.5</v>
      </c>
    </row>
    <row r="622">
      <c r="A622" t="inlineStr">
        <is>
          <t>2026-09-24 14:33:01</t>
        </is>
      </c>
      <c r="B622" t="inlineStr">
        <is>
          <t>MLLB_000_y1.0.3</t>
        </is>
      </c>
      <c r="C622" t="inlineStr">
        <is>
          <t>WHITE</t>
        </is>
      </c>
      <c r="D622" t="inlineStr">
        <is>
          <t>v4_white_MLLB_000_y103_0924</t>
        </is>
      </c>
      <c r="E622" t="n">
        <v>3.6</v>
      </c>
      <c r="F622" t="n">
        <v>3.608</v>
      </c>
      <c r="G622" t="n">
        <v>15</v>
      </c>
      <c r="H622" t="n">
        <v>60</v>
      </c>
      <c r="I622" t="n">
        <v>29</v>
      </c>
      <c r="J622" t="inlineStr">
        <is>
          <t>ince</t>
        </is>
      </c>
      <c r="K622" t="b">
        <v>1</v>
      </c>
      <c r="M622" t="n">
        <v>68</v>
      </c>
      <c r="N622" t="n">
        <v>28</v>
      </c>
      <c r="O622" t="n">
        <v>50</v>
      </c>
      <c r="P622" t="n">
        <v>934</v>
      </c>
      <c r="Q622" t="n">
        <v>1002</v>
      </c>
      <c r="R622" t="n">
        <v>1.065</v>
      </c>
      <c r="S622" t="n">
        <v>33.099</v>
      </c>
      <c r="T622" t="n">
        <v>31.083</v>
      </c>
      <c r="U622" t="n">
        <v>0.7779</v>
      </c>
      <c r="V622" t="b">
        <v>1</v>
      </c>
      <c r="X622" t="b">
        <v>0</v>
      </c>
      <c r="Y622" t="inlineStr">
        <is>
          <t>ON</t>
        </is>
      </c>
      <c r="Z622" t="n">
        <v>935</v>
      </c>
      <c r="AA622" t="n">
        <v>2.5</v>
      </c>
      <c r="AB622" t="n">
        <v>9.5</v>
      </c>
    </row>
    <row r="623">
      <c r="A623" t="inlineStr">
        <is>
          <t>2026-09-24 14:33:17</t>
        </is>
      </c>
      <c r="B623" t="inlineStr">
        <is>
          <t>MLLB_000_y1.0.3</t>
        </is>
      </c>
      <c r="C623" t="inlineStr">
        <is>
          <t>WHITE</t>
        </is>
      </c>
      <c r="D623" t="inlineStr">
        <is>
          <t>v4_white_MLLB_000_y103_0924</t>
        </is>
      </c>
      <c r="E623" t="n">
        <v>3.6</v>
      </c>
      <c r="F623" t="n">
        <v>3.608</v>
      </c>
      <c r="G623" t="n">
        <v>15</v>
      </c>
      <c r="H623" t="n">
        <v>60</v>
      </c>
      <c r="I623" t="n">
        <v>30</v>
      </c>
      <c r="J623" t="inlineStr">
        <is>
          <t>ince</t>
        </is>
      </c>
      <c r="K623" t="b">
        <v>1</v>
      </c>
      <c r="M623" t="n">
        <v>66</v>
      </c>
      <c r="N623" t="n">
        <v>28</v>
      </c>
      <c r="O623" t="n">
        <v>46</v>
      </c>
      <c r="P623" t="n">
        <v>936</v>
      </c>
      <c r="Q623" t="n">
        <v>1002</v>
      </c>
      <c r="R623" t="n">
        <v>1.062</v>
      </c>
      <c r="S623" t="n">
        <v>33.048</v>
      </c>
      <c r="T623" t="n">
        <v>31.111</v>
      </c>
      <c r="U623" t="n">
        <v>0.7775</v>
      </c>
      <c r="V623" t="b">
        <v>1</v>
      </c>
      <c r="X623" t="b">
        <v>1</v>
      </c>
      <c r="Z623" t="n">
        <v>935</v>
      </c>
      <c r="AA623" t="n">
        <v>2.5</v>
      </c>
      <c r="AB623" t="n">
        <v>9.5</v>
      </c>
    </row>
    <row r="624">
      <c r="A624" t="inlineStr">
        <is>
          <t>2026-09-24 14:33:33</t>
        </is>
      </c>
      <c r="B624" t="inlineStr">
        <is>
          <t>MLLB_000_y1.0.3</t>
        </is>
      </c>
      <c r="C624" t="inlineStr">
        <is>
          <t>WHITE</t>
        </is>
      </c>
      <c r="D624" t="inlineStr">
        <is>
          <t>v4_white_MLLB_000_y103_0924</t>
        </is>
      </c>
      <c r="E624" t="n">
        <v>3.6</v>
      </c>
      <c r="F624" t="n">
        <v>3.608</v>
      </c>
      <c r="G624" t="n">
        <v>15</v>
      </c>
      <c r="H624" t="n">
        <v>60</v>
      </c>
      <c r="I624" t="n">
        <v>31</v>
      </c>
      <c r="J624" t="inlineStr">
        <is>
          <t>ince</t>
        </is>
      </c>
      <c r="K624" t="b">
        <v>1</v>
      </c>
      <c r="M624" t="n">
        <v>62</v>
      </c>
      <c r="N624" t="n">
        <v>32</v>
      </c>
      <c r="O624" t="n">
        <v>42</v>
      </c>
      <c r="P624" t="n">
        <v>940</v>
      </c>
      <c r="Q624" t="n">
        <v>1002</v>
      </c>
      <c r="R624" t="n">
        <v>1.063</v>
      </c>
      <c r="S624" t="n">
        <v>33.048</v>
      </c>
      <c r="T624" t="n">
        <v>31.095</v>
      </c>
      <c r="U624" t="n">
        <v>0.7782</v>
      </c>
      <c r="V624" t="b">
        <v>1</v>
      </c>
      <c r="X624" t="b">
        <v>1</v>
      </c>
      <c r="Z624" t="n">
        <v>935</v>
      </c>
      <c r="AA624" t="n">
        <v>2.5</v>
      </c>
      <c r="AB624" t="n">
        <v>9.5</v>
      </c>
    </row>
    <row r="625">
      <c r="A625" t="inlineStr">
        <is>
          <t>2026-09-24 14:33:34</t>
        </is>
      </c>
      <c r="B625" t="inlineStr">
        <is>
          <t>MLLB_000_y1.0.3</t>
        </is>
      </c>
      <c r="C625" t="inlineStr">
        <is>
          <t>WHITE</t>
        </is>
      </c>
      <c r="D625" t="inlineStr">
        <is>
          <t>v4_white_MLLB_000_y103_0924</t>
        </is>
      </c>
      <c r="E625" t="n">
        <v>3.6</v>
      </c>
      <c r="F625" t="n">
        <v>3.608</v>
      </c>
      <c r="G625" t="n">
        <v>15</v>
      </c>
      <c r="H625" t="n">
        <v>60</v>
      </c>
      <c r="I625" t="n">
        <v>33</v>
      </c>
      <c r="J625" t="inlineStr">
        <is>
          <t>ince</t>
        </is>
      </c>
      <c r="K625" t="b">
        <v>0</v>
      </c>
      <c r="L625" t="inlineStr">
        <is>
          <t>iki-OK-arasi-monotonluk</t>
        </is>
      </c>
      <c r="X625" t="b">
        <v>1</v>
      </c>
      <c r="Z625" t="n">
        <v>935</v>
      </c>
      <c r="AA625" t="n">
        <v>2.5</v>
      </c>
      <c r="AB625" t="n">
        <v>9.5</v>
      </c>
    </row>
    <row r="626">
      <c r="A626" t="inlineStr">
        <is>
          <t>2026-09-24 14:33:34</t>
        </is>
      </c>
      <c r="B626" t="inlineStr">
        <is>
          <t>MLLB_000_y1.0.3</t>
        </is>
      </c>
      <c r="C626" t="inlineStr">
        <is>
          <t>WHITE</t>
        </is>
      </c>
      <c r="D626" t="inlineStr">
        <is>
          <t>v4_white_MLLB_000_y103_0924</t>
        </is>
      </c>
      <c r="E626" t="n">
        <v>3.6</v>
      </c>
      <c r="F626" t="n">
        <v>3.608</v>
      </c>
      <c r="G626" t="n">
        <v>15</v>
      </c>
      <c r="H626" t="n">
        <v>60</v>
      </c>
      <c r="I626" t="n">
        <v>34</v>
      </c>
      <c r="J626" t="inlineStr">
        <is>
          <t>ince</t>
        </is>
      </c>
      <c r="K626" t="b">
        <v>0</v>
      </c>
      <c r="L626" t="inlineStr">
        <is>
          <t>iki-OK-arasi-monotonluk</t>
        </is>
      </c>
      <c r="X626" t="b">
        <v>1</v>
      </c>
      <c r="Z626" t="n">
        <v>935</v>
      </c>
      <c r="AA626" t="n">
        <v>2.5</v>
      </c>
      <c r="AB626" t="n">
        <v>9.5</v>
      </c>
    </row>
    <row r="627">
      <c r="A627" t="inlineStr">
        <is>
          <t>2026-09-24 14:33:34</t>
        </is>
      </c>
      <c r="B627" t="inlineStr">
        <is>
          <t>MLLB_000_y1.0.3</t>
        </is>
      </c>
      <c r="C627" t="inlineStr">
        <is>
          <t>WHITE</t>
        </is>
      </c>
      <c r="D627" t="inlineStr">
        <is>
          <t>v4_white_MLLB_000_y103_0924</t>
        </is>
      </c>
      <c r="E627" t="n">
        <v>3.6</v>
      </c>
      <c r="F627" t="n">
        <v>3.608</v>
      </c>
      <c r="G627" t="n">
        <v>15</v>
      </c>
      <c r="H627" t="n">
        <v>60</v>
      </c>
      <c r="I627" t="n">
        <v>35</v>
      </c>
      <c r="J627" t="inlineStr">
        <is>
          <t>ince</t>
        </is>
      </c>
      <c r="K627" t="b">
        <v>0</v>
      </c>
      <c r="L627" t="inlineStr">
        <is>
          <t>iki-OK-arasi-monotonluk</t>
        </is>
      </c>
      <c r="X627" t="b">
        <v>1</v>
      </c>
      <c r="Z627" t="n">
        <v>935</v>
      </c>
      <c r="AA627" t="n">
        <v>2.5</v>
      </c>
      <c r="AB627" t="n">
        <v>9.5</v>
      </c>
    </row>
    <row r="628">
      <c r="A628" t="inlineStr">
        <is>
          <t>2026-09-24 14:33:34</t>
        </is>
      </c>
      <c r="B628" t="inlineStr">
        <is>
          <t>MLLB_000_y1.0.3</t>
        </is>
      </c>
      <c r="C628" t="inlineStr">
        <is>
          <t>WHITE</t>
        </is>
      </c>
      <c r="D628" t="inlineStr">
        <is>
          <t>v4_white_MLLB_000_y103_0924</t>
        </is>
      </c>
      <c r="E628" t="n">
        <v>3.6</v>
      </c>
      <c r="F628" t="n">
        <v>3.608</v>
      </c>
      <c r="G628" t="n">
        <v>15</v>
      </c>
      <c r="H628" t="n">
        <v>60</v>
      </c>
      <c r="I628" t="n">
        <v>37</v>
      </c>
      <c r="J628" t="inlineStr">
        <is>
          <t>ince</t>
        </is>
      </c>
      <c r="K628" t="b">
        <v>0</v>
      </c>
      <c r="L628" t="inlineStr">
        <is>
          <t>iki-OK-arasi-monotonluk</t>
        </is>
      </c>
      <c r="X628" t="b">
        <v>1</v>
      </c>
      <c r="Z628" t="n">
        <v>935</v>
      </c>
      <c r="AA628" t="n">
        <v>2.5</v>
      </c>
      <c r="AB628" t="n">
        <v>9.5</v>
      </c>
    </row>
    <row r="629">
      <c r="A629" t="inlineStr">
        <is>
          <t>2026-09-24 14:33:34</t>
        </is>
      </c>
      <c r="B629" t="inlineStr">
        <is>
          <t>MLLB_000_y1.0.3</t>
        </is>
      </c>
      <c r="C629" t="inlineStr">
        <is>
          <t>WHITE</t>
        </is>
      </c>
      <c r="D629" t="inlineStr">
        <is>
          <t>v4_white_MLLB_000_y103_0924</t>
        </is>
      </c>
      <c r="E629" t="n">
        <v>3.6</v>
      </c>
      <c r="F629" t="n">
        <v>3.608</v>
      </c>
      <c r="G629" t="n">
        <v>15</v>
      </c>
      <c r="H629" t="n">
        <v>60</v>
      </c>
      <c r="I629" t="n">
        <v>38</v>
      </c>
      <c r="J629" t="inlineStr">
        <is>
          <t>ince</t>
        </is>
      </c>
      <c r="K629" t="b">
        <v>0</v>
      </c>
      <c r="L629" t="inlineStr">
        <is>
          <t>iki-OK-arasi-monotonluk</t>
        </is>
      </c>
      <c r="X629" t="b">
        <v>1</v>
      </c>
      <c r="Z629" t="n">
        <v>935</v>
      </c>
      <c r="AA629" t="n">
        <v>2.5</v>
      </c>
      <c r="AB629" t="n">
        <v>9.5</v>
      </c>
    </row>
    <row r="630">
      <c r="A630" t="inlineStr">
        <is>
          <t>2026-09-24 14:33:34</t>
        </is>
      </c>
      <c r="B630" t="inlineStr">
        <is>
          <t>MLLB_000_y1.0.3</t>
        </is>
      </c>
      <c r="C630" t="inlineStr">
        <is>
          <t>WHITE</t>
        </is>
      </c>
      <c r="D630" t="inlineStr">
        <is>
          <t>v4_white_MLLB_000_y103_0924</t>
        </is>
      </c>
      <c r="E630" t="n">
        <v>3.6</v>
      </c>
      <c r="F630" t="n">
        <v>3.608</v>
      </c>
      <c r="G630" t="n">
        <v>15</v>
      </c>
      <c r="H630" t="n">
        <v>60</v>
      </c>
      <c r="I630" t="n">
        <v>39</v>
      </c>
      <c r="J630" t="inlineStr">
        <is>
          <t>ince</t>
        </is>
      </c>
      <c r="K630" t="b">
        <v>0</v>
      </c>
      <c r="L630" t="inlineStr">
        <is>
          <t>iki-OK-arasi-monotonluk</t>
        </is>
      </c>
      <c r="X630" t="b">
        <v>1</v>
      </c>
      <c r="Z630" t="n">
        <v>935</v>
      </c>
      <c r="AA630" t="n">
        <v>2.5</v>
      </c>
      <c r="AB630" t="n">
        <v>9.5</v>
      </c>
    </row>
    <row r="631">
      <c r="A631" t="inlineStr">
        <is>
          <t>2026-09-24 14:33:34</t>
        </is>
      </c>
      <c r="B631" t="inlineStr">
        <is>
          <t>MLLB_000_y1.0.3</t>
        </is>
      </c>
      <c r="C631" t="inlineStr">
        <is>
          <t>WHITE</t>
        </is>
      </c>
      <c r="D631" t="inlineStr">
        <is>
          <t>v4_white_MLLB_000_y103_0924</t>
        </is>
      </c>
      <c r="E631" t="n">
        <v>3.6</v>
      </c>
      <c r="F631" t="n">
        <v>3.608</v>
      </c>
      <c r="G631" t="n">
        <v>15</v>
      </c>
      <c r="H631" t="n">
        <v>60</v>
      </c>
      <c r="I631" t="n">
        <v>41</v>
      </c>
      <c r="J631" t="inlineStr">
        <is>
          <t>ince</t>
        </is>
      </c>
      <c r="K631" t="b">
        <v>0</v>
      </c>
      <c r="L631" t="inlineStr">
        <is>
          <t>iki-OK-arasi-monotonluk</t>
        </is>
      </c>
      <c r="X631" t="b">
        <v>1</v>
      </c>
      <c r="Z631" t="n">
        <v>935</v>
      </c>
      <c r="AA631" t="n">
        <v>2.5</v>
      </c>
      <c r="AB631" t="n">
        <v>9.5</v>
      </c>
    </row>
    <row r="632">
      <c r="A632" t="inlineStr">
        <is>
          <t>2026-09-24 14:33:34</t>
        </is>
      </c>
      <c r="B632" t="inlineStr">
        <is>
          <t>MLLB_000_y1.0.3</t>
        </is>
      </c>
      <c r="C632" t="inlineStr">
        <is>
          <t>WHITE</t>
        </is>
      </c>
      <c r="D632" t="inlineStr">
        <is>
          <t>v4_white_MLLB_000_y103_0924</t>
        </is>
      </c>
      <c r="E632" t="n">
        <v>3.6</v>
      </c>
      <c r="F632" t="n">
        <v>3.608</v>
      </c>
      <c r="G632" t="n">
        <v>15</v>
      </c>
      <c r="H632" t="n">
        <v>60</v>
      </c>
      <c r="I632" t="n">
        <v>42</v>
      </c>
      <c r="J632" t="inlineStr">
        <is>
          <t>ince</t>
        </is>
      </c>
      <c r="K632" t="b">
        <v>0</v>
      </c>
      <c r="L632" t="inlineStr">
        <is>
          <t>iki-OK-arasi-monotonluk</t>
        </is>
      </c>
      <c r="X632" t="b">
        <v>1</v>
      </c>
      <c r="Z632" t="n">
        <v>935</v>
      </c>
      <c r="AA632" t="n">
        <v>2.5</v>
      </c>
      <c r="AB632" t="n">
        <v>9.5</v>
      </c>
    </row>
    <row r="633">
      <c r="A633" t="inlineStr">
        <is>
          <t>2026-09-24 14:33:34</t>
        </is>
      </c>
      <c r="B633" t="inlineStr">
        <is>
          <t>MLLB_000_y1.0.3</t>
        </is>
      </c>
      <c r="C633" t="inlineStr">
        <is>
          <t>WHITE</t>
        </is>
      </c>
      <c r="D633" t="inlineStr">
        <is>
          <t>v4_white_MLLB_000_y103_0924</t>
        </is>
      </c>
      <c r="E633" t="n">
        <v>3.6</v>
      </c>
      <c r="F633" t="n">
        <v>3.608</v>
      </c>
      <c r="G633" t="n">
        <v>15</v>
      </c>
      <c r="H633" t="n">
        <v>60</v>
      </c>
      <c r="I633" t="n">
        <v>43</v>
      </c>
      <c r="J633" t="inlineStr">
        <is>
          <t>ince</t>
        </is>
      </c>
      <c r="K633" t="b">
        <v>0</v>
      </c>
      <c r="L633" t="inlineStr">
        <is>
          <t>iki-OK-arasi-monotonluk</t>
        </is>
      </c>
      <c r="X633" t="b">
        <v>1</v>
      </c>
      <c r="Z633" t="n">
        <v>935</v>
      </c>
      <c r="AA633" t="n">
        <v>2.5</v>
      </c>
      <c r="AB633" t="n">
        <v>9.5</v>
      </c>
    </row>
    <row r="634">
      <c r="A634" t="inlineStr">
        <is>
          <t>2026-09-24 14:33:49</t>
        </is>
      </c>
      <c r="B634" t="inlineStr">
        <is>
          <t>MLLB_000_y1.0.3</t>
        </is>
      </c>
      <c r="C634" t="inlineStr">
        <is>
          <t>WHITE</t>
        </is>
      </c>
      <c r="D634" t="inlineStr">
        <is>
          <t>v4_white_MLLB_000_y103_0924</t>
        </is>
      </c>
      <c r="E634" t="n">
        <v>3.6</v>
      </c>
      <c r="F634" t="n">
        <v>3.608</v>
      </c>
      <c r="G634" t="n">
        <v>15</v>
      </c>
      <c r="H634" t="n">
        <v>60</v>
      </c>
      <c r="I634" t="n">
        <v>45</v>
      </c>
      <c r="J634" t="inlineStr">
        <is>
          <t>ince</t>
        </is>
      </c>
      <c r="K634" t="b">
        <v>1</v>
      </c>
      <c r="M634" t="n">
        <v>46</v>
      </c>
      <c r="N634" t="n">
        <v>28</v>
      </c>
      <c r="O634" t="n">
        <v>26</v>
      </c>
      <c r="P634" t="n">
        <v>956</v>
      </c>
      <c r="Q634" t="n">
        <v>1002</v>
      </c>
      <c r="R634" t="n">
        <v>1.789</v>
      </c>
      <c r="S634" t="n">
        <v>55.681</v>
      </c>
      <c r="T634" t="n">
        <v>31.128</v>
      </c>
      <c r="U634" t="n">
        <v>0.7783</v>
      </c>
      <c r="V634" t="b">
        <v>1</v>
      </c>
      <c r="X634" t="b">
        <v>1</v>
      </c>
      <c r="Z634" t="n">
        <v>935</v>
      </c>
      <c r="AA634" t="n">
        <v>2.5</v>
      </c>
      <c r="AB634" t="n">
        <v>9.5</v>
      </c>
    </row>
    <row r="635">
      <c r="A635" t="inlineStr">
        <is>
          <t>2026-09-24 14:34:02</t>
        </is>
      </c>
      <c r="B635" t="inlineStr">
        <is>
          <t>MLLB_000_y1.0.3</t>
        </is>
      </c>
      <c r="C635" t="inlineStr">
        <is>
          <t>WHITE</t>
        </is>
      </c>
      <c r="D635" t="inlineStr">
        <is>
          <t>v4_white_MLLB_000_y103_0924</t>
        </is>
      </c>
      <c r="E635" t="n">
        <v>3.6</v>
      </c>
      <c r="F635" t="n">
        <v>3.608</v>
      </c>
      <c r="G635" t="n">
        <v>15</v>
      </c>
      <c r="H635" t="n">
        <v>60</v>
      </c>
      <c r="I635" t="n">
        <v>46</v>
      </c>
      <c r="J635" t="inlineStr">
        <is>
          <t>ince</t>
        </is>
      </c>
      <c r="K635" t="b">
        <v>1</v>
      </c>
      <c r="M635" t="n">
        <v>46</v>
      </c>
      <c r="N635" t="n">
        <v>28</v>
      </c>
      <c r="O635" t="n">
        <v>26</v>
      </c>
      <c r="P635" t="n">
        <v>956</v>
      </c>
      <c r="Q635" t="n">
        <v>1002</v>
      </c>
      <c r="R635" t="n">
        <v>2.294</v>
      </c>
      <c r="S635" t="n">
        <v>81.81</v>
      </c>
      <c r="T635" t="n">
        <v>35.667</v>
      </c>
      <c r="U635" t="n">
        <v>0.7776</v>
      </c>
      <c r="V635" t="b">
        <v>1</v>
      </c>
      <c r="X635" t="b">
        <v>1</v>
      </c>
      <c r="Z635" t="n">
        <v>935</v>
      </c>
      <c r="AA635" t="n">
        <v>2.5</v>
      </c>
      <c r="AB635" t="n">
        <v>9.5</v>
      </c>
    </row>
    <row r="636">
      <c r="A636" t="inlineStr">
        <is>
          <t>2026-09-24 14:34:17</t>
        </is>
      </c>
      <c r="B636" t="inlineStr">
        <is>
          <t>MLLB_000_y1.0.3</t>
        </is>
      </c>
      <c r="C636" t="inlineStr">
        <is>
          <t>WHITE</t>
        </is>
      </c>
      <c r="D636" t="inlineStr">
        <is>
          <t>v4_white_MLLB_000_y103_0924</t>
        </is>
      </c>
      <c r="E636" t="n">
        <v>3.6</v>
      </c>
      <c r="F636" t="n">
        <v>3.608</v>
      </c>
      <c r="G636" t="n">
        <v>15</v>
      </c>
      <c r="H636" t="n">
        <v>60</v>
      </c>
      <c r="I636" t="n">
        <v>47</v>
      </c>
      <c r="J636" t="inlineStr">
        <is>
          <t>ince</t>
        </is>
      </c>
      <c r="K636" t="b">
        <v>1</v>
      </c>
      <c r="M636" t="n">
        <v>46</v>
      </c>
      <c r="N636" t="n">
        <v>28</v>
      </c>
      <c r="O636" t="n">
        <v>26</v>
      </c>
      <c r="P636" t="n">
        <v>956</v>
      </c>
      <c r="Q636" t="n">
        <v>1002</v>
      </c>
      <c r="R636" t="n">
        <v>2.584</v>
      </c>
      <c r="S636" t="n">
        <v>91.661</v>
      </c>
      <c r="T636" t="n">
        <v>35.468</v>
      </c>
      <c r="U636" t="n">
        <v>0.7778</v>
      </c>
      <c r="V636" t="b">
        <v>1</v>
      </c>
      <c r="X636" t="b">
        <v>0</v>
      </c>
      <c r="Y636" t="inlineStr">
        <is>
          <t>FLAS</t>
        </is>
      </c>
      <c r="Z636" t="n">
        <v>935</v>
      </c>
      <c r="AA636" t="n">
        <v>2.5</v>
      </c>
      <c r="AB636" t="n">
        <v>9.5</v>
      </c>
    </row>
    <row r="637">
      <c r="A637" t="inlineStr">
        <is>
          <t>2026-09-24 14:34:17</t>
        </is>
      </c>
      <c r="B637" t="inlineStr">
        <is>
          <t>MLLB_000_y1.0.3</t>
        </is>
      </c>
      <c r="C637" t="inlineStr">
        <is>
          <t>WHITE</t>
        </is>
      </c>
      <c r="D637" t="inlineStr">
        <is>
          <t>v4_white_MLLB_000_y103_0924</t>
        </is>
      </c>
      <c r="E637" t="n">
        <v>3.6</v>
      </c>
      <c r="F637" t="n">
        <v>3.608</v>
      </c>
      <c r="G637" t="n">
        <v>15</v>
      </c>
      <c r="H637" t="n">
        <v>60</v>
      </c>
      <c r="J637" t="inlineStr">
        <is>
          <t>bitti</t>
        </is>
      </c>
      <c r="K637" t="b">
        <v>0</v>
      </c>
      <c r="Z637" t="n">
        <v>935</v>
      </c>
      <c r="AA637" t="n">
        <v>2.5</v>
      </c>
      <c r="AB637" t="n">
        <v>9.5</v>
      </c>
    </row>
    <row r="638">
      <c r="A638" t="inlineStr">
        <is>
          <t>2026-09-24 14:34:39</t>
        </is>
      </c>
      <c r="B638" t="inlineStr">
        <is>
          <t>MLLB_000_y1.0.3</t>
        </is>
      </c>
      <c r="C638" t="inlineStr">
        <is>
          <t>WHITE</t>
        </is>
      </c>
      <c r="D638" t="inlineStr">
        <is>
          <t>v4_white_MLLB_000_y103_0924</t>
        </is>
      </c>
      <c r="E638" t="n">
        <v>3.6</v>
      </c>
      <c r="F638" t="n">
        <v>3.608</v>
      </c>
      <c r="G638" t="n">
        <v>100</v>
      </c>
      <c r="H638" t="n">
        <v>100</v>
      </c>
      <c r="I638" t="n">
        <v>12</v>
      </c>
      <c r="J638" t="inlineStr">
        <is>
          <t>kaba</t>
        </is>
      </c>
      <c r="K638" t="b">
        <v>1</v>
      </c>
      <c r="M638" t="n">
        <v>30</v>
      </c>
      <c r="N638" t="n">
        <v>28</v>
      </c>
      <c r="O638" t="n">
        <v>10</v>
      </c>
      <c r="P638" t="n">
        <v>972</v>
      </c>
      <c r="Q638" t="n">
        <v>1002</v>
      </c>
      <c r="R638" t="n">
        <v>1.074</v>
      </c>
      <c r="S638" t="n">
        <v>245.405</v>
      </c>
      <c r="T638" t="n">
        <v>228.408</v>
      </c>
      <c r="U638" t="n">
        <v>0.778</v>
      </c>
      <c r="V638" t="b">
        <v>1</v>
      </c>
      <c r="X638" t="b">
        <v>1</v>
      </c>
      <c r="Z638" t="n">
        <v>935</v>
      </c>
      <c r="AA638" t="n">
        <v>2.5</v>
      </c>
      <c r="AB638" t="n">
        <v>9.5</v>
      </c>
    </row>
    <row r="639">
      <c r="A639" t="inlineStr">
        <is>
          <t>2026-09-24 14:34:55</t>
        </is>
      </c>
      <c r="B639" t="inlineStr">
        <is>
          <t>MLLB_000_y1.0.3</t>
        </is>
      </c>
      <c r="C639" t="inlineStr">
        <is>
          <t>WHITE</t>
        </is>
      </c>
      <c r="D639" t="inlineStr">
        <is>
          <t>v4_white_MLLB_000_y103_0924</t>
        </is>
      </c>
      <c r="E639" t="n">
        <v>3.6</v>
      </c>
      <c r="F639" t="n">
        <v>3.608</v>
      </c>
      <c r="G639" t="n">
        <v>100</v>
      </c>
      <c r="H639" t="n">
        <v>100</v>
      </c>
      <c r="I639" t="n">
        <v>16</v>
      </c>
      <c r="J639" t="inlineStr">
        <is>
          <t>kaba</t>
        </is>
      </c>
      <c r="K639" t="b">
        <v>1</v>
      </c>
      <c r="M639" t="n">
        <v>30</v>
      </c>
      <c r="N639" t="n">
        <v>28</v>
      </c>
      <c r="O639" t="n">
        <v>10</v>
      </c>
      <c r="P639" t="n">
        <v>972</v>
      </c>
      <c r="Q639" t="n">
        <v>1002</v>
      </c>
      <c r="R639" t="n">
        <v>1.081</v>
      </c>
      <c r="S639" t="n">
        <v>246.947</v>
      </c>
      <c r="T639" t="n">
        <v>228.397</v>
      </c>
      <c r="U639" t="n">
        <v>0.7779</v>
      </c>
      <c r="V639" t="b">
        <v>1</v>
      </c>
      <c r="X639" t="b">
        <v>1</v>
      </c>
      <c r="Z639" t="n">
        <v>935</v>
      </c>
      <c r="AA639" t="n">
        <v>2.5</v>
      </c>
      <c r="AB639" t="n">
        <v>9.5</v>
      </c>
    </row>
    <row r="640">
      <c r="A640" t="inlineStr">
        <is>
          <t>2026-09-24 14:35:11</t>
        </is>
      </c>
      <c r="B640" t="inlineStr">
        <is>
          <t>MLLB_000_y1.0.3</t>
        </is>
      </c>
      <c r="C640" t="inlineStr">
        <is>
          <t>WHITE</t>
        </is>
      </c>
      <c r="D640" t="inlineStr">
        <is>
          <t>v4_white_MLLB_000_y103_0924</t>
        </is>
      </c>
      <c r="E640" t="n">
        <v>3.6</v>
      </c>
      <c r="F640" t="n">
        <v>3.608</v>
      </c>
      <c r="G640" t="n">
        <v>100</v>
      </c>
      <c r="H640" t="n">
        <v>100</v>
      </c>
      <c r="I640" t="n">
        <v>20</v>
      </c>
      <c r="J640" t="inlineStr">
        <is>
          <t>kaba</t>
        </is>
      </c>
      <c r="K640" t="b">
        <v>1</v>
      </c>
      <c r="M640" t="n">
        <v>30</v>
      </c>
      <c r="N640" t="n">
        <v>28</v>
      </c>
      <c r="O640" t="n">
        <v>10</v>
      </c>
      <c r="P640" t="n">
        <v>972</v>
      </c>
      <c r="Q640" t="n">
        <v>1002</v>
      </c>
      <c r="R640" t="n">
        <v>1.08</v>
      </c>
      <c r="S640" t="n">
        <v>246.947</v>
      </c>
      <c r="T640" t="n">
        <v>228.57</v>
      </c>
      <c r="U640" t="n">
        <v>0.7783</v>
      </c>
      <c r="V640" t="b">
        <v>1</v>
      </c>
      <c r="X640" t="b">
        <v>1</v>
      </c>
      <c r="Z640" t="n">
        <v>935</v>
      </c>
      <c r="AA640" t="n">
        <v>2.5</v>
      </c>
      <c r="AB640" t="n">
        <v>9.5</v>
      </c>
    </row>
    <row r="641">
      <c r="A641" t="inlineStr">
        <is>
          <t>2026-09-24 14:35:27</t>
        </is>
      </c>
      <c r="B641" t="inlineStr">
        <is>
          <t>MLLB_000_y1.0.3</t>
        </is>
      </c>
      <c r="C641" t="inlineStr">
        <is>
          <t>WHITE</t>
        </is>
      </c>
      <c r="D641" t="inlineStr">
        <is>
          <t>v4_white_MLLB_000_y103_0924</t>
        </is>
      </c>
      <c r="E641" t="n">
        <v>3.6</v>
      </c>
      <c r="F641" t="n">
        <v>3.608</v>
      </c>
      <c r="G641" t="n">
        <v>100</v>
      </c>
      <c r="H641" t="n">
        <v>100</v>
      </c>
      <c r="I641" t="n">
        <v>24</v>
      </c>
      <c r="J641" t="inlineStr">
        <is>
          <t>kaba</t>
        </is>
      </c>
      <c r="K641" t="b">
        <v>1</v>
      </c>
      <c r="M641" t="n">
        <v>30</v>
      </c>
      <c r="N641" t="n">
        <v>28</v>
      </c>
      <c r="O641" t="n">
        <v>10</v>
      </c>
      <c r="P641" t="n">
        <v>972</v>
      </c>
      <c r="Q641" t="n">
        <v>1002</v>
      </c>
      <c r="R641" t="n">
        <v>1.08</v>
      </c>
      <c r="S641" t="n">
        <v>246.947</v>
      </c>
      <c r="T641" t="n">
        <v>228.617</v>
      </c>
      <c r="U641" t="n">
        <v>0.7783</v>
      </c>
      <c r="V641" t="b">
        <v>1</v>
      </c>
      <c r="X641" t="b">
        <v>1</v>
      </c>
      <c r="Z641" t="n">
        <v>935</v>
      </c>
      <c r="AA641" t="n">
        <v>2.5</v>
      </c>
      <c r="AB641" t="n">
        <v>9.5</v>
      </c>
    </row>
    <row r="642">
      <c r="A642" t="inlineStr">
        <is>
          <t>2026-09-24 14:35:43</t>
        </is>
      </c>
      <c r="B642" t="inlineStr">
        <is>
          <t>MLLB_000_y1.0.3</t>
        </is>
      </c>
      <c r="C642" t="inlineStr">
        <is>
          <t>WHITE</t>
        </is>
      </c>
      <c r="D642" t="inlineStr">
        <is>
          <t>v4_white_MLLB_000_y103_0924</t>
        </is>
      </c>
      <c r="E642" t="n">
        <v>3.6</v>
      </c>
      <c r="F642" t="n">
        <v>3.608</v>
      </c>
      <c r="G642" t="n">
        <v>100</v>
      </c>
      <c r="H642" t="n">
        <v>100</v>
      </c>
      <c r="I642" t="n">
        <v>28</v>
      </c>
      <c r="J642" t="inlineStr">
        <is>
          <t>kaba</t>
        </is>
      </c>
      <c r="K642" t="b">
        <v>1</v>
      </c>
      <c r="M642" t="n">
        <v>30</v>
      </c>
      <c r="N642" t="n">
        <v>28</v>
      </c>
      <c r="O642" t="n">
        <v>10</v>
      </c>
      <c r="P642" t="n">
        <v>972</v>
      </c>
      <c r="Q642" t="n">
        <v>1002</v>
      </c>
      <c r="R642" t="n">
        <v>1.081</v>
      </c>
      <c r="S642" t="n">
        <v>246.961</v>
      </c>
      <c r="T642" t="n">
        <v>228.528</v>
      </c>
      <c r="U642" t="n">
        <v>0.7782</v>
      </c>
      <c r="V642" t="b">
        <v>1</v>
      </c>
      <c r="X642" t="b">
        <v>1</v>
      </c>
      <c r="Z642" t="n">
        <v>935</v>
      </c>
      <c r="AA642" t="n">
        <v>2.5</v>
      </c>
      <c r="AB642" t="n">
        <v>9.5</v>
      </c>
    </row>
    <row r="643">
      <c r="A643" t="inlineStr">
        <is>
          <t>2026-09-24 14:35:59</t>
        </is>
      </c>
      <c r="B643" t="inlineStr">
        <is>
          <t>MLLB_000_y1.0.3</t>
        </is>
      </c>
      <c r="C643" t="inlineStr">
        <is>
          <t>WHITE</t>
        </is>
      </c>
      <c r="D643" t="inlineStr">
        <is>
          <t>v4_white_MLLB_000_y103_0924</t>
        </is>
      </c>
      <c r="E643" t="n">
        <v>3.6</v>
      </c>
      <c r="F643" t="n">
        <v>3.608</v>
      </c>
      <c r="G643" t="n">
        <v>100</v>
      </c>
      <c r="H643" t="n">
        <v>100</v>
      </c>
      <c r="I643" t="n">
        <v>32</v>
      </c>
      <c r="J643" t="inlineStr">
        <is>
          <t>kaba</t>
        </is>
      </c>
      <c r="K643" t="b">
        <v>1</v>
      </c>
      <c r="M643" t="n">
        <v>30</v>
      </c>
      <c r="N643" t="n">
        <v>28</v>
      </c>
      <c r="O643" t="n">
        <v>10</v>
      </c>
      <c r="P643" t="n">
        <v>972</v>
      </c>
      <c r="Q643" t="n">
        <v>1002</v>
      </c>
      <c r="R643" t="n">
        <v>1.08</v>
      </c>
      <c r="S643" t="n">
        <v>246.947</v>
      </c>
      <c r="T643" t="n">
        <v>228.561</v>
      </c>
      <c r="U643" t="n">
        <v>0.7783</v>
      </c>
      <c r="V643" t="b">
        <v>1</v>
      </c>
      <c r="X643" t="b">
        <v>1</v>
      </c>
      <c r="Z643" t="n">
        <v>935</v>
      </c>
      <c r="AA643" t="n">
        <v>2.5</v>
      </c>
      <c r="AB643" t="n">
        <v>9.5</v>
      </c>
    </row>
    <row r="644">
      <c r="A644" t="inlineStr">
        <is>
          <t>2026-09-24 14:36:15</t>
        </is>
      </c>
      <c r="B644" t="inlineStr">
        <is>
          <t>MLLB_000_y1.0.3</t>
        </is>
      </c>
      <c r="C644" t="inlineStr">
        <is>
          <t>WHITE</t>
        </is>
      </c>
      <c r="D644" t="inlineStr">
        <is>
          <t>v4_white_MLLB_000_y103_0924</t>
        </is>
      </c>
      <c r="E644" t="n">
        <v>3.6</v>
      </c>
      <c r="F644" t="n">
        <v>3.608</v>
      </c>
      <c r="G644" t="n">
        <v>100</v>
      </c>
      <c r="H644" t="n">
        <v>100</v>
      </c>
      <c r="I644" t="n">
        <v>36</v>
      </c>
      <c r="J644" t="inlineStr">
        <is>
          <t>kaba</t>
        </is>
      </c>
      <c r="K644" t="b">
        <v>1</v>
      </c>
      <c r="M644" t="n">
        <v>30</v>
      </c>
      <c r="N644" t="n">
        <v>28</v>
      </c>
      <c r="O644" t="n">
        <v>10</v>
      </c>
      <c r="P644" t="n">
        <v>972</v>
      </c>
      <c r="Q644" t="n">
        <v>1002</v>
      </c>
      <c r="R644" t="n">
        <v>1.084</v>
      </c>
      <c r="S644" t="n">
        <v>247.719</v>
      </c>
      <c r="T644" t="n">
        <v>228.46</v>
      </c>
      <c r="U644" t="n">
        <v>0.7776999999999999</v>
      </c>
      <c r="V644" t="b">
        <v>1</v>
      </c>
      <c r="X644" t="b">
        <v>1</v>
      </c>
      <c r="Z644" t="n">
        <v>935</v>
      </c>
      <c r="AA644" t="n">
        <v>2.5</v>
      </c>
      <c r="AB644" t="n">
        <v>9.5</v>
      </c>
    </row>
    <row r="645">
      <c r="A645" t="inlineStr">
        <is>
          <t>2026-09-24 14:36:31</t>
        </is>
      </c>
      <c r="B645" t="inlineStr">
        <is>
          <t>MLLB_000_y1.0.3</t>
        </is>
      </c>
      <c r="C645" t="inlineStr">
        <is>
          <t>WHITE</t>
        </is>
      </c>
      <c r="D645" t="inlineStr">
        <is>
          <t>v4_white_MLLB_000_y103_0924</t>
        </is>
      </c>
      <c r="E645" t="n">
        <v>3.6</v>
      </c>
      <c r="F645" t="n">
        <v>3.608</v>
      </c>
      <c r="G645" t="n">
        <v>100</v>
      </c>
      <c r="H645" t="n">
        <v>100</v>
      </c>
      <c r="I645" t="n">
        <v>40</v>
      </c>
      <c r="J645" t="inlineStr">
        <is>
          <t>kaba</t>
        </is>
      </c>
      <c r="K645" t="b">
        <v>1</v>
      </c>
      <c r="M645" t="n">
        <v>30</v>
      </c>
      <c r="N645" t="n">
        <v>28</v>
      </c>
      <c r="O645" t="n">
        <v>10</v>
      </c>
      <c r="P645" t="n">
        <v>972</v>
      </c>
      <c r="Q645" t="n">
        <v>1002</v>
      </c>
      <c r="R645" t="n">
        <v>1.081</v>
      </c>
      <c r="S645" t="n">
        <v>247.144</v>
      </c>
      <c r="T645" t="n">
        <v>228.716</v>
      </c>
      <c r="U645" t="n">
        <v>0.7783</v>
      </c>
      <c r="V645" t="b">
        <v>1</v>
      </c>
      <c r="X645" t="b">
        <v>1</v>
      </c>
      <c r="Z645" t="n">
        <v>935</v>
      </c>
      <c r="AA645" t="n">
        <v>2.5</v>
      </c>
      <c r="AB645" t="n">
        <v>9.5</v>
      </c>
    </row>
    <row r="646">
      <c r="A646" t="inlineStr">
        <is>
          <t>2026-09-24 14:36:47</t>
        </is>
      </c>
      <c r="B646" t="inlineStr">
        <is>
          <t>MLLB_000_y1.0.3</t>
        </is>
      </c>
      <c r="C646" t="inlineStr">
        <is>
          <t>WHITE</t>
        </is>
      </c>
      <c r="D646" t="inlineStr">
        <is>
          <t>v4_white_MLLB_000_y103_0924</t>
        </is>
      </c>
      <c r="E646" t="n">
        <v>3.6</v>
      </c>
      <c r="F646" t="n">
        <v>3.608</v>
      </c>
      <c r="G646" t="n">
        <v>100</v>
      </c>
      <c r="H646" t="n">
        <v>100</v>
      </c>
      <c r="I646" t="n">
        <v>44</v>
      </c>
      <c r="J646" t="inlineStr">
        <is>
          <t>kaba</t>
        </is>
      </c>
      <c r="K646" t="b">
        <v>1</v>
      </c>
      <c r="M646" t="n">
        <v>30</v>
      </c>
      <c r="N646" t="n">
        <v>28</v>
      </c>
      <c r="O646" t="n">
        <v>10</v>
      </c>
      <c r="P646" t="n">
        <v>972</v>
      </c>
      <c r="Q646" t="n">
        <v>1002</v>
      </c>
      <c r="R646" t="n">
        <v>1.079</v>
      </c>
      <c r="S646" t="n">
        <v>246.947</v>
      </c>
      <c r="T646" t="n">
        <v>228.829</v>
      </c>
      <c r="U646" t="n">
        <v>0.7782</v>
      </c>
      <c r="V646" t="b">
        <v>1</v>
      </c>
      <c r="X646" t="b">
        <v>1</v>
      </c>
      <c r="Z646" t="n">
        <v>935</v>
      </c>
      <c r="AA646" t="n">
        <v>2.5</v>
      </c>
      <c r="AB646" t="n">
        <v>9.5</v>
      </c>
    </row>
    <row r="647">
      <c r="A647" t="inlineStr">
        <is>
          <t>2026-09-24 14:37:03</t>
        </is>
      </c>
      <c r="B647" t="inlineStr">
        <is>
          <t>MLLB_000_y1.0.3</t>
        </is>
      </c>
      <c r="C647" t="inlineStr">
        <is>
          <t>WHITE</t>
        </is>
      </c>
      <c r="D647" t="inlineStr">
        <is>
          <t>v4_white_MLLB_000_y103_0924</t>
        </is>
      </c>
      <c r="E647" t="n">
        <v>3.6</v>
      </c>
      <c r="F647" t="n">
        <v>3.608</v>
      </c>
      <c r="G647" t="n">
        <v>100</v>
      </c>
      <c r="H647" t="n">
        <v>100</v>
      </c>
      <c r="I647" t="n">
        <v>48</v>
      </c>
      <c r="J647" t="inlineStr">
        <is>
          <t>kaba</t>
        </is>
      </c>
      <c r="K647" t="b">
        <v>1</v>
      </c>
      <c r="M647" t="n">
        <v>30</v>
      </c>
      <c r="N647" t="n">
        <v>28</v>
      </c>
      <c r="O647" t="n">
        <v>10</v>
      </c>
      <c r="P647" t="n">
        <v>972</v>
      </c>
      <c r="Q647" t="n">
        <v>1002</v>
      </c>
      <c r="R647" t="n">
        <v>1.087</v>
      </c>
      <c r="S647" t="n">
        <v>248.49</v>
      </c>
      <c r="T647" t="n">
        <v>228.7</v>
      </c>
      <c r="U647" t="n">
        <v>0.7782</v>
      </c>
      <c r="V647" t="b">
        <v>1</v>
      </c>
      <c r="X647" t="b">
        <v>1</v>
      </c>
      <c r="Z647" t="n">
        <v>935</v>
      </c>
      <c r="AA647" t="n">
        <v>2.5</v>
      </c>
      <c r="AB647" t="n">
        <v>9.5</v>
      </c>
    </row>
    <row r="648">
      <c r="A648" t="inlineStr">
        <is>
          <t>2026-09-24 14:37:19</t>
        </is>
      </c>
      <c r="B648" t="inlineStr">
        <is>
          <t>MLLB_000_y1.0.3</t>
        </is>
      </c>
      <c r="C648" t="inlineStr">
        <is>
          <t>WHITE</t>
        </is>
      </c>
      <c r="D648" t="inlineStr">
        <is>
          <t>v4_white_MLLB_000_y103_0924</t>
        </is>
      </c>
      <c r="E648" t="n">
        <v>3.6</v>
      </c>
      <c r="F648" t="n">
        <v>3.608</v>
      </c>
      <c r="G648" t="n">
        <v>100</v>
      </c>
      <c r="H648" t="n">
        <v>100</v>
      </c>
      <c r="I648" t="n">
        <v>52</v>
      </c>
      <c r="J648" t="inlineStr">
        <is>
          <t>kaba</t>
        </is>
      </c>
      <c r="K648" t="b">
        <v>1</v>
      </c>
      <c r="M648" t="n">
        <v>30</v>
      </c>
      <c r="N648" t="n">
        <v>28</v>
      </c>
      <c r="O648" t="n">
        <v>10</v>
      </c>
      <c r="P648" t="n">
        <v>972</v>
      </c>
      <c r="Q648" t="n">
        <v>1002</v>
      </c>
      <c r="R648" t="n">
        <v>1.083</v>
      </c>
      <c r="S648" t="n">
        <v>247.719</v>
      </c>
      <c r="T648" t="n">
        <v>228.702</v>
      </c>
      <c r="U648" t="n">
        <v>0.7773</v>
      </c>
      <c r="V648" t="b">
        <v>1</v>
      </c>
      <c r="X648" t="b">
        <v>1</v>
      </c>
      <c r="Z648" t="n">
        <v>935</v>
      </c>
      <c r="AA648" t="n">
        <v>2.5</v>
      </c>
      <c r="AB648" t="n">
        <v>9.5</v>
      </c>
    </row>
    <row r="649">
      <c r="A649" t="inlineStr">
        <is>
          <t>2026-09-24 14:37:35</t>
        </is>
      </c>
      <c r="B649" t="inlineStr">
        <is>
          <t>MLLB_000_y1.0.3</t>
        </is>
      </c>
      <c r="C649" t="inlineStr">
        <is>
          <t>WHITE</t>
        </is>
      </c>
      <c r="D649" t="inlineStr">
        <is>
          <t>v4_white_MLLB_000_y103_0924</t>
        </is>
      </c>
      <c r="E649" t="n">
        <v>3.6</v>
      </c>
      <c r="F649" t="n">
        <v>3.608</v>
      </c>
      <c r="G649" t="n">
        <v>100</v>
      </c>
      <c r="H649" t="n">
        <v>100</v>
      </c>
      <c r="I649" t="n">
        <v>56</v>
      </c>
      <c r="J649" t="inlineStr">
        <is>
          <t>kaba</t>
        </is>
      </c>
      <c r="K649" t="b">
        <v>1</v>
      </c>
      <c r="M649" t="n">
        <v>30</v>
      </c>
      <c r="N649" t="n">
        <v>28</v>
      </c>
      <c r="O649" t="n">
        <v>10</v>
      </c>
      <c r="P649" t="n">
        <v>972</v>
      </c>
      <c r="Q649" t="n">
        <v>1002</v>
      </c>
      <c r="R649" t="n">
        <v>1.08</v>
      </c>
      <c r="S649" t="n">
        <v>246.965</v>
      </c>
      <c r="T649" t="n">
        <v>228.588</v>
      </c>
      <c r="U649" t="n">
        <v>0.7779</v>
      </c>
      <c r="V649" t="b">
        <v>1</v>
      </c>
      <c r="X649" t="b">
        <v>1</v>
      </c>
      <c r="Z649" t="n">
        <v>935</v>
      </c>
      <c r="AA649" t="n">
        <v>2.5</v>
      </c>
      <c r="AB649" t="n">
        <v>9.5</v>
      </c>
    </row>
    <row r="650">
      <c r="A650" t="inlineStr">
        <is>
          <t>2026-09-24 14:37:51</t>
        </is>
      </c>
      <c r="B650" t="inlineStr">
        <is>
          <t>MLLB_000_y1.0.3</t>
        </is>
      </c>
      <c r="C650" t="inlineStr">
        <is>
          <t>WHITE</t>
        </is>
      </c>
      <c r="D650" t="inlineStr">
        <is>
          <t>v4_white_MLLB_000_y103_0924</t>
        </is>
      </c>
      <c r="E650" t="n">
        <v>3.6</v>
      </c>
      <c r="F650" t="n">
        <v>3.608</v>
      </c>
      <c r="G650" t="n">
        <v>100</v>
      </c>
      <c r="H650" t="n">
        <v>100</v>
      </c>
      <c r="I650" t="n">
        <v>58</v>
      </c>
      <c r="J650" t="inlineStr">
        <is>
          <t>kaba</t>
        </is>
      </c>
      <c r="K650" t="b">
        <v>1</v>
      </c>
      <c r="M650" t="n">
        <v>30</v>
      </c>
      <c r="N650" t="n">
        <v>28</v>
      </c>
      <c r="O650" t="n">
        <v>10</v>
      </c>
      <c r="P650" t="n">
        <v>972</v>
      </c>
      <c r="Q650" t="n">
        <v>1002</v>
      </c>
      <c r="R650" t="n">
        <v>1.085</v>
      </c>
      <c r="S650" t="n">
        <v>247.896</v>
      </c>
      <c r="T650" t="n">
        <v>228.563</v>
      </c>
      <c r="U650" t="n">
        <v>0.7778</v>
      </c>
      <c r="V650" t="b">
        <v>1</v>
      </c>
      <c r="X650" t="b">
        <v>1</v>
      </c>
      <c r="Z650" t="n">
        <v>935</v>
      </c>
      <c r="AA650" t="n">
        <v>2.5</v>
      </c>
      <c r="AB650" t="n">
        <v>9.5</v>
      </c>
    </row>
    <row r="651">
      <c r="A651" t="inlineStr">
        <is>
          <t>2026-09-24 14:37:52</t>
        </is>
      </c>
      <c r="B651" t="inlineStr">
        <is>
          <t>MLLB_000_y1.0.3</t>
        </is>
      </c>
      <c r="C651" t="inlineStr">
        <is>
          <t>WHITE</t>
        </is>
      </c>
      <c r="D651" t="inlineStr">
        <is>
          <t>v4_white_MLLB_000_y103_0924</t>
        </is>
      </c>
      <c r="E651" t="n">
        <v>3.6</v>
      </c>
      <c r="F651" t="n">
        <v>3.608</v>
      </c>
      <c r="G651" t="n">
        <v>100</v>
      </c>
      <c r="H651" t="n">
        <v>100</v>
      </c>
      <c r="I651" t="n">
        <v>13</v>
      </c>
      <c r="J651" t="inlineStr">
        <is>
          <t>ince</t>
        </is>
      </c>
      <c r="K651" t="b">
        <v>0</v>
      </c>
      <c r="L651" t="inlineStr">
        <is>
          <t>iki-OK-arasi-monotonluk</t>
        </is>
      </c>
      <c r="X651" t="b">
        <v>1</v>
      </c>
      <c r="Z651" t="n">
        <v>935</v>
      </c>
      <c r="AA651" t="n">
        <v>2.5</v>
      </c>
      <c r="AB651" t="n">
        <v>9.5</v>
      </c>
    </row>
    <row r="652">
      <c r="A652" t="inlineStr">
        <is>
          <t>2026-09-24 14:37:52</t>
        </is>
      </c>
      <c r="B652" t="inlineStr">
        <is>
          <t>MLLB_000_y1.0.3</t>
        </is>
      </c>
      <c r="C652" t="inlineStr">
        <is>
          <t>WHITE</t>
        </is>
      </c>
      <c r="D652" t="inlineStr">
        <is>
          <t>v4_white_MLLB_000_y103_0924</t>
        </is>
      </c>
      <c r="E652" t="n">
        <v>3.6</v>
      </c>
      <c r="F652" t="n">
        <v>3.608</v>
      </c>
      <c r="G652" t="n">
        <v>100</v>
      </c>
      <c r="H652" t="n">
        <v>100</v>
      </c>
      <c r="I652" t="n">
        <v>14</v>
      </c>
      <c r="J652" t="inlineStr">
        <is>
          <t>ince</t>
        </is>
      </c>
      <c r="K652" t="b">
        <v>0</v>
      </c>
      <c r="L652" t="inlineStr">
        <is>
          <t>iki-OK-arasi-monotonluk</t>
        </is>
      </c>
      <c r="X652" t="b">
        <v>1</v>
      </c>
      <c r="Z652" t="n">
        <v>935</v>
      </c>
      <c r="AA652" t="n">
        <v>2.5</v>
      </c>
      <c r="AB652" t="n">
        <v>9.5</v>
      </c>
    </row>
    <row r="653">
      <c r="A653" t="inlineStr">
        <is>
          <t>2026-09-24 14:37:52</t>
        </is>
      </c>
      <c r="B653" t="inlineStr">
        <is>
          <t>MLLB_000_y1.0.3</t>
        </is>
      </c>
      <c r="C653" t="inlineStr">
        <is>
          <t>WHITE</t>
        </is>
      </c>
      <c r="D653" t="inlineStr">
        <is>
          <t>v4_white_MLLB_000_y103_0924</t>
        </is>
      </c>
      <c r="E653" t="n">
        <v>3.6</v>
      </c>
      <c r="F653" t="n">
        <v>3.608</v>
      </c>
      <c r="G653" t="n">
        <v>100</v>
      </c>
      <c r="H653" t="n">
        <v>100</v>
      </c>
      <c r="I653" t="n">
        <v>15</v>
      </c>
      <c r="J653" t="inlineStr">
        <is>
          <t>ince</t>
        </is>
      </c>
      <c r="K653" t="b">
        <v>0</v>
      </c>
      <c r="L653" t="inlineStr">
        <is>
          <t>iki-OK-arasi-monotonluk</t>
        </is>
      </c>
      <c r="X653" t="b">
        <v>1</v>
      </c>
      <c r="Z653" t="n">
        <v>935</v>
      </c>
      <c r="AA653" t="n">
        <v>2.5</v>
      </c>
      <c r="AB653" t="n">
        <v>9.5</v>
      </c>
    </row>
    <row r="654">
      <c r="A654" t="inlineStr">
        <is>
          <t>2026-09-24 14:37:52</t>
        </is>
      </c>
      <c r="B654" t="inlineStr">
        <is>
          <t>MLLB_000_y1.0.3</t>
        </is>
      </c>
      <c r="C654" t="inlineStr">
        <is>
          <t>WHITE</t>
        </is>
      </c>
      <c r="D654" t="inlineStr">
        <is>
          <t>v4_white_MLLB_000_y103_0924</t>
        </is>
      </c>
      <c r="E654" t="n">
        <v>3.6</v>
      </c>
      <c r="F654" t="n">
        <v>3.608</v>
      </c>
      <c r="G654" t="n">
        <v>100</v>
      </c>
      <c r="H654" t="n">
        <v>100</v>
      </c>
      <c r="I654" t="n">
        <v>17</v>
      </c>
      <c r="J654" t="inlineStr">
        <is>
          <t>ince</t>
        </is>
      </c>
      <c r="K654" t="b">
        <v>0</v>
      </c>
      <c r="L654" t="inlineStr">
        <is>
          <t>iki-OK-arasi-monotonluk</t>
        </is>
      </c>
      <c r="X654" t="b">
        <v>1</v>
      </c>
      <c r="Z654" t="n">
        <v>935</v>
      </c>
      <c r="AA654" t="n">
        <v>2.5</v>
      </c>
      <c r="AB654" t="n">
        <v>9.5</v>
      </c>
    </row>
    <row r="655">
      <c r="A655" t="inlineStr">
        <is>
          <t>2026-09-24 14:37:52</t>
        </is>
      </c>
      <c r="B655" t="inlineStr">
        <is>
          <t>MLLB_000_y1.0.3</t>
        </is>
      </c>
      <c r="C655" t="inlineStr">
        <is>
          <t>WHITE</t>
        </is>
      </c>
      <c r="D655" t="inlineStr">
        <is>
          <t>v4_white_MLLB_000_y103_0924</t>
        </is>
      </c>
      <c r="E655" t="n">
        <v>3.6</v>
      </c>
      <c r="F655" t="n">
        <v>3.608</v>
      </c>
      <c r="G655" t="n">
        <v>100</v>
      </c>
      <c r="H655" t="n">
        <v>100</v>
      </c>
      <c r="I655" t="n">
        <v>18</v>
      </c>
      <c r="J655" t="inlineStr">
        <is>
          <t>ince</t>
        </is>
      </c>
      <c r="K655" t="b">
        <v>0</v>
      </c>
      <c r="L655" t="inlineStr">
        <is>
          <t>iki-OK-arasi-monotonluk</t>
        </is>
      </c>
      <c r="X655" t="b">
        <v>1</v>
      </c>
      <c r="Z655" t="n">
        <v>935</v>
      </c>
      <c r="AA655" t="n">
        <v>2.5</v>
      </c>
      <c r="AB655" t="n">
        <v>9.5</v>
      </c>
    </row>
    <row r="656">
      <c r="A656" t="inlineStr">
        <is>
          <t>2026-09-24 14:37:52</t>
        </is>
      </c>
      <c r="B656" t="inlineStr">
        <is>
          <t>MLLB_000_y1.0.3</t>
        </is>
      </c>
      <c r="C656" t="inlineStr">
        <is>
          <t>WHITE</t>
        </is>
      </c>
      <c r="D656" t="inlineStr">
        <is>
          <t>v4_white_MLLB_000_y103_0924</t>
        </is>
      </c>
      <c r="E656" t="n">
        <v>3.6</v>
      </c>
      <c r="F656" t="n">
        <v>3.608</v>
      </c>
      <c r="G656" t="n">
        <v>100</v>
      </c>
      <c r="H656" t="n">
        <v>100</v>
      </c>
      <c r="I656" t="n">
        <v>19</v>
      </c>
      <c r="J656" t="inlineStr">
        <is>
          <t>ince</t>
        </is>
      </c>
      <c r="K656" t="b">
        <v>0</v>
      </c>
      <c r="L656" t="inlineStr">
        <is>
          <t>iki-OK-arasi-monotonluk</t>
        </is>
      </c>
      <c r="X656" t="b">
        <v>1</v>
      </c>
      <c r="Z656" t="n">
        <v>935</v>
      </c>
      <c r="AA656" t="n">
        <v>2.5</v>
      </c>
      <c r="AB656" t="n">
        <v>9.5</v>
      </c>
    </row>
    <row r="657">
      <c r="A657" t="inlineStr">
        <is>
          <t>2026-09-24 14:37:52</t>
        </is>
      </c>
      <c r="B657" t="inlineStr">
        <is>
          <t>MLLB_000_y1.0.3</t>
        </is>
      </c>
      <c r="C657" t="inlineStr">
        <is>
          <t>WHITE</t>
        </is>
      </c>
      <c r="D657" t="inlineStr">
        <is>
          <t>v4_white_MLLB_000_y103_0924</t>
        </is>
      </c>
      <c r="E657" t="n">
        <v>3.6</v>
      </c>
      <c r="F657" t="n">
        <v>3.608</v>
      </c>
      <c r="G657" t="n">
        <v>100</v>
      </c>
      <c r="H657" t="n">
        <v>100</v>
      </c>
      <c r="I657" t="n">
        <v>21</v>
      </c>
      <c r="J657" t="inlineStr">
        <is>
          <t>ince</t>
        </is>
      </c>
      <c r="K657" t="b">
        <v>0</v>
      </c>
      <c r="L657" t="inlineStr">
        <is>
          <t>iki-OK-arasi-monotonluk</t>
        </is>
      </c>
      <c r="X657" t="b">
        <v>1</v>
      </c>
      <c r="Z657" t="n">
        <v>935</v>
      </c>
      <c r="AA657" t="n">
        <v>2.5</v>
      </c>
      <c r="AB657" t="n">
        <v>9.5</v>
      </c>
    </row>
    <row r="658">
      <c r="A658" t="inlineStr">
        <is>
          <t>2026-09-24 14:37:52</t>
        </is>
      </c>
      <c r="B658" t="inlineStr">
        <is>
          <t>MLLB_000_y1.0.3</t>
        </is>
      </c>
      <c r="C658" t="inlineStr">
        <is>
          <t>WHITE</t>
        </is>
      </c>
      <c r="D658" t="inlineStr">
        <is>
          <t>v4_white_MLLB_000_y103_0924</t>
        </is>
      </c>
      <c r="E658" t="n">
        <v>3.6</v>
      </c>
      <c r="F658" t="n">
        <v>3.608</v>
      </c>
      <c r="G658" t="n">
        <v>100</v>
      </c>
      <c r="H658" t="n">
        <v>100</v>
      </c>
      <c r="I658" t="n">
        <v>22</v>
      </c>
      <c r="J658" t="inlineStr">
        <is>
          <t>ince</t>
        </is>
      </c>
      <c r="K658" t="b">
        <v>0</v>
      </c>
      <c r="L658" t="inlineStr">
        <is>
          <t>iki-OK-arasi-monotonluk</t>
        </is>
      </c>
      <c r="X658" t="b">
        <v>1</v>
      </c>
      <c r="Z658" t="n">
        <v>935</v>
      </c>
      <c r="AA658" t="n">
        <v>2.5</v>
      </c>
      <c r="AB658" t="n">
        <v>9.5</v>
      </c>
    </row>
    <row r="659">
      <c r="A659" t="inlineStr">
        <is>
          <t>2026-09-24 14:37:52</t>
        </is>
      </c>
      <c r="B659" t="inlineStr">
        <is>
          <t>MLLB_000_y1.0.3</t>
        </is>
      </c>
      <c r="C659" t="inlineStr">
        <is>
          <t>WHITE</t>
        </is>
      </c>
      <c r="D659" t="inlineStr">
        <is>
          <t>v4_white_MLLB_000_y103_0924</t>
        </is>
      </c>
      <c r="E659" t="n">
        <v>3.6</v>
      </c>
      <c r="F659" t="n">
        <v>3.608</v>
      </c>
      <c r="G659" t="n">
        <v>100</v>
      </c>
      <c r="H659" t="n">
        <v>100</v>
      </c>
      <c r="I659" t="n">
        <v>23</v>
      </c>
      <c r="J659" t="inlineStr">
        <is>
          <t>ince</t>
        </is>
      </c>
      <c r="K659" t="b">
        <v>0</v>
      </c>
      <c r="L659" t="inlineStr">
        <is>
          <t>iki-OK-arasi-monotonluk</t>
        </is>
      </c>
      <c r="X659" t="b">
        <v>1</v>
      </c>
      <c r="Z659" t="n">
        <v>935</v>
      </c>
      <c r="AA659" t="n">
        <v>2.5</v>
      </c>
      <c r="AB659" t="n">
        <v>9.5</v>
      </c>
    </row>
    <row r="660">
      <c r="A660" t="inlineStr">
        <is>
          <t>2026-09-24 14:37:52</t>
        </is>
      </c>
      <c r="B660" t="inlineStr">
        <is>
          <t>MLLB_000_y1.0.3</t>
        </is>
      </c>
      <c r="C660" t="inlineStr">
        <is>
          <t>WHITE</t>
        </is>
      </c>
      <c r="D660" t="inlineStr">
        <is>
          <t>v4_white_MLLB_000_y103_0924</t>
        </is>
      </c>
      <c r="E660" t="n">
        <v>3.6</v>
      </c>
      <c r="F660" t="n">
        <v>3.608</v>
      </c>
      <c r="G660" t="n">
        <v>100</v>
      </c>
      <c r="H660" t="n">
        <v>100</v>
      </c>
      <c r="I660" t="n">
        <v>25</v>
      </c>
      <c r="J660" t="inlineStr">
        <is>
          <t>ince</t>
        </is>
      </c>
      <c r="K660" t="b">
        <v>0</v>
      </c>
      <c r="L660" t="inlineStr">
        <is>
          <t>iki-OK-arasi-monotonluk</t>
        </is>
      </c>
      <c r="X660" t="b">
        <v>1</v>
      </c>
      <c r="Z660" t="n">
        <v>935</v>
      </c>
      <c r="AA660" t="n">
        <v>2.5</v>
      </c>
      <c r="AB660" t="n">
        <v>9.5</v>
      </c>
    </row>
    <row r="661">
      <c r="A661" t="inlineStr">
        <is>
          <t>2026-09-24 14:37:52</t>
        </is>
      </c>
      <c r="B661" t="inlineStr">
        <is>
          <t>MLLB_000_y1.0.3</t>
        </is>
      </c>
      <c r="C661" t="inlineStr">
        <is>
          <t>WHITE</t>
        </is>
      </c>
      <c r="D661" t="inlineStr">
        <is>
          <t>v4_white_MLLB_000_y103_0924</t>
        </is>
      </c>
      <c r="E661" t="n">
        <v>3.6</v>
      </c>
      <c r="F661" t="n">
        <v>3.608</v>
      </c>
      <c r="G661" t="n">
        <v>100</v>
      </c>
      <c r="H661" t="n">
        <v>100</v>
      </c>
      <c r="I661" t="n">
        <v>26</v>
      </c>
      <c r="J661" t="inlineStr">
        <is>
          <t>ince</t>
        </is>
      </c>
      <c r="K661" t="b">
        <v>0</v>
      </c>
      <c r="L661" t="inlineStr">
        <is>
          <t>iki-OK-arasi-monotonluk</t>
        </is>
      </c>
      <c r="X661" t="b">
        <v>1</v>
      </c>
      <c r="Z661" t="n">
        <v>935</v>
      </c>
      <c r="AA661" t="n">
        <v>2.5</v>
      </c>
      <c r="AB661" t="n">
        <v>9.5</v>
      </c>
    </row>
    <row r="662">
      <c r="A662" t="inlineStr">
        <is>
          <t>2026-09-24 14:37:52</t>
        </is>
      </c>
      <c r="B662" t="inlineStr">
        <is>
          <t>MLLB_000_y1.0.3</t>
        </is>
      </c>
      <c r="C662" t="inlineStr">
        <is>
          <t>WHITE</t>
        </is>
      </c>
      <c r="D662" t="inlineStr">
        <is>
          <t>v4_white_MLLB_000_y103_0924</t>
        </is>
      </c>
      <c r="E662" t="n">
        <v>3.6</v>
      </c>
      <c r="F662" t="n">
        <v>3.608</v>
      </c>
      <c r="G662" t="n">
        <v>100</v>
      </c>
      <c r="H662" t="n">
        <v>100</v>
      </c>
      <c r="I662" t="n">
        <v>27</v>
      </c>
      <c r="J662" t="inlineStr">
        <is>
          <t>ince</t>
        </is>
      </c>
      <c r="K662" t="b">
        <v>0</v>
      </c>
      <c r="L662" t="inlineStr">
        <is>
          <t>iki-OK-arasi-monotonluk</t>
        </is>
      </c>
      <c r="X662" t="b">
        <v>1</v>
      </c>
      <c r="Z662" t="n">
        <v>935</v>
      </c>
      <c r="AA662" t="n">
        <v>2.5</v>
      </c>
      <c r="AB662" t="n">
        <v>9.5</v>
      </c>
    </row>
    <row r="663">
      <c r="A663" t="inlineStr">
        <is>
          <t>2026-09-24 14:37:52</t>
        </is>
      </c>
      <c r="B663" t="inlineStr">
        <is>
          <t>MLLB_000_y1.0.3</t>
        </is>
      </c>
      <c r="C663" t="inlineStr">
        <is>
          <t>WHITE</t>
        </is>
      </c>
      <c r="D663" t="inlineStr">
        <is>
          <t>v4_white_MLLB_000_y103_0924</t>
        </is>
      </c>
      <c r="E663" t="n">
        <v>3.6</v>
      </c>
      <c r="F663" t="n">
        <v>3.608</v>
      </c>
      <c r="G663" t="n">
        <v>100</v>
      </c>
      <c r="H663" t="n">
        <v>100</v>
      </c>
      <c r="I663" t="n">
        <v>29</v>
      </c>
      <c r="J663" t="inlineStr">
        <is>
          <t>ince</t>
        </is>
      </c>
      <c r="K663" t="b">
        <v>0</v>
      </c>
      <c r="L663" t="inlineStr">
        <is>
          <t>iki-OK-arasi-monotonluk</t>
        </is>
      </c>
      <c r="X663" t="b">
        <v>1</v>
      </c>
      <c r="Z663" t="n">
        <v>935</v>
      </c>
      <c r="AA663" t="n">
        <v>2.5</v>
      </c>
      <c r="AB663" t="n">
        <v>9.5</v>
      </c>
    </row>
    <row r="664">
      <c r="A664" t="inlineStr">
        <is>
          <t>2026-09-24 14:37:52</t>
        </is>
      </c>
      <c r="B664" t="inlineStr">
        <is>
          <t>MLLB_000_y1.0.3</t>
        </is>
      </c>
      <c r="C664" t="inlineStr">
        <is>
          <t>WHITE</t>
        </is>
      </c>
      <c r="D664" t="inlineStr">
        <is>
          <t>v4_white_MLLB_000_y103_0924</t>
        </is>
      </c>
      <c r="E664" t="n">
        <v>3.6</v>
      </c>
      <c r="F664" t="n">
        <v>3.608</v>
      </c>
      <c r="G664" t="n">
        <v>100</v>
      </c>
      <c r="H664" t="n">
        <v>100</v>
      </c>
      <c r="I664" t="n">
        <v>30</v>
      </c>
      <c r="J664" t="inlineStr">
        <is>
          <t>ince</t>
        </is>
      </c>
      <c r="K664" t="b">
        <v>0</v>
      </c>
      <c r="L664" t="inlineStr">
        <is>
          <t>iki-OK-arasi-monotonluk</t>
        </is>
      </c>
      <c r="X664" t="b">
        <v>1</v>
      </c>
      <c r="Z664" t="n">
        <v>935</v>
      </c>
      <c r="AA664" t="n">
        <v>2.5</v>
      </c>
      <c r="AB664" t="n">
        <v>9.5</v>
      </c>
    </row>
    <row r="665">
      <c r="A665" t="inlineStr">
        <is>
          <t>2026-09-24 14:37:52</t>
        </is>
      </c>
      <c r="B665" t="inlineStr">
        <is>
          <t>MLLB_000_y1.0.3</t>
        </is>
      </c>
      <c r="C665" t="inlineStr">
        <is>
          <t>WHITE</t>
        </is>
      </c>
      <c r="D665" t="inlineStr">
        <is>
          <t>v4_white_MLLB_000_y103_0924</t>
        </is>
      </c>
      <c r="E665" t="n">
        <v>3.6</v>
      </c>
      <c r="F665" t="n">
        <v>3.608</v>
      </c>
      <c r="G665" t="n">
        <v>100</v>
      </c>
      <c r="H665" t="n">
        <v>100</v>
      </c>
      <c r="I665" t="n">
        <v>31</v>
      </c>
      <c r="J665" t="inlineStr">
        <is>
          <t>ince</t>
        </is>
      </c>
      <c r="K665" t="b">
        <v>0</v>
      </c>
      <c r="L665" t="inlineStr">
        <is>
          <t>iki-OK-arasi-monotonluk</t>
        </is>
      </c>
      <c r="X665" t="b">
        <v>1</v>
      </c>
      <c r="Z665" t="n">
        <v>935</v>
      </c>
      <c r="AA665" t="n">
        <v>2.5</v>
      </c>
      <c r="AB665" t="n">
        <v>9.5</v>
      </c>
    </row>
    <row r="666">
      <c r="A666" t="inlineStr">
        <is>
          <t>2026-09-24 14:37:52</t>
        </is>
      </c>
      <c r="B666" t="inlineStr">
        <is>
          <t>MLLB_000_y1.0.3</t>
        </is>
      </c>
      <c r="C666" t="inlineStr">
        <is>
          <t>WHITE</t>
        </is>
      </c>
      <c r="D666" t="inlineStr">
        <is>
          <t>v4_white_MLLB_000_y103_0924</t>
        </is>
      </c>
      <c r="E666" t="n">
        <v>3.6</v>
      </c>
      <c r="F666" t="n">
        <v>3.608</v>
      </c>
      <c r="G666" t="n">
        <v>100</v>
      </c>
      <c r="H666" t="n">
        <v>100</v>
      </c>
      <c r="I666" t="n">
        <v>33</v>
      </c>
      <c r="J666" t="inlineStr">
        <is>
          <t>ince</t>
        </is>
      </c>
      <c r="K666" t="b">
        <v>0</v>
      </c>
      <c r="L666" t="inlineStr">
        <is>
          <t>iki-OK-arasi-monotonluk</t>
        </is>
      </c>
      <c r="X666" t="b">
        <v>1</v>
      </c>
      <c r="Z666" t="n">
        <v>935</v>
      </c>
      <c r="AA666" t="n">
        <v>2.5</v>
      </c>
      <c r="AB666" t="n">
        <v>9.5</v>
      </c>
    </row>
    <row r="667">
      <c r="A667" t="inlineStr">
        <is>
          <t>2026-09-24 14:37:52</t>
        </is>
      </c>
      <c r="B667" t="inlineStr">
        <is>
          <t>MLLB_000_y1.0.3</t>
        </is>
      </c>
      <c r="C667" t="inlineStr">
        <is>
          <t>WHITE</t>
        </is>
      </c>
      <c r="D667" t="inlineStr">
        <is>
          <t>v4_white_MLLB_000_y103_0924</t>
        </is>
      </c>
      <c r="E667" t="n">
        <v>3.6</v>
      </c>
      <c r="F667" t="n">
        <v>3.608</v>
      </c>
      <c r="G667" t="n">
        <v>100</v>
      </c>
      <c r="H667" t="n">
        <v>100</v>
      </c>
      <c r="I667" t="n">
        <v>34</v>
      </c>
      <c r="J667" t="inlineStr">
        <is>
          <t>ince</t>
        </is>
      </c>
      <c r="K667" t="b">
        <v>0</v>
      </c>
      <c r="L667" t="inlineStr">
        <is>
          <t>iki-OK-arasi-monotonluk</t>
        </is>
      </c>
      <c r="X667" t="b">
        <v>1</v>
      </c>
      <c r="Z667" t="n">
        <v>935</v>
      </c>
      <c r="AA667" t="n">
        <v>2.5</v>
      </c>
      <c r="AB667" t="n">
        <v>9.5</v>
      </c>
    </row>
    <row r="668">
      <c r="A668" t="inlineStr">
        <is>
          <t>2026-09-24 14:37:52</t>
        </is>
      </c>
      <c r="B668" t="inlineStr">
        <is>
          <t>MLLB_000_y1.0.3</t>
        </is>
      </c>
      <c r="C668" t="inlineStr">
        <is>
          <t>WHITE</t>
        </is>
      </c>
      <c r="D668" t="inlineStr">
        <is>
          <t>v4_white_MLLB_000_y103_0924</t>
        </is>
      </c>
      <c r="E668" t="n">
        <v>3.6</v>
      </c>
      <c r="F668" t="n">
        <v>3.608</v>
      </c>
      <c r="G668" t="n">
        <v>100</v>
      </c>
      <c r="H668" t="n">
        <v>100</v>
      </c>
      <c r="I668" t="n">
        <v>35</v>
      </c>
      <c r="J668" t="inlineStr">
        <is>
          <t>ince</t>
        </is>
      </c>
      <c r="K668" t="b">
        <v>0</v>
      </c>
      <c r="L668" t="inlineStr">
        <is>
          <t>iki-OK-arasi-monotonluk</t>
        </is>
      </c>
      <c r="X668" t="b">
        <v>1</v>
      </c>
      <c r="Z668" t="n">
        <v>935</v>
      </c>
      <c r="AA668" t="n">
        <v>2.5</v>
      </c>
      <c r="AB668" t="n">
        <v>9.5</v>
      </c>
    </row>
    <row r="669">
      <c r="A669" t="inlineStr">
        <is>
          <t>2026-09-24 14:37:52</t>
        </is>
      </c>
      <c r="B669" t="inlineStr">
        <is>
          <t>MLLB_000_y1.0.3</t>
        </is>
      </c>
      <c r="C669" t="inlineStr">
        <is>
          <t>WHITE</t>
        </is>
      </c>
      <c r="D669" t="inlineStr">
        <is>
          <t>v4_white_MLLB_000_y103_0924</t>
        </is>
      </c>
      <c r="E669" t="n">
        <v>3.6</v>
      </c>
      <c r="F669" t="n">
        <v>3.608</v>
      </c>
      <c r="G669" t="n">
        <v>100</v>
      </c>
      <c r="H669" t="n">
        <v>100</v>
      </c>
      <c r="I669" t="n">
        <v>37</v>
      </c>
      <c r="J669" t="inlineStr">
        <is>
          <t>ince</t>
        </is>
      </c>
      <c r="K669" t="b">
        <v>0</v>
      </c>
      <c r="L669" t="inlineStr">
        <is>
          <t>iki-OK-arasi-monotonluk</t>
        </is>
      </c>
      <c r="X669" t="b">
        <v>1</v>
      </c>
      <c r="Z669" t="n">
        <v>935</v>
      </c>
      <c r="AA669" t="n">
        <v>2.5</v>
      </c>
      <c r="AB669" t="n">
        <v>9.5</v>
      </c>
    </row>
    <row r="670">
      <c r="A670" t="inlineStr">
        <is>
          <t>2026-09-24 14:37:52</t>
        </is>
      </c>
      <c r="B670" t="inlineStr">
        <is>
          <t>MLLB_000_y1.0.3</t>
        </is>
      </c>
      <c r="C670" t="inlineStr">
        <is>
          <t>WHITE</t>
        </is>
      </c>
      <c r="D670" t="inlineStr">
        <is>
          <t>v4_white_MLLB_000_y103_0924</t>
        </is>
      </c>
      <c r="E670" t="n">
        <v>3.6</v>
      </c>
      <c r="F670" t="n">
        <v>3.608</v>
      </c>
      <c r="G670" t="n">
        <v>100</v>
      </c>
      <c r="H670" t="n">
        <v>100</v>
      </c>
      <c r="I670" t="n">
        <v>38</v>
      </c>
      <c r="J670" t="inlineStr">
        <is>
          <t>ince</t>
        </is>
      </c>
      <c r="K670" t="b">
        <v>0</v>
      </c>
      <c r="L670" t="inlineStr">
        <is>
          <t>iki-OK-arasi-monotonluk</t>
        </is>
      </c>
      <c r="X670" t="b">
        <v>1</v>
      </c>
      <c r="Z670" t="n">
        <v>935</v>
      </c>
      <c r="AA670" t="n">
        <v>2.5</v>
      </c>
      <c r="AB670" t="n">
        <v>9.5</v>
      </c>
    </row>
    <row r="671">
      <c r="A671" t="inlineStr">
        <is>
          <t>2026-09-24 14:37:52</t>
        </is>
      </c>
      <c r="B671" t="inlineStr">
        <is>
          <t>MLLB_000_y1.0.3</t>
        </is>
      </c>
      <c r="C671" t="inlineStr">
        <is>
          <t>WHITE</t>
        </is>
      </c>
      <c r="D671" t="inlineStr">
        <is>
          <t>v4_white_MLLB_000_y103_0924</t>
        </is>
      </c>
      <c r="E671" t="n">
        <v>3.6</v>
      </c>
      <c r="F671" t="n">
        <v>3.608</v>
      </c>
      <c r="G671" t="n">
        <v>100</v>
      </c>
      <c r="H671" t="n">
        <v>100</v>
      </c>
      <c r="I671" t="n">
        <v>39</v>
      </c>
      <c r="J671" t="inlineStr">
        <is>
          <t>ince</t>
        </is>
      </c>
      <c r="K671" t="b">
        <v>0</v>
      </c>
      <c r="L671" t="inlineStr">
        <is>
          <t>iki-OK-arasi-monotonluk</t>
        </is>
      </c>
      <c r="X671" t="b">
        <v>1</v>
      </c>
      <c r="Z671" t="n">
        <v>935</v>
      </c>
      <c r="AA671" t="n">
        <v>2.5</v>
      </c>
      <c r="AB671" t="n">
        <v>9.5</v>
      </c>
    </row>
    <row r="672">
      <c r="A672" t="inlineStr">
        <is>
          <t>2026-09-24 14:37:52</t>
        </is>
      </c>
      <c r="B672" t="inlineStr">
        <is>
          <t>MLLB_000_y1.0.3</t>
        </is>
      </c>
      <c r="C672" t="inlineStr">
        <is>
          <t>WHITE</t>
        </is>
      </c>
      <c r="D672" t="inlineStr">
        <is>
          <t>v4_white_MLLB_000_y103_0924</t>
        </is>
      </c>
      <c r="E672" t="n">
        <v>3.6</v>
      </c>
      <c r="F672" t="n">
        <v>3.608</v>
      </c>
      <c r="G672" t="n">
        <v>100</v>
      </c>
      <c r="H672" t="n">
        <v>100</v>
      </c>
      <c r="I672" t="n">
        <v>41</v>
      </c>
      <c r="J672" t="inlineStr">
        <is>
          <t>ince</t>
        </is>
      </c>
      <c r="K672" t="b">
        <v>0</v>
      </c>
      <c r="L672" t="inlineStr">
        <is>
          <t>iki-OK-arasi-monotonluk</t>
        </is>
      </c>
      <c r="X672" t="b">
        <v>1</v>
      </c>
      <c r="Z672" t="n">
        <v>935</v>
      </c>
      <c r="AA672" t="n">
        <v>2.5</v>
      </c>
      <c r="AB672" t="n">
        <v>9.5</v>
      </c>
    </row>
    <row r="673">
      <c r="A673" t="inlineStr">
        <is>
          <t>2026-09-24 14:37:52</t>
        </is>
      </c>
      <c r="B673" t="inlineStr">
        <is>
          <t>MLLB_000_y1.0.3</t>
        </is>
      </c>
      <c r="C673" t="inlineStr">
        <is>
          <t>WHITE</t>
        </is>
      </c>
      <c r="D673" t="inlineStr">
        <is>
          <t>v4_white_MLLB_000_y103_0924</t>
        </is>
      </c>
      <c r="E673" t="n">
        <v>3.6</v>
      </c>
      <c r="F673" t="n">
        <v>3.608</v>
      </c>
      <c r="G673" t="n">
        <v>100</v>
      </c>
      <c r="H673" t="n">
        <v>100</v>
      </c>
      <c r="I673" t="n">
        <v>42</v>
      </c>
      <c r="J673" t="inlineStr">
        <is>
          <t>ince</t>
        </is>
      </c>
      <c r="K673" t="b">
        <v>0</v>
      </c>
      <c r="L673" t="inlineStr">
        <is>
          <t>iki-OK-arasi-monotonluk</t>
        </is>
      </c>
      <c r="X673" t="b">
        <v>1</v>
      </c>
      <c r="Z673" t="n">
        <v>935</v>
      </c>
      <c r="AA673" t="n">
        <v>2.5</v>
      </c>
      <c r="AB673" t="n">
        <v>9.5</v>
      </c>
    </row>
    <row r="674">
      <c r="A674" t="inlineStr">
        <is>
          <t>2026-09-24 14:37:52</t>
        </is>
      </c>
      <c r="B674" t="inlineStr">
        <is>
          <t>MLLB_000_y1.0.3</t>
        </is>
      </c>
      <c r="C674" t="inlineStr">
        <is>
          <t>WHITE</t>
        </is>
      </c>
      <c r="D674" t="inlineStr">
        <is>
          <t>v4_white_MLLB_000_y103_0924</t>
        </is>
      </c>
      <c r="E674" t="n">
        <v>3.6</v>
      </c>
      <c r="F674" t="n">
        <v>3.608</v>
      </c>
      <c r="G674" t="n">
        <v>100</v>
      </c>
      <c r="H674" t="n">
        <v>100</v>
      </c>
      <c r="I674" t="n">
        <v>43</v>
      </c>
      <c r="J674" t="inlineStr">
        <is>
          <t>ince</t>
        </is>
      </c>
      <c r="K674" t="b">
        <v>0</v>
      </c>
      <c r="L674" t="inlineStr">
        <is>
          <t>iki-OK-arasi-monotonluk</t>
        </is>
      </c>
      <c r="X674" t="b">
        <v>1</v>
      </c>
      <c r="Z674" t="n">
        <v>935</v>
      </c>
      <c r="AA674" t="n">
        <v>2.5</v>
      </c>
      <c r="AB674" t="n">
        <v>9.5</v>
      </c>
    </row>
    <row r="675">
      <c r="A675" t="inlineStr">
        <is>
          <t>2026-09-24 14:37:52</t>
        </is>
      </c>
      <c r="B675" t="inlineStr">
        <is>
          <t>MLLB_000_y1.0.3</t>
        </is>
      </c>
      <c r="C675" t="inlineStr">
        <is>
          <t>WHITE</t>
        </is>
      </c>
      <c r="D675" t="inlineStr">
        <is>
          <t>v4_white_MLLB_000_y103_0924</t>
        </is>
      </c>
      <c r="E675" t="n">
        <v>3.6</v>
      </c>
      <c r="F675" t="n">
        <v>3.608</v>
      </c>
      <c r="G675" t="n">
        <v>100</v>
      </c>
      <c r="H675" t="n">
        <v>100</v>
      </c>
      <c r="I675" t="n">
        <v>45</v>
      </c>
      <c r="J675" t="inlineStr">
        <is>
          <t>ince</t>
        </is>
      </c>
      <c r="K675" t="b">
        <v>0</v>
      </c>
      <c r="L675" t="inlineStr">
        <is>
          <t>iki-OK-arasi-monotonluk</t>
        </is>
      </c>
      <c r="X675" t="b">
        <v>1</v>
      </c>
      <c r="Z675" t="n">
        <v>935</v>
      </c>
      <c r="AA675" t="n">
        <v>2.5</v>
      </c>
      <c r="AB675" t="n">
        <v>9.5</v>
      </c>
    </row>
    <row r="676">
      <c r="A676" t="inlineStr">
        <is>
          <t>2026-09-24 14:37:52</t>
        </is>
      </c>
      <c r="B676" t="inlineStr">
        <is>
          <t>MLLB_000_y1.0.3</t>
        </is>
      </c>
      <c r="C676" t="inlineStr">
        <is>
          <t>WHITE</t>
        </is>
      </c>
      <c r="D676" t="inlineStr">
        <is>
          <t>v4_white_MLLB_000_y103_0924</t>
        </is>
      </c>
      <c r="E676" t="n">
        <v>3.6</v>
      </c>
      <c r="F676" t="n">
        <v>3.608</v>
      </c>
      <c r="G676" t="n">
        <v>100</v>
      </c>
      <c r="H676" t="n">
        <v>100</v>
      </c>
      <c r="I676" t="n">
        <v>46</v>
      </c>
      <c r="J676" t="inlineStr">
        <is>
          <t>ince</t>
        </is>
      </c>
      <c r="K676" t="b">
        <v>0</v>
      </c>
      <c r="L676" t="inlineStr">
        <is>
          <t>iki-OK-arasi-monotonluk</t>
        </is>
      </c>
      <c r="X676" t="b">
        <v>1</v>
      </c>
      <c r="Z676" t="n">
        <v>935</v>
      </c>
      <c r="AA676" t="n">
        <v>2.5</v>
      </c>
      <c r="AB676" t="n">
        <v>9.5</v>
      </c>
    </row>
    <row r="677">
      <c r="A677" t="inlineStr">
        <is>
          <t>2026-09-24 14:37:52</t>
        </is>
      </c>
      <c r="B677" t="inlineStr">
        <is>
          <t>MLLB_000_y1.0.3</t>
        </is>
      </c>
      <c r="C677" t="inlineStr">
        <is>
          <t>WHITE</t>
        </is>
      </c>
      <c r="D677" t="inlineStr">
        <is>
          <t>v4_white_MLLB_000_y103_0924</t>
        </is>
      </c>
      <c r="E677" t="n">
        <v>3.6</v>
      </c>
      <c r="F677" t="n">
        <v>3.608</v>
      </c>
      <c r="G677" t="n">
        <v>100</v>
      </c>
      <c r="H677" t="n">
        <v>100</v>
      </c>
      <c r="I677" t="n">
        <v>47</v>
      </c>
      <c r="J677" t="inlineStr">
        <is>
          <t>ince</t>
        </is>
      </c>
      <c r="K677" t="b">
        <v>0</v>
      </c>
      <c r="L677" t="inlineStr">
        <is>
          <t>iki-OK-arasi-monotonluk</t>
        </is>
      </c>
      <c r="X677" t="b">
        <v>1</v>
      </c>
      <c r="Z677" t="n">
        <v>935</v>
      </c>
      <c r="AA677" t="n">
        <v>2.5</v>
      </c>
      <c r="AB677" t="n">
        <v>9.5</v>
      </c>
    </row>
    <row r="678">
      <c r="A678" t="inlineStr">
        <is>
          <t>2026-09-24 14:37:52</t>
        </is>
      </c>
      <c r="B678" t="inlineStr">
        <is>
          <t>MLLB_000_y1.0.3</t>
        </is>
      </c>
      <c r="C678" t="inlineStr">
        <is>
          <t>WHITE</t>
        </is>
      </c>
      <c r="D678" t="inlineStr">
        <is>
          <t>v4_white_MLLB_000_y103_0924</t>
        </is>
      </c>
      <c r="E678" t="n">
        <v>3.6</v>
      </c>
      <c r="F678" t="n">
        <v>3.608</v>
      </c>
      <c r="G678" t="n">
        <v>100</v>
      </c>
      <c r="H678" t="n">
        <v>100</v>
      </c>
      <c r="I678" t="n">
        <v>49</v>
      </c>
      <c r="J678" t="inlineStr">
        <is>
          <t>ince</t>
        </is>
      </c>
      <c r="K678" t="b">
        <v>0</v>
      </c>
      <c r="L678" t="inlineStr">
        <is>
          <t>iki-OK-arasi-monotonluk</t>
        </is>
      </c>
      <c r="X678" t="b">
        <v>1</v>
      </c>
      <c r="Z678" t="n">
        <v>935</v>
      </c>
      <c r="AA678" t="n">
        <v>2.5</v>
      </c>
      <c r="AB678" t="n">
        <v>9.5</v>
      </c>
    </row>
    <row r="679">
      <c r="A679" t="inlineStr">
        <is>
          <t>2026-09-24 14:37:52</t>
        </is>
      </c>
      <c r="B679" t="inlineStr">
        <is>
          <t>MLLB_000_y1.0.3</t>
        </is>
      </c>
      <c r="C679" t="inlineStr">
        <is>
          <t>WHITE</t>
        </is>
      </c>
      <c r="D679" t="inlineStr">
        <is>
          <t>v4_white_MLLB_000_y103_0924</t>
        </is>
      </c>
      <c r="E679" t="n">
        <v>3.6</v>
      </c>
      <c r="F679" t="n">
        <v>3.608</v>
      </c>
      <c r="G679" t="n">
        <v>100</v>
      </c>
      <c r="H679" t="n">
        <v>100</v>
      </c>
      <c r="I679" t="n">
        <v>50</v>
      </c>
      <c r="J679" t="inlineStr">
        <is>
          <t>ince</t>
        </is>
      </c>
      <c r="K679" t="b">
        <v>0</v>
      </c>
      <c r="L679" t="inlineStr">
        <is>
          <t>iki-OK-arasi-monotonluk</t>
        </is>
      </c>
      <c r="X679" t="b">
        <v>1</v>
      </c>
      <c r="Z679" t="n">
        <v>935</v>
      </c>
      <c r="AA679" t="n">
        <v>2.5</v>
      </c>
      <c r="AB679" t="n">
        <v>9.5</v>
      </c>
    </row>
    <row r="680">
      <c r="A680" t="inlineStr">
        <is>
          <t>2026-09-24 14:37:52</t>
        </is>
      </c>
      <c r="B680" t="inlineStr">
        <is>
          <t>MLLB_000_y1.0.3</t>
        </is>
      </c>
      <c r="C680" t="inlineStr">
        <is>
          <t>WHITE</t>
        </is>
      </c>
      <c r="D680" t="inlineStr">
        <is>
          <t>v4_white_MLLB_000_y103_0924</t>
        </is>
      </c>
      <c r="E680" t="n">
        <v>3.6</v>
      </c>
      <c r="F680" t="n">
        <v>3.608</v>
      </c>
      <c r="G680" t="n">
        <v>100</v>
      </c>
      <c r="H680" t="n">
        <v>100</v>
      </c>
      <c r="I680" t="n">
        <v>51</v>
      </c>
      <c r="J680" t="inlineStr">
        <is>
          <t>ince</t>
        </is>
      </c>
      <c r="K680" t="b">
        <v>0</v>
      </c>
      <c r="L680" t="inlineStr">
        <is>
          <t>iki-OK-arasi-monotonluk</t>
        </is>
      </c>
      <c r="X680" t="b">
        <v>1</v>
      </c>
      <c r="Z680" t="n">
        <v>935</v>
      </c>
      <c r="AA680" t="n">
        <v>2.5</v>
      </c>
      <c r="AB680" t="n">
        <v>9.5</v>
      </c>
    </row>
    <row r="681">
      <c r="A681" t="inlineStr">
        <is>
          <t>2026-09-24 14:37:52</t>
        </is>
      </c>
      <c r="B681" t="inlineStr">
        <is>
          <t>MLLB_000_y1.0.3</t>
        </is>
      </c>
      <c r="C681" t="inlineStr">
        <is>
          <t>WHITE</t>
        </is>
      </c>
      <c r="D681" t="inlineStr">
        <is>
          <t>v4_white_MLLB_000_y103_0924</t>
        </is>
      </c>
      <c r="E681" t="n">
        <v>3.6</v>
      </c>
      <c r="F681" t="n">
        <v>3.608</v>
      </c>
      <c r="G681" t="n">
        <v>100</v>
      </c>
      <c r="H681" t="n">
        <v>100</v>
      </c>
      <c r="I681" t="n">
        <v>53</v>
      </c>
      <c r="J681" t="inlineStr">
        <is>
          <t>ince</t>
        </is>
      </c>
      <c r="K681" t="b">
        <v>0</v>
      </c>
      <c r="L681" t="inlineStr">
        <is>
          <t>iki-OK-arasi-monotonluk</t>
        </is>
      </c>
      <c r="X681" t="b">
        <v>1</v>
      </c>
      <c r="Z681" t="n">
        <v>935</v>
      </c>
      <c r="AA681" t="n">
        <v>2.5</v>
      </c>
      <c r="AB681" t="n">
        <v>9.5</v>
      </c>
    </row>
    <row r="682">
      <c r="A682" t="inlineStr">
        <is>
          <t>2026-09-24 14:37:52</t>
        </is>
      </c>
      <c r="B682" t="inlineStr">
        <is>
          <t>MLLB_000_y1.0.3</t>
        </is>
      </c>
      <c r="C682" t="inlineStr">
        <is>
          <t>WHITE</t>
        </is>
      </c>
      <c r="D682" t="inlineStr">
        <is>
          <t>v4_white_MLLB_000_y103_0924</t>
        </is>
      </c>
      <c r="E682" t="n">
        <v>3.6</v>
      </c>
      <c r="F682" t="n">
        <v>3.608</v>
      </c>
      <c r="G682" t="n">
        <v>100</v>
      </c>
      <c r="H682" t="n">
        <v>100</v>
      </c>
      <c r="I682" t="n">
        <v>54</v>
      </c>
      <c r="J682" t="inlineStr">
        <is>
          <t>ince</t>
        </is>
      </c>
      <c r="K682" t="b">
        <v>0</v>
      </c>
      <c r="L682" t="inlineStr">
        <is>
          <t>iki-OK-arasi-monotonluk</t>
        </is>
      </c>
      <c r="X682" t="b">
        <v>1</v>
      </c>
      <c r="Z682" t="n">
        <v>935</v>
      </c>
      <c r="AA682" t="n">
        <v>2.5</v>
      </c>
      <c r="AB682" t="n">
        <v>9.5</v>
      </c>
    </row>
    <row r="683">
      <c r="A683" t="inlineStr">
        <is>
          <t>2026-09-24 14:37:52</t>
        </is>
      </c>
      <c r="B683" t="inlineStr">
        <is>
          <t>MLLB_000_y1.0.3</t>
        </is>
      </c>
      <c r="C683" t="inlineStr">
        <is>
          <t>WHITE</t>
        </is>
      </c>
      <c r="D683" t="inlineStr">
        <is>
          <t>v4_white_MLLB_000_y103_0924</t>
        </is>
      </c>
      <c r="E683" t="n">
        <v>3.6</v>
      </c>
      <c r="F683" t="n">
        <v>3.608</v>
      </c>
      <c r="G683" t="n">
        <v>100</v>
      </c>
      <c r="H683" t="n">
        <v>100</v>
      </c>
      <c r="I683" t="n">
        <v>55</v>
      </c>
      <c r="J683" t="inlineStr">
        <is>
          <t>ince</t>
        </is>
      </c>
      <c r="K683" t="b">
        <v>0</v>
      </c>
      <c r="L683" t="inlineStr">
        <is>
          <t>iki-OK-arasi-monotonluk</t>
        </is>
      </c>
      <c r="X683" t="b">
        <v>1</v>
      </c>
      <c r="Z683" t="n">
        <v>935</v>
      </c>
      <c r="AA683" t="n">
        <v>2.5</v>
      </c>
      <c r="AB683" t="n">
        <v>9.5</v>
      </c>
    </row>
    <row r="684">
      <c r="A684" t="inlineStr">
        <is>
          <t>2026-09-24 14:37:52</t>
        </is>
      </c>
      <c r="B684" t="inlineStr">
        <is>
          <t>MLLB_000_y1.0.3</t>
        </is>
      </c>
      <c r="C684" t="inlineStr">
        <is>
          <t>WHITE</t>
        </is>
      </c>
      <c r="D684" t="inlineStr">
        <is>
          <t>v4_white_MLLB_000_y103_0924</t>
        </is>
      </c>
      <c r="E684" t="n">
        <v>3.6</v>
      </c>
      <c r="F684" t="n">
        <v>3.608</v>
      </c>
      <c r="G684" t="n">
        <v>100</v>
      </c>
      <c r="H684" t="n">
        <v>100</v>
      </c>
      <c r="I684" t="n">
        <v>57</v>
      </c>
      <c r="J684" t="inlineStr">
        <is>
          <t>ince</t>
        </is>
      </c>
      <c r="K684" t="b">
        <v>0</v>
      </c>
      <c r="L684" t="inlineStr">
        <is>
          <t>iki-OK-arasi-monotonluk</t>
        </is>
      </c>
      <c r="X684" t="b">
        <v>1</v>
      </c>
      <c r="Z684" t="n">
        <v>935</v>
      </c>
      <c r="AA684" t="n">
        <v>2.5</v>
      </c>
      <c r="AB684" t="n">
        <v>9.5</v>
      </c>
    </row>
    <row r="685">
      <c r="A685" t="inlineStr">
        <is>
          <t>2026-09-24 14:37:52</t>
        </is>
      </c>
      <c r="B685" t="inlineStr">
        <is>
          <t>MLLB_000_y1.0.3</t>
        </is>
      </c>
      <c r="C685" t="inlineStr">
        <is>
          <t>WHITE</t>
        </is>
      </c>
      <c r="D685" t="inlineStr">
        <is>
          <t>v4_white_MLLB_000_y103_0924</t>
        </is>
      </c>
      <c r="E685" t="n">
        <v>3.6</v>
      </c>
      <c r="F685" t="n">
        <v>3.608</v>
      </c>
      <c r="G685" t="n">
        <v>100</v>
      </c>
      <c r="H685" t="n">
        <v>100</v>
      </c>
      <c r="J685" t="inlineStr">
        <is>
          <t>bitti</t>
        </is>
      </c>
      <c r="K685" t="b">
        <v>0</v>
      </c>
      <c r="Z685" t="n">
        <v>935</v>
      </c>
      <c r="AA685" t="n">
        <v>2.5</v>
      </c>
      <c r="AB685" t="n">
        <v>9.5</v>
      </c>
    </row>
    <row r="686">
      <c r="A686" t="inlineStr">
        <is>
          <t>2026-09-24 14:38:07</t>
        </is>
      </c>
      <c r="B686" t="inlineStr">
        <is>
          <t>MLLB_000_y1.0.3</t>
        </is>
      </c>
      <c r="C686" t="inlineStr">
        <is>
          <t>WHITE</t>
        </is>
      </c>
      <c r="D686" t="inlineStr">
        <is>
          <t>v4_white_MLLB_000_y103_0924</t>
        </is>
      </c>
      <c r="E686" t="n">
        <v>3.6</v>
      </c>
      <c r="F686" t="n">
        <v>3.608</v>
      </c>
      <c r="G686" t="n">
        <v>100</v>
      </c>
      <c r="H686" t="n">
        <v>80</v>
      </c>
      <c r="I686" t="n">
        <v>12</v>
      </c>
      <c r="J686" t="inlineStr">
        <is>
          <t>kaba</t>
        </is>
      </c>
      <c r="K686" t="b">
        <v>1</v>
      </c>
      <c r="M686" t="n">
        <v>30</v>
      </c>
      <c r="N686" t="n">
        <v>28</v>
      </c>
      <c r="O686" t="n">
        <v>10</v>
      </c>
      <c r="P686" t="n">
        <v>972</v>
      </c>
      <c r="Q686" t="n">
        <v>1002</v>
      </c>
      <c r="R686" t="n">
        <v>1.083</v>
      </c>
      <c r="S686" t="n">
        <v>247.719</v>
      </c>
      <c r="T686" t="n">
        <v>228.698</v>
      </c>
      <c r="U686" t="n">
        <v>0.778</v>
      </c>
      <c r="V686" t="b">
        <v>1</v>
      </c>
      <c r="X686" t="b">
        <v>1</v>
      </c>
      <c r="Z686" t="n">
        <v>935</v>
      </c>
      <c r="AA686" t="n">
        <v>2.5</v>
      </c>
      <c r="AB686" t="n">
        <v>9.5</v>
      </c>
    </row>
    <row r="687">
      <c r="A687" t="inlineStr">
        <is>
          <t>2026-09-24 14:38:20</t>
        </is>
      </c>
      <c r="B687" t="inlineStr">
        <is>
          <t>MLLB_000_y1.0.3</t>
        </is>
      </c>
      <c r="C687" t="inlineStr">
        <is>
          <t>WHITE</t>
        </is>
      </c>
      <c r="D687" t="inlineStr">
        <is>
          <t>v4_white_MLLB_000_y103_0924</t>
        </is>
      </c>
      <c r="E687" t="n">
        <v>3.6</v>
      </c>
      <c r="F687" t="n">
        <v>3.608</v>
      </c>
      <c r="G687" t="n">
        <v>100</v>
      </c>
      <c r="H687" t="n">
        <v>80</v>
      </c>
      <c r="I687" t="n">
        <v>16</v>
      </c>
      <c r="J687" t="inlineStr">
        <is>
          <t>kaba</t>
        </is>
      </c>
      <c r="K687" t="b">
        <v>1</v>
      </c>
      <c r="M687" t="n">
        <v>30</v>
      </c>
      <c r="N687" t="n">
        <v>28</v>
      </c>
      <c r="O687" t="n">
        <v>10</v>
      </c>
      <c r="P687" t="n">
        <v>972</v>
      </c>
      <c r="Q687" t="n">
        <v>1002</v>
      </c>
      <c r="R687" t="n">
        <v>1.087</v>
      </c>
      <c r="S687" t="n">
        <v>248.403</v>
      </c>
      <c r="T687" t="n">
        <v>228.442</v>
      </c>
      <c r="U687" t="n">
        <v>0.7775</v>
      </c>
      <c r="V687" t="b">
        <v>1</v>
      </c>
      <c r="X687" t="b">
        <v>1</v>
      </c>
      <c r="Z687" t="n">
        <v>935</v>
      </c>
      <c r="AA687" t="n">
        <v>2.5</v>
      </c>
      <c r="AB687" t="n">
        <v>9.5</v>
      </c>
    </row>
    <row r="688">
      <c r="A688" t="inlineStr">
        <is>
          <t>2026-09-24 14:38:35</t>
        </is>
      </c>
      <c r="B688" t="inlineStr">
        <is>
          <t>MLLB_000_y1.0.3</t>
        </is>
      </c>
      <c r="C688" t="inlineStr">
        <is>
          <t>WHITE</t>
        </is>
      </c>
      <c r="D688" t="inlineStr">
        <is>
          <t>v4_white_MLLB_000_y103_0924</t>
        </is>
      </c>
      <c r="E688" t="n">
        <v>3.6</v>
      </c>
      <c r="F688" t="n">
        <v>3.608</v>
      </c>
      <c r="G688" t="n">
        <v>100</v>
      </c>
      <c r="H688" t="n">
        <v>80</v>
      </c>
      <c r="I688" t="n">
        <v>20</v>
      </c>
      <c r="J688" t="inlineStr">
        <is>
          <t>kaba</t>
        </is>
      </c>
      <c r="K688" t="b">
        <v>1</v>
      </c>
      <c r="M688" t="n">
        <v>30</v>
      </c>
      <c r="N688" t="n">
        <v>28</v>
      </c>
      <c r="O688" t="n">
        <v>10</v>
      </c>
      <c r="P688" t="n">
        <v>972</v>
      </c>
      <c r="Q688" t="n">
        <v>1002</v>
      </c>
      <c r="R688" t="n">
        <v>1.084</v>
      </c>
      <c r="S688" t="n">
        <v>247.719</v>
      </c>
      <c r="T688" t="n">
        <v>228.594</v>
      </c>
      <c r="U688" t="n">
        <v>0.7778</v>
      </c>
      <c r="V688" t="b">
        <v>1</v>
      </c>
      <c r="X688" t="b">
        <v>1</v>
      </c>
      <c r="Z688" t="n">
        <v>935</v>
      </c>
      <c r="AA688" t="n">
        <v>2.5</v>
      </c>
      <c r="AB688" t="n">
        <v>9.5</v>
      </c>
    </row>
    <row r="689">
      <c r="A689" t="inlineStr">
        <is>
          <t>2026-09-24 14:38:51</t>
        </is>
      </c>
      <c r="B689" t="inlineStr">
        <is>
          <t>MLLB_000_y1.0.3</t>
        </is>
      </c>
      <c r="C689" t="inlineStr">
        <is>
          <t>WHITE</t>
        </is>
      </c>
      <c r="D689" t="inlineStr">
        <is>
          <t>v4_white_MLLB_000_y103_0924</t>
        </is>
      </c>
      <c r="E689" t="n">
        <v>3.6</v>
      </c>
      <c r="F689" t="n">
        <v>3.608</v>
      </c>
      <c r="G689" t="n">
        <v>100</v>
      </c>
      <c r="H689" t="n">
        <v>80</v>
      </c>
      <c r="I689" t="n">
        <v>24</v>
      </c>
      <c r="J689" t="inlineStr">
        <is>
          <t>kaba</t>
        </is>
      </c>
      <c r="K689" t="b">
        <v>1</v>
      </c>
      <c r="M689" t="n">
        <v>30</v>
      </c>
      <c r="N689" t="n">
        <v>28</v>
      </c>
      <c r="O689" t="n">
        <v>10</v>
      </c>
      <c r="P689" t="n">
        <v>972</v>
      </c>
      <c r="Q689" t="n">
        <v>1002</v>
      </c>
      <c r="R689" t="n">
        <v>1.08</v>
      </c>
      <c r="S689" t="n">
        <v>246.947</v>
      </c>
      <c r="T689" t="n">
        <v>228.652</v>
      </c>
      <c r="U689" t="n">
        <v>0.7776</v>
      </c>
      <c r="V689" t="b">
        <v>1</v>
      </c>
      <c r="X689" t="b">
        <v>1</v>
      </c>
      <c r="Z689" t="n">
        <v>935</v>
      </c>
      <c r="AA689" t="n">
        <v>2.5</v>
      </c>
      <c r="AB689" t="n">
        <v>9.5</v>
      </c>
    </row>
    <row r="690">
      <c r="A690" t="inlineStr">
        <is>
          <t>2026-09-24 14:39:07</t>
        </is>
      </c>
      <c r="B690" t="inlineStr">
        <is>
          <t>MLLB_000_y1.0.3</t>
        </is>
      </c>
      <c r="C690" t="inlineStr">
        <is>
          <t>WHITE</t>
        </is>
      </c>
      <c r="D690" t="inlineStr">
        <is>
          <t>v4_white_MLLB_000_y103_0924</t>
        </is>
      </c>
      <c r="E690" t="n">
        <v>3.6</v>
      </c>
      <c r="F690" t="n">
        <v>3.608</v>
      </c>
      <c r="G690" t="n">
        <v>100</v>
      </c>
      <c r="H690" t="n">
        <v>80</v>
      </c>
      <c r="I690" t="n">
        <v>28</v>
      </c>
      <c r="J690" t="inlineStr">
        <is>
          <t>kaba</t>
        </is>
      </c>
      <c r="K690" t="b">
        <v>1</v>
      </c>
      <c r="M690" t="n">
        <v>30</v>
      </c>
      <c r="N690" t="n">
        <v>28</v>
      </c>
      <c r="O690" t="n">
        <v>10</v>
      </c>
      <c r="P690" t="n">
        <v>972</v>
      </c>
      <c r="Q690" t="n">
        <v>1002</v>
      </c>
      <c r="R690" t="n">
        <v>1.084</v>
      </c>
      <c r="S690" t="n">
        <v>247.719</v>
      </c>
      <c r="T690" t="n">
        <v>228.595</v>
      </c>
      <c r="U690" t="n">
        <v>0.778</v>
      </c>
      <c r="V690" t="b">
        <v>1</v>
      </c>
      <c r="X690" t="b">
        <v>1</v>
      </c>
      <c r="Z690" t="n">
        <v>935</v>
      </c>
      <c r="AA690" t="n">
        <v>2.5</v>
      </c>
      <c r="AB690" t="n">
        <v>9.5</v>
      </c>
    </row>
    <row r="691">
      <c r="A691" t="inlineStr">
        <is>
          <t>2026-09-24 14:39:23</t>
        </is>
      </c>
      <c r="B691" t="inlineStr">
        <is>
          <t>MLLB_000_y1.0.3</t>
        </is>
      </c>
      <c r="C691" t="inlineStr">
        <is>
          <t>WHITE</t>
        </is>
      </c>
      <c r="D691" t="inlineStr">
        <is>
          <t>v4_white_MLLB_000_y103_0924</t>
        </is>
      </c>
      <c r="E691" t="n">
        <v>3.6</v>
      </c>
      <c r="F691" t="n">
        <v>3.608</v>
      </c>
      <c r="G691" t="n">
        <v>100</v>
      </c>
      <c r="H691" t="n">
        <v>80</v>
      </c>
      <c r="I691" t="n">
        <v>32</v>
      </c>
      <c r="J691" t="inlineStr">
        <is>
          <t>kaba</t>
        </is>
      </c>
      <c r="K691" t="b">
        <v>1</v>
      </c>
      <c r="M691" t="n">
        <v>30</v>
      </c>
      <c r="N691" t="n">
        <v>28</v>
      </c>
      <c r="O691" t="n">
        <v>10</v>
      </c>
      <c r="P691" t="n">
        <v>972</v>
      </c>
      <c r="Q691" t="n">
        <v>1002</v>
      </c>
      <c r="R691" t="n">
        <v>1.081</v>
      </c>
      <c r="S691" t="n">
        <v>246.947</v>
      </c>
      <c r="T691" t="n">
        <v>228.469</v>
      </c>
      <c r="U691" t="n">
        <v>0.7779</v>
      </c>
      <c r="V691" t="b">
        <v>1</v>
      </c>
      <c r="X691" t="b">
        <v>1</v>
      </c>
      <c r="Z691" t="n">
        <v>935</v>
      </c>
      <c r="AA691" t="n">
        <v>2.5</v>
      </c>
      <c r="AB691" t="n">
        <v>9.5</v>
      </c>
    </row>
    <row r="692">
      <c r="A692" t="inlineStr">
        <is>
          <t>2026-09-24 14:39:39</t>
        </is>
      </c>
      <c r="B692" t="inlineStr">
        <is>
          <t>MLLB_000_y1.0.3</t>
        </is>
      </c>
      <c r="C692" t="inlineStr">
        <is>
          <t>WHITE</t>
        </is>
      </c>
      <c r="D692" t="inlineStr">
        <is>
          <t>v4_white_MLLB_000_y103_0924</t>
        </is>
      </c>
      <c r="E692" t="n">
        <v>3.6</v>
      </c>
      <c r="F692" t="n">
        <v>3.608</v>
      </c>
      <c r="G692" t="n">
        <v>100</v>
      </c>
      <c r="H692" t="n">
        <v>80</v>
      </c>
      <c r="I692" t="n">
        <v>36</v>
      </c>
      <c r="J692" t="inlineStr">
        <is>
          <t>kaba</t>
        </is>
      </c>
      <c r="K692" t="b">
        <v>1</v>
      </c>
      <c r="M692" t="n">
        <v>30</v>
      </c>
      <c r="N692" t="n">
        <v>28</v>
      </c>
      <c r="O692" t="n">
        <v>10</v>
      </c>
      <c r="P692" t="n">
        <v>972</v>
      </c>
      <c r="Q692" t="n">
        <v>1002</v>
      </c>
      <c r="R692" t="n">
        <v>1.084</v>
      </c>
      <c r="S692" t="n">
        <v>247.811</v>
      </c>
      <c r="T692" t="n">
        <v>228.611</v>
      </c>
      <c r="U692" t="n">
        <v>0.7775</v>
      </c>
      <c r="V692" t="b">
        <v>1</v>
      </c>
      <c r="X692" t="b">
        <v>1</v>
      </c>
      <c r="Z692" t="n">
        <v>935</v>
      </c>
      <c r="AA692" t="n">
        <v>2.5</v>
      </c>
      <c r="AB692" t="n">
        <v>9.5</v>
      </c>
    </row>
    <row r="693">
      <c r="A693" t="inlineStr">
        <is>
          <t>2026-09-24 14:39:55</t>
        </is>
      </c>
      <c r="B693" t="inlineStr">
        <is>
          <t>MLLB_000_y1.0.3</t>
        </is>
      </c>
      <c r="C693" t="inlineStr">
        <is>
          <t>WHITE</t>
        </is>
      </c>
      <c r="D693" t="inlineStr">
        <is>
          <t>v4_white_MLLB_000_y103_0924</t>
        </is>
      </c>
      <c r="E693" t="n">
        <v>3.6</v>
      </c>
      <c r="F693" t="n">
        <v>3.608</v>
      </c>
      <c r="G693" t="n">
        <v>100</v>
      </c>
      <c r="H693" t="n">
        <v>80</v>
      </c>
      <c r="I693" t="n">
        <v>40</v>
      </c>
      <c r="J693" t="inlineStr">
        <is>
          <t>kaba</t>
        </is>
      </c>
      <c r="K693" t="b">
        <v>1</v>
      </c>
      <c r="M693" t="n">
        <v>30</v>
      </c>
      <c r="N693" t="n">
        <v>28</v>
      </c>
      <c r="O693" t="n">
        <v>10</v>
      </c>
      <c r="P693" t="n">
        <v>972</v>
      </c>
      <c r="Q693" t="n">
        <v>1002</v>
      </c>
      <c r="R693" t="n">
        <v>1.081</v>
      </c>
      <c r="S693" t="n">
        <v>246.947</v>
      </c>
      <c r="T693" t="n">
        <v>228.369</v>
      </c>
      <c r="U693" t="n">
        <v>0.7784</v>
      </c>
      <c r="V693" t="b">
        <v>1</v>
      </c>
      <c r="X693" t="b">
        <v>1</v>
      </c>
      <c r="Z693" t="n">
        <v>935</v>
      </c>
      <c r="AA693" t="n">
        <v>2.5</v>
      </c>
      <c r="AB693" t="n">
        <v>9.5</v>
      </c>
    </row>
    <row r="694">
      <c r="A694" t="inlineStr">
        <is>
          <t>2026-09-24 14:40:11</t>
        </is>
      </c>
      <c r="B694" t="inlineStr">
        <is>
          <t>MLLB_000_y1.0.3</t>
        </is>
      </c>
      <c r="C694" t="inlineStr">
        <is>
          <t>WHITE</t>
        </is>
      </c>
      <c r="D694" t="inlineStr">
        <is>
          <t>v4_white_MLLB_000_y103_0924</t>
        </is>
      </c>
      <c r="E694" t="n">
        <v>3.6</v>
      </c>
      <c r="F694" t="n">
        <v>3.608</v>
      </c>
      <c r="G694" t="n">
        <v>100</v>
      </c>
      <c r="H694" t="n">
        <v>80</v>
      </c>
      <c r="I694" t="n">
        <v>44</v>
      </c>
      <c r="J694" t="inlineStr">
        <is>
          <t>kaba</t>
        </is>
      </c>
      <c r="K694" t="b">
        <v>1</v>
      </c>
      <c r="M694" t="n">
        <v>30</v>
      </c>
      <c r="N694" t="n">
        <v>28</v>
      </c>
      <c r="O694" t="n">
        <v>10</v>
      </c>
      <c r="P694" t="n">
        <v>972</v>
      </c>
      <c r="Q694" t="n">
        <v>1002</v>
      </c>
      <c r="R694" t="n">
        <v>1.082</v>
      </c>
      <c r="S694" t="n">
        <v>246.947</v>
      </c>
      <c r="T694" t="n">
        <v>228.316</v>
      </c>
      <c r="U694" t="n">
        <v>0.7778</v>
      </c>
      <c r="V694" t="b">
        <v>1</v>
      </c>
      <c r="X694" t="b">
        <v>1</v>
      </c>
      <c r="Z694" t="n">
        <v>935</v>
      </c>
      <c r="AA694" t="n">
        <v>2.5</v>
      </c>
      <c r="AB694" t="n">
        <v>9.5</v>
      </c>
    </row>
    <row r="695">
      <c r="A695" t="inlineStr">
        <is>
          <t>2026-09-24 14:40:27</t>
        </is>
      </c>
      <c r="B695" t="inlineStr">
        <is>
          <t>MLLB_000_y1.0.3</t>
        </is>
      </c>
      <c r="C695" t="inlineStr">
        <is>
          <t>WHITE</t>
        </is>
      </c>
      <c r="D695" t="inlineStr">
        <is>
          <t>v4_white_MLLB_000_y103_0924</t>
        </is>
      </c>
      <c r="E695" t="n">
        <v>3.6</v>
      </c>
      <c r="F695" t="n">
        <v>3.608</v>
      </c>
      <c r="G695" t="n">
        <v>100</v>
      </c>
      <c r="H695" t="n">
        <v>80</v>
      </c>
      <c r="I695" t="n">
        <v>48</v>
      </c>
      <c r="J695" t="inlineStr">
        <is>
          <t>kaba</t>
        </is>
      </c>
      <c r="K695" t="b">
        <v>1</v>
      </c>
      <c r="M695" t="n">
        <v>30</v>
      </c>
      <c r="N695" t="n">
        <v>28</v>
      </c>
      <c r="O695" t="n">
        <v>10</v>
      </c>
      <c r="P695" t="n">
        <v>972</v>
      </c>
      <c r="Q695" t="n">
        <v>1002</v>
      </c>
      <c r="R695" t="n">
        <v>1.083</v>
      </c>
      <c r="S695" t="n">
        <v>247.177</v>
      </c>
      <c r="T695" t="n">
        <v>228.324</v>
      </c>
      <c r="U695" t="n">
        <v>0.7776999999999999</v>
      </c>
      <c r="V695" t="b">
        <v>1</v>
      </c>
      <c r="X695" t="b">
        <v>1</v>
      </c>
      <c r="Z695" t="n">
        <v>935</v>
      </c>
      <c r="AA695" t="n">
        <v>2.5</v>
      </c>
      <c r="AB695" t="n">
        <v>9.5</v>
      </c>
    </row>
    <row r="696">
      <c r="A696" t="inlineStr">
        <is>
          <t>2026-09-24 14:40:43</t>
        </is>
      </c>
      <c r="B696" t="inlineStr">
        <is>
          <t>MLLB_000_y1.0.3</t>
        </is>
      </c>
      <c r="C696" t="inlineStr">
        <is>
          <t>WHITE</t>
        </is>
      </c>
      <c r="D696" t="inlineStr">
        <is>
          <t>v4_white_MLLB_000_y103_0924</t>
        </is>
      </c>
      <c r="E696" t="n">
        <v>3.6</v>
      </c>
      <c r="F696" t="n">
        <v>3.608</v>
      </c>
      <c r="G696" t="n">
        <v>100</v>
      </c>
      <c r="H696" t="n">
        <v>80</v>
      </c>
      <c r="I696" t="n">
        <v>52</v>
      </c>
      <c r="J696" t="inlineStr">
        <is>
          <t>kaba</t>
        </is>
      </c>
      <c r="K696" t="b">
        <v>1</v>
      </c>
      <c r="M696" t="n">
        <v>30</v>
      </c>
      <c r="N696" t="n">
        <v>28</v>
      </c>
      <c r="O696" t="n">
        <v>10</v>
      </c>
      <c r="P696" t="n">
        <v>972</v>
      </c>
      <c r="Q696" t="n">
        <v>1002</v>
      </c>
      <c r="R696" t="n">
        <v>1.082</v>
      </c>
      <c r="S696" t="n">
        <v>246.947</v>
      </c>
      <c r="T696" t="n">
        <v>228.278</v>
      </c>
      <c r="U696" t="n">
        <v>0.7775</v>
      </c>
      <c r="V696" t="b">
        <v>1</v>
      </c>
      <c r="X696" t="b">
        <v>1</v>
      </c>
      <c r="Z696" t="n">
        <v>935</v>
      </c>
      <c r="AA696" t="n">
        <v>2.5</v>
      </c>
      <c r="AB696" t="n">
        <v>9.5</v>
      </c>
    </row>
    <row r="697">
      <c r="A697" t="inlineStr">
        <is>
          <t>2026-09-24 14:40:59</t>
        </is>
      </c>
      <c r="B697" t="inlineStr">
        <is>
          <t>MLLB_000_y1.0.3</t>
        </is>
      </c>
      <c r="C697" t="inlineStr">
        <is>
          <t>WHITE</t>
        </is>
      </c>
      <c r="D697" t="inlineStr">
        <is>
          <t>v4_white_MLLB_000_y103_0924</t>
        </is>
      </c>
      <c r="E697" t="n">
        <v>3.6</v>
      </c>
      <c r="F697" t="n">
        <v>3.608</v>
      </c>
      <c r="G697" t="n">
        <v>100</v>
      </c>
      <c r="H697" t="n">
        <v>80</v>
      </c>
      <c r="I697" t="n">
        <v>56</v>
      </c>
      <c r="J697" t="inlineStr">
        <is>
          <t>kaba</t>
        </is>
      </c>
      <c r="K697" t="b">
        <v>1</v>
      </c>
      <c r="M697" t="n">
        <v>30</v>
      </c>
      <c r="N697" t="n">
        <v>28</v>
      </c>
      <c r="O697" t="n">
        <v>10</v>
      </c>
      <c r="P697" t="n">
        <v>972</v>
      </c>
      <c r="Q697" t="n">
        <v>1002</v>
      </c>
      <c r="R697" t="n">
        <v>1.081</v>
      </c>
      <c r="S697" t="n">
        <v>246.947</v>
      </c>
      <c r="T697" t="n">
        <v>228.443</v>
      </c>
      <c r="U697" t="n">
        <v>0.7778</v>
      </c>
      <c r="V697" t="b">
        <v>1</v>
      </c>
      <c r="X697" t="b">
        <v>1</v>
      </c>
      <c r="Z697" t="n">
        <v>935</v>
      </c>
      <c r="AA697" t="n">
        <v>2.5</v>
      </c>
      <c r="AB697" t="n">
        <v>9.5</v>
      </c>
    </row>
    <row r="698">
      <c r="A698" t="inlineStr">
        <is>
          <t>2026-09-24 14:41:16</t>
        </is>
      </c>
      <c r="B698" t="inlineStr">
        <is>
          <t>MLLB_000_y1.0.3</t>
        </is>
      </c>
      <c r="C698" t="inlineStr">
        <is>
          <t>WHITE</t>
        </is>
      </c>
      <c r="D698" t="inlineStr">
        <is>
          <t>v4_white_MLLB_000_y103_0924</t>
        </is>
      </c>
      <c r="E698" t="n">
        <v>3.6</v>
      </c>
      <c r="F698" t="n">
        <v>3.608</v>
      </c>
      <c r="G698" t="n">
        <v>100</v>
      </c>
      <c r="H698" t="n">
        <v>80</v>
      </c>
      <c r="I698" t="n">
        <v>58</v>
      </c>
      <c r="J698" t="inlineStr">
        <is>
          <t>kaba</t>
        </is>
      </c>
      <c r="K698" t="b">
        <v>1</v>
      </c>
      <c r="M698" t="n">
        <v>30</v>
      </c>
      <c r="N698" t="n">
        <v>28</v>
      </c>
      <c r="O698" t="n">
        <v>10</v>
      </c>
      <c r="P698" t="n">
        <v>972</v>
      </c>
      <c r="Q698" t="n">
        <v>1002</v>
      </c>
      <c r="R698" t="n">
        <v>1.082</v>
      </c>
      <c r="S698" t="n">
        <v>246.947</v>
      </c>
      <c r="T698" t="n">
        <v>228.329</v>
      </c>
      <c r="U698" t="n">
        <v>0.778</v>
      </c>
      <c r="V698" t="b">
        <v>1</v>
      </c>
      <c r="X698" t="b">
        <v>1</v>
      </c>
      <c r="Z698" t="n">
        <v>935</v>
      </c>
      <c r="AA698" t="n">
        <v>2.5</v>
      </c>
      <c r="AB698" t="n">
        <v>9.5</v>
      </c>
    </row>
    <row r="699">
      <c r="A699" t="inlineStr">
        <is>
          <t>2026-09-24 14:41:16</t>
        </is>
      </c>
      <c r="B699" t="inlineStr">
        <is>
          <t>MLLB_000_y1.0.3</t>
        </is>
      </c>
      <c r="C699" t="inlineStr">
        <is>
          <t>WHITE</t>
        </is>
      </c>
      <c r="D699" t="inlineStr">
        <is>
          <t>v4_white_MLLB_000_y103_0924</t>
        </is>
      </c>
      <c r="E699" t="n">
        <v>3.6</v>
      </c>
      <c r="F699" t="n">
        <v>3.608</v>
      </c>
      <c r="G699" t="n">
        <v>100</v>
      </c>
      <c r="H699" t="n">
        <v>80</v>
      </c>
      <c r="I699" t="n">
        <v>13</v>
      </c>
      <c r="J699" t="inlineStr">
        <is>
          <t>ince</t>
        </is>
      </c>
      <c r="K699" t="b">
        <v>0</v>
      </c>
      <c r="L699" t="inlineStr">
        <is>
          <t>iki-OK-arasi-monotonluk</t>
        </is>
      </c>
      <c r="X699" t="b">
        <v>1</v>
      </c>
      <c r="Z699" t="n">
        <v>935</v>
      </c>
      <c r="AA699" t="n">
        <v>2.5</v>
      </c>
      <c r="AB699" t="n">
        <v>9.5</v>
      </c>
    </row>
    <row r="700">
      <c r="A700" t="inlineStr">
        <is>
          <t>2026-09-24 14:41:16</t>
        </is>
      </c>
      <c r="B700" t="inlineStr">
        <is>
          <t>MLLB_000_y1.0.3</t>
        </is>
      </c>
      <c r="C700" t="inlineStr">
        <is>
          <t>WHITE</t>
        </is>
      </c>
      <c r="D700" t="inlineStr">
        <is>
          <t>v4_white_MLLB_000_y103_0924</t>
        </is>
      </c>
      <c r="E700" t="n">
        <v>3.6</v>
      </c>
      <c r="F700" t="n">
        <v>3.608</v>
      </c>
      <c r="G700" t="n">
        <v>100</v>
      </c>
      <c r="H700" t="n">
        <v>80</v>
      </c>
      <c r="I700" t="n">
        <v>14</v>
      </c>
      <c r="J700" t="inlineStr">
        <is>
          <t>ince</t>
        </is>
      </c>
      <c r="K700" t="b">
        <v>0</v>
      </c>
      <c r="L700" t="inlineStr">
        <is>
          <t>iki-OK-arasi-monotonluk</t>
        </is>
      </c>
      <c r="X700" t="b">
        <v>1</v>
      </c>
      <c r="Z700" t="n">
        <v>935</v>
      </c>
      <c r="AA700" t="n">
        <v>2.5</v>
      </c>
      <c r="AB700" t="n">
        <v>9.5</v>
      </c>
    </row>
    <row r="701">
      <c r="A701" t="inlineStr">
        <is>
          <t>2026-09-24 14:41:16</t>
        </is>
      </c>
      <c r="B701" t="inlineStr">
        <is>
          <t>MLLB_000_y1.0.3</t>
        </is>
      </c>
      <c r="C701" t="inlineStr">
        <is>
          <t>WHITE</t>
        </is>
      </c>
      <c r="D701" t="inlineStr">
        <is>
          <t>v4_white_MLLB_000_y103_0924</t>
        </is>
      </c>
      <c r="E701" t="n">
        <v>3.6</v>
      </c>
      <c r="F701" t="n">
        <v>3.608</v>
      </c>
      <c r="G701" t="n">
        <v>100</v>
      </c>
      <c r="H701" t="n">
        <v>80</v>
      </c>
      <c r="I701" t="n">
        <v>15</v>
      </c>
      <c r="J701" t="inlineStr">
        <is>
          <t>ince</t>
        </is>
      </c>
      <c r="K701" t="b">
        <v>0</v>
      </c>
      <c r="L701" t="inlineStr">
        <is>
          <t>iki-OK-arasi-monotonluk</t>
        </is>
      </c>
      <c r="X701" t="b">
        <v>1</v>
      </c>
      <c r="Z701" t="n">
        <v>935</v>
      </c>
      <c r="AA701" t="n">
        <v>2.5</v>
      </c>
      <c r="AB701" t="n">
        <v>9.5</v>
      </c>
    </row>
    <row r="702">
      <c r="A702" t="inlineStr">
        <is>
          <t>2026-09-24 14:41:16</t>
        </is>
      </c>
      <c r="B702" t="inlineStr">
        <is>
          <t>MLLB_000_y1.0.3</t>
        </is>
      </c>
      <c r="C702" t="inlineStr">
        <is>
          <t>WHITE</t>
        </is>
      </c>
      <c r="D702" t="inlineStr">
        <is>
          <t>v4_white_MLLB_000_y103_0924</t>
        </is>
      </c>
      <c r="E702" t="n">
        <v>3.6</v>
      </c>
      <c r="F702" t="n">
        <v>3.608</v>
      </c>
      <c r="G702" t="n">
        <v>100</v>
      </c>
      <c r="H702" t="n">
        <v>80</v>
      </c>
      <c r="I702" t="n">
        <v>17</v>
      </c>
      <c r="J702" t="inlineStr">
        <is>
          <t>ince</t>
        </is>
      </c>
      <c r="K702" t="b">
        <v>0</v>
      </c>
      <c r="L702" t="inlineStr">
        <is>
          <t>iki-OK-arasi-monotonluk</t>
        </is>
      </c>
      <c r="X702" t="b">
        <v>1</v>
      </c>
      <c r="Z702" t="n">
        <v>935</v>
      </c>
      <c r="AA702" t="n">
        <v>2.5</v>
      </c>
      <c r="AB702" t="n">
        <v>9.5</v>
      </c>
    </row>
    <row r="703">
      <c r="A703" t="inlineStr">
        <is>
          <t>2026-09-24 14:41:16</t>
        </is>
      </c>
      <c r="B703" t="inlineStr">
        <is>
          <t>MLLB_000_y1.0.3</t>
        </is>
      </c>
      <c r="C703" t="inlineStr">
        <is>
          <t>WHITE</t>
        </is>
      </c>
      <c r="D703" t="inlineStr">
        <is>
          <t>v4_white_MLLB_000_y103_0924</t>
        </is>
      </c>
      <c r="E703" t="n">
        <v>3.6</v>
      </c>
      <c r="F703" t="n">
        <v>3.608</v>
      </c>
      <c r="G703" t="n">
        <v>100</v>
      </c>
      <c r="H703" t="n">
        <v>80</v>
      </c>
      <c r="I703" t="n">
        <v>18</v>
      </c>
      <c r="J703" t="inlineStr">
        <is>
          <t>ince</t>
        </is>
      </c>
      <c r="K703" t="b">
        <v>0</v>
      </c>
      <c r="L703" t="inlineStr">
        <is>
          <t>iki-OK-arasi-monotonluk</t>
        </is>
      </c>
      <c r="X703" t="b">
        <v>1</v>
      </c>
      <c r="Z703" t="n">
        <v>935</v>
      </c>
      <c r="AA703" t="n">
        <v>2.5</v>
      </c>
      <c r="AB703" t="n">
        <v>9.5</v>
      </c>
    </row>
    <row r="704">
      <c r="A704" t="inlineStr">
        <is>
          <t>2026-09-24 14:41:16</t>
        </is>
      </c>
      <c r="B704" t="inlineStr">
        <is>
          <t>MLLB_000_y1.0.3</t>
        </is>
      </c>
      <c r="C704" t="inlineStr">
        <is>
          <t>WHITE</t>
        </is>
      </c>
      <c r="D704" t="inlineStr">
        <is>
          <t>v4_white_MLLB_000_y103_0924</t>
        </is>
      </c>
      <c r="E704" t="n">
        <v>3.6</v>
      </c>
      <c r="F704" t="n">
        <v>3.608</v>
      </c>
      <c r="G704" t="n">
        <v>100</v>
      </c>
      <c r="H704" t="n">
        <v>80</v>
      </c>
      <c r="I704" t="n">
        <v>19</v>
      </c>
      <c r="J704" t="inlineStr">
        <is>
          <t>ince</t>
        </is>
      </c>
      <c r="K704" t="b">
        <v>0</v>
      </c>
      <c r="L704" t="inlineStr">
        <is>
          <t>iki-OK-arasi-monotonluk</t>
        </is>
      </c>
      <c r="X704" t="b">
        <v>1</v>
      </c>
      <c r="Z704" t="n">
        <v>935</v>
      </c>
      <c r="AA704" t="n">
        <v>2.5</v>
      </c>
      <c r="AB704" t="n">
        <v>9.5</v>
      </c>
    </row>
    <row r="705">
      <c r="A705" t="inlineStr">
        <is>
          <t>2026-09-24 14:41:16</t>
        </is>
      </c>
      <c r="B705" t="inlineStr">
        <is>
          <t>MLLB_000_y1.0.3</t>
        </is>
      </c>
      <c r="C705" t="inlineStr">
        <is>
          <t>WHITE</t>
        </is>
      </c>
      <c r="D705" t="inlineStr">
        <is>
          <t>v4_white_MLLB_000_y103_0924</t>
        </is>
      </c>
      <c r="E705" t="n">
        <v>3.6</v>
      </c>
      <c r="F705" t="n">
        <v>3.608</v>
      </c>
      <c r="G705" t="n">
        <v>100</v>
      </c>
      <c r="H705" t="n">
        <v>80</v>
      </c>
      <c r="I705" t="n">
        <v>21</v>
      </c>
      <c r="J705" t="inlineStr">
        <is>
          <t>ince</t>
        </is>
      </c>
      <c r="K705" t="b">
        <v>0</v>
      </c>
      <c r="L705" t="inlineStr">
        <is>
          <t>iki-OK-arasi-monotonluk</t>
        </is>
      </c>
      <c r="X705" t="b">
        <v>1</v>
      </c>
      <c r="Z705" t="n">
        <v>935</v>
      </c>
      <c r="AA705" t="n">
        <v>2.5</v>
      </c>
      <c r="AB705" t="n">
        <v>9.5</v>
      </c>
    </row>
    <row r="706">
      <c r="A706" t="inlineStr">
        <is>
          <t>2026-09-24 14:41:16</t>
        </is>
      </c>
      <c r="B706" t="inlineStr">
        <is>
          <t>MLLB_000_y1.0.3</t>
        </is>
      </c>
      <c r="C706" t="inlineStr">
        <is>
          <t>WHITE</t>
        </is>
      </c>
      <c r="D706" t="inlineStr">
        <is>
          <t>v4_white_MLLB_000_y103_0924</t>
        </is>
      </c>
      <c r="E706" t="n">
        <v>3.6</v>
      </c>
      <c r="F706" t="n">
        <v>3.608</v>
      </c>
      <c r="G706" t="n">
        <v>100</v>
      </c>
      <c r="H706" t="n">
        <v>80</v>
      </c>
      <c r="I706" t="n">
        <v>22</v>
      </c>
      <c r="J706" t="inlineStr">
        <is>
          <t>ince</t>
        </is>
      </c>
      <c r="K706" t="b">
        <v>0</v>
      </c>
      <c r="L706" t="inlineStr">
        <is>
          <t>iki-OK-arasi-monotonluk</t>
        </is>
      </c>
      <c r="X706" t="b">
        <v>1</v>
      </c>
      <c r="Z706" t="n">
        <v>935</v>
      </c>
      <c r="AA706" t="n">
        <v>2.5</v>
      </c>
      <c r="AB706" t="n">
        <v>9.5</v>
      </c>
    </row>
    <row r="707">
      <c r="A707" t="inlineStr">
        <is>
          <t>2026-09-24 14:41:16</t>
        </is>
      </c>
      <c r="B707" t="inlineStr">
        <is>
          <t>MLLB_000_y1.0.3</t>
        </is>
      </c>
      <c r="C707" t="inlineStr">
        <is>
          <t>WHITE</t>
        </is>
      </c>
      <c r="D707" t="inlineStr">
        <is>
          <t>v4_white_MLLB_000_y103_0924</t>
        </is>
      </c>
      <c r="E707" t="n">
        <v>3.6</v>
      </c>
      <c r="F707" t="n">
        <v>3.608</v>
      </c>
      <c r="G707" t="n">
        <v>100</v>
      </c>
      <c r="H707" t="n">
        <v>80</v>
      </c>
      <c r="I707" t="n">
        <v>23</v>
      </c>
      <c r="J707" t="inlineStr">
        <is>
          <t>ince</t>
        </is>
      </c>
      <c r="K707" t="b">
        <v>0</v>
      </c>
      <c r="L707" t="inlineStr">
        <is>
          <t>iki-OK-arasi-monotonluk</t>
        </is>
      </c>
      <c r="X707" t="b">
        <v>1</v>
      </c>
      <c r="Z707" t="n">
        <v>935</v>
      </c>
      <c r="AA707" t="n">
        <v>2.5</v>
      </c>
      <c r="AB707" t="n">
        <v>9.5</v>
      </c>
    </row>
    <row r="708">
      <c r="A708" t="inlineStr">
        <is>
          <t>2026-09-24 14:41:16</t>
        </is>
      </c>
      <c r="B708" t="inlineStr">
        <is>
          <t>MLLB_000_y1.0.3</t>
        </is>
      </c>
      <c r="C708" t="inlineStr">
        <is>
          <t>WHITE</t>
        </is>
      </c>
      <c r="D708" t="inlineStr">
        <is>
          <t>v4_white_MLLB_000_y103_0924</t>
        </is>
      </c>
      <c r="E708" t="n">
        <v>3.6</v>
      </c>
      <c r="F708" t="n">
        <v>3.608</v>
      </c>
      <c r="G708" t="n">
        <v>100</v>
      </c>
      <c r="H708" t="n">
        <v>80</v>
      </c>
      <c r="I708" t="n">
        <v>25</v>
      </c>
      <c r="J708" t="inlineStr">
        <is>
          <t>ince</t>
        </is>
      </c>
      <c r="K708" t="b">
        <v>0</v>
      </c>
      <c r="L708" t="inlineStr">
        <is>
          <t>iki-OK-arasi-monotonluk</t>
        </is>
      </c>
      <c r="X708" t="b">
        <v>1</v>
      </c>
      <c r="Z708" t="n">
        <v>935</v>
      </c>
      <c r="AA708" t="n">
        <v>2.5</v>
      </c>
      <c r="AB708" t="n">
        <v>9.5</v>
      </c>
    </row>
    <row r="709">
      <c r="A709" t="inlineStr">
        <is>
          <t>2026-09-24 14:41:16</t>
        </is>
      </c>
      <c r="B709" t="inlineStr">
        <is>
          <t>MLLB_000_y1.0.3</t>
        </is>
      </c>
      <c r="C709" t="inlineStr">
        <is>
          <t>WHITE</t>
        </is>
      </c>
      <c r="D709" t="inlineStr">
        <is>
          <t>v4_white_MLLB_000_y103_0924</t>
        </is>
      </c>
      <c r="E709" t="n">
        <v>3.6</v>
      </c>
      <c r="F709" t="n">
        <v>3.608</v>
      </c>
      <c r="G709" t="n">
        <v>100</v>
      </c>
      <c r="H709" t="n">
        <v>80</v>
      </c>
      <c r="I709" t="n">
        <v>26</v>
      </c>
      <c r="J709" t="inlineStr">
        <is>
          <t>ince</t>
        </is>
      </c>
      <c r="K709" t="b">
        <v>0</v>
      </c>
      <c r="L709" t="inlineStr">
        <is>
          <t>iki-OK-arasi-monotonluk</t>
        </is>
      </c>
      <c r="X709" t="b">
        <v>1</v>
      </c>
      <c r="Z709" t="n">
        <v>935</v>
      </c>
      <c r="AA709" t="n">
        <v>2.5</v>
      </c>
      <c r="AB709" t="n">
        <v>9.5</v>
      </c>
    </row>
    <row r="710">
      <c r="A710" t="inlineStr">
        <is>
          <t>2026-09-24 14:41:16</t>
        </is>
      </c>
      <c r="B710" t="inlineStr">
        <is>
          <t>MLLB_000_y1.0.3</t>
        </is>
      </c>
      <c r="C710" t="inlineStr">
        <is>
          <t>WHITE</t>
        </is>
      </c>
      <c r="D710" t="inlineStr">
        <is>
          <t>v4_white_MLLB_000_y103_0924</t>
        </is>
      </c>
      <c r="E710" t="n">
        <v>3.6</v>
      </c>
      <c r="F710" t="n">
        <v>3.608</v>
      </c>
      <c r="G710" t="n">
        <v>100</v>
      </c>
      <c r="H710" t="n">
        <v>80</v>
      </c>
      <c r="I710" t="n">
        <v>27</v>
      </c>
      <c r="J710" t="inlineStr">
        <is>
          <t>ince</t>
        </is>
      </c>
      <c r="K710" t="b">
        <v>0</v>
      </c>
      <c r="L710" t="inlineStr">
        <is>
          <t>iki-OK-arasi-monotonluk</t>
        </is>
      </c>
      <c r="X710" t="b">
        <v>1</v>
      </c>
      <c r="Z710" t="n">
        <v>935</v>
      </c>
      <c r="AA710" t="n">
        <v>2.5</v>
      </c>
      <c r="AB710" t="n">
        <v>9.5</v>
      </c>
    </row>
    <row r="711">
      <c r="A711" t="inlineStr">
        <is>
          <t>2026-09-24 14:41:16</t>
        </is>
      </c>
      <c r="B711" t="inlineStr">
        <is>
          <t>MLLB_000_y1.0.3</t>
        </is>
      </c>
      <c r="C711" t="inlineStr">
        <is>
          <t>WHITE</t>
        </is>
      </c>
      <c r="D711" t="inlineStr">
        <is>
          <t>v4_white_MLLB_000_y103_0924</t>
        </is>
      </c>
      <c r="E711" t="n">
        <v>3.6</v>
      </c>
      <c r="F711" t="n">
        <v>3.608</v>
      </c>
      <c r="G711" t="n">
        <v>100</v>
      </c>
      <c r="H711" t="n">
        <v>80</v>
      </c>
      <c r="I711" t="n">
        <v>29</v>
      </c>
      <c r="J711" t="inlineStr">
        <is>
          <t>ince</t>
        </is>
      </c>
      <c r="K711" t="b">
        <v>0</v>
      </c>
      <c r="L711" t="inlineStr">
        <is>
          <t>iki-OK-arasi-monotonluk</t>
        </is>
      </c>
      <c r="X711" t="b">
        <v>1</v>
      </c>
      <c r="Z711" t="n">
        <v>935</v>
      </c>
      <c r="AA711" t="n">
        <v>2.5</v>
      </c>
      <c r="AB711" t="n">
        <v>9.5</v>
      </c>
    </row>
    <row r="712">
      <c r="A712" t="inlineStr">
        <is>
          <t>2026-09-24 14:41:16</t>
        </is>
      </c>
      <c r="B712" t="inlineStr">
        <is>
          <t>MLLB_000_y1.0.3</t>
        </is>
      </c>
      <c r="C712" t="inlineStr">
        <is>
          <t>WHITE</t>
        </is>
      </c>
      <c r="D712" t="inlineStr">
        <is>
          <t>v4_white_MLLB_000_y103_0924</t>
        </is>
      </c>
      <c r="E712" t="n">
        <v>3.6</v>
      </c>
      <c r="F712" t="n">
        <v>3.608</v>
      </c>
      <c r="G712" t="n">
        <v>100</v>
      </c>
      <c r="H712" t="n">
        <v>80</v>
      </c>
      <c r="I712" t="n">
        <v>30</v>
      </c>
      <c r="J712" t="inlineStr">
        <is>
          <t>ince</t>
        </is>
      </c>
      <c r="K712" t="b">
        <v>0</v>
      </c>
      <c r="L712" t="inlineStr">
        <is>
          <t>iki-OK-arasi-monotonluk</t>
        </is>
      </c>
      <c r="X712" t="b">
        <v>1</v>
      </c>
      <c r="Z712" t="n">
        <v>935</v>
      </c>
      <c r="AA712" t="n">
        <v>2.5</v>
      </c>
      <c r="AB712" t="n">
        <v>9.5</v>
      </c>
    </row>
    <row r="713">
      <c r="A713" t="inlineStr">
        <is>
          <t>2026-09-24 14:41:16</t>
        </is>
      </c>
      <c r="B713" t="inlineStr">
        <is>
          <t>MLLB_000_y1.0.3</t>
        </is>
      </c>
      <c r="C713" t="inlineStr">
        <is>
          <t>WHITE</t>
        </is>
      </c>
      <c r="D713" t="inlineStr">
        <is>
          <t>v4_white_MLLB_000_y103_0924</t>
        </is>
      </c>
      <c r="E713" t="n">
        <v>3.6</v>
      </c>
      <c r="F713" t="n">
        <v>3.608</v>
      </c>
      <c r="G713" t="n">
        <v>100</v>
      </c>
      <c r="H713" t="n">
        <v>80</v>
      </c>
      <c r="I713" t="n">
        <v>31</v>
      </c>
      <c r="J713" t="inlineStr">
        <is>
          <t>ince</t>
        </is>
      </c>
      <c r="K713" t="b">
        <v>0</v>
      </c>
      <c r="L713" t="inlineStr">
        <is>
          <t>iki-OK-arasi-monotonluk</t>
        </is>
      </c>
      <c r="X713" t="b">
        <v>1</v>
      </c>
      <c r="Z713" t="n">
        <v>935</v>
      </c>
      <c r="AA713" t="n">
        <v>2.5</v>
      </c>
      <c r="AB713" t="n">
        <v>9.5</v>
      </c>
    </row>
    <row r="714">
      <c r="A714" t="inlineStr">
        <is>
          <t>2026-09-24 14:41:16</t>
        </is>
      </c>
      <c r="B714" t="inlineStr">
        <is>
          <t>MLLB_000_y1.0.3</t>
        </is>
      </c>
      <c r="C714" t="inlineStr">
        <is>
          <t>WHITE</t>
        </is>
      </c>
      <c r="D714" t="inlineStr">
        <is>
          <t>v4_white_MLLB_000_y103_0924</t>
        </is>
      </c>
      <c r="E714" t="n">
        <v>3.6</v>
      </c>
      <c r="F714" t="n">
        <v>3.608</v>
      </c>
      <c r="G714" t="n">
        <v>100</v>
      </c>
      <c r="H714" t="n">
        <v>80</v>
      </c>
      <c r="I714" t="n">
        <v>33</v>
      </c>
      <c r="J714" t="inlineStr">
        <is>
          <t>ince</t>
        </is>
      </c>
      <c r="K714" t="b">
        <v>0</v>
      </c>
      <c r="L714" t="inlineStr">
        <is>
          <t>iki-OK-arasi-monotonluk</t>
        </is>
      </c>
      <c r="X714" t="b">
        <v>1</v>
      </c>
      <c r="Z714" t="n">
        <v>935</v>
      </c>
      <c r="AA714" t="n">
        <v>2.5</v>
      </c>
      <c r="AB714" t="n">
        <v>9.5</v>
      </c>
    </row>
    <row r="715">
      <c r="A715" t="inlineStr">
        <is>
          <t>2026-09-24 14:41:16</t>
        </is>
      </c>
      <c r="B715" t="inlineStr">
        <is>
          <t>MLLB_000_y1.0.3</t>
        </is>
      </c>
      <c r="C715" t="inlineStr">
        <is>
          <t>WHITE</t>
        </is>
      </c>
      <c r="D715" t="inlineStr">
        <is>
          <t>v4_white_MLLB_000_y103_0924</t>
        </is>
      </c>
      <c r="E715" t="n">
        <v>3.6</v>
      </c>
      <c r="F715" t="n">
        <v>3.608</v>
      </c>
      <c r="G715" t="n">
        <v>100</v>
      </c>
      <c r="H715" t="n">
        <v>80</v>
      </c>
      <c r="I715" t="n">
        <v>34</v>
      </c>
      <c r="J715" t="inlineStr">
        <is>
          <t>ince</t>
        </is>
      </c>
      <c r="K715" t="b">
        <v>0</v>
      </c>
      <c r="L715" t="inlineStr">
        <is>
          <t>iki-OK-arasi-monotonluk</t>
        </is>
      </c>
      <c r="X715" t="b">
        <v>1</v>
      </c>
      <c r="Z715" t="n">
        <v>935</v>
      </c>
      <c r="AA715" t="n">
        <v>2.5</v>
      </c>
      <c r="AB715" t="n">
        <v>9.5</v>
      </c>
    </row>
    <row r="716">
      <c r="A716" t="inlineStr">
        <is>
          <t>2026-09-24 14:41:16</t>
        </is>
      </c>
      <c r="B716" t="inlineStr">
        <is>
          <t>MLLB_000_y1.0.3</t>
        </is>
      </c>
      <c r="C716" t="inlineStr">
        <is>
          <t>WHITE</t>
        </is>
      </c>
      <c r="D716" t="inlineStr">
        <is>
          <t>v4_white_MLLB_000_y103_0924</t>
        </is>
      </c>
      <c r="E716" t="n">
        <v>3.6</v>
      </c>
      <c r="F716" t="n">
        <v>3.608</v>
      </c>
      <c r="G716" t="n">
        <v>100</v>
      </c>
      <c r="H716" t="n">
        <v>80</v>
      </c>
      <c r="I716" t="n">
        <v>35</v>
      </c>
      <c r="J716" t="inlineStr">
        <is>
          <t>ince</t>
        </is>
      </c>
      <c r="K716" t="b">
        <v>0</v>
      </c>
      <c r="L716" t="inlineStr">
        <is>
          <t>iki-OK-arasi-monotonluk</t>
        </is>
      </c>
      <c r="X716" t="b">
        <v>1</v>
      </c>
      <c r="Z716" t="n">
        <v>935</v>
      </c>
      <c r="AA716" t="n">
        <v>2.5</v>
      </c>
      <c r="AB716" t="n">
        <v>9.5</v>
      </c>
    </row>
    <row r="717">
      <c r="A717" t="inlineStr">
        <is>
          <t>2026-09-24 14:41:16</t>
        </is>
      </c>
      <c r="B717" t="inlineStr">
        <is>
          <t>MLLB_000_y1.0.3</t>
        </is>
      </c>
      <c r="C717" t="inlineStr">
        <is>
          <t>WHITE</t>
        </is>
      </c>
      <c r="D717" t="inlineStr">
        <is>
          <t>v4_white_MLLB_000_y103_0924</t>
        </is>
      </c>
      <c r="E717" t="n">
        <v>3.6</v>
      </c>
      <c r="F717" t="n">
        <v>3.608</v>
      </c>
      <c r="G717" t="n">
        <v>100</v>
      </c>
      <c r="H717" t="n">
        <v>80</v>
      </c>
      <c r="I717" t="n">
        <v>37</v>
      </c>
      <c r="J717" t="inlineStr">
        <is>
          <t>ince</t>
        </is>
      </c>
      <c r="K717" t="b">
        <v>0</v>
      </c>
      <c r="L717" t="inlineStr">
        <is>
          <t>iki-OK-arasi-monotonluk</t>
        </is>
      </c>
      <c r="X717" t="b">
        <v>1</v>
      </c>
      <c r="Z717" t="n">
        <v>935</v>
      </c>
      <c r="AA717" t="n">
        <v>2.5</v>
      </c>
      <c r="AB717" t="n">
        <v>9.5</v>
      </c>
    </row>
    <row r="718">
      <c r="A718" t="inlineStr">
        <is>
          <t>2026-09-24 14:41:16</t>
        </is>
      </c>
      <c r="B718" t="inlineStr">
        <is>
          <t>MLLB_000_y1.0.3</t>
        </is>
      </c>
      <c r="C718" t="inlineStr">
        <is>
          <t>WHITE</t>
        </is>
      </c>
      <c r="D718" t="inlineStr">
        <is>
          <t>v4_white_MLLB_000_y103_0924</t>
        </is>
      </c>
      <c r="E718" t="n">
        <v>3.6</v>
      </c>
      <c r="F718" t="n">
        <v>3.608</v>
      </c>
      <c r="G718" t="n">
        <v>100</v>
      </c>
      <c r="H718" t="n">
        <v>80</v>
      </c>
      <c r="I718" t="n">
        <v>38</v>
      </c>
      <c r="J718" t="inlineStr">
        <is>
          <t>ince</t>
        </is>
      </c>
      <c r="K718" t="b">
        <v>0</v>
      </c>
      <c r="L718" t="inlineStr">
        <is>
          <t>iki-OK-arasi-monotonluk</t>
        </is>
      </c>
      <c r="X718" t="b">
        <v>1</v>
      </c>
      <c r="Z718" t="n">
        <v>935</v>
      </c>
      <c r="AA718" t="n">
        <v>2.5</v>
      </c>
      <c r="AB718" t="n">
        <v>9.5</v>
      </c>
    </row>
    <row r="719">
      <c r="A719" t="inlineStr">
        <is>
          <t>2026-09-24 14:41:16</t>
        </is>
      </c>
      <c r="B719" t="inlineStr">
        <is>
          <t>MLLB_000_y1.0.3</t>
        </is>
      </c>
      <c r="C719" t="inlineStr">
        <is>
          <t>WHITE</t>
        </is>
      </c>
      <c r="D719" t="inlineStr">
        <is>
          <t>v4_white_MLLB_000_y103_0924</t>
        </is>
      </c>
      <c r="E719" t="n">
        <v>3.6</v>
      </c>
      <c r="F719" t="n">
        <v>3.608</v>
      </c>
      <c r="G719" t="n">
        <v>100</v>
      </c>
      <c r="H719" t="n">
        <v>80</v>
      </c>
      <c r="I719" t="n">
        <v>39</v>
      </c>
      <c r="J719" t="inlineStr">
        <is>
          <t>ince</t>
        </is>
      </c>
      <c r="K719" t="b">
        <v>0</v>
      </c>
      <c r="L719" t="inlineStr">
        <is>
          <t>iki-OK-arasi-monotonluk</t>
        </is>
      </c>
      <c r="X719" t="b">
        <v>1</v>
      </c>
      <c r="Z719" t="n">
        <v>935</v>
      </c>
      <c r="AA719" t="n">
        <v>2.5</v>
      </c>
      <c r="AB719" t="n">
        <v>9.5</v>
      </c>
    </row>
    <row r="720">
      <c r="A720" t="inlineStr">
        <is>
          <t>2026-09-24 14:41:16</t>
        </is>
      </c>
      <c r="B720" t="inlineStr">
        <is>
          <t>MLLB_000_y1.0.3</t>
        </is>
      </c>
      <c r="C720" t="inlineStr">
        <is>
          <t>WHITE</t>
        </is>
      </c>
      <c r="D720" t="inlineStr">
        <is>
          <t>v4_white_MLLB_000_y103_0924</t>
        </is>
      </c>
      <c r="E720" t="n">
        <v>3.6</v>
      </c>
      <c r="F720" t="n">
        <v>3.608</v>
      </c>
      <c r="G720" t="n">
        <v>100</v>
      </c>
      <c r="H720" t="n">
        <v>80</v>
      </c>
      <c r="I720" t="n">
        <v>41</v>
      </c>
      <c r="J720" t="inlineStr">
        <is>
          <t>ince</t>
        </is>
      </c>
      <c r="K720" t="b">
        <v>0</v>
      </c>
      <c r="L720" t="inlineStr">
        <is>
          <t>iki-OK-arasi-monotonluk</t>
        </is>
      </c>
      <c r="X720" t="b">
        <v>1</v>
      </c>
      <c r="Z720" t="n">
        <v>935</v>
      </c>
      <c r="AA720" t="n">
        <v>2.5</v>
      </c>
      <c r="AB720" t="n">
        <v>9.5</v>
      </c>
    </row>
    <row r="721">
      <c r="A721" t="inlineStr">
        <is>
          <t>2026-09-24 14:41:16</t>
        </is>
      </c>
      <c r="B721" t="inlineStr">
        <is>
          <t>MLLB_000_y1.0.3</t>
        </is>
      </c>
      <c r="C721" t="inlineStr">
        <is>
          <t>WHITE</t>
        </is>
      </c>
      <c r="D721" t="inlineStr">
        <is>
          <t>v4_white_MLLB_000_y103_0924</t>
        </is>
      </c>
      <c r="E721" t="n">
        <v>3.6</v>
      </c>
      <c r="F721" t="n">
        <v>3.608</v>
      </c>
      <c r="G721" t="n">
        <v>100</v>
      </c>
      <c r="H721" t="n">
        <v>80</v>
      </c>
      <c r="I721" t="n">
        <v>42</v>
      </c>
      <c r="J721" t="inlineStr">
        <is>
          <t>ince</t>
        </is>
      </c>
      <c r="K721" t="b">
        <v>0</v>
      </c>
      <c r="L721" t="inlineStr">
        <is>
          <t>iki-OK-arasi-monotonluk</t>
        </is>
      </c>
      <c r="X721" t="b">
        <v>1</v>
      </c>
      <c r="Z721" t="n">
        <v>935</v>
      </c>
      <c r="AA721" t="n">
        <v>2.5</v>
      </c>
      <c r="AB721" t="n">
        <v>9.5</v>
      </c>
    </row>
    <row r="722">
      <c r="A722" t="inlineStr">
        <is>
          <t>2026-09-24 14:41:16</t>
        </is>
      </c>
      <c r="B722" t="inlineStr">
        <is>
          <t>MLLB_000_y1.0.3</t>
        </is>
      </c>
      <c r="C722" t="inlineStr">
        <is>
          <t>WHITE</t>
        </is>
      </c>
      <c r="D722" t="inlineStr">
        <is>
          <t>v4_white_MLLB_000_y103_0924</t>
        </is>
      </c>
      <c r="E722" t="n">
        <v>3.6</v>
      </c>
      <c r="F722" t="n">
        <v>3.608</v>
      </c>
      <c r="G722" t="n">
        <v>100</v>
      </c>
      <c r="H722" t="n">
        <v>80</v>
      </c>
      <c r="I722" t="n">
        <v>43</v>
      </c>
      <c r="J722" t="inlineStr">
        <is>
          <t>ince</t>
        </is>
      </c>
      <c r="K722" t="b">
        <v>0</v>
      </c>
      <c r="L722" t="inlineStr">
        <is>
          <t>iki-OK-arasi-monotonluk</t>
        </is>
      </c>
      <c r="X722" t="b">
        <v>1</v>
      </c>
      <c r="Z722" t="n">
        <v>935</v>
      </c>
      <c r="AA722" t="n">
        <v>2.5</v>
      </c>
      <c r="AB722" t="n">
        <v>9.5</v>
      </c>
    </row>
    <row r="723">
      <c r="A723" t="inlineStr">
        <is>
          <t>2026-09-24 14:41:16</t>
        </is>
      </c>
      <c r="B723" t="inlineStr">
        <is>
          <t>MLLB_000_y1.0.3</t>
        </is>
      </c>
      <c r="C723" t="inlineStr">
        <is>
          <t>WHITE</t>
        </is>
      </c>
      <c r="D723" t="inlineStr">
        <is>
          <t>v4_white_MLLB_000_y103_0924</t>
        </is>
      </c>
      <c r="E723" t="n">
        <v>3.6</v>
      </c>
      <c r="F723" t="n">
        <v>3.608</v>
      </c>
      <c r="G723" t="n">
        <v>100</v>
      </c>
      <c r="H723" t="n">
        <v>80</v>
      </c>
      <c r="I723" t="n">
        <v>45</v>
      </c>
      <c r="J723" t="inlineStr">
        <is>
          <t>ince</t>
        </is>
      </c>
      <c r="K723" t="b">
        <v>0</v>
      </c>
      <c r="L723" t="inlineStr">
        <is>
          <t>iki-OK-arasi-monotonluk</t>
        </is>
      </c>
      <c r="X723" t="b">
        <v>1</v>
      </c>
      <c r="Z723" t="n">
        <v>935</v>
      </c>
      <c r="AA723" t="n">
        <v>2.5</v>
      </c>
      <c r="AB723" t="n">
        <v>9.5</v>
      </c>
    </row>
    <row r="724">
      <c r="A724" t="inlineStr">
        <is>
          <t>2026-09-24 14:41:16</t>
        </is>
      </c>
      <c r="B724" t="inlineStr">
        <is>
          <t>MLLB_000_y1.0.3</t>
        </is>
      </c>
      <c r="C724" t="inlineStr">
        <is>
          <t>WHITE</t>
        </is>
      </c>
      <c r="D724" t="inlineStr">
        <is>
          <t>v4_white_MLLB_000_y103_0924</t>
        </is>
      </c>
      <c r="E724" t="n">
        <v>3.6</v>
      </c>
      <c r="F724" t="n">
        <v>3.608</v>
      </c>
      <c r="G724" t="n">
        <v>100</v>
      </c>
      <c r="H724" t="n">
        <v>80</v>
      </c>
      <c r="I724" t="n">
        <v>46</v>
      </c>
      <c r="J724" t="inlineStr">
        <is>
          <t>ince</t>
        </is>
      </c>
      <c r="K724" t="b">
        <v>0</v>
      </c>
      <c r="L724" t="inlineStr">
        <is>
          <t>iki-OK-arasi-monotonluk</t>
        </is>
      </c>
      <c r="X724" t="b">
        <v>1</v>
      </c>
      <c r="Z724" t="n">
        <v>935</v>
      </c>
      <c r="AA724" t="n">
        <v>2.5</v>
      </c>
      <c r="AB724" t="n">
        <v>9.5</v>
      </c>
    </row>
    <row r="725">
      <c r="A725" t="inlineStr">
        <is>
          <t>2026-09-24 14:41:16</t>
        </is>
      </c>
      <c r="B725" t="inlineStr">
        <is>
          <t>MLLB_000_y1.0.3</t>
        </is>
      </c>
      <c r="C725" t="inlineStr">
        <is>
          <t>WHITE</t>
        </is>
      </c>
      <c r="D725" t="inlineStr">
        <is>
          <t>v4_white_MLLB_000_y103_0924</t>
        </is>
      </c>
      <c r="E725" t="n">
        <v>3.6</v>
      </c>
      <c r="F725" t="n">
        <v>3.608</v>
      </c>
      <c r="G725" t="n">
        <v>100</v>
      </c>
      <c r="H725" t="n">
        <v>80</v>
      </c>
      <c r="I725" t="n">
        <v>47</v>
      </c>
      <c r="J725" t="inlineStr">
        <is>
          <t>ince</t>
        </is>
      </c>
      <c r="K725" t="b">
        <v>0</v>
      </c>
      <c r="L725" t="inlineStr">
        <is>
          <t>iki-OK-arasi-monotonluk</t>
        </is>
      </c>
      <c r="X725" t="b">
        <v>1</v>
      </c>
      <c r="Z725" t="n">
        <v>935</v>
      </c>
      <c r="AA725" t="n">
        <v>2.5</v>
      </c>
      <c r="AB725" t="n">
        <v>9.5</v>
      </c>
    </row>
    <row r="726">
      <c r="A726" t="inlineStr">
        <is>
          <t>2026-09-24 14:41:16</t>
        </is>
      </c>
      <c r="B726" t="inlineStr">
        <is>
          <t>MLLB_000_y1.0.3</t>
        </is>
      </c>
      <c r="C726" t="inlineStr">
        <is>
          <t>WHITE</t>
        </is>
      </c>
      <c r="D726" t="inlineStr">
        <is>
          <t>v4_white_MLLB_000_y103_0924</t>
        </is>
      </c>
      <c r="E726" t="n">
        <v>3.6</v>
      </c>
      <c r="F726" t="n">
        <v>3.608</v>
      </c>
      <c r="G726" t="n">
        <v>100</v>
      </c>
      <c r="H726" t="n">
        <v>80</v>
      </c>
      <c r="I726" t="n">
        <v>49</v>
      </c>
      <c r="J726" t="inlineStr">
        <is>
          <t>ince</t>
        </is>
      </c>
      <c r="K726" t="b">
        <v>0</v>
      </c>
      <c r="L726" t="inlineStr">
        <is>
          <t>iki-OK-arasi-monotonluk</t>
        </is>
      </c>
      <c r="X726" t="b">
        <v>1</v>
      </c>
      <c r="Z726" t="n">
        <v>935</v>
      </c>
      <c r="AA726" t="n">
        <v>2.5</v>
      </c>
      <c r="AB726" t="n">
        <v>9.5</v>
      </c>
    </row>
    <row r="727">
      <c r="A727" t="inlineStr">
        <is>
          <t>2026-09-24 14:41:16</t>
        </is>
      </c>
      <c r="B727" t="inlineStr">
        <is>
          <t>MLLB_000_y1.0.3</t>
        </is>
      </c>
      <c r="C727" t="inlineStr">
        <is>
          <t>WHITE</t>
        </is>
      </c>
      <c r="D727" t="inlineStr">
        <is>
          <t>v4_white_MLLB_000_y103_0924</t>
        </is>
      </c>
      <c r="E727" t="n">
        <v>3.6</v>
      </c>
      <c r="F727" t="n">
        <v>3.608</v>
      </c>
      <c r="G727" t="n">
        <v>100</v>
      </c>
      <c r="H727" t="n">
        <v>80</v>
      </c>
      <c r="I727" t="n">
        <v>50</v>
      </c>
      <c r="J727" t="inlineStr">
        <is>
          <t>ince</t>
        </is>
      </c>
      <c r="K727" t="b">
        <v>0</v>
      </c>
      <c r="L727" t="inlineStr">
        <is>
          <t>iki-OK-arasi-monotonluk</t>
        </is>
      </c>
      <c r="X727" t="b">
        <v>1</v>
      </c>
      <c r="Z727" t="n">
        <v>935</v>
      </c>
      <c r="AA727" t="n">
        <v>2.5</v>
      </c>
      <c r="AB727" t="n">
        <v>9.5</v>
      </c>
    </row>
    <row r="728">
      <c r="A728" t="inlineStr">
        <is>
          <t>2026-09-24 14:41:16</t>
        </is>
      </c>
      <c r="B728" t="inlineStr">
        <is>
          <t>MLLB_000_y1.0.3</t>
        </is>
      </c>
      <c r="C728" t="inlineStr">
        <is>
          <t>WHITE</t>
        </is>
      </c>
      <c r="D728" t="inlineStr">
        <is>
          <t>v4_white_MLLB_000_y103_0924</t>
        </is>
      </c>
      <c r="E728" t="n">
        <v>3.6</v>
      </c>
      <c r="F728" t="n">
        <v>3.608</v>
      </c>
      <c r="G728" t="n">
        <v>100</v>
      </c>
      <c r="H728" t="n">
        <v>80</v>
      </c>
      <c r="I728" t="n">
        <v>51</v>
      </c>
      <c r="J728" t="inlineStr">
        <is>
          <t>ince</t>
        </is>
      </c>
      <c r="K728" t="b">
        <v>0</v>
      </c>
      <c r="L728" t="inlineStr">
        <is>
          <t>iki-OK-arasi-monotonluk</t>
        </is>
      </c>
      <c r="X728" t="b">
        <v>1</v>
      </c>
      <c r="Z728" t="n">
        <v>935</v>
      </c>
      <c r="AA728" t="n">
        <v>2.5</v>
      </c>
      <c r="AB728" t="n">
        <v>9.5</v>
      </c>
    </row>
    <row r="729">
      <c r="A729" t="inlineStr">
        <is>
          <t>2026-09-24 14:41:16</t>
        </is>
      </c>
      <c r="B729" t="inlineStr">
        <is>
          <t>MLLB_000_y1.0.3</t>
        </is>
      </c>
      <c r="C729" t="inlineStr">
        <is>
          <t>WHITE</t>
        </is>
      </c>
      <c r="D729" t="inlineStr">
        <is>
          <t>v4_white_MLLB_000_y103_0924</t>
        </is>
      </c>
      <c r="E729" t="n">
        <v>3.6</v>
      </c>
      <c r="F729" t="n">
        <v>3.608</v>
      </c>
      <c r="G729" t="n">
        <v>100</v>
      </c>
      <c r="H729" t="n">
        <v>80</v>
      </c>
      <c r="I729" t="n">
        <v>53</v>
      </c>
      <c r="J729" t="inlineStr">
        <is>
          <t>ince</t>
        </is>
      </c>
      <c r="K729" t="b">
        <v>0</v>
      </c>
      <c r="L729" t="inlineStr">
        <is>
          <t>iki-OK-arasi-monotonluk</t>
        </is>
      </c>
      <c r="X729" t="b">
        <v>1</v>
      </c>
      <c r="Z729" t="n">
        <v>935</v>
      </c>
      <c r="AA729" t="n">
        <v>2.5</v>
      </c>
      <c r="AB729" t="n">
        <v>9.5</v>
      </c>
    </row>
    <row r="730">
      <c r="A730" t="inlineStr">
        <is>
          <t>2026-09-24 14:41:16</t>
        </is>
      </c>
      <c r="B730" t="inlineStr">
        <is>
          <t>MLLB_000_y1.0.3</t>
        </is>
      </c>
      <c r="C730" t="inlineStr">
        <is>
          <t>WHITE</t>
        </is>
      </c>
      <c r="D730" t="inlineStr">
        <is>
          <t>v4_white_MLLB_000_y103_0924</t>
        </is>
      </c>
      <c r="E730" t="n">
        <v>3.6</v>
      </c>
      <c r="F730" t="n">
        <v>3.608</v>
      </c>
      <c r="G730" t="n">
        <v>100</v>
      </c>
      <c r="H730" t="n">
        <v>80</v>
      </c>
      <c r="I730" t="n">
        <v>54</v>
      </c>
      <c r="J730" t="inlineStr">
        <is>
          <t>ince</t>
        </is>
      </c>
      <c r="K730" t="b">
        <v>0</v>
      </c>
      <c r="L730" t="inlineStr">
        <is>
          <t>iki-OK-arasi-monotonluk</t>
        </is>
      </c>
      <c r="X730" t="b">
        <v>1</v>
      </c>
      <c r="Z730" t="n">
        <v>935</v>
      </c>
      <c r="AA730" t="n">
        <v>2.5</v>
      </c>
      <c r="AB730" t="n">
        <v>9.5</v>
      </c>
    </row>
    <row r="731">
      <c r="A731" t="inlineStr">
        <is>
          <t>2026-09-24 14:41:16</t>
        </is>
      </c>
      <c r="B731" t="inlineStr">
        <is>
          <t>MLLB_000_y1.0.3</t>
        </is>
      </c>
      <c r="C731" t="inlineStr">
        <is>
          <t>WHITE</t>
        </is>
      </c>
      <c r="D731" t="inlineStr">
        <is>
          <t>v4_white_MLLB_000_y103_0924</t>
        </is>
      </c>
      <c r="E731" t="n">
        <v>3.6</v>
      </c>
      <c r="F731" t="n">
        <v>3.608</v>
      </c>
      <c r="G731" t="n">
        <v>100</v>
      </c>
      <c r="H731" t="n">
        <v>80</v>
      </c>
      <c r="I731" t="n">
        <v>55</v>
      </c>
      <c r="J731" t="inlineStr">
        <is>
          <t>ince</t>
        </is>
      </c>
      <c r="K731" t="b">
        <v>0</v>
      </c>
      <c r="L731" t="inlineStr">
        <is>
          <t>iki-OK-arasi-monotonluk</t>
        </is>
      </c>
      <c r="X731" t="b">
        <v>1</v>
      </c>
      <c r="Z731" t="n">
        <v>935</v>
      </c>
      <c r="AA731" t="n">
        <v>2.5</v>
      </c>
      <c r="AB731" t="n">
        <v>9.5</v>
      </c>
    </row>
    <row r="732">
      <c r="A732" t="inlineStr">
        <is>
          <t>2026-09-24 14:41:16</t>
        </is>
      </c>
      <c r="B732" t="inlineStr">
        <is>
          <t>MLLB_000_y1.0.3</t>
        </is>
      </c>
      <c r="C732" t="inlineStr">
        <is>
          <t>WHITE</t>
        </is>
      </c>
      <c r="D732" t="inlineStr">
        <is>
          <t>v4_white_MLLB_000_y103_0924</t>
        </is>
      </c>
      <c r="E732" t="n">
        <v>3.6</v>
      </c>
      <c r="F732" t="n">
        <v>3.608</v>
      </c>
      <c r="G732" t="n">
        <v>100</v>
      </c>
      <c r="H732" t="n">
        <v>80</v>
      </c>
      <c r="I732" t="n">
        <v>57</v>
      </c>
      <c r="J732" t="inlineStr">
        <is>
          <t>ince</t>
        </is>
      </c>
      <c r="K732" t="b">
        <v>0</v>
      </c>
      <c r="L732" t="inlineStr">
        <is>
          <t>iki-OK-arasi-monotonluk</t>
        </is>
      </c>
      <c r="X732" t="b">
        <v>1</v>
      </c>
      <c r="Z732" t="n">
        <v>935</v>
      </c>
      <c r="AA732" t="n">
        <v>2.5</v>
      </c>
      <c r="AB732" t="n">
        <v>9.5</v>
      </c>
    </row>
    <row r="733">
      <c r="A733" t="inlineStr">
        <is>
          <t>2026-09-24 14:41:16</t>
        </is>
      </c>
      <c r="B733" t="inlineStr">
        <is>
          <t>MLLB_000_y1.0.3</t>
        </is>
      </c>
      <c r="C733" t="inlineStr">
        <is>
          <t>WHITE</t>
        </is>
      </c>
      <c r="D733" t="inlineStr">
        <is>
          <t>v4_white_MLLB_000_y103_0924</t>
        </is>
      </c>
      <c r="E733" t="n">
        <v>3.6</v>
      </c>
      <c r="F733" t="n">
        <v>3.608</v>
      </c>
      <c r="G733" t="n">
        <v>100</v>
      </c>
      <c r="H733" t="n">
        <v>80</v>
      </c>
      <c r="J733" t="inlineStr">
        <is>
          <t>bitti</t>
        </is>
      </c>
      <c r="K733" t="b">
        <v>0</v>
      </c>
      <c r="Z733" t="n">
        <v>935</v>
      </c>
      <c r="AA733" t="n">
        <v>2.5</v>
      </c>
      <c r="AB733" t="n">
        <v>9.5</v>
      </c>
    </row>
    <row r="734">
      <c r="A734" t="inlineStr">
        <is>
          <t>2026-09-24 14:41:31</t>
        </is>
      </c>
      <c r="B734" t="inlineStr">
        <is>
          <t>MLLB_000_y1.0.3</t>
        </is>
      </c>
      <c r="C734" t="inlineStr">
        <is>
          <t>WHITE</t>
        </is>
      </c>
      <c r="D734" t="inlineStr">
        <is>
          <t>v4_white_MLLB_000_y103_0924</t>
        </is>
      </c>
      <c r="E734" t="n">
        <v>3.6</v>
      </c>
      <c r="F734" t="n">
        <v>3.608</v>
      </c>
      <c r="G734" t="n">
        <v>100</v>
      </c>
      <c r="H734" t="n">
        <v>60</v>
      </c>
      <c r="I734" t="n">
        <v>12</v>
      </c>
      <c r="J734" t="inlineStr">
        <is>
          <t>kaba</t>
        </is>
      </c>
      <c r="K734" t="b">
        <v>1</v>
      </c>
      <c r="M734" t="n">
        <v>30</v>
      </c>
      <c r="N734" t="n">
        <v>28</v>
      </c>
      <c r="O734" t="n">
        <v>10</v>
      </c>
      <c r="P734" t="n">
        <v>972</v>
      </c>
      <c r="Q734" t="n">
        <v>1002</v>
      </c>
      <c r="R734" t="n">
        <v>1.081</v>
      </c>
      <c r="S734" t="n">
        <v>246.947</v>
      </c>
      <c r="T734" t="n">
        <v>228.46</v>
      </c>
      <c r="U734" t="n">
        <v>0.7776</v>
      </c>
      <c r="V734" t="b">
        <v>1</v>
      </c>
      <c r="X734" t="b">
        <v>1</v>
      </c>
      <c r="Z734" t="n">
        <v>935</v>
      </c>
      <c r="AA734" t="n">
        <v>2.5</v>
      </c>
      <c r="AB734" t="n">
        <v>9.5</v>
      </c>
    </row>
    <row r="735">
      <c r="A735" t="inlineStr">
        <is>
          <t>2026-09-24 14:41:47</t>
        </is>
      </c>
      <c r="B735" t="inlineStr">
        <is>
          <t>MLLB_000_y1.0.3</t>
        </is>
      </c>
      <c r="C735" t="inlineStr">
        <is>
          <t>WHITE</t>
        </is>
      </c>
      <c r="D735" t="inlineStr">
        <is>
          <t>v4_white_MLLB_000_y103_0924</t>
        </is>
      </c>
      <c r="E735" t="n">
        <v>3.6</v>
      </c>
      <c r="F735" t="n">
        <v>3.608</v>
      </c>
      <c r="G735" t="n">
        <v>100</v>
      </c>
      <c r="H735" t="n">
        <v>60</v>
      </c>
      <c r="I735" t="n">
        <v>16</v>
      </c>
      <c r="J735" t="inlineStr">
        <is>
          <t>kaba</t>
        </is>
      </c>
      <c r="K735" t="b">
        <v>1</v>
      </c>
      <c r="M735" t="n">
        <v>30</v>
      </c>
      <c r="N735" t="n">
        <v>28</v>
      </c>
      <c r="O735" t="n">
        <v>10</v>
      </c>
      <c r="P735" t="n">
        <v>972</v>
      </c>
      <c r="Q735" t="n">
        <v>1002</v>
      </c>
      <c r="R735" t="n">
        <v>1.074</v>
      </c>
      <c r="S735" t="n">
        <v>245.405</v>
      </c>
      <c r="T735" t="n">
        <v>228.425</v>
      </c>
      <c r="U735" t="n">
        <v>0.7776</v>
      </c>
      <c r="V735" t="b">
        <v>1</v>
      </c>
      <c r="X735" t="b">
        <v>1</v>
      </c>
      <c r="Z735" t="n">
        <v>935</v>
      </c>
      <c r="AA735" t="n">
        <v>2.5</v>
      </c>
      <c r="AB735" t="n">
        <v>9.5</v>
      </c>
    </row>
    <row r="736">
      <c r="A736" t="inlineStr">
        <is>
          <t>2026-09-24 14:42:03</t>
        </is>
      </c>
      <c r="B736" t="inlineStr">
        <is>
          <t>MLLB_000_y1.0.3</t>
        </is>
      </c>
      <c r="C736" t="inlineStr">
        <is>
          <t>WHITE</t>
        </is>
      </c>
      <c r="D736" t="inlineStr">
        <is>
          <t>v4_white_MLLB_000_y103_0924</t>
        </is>
      </c>
      <c r="E736" t="n">
        <v>3.6</v>
      </c>
      <c r="F736" t="n">
        <v>3.608</v>
      </c>
      <c r="G736" t="n">
        <v>100</v>
      </c>
      <c r="H736" t="n">
        <v>60</v>
      </c>
      <c r="I736" t="n">
        <v>20</v>
      </c>
      <c r="J736" t="inlineStr">
        <is>
          <t>kaba</t>
        </is>
      </c>
      <c r="K736" t="b">
        <v>1</v>
      </c>
      <c r="M736" t="n">
        <v>30</v>
      </c>
      <c r="N736" t="n">
        <v>28</v>
      </c>
      <c r="O736" t="n">
        <v>10</v>
      </c>
      <c r="P736" t="n">
        <v>972</v>
      </c>
      <c r="Q736" t="n">
        <v>1002</v>
      </c>
      <c r="R736" t="n">
        <v>1.082</v>
      </c>
      <c r="S736" t="n">
        <v>246.947</v>
      </c>
      <c r="T736" t="n">
        <v>228.268</v>
      </c>
      <c r="U736" t="n">
        <v>0.7779</v>
      </c>
      <c r="V736" t="b">
        <v>1</v>
      </c>
      <c r="X736" t="b">
        <v>1</v>
      </c>
      <c r="Z736" t="n">
        <v>935</v>
      </c>
      <c r="AA736" t="n">
        <v>2.5</v>
      </c>
      <c r="AB736" t="n">
        <v>9.5</v>
      </c>
    </row>
    <row r="737">
      <c r="A737" t="inlineStr">
        <is>
          <t>2026-09-24 14:42:19</t>
        </is>
      </c>
      <c r="B737" t="inlineStr">
        <is>
          <t>MLLB_000_y1.0.3</t>
        </is>
      </c>
      <c r="C737" t="inlineStr">
        <is>
          <t>WHITE</t>
        </is>
      </c>
      <c r="D737" t="inlineStr">
        <is>
          <t>v4_white_MLLB_000_y103_0924</t>
        </is>
      </c>
      <c r="E737" t="n">
        <v>3.6</v>
      </c>
      <c r="F737" t="n">
        <v>3.608</v>
      </c>
      <c r="G737" t="n">
        <v>100</v>
      </c>
      <c r="H737" t="n">
        <v>60</v>
      </c>
      <c r="I737" t="n">
        <v>24</v>
      </c>
      <c r="J737" t="inlineStr">
        <is>
          <t>kaba</t>
        </is>
      </c>
      <c r="K737" t="b">
        <v>1</v>
      </c>
      <c r="M737" t="n">
        <v>30</v>
      </c>
      <c r="N737" t="n">
        <v>28</v>
      </c>
      <c r="O737" t="n">
        <v>10</v>
      </c>
      <c r="P737" t="n">
        <v>972</v>
      </c>
      <c r="Q737" t="n">
        <v>1002</v>
      </c>
      <c r="R737" t="n">
        <v>1.081</v>
      </c>
      <c r="S737" t="n">
        <v>246.947</v>
      </c>
      <c r="T737" t="n">
        <v>228.375</v>
      </c>
      <c r="U737" t="n">
        <v>0.7778</v>
      </c>
      <c r="V737" t="b">
        <v>1</v>
      </c>
      <c r="X737" t="b">
        <v>1</v>
      </c>
      <c r="Z737" t="n">
        <v>935</v>
      </c>
      <c r="AA737" t="n">
        <v>2.5</v>
      </c>
      <c r="AB737" t="n">
        <v>9.5</v>
      </c>
    </row>
    <row r="738">
      <c r="A738" t="inlineStr">
        <is>
          <t>2026-09-24 14:42:36</t>
        </is>
      </c>
      <c r="B738" t="inlineStr">
        <is>
          <t>MLLB_000_y1.0.3</t>
        </is>
      </c>
      <c r="C738" t="inlineStr">
        <is>
          <t>WHITE</t>
        </is>
      </c>
      <c r="D738" t="inlineStr">
        <is>
          <t>v4_white_MLLB_000_y103_0924</t>
        </is>
      </c>
      <c r="E738" t="n">
        <v>3.6</v>
      </c>
      <c r="F738" t="n">
        <v>3.608</v>
      </c>
      <c r="G738" t="n">
        <v>100</v>
      </c>
      <c r="H738" t="n">
        <v>60</v>
      </c>
      <c r="I738" t="n">
        <v>28</v>
      </c>
      <c r="J738" t="inlineStr">
        <is>
          <t>kaba</t>
        </is>
      </c>
      <c r="K738" t="b">
        <v>1</v>
      </c>
      <c r="M738" t="n">
        <v>30</v>
      </c>
      <c r="N738" t="n">
        <v>28</v>
      </c>
      <c r="O738" t="n">
        <v>10</v>
      </c>
      <c r="P738" t="n">
        <v>972</v>
      </c>
      <c r="Q738" t="n">
        <v>1002</v>
      </c>
      <c r="R738" t="n">
        <v>1.081</v>
      </c>
      <c r="S738" t="n">
        <v>247.215</v>
      </c>
      <c r="T738" t="n">
        <v>228.701</v>
      </c>
      <c r="U738" t="n">
        <v>0.7783</v>
      </c>
      <c r="V738" t="b">
        <v>1</v>
      </c>
      <c r="X738" t="b">
        <v>1</v>
      </c>
      <c r="Z738" t="n">
        <v>935</v>
      </c>
      <c r="AA738" t="n">
        <v>2.5</v>
      </c>
      <c r="AB738" t="n">
        <v>9.5</v>
      </c>
    </row>
    <row r="739">
      <c r="A739" t="inlineStr">
        <is>
          <t>2026-09-24 14:42:51</t>
        </is>
      </c>
      <c r="B739" t="inlineStr">
        <is>
          <t>MLLB_000_y1.0.3</t>
        </is>
      </c>
      <c r="C739" t="inlineStr">
        <is>
          <t>WHITE</t>
        </is>
      </c>
      <c r="D739" t="inlineStr">
        <is>
          <t>v4_white_MLLB_000_y103_0924</t>
        </is>
      </c>
      <c r="E739" t="n">
        <v>3.6</v>
      </c>
      <c r="F739" t="n">
        <v>3.608</v>
      </c>
      <c r="G739" t="n">
        <v>100</v>
      </c>
      <c r="H739" t="n">
        <v>60</v>
      </c>
      <c r="I739" t="n">
        <v>32</v>
      </c>
      <c r="J739" t="inlineStr">
        <is>
          <t>kaba</t>
        </is>
      </c>
      <c r="K739" t="b">
        <v>1</v>
      </c>
      <c r="M739" t="n">
        <v>30</v>
      </c>
      <c r="N739" t="n">
        <v>28</v>
      </c>
      <c r="O739" t="n">
        <v>10</v>
      </c>
      <c r="P739" t="n">
        <v>972</v>
      </c>
      <c r="Q739" t="n">
        <v>1002</v>
      </c>
      <c r="R739" t="n">
        <v>1.08</v>
      </c>
      <c r="S739" t="n">
        <v>246.947</v>
      </c>
      <c r="T739" t="n">
        <v>228.575</v>
      </c>
      <c r="U739" t="n">
        <v>0.7778</v>
      </c>
      <c r="V739" t="b">
        <v>1</v>
      </c>
      <c r="X739" t="b">
        <v>1</v>
      </c>
      <c r="Z739" t="n">
        <v>935</v>
      </c>
      <c r="AA739" t="n">
        <v>2.5</v>
      </c>
      <c r="AB739" t="n">
        <v>9.5</v>
      </c>
    </row>
    <row r="740">
      <c r="A740" t="inlineStr">
        <is>
          <t>2026-09-24 14:43:07</t>
        </is>
      </c>
      <c r="B740" t="inlineStr">
        <is>
          <t>MLLB_000_y1.0.3</t>
        </is>
      </c>
      <c r="C740" t="inlineStr">
        <is>
          <t>WHITE</t>
        </is>
      </c>
      <c r="D740" t="inlineStr">
        <is>
          <t>v4_white_MLLB_000_y103_0924</t>
        </is>
      </c>
      <c r="E740" t="n">
        <v>3.6</v>
      </c>
      <c r="F740" t="n">
        <v>3.608</v>
      </c>
      <c r="G740" t="n">
        <v>100</v>
      </c>
      <c r="H740" t="n">
        <v>60</v>
      </c>
      <c r="I740" t="n">
        <v>36</v>
      </c>
      <c r="J740" t="inlineStr">
        <is>
          <t>kaba</t>
        </is>
      </c>
      <c r="K740" t="b">
        <v>1</v>
      </c>
      <c r="M740" t="n">
        <v>30</v>
      </c>
      <c r="N740" t="n">
        <v>28</v>
      </c>
      <c r="O740" t="n">
        <v>10</v>
      </c>
      <c r="P740" t="n">
        <v>972</v>
      </c>
      <c r="Q740" t="n">
        <v>1002</v>
      </c>
      <c r="R740" t="n">
        <v>1.08</v>
      </c>
      <c r="S740" t="n">
        <v>246.947</v>
      </c>
      <c r="T740" t="n">
        <v>228.578</v>
      </c>
      <c r="U740" t="n">
        <v>0.7778</v>
      </c>
      <c r="V740" t="b">
        <v>1</v>
      </c>
      <c r="X740" t="b">
        <v>1</v>
      </c>
      <c r="Z740" t="n">
        <v>935</v>
      </c>
      <c r="AA740" t="n">
        <v>2.5</v>
      </c>
      <c r="AB740" t="n">
        <v>9.5</v>
      </c>
    </row>
    <row r="741">
      <c r="A741" t="inlineStr">
        <is>
          <t>2026-09-24 14:43:23</t>
        </is>
      </c>
      <c r="B741" t="inlineStr">
        <is>
          <t>MLLB_000_y1.0.3</t>
        </is>
      </c>
      <c r="C741" t="inlineStr">
        <is>
          <t>WHITE</t>
        </is>
      </c>
      <c r="D741" t="inlineStr">
        <is>
          <t>v4_white_MLLB_000_y103_0924</t>
        </is>
      </c>
      <c r="E741" t="n">
        <v>3.6</v>
      </c>
      <c r="F741" t="n">
        <v>3.608</v>
      </c>
      <c r="G741" t="n">
        <v>100</v>
      </c>
      <c r="H741" t="n">
        <v>60</v>
      </c>
      <c r="I741" t="n">
        <v>40</v>
      </c>
      <c r="J741" t="inlineStr">
        <is>
          <t>kaba</t>
        </is>
      </c>
      <c r="K741" t="b">
        <v>1</v>
      </c>
      <c r="M741" t="n">
        <v>30</v>
      </c>
      <c r="N741" t="n">
        <v>28</v>
      </c>
      <c r="O741" t="n">
        <v>10</v>
      </c>
      <c r="P741" t="n">
        <v>972</v>
      </c>
      <c r="Q741" t="n">
        <v>1002</v>
      </c>
      <c r="R741" t="n">
        <v>1.081</v>
      </c>
      <c r="S741" t="n">
        <v>246.947</v>
      </c>
      <c r="T741" t="n">
        <v>228.495</v>
      </c>
      <c r="U741" t="n">
        <v>0.7778</v>
      </c>
      <c r="V741" t="b">
        <v>1</v>
      </c>
      <c r="X741" t="b">
        <v>1</v>
      </c>
      <c r="Z741" t="n">
        <v>935</v>
      </c>
      <c r="AA741" t="n">
        <v>2.5</v>
      </c>
      <c r="AB741" t="n">
        <v>9.5</v>
      </c>
    </row>
    <row r="742">
      <c r="A742" t="inlineStr">
        <is>
          <t>2026-09-24 14:43:40</t>
        </is>
      </c>
      <c r="B742" t="inlineStr">
        <is>
          <t>MLLB_000_y1.0.3</t>
        </is>
      </c>
      <c r="C742" t="inlineStr">
        <is>
          <t>WHITE</t>
        </is>
      </c>
      <c r="D742" t="inlineStr">
        <is>
          <t>v4_white_MLLB_000_y103_0924</t>
        </is>
      </c>
      <c r="E742" t="n">
        <v>3.6</v>
      </c>
      <c r="F742" t="n">
        <v>3.608</v>
      </c>
      <c r="G742" t="n">
        <v>100</v>
      </c>
      <c r="H742" t="n">
        <v>60</v>
      </c>
      <c r="I742" t="n">
        <v>44</v>
      </c>
      <c r="J742" t="inlineStr">
        <is>
          <t>kaba</t>
        </is>
      </c>
      <c r="K742" t="b">
        <v>1</v>
      </c>
      <c r="M742" t="n">
        <v>30</v>
      </c>
      <c r="N742" t="n">
        <v>28</v>
      </c>
      <c r="O742" t="n">
        <v>10</v>
      </c>
      <c r="P742" t="n">
        <v>972</v>
      </c>
      <c r="Q742" t="n">
        <v>1002</v>
      </c>
      <c r="R742" t="n">
        <v>1.074</v>
      </c>
      <c r="S742" t="n">
        <v>245.487</v>
      </c>
      <c r="T742" t="n">
        <v>228.581</v>
      </c>
      <c r="U742" t="n">
        <v>0.7774</v>
      </c>
      <c r="V742" t="b">
        <v>1</v>
      </c>
      <c r="X742" t="b">
        <v>1</v>
      </c>
      <c r="Z742" t="n">
        <v>935</v>
      </c>
      <c r="AA742" t="n">
        <v>2.5</v>
      </c>
      <c r="AB742" t="n">
        <v>9.5</v>
      </c>
    </row>
    <row r="743">
      <c r="A743" t="inlineStr">
        <is>
          <t>2026-09-24 14:43:55</t>
        </is>
      </c>
      <c r="B743" t="inlineStr">
        <is>
          <t>MLLB_000_y1.0.3</t>
        </is>
      </c>
      <c r="C743" t="inlineStr">
        <is>
          <t>WHITE</t>
        </is>
      </c>
      <c r="D743" t="inlineStr">
        <is>
          <t>v4_white_MLLB_000_y103_0924</t>
        </is>
      </c>
      <c r="E743" t="n">
        <v>3.6</v>
      </c>
      <c r="F743" t="n">
        <v>3.608</v>
      </c>
      <c r="G743" t="n">
        <v>100</v>
      </c>
      <c r="H743" t="n">
        <v>60</v>
      </c>
      <c r="I743" t="n">
        <v>48</v>
      </c>
      <c r="J743" t="inlineStr">
        <is>
          <t>kaba</t>
        </is>
      </c>
      <c r="K743" t="b">
        <v>1</v>
      </c>
      <c r="M743" t="n">
        <v>30</v>
      </c>
      <c r="N743" t="n">
        <v>28</v>
      </c>
      <c r="O743" t="n">
        <v>10</v>
      </c>
      <c r="P743" t="n">
        <v>972</v>
      </c>
      <c r="Q743" t="n">
        <v>1002</v>
      </c>
      <c r="R743" t="n">
        <v>1.08</v>
      </c>
      <c r="S743" t="n">
        <v>246.947</v>
      </c>
      <c r="T743" t="n">
        <v>228.581</v>
      </c>
      <c r="U743" t="n">
        <v>0.7775</v>
      </c>
      <c r="V743" t="b">
        <v>1</v>
      </c>
      <c r="X743" t="b">
        <v>1</v>
      </c>
      <c r="Z743" t="n">
        <v>935</v>
      </c>
      <c r="AA743" t="n">
        <v>2.5</v>
      </c>
      <c r="AB743" t="n">
        <v>9.5</v>
      </c>
    </row>
    <row r="744">
      <c r="A744" t="inlineStr">
        <is>
          <t>2026-09-24 14:44:11</t>
        </is>
      </c>
      <c r="B744" t="inlineStr">
        <is>
          <t>MLLB_000_y1.0.3</t>
        </is>
      </c>
      <c r="C744" t="inlineStr">
        <is>
          <t>WHITE</t>
        </is>
      </c>
      <c r="D744" t="inlineStr">
        <is>
          <t>v4_white_MLLB_000_y103_0924</t>
        </is>
      </c>
      <c r="E744" t="n">
        <v>3.6</v>
      </c>
      <c r="F744" t="n">
        <v>3.608</v>
      </c>
      <c r="G744" t="n">
        <v>100</v>
      </c>
      <c r="H744" t="n">
        <v>60</v>
      </c>
      <c r="I744" t="n">
        <v>52</v>
      </c>
      <c r="J744" t="inlineStr">
        <is>
          <t>kaba</t>
        </is>
      </c>
      <c r="K744" t="b">
        <v>1</v>
      </c>
      <c r="M744" t="n">
        <v>30</v>
      </c>
      <c r="N744" t="n">
        <v>28</v>
      </c>
      <c r="O744" t="n">
        <v>10</v>
      </c>
      <c r="P744" t="n">
        <v>972</v>
      </c>
      <c r="Q744" t="n">
        <v>1002</v>
      </c>
      <c r="R744" t="n">
        <v>1.08</v>
      </c>
      <c r="S744" t="n">
        <v>246.947</v>
      </c>
      <c r="T744" t="n">
        <v>228.73</v>
      </c>
      <c r="U744" t="n">
        <v>0.7776</v>
      </c>
      <c r="V744" t="b">
        <v>1</v>
      </c>
      <c r="X744" t="b">
        <v>1</v>
      </c>
      <c r="Z744" t="n">
        <v>935</v>
      </c>
      <c r="AA744" t="n">
        <v>2.5</v>
      </c>
      <c r="AB744" t="n">
        <v>9.5</v>
      </c>
    </row>
    <row r="745">
      <c r="A745" t="inlineStr">
        <is>
          <t>2026-09-24 14:44:27</t>
        </is>
      </c>
      <c r="B745" t="inlineStr">
        <is>
          <t>MLLB_000_y1.0.3</t>
        </is>
      </c>
      <c r="C745" t="inlineStr">
        <is>
          <t>WHITE</t>
        </is>
      </c>
      <c r="D745" t="inlineStr">
        <is>
          <t>v4_white_MLLB_000_y103_0924</t>
        </is>
      </c>
      <c r="E745" t="n">
        <v>3.6</v>
      </c>
      <c r="F745" t="n">
        <v>3.608</v>
      </c>
      <c r="G745" t="n">
        <v>100</v>
      </c>
      <c r="H745" t="n">
        <v>60</v>
      </c>
      <c r="I745" t="n">
        <v>56</v>
      </c>
      <c r="J745" t="inlineStr">
        <is>
          <t>kaba</t>
        </is>
      </c>
      <c r="K745" t="b">
        <v>1</v>
      </c>
      <c r="M745" t="n">
        <v>30</v>
      </c>
      <c r="N745" t="n">
        <v>28</v>
      </c>
      <c r="O745" t="n">
        <v>10</v>
      </c>
      <c r="P745" t="n">
        <v>972</v>
      </c>
      <c r="Q745" t="n">
        <v>1002</v>
      </c>
      <c r="R745" t="n">
        <v>1.081</v>
      </c>
      <c r="S745" t="n">
        <v>246.947</v>
      </c>
      <c r="T745" t="n">
        <v>228.545</v>
      </c>
      <c r="U745" t="n">
        <v>0.7781</v>
      </c>
      <c r="V745" t="b">
        <v>1</v>
      </c>
      <c r="X745" t="b">
        <v>1</v>
      </c>
      <c r="Z745" t="n">
        <v>935</v>
      </c>
      <c r="AA745" t="n">
        <v>2.5</v>
      </c>
      <c r="AB745" t="n">
        <v>9.5</v>
      </c>
    </row>
    <row r="746">
      <c r="A746" t="inlineStr">
        <is>
          <t>2026-09-24 14:44:43</t>
        </is>
      </c>
      <c r="B746" t="inlineStr">
        <is>
          <t>MLLB_000_y1.0.3</t>
        </is>
      </c>
      <c r="C746" t="inlineStr">
        <is>
          <t>WHITE</t>
        </is>
      </c>
      <c r="D746" t="inlineStr">
        <is>
          <t>v4_white_MLLB_000_y103_0924</t>
        </is>
      </c>
      <c r="E746" t="n">
        <v>3.6</v>
      </c>
      <c r="F746" t="n">
        <v>3.608</v>
      </c>
      <c r="G746" t="n">
        <v>100</v>
      </c>
      <c r="H746" t="n">
        <v>60</v>
      </c>
      <c r="I746" t="n">
        <v>58</v>
      </c>
      <c r="J746" t="inlineStr">
        <is>
          <t>kaba</t>
        </is>
      </c>
      <c r="K746" t="b">
        <v>1</v>
      </c>
      <c r="M746" t="n">
        <v>30</v>
      </c>
      <c r="N746" t="n">
        <v>28</v>
      </c>
      <c r="O746" t="n">
        <v>10</v>
      </c>
      <c r="P746" t="n">
        <v>972</v>
      </c>
      <c r="Q746" t="n">
        <v>1002</v>
      </c>
      <c r="R746" t="n">
        <v>1.081</v>
      </c>
      <c r="S746" t="n">
        <v>246.947</v>
      </c>
      <c r="T746" t="n">
        <v>228.535</v>
      </c>
      <c r="U746" t="n">
        <v>0.7778</v>
      </c>
      <c r="V746" t="b">
        <v>1</v>
      </c>
      <c r="X746" t="b">
        <v>1</v>
      </c>
      <c r="Z746" t="n">
        <v>935</v>
      </c>
      <c r="AA746" t="n">
        <v>2.5</v>
      </c>
      <c r="AB746" t="n">
        <v>9.5</v>
      </c>
    </row>
    <row r="747">
      <c r="A747" t="inlineStr">
        <is>
          <t>2026-09-24 14:44:44</t>
        </is>
      </c>
      <c r="B747" t="inlineStr">
        <is>
          <t>MLLB_000_y1.0.3</t>
        </is>
      </c>
      <c r="C747" t="inlineStr">
        <is>
          <t>WHITE</t>
        </is>
      </c>
      <c r="D747" t="inlineStr">
        <is>
          <t>v4_white_MLLB_000_y103_0924</t>
        </is>
      </c>
      <c r="E747" t="n">
        <v>3.6</v>
      </c>
      <c r="F747" t="n">
        <v>3.608</v>
      </c>
      <c r="G747" t="n">
        <v>100</v>
      </c>
      <c r="H747" t="n">
        <v>60</v>
      </c>
      <c r="I747" t="n">
        <v>13</v>
      </c>
      <c r="J747" t="inlineStr">
        <is>
          <t>ince</t>
        </is>
      </c>
      <c r="K747" t="b">
        <v>0</v>
      </c>
      <c r="L747" t="inlineStr">
        <is>
          <t>iki-OK-arasi-monotonluk</t>
        </is>
      </c>
      <c r="X747" t="b">
        <v>1</v>
      </c>
      <c r="Z747" t="n">
        <v>935</v>
      </c>
      <c r="AA747" t="n">
        <v>2.5</v>
      </c>
      <c r="AB747" t="n">
        <v>9.5</v>
      </c>
    </row>
    <row r="748">
      <c r="A748" t="inlineStr">
        <is>
          <t>2026-09-24 14:44:44</t>
        </is>
      </c>
      <c r="B748" t="inlineStr">
        <is>
          <t>MLLB_000_y1.0.3</t>
        </is>
      </c>
      <c r="C748" t="inlineStr">
        <is>
          <t>WHITE</t>
        </is>
      </c>
      <c r="D748" t="inlineStr">
        <is>
          <t>v4_white_MLLB_000_y103_0924</t>
        </is>
      </c>
      <c r="E748" t="n">
        <v>3.6</v>
      </c>
      <c r="F748" t="n">
        <v>3.608</v>
      </c>
      <c r="G748" t="n">
        <v>100</v>
      </c>
      <c r="H748" t="n">
        <v>60</v>
      </c>
      <c r="I748" t="n">
        <v>14</v>
      </c>
      <c r="J748" t="inlineStr">
        <is>
          <t>ince</t>
        </is>
      </c>
      <c r="K748" t="b">
        <v>0</v>
      </c>
      <c r="L748" t="inlineStr">
        <is>
          <t>iki-OK-arasi-monotonluk</t>
        </is>
      </c>
      <c r="X748" t="b">
        <v>1</v>
      </c>
      <c r="Z748" t="n">
        <v>935</v>
      </c>
      <c r="AA748" t="n">
        <v>2.5</v>
      </c>
      <c r="AB748" t="n">
        <v>9.5</v>
      </c>
    </row>
    <row r="749">
      <c r="A749" t="inlineStr">
        <is>
          <t>2026-09-24 14:44:44</t>
        </is>
      </c>
      <c r="B749" t="inlineStr">
        <is>
          <t>MLLB_000_y1.0.3</t>
        </is>
      </c>
      <c r="C749" t="inlineStr">
        <is>
          <t>WHITE</t>
        </is>
      </c>
      <c r="D749" t="inlineStr">
        <is>
          <t>v4_white_MLLB_000_y103_0924</t>
        </is>
      </c>
      <c r="E749" t="n">
        <v>3.6</v>
      </c>
      <c r="F749" t="n">
        <v>3.608</v>
      </c>
      <c r="G749" t="n">
        <v>100</v>
      </c>
      <c r="H749" t="n">
        <v>60</v>
      </c>
      <c r="I749" t="n">
        <v>15</v>
      </c>
      <c r="J749" t="inlineStr">
        <is>
          <t>ince</t>
        </is>
      </c>
      <c r="K749" t="b">
        <v>0</v>
      </c>
      <c r="L749" t="inlineStr">
        <is>
          <t>iki-OK-arasi-monotonluk</t>
        </is>
      </c>
      <c r="X749" t="b">
        <v>1</v>
      </c>
      <c r="Z749" t="n">
        <v>935</v>
      </c>
      <c r="AA749" t="n">
        <v>2.5</v>
      </c>
      <c r="AB749" t="n">
        <v>9.5</v>
      </c>
    </row>
    <row r="750">
      <c r="A750" t="inlineStr">
        <is>
          <t>2026-09-24 14:44:44</t>
        </is>
      </c>
      <c r="B750" t="inlineStr">
        <is>
          <t>MLLB_000_y1.0.3</t>
        </is>
      </c>
      <c r="C750" t="inlineStr">
        <is>
          <t>WHITE</t>
        </is>
      </c>
      <c r="D750" t="inlineStr">
        <is>
          <t>v4_white_MLLB_000_y103_0924</t>
        </is>
      </c>
      <c r="E750" t="n">
        <v>3.6</v>
      </c>
      <c r="F750" t="n">
        <v>3.608</v>
      </c>
      <c r="G750" t="n">
        <v>100</v>
      </c>
      <c r="H750" t="n">
        <v>60</v>
      </c>
      <c r="I750" t="n">
        <v>17</v>
      </c>
      <c r="J750" t="inlineStr">
        <is>
          <t>ince</t>
        </is>
      </c>
      <c r="K750" t="b">
        <v>0</v>
      </c>
      <c r="L750" t="inlineStr">
        <is>
          <t>iki-OK-arasi-monotonluk</t>
        </is>
      </c>
      <c r="X750" t="b">
        <v>1</v>
      </c>
      <c r="Z750" t="n">
        <v>935</v>
      </c>
      <c r="AA750" t="n">
        <v>2.5</v>
      </c>
      <c r="AB750" t="n">
        <v>9.5</v>
      </c>
    </row>
    <row r="751">
      <c r="A751" t="inlineStr">
        <is>
          <t>2026-09-24 14:44:44</t>
        </is>
      </c>
      <c r="B751" t="inlineStr">
        <is>
          <t>MLLB_000_y1.0.3</t>
        </is>
      </c>
      <c r="C751" t="inlineStr">
        <is>
          <t>WHITE</t>
        </is>
      </c>
      <c r="D751" t="inlineStr">
        <is>
          <t>v4_white_MLLB_000_y103_0924</t>
        </is>
      </c>
      <c r="E751" t="n">
        <v>3.6</v>
      </c>
      <c r="F751" t="n">
        <v>3.608</v>
      </c>
      <c r="G751" t="n">
        <v>100</v>
      </c>
      <c r="H751" t="n">
        <v>60</v>
      </c>
      <c r="I751" t="n">
        <v>18</v>
      </c>
      <c r="J751" t="inlineStr">
        <is>
          <t>ince</t>
        </is>
      </c>
      <c r="K751" t="b">
        <v>0</v>
      </c>
      <c r="L751" t="inlineStr">
        <is>
          <t>iki-OK-arasi-monotonluk</t>
        </is>
      </c>
      <c r="X751" t="b">
        <v>1</v>
      </c>
      <c r="Z751" t="n">
        <v>935</v>
      </c>
      <c r="AA751" t="n">
        <v>2.5</v>
      </c>
      <c r="AB751" t="n">
        <v>9.5</v>
      </c>
    </row>
    <row r="752">
      <c r="A752" t="inlineStr">
        <is>
          <t>2026-09-24 14:44:44</t>
        </is>
      </c>
      <c r="B752" t="inlineStr">
        <is>
          <t>MLLB_000_y1.0.3</t>
        </is>
      </c>
      <c r="C752" t="inlineStr">
        <is>
          <t>WHITE</t>
        </is>
      </c>
      <c r="D752" t="inlineStr">
        <is>
          <t>v4_white_MLLB_000_y103_0924</t>
        </is>
      </c>
      <c r="E752" t="n">
        <v>3.6</v>
      </c>
      <c r="F752" t="n">
        <v>3.608</v>
      </c>
      <c r="G752" t="n">
        <v>100</v>
      </c>
      <c r="H752" t="n">
        <v>60</v>
      </c>
      <c r="I752" t="n">
        <v>19</v>
      </c>
      <c r="J752" t="inlineStr">
        <is>
          <t>ince</t>
        </is>
      </c>
      <c r="K752" t="b">
        <v>0</v>
      </c>
      <c r="L752" t="inlineStr">
        <is>
          <t>iki-OK-arasi-monotonluk</t>
        </is>
      </c>
      <c r="X752" t="b">
        <v>1</v>
      </c>
      <c r="Z752" t="n">
        <v>935</v>
      </c>
      <c r="AA752" t="n">
        <v>2.5</v>
      </c>
      <c r="AB752" t="n">
        <v>9.5</v>
      </c>
    </row>
    <row r="753">
      <c r="A753" t="inlineStr">
        <is>
          <t>2026-09-24 14:44:44</t>
        </is>
      </c>
      <c r="B753" t="inlineStr">
        <is>
          <t>MLLB_000_y1.0.3</t>
        </is>
      </c>
      <c r="C753" t="inlineStr">
        <is>
          <t>WHITE</t>
        </is>
      </c>
      <c r="D753" t="inlineStr">
        <is>
          <t>v4_white_MLLB_000_y103_0924</t>
        </is>
      </c>
      <c r="E753" t="n">
        <v>3.6</v>
      </c>
      <c r="F753" t="n">
        <v>3.608</v>
      </c>
      <c r="G753" t="n">
        <v>100</v>
      </c>
      <c r="H753" t="n">
        <v>60</v>
      </c>
      <c r="I753" t="n">
        <v>21</v>
      </c>
      <c r="J753" t="inlineStr">
        <is>
          <t>ince</t>
        </is>
      </c>
      <c r="K753" t="b">
        <v>0</v>
      </c>
      <c r="L753" t="inlineStr">
        <is>
          <t>iki-OK-arasi-monotonluk</t>
        </is>
      </c>
      <c r="X753" t="b">
        <v>1</v>
      </c>
      <c r="Z753" t="n">
        <v>935</v>
      </c>
      <c r="AA753" t="n">
        <v>2.5</v>
      </c>
      <c r="AB753" t="n">
        <v>9.5</v>
      </c>
    </row>
    <row r="754">
      <c r="A754" t="inlineStr">
        <is>
          <t>2026-09-24 14:44:44</t>
        </is>
      </c>
      <c r="B754" t="inlineStr">
        <is>
          <t>MLLB_000_y1.0.3</t>
        </is>
      </c>
      <c r="C754" t="inlineStr">
        <is>
          <t>WHITE</t>
        </is>
      </c>
      <c r="D754" t="inlineStr">
        <is>
          <t>v4_white_MLLB_000_y103_0924</t>
        </is>
      </c>
      <c r="E754" t="n">
        <v>3.6</v>
      </c>
      <c r="F754" t="n">
        <v>3.608</v>
      </c>
      <c r="G754" t="n">
        <v>100</v>
      </c>
      <c r="H754" t="n">
        <v>60</v>
      </c>
      <c r="I754" t="n">
        <v>22</v>
      </c>
      <c r="J754" t="inlineStr">
        <is>
          <t>ince</t>
        </is>
      </c>
      <c r="K754" t="b">
        <v>0</v>
      </c>
      <c r="L754" t="inlineStr">
        <is>
          <t>iki-OK-arasi-monotonluk</t>
        </is>
      </c>
      <c r="X754" t="b">
        <v>1</v>
      </c>
      <c r="Z754" t="n">
        <v>935</v>
      </c>
      <c r="AA754" t="n">
        <v>2.5</v>
      </c>
      <c r="AB754" t="n">
        <v>9.5</v>
      </c>
    </row>
    <row r="755">
      <c r="A755" t="inlineStr">
        <is>
          <t>2026-09-24 14:44:44</t>
        </is>
      </c>
      <c r="B755" t="inlineStr">
        <is>
          <t>MLLB_000_y1.0.3</t>
        </is>
      </c>
      <c r="C755" t="inlineStr">
        <is>
          <t>WHITE</t>
        </is>
      </c>
      <c r="D755" t="inlineStr">
        <is>
          <t>v4_white_MLLB_000_y103_0924</t>
        </is>
      </c>
      <c r="E755" t="n">
        <v>3.6</v>
      </c>
      <c r="F755" t="n">
        <v>3.608</v>
      </c>
      <c r="G755" t="n">
        <v>100</v>
      </c>
      <c r="H755" t="n">
        <v>60</v>
      </c>
      <c r="I755" t="n">
        <v>23</v>
      </c>
      <c r="J755" t="inlineStr">
        <is>
          <t>ince</t>
        </is>
      </c>
      <c r="K755" t="b">
        <v>0</v>
      </c>
      <c r="L755" t="inlineStr">
        <is>
          <t>iki-OK-arasi-monotonluk</t>
        </is>
      </c>
      <c r="X755" t="b">
        <v>1</v>
      </c>
      <c r="Z755" t="n">
        <v>935</v>
      </c>
      <c r="AA755" t="n">
        <v>2.5</v>
      </c>
      <c r="AB755" t="n">
        <v>9.5</v>
      </c>
    </row>
    <row r="756">
      <c r="A756" t="inlineStr">
        <is>
          <t>2026-09-24 14:44:44</t>
        </is>
      </c>
      <c r="B756" t="inlineStr">
        <is>
          <t>MLLB_000_y1.0.3</t>
        </is>
      </c>
      <c r="C756" t="inlineStr">
        <is>
          <t>WHITE</t>
        </is>
      </c>
      <c r="D756" t="inlineStr">
        <is>
          <t>v4_white_MLLB_000_y103_0924</t>
        </is>
      </c>
      <c r="E756" t="n">
        <v>3.6</v>
      </c>
      <c r="F756" t="n">
        <v>3.608</v>
      </c>
      <c r="G756" t="n">
        <v>100</v>
      </c>
      <c r="H756" t="n">
        <v>60</v>
      </c>
      <c r="I756" t="n">
        <v>25</v>
      </c>
      <c r="J756" t="inlineStr">
        <is>
          <t>ince</t>
        </is>
      </c>
      <c r="K756" t="b">
        <v>0</v>
      </c>
      <c r="L756" t="inlineStr">
        <is>
          <t>iki-OK-arasi-monotonluk</t>
        </is>
      </c>
      <c r="X756" t="b">
        <v>1</v>
      </c>
      <c r="Z756" t="n">
        <v>935</v>
      </c>
      <c r="AA756" t="n">
        <v>2.5</v>
      </c>
      <c r="AB756" t="n">
        <v>9.5</v>
      </c>
    </row>
    <row r="757">
      <c r="A757" t="inlineStr">
        <is>
          <t>2026-09-24 14:44:44</t>
        </is>
      </c>
      <c r="B757" t="inlineStr">
        <is>
          <t>MLLB_000_y1.0.3</t>
        </is>
      </c>
      <c r="C757" t="inlineStr">
        <is>
          <t>WHITE</t>
        </is>
      </c>
      <c r="D757" t="inlineStr">
        <is>
          <t>v4_white_MLLB_000_y103_0924</t>
        </is>
      </c>
      <c r="E757" t="n">
        <v>3.6</v>
      </c>
      <c r="F757" t="n">
        <v>3.608</v>
      </c>
      <c r="G757" t="n">
        <v>100</v>
      </c>
      <c r="H757" t="n">
        <v>60</v>
      </c>
      <c r="I757" t="n">
        <v>26</v>
      </c>
      <c r="J757" t="inlineStr">
        <is>
          <t>ince</t>
        </is>
      </c>
      <c r="K757" t="b">
        <v>0</v>
      </c>
      <c r="L757" t="inlineStr">
        <is>
          <t>iki-OK-arasi-monotonluk</t>
        </is>
      </c>
      <c r="X757" t="b">
        <v>1</v>
      </c>
      <c r="Z757" t="n">
        <v>935</v>
      </c>
      <c r="AA757" t="n">
        <v>2.5</v>
      </c>
      <c r="AB757" t="n">
        <v>9.5</v>
      </c>
    </row>
    <row r="758">
      <c r="A758" t="inlineStr">
        <is>
          <t>2026-09-24 14:44:44</t>
        </is>
      </c>
      <c r="B758" t="inlineStr">
        <is>
          <t>MLLB_000_y1.0.3</t>
        </is>
      </c>
      <c r="C758" t="inlineStr">
        <is>
          <t>WHITE</t>
        </is>
      </c>
      <c r="D758" t="inlineStr">
        <is>
          <t>v4_white_MLLB_000_y103_0924</t>
        </is>
      </c>
      <c r="E758" t="n">
        <v>3.6</v>
      </c>
      <c r="F758" t="n">
        <v>3.608</v>
      </c>
      <c r="G758" t="n">
        <v>100</v>
      </c>
      <c r="H758" t="n">
        <v>60</v>
      </c>
      <c r="I758" t="n">
        <v>27</v>
      </c>
      <c r="J758" t="inlineStr">
        <is>
          <t>ince</t>
        </is>
      </c>
      <c r="K758" t="b">
        <v>0</v>
      </c>
      <c r="L758" t="inlineStr">
        <is>
          <t>iki-OK-arasi-monotonluk</t>
        </is>
      </c>
      <c r="X758" t="b">
        <v>1</v>
      </c>
      <c r="Z758" t="n">
        <v>935</v>
      </c>
      <c r="AA758" t="n">
        <v>2.5</v>
      </c>
      <c r="AB758" t="n">
        <v>9.5</v>
      </c>
    </row>
    <row r="759">
      <c r="A759" t="inlineStr">
        <is>
          <t>2026-09-24 14:44:44</t>
        </is>
      </c>
      <c r="B759" t="inlineStr">
        <is>
          <t>MLLB_000_y1.0.3</t>
        </is>
      </c>
      <c r="C759" t="inlineStr">
        <is>
          <t>WHITE</t>
        </is>
      </c>
      <c r="D759" t="inlineStr">
        <is>
          <t>v4_white_MLLB_000_y103_0924</t>
        </is>
      </c>
      <c r="E759" t="n">
        <v>3.6</v>
      </c>
      <c r="F759" t="n">
        <v>3.608</v>
      </c>
      <c r="G759" t="n">
        <v>100</v>
      </c>
      <c r="H759" t="n">
        <v>60</v>
      </c>
      <c r="I759" t="n">
        <v>29</v>
      </c>
      <c r="J759" t="inlineStr">
        <is>
          <t>ince</t>
        </is>
      </c>
      <c r="K759" t="b">
        <v>0</v>
      </c>
      <c r="L759" t="inlineStr">
        <is>
          <t>iki-OK-arasi-monotonluk</t>
        </is>
      </c>
      <c r="X759" t="b">
        <v>1</v>
      </c>
      <c r="Z759" t="n">
        <v>935</v>
      </c>
      <c r="AA759" t="n">
        <v>2.5</v>
      </c>
      <c r="AB759" t="n">
        <v>9.5</v>
      </c>
    </row>
    <row r="760">
      <c r="A760" t="inlineStr">
        <is>
          <t>2026-09-24 14:44:44</t>
        </is>
      </c>
      <c r="B760" t="inlineStr">
        <is>
          <t>MLLB_000_y1.0.3</t>
        </is>
      </c>
      <c r="C760" t="inlineStr">
        <is>
          <t>WHITE</t>
        </is>
      </c>
      <c r="D760" t="inlineStr">
        <is>
          <t>v4_white_MLLB_000_y103_0924</t>
        </is>
      </c>
      <c r="E760" t="n">
        <v>3.6</v>
      </c>
      <c r="F760" t="n">
        <v>3.608</v>
      </c>
      <c r="G760" t="n">
        <v>100</v>
      </c>
      <c r="H760" t="n">
        <v>60</v>
      </c>
      <c r="I760" t="n">
        <v>30</v>
      </c>
      <c r="J760" t="inlineStr">
        <is>
          <t>ince</t>
        </is>
      </c>
      <c r="K760" t="b">
        <v>0</v>
      </c>
      <c r="L760" t="inlineStr">
        <is>
          <t>iki-OK-arasi-monotonluk</t>
        </is>
      </c>
      <c r="X760" t="b">
        <v>1</v>
      </c>
      <c r="Z760" t="n">
        <v>935</v>
      </c>
      <c r="AA760" t="n">
        <v>2.5</v>
      </c>
      <c r="AB760" t="n">
        <v>9.5</v>
      </c>
    </row>
    <row r="761">
      <c r="A761" t="inlineStr">
        <is>
          <t>2026-09-24 14:44:44</t>
        </is>
      </c>
      <c r="B761" t="inlineStr">
        <is>
          <t>MLLB_000_y1.0.3</t>
        </is>
      </c>
      <c r="C761" t="inlineStr">
        <is>
          <t>WHITE</t>
        </is>
      </c>
      <c r="D761" t="inlineStr">
        <is>
          <t>v4_white_MLLB_000_y103_0924</t>
        </is>
      </c>
      <c r="E761" t="n">
        <v>3.6</v>
      </c>
      <c r="F761" t="n">
        <v>3.608</v>
      </c>
      <c r="G761" t="n">
        <v>100</v>
      </c>
      <c r="H761" t="n">
        <v>60</v>
      </c>
      <c r="I761" t="n">
        <v>31</v>
      </c>
      <c r="J761" t="inlineStr">
        <is>
          <t>ince</t>
        </is>
      </c>
      <c r="K761" t="b">
        <v>0</v>
      </c>
      <c r="L761" t="inlineStr">
        <is>
          <t>iki-OK-arasi-monotonluk</t>
        </is>
      </c>
      <c r="X761" t="b">
        <v>1</v>
      </c>
      <c r="Z761" t="n">
        <v>935</v>
      </c>
      <c r="AA761" t="n">
        <v>2.5</v>
      </c>
      <c r="AB761" t="n">
        <v>9.5</v>
      </c>
    </row>
    <row r="762">
      <c r="A762" t="inlineStr">
        <is>
          <t>2026-09-24 14:44:44</t>
        </is>
      </c>
      <c r="B762" t="inlineStr">
        <is>
          <t>MLLB_000_y1.0.3</t>
        </is>
      </c>
      <c r="C762" t="inlineStr">
        <is>
          <t>WHITE</t>
        </is>
      </c>
      <c r="D762" t="inlineStr">
        <is>
          <t>v4_white_MLLB_000_y103_0924</t>
        </is>
      </c>
      <c r="E762" t="n">
        <v>3.6</v>
      </c>
      <c r="F762" t="n">
        <v>3.608</v>
      </c>
      <c r="G762" t="n">
        <v>100</v>
      </c>
      <c r="H762" t="n">
        <v>60</v>
      </c>
      <c r="I762" t="n">
        <v>33</v>
      </c>
      <c r="J762" t="inlineStr">
        <is>
          <t>ince</t>
        </is>
      </c>
      <c r="K762" t="b">
        <v>0</v>
      </c>
      <c r="L762" t="inlineStr">
        <is>
          <t>iki-OK-arasi-monotonluk</t>
        </is>
      </c>
      <c r="X762" t="b">
        <v>1</v>
      </c>
      <c r="Z762" t="n">
        <v>935</v>
      </c>
      <c r="AA762" t="n">
        <v>2.5</v>
      </c>
      <c r="AB762" t="n">
        <v>9.5</v>
      </c>
    </row>
    <row r="763">
      <c r="A763" t="inlineStr">
        <is>
          <t>2026-09-24 14:44:44</t>
        </is>
      </c>
      <c r="B763" t="inlineStr">
        <is>
          <t>MLLB_000_y1.0.3</t>
        </is>
      </c>
      <c r="C763" t="inlineStr">
        <is>
          <t>WHITE</t>
        </is>
      </c>
      <c r="D763" t="inlineStr">
        <is>
          <t>v4_white_MLLB_000_y103_0924</t>
        </is>
      </c>
      <c r="E763" t="n">
        <v>3.6</v>
      </c>
      <c r="F763" t="n">
        <v>3.608</v>
      </c>
      <c r="G763" t="n">
        <v>100</v>
      </c>
      <c r="H763" t="n">
        <v>60</v>
      </c>
      <c r="I763" t="n">
        <v>34</v>
      </c>
      <c r="J763" t="inlineStr">
        <is>
          <t>ince</t>
        </is>
      </c>
      <c r="K763" t="b">
        <v>0</v>
      </c>
      <c r="L763" t="inlineStr">
        <is>
          <t>iki-OK-arasi-monotonluk</t>
        </is>
      </c>
      <c r="X763" t="b">
        <v>1</v>
      </c>
      <c r="Z763" t="n">
        <v>935</v>
      </c>
      <c r="AA763" t="n">
        <v>2.5</v>
      </c>
      <c r="AB763" t="n">
        <v>9.5</v>
      </c>
    </row>
    <row r="764">
      <c r="A764" t="inlineStr">
        <is>
          <t>2026-09-24 14:44:44</t>
        </is>
      </c>
      <c r="B764" t="inlineStr">
        <is>
          <t>MLLB_000_y1.0.3</t>
        </is>
      </c>
      <c r="C764" t="inlineStr">
        <is>
          <t>WHITE</t>
        </is>
      </c>
      <c r="D764" t="inlineStr">
        <is>
          <t>v4_white_MLLB_000_y103_0924</t>
        </is>
      </c>
      <c r="E764" t="n">
        <v>3.6</v>
      </c>
      <c r="F764" t="n">
        <v>3.608</v>
      </c>
      <c r="G764" t="n">
        <v>100</v>
      </c>
      <c r="H764" t="n">
        <v>60</v>
      </c>
      <c r="I764" t="n">
        <v>35</v>
      </c>
      <c r="J764" t="inlineStr">
        <is>
          <t>ince</t>
        </is>
      </c>
      <c r="K764" t="b">
        <v>0</v>
      </c>
      <c r="L764" t="inlineStr">
        <is>
          <t>iki-OK-arasi-monotonluk</t>
        </is>
      </c>
      <c r="X764" t="b">
        <v>1</v>
      </c>
      <c r="Z764" t="n">
        <v>935</v>
      </c>
      <c r="AA764" t="n">
        <v>2.5</v>
      </c>
      <c r="AB764" t="n">
        <v>9.5</v>
      </c>
    </row>
    <row r="765">
      <c r="A765" t="inlineStr">
        <is>
          <t>2026-09-24 14:44:44</t>
        </is>
      </c>
      <c r="B765" t="inlineStr">
        <is>
          <t>MLLB_000_y1.0.3</t>
        </is>
      </c>
      <c r="C765" t="inlineStr">
        <is>
          <t>WHITE</t>
        </is>
      </c>
      <c r="D765" t="inlineStr">
        <is>
          <t>v4_white_MLLB_000_y103_0924</t>
        </is>
      </c>
      <c r="E765" t="n">
        <v>3.6</v>
      </c>
      <c r="F765" t="n">
        <v>3.608</v>
      </c>
      <c r="G765" t="n">
        <v>100</v>
      </c>
      <c r="H765" t="n">
        <v>60</v>
      </c>
      <c r="I765" t="n">
        <v>37</v>
      </c>
      <c r="J765" t="inlineStr">
        <is>
          <t>ince</t>
        </is>
      </c>
      <c r="K765" t="b">
        <v>0</v>
      </c>
      <c r="L765" t="inlineStr">
        <is>
          <t>iki-OK-arasi-monotonluk</t>
        </is>
      </c>
      <c r="X765" t="b">
        <v>1</v>
      </c>
      <c r="Z765" t="n">
        <v>935</v>
      </c>
      <c r="AA765" t="n">
        <v>2.5</v>
      </c>
      <c r="AB765" t="n">
        <v>9.5</v>
      </c>
    </row>
    <row r="766">
      <c r="A766" t="inlineStr">
        <is>
          <t>2026-09-24 14:44:44</t>
        </is>
      </c>
      <c r="B766" t="inlineStr">
        <is>
          <t>MLLB_000_y1.0.3</t>
        </is>
      </c>
      <c r="C766" t="inlineStr">
        <is>
          <t>WHITE</t>
        </is>
      </c>
      <c r="D766" t="inlineStr">
        <is>
          <t>v4_white_MLLB_000_y103_0924</t>
        </is>
      </c>
      <c r="E766" t="n">
        <v>3.6</v>
      </c>
      <c r="F766" t="n">
        <v>3.608</v>
      </c>
      <c r="G766" t="n">
        <v>100</v>
      </c>
      <c r="H766" t="n">
        <v>60</v>
      </c>
      <c r="I766" t="n">
        <v>38</v>
      </c>
      <c r="J766" t="inlineStr">
        <is>
          <t>ince</t>
        </is>
      </c>
      <c r="K766" t="b">
        <v>0</v>
      </c>
      <c r="L766" t="inlineStr">
        <is>
          <t>iki-OK-arasi-monotonluk</t>
        </is>
      </c>
      <c r="X766" t="b">
        <v>1</v>
      </c>
      <c r="Z766" t="n">
        <v>935</v>
      </c>
      <c r="AA766" t="n">
        <v>2.5</v>
      </c>
      <c r="AB766" t="n">
        <v>9.5</v>
      </c>
    </row>
    <row r="767">
      <c r="A767" t="inlineStr">
        <is>
          <t>2026-09-24 14:44:44</t>
        </is>
      </c>
      <c r="B767" t="inlineStr">
        <is>
          <t>MLLB_000_y1.0.3</t>
        </is>
      </c>
      <c r="C767" t="inlineStr">
        <is>
          <t>WHITE</t>
        </is>
      </c>
      <c r="D767" t="inlineStr">
        <is>
          <t>v4_white_MLLB_000_y103_0924</t>
        </is>
      </c>
      <c r="E767" t="n">
        <v>3.6</v>
      </c>
      <c r="F767" t="n">
        <v>3.608</v>
      </c>
      <c r="G767" t="n">
        <v>100</v>
      </c>
      <c r="H767" t="n">
        <v>60</v>
      </c>
      <c r="I767" t="n">
        <v>39</v>
      </c>
      <c r="J767" t="inlineStr">
        <is>
          <t>ince</t>
        </is>
      </c>
      <c r="K767" t="b">
        <v>0</v>
      </c>
      <c r="L767" t="inlineStr">
        <is>
          <t>iki-OK-arasi-monotonluk</t>
        </is>
      </c>
      <c r="X767" t="b">
        <v>1</v>
      </c>
      <c r="Z767" t="n">
        <v>935</v>
      </c>
      <c r="AA767" t="n">
        <v>2.5</v>
      </c>
      <c r="AB767" t="n">
        <v>9.5</v>
      </c>
    </row>
    <row r="768">
      <c r="A768" t="inlineStr">
        <is>
          <t>2026-09-24 14:44:44</t>
        </is>
      </c>
      <c r="B768" t="inlineStr">
        <is>
          <t>MLLB_000_y1.0.3</t>
        </is>
      </c>
      <c r="C768" t="inlineStr">
        <is>
          <t>WHITE</t>
        </is>
      </c>
      <c r="D768" t="inlineStr">
        <is>
          <t>v4_white_MLLB_000_y103_0924</t>
        </is>
      </c>
      <c r="E768" t="n">
        <v>3.6</v>
      </c>
      <c r="F768" t="n">
        <v>3.608</v>
      </c>
      <c r="G768" t="n">
        <v>100</v>
      </c>
      <c r="H768" t="n">
        <v>60</v>
      </c>
      <c r="I768" t="n">
        <v>41</v>
      </c>
      <c r="J768" t="inlineStr">
        <is>
          <t>ince</t>
        </is>
      </c>
      <c r="K768" t="b">
        <v>0</v>
      </c>
      <c r="L768" t="inlineStr">
        <is>
          <t>iki-OK-arasi-monotonluk</t>
        </is>
      </c>
      <c r="X768" t="b">
        <v>1</v>
      </c>
      <c r="Z768" t="n">
        <v>935</v>
      </c>
      <c r="AA768" t="n">
        <v>2.5</v>
      </c>
      <c r="AB768" t="n">
        <v>9.5</v>
      </c>
    </row>
    <row r="769">
      <c r="A769" t="inlineStr">
        <is>
          <t>2026-09-24 14:44:44</t>
        </is>
      </c>
      <c r="B769" t="inlineStr">
        <is>
          <t>MLLB_000_y1.0.3</t>
        </is>
      </c>
      <c r="C769" t="inlineStr">
        <is>
          <t>WHITE</t>
        </is>
      </c>
      <c r="D769" t="inlineStr">
        <is>
          <t>v4_white_MLLB_000_y103_0924</t>
        </is>
      </c>
      <c r="E769" t="n">
        <v>3.6</v>
      </c>
      <c r="F769" t="n">
        <v>3.608</v>
      </c>
      <c r="G769" t="n">
        <v>100</v>
      </c>
      <c r="H769" t="n">
        <v>60</v>
      </c>
      <c r="I769" t="n">
        <v>42</v>
      </c>
      <c r="J769" t="inlineStr">
        <is>
          <t>ince</t>
        </is>
      </c>
      <c r="K769" t="b">
        <v>0</v>
      </c>
      <c r="L769" t="inlineStr">
        <is>
          <t>iki-OK-arasi-monotonluk</t>
        </is>
      </c>
      <c r="X769" t="b">
        <v>1</v>
      </c>
      <c r="Z769" t="n">
        <v>935</v>
      </c>
      <c r="AA769" t="n">
        <v>2.5</v>
      </c>
      <c r="AB769" t="n">
        <v>9.5</v>
      </c>
    </row>
    <row r="770">
      <c r="A770" t="inlineStr">
        <is>
          <t>2026-09-24 14:44:44</t>
        </is>
      </c>
      <c r="B770" t="inlineStr">
        <is>
          <t>MLLB_000_y1.0.3</t>
        </is>
      </c>
      <c r="C770" t="inlineStr">
        <is>
          <t>WHITE</t>
        </is>
      </c>
      <c r="D770" t="inlineStr">
        <is>
          <t>v4_white_MLLB_000_y103_0924</t>
        </is>
      </c>
      <c r="E770" t="n">
        <v>3.6</v>
      </c>
      <c r="F770" t="n">
        <v>3.608</v>
      </c>
      <c r="G770" t="n">
        <v>100</v>
      </c>
      <c r="H770" t="n">
        <v>60</v>
      </c>
      <c r="I770" t="n">
        <v>43</v>
      </c>
      <c r="J770" t="inlineStr">
        <is>
          <t>ince</t>
        </is>
      </c>
      <c r="K770" t="b">
        <v>0</v>
      </c>
      <c r="L770" t="inlineStr">
        <is>
          <t>iki-OK-arasi-monotonluk</t>
        </is>
      </c>
      <c r="X770" t="b">
        <v>1</v>
      </c>
      <c r="Z770" t="n">
        <v>935</v>
      </c>
      <c r="AA770" t="n">
        <v>2.5</v>
      </c>
      <c r="AB770" t="n">
        <v>9.5</v>
      </c>
    </row>
    <row r="771">
      <c r="A771" t="inlineStr">
        <is>
          <t>2026-09-24 14:44:44</t>
        </is>
      </c>
      <c r="B771" t="inlineStr">
        <is>
          <t>MLLB_000_y1.0.3</t>
        </is>
      </c>
      <c r="C771" t="inlineStr">
        <is>
          <t>WHITE</t>
        </is>
      </c>
      <c r="D771" t="inlineStr">
        <is>
          <t>v4_white_MLLB_000_y103_0924</t>
        </is>
      </c>
      <c r="E771" t="n">
        <v>3.6</v>
      </c>
      <c r="F771" t="n">
        <v>3.608</v>
      </c>
      <c r="G771" t="n">
        <v>100</v>
      </c>
      <c r="H771" t="n">
        <v>60</v>
      </c>
      <c r="I771" t="n">
        <v>45</v>
      </c>
      <c r="J771" t="inlineStr">
        <is>
          <t>ince</t>
        </is>
      </c>
      <c r="K771" t="b">
        <v>0</v>
      </c>
      <c r="L771" t="inlineStr">
        <is>
          <t>iki-OK-arasi-monotonluk</t>
        </is>
      </c>
      <c r="X771" t="b">
        <v>1</v>
      </c>
      <c r="Z771" t="n">
        <v>935</v>
      </c>
      <c r="AA771" t="n">
        <v>2.5</v>
      </c>
      <c r="AB771" t="n">
        <v>9.5</v>
      </c>
    </row>
    <row r="772">
      <c r="A772" t="inlineStr">
        <is>
          <t>2026-09-24 14:44:44</t>
        </is>
      </c>
      <c r="B772" t="inlineStr">
        <is>
          <t>MLLB_000_y1.0.3</t>
        </is>
      </c>
      <c r="C772" t="inlineStr">
        <is>
          <t>WHITE</t>
        </is>
      </c>
      <c r="D772" t="inlineStr">
        <is>
          <t>v4_white_MLLB_000_y103_0924</t>
        </is>
      </c>
      <c r="E772" t="n">
        <v>3.6</v>
      </c>
      <c r="F772" t="n">
        <v>3.608</v>
      </c>
      <c r="G772" t="n">
        <v>100</v>
      </c>
      <c r="H772" t="n">
        <v>60</v>
      </c>
      <c r="I772" t="n">
        <v>46</v>
      </c>
      <c r="J772" t="inlineStr">
        <is>
          <t>ince</t>
        </is>
      </c>
      <c r="K772" t="b">
        <v>0</v>
      </c>
      <c r="L772" t="inlineStr">
        <is>
          <t>iki-OK-arasi-monotonluk</t>
        </is>
      </c>
      <c r="X772" t="b">
        <v>1</v>
      </c>
      <c r="Z772" t="n">
        <v>935</v>
      </c>
      <c r="AA772" t="n">
        <v>2.5</v>
      </c>
      <c r="AB772" t="n">
        <v>9.5</v>
      </c>
    </row>
    <row r="773">
      <c r="A773" t="inlineStr">
        <is>
          <t>2026-09-24 14:44:44</t>
        </is>
      </c>
      <c r="B773" t="inlineStr">
        <is>
          <t>MLLB_000_y1.0.3</t>
        </is>
      </c>
      <c r="C773" t="inlineStr">
        <is>
          <t>WHITE</t>
        </is>
      </c>
      <c r="D773" t="inlineStr">
        <is>
          <t>v4_white_MLLB_000_y103_0924</t>
        </is>
      </c>
      <c r="E773" t="n">
        <v>3.6</v>
      </c>
      <c r="F773" t="n">
        <v>3.608</v>
      </c>
      <c r="G773" t="n">
        <v>100</v>
      </c>
      <c r="H773" t="n">
        <v>60</v>
      </c>
      <c r="I773" t="n">
        <v>47</v>
      </c>
      <c r="J773" t="inlineStr">
        <is>
          <t>ince</t>
        </is>
      </c>
      <c r="K773" t="b">
        <v>0</v>
      </c>
      <c r="L773" t="inlineStr">
        <is>
          <t>iki-OK-arasi-monotonluk</t>
        </is>
      </c>
      <c r="X773" t="b">
        <v>1</v>
      </c>
      <c r="Z773" t="n">
        <v>935</v>
      </c>
      <c r="AA773" t="n">
        <v>2.5</v>
      </c>
      <c r="AB773" t="n">
        <v>9.5</v>
      </c>
    </row>
    <row r="774">
      <c r="A774" t="inlineStr">
        <is>
          <t>2026-09-24 14:44:44</t>
        </is>
      </c>
      <c r="B774" t="inlineStr">
        <is>
          <t>MLLB_000_y1.0.3</t>
        </is>
      </c>
      <c r="C774" t="inlineStr">
        <is>
          <t>WHITE</t>
        </is>
      </c>
      <c r="D774" t="inlineStr">
        <is>
          <t>v4_white_MLLB_000_y103_0924</t>
        </is>
      </c>
      <c r="E774" t="n">
        <v>3.6</v>
      </c>
      <c r="F774" t="n">
        <v>3.608</v>
      </c>
      <c r="G774" t="n">
        <v>100</v>
      </c>
      <c r="H774" t="n">
        <v>60</v>
      </c>
      <c r="I774" t="n">
        <v>49</v>
      </c>
      <c r="J774" t="inlineStr">
        <is>
          <t>ince</t>
        </is>
      </c>
      <c r="K774" t="b">
        <v>0</v>
      </c>
      <c r="L774" t="inlineStr">
        <is>
          <t>iki-OK-arasi-monotonluk</t>
        </is>
      </c>
      <c r="X774" t="b">
        <v>1</v>
      </c>
      <c r="Z774" t="n">
        <v>935</v>
      </c>
      <c r="AA774" t="n">
        <v>2.5</v>
      </c>
      <c r="AB774" t="n">
        <v>9.5</v>
      </c>
    </row>
    <row r="775">
      <c r="A775" t="inlineStr">
        <is>
          <t>2026-09-24 14:44:44</t>
        </is>
      </c>
      <c r="B775" t="inlineStr">
        <is>
          <t>MLLB_000_y1.0.3</t>
        </is>
      </c>
      <c r="C775" t="inlineStr">
        <is>
          <t>WHITE</t>
        </is>
      </c>
      <c r="D775" t="inlineStr">
        <is>
          <t>v4_white_MLLB_000_y103_0924</t>
        </is>
      </c>
      <c r="E775" t="n">
        <v>3.6</v>
      </c>
      <c r="F775" t="n">
        <v>3.608</v>
      </c>
      <c r="G775" t="n">
        <v>100</v>
      </c>
      <c r="H775" t="n">
        <v>60</v>
      </c>
      <c r="I775" t="n">
        <v>50</v>
      </c>
      <c r="J775" t="inlineStr">
        <is>
          <t>ince</t>
        </is>
      </c>
      <c r="K775" t="b">
        <v>0</v>
      </c>
      <c r="L775" t="inlineStr">
        <is>
          <t>iki-OK-arasi-monotonluk</t>
        </is>
      </c>
      <c r="X775" t="b">
        <v>1</v>
      </c>
      <c r="Z775" t="n">
        <v>935</v>
      </c>
      <c r="AA775" t="n">
        <v>2.5</v>
      </c>
      <c r="AB775" t="n">
        <v>9.5</v>
      </c>
    </row>
    <row r="776">
      <c r="A776" t="inlineStr">
        <is>
          <t>2026-09-24 14:44:44</t>
        </is>
      </c>
      <c r="B776" t="inlineStr">
        <is>
          <t>MLLB_000_y1.0.3</t>
        </is>
      </c>
      <c r="C776" t="inlineStr">
        <is>
          <t>WHITE</t>
        </is>
      </c>
      <c r="D776" t="inlineStr">
        <is>
          <t>v4_white_MLLB_000_y103_0924</t>
        </is>
      </c>
      <c r="E776" t="n">
        <v>3.6</v>
      </c>
      <c r="F776" t="n">
        <v>3.608</v>
      </c>
      <c r="G776" t="n">
        <v>100</v>
      </c>
      <c r="H776" t="n">
        <v>60</v>
      </c>
      <c r="I776" t="n">
        <v>51</v>
      </c>
      <c r="J776" t="inlineStr">
        <is>
          <t>ince</t>
        </is>
      </c>
      <c r="K776" t="b">
        <v>0</v>
      </c>
      <c r="L776" t="inlineStr">
        <is>
          <t>iki-OK-arasi-monotonluk</t>
        </is>
      </c>
      <c r="X776" t="b">
        <v>1</v>
      </c>
      <c r="Z776" t="n">
        <v>935</v>
      </c>
      <c r="AA776" t="n">
        <v>2.5</v>
      </c>
      <c r="AB776" t="n">
        <v>9.5</v>
      </c>
    </row>
    <row r="777">
      <c r="A777" t="inlineStr">
        <is>
          <t>2026-09-24 14:44:44</t>
        </is>
      </c>
      <c r="B777" t="inlineStr">
        <is>
          <t>MLLB_000_y1.0.3</t>
        </is>
      </c>
      <c r="C777" t="inlineStr">
        <is>
          <t>WHITE</t>
        </is>
      </c>
      <c r="D777" t="inlineStr">
        <is>
          <t>v4_white_MLLB_000_y103_0924</t>
        </is>
      </c>
      <c r="E777" t="n">
        <v>3.6</v>
      </c>
      <c r="F777" t="n">
        <v>3.608</v>
      </c>
      <c r="G777" t="n">
        <v>100</v>
      </c>
      <c r="H777" t="n">
        <v>60</v>
      </c>
      <c r="I777" t="n">
        <v>53</v>
      </c>
      <c r="J777" t="inlineStr">
        <is>
          <t>ince</t>
        </is>
      </c>
      <c r="K777" t="b">
        <v>0</v>
      </c>
      <c r="L777" t="inlineStr">
        <is>
          <t>iki-OK-arasi-monotonluk</t>
        </is>
      </c>
      <c r="X777" t="b">
        <v>1</v>
      </c>
      <c r="Z777" t="n">
        <v>935</v>
      </c>
      <c r="AA777" t="n">
        <v>2.5</v>
      </c>
      <c r="AB777" t="n">
        <v>9.5</v>
      </c>
    </row>
    <row r="778">
      <c r="A778" t="inlineStr">
        <is>
          <t>2026-09-24 14:44:44</t>
        </is>
      </c>
      <c r="B778" t="inlineStr">
        <is>
          <t>MLLB_000_y1.0.3</t>
        </is>
      </c>
      <c r="C778" t="inlineStr">
        <is>
          <t>WHITE</t>
        </is>
      </c>
      <c r="D778" t="inlineStr">
        <is>
          <t>v4_white_MLLB_000_y103_0924</t>
        </is>
      </c>
      <c r="E778" t="n">
        <v>3.6</v>
      </c>
      <c r="F778" t="n">
        <v>3.608</v>
      </c>
      <c r="G778" t="n">
        <v>100</v>
      </c>
      <c r="H778" t="n">
        <v>60</v>
      </c>
      <c r="I778" t="n">
        <v>54</v>
      </c>
      <c r="J778" t="inlineStr">
        <is>
          <t>ince</t>
        </is>
      </c>
      <c r="K778" t="b">
        <v>0</v>
      </c>
      <c r="L778" t="inlineStr">
        <is>
          <t>iki-OK-arasi-monotonluk</t>
        </is>
      </c>
      <c r="X778" t="b">
        <v>1</v>
      </c>
      <c r="Z778" t="n">
        <v>935</v>
      </c>
      <c r="AA778" t="n">
        <v>2.5</v>
      </c>
      <c r="AB778" t="n">
        <v>9.5</v>
      </c>
    </row>
    <row r="779">
      <c r="A779" t="inlineStr">
        <is>
          <t>2026-09-24 14:44:44</t>
        </is>
      </c>
      <c r="B779" t="inlineStr">
        <is>
          <t>MLLB_000_y1.0.3</t>
        </is>
      </c>
      <c r="C779" t="inlineStr">
        <is>
          <t>WHITE</t>
        </is>
      </c>
      <c r="D779" t="inlineStr">
        <is>
          <t>v4_white_MLLB_000_y103_0924</t>
        </is>
      </c>
      <c r="E779" t="n">
        <v>3.6</v>
      </c>
      <c r="F779" t="n">
        <v>3.608</v>
      </c>
      <c r="G779" t="n">
        <v>100</v>
      </c>
      <c r="H779" t="n">
        <v>60</v>
      </c>
      <c r="I779" t="n">
        <v>55</v>
      </c>
      <c r="J779" t="inlineStr">
        <is>
          <t>ince</t>
        </is>
      </c>
      <c r="K779" t="b">
        <v>0</v>
      </c>
      <c r="L779" t="inlineStr">
        <is>
          <t>iki-OK-arasi-monotonluk</t>
        </is>
      </c>
      <c r="X779" t="b">
        <v>1</v>
      </c>
      <c r="Z779" t="n">
        <v>935</v>
      </c>
      <c r="AA779" t="n">
        <v>2.5</v>
      </c>
      <c r="AB779" t="n">
        <v>9.5</v>
      </c>
    </row>
    <row r="780">
      <c r="A780" t="inlineStr">
        <is>
          <t>2026-09-24 14:44:44</t>
        </is>
      </c>
      <c r="B780" t="inlineStr">
        <is>
          <t>MLLB_000_y1.0.3</t>
        </is>
      </c>
      <c r="C780" t="inlineStr">
        <is>
          <t>WHITE</t>
        </is>
      </c>
      <c r="D780" t="inlineStr">
        <is>
          <t>v4_white_MLLB_000_y103_0924</t>
        </is>
      </c>
      <c r="E780" t="n">
        <v>3.6</v>
      </c>
      <c r="F780" t="n">
        <v>3.608</v>
      </c>
      <c r="G780" t="n">
        <v>100</v>
      </c>
      <c r="H780" t="n">
        <v>60</v>
      </c>
      <c r="I780" t="n">
        <v>57</v>
      </c>
      <c r="J780" t="inlineStr">
        <is>
          <t>ince</t>
        </is>
      </c>
      <c r="K780" t="b">
        <v>0</v>
      </c>
      <c r="L780" t="inlineStr">
        <is>
          <t>iki-OK-arasi-monotonluk</t>
        </is>
      </c>
      <c r="X780" t="b">
        <v>1</v>
      </c>
      <c r="Z780" t="n">
        <v>935</v>
      </c>
      <c r="AA780" t="n">
        <v>2.5</v>
      </c>
      <c r="AB780" t="n">
        <v>9.5</v>
      </c>
    </row>
    <row r="781">
      <c r="A781" t="inlineStr">
        <is>
          <t>2026-09-24 14:44:44</t>
        </is>
      </c>
      <c r="B781" t="inlineStr">
        <is>
          <t>MLLB_000_y1.0.3</t>
        </is>
      </c>
      <c r="C781" t="inlineStr">
        <is>
          <t>WHITE</t>
        </is>
      </c>
      <c r="D781" t="inlineStr">
        <is>
          <t>v4_white_MLLB_000_y103_0924</t>
        </is>
      </c>
      <c r="E781" t="n">
        <v>3.6</v>
      </c>
      <c r="F781" t="n">
        <v>3.608</v>
      </c>
      <c r="G781" t="n">
        <v>100</v>
      </c>
      <c r="H781" t="n">
        <v>60</v>
      </c>
      <c r="J781" t="inlineStr">
        <is>
          <t>bitti</t>
        </is>
      </c>
      <c r="K781" t="b">
        <v>0</v>
      </c>
      <c r="Z781" t="n">
        <v>935</v>
      </c>
      <c r="AA781" t="n">
        <v>2.5</v>
      </c>
      <c r="AB781" t="n">
        <v>9.5</v>
      </c>
    </row>
    <row r="782">
      <c r="A782" t="inlineStr">
        <is>
          <t>2026-09-24 14:45:13</t>
        </is>
      </c>
      <c r="B782" t="inlineStr">
        <is>
          <t>MLLB_000_y1.0.3</t>
        </is>
      </c>
      <c r="C782" t="inlineStr">
        <is>
          <t>WHITE</t>
        </is>
      </c>
      <c r="D782" t="inlineStr">
        <is>
          <t>v4_white_MLLB_000_y103_0924</t>
        </is>
      </c>
      <c r="E782" t="n">
        <v>3.4</v>
      </c>
      <c r="F782" t="n">
        <v>3.408</v>
      </c>
      <c r="G782" t="n">
        <v>6</v>
      </c>
      <c r="H782" t="n">
        <v>100</v>
      </c>
      <c r="I782" t="n">
        <v>12</v>
      </c>
      <c r="J782" t="inlineStr">
        <is>
          <t>kaba</t>
        </is>
      </c>
      <c r="K782" t="b">
        <v>1</v>
      </c>
      <c r="M782" t="n">
        <v>298</v>
      </c>
      <c r="N782" t="n">
        <v>50</v>
      </c>
      <c r="O782" t="n">
        <v>270</v>
      </c>
      <c r="P782" t="n">
        <v>704</v>
      </c>
      <c r="Q782" t="n">
        <v>1002</v>
      </c>
      <c r="R782" t="n">
        <v>1.104</v>
      </c>
      <c r="S782" t="n">
        <v>10.462</v>
      </c>
      <c r="T782" t="n">
        <v>9.474</v>
      </c>
      <c r="U782" t="n">
        <v>0.7776</v>
      </c>
      <c r="V782" t="b">
        <v>1</v>
      </c>
      <c r="X782" t="b">
        <v>0</v>
      </c>
      <c r="Y782" t="inlineStr">
        <is>
          <t>AKIM</t>
        </is>
      </c>
      <c r="Z782" t="n">
        <v>935</v>
      </c>
      <c r="AA782" t="n">
        <v>2.5</v>
      </c>
      <c r="AB782" t="n">
        <v>9.5</v>
      </c>
    </row>
    <row r="783">
      <c r="A783" t="inlineStr">
        <is>
          <t>2026-09-24 14:45:29</t>
        </is>
      </c>
      <c r="B783" t="inlineStr">
        <is>
          <t>MLLB_000_y1.0.3</t>
        </is>
      </c>
      <c r="C783" t="inlineStr">
        <is>
          <t>WHITE</t>
        </is>
      </c>
      <c r="D783" t="inlineStr">
        <is>
          <t>v4_white_MLLB_000_y103_0924</t>
        </is>
      </c>
      <c r="E783" t="n">
        <v>3.4</v>
      </c>
      <c r="F783" t="n">
        <v>3.408</v>
      </c>
      <c r="G783" t="n">
        <v>6</v>
      </c>
      <c r="H783" t="n">
        <v>100</v>
      </c>
      <c r="I783" t="n">
        <v>16</v>
      </c>
      <c r="J783" t="inlineStr">
        <is>
          <t>kaba</t>
        </is>
      </c>
      <c r="K783" t="b">
        <v>1</v>
      </c>
      <c r="M783" t="n">
        <v>212</v>
      </c>
      <c r="N783" t="n">
        <v>46</v>
      </c>
      <c r="O783" t="n">
        <v>184</v>
      </c>
      <c r="P783" t="n">
        <v>790</v>
      </c>
      <c r="Q783" t="n">
        <v>1002</v>
      </c>
      <c r="R783" t="n">
        <v>1.096</v>
      </c>
      <c r="S783" t="n">
        <v>10.434</v>
      </c>
      <c r="T783" t="n">
        <v>9.523999999999999</v>
      </c>
      <c r="U783" t="n">
        <v>0.7775</v>
      </c>
      <c r="V783" t="b">
        <v>1</v>
      </c>
      <c r="X783" t="b">
        <v>0</v>
      </c>
      <c r="Y783" t="inlineStr">
        <is>
          <t>ON</t>
        </is>
      </c>
      <c r="Z783" t="n">
        <v>935</v>
      </c>
      <c r="AA783" t="n">
        <v>2.5</v>
      </c>
      <c r="AB783" t="n">
        <v>9.5</v>
      </c>
    </row>
    <row r="784">
      <c r="A784" t="inlineStr">
        <is>
          <t>2026-09-24 14:45:45</t>
        </is>
      </c>
      <c r="B784" t="inlineStr">
        <is>
          <t>MLLB_000_y1.0.3</t>
        </is>
      </c>
      <c r="C784" t="inlineStr">
        <is>
          <t>WHITE</t>
        </is>
      </c>
      <c r="D784" t="inlineStr">
        <is>
          <t>v4_white_MLLB_000_y103_0924</t>
        </is>
      </c>
      <c r="E784" t="n">
        <v>3.4</v>
      </c>
      <c r="F784" t="n">
        <v>3.408</v>
      </c>
      <c r="G784" t="n">
        <v>6</v>
      </c>
      <c r="H784" t="n">
        <v>100</v>
      </c>
      <c r="I784" t="n">
        <v>20</v>
      </c>
      <c r="J784" t="inlineStr">
        <is>
          <t>kaba</t>
        </is>
      </c>
      <c r="K784" t="b">
        <v>1</v>
      </c>
      <c r="M784" t="n">
        <v>126</v>
      </c>
      <c r="N784" t="n">
        <v>50</v>
      </c>
      <c r="O784" t="n">
        <v>98</v>
      </c>
      <c r="P784" t="n">
        <v>876</v>
      </c>
      <c r="Q784" t="n">
        <v>1002</v>
      </c>
      <c r="R784" t="n">
        <v>1.09</v>
      </c>
      <c r="S784" t="n">
        <v>10.417</v>
      </c>
      <c r="T784" t="n">
        <v>9.555999999999999</v>
      </c>
      <c r="U784" t="n">
        <v>0.778</v>
      </c>
      <c r="V784" t="b">
        <v>1</v>
      </c>
      <c r="X784" t="b">
        <v>0</v>
      </c>
      <c r="Y784" t="inlineStr">
        <is>
          <t>ON</t>
        </is>
      </c>
      <c r="Z784" t="n">
        <v>935</v>
      </c>
      <c r="AA784" t="n">
        <v>2.5</v>
      </c>
      <c r="AB784" t="n">
        <v>9.5</v>
      </c>
    </row>
    <row r="785">
      <c r="A785" t="inlineStr">
        <is>
          <t>2026-09-24 14:46:01</t>
        </is>
      </c>
      <c r="B785" t="inlineStr">
        <is>
          <t>MLLB_000_y1.0.3</t>
        </is>
      </c>
      <c r="C785" t="inlineStr">
        <is>
          <t>WHITE</t>
        </is>
      </c>
      <c r="D785" t="inlineStr">
        <is>
          <t>v4_white_MLLB_000_y103_0924</t>
        </is>
      </c>
      <c r="E785" t="n">
        <v>3.4</v>
      </c>
      <c r="F785" t="n">
        <v>3.408</v>
      </c>
      <c r="G785" t="n">
        <v>6</v>
      </c>
      <c r="H785" t="n">
        <v>100</v>
      </c>
      <c r="I785" t="n">
        <v>24</v>
      </c>
      <c r="J785" t="inlineStr">
        <is>
          <t>kaba</t>
        </is>
      </c>
      <c r="K785" t="b">
        <v>1</v>
      </c>
      <c r="M785" t="n">
        <v>36</v>
      </c>
      <c r="N785" t="n">
        <v>36</v>
      </c>
      <c r="O785" t="n">
        <v>14</v>
      </c>
      <c r="P785" t="n">
        <v>966</v>
      </c>
      <c r="Q785" t="n">
        <v>1002</v>
      </c>
      <c r="R785" t="n">
        <v>1.091</v>
      </c>
      <c r="S785" t="n">
        <v>10.462</v>
      </c>
      <c r="T785" t="n">
        <v>9.590999999999999</v>
      </c>
      <c r="U785" t="n">
        <v>0.778</v>
      </c>
      <c r="V785" t="b">
        <v>1</v>
      </c>
      <c r="X785" t="b">
        <v>1</v>
      </c>
      <c r="Z785" t="n">
        <v>935</v>
      </c>
      <c r="AA785" t="n">
        <v>2.5</v>
      </c>
      <c r="AB785" t="n">
        <v>9.5</v>
      </c>
    </row>
    <row r="786">
      <c r="A786" t="inlineStr">
        <is>
          <t>2026-09-24 14:46:17</t>
        </is>
      </c>
      <c r="B786" t="inlineStr">
        <is>
          <t>MLLB_000_y1.0.3</t>
        </is>
      </c>
      <c r="C786" t="inlineStr">
        <is>
          <t>WHITE</t>
        </is>
      </c>
      <c r="D786" t="inlineStr">
        <is>
          <t>v4_white_MLLB_000_y103_0924</t>
        </is>
      </c>
      <c r="E786" t="n">
        <v>3.4</v>
      </c>
      <c r="F786" t="n">
        <v>3.408</v>
      </c>
      <c r="G786" t="n">
        <v>6</v>
      </c>
      <c r="H786" t="n">
        <v>100</v>
      </c>
      <c r="I786" t="n">
        <v>28</v>
      </c>
      <c r="J786" t="inlineStr">
        <is>
          <t>kaba</t>
        </is>
      </c>
      <c r="K786" t="b">
        <v>1</v>
      </c>
      <c r="M786" t="n">
        <v>34</v>
      </c>
      <c r="N786" t="n">
        <v>28</v>
      </c>
      <c r="O786" t="n">
        <v>14</v>
      </c>
      <c r="P786" t="n">
        <v>968</v>
      </c>
      <c r="Q786" t="n">
        <v>1002</v>
      </c>
      <c r="R786" t="n">
        <v>4.289</v>
      </c>
      <c r="S786" t="n">
        <v>41.158</v>
      </c>
      <c r="T786" t="n">
        <v>9.597</v>
      </c>
      <c r="U786" t="n">
        <v>0.7775</v>
      </c>
      <c r="V786" t="b">
        <v>1</v>
      </c>
      <c r="X786" t="b">
        <v>0</v>
      </c>
      <c r="Y786" t="inlineStr">
        <is>
          <t>FLAS</t>
        </is>
      </c>
      <c r="Z786" t="n">
        <v>935</v>
      </c>
      <c r="AA786" t="n">
        <v>2.5</v>
      </c>
      <c r="AB786" t="n">
        <v>9.5</v>
      </c>
    </row>
    <row r="787">
      <c r="A787" t="inlineStr">
        <is>
          <t>2026-09-24 14:46:33</t>
        </is>
      </c>
      <c r="B787" t="inlineStr">
        <is>
          <t>MLLB_000_y1.0.3</t>
        </is>
      </c>
      <c r="C787" t="inlineStr">
        <is>
          <t>WHITE</t>
        </is>
      </c>
      <c r="D787" t="inlineStr">
        <is>
          <t>v4_white_MLLB_000_y103_0924</t>
        </is>
      </c>
      <c r="E787" t="n">
        <v>3.4</v>
      </c>
      <c r="F787" t="n">
        <v>3.408</v>
      </c>
      <c r="G787" t="n">
        <v>6</v>
      </c>
      <c r="H787" t="n">
        <v>100</v>
      </c>
      <c r="I787" t="n">
        <v>32</v>
      </c>
      <c r="J787" t="inlineStr">
        <is>
          <t>kaba</t>
        </is>
      </c>
      <c r="K787" t="b">
        <v>1</v>
      </c>
      <c r="M787" t="n">
        <v>34</v>
      </c>
      <c r="N787" t="n">
        <v>28</v>
      </c>
      <c r="O787" t="n">
        <v>14</v>
      </c>
      <c r="P787" t="n">
        <v>968</v>
      </c>
      <c r="Q787" t="n">
        <v>1002</v>
      </c>
      <c r="R787" t="n">
        <v>21.592</v>
      </c>
      <c r="S787" t="n">
        <v>206.983</v>
      </c>
      <c r="T787" t="n">
        <v>9.586</v>
      </c>
      <c r="U787" t="n">
        <v>0.7774</v>
      </c>
      <c r="V787" t="b">
        <v>1</v>
      </c>
      <c r="X787" t="b">
        <v>0</v>
      </c>
      <c r="Y787" t="inlineStr">
        <is>
          <t>FLAS</t>
        </is>
      </c>
      <c r="Z787" t="n">
        <v>935</v>
      </c>
      <c r="AA787" t="n">
        <v>2.5</v>
      </c>
      <c r="AB787" t="n">
        <v>9.5</v>
      </c>
    </row>
    <row r="788">
      <c r="A788" t="inlineStr">
        <is>
          <t>2026-09-24 14:46:49</t>
        </is>
      </c>
      <c r="B788" t="inlineStr">
        <is>
          <t>MLLB_000_y1.0.3</t>
        </is>
      </c>
      <c r="C788" t="inlineStr">
        <is>
          <t>WHITE</t>
        </is>
      </c>
      <c r="D788" t="inlineStr">
        <is>
          <t>v4_white_MLLB_000_y103_0924</t>
        </is>
      </c>
      <c r="E788" t="n">
        <v>3.4</v>
      </c>
      <c r="F788" t="n">
        <v>3.408</v>
      </c>
      <c r="G788" t="n">
        <v>6</v>
      </c>
      <c r="H788" t="n">
        <v>100</v>
      </c>
      <c r="I788" t="n">
        <v>21</v>
      </c>
      <c r="J788" t="inlineStr">
        <is>
          <t>ince</t>
        </is>
      </c>
      <c r="K788" t="b">
        <v>1</v>
      </c>
      <c r="M788" t="n">
        <v>104</v>
      </c>
      <c r="N788" t="n">
        <v>46</v>
      </c>
      <c r="O788" t="n">
        <v>76</v>
      </c>
      <c r="P788" t="n">
        <v>898</v>
      </c>
      <c r="Q788" t="n">
        <v>1002</v>
      </c>
      <c r="R788" t="n">
        <v>1.093</v>
      </c>
      <c r="S788" t="n">
        <v>10.468</v>
      </c>
      <c r="T788" t="n">
        <v>9.577999999999999</v>
      </c>
      <c r="U788" t="n">
        <v>0.7775</v>
      </c>
      <c r="V788" t="b">
        <v>1</v>
      </c>
      <c r="X788" t="b">
        <v>0</v>
      </c>
      <c r="Y788" t="inlineStr">
        <is>
          <t>ON</t>
        </is>
      </c>
      <c r="Z788" t="n">
        <v>935</v>
      </c>
      <c r="AA788" t="n">
        <v>2.5</v>
      </c>
      <c r="AB788" t="n">
        <v>9.5</v>
      </c>
    </row>
    <row r="789">
      <c r="A789" t="inlineStr">
        <is>
          <t>2026-09-24 14:47:05</t>
        </is>
      </c>
      <c r="B789" t="inlineStr">
        <is>
          <t>MLLB_000_y1.0.3</t>
        </is>
      </c>
      <c r="C789" t="inlineStr">
        <is>
          <t>WHITE</t>
        </is>
      </c>
      <c r="D789" t="inlineStr">
        <is>
          <t>v4_white_MLLB_000_y103_0924</t>
        </is>
      </c>
      <c r="E789" t="n">
        <v>3.4</v>
      </c>
      <c r="F789" t="n">
        <v>3.408</v>
      </c>
      <c r="G789" t="n">
        <v>6</v>
      </c>
      <c r="H789" t="n">
        <v>100</v>
      </c>
      <c r="I789" t="n">
        <v>22</v>
      </c>
      <c r="J789" t="inlineStr">
        <is>
          <t>ince</t>
        </is>
      </c>
      <c r="K789" t="b">
        <v>1</v>
      </c>
      <c r="M789" t="n">
        <v>82</v>
      </c>
      <c r="N789" t="n">
        <v>50</v>
      </c>
      <c r="O789" t="n">
        <v>54</v>
      </c>
      <c r="P789" t="n">
        <v>920</v>
      </c>
      <c r="Q789" t="n">
        <v>1002</v>
      </c>
      <c r="R789" t="n">
        <v>1.094</v>
      </c>
      <c r="S789" t="n">
        <v>10.508</v>
      </c>
      <c r="T789" t="n">
        <v>9.606999999999999</v>
      </c>
      <c r="U789" t="n">
        <v>0.7776</v>
      </c>
      <c r="V789" t="b">
        <v>1</v>
      </c>
      <c r="X789" t="b">
        <v>0</v>
      </c>
      <c r="Y789" t="inlineStr">
        <is>
          <t>ON</t>
        </is>
      </c>
      <c r="Z789" t="n">
        <v>935</v>
      </c>
      <c r="AA789" t="n">
        <v>2.5</v>
      </c>
      <c r="AB789" t="n">
        <v>9.5</v>
      </c>
    </row>
    <row r="790">
      <c r="A790" t="inlineStr">
        <is>
          <t>2026-09-24 14:47:21</t>
        </is>
      </c>
      <c r="B790" t="inlineStr">
        <is>
          <t>MLLB_000_y1.0.3</t>
        </is>
      </c>
      <c r="C790" t="inlineStr">
        <is>
          <t>WHITE</t>
        </is>
      </c>
      <c r="D790" t="inlineStr">
        <is>
          <t>v4_white_MLLB_000_y103_0924</t>
        </is>
      </c>
      <c r="E790" t="n">
        <v>3.4</v>
      </c>
      <c r="F790" t="n">
        <v>3.408</v>
      </c>
      <c r="G790" t="n">
        <v>6</v>
      </c>
      <c r="H790" t="n">
        <v>100</v>
      </c>
      <c r="I790" t="n">
        <v>23</v>
      </c>
      <c r="J790" t="inlineStr">
        <is>
          <t>ince</t>
        </is>
      </c>
      <c r="K790" t="b">
        <v>1</v>
      </c>
      <c r="M790" t="n">
        <v>58</v>
      </c>
      <c r="N790" t="n">
        <v>48</v>
      </c>
      <c r="O790" t="n">
        <v>30</v>
      </c>
      <c r="P790" t="n">
        <v>944</v>
      </c>
      <c r="Q790" t="n">
        <v>1002</v>
      </c>
      <c r="R790" t="n">
        <v>1.092</v>
      </c>
      <c r="S790" t="n">
        <v>10.467</v>
      </c>
      <c r="T790" t="n">
        <v>9.589</v>
      </c>
      <c r="U790" t="n">
        <v>0.7776999999999999</v>
      </c>
      <c r="V790" t="b">
        <v>1</v>
      </c>
      <c r="X790" t="b">
        <v>1</v>
      </c>
      <c r="Z790" t="n">
        <v>935</v>
      </c>
      <c r="AA790" t="n">
        <v>2.5</v>
      </c>
      <c r="AB790" t="n">
        <v>9.5</v>
      </c>
    </row>
    <row r="791">
      <c r="A791" t="inlineStr">
        <is>
          <t>2026-09-24 14:47:37</t>
        </is>
      </c>
      <c r="B791" t="inlineStr">
        <is>
          <t>MLLB_000_y1.0.3</t>
        </is>
      </c>
      <c r="C791" t="inlineStr">
        <is>
          <t>WHITE</t>
        </is>
      </c>
      <c r="D791" t="inlineStr">
        <is>
          <t>v4_white_MLLB_000_y103_0924</t>
        </is>
      </c>
      <c r="E791" t="n">
        <v>3.4</v>
      </c>
      <c r="F791" t="n">
        <v>3.408</v>
      </c>
      <c r="G791" t="n">
        <v>6</v>
      </c>
      <c r="H791" t="n">
        <v>100</v>
      </c>
      <c r="I791" t="n">
        <v>25</v>
      </c>
      <c r="J791" t="inlineStr">
        <is>
          <t>ince</t>
        </is>
      </c>
      <c r="K791" t="b">
        <v>1</v>
      </c>
      <c r="M791" t="n">
        <v>34</v>
      </c>
      <c r="N791" t="n">
        <v>28</v>
      </c>
      <c r="O791" t="n">
        <v>14</v>
      </c>
      <c r="P791" t="n">
        <v>968</v>
      </c>
      <c r="Q791" t="n">
        <v>1002</v>
      </c>
      <c r="R791" t="n">
        <v>1.161</v>
      </c>
      <c r="S791" t="n">
        <v>11.15</v>
      </c>
      <c r="T791" t="n">
        <v>9.603999999999999</v>
      </c>
      <c r="U791" t="n">
        <v>0.7781</v>
      </c>
      <c r="V791" t="b">
        <v>1</v>
      </c>
      <c r="X791" t="b">
        <v>1</v>
      </c>
      <c r="Z791" t="n">
        <v>935</v>
      </c>
      <c r="AA791" t="n">
        <v>2.5</v>
      </c>
      <c r="AB791" t="n">
        <v>9.5</v>
      </c>
    </row>
    <row r="792">
      <c r="A792" t="inlineStr">
        <is>
          <t>2026-09-24 14:47:53</t>
        </is>
      </c>
      <c r="B792" t="inlineStr">
        <is>
          <t>MLLB_000_y1.0.3</t>
        </is>
      </c>
      <c r="C792" t="inlineStr">
        <is>
          <t>WHITE</t>
        </is>
      </c>
      <c r="D792" t="inlineStr">
        <is>
          <t>v4_white_MLLB_000_y103_0924</t>
        </is>
      </c>
      <c r="E792" t="n">
        <v>3.4</v>
      </c>
      <c r="F792" t="n">
        <v>3.408</v>
      </c>
      <c r="G792" t="n">
        <v>6</v>
      </c>
      <c r="H792" t="n">
        <v>100</v>
      </c>
      <c r="I792" t="n">
        <v>26</v>
      </c>
      <c r="J792" t="inlineStr">
        <is>
          <t>ince</t>
        </is>
      </c>
      <c r="K792" t="b">
        <v>1</v>
      </c>
      <c r="M792" t="n">
        <v>34</v>
      </c>
      <c r="N792" t="n">
        <v>28</v>
      </c>
      <c r="O792" t="n">
        <v>14</v>
      </c>
      <c r="P792" t="n">
        <v>968</v>
      </c>
      <c r="Q792" t="n">
        <v>1002</v>
      </c>
      <c r="R792" t="n">
        <v>2.576</v>
      </c>
      <c r="S792" t="n">
        <v>24.679</v>
      </c>
      <c r="T792" t="n">
        <v>9.582000000000001</v>
      </c>
      <c r="U792" t="n">
        <v>0.7775</v>
      </c>
      <c r="V792" t="b">
        <v>1</v>
      </c>
      <c r="X792" t="b">
        <v>0</v>
      </c>
      <c r="Y792" t="inlineStr">
        <is>
          <t>FLAS</t>
        </is>
      </c>
      <c r="Z792" t="n">
        <v>935</v>
      </c>
      <c r="AA792" t="n">
        <v>2.5</v>
      </c>
      <c r="AB792" t="n">
        <v>9.5</v>
      </c>
    </row>
    <row r="793">
      <c r="A793" t="inlineStr">
        <is>
          <t>2026-09-24 14:48:09</t>
        </is>
      </c>
      <c r="B793" t="inlineStr">
        <is>
          <t>MLLB_000_y1.0.3</t>
        </is>
      </c>
      <c r="C793" t="inlineStr">
        <is>
          <t>WHITE</t>
        </is>
      </c>
      <c r="D793" t="inlineStr">
        <is>
          <t>v4_white_MLLB_000_y103_0924</t>
        </is>
      </c>
      <c r="E793" t="n">
        <v>3.4</v>
      </c>
      <c r="F793" t="n">
        <v>3.408</v>
      </c>
      <c r="G793" t="n">
        <v>6</v>
      </c>
      <c r="H793" t="n">
        <v>100</v>
      </c>
      <c r="I793" t="n">
        <v>27</v>
      </c>
      <c r="J793" t="inlineStr">
        <is>
          <t>ince</t>
        </is>
      </c>
      <c r="K793" t="b">
        <v>1</v>
      </c>
      <c r="M793" t="n">
        <v>34</v>
      </c>
      <c r="N793" t="n">
        <v>28</v>
      </c>
      <c r="O793" t="n">
        <v>14</v>
      </c>
      <c r="P793" t="n">
        <v>968</v>
      </c>
      <c r="Q793" t="n">
        <v>1002</v>
      </c>
      <c r="R793" t="n">
        <v>3.349</v>
      </c>
      <c r="S793" t="n">
        <v>32.104</v>
      </c>
      <c r="T793" t="n">
        <v>9.585000000000001</v>
      </c>
      <c r="U793" t="n">
        <v>0.778</v>
      </c>
      <c r="V793" t="b">
        <v>1</v>
      </c>
      <c r="X793" t="b">
        <v>0</v>
      </c>
      <c r="Y793" t="inlineStr">
        <is>
          <t>FLAS</t>
        </is>
      </c>
      <c r="Z793" t="n">
        <v>935</v>
      </c>
      <c r="AA793" t="n">
        <v>2.5</v>
      </c>
      <c r="AB793" t="n">
        <v>9.5</v>
      </c>
    </row>
    <row r="794">
      <c r="A794" t="inlineStr">
        <is>
          <t>2026-09-24 14:48:10</t>
        </is>
      </c>
      <c r="B794" t="inlineStr">
        <is>
          <t>MLLB_000_y1.0.3</t>
        </is>
      </c>
      <c r="C794" t="inlineStr">
        <is>
          <t>WHITE</t>
        </is>
      </c>
      <c r="D794" t="inlineStr">
        <is>
          <t>v4_white_MLLB_000_y103_0924</t>
        </is>
      </c>
      <c r="E794" t="n">
        <v>3.4</v>
      </c>
      <c r="F794" t="n">
        <v>3.408</v>
      </c>
      <c r="G794" t="n">
        <v>6</v>
      </c>
      <c r="H794" t="n">
        <v>100</v>
      </c>
      <c r="J794" t="inlineStr">
        <is>
          <t>bitti</t>
        </is>
      </c>
      <c r="K794" t="b">
        <v>0</v>
      </c>
      <c r="Z794" t="n">
        <v>935</v>
      </c>
      <c r="AA794" t="n">
        <v>2.5</v>
      </c>
      <c r="AB794" t="n">
        <v>9.5</v>
      </c>
    </row>
    <row r="795">
      <c r="A795" t="inlineStr">
        <is>
          <t>2026-09-24 14:48:25</t>
        </is>
      </c>
      <c r="B795" t="inlineStr">
        <is>
          <t>MLLB_000_y1.0.3</t>
        </is>
      </c>
      <c r="C795" t="inlineStr">
        <is>
          <t>WHITE</t>
        </is>
      </c>
      <c r="D795" t="inlineStr">
        <is>
          <t>v4_white_MLLB_000_y103_0924</t>
        </is>
      </c>
      <c r="E795" t="n">
        <v>3.4</v>
      </c>
      <c r="F795" t="n">
        <v>3.408</v>
      </c>
      <c r="G795" t="n">
        <v>6</v>
      </c>
      <c r="H795" t="n">
        <v>80</v>
      </c>
      <c r="I795" t="n">
        <v>12</v>
      </c>
      <c r="J795" t="inlineStr">
        <is>
          <t>kaba</t>
        </is>
      </c>
      <c r="K795" t="b">
        <v>1</v>
      </c>
      <c r="M795" t="n">
        <v>342</v>
      </c>
      <c r="N795" t="n">
        <v>44</v>
      </c>
      <c r="O795" t="n">
        <v>314</v>
      </c>
      <c r="P795" t="n">
        <v>660</v>
      </c>
      <c r="Q795" t="n">
        <v>1002</v>
      </c>
      <c r="R795" t="n">
        <v>1.104</v>
      </c>
      <c r="S795" t="n">
        <v>10.418</v>
      </c>
      <c r="T795" t="n">
        <v>9.433</v>
      </c>
      <c r="U795" t="n">
        <v>0.7775</v>
      </c>
      <c r="V795" t="b">
        <v>1</v>
      </c>
      <c r="X795" t="b">
        <v>0</v>
      </c>
      <c r="Y795" t="inlineStr">
        <is>
          <t>AKIM</t>
        </is>
      </c>
      <c r="Z795" t="n">
        <v>935</v>
      </c>
      <c r="AA795" t="n">
        <v>2.5</v>
      </c>
      <c r="AB795" t="n">
        <v>9.5</v>
      </c>
    </row>
    <row r="796">
      <c r="A796" t="inlineStr">
        <is>
          <t>2026-09-24 14:48:41</t>
        </is>
      </c>
      <c r="B796" t="inlineStr">
        <is>
          <t>MLLB_000_y1.0.3</t>
        </is>
      </c>
      <c r="C796" t="inlineStr">
        <is>
          <t>WHITE</t>
        </is>
      </c>
      <c r="D796" t="inlineStr">
        <is>
          <t>v4_white_MLLB_000_y103_0924</t>
        </is>
      </c>
      <c r="E796" t="n">
        <v>3.4</v>
      </c>
      <c r="F796" t="n">
        <v>3.408</v>
      </c>
      <c r="G796" t="n">
        <v>6</v>
      </c>
      <c r="H796" t="n">
        <v>80</v>
      </c>
      <c r="I796" t="n">
        <v>16</v>
      </c>
      <c r="J796" t="inlineStr">
        <is>
          <t>kaba</t>
        </is>
      </c>
      <c r="K796" t="b">
        <v>1</v>
      </c>
      <c r="M796" t="n">
        <v>272</v>
      </c>
      <c r="N796" t="n">
        <v>50</v>
      </c>
      <c r="O796" t="n">
        <v>242</v>
      </c>
      <c r="P796" t="n">
        <v>730</v>
      </c>
      <c r="Q796" t="n">
        <v>1002</v>
      </c>
      <c r="R796" t="n">
        <v>1.098</v>
      </c>
      <c r="S796" t="n">
        <v>10.417</v>
      </c>
      <c r="T796" t="n">
        <v>9.489000000000001</v>
      </c>
      <c r="U796" t="n">
        <v>0.7773</v>
      </c>
      <c r="V796" t="b">
        <v>1</v>
      </c>
      <c r="X796" t="b">
        <v>0</v>
      </c>
      <c r="Y796" t="inlineStr">
        <is>
          <t>AKIM</t>
        </is>
      </c>
      <c r="Z796" t="n">
        <v>935</v>
      </c>
      <c r="AA796" t="n">
        <v>2.5</v>
      </c>
      <c r="AB796" t="n">
        <v>9.5</v>
      </c>
    </row>
    <row r="797">
      <c r="A797" t="inlineStr">
        <is>
          <t>2026-09-24 14:48:57</t>
        </is>
      </c>
      <c r="B797" t="inlineStr">
        <is>
          <t>MLLB_000_y1.0.3</t>
        </is>
      </c>
      <c r="C797" t="inlineStr">
        <is>
          <t>WHITE</t>
        </is>
      </c>
      <c r="D797" t="inlineStr">
        <is>
          <t>v4_white_MLLB_000_y103_0924</t>
        </is>
      </c>
      <c r="E797" t="n">
        <v>3.4</v>
      </c>
      <c r="F797" t="n">
        <v>3.408</v>
      </c>
      <c r="G797" t="n">
        <v>6</v>
      </c>
      <c r="H797" t="n">
        <v>80</v>
      </c>
      <c r="I797" t="n">
        <v>20</v>
      </c>
      <c r="J797" t="inlineStr">
        <is>
          <t>kaba</t>
        </is>
      </c>
      <c r="K797" t="b">
        <v>1</v>
      </c>
      <c r="M797" t="n">
        <v>202</v>
      </c>
      <c r="N797" t="n">
        <v>44</v>
      </c>
      <c r="O797" t="n">
        <v>174</v>
      </c>
      <c r="P797" t="n">
        <v>800</v>
      </c>
      <c r="Q797" t="n">
        <v>1002</v>
      </c>
      <c r="R797" t="n">
        <v>1.092</v>
      </c>
      <c r="S797" t="n">
        <v>10.422</v>
      </c>
      <c r="T797" t="n">
        <v>9.548</v>
      </c>
      <c r="U797" t="n">
        <v>0.7779</v>
      </c>
      <c r="V797" t="b">
        <v>1</v>
      </c>
      <c r="X797" t="b">
        <v>0</v>
      </c>
      <c r="Y797" t="inlineStr">
        <is>
          <t>ON</t>
        </is>
      </c>
      <c r="Z797" t="n">
        <v>935</v>
      </c>
      <c r="AA797" t="n">
        <v>2.5</v>
      </c>
      <c r="AB797" t="n">
        <v>9.5</v>
      </c>
    </row>
    <row r="798">
      <c r="A798" t="inlineStr">
        <is>
          <t>2026-09-24 14:49:13</t>
        </is>
      </c>
      <c r="B798" t="inlineStr">
        <is>
          <t>MLLB_000_y1.0.3</t>
        </is>
      </c>
      <c r="C798" t="inlineStr">
        <is>
          <t>WHITE</t>
        </is>
      </c>
      <c r="D798" t="inlineStr">
        <is>
          <t>v4_white_MLLB_000_y103_0924</t>
        </is>
      </c>
      <c r="E798" t="n">
        <v>3.4</v>
      </c>
      <c r="F798" t="n">
        <v>3.408</v>
      </c>
      <c r="G798" t="n">
        <v>6</v>
      </c>
      <c r="H798" t="n">
        <v>80</v>
      </c>
      <c r="I798" t="n">
        <v>24</v>
      </c>
      <c r="J798" t="inlineStr">
        <is>
          <t>kaba</t>
        </is>
      </c>
      <c r="K798" t="b">
        <v>1</v>
      </c>
      <c r="M798" t="n">
        <v>132</v>
      </c>
      <c r="N798" t="n">
        <v>48</v>
      </c>
      <c r="O798" t="n">
        <v>102</v>
      </c>
      <c r="P798" t="n">
        <v>870</v>
      </c>
      <c r="Q798" t="n">
        <v>1002</v>
      </c>
      <c r="R798" t="n">
        <v>1.091</v>
      </c>
      <c r="S798" t="n">
        <v>10.436</v>
      </c>
      <c r="T798" t="n">
        <v>9.564</v>
      </c>
      <c r="U798" t="n">
        <v>0.7775</v>
      </c>
      <c r="V798" t="b">
        <v>1</v>
      </c>
      <c r="X798" t="b">
        <v>0</v>
      </c>
      <c r="Y798" t="inlineStr">
        <is>
          <t>ON</t>
        </is>
      </c>
      <c r="Z798" t="n">
        <v>935</v>
      </c>
      <c r="AA798" t="n">
        <v>2.5</v>
      </c>
      <c r="AB798" t="n">
        <v>9.5</v>
      </c>
    </row>
    <row r="799">
      <c r="A799" t="inlineStr">
        <is>
          <t>2026-09-24 14:49:29</t>
        </is>
      </c>
      <c r="B799" t="inlineStr">
        <is>
          <t>MLLB_000_y1.0.3</t>
        </is>
      </c>
      <c r="C799" t="inlineStr">
        <is>
          <t>WHITE</t>
        </is>
      </c>
      <c r="D799" t="inlineStr">
        <is>
          <t>v4_white_MLLB_000_y103_0924</t>
        </is>
      </c>
      <c r="E799" t="n">
        <v>3.4</v>
      </c>
      <c r="F799" t="n">
        <v>3.408</v>
      </c>
      <c r="G799" t="n">
        <v>6</v>
      </c>
      <c r="H799" t="n">
        <v>80</v>
      </c>
      <c r="I799" t="n">
        <v>28</v>
      </c>
      <c r="J799" t="inlineStr">
        <is>
          <t>kaba</t>
        </is>
      </c>
      <c r="K799" t="b">
        <v>1</v>
      </c>
      <c r="M799" t="n">
        <v>58</v>
      </c>
      <c r="N799" t="n">
        <v>48</v>
      </c>
      <c r="O799" t="n">
        <v>30</v>
      </c>
      <c r="P799" t="n">
        <v>944</v>
      </c>
      <c r="Q799" t="n">
        <v>1002</v>
      </c>
      <c r="R799" t="n">
        <v>1.089</v>
      </c>
      <c r="S799" t="n">
        <v>10.417</v>
      </c>
      <c r="T799" t="n">
        <v>9.561999999999999</v>
      </c>
      <c r="U799" t="n">
        <v>0.7776999999999999</v>
      </c>
      <c r="V799" t="b">
        <v>1</v>
      </c>
      <c r="X799" t="b">
        <v>1</v>
      </c>
      <c r="Z799" t="n">
        <v>935</v>
      </c>
      <c r="AA799" t="n">
        <v>2.5</v>
      </c>
      <c r="AB799" t="n">
        <v>9.5</v>
      </c>
    </row>
    <row r="800">
      <c r="A800" t="inlineStr">
        <is>
          <t>2026-09-24 14:49:45</t>
        </is>
      </c>
      <c r="B800" t="inlineStr">
        <is>
          <t>MLLB_000_y1.0.3</t>
        </is>
      </c>
      <c r="C800" t="inlineStr">
        <is>
          <t>WHITE</t>
        </is>
      </c>
      <c r="D800" t="inlineStr">
        <is>
          <t>v4_white_MLLB_000_y103_0924</t>
        </is>
      </c>
      <c r="E800" t="n">
        <v>3.4</v>
      </c>
      <c r="F800" t="n">
        <v>3.408</v>
      </c>
      <c r="G800" t="n">
        <v>6</v>
      </c>
      <c r="H800" t="n">
        <v>80</v>
      </c>
      <c r="I800" t="n">
        <v>32</v>
      </c>
      <c r="J800" t="inlineStr">
        <is>
          <t>kaba</t>
        </is>
      </c>
      <c r="K800" t="b">
        <v>1</v>
      </c>
      <c r="M800" t="n">
        <v>38</v>
      </c>
      <c r="N800" t="n">
        <v>28</v>
      </c>
      <c r="O800" t="n">
        <v>18</v>
      </c>
      <c r="P800" t="n">
        <v>964</v>
      </c>
      <c r="Q800" t="n">
        <v>1002</v>
      </c>
      <c r="R800" t="n">
        <v>2.999</v>
      </c>
      <c r="S800" t="n">
        <v>28.805</v>
      </c>
      <c r="T800" t="n">
        <v>9.605</v>
      </c>
      <c r="U800" t="n">
        <v>0.7773</v>
      </c>
      <c r="V800" t="b">
        <v>1</v>
      </c>
      <c r="X800" t="b">
        <v>0</v>
      </c>
      <c r="Y800" t="inlineStr">
        <is>
          <t>FLAS</t>
        </is>
      </c>
      <c r="Z800" t="n">
        <v>935</v>
      </c>
      <c r="AA800" t="n">
        <v>2.5</v>
      </c>
      <c r="AB800" t="n">
        <v>9.5</v>
      </c>
    </row>
    <row r="801">
      <c r="A801" t="inlineStr">
        <is>
          <t>2026-09-24 14:50:01</t>
        </is>
      </c>
      <c r="B801" t="inlineStr">
        <is>
          <t>MLLB_000_y1.0.3</t>
        </is>
      </c>
      <c r="C801" t="inlineStr">
        <is>
          <t>WHITE</t>
        </is>
      </c>
      <c r="D801" t="inlineStr">
        <is>
          <t>v4_white_MLLB_000_y103_0924</t>
        </is>
      </c>
      <c r="E801" t="n">
        <v>3.4</v>
      </c>
      <c r="F801" t="n">
        <v>3.408</v>
      </c>
      <c r="G801" t="n">
        <v>6</v>
      </c>
      <c r="H801" t="n">
        <v>80</v>
      </c>
      <c r="I801" t="n">
        <v>36</v>
      </c>
      <c r="J801" t="inlineStr">
        <is>
          <t>kaba</t>
        </is>
      </c>
      <c r="K801" t="b">
        <v>1</v>
      </c>
      <c r="M801" t="n">
        <v>38</v>
      </c>
      <c r="N801" t="n">
        <v>28</v>
      </c>
      <c r="O801" t="n">
        <v>18</v>
      </c>
      <c r="P801" t="n">
        <v>964</v>
      </c>
      <c r="Q801" t="n">
        <v>1002</v>
      </c>
      <c r="R801" t="n">
        <v>13.332</v>
      </c>
      <c r="S801" t="n">
        <v>127.837</v>
      </c>
      <c r="T801" t="n">
        <v>9.589</v>
      </c>
      <c r="U801" t="n">
        <v>0.778</v>
      </c>
      <c r="V801" t="b">
        <v>1</v>
      </c>
      <c r="X801" t="b">
        <v>0</v>
      </c>
      <c r="Y801" t="inlineStr">
        <is>
          <t>FLAS</t>
        </is>
      </c>
      <c r="Z801" t="n">
        <v>935</v>
      </c>
      <c r="AA801" t="n">
        <v>2.5</v>
      </c>
      <c r="AB801" t="n">
        <v>9.5</v>
      </c>
    </row>
    <row r="802">
      <c r="A802" t="inlineStr">
        <is>
          <t>2026-09-24 14:50:17</t>
        </is>
      </c>
      <c r="B802" t="inlineStr">
        <is>
          <t>MLLB_000_y1.0.3</t>
        </is>
      </c>
      <c r="C802" t="inlineStr">
        <is>
          <t>WHITE</t>
        </is>
      </c>
      <c r="D802" t="inlineStr">
        <is>
          <t>v4_white_MLLB_000_y103_0924</t>
        </is>
      </c>
      <c r="E802" t="n">
        <v>3.4</v>
      </c>
      <c r="F802" t="n">
        <v>3.408</v>
      </c>
      <c r="G802" t="n">
        <v>6</v>
      </c>
      <c r="H802" t="n">
        <v>80</v>
      </c>
      <c r="I802" t="n">
        <v>25</v>
      </c>
      <c r="J802" t="inlineStr">
        <is>
          <t>ince</t>
        </is>
      </c>
      <c r="K802" t="b">
        <v>1</v>
      </c>
      <c r="M802" t="n">
        <v>114</v>
      </c>
      <c r="N802" t="n">
        <v>50</v>
      </c>
      <c r="O802" t="n">
        <v>86</v>
      </c>
      <c r="P802" t="n">
        <v>888</v>
      </c>
      <c r="Q802" t="n">
        <v>1002</v>
      </c>
      <c r="R802" t="n">
        <v>1.095</v>
      </c>
      <c r="S802" t="n">
        <v>10.463</v>
      </c>
      <c r="T802" t="n">
        <v>9.56</v>
      </c>
      <c r="U802" t="n">
        <v>0.7779</v>
      </c>
      <c r="V802" t="b">
        <v>1</v>
      </c>
      <c r="X802" t="b">
        <v>0</v>
      </c>
      <c r="Y802" t="inlineStr">
        <is>
          <t>ON</t>
        </is>
      </c>
      <c r="Z802" t="n">
        <v>935</v>
      </c>
      <c r="AA802" t="n">
        <v>2.5</v>
      </c>
      <c r="AB802" t="n">
        <v>9.5</v>
      </c>
    </row>
    <row r="803">
      <c r="A803" t="inlineStr">
        <is>
          <t>2026-09-24 14:50:33</t>
        </is>
      </c>
      <c r="B803" t="inlineStr">
        <is>
          <t>MLLB_000_y1.0.3</t>
        </is>
      </c>
      <c r="C803" t="inlineStr">
        <is>
          <t>WHITE</t>
        </is>
      </c>
      <c r="D803" t="inlineStr">
        <is>
          <t>v4_white_MLLB_000_y103_0924</t>
        </is>
      </c>
      <c r="E803" t="n">
        <v>3.4</v>
      </c>
      <c r="F803" t="n">
        <v>3.408</v>
      </c>
      <c r="G803" t="n">
        <v>6</v>
      </c>
      <c r="H803" t="n">
        <v>80</v>
      </c>
      <c r="I803" t="n">
        <v>26</v>
      </c>
      <c r="J803" t="inlineStr">
        <is>
          <t>ince</t>
        </is>
      </c>
      <c r="K803" t="b">
        <v>1</v>
      </c>
      <c r="M803" t="n">
        <v>96</v>
      </c>
      <c r="N803" t="n">
        <v>48</v>
      </c>
      <c r="O803" t="n">
        <v>66</v>
      </c>
      <c r="P803" t="n">
        <v>906</v>
      </c>
      <c r="Q803" t="n">
        <v>1002</v>
      </c>
      <c r="R803" t="n">
        <v>1.094</v>
      </c>
      <c r="S803" t="n">
        <v>10.462</v>
      </c>
      <c r="T803" t="n">
        <v>9.568</v>
      </c>
      <c r="U803" t="n">
        <v>0.7774</v>
      </c>
      <c r="V803" t="b">
        <v>1</v>
      </c>
      <c r="X803" t="b">
        <v>0</v>
      </c>
      <c r="Y803" t="inlineStr">
        <is>
          <t>ON</t>
        </is>
      </c>
      <c r="Z803" t="n">
        <v>935</v>
      </c>
      <c r="AA803" t="n">
        <v>2.5</v>
      </c>
      <c r="AB803" t="n">
        <v>9.5</v>
      </c>
    </row>
    <row r="804">
      <c r="A804" t="inlineStr">
        <is>
          <t>2026-09-24 14:50:49</t>
        </is>
      </c>
      <c r="B804" t="inlineStr">
        <is>
          <t>MLLB_000_y1.0.3</t>
        </is>
      </c>
      <c r="C804" t="inlineStr">
        <is>
          <t>WHITE</t>
        </is>
      </c>
      <c r="D804" t="inlineStr">
        <is>
          <t>v4_white_MLLB_000_y103_0924</t>
        </is>
      </c>
      <c r="E804" t="n">
        <v>3.4</v>
      </c>
      <c r="F804" t="n">
        <v>3.408</v>
      </c>
      <c r="G804" t="n">
        <v>6</v>
      </c>
      <c r="H804" t="n">
        <v>80</v>
      </c>
      <c r="I804" t="n">
        <v>27</v>
      </c>
      <c r="J804" t="inlineStr">
        <is>
          <t>ince</t>
        </is>
      </c>
      <c r="K804" t="b">
        <v>1</v>
      </c>
      <c r="M804" t="n">
        <v>78</v>
      </c>
      <c r="N804" t="n">
        <v>52</v>
      </c>
      <c r="O804" t="n">
        <v>48</v>
      </c>
      <c r="P804" t="n">
        <v>924</v>
      </c>
      <c r="Q804" t="n">
        <v>1002</v>
      </c>
      <c r="R804" t="n">
        <v>1.096</v>
      </c>
      <c r="S804" t="n">
        <v>10.508</v>
      </c>
      <c r="T804" t="n">
        <v>9.592000000000001</v>
      </c>
      <c r="U804" t="n">
        <v>0.7782</v>
      </c>
      <c r="V804" t="b">
        <v>1</v>
      </c>
      <c r="X804" t="b">
        <v>0</v>
      </c>
      <c r="Y804" t="inlineStr">
        <is>
          <t>ON</t>
        </is>
      </c>
      <c r="Z804" t="n">
        <v>935</v>
      </c>
      <c r="AA804" t="n">
        <v>2.5</v>
      </c>
      <c r="AB804" t="n">
        <v>9.5</v>
      </c>
    </row>
    <row r="805">
      <c r="A805" t="inlineStr">
        <is>
          <t>2026-09-24 14:51:05</t>
        </is>
      </c>
      <c r="B805" t="inlineStr">
        <is>
          <t>MLLB_000_y1.0.3</t>
        </is>
      </c>
      <c r="C805" t="inlineStr">
        <is>
          <t>WHITE</t>
        </is>
      </c>
      <c r="D805" t="inlineStr">
        <is>
          <t>v4_white_MLLB_000_y103_0924</t>
        </is>
      </c>
      <c r="E805" t="n">
        <v>3.4</v>
      </c>
      <c r="F805" t="n">
        <v>3.408</v>
      </c>
      <c r="G805" t="n">
        <v>6</v>
      </c>
      <c r="H805" t="n">
        <v>80</v>
      </c>
      <c r="I805" t="n">
        <v>29</v>
      </c>
      <c r="J805" t="inlineStr">
        <is>
          <t>ince</t>
        </is>
      </c>
      <c r="K805" t="b">
        <v>1</v>
      </c>
      <c r="M805" t="n">
        <v>40</v>
      </c>
      <c r="N805" t="n">
        <v>42</v>
      </c>
      <c r="O805" t="n">
        <v>18</v>
      </c>
      <c r="P805" t="n">
        <v>962</v>
      </c>
      <c r="Q805" t="n">
        <v>1002</v>
      </c>
      <c r="R805" t="n">
        <v>1.095</v>
      </c>
      <c r="S805" t="n">
        <v>10.487</v>
      </c>
      <c r="T805" t="n">
        <v>9.574</v>
      </c>
      <c r="U805" t="n">
        <v>0.7775</v>
      </c>
      <c r="V805" t="b">
        <v>1</v>
      </c>
      <c r="X805" t="b">
        <v>1</v>
      </c>
      <c r="Z805" t="n">
        <v>935</v>
      </c>
      <c r="AA805" t="n">
        <v>2.5</v>
      </c>
      <c r="AB805" t="n">
        <v>9.5</v>
      </c>
    </row>
    <row r="806">
      <c r="A806" t="inlineStr">
        <is>
          <t>2026-09-24 14:51:21</t>
        </is>
      </c>
      <c r="B806" t="inlineStr">
        <is>
          <t>MLLB_000_y1.0.3</t>
        </is>
      </c>
      <c r="C806" t="inlineStr">
        <is>
          <t>WHITE</t>
        </is>
      </c>
      <c r="D806" t="inlineStr">
        <is>
          <t>v4_white_MLLB_000_y103_0924</t>
        </is>
      </c>
      <c r="E806" t="n">
        <v>3.4</v>
      </c>
      <c r="F806" t="n">
        <v>3.408</v>
      </c>
      <c r="G806" t="n">
        <v>6</v>
      </c>
      <c r="H806" t="n">
        <v>80</v>
      </c>
      <c r="I806" t="n">
        <v>30</v>
      </c>
      <c r="J806" t="inlineStr">
        <is>
          <t>ince</t>
        </is>
      </c>
      <c r="K806" t="b">
        <v>1</v>
      </c>
      <c r="M806" t="n">
        <v>38</v>
      </c>
      <c r="N806" t="n">
        <v>28</v>
      </c>
      <c r="O806" t="n">
        <v>18</v>
      </c>
      <c r="P806" t="n">
        <v>964</v>
      </c>
      <c r="Q806" t="n">
        <v>1002</v>
      </c>
      <c r="R806" t="n">
        <v>1.092</v>
      </c>
      <c r="S806" t="n">
        <v>10.462</v>
      </c>
      <c r="T806" t="n">
        <v>9.579000000000001</v>
      </c>
      <c r="U806" t="n">
        <v>0.7774</v>
      </c>
      <c r="V806" t="b">
        <v>1</v>
      </c>
      <c r="X806" t="b">
        <v>1</v>
      </c>
      <c r="Z806" t="n">
        <v>935</v>
      </c>
      <c r="AA806" t="n">
        <v>2.5</v>
      </c>
      <c r="AB806" t="n">
        <v>9.5</v>
      </c>
    </row>
    <row r="807">
      <c r="A807" t="inlineStr">
        <is>
          <t>2026-09-24 14:51:37</t>
        </is>
      </c>
      <c r="B807" t="inlineStr">
        <is>
          <t>MLLB_000_y1.0.3</t>
        </is>
      </c>
      <c r="C807" t="inlineStr">
        <is>
          <t>WHITE</t>
        </is>
      </c>
      <c r="D807" t="inlineStr">
        <is>
          <t>v4_white_MLLB_000_y103_0924</t>
        </is>
      </c>
      <c r="E807" t="n">
        <v>3.4</v>
      </c>
      <c r="F807" t="n">
        <v>3.408</v>
      </c>
      <c r="G807" t="n">
        <v>6</v>
      </c>
      <c r="H807" t="n">
        <v>80</v>
      </c>
      <c r="I807" t="n">
        <v>31</v>
      </c>
      <c r="J807" t="inlineStr">
        <is>
          <t>ince</t>
        </is>
      </c>
      <c r="K807" t="b">
        <v>1</v>
      </c>
      <c r="M807" t="n">
        <v>38</v>
      </c>
      <c r="N807" t="n">
        <v>28</v>
      </c>
      <c r="O807" t="n">
        <v>18</v>
      </c>
      <c r="P807" t="n">
        <v>964</v>
      </c>
      <c r="Q807" t="n">
        <v>1002</v>
      </c>
      <c r="R807" t="n">
        <v>2.142</v>
      </c>
      <c r="S807" t="n">
        <v>20.509</v>
      </c>
      <c r="T807" t="n">
        <v>9.573</v>
      </c>
      <c r="U807" t="n">
        <v>0.7778</v>
      </c>
      <c r="V807" t="b">
        <v>1</v>
      </c>
      <c r="X807" t="b">
        <v>1</v>
      </c>
      <c r="Z807" t="n">
        <v>935</v>
      </c>
      <c r="AA807" t="n">
        <v>2.5</v>
      </c>
      <c r="AB807" t="n">
        <v>9.5</v>
      </c>
    </row>
    <row r="808">
      <c r="A808" t="inlineStr">
        <is>
          <t>2026-09-24 14:51:38</t>
        </is>
      </c>
      <c r="B808" t="inlineStr">
        <is>
          <t>MLLB_000_y1.0.3</t>
        </is>
      </c>
      <c r="C808" t="inlineStr">
        <is>
          <t>WHITE</t>
        </is>
      </c>
      <c r="D808" t="inlineStr">
        <is>
          <t>v4_white_MLLB_000_y103_0924</t>
        </is>
      </c>
      <c r="E808" t="n">
        <v>3.4</v>
      </c>
      <c r="F808" t="n">
        <v>3.408</v>
      </c>
      <c r="G808" t="n">
        <v>6</v>
      </c>
      <c r="H808" t="n">
        <v>80</v>
      </c>
      <c r="J808" t="inlineStr">
        <is>
          <t>bitti</t>
        </is>
      </c>
      <c r="K808" t="b">
        <v>0</v>
      </c>
      <c r="Z808" t="n">
        <v>935</v>
      </c>
      <c r="AA808" t="n">
        <v>2.5</v>
      </c>
      <c r="AB808" t="n">
        <v>9.5</v>
      </c>
    </row>
    <row r="809">
      <c r="A809" t="inlineStr">
        <is>
          <t>2026-09-24 14:51:53</t>
        </is>
      </c>
      <c r="B809" t="inlineStr">
        <is>
          <t>MLLB_000_y1.0.3</t>
        </is>
      </c>
      <c r="C809" t="inlineStr">
        <is>
          <t>WHITE</t>
        </is>
      </c>
      <c r="D809" t="inlineStr">
        <is>
          <t>v4_white_MLLB_000_y103_0924</t>
        </is>
      </c>
      <c r="E809" t="n">
        <v>3.4</v>
      </c>
      <c r="F809" t="n">
        <v>3.408</v>
      </c>
      <c r="G809" t="n">
        <v>6</v>
      </c>
      <c r="H809" t="n">
        <v>60</v>
      </c>
      <c r="I809" t="n">
        <v>12</v>
      </c>
      <c r="J809" t="inlineStr">
        <is>
          <t>kaba</t>
        </is>
      </c>
      <c r="K809" t="b">
        <v>1</v>
      </c>
      <c r="M809" t="n">
        <v>386</v>
      </c>
      <c r="N809" t="n">
        <v>50</v>
      </c>
      <c r="O809" t="n">
        <v>358</v>
      </c>
      <c r="P809" t="n">
        <v>616</v>
      </c>
      <c r="Q809" t="n">
        <v>1002</v>
      </c>
      <c r="R809" t="n">
        <v>1.112</v>
      </c>
      <c r="S809" t="n">
        <v>10.473</v>
      </c>
      <c r="T809" t="n">
        <v>9.416</v>
      </c>
      <c r="U809" t="n">
        <v>0.7776</v>
      </c>
      <c r="V809" t="b">
        <v>1</v>
      </c>
      <c r="X809" t="b">
        <v>0</v>
      </c>
      <c r="Y809" t="inlineStr">
        <is>
          <t>AKIM</t>
        </is>
      </c>
      <c r="Z809" t="n">
        <v>935</v>
      </c>
      <c r="AA809" t="n">
        <v>2.5</v>
      </c>
      <c r="AB809" t="n">
        <v>9.5</v>
      </c>
    </row>
    <row r="810">
      <c r="A810" t="inlineStr">
        <is>
          <t>2026-09-24 14:52:09</t>
        </is>
      </c>
      <c r="B810" t="inlineStr">
        <is>
          <t>MLLB_000_y1.0.3</t>
        </is>
      </c>
      <c r="C810" t="inlineStr">
        <is>
          <t>WHITE</t>
        </is>
      </c>
      <c r="D810" t="inlineStr">
        <is>
          <t>v4_white_MLLB_000_y103_0924</t>
        </is>
      </c>
      <c r="E810" t="n">
        <v>3.4</v>
      </c>
      <c r="F810" t="n">
        <v>3.408</v>
      </c>
      <c r="G810" t="n">
        <v>6</v>
      </c>
      <c r="H810" t="n">
        <v>60</v>
      </c>
      <c r="I810" t="n">
        <v>16</v>
      </c>
      <c r="J810" t="inlineStr">
        <is>
          <t>kaba</t>
        </is>
      </c>
      <c r="K810" t="b">
        <v>1</v>
      </c>
      <c r="M810" t="n">
        <v>338</v>
      </c>
      <c r="N810" t="n">
        <v>50</v>
      </c>
      <c r="O810" t="n">
        <v>310</v>
      </c>
      <c r="P810" t="n">
        <v>664</v>
      </c>
      <c r="Q810" t="n">
        <v>1002</v>
      </c>
      <c r="R810" t="n">
        <v>1.105</v>
      </c>
      <c r="S810" t="n">
        <v>10.417</v>
      </c>
      <c r="T810" t="n">
        <v>9.429</v>
      </c>
      <c r="U810" t="n">
        <v>0.7779</v>
      </c>
      <c r="V810" t="b">
        <v>1</v>
      </c>
      <c r="X810" t="b">
        <v>0</v>
      </c>
      <c r="Y810" t="inlineStr">
        <is>
          <t>AKIM</t>
        </is>
      </c>
      <c r="Z810" t="n">
        <v>935</v>
      </c>
      <c r="AA810" t="n">
        <v>2.5</v>
      </c>
      <c r="AB810" t="n">
        <v>9.5</v>
      </c>
    </row>
    <row r="811">
      <c r="A811" t="inlineStr">
        <is>
          <t>2026-09-24 14:52:25</t>
        </is>
      </c>
      <c r="B811" t="inlineStr">
        <is>
          <t>MLLB_000_y1.0.3</t>
        </is>
      </c>
      <c r="C811" t="inlineStr">
        <is>
          <t>WHITE</t>
        </is>
      </c>
      <c r="D811" t="inlineStr">
        <is>
          <t>v4_white_MLLB_000_y103_0924</t>
        </is>
      </c>
      <c r="E811" t="n">
        <v>3.4</v>
      </c>
      <c r="F811" t="n">
        <v>3.408</v>
      </c>
      <c r="G811" t="n">
        <v>6</v>
      </c>
      <c r="H811" t="n">
        <v>60</v>
      </c>
      <c r="I811" t="n">
        <v>20</v>
      </c>
      <c r="J811" t="inlineStr">
        <is>
          <t>kaba</t>
        </is>
      </c>
      <c r="K811" t="b">
        <v>1</v>
      </c>
      <c r="M811" t="n">
        <v>286</v>
      </c>
      <c r="N811" t="n">
        <v>50</v>
      </c>
      <c r="O811" t="n">
        <v>258</v>
      </c>
      <c r="P811" t="n">
        <v>716</v>
      </c>
      <c r="Q811" t="n">
        <v>1002</v>
      </c>
      <c r="R811" t="n">
        <v>1.103</v>
      </c>
      <c r="S811" t="n">
        <v>10.448</v>
      </c>
      <c r="T811" t="n">
        <v>9.471</v>
      </c>
      <c r="U811" t="n">
        <v>0.7774</v>
      </c>
      <c r="V811" t="b">
        <v>1</v>
      </c>
      <c r="X811" t="b">
        <v>0</v>
      </c>
      <c r="Y811" t="inlineStr">
        <is>
          <t>AKIM</t>
        </is>
      </c>
      <c r="Z811" t="n">
        <v>935</v>
      </c>
      <c r="AA811" t="n">
        <v>2.5</v>
      </c>
      <c r="AB811" t="n">
        <v>9.5</v>
      </c>
    </row>
    <row r="812">
      <c r="A812" t="inlineStr">
        <is>
          <t>2026-09-24 14:52:41</t>
        </is>
      </c>
      <c r="B812" t="inlineStr">
        <is>
          <t>MLLB_000_y1.0.3</t>
        </is>
      </c>
      <c r="C812" t="inlineStr">
        <is>
          <t>WHITE</t>
        </is>
      </c>
      <c r="D812" t="inlineStr">
        <is>
          <t>v4_white_MLLB_000_y103_0924</t>
        </is>
      </c>
      <c r="E812" t="n">
        <v>3.4</v>
      </c>
      <c r="F812" t="n">
        <v>3.408</v>
      </c>
      <c r="G812" t="n">
        <v>6</v>
      </c>
      <c r="H812" t="n">
        <v>60</v>
      </c>
      <c r="I812" t="n">
        <v>24</v>
      </c>
      <c r="J812" t="inlineStr">
        <is>
          <t>kaba</t>
        </is>
      </c>
      <c r="K812" t="b">
        <v>1</v>
      </c>
      <c r="M812" t="n">
        <v>234</v>
      </c>
      <c r="N812" t="n">
        <v>50</v>
      </c>
      <c r="O812" t="n">
        <v>206</v>
      </c>
      <c r="P812" t="n">
        <v>768</v>
      </c>
      <c r="Q812" t="n">
        <v>1002</v>
      </c>
      <c r="R812" t="n">
        <v>1.1</v>
      </c>
      <c r="S812" t="n">
        <v>10.468</v>
      </c>
      <c r="T812" t="n">
        <v>9.513</v>
      </c>
      <c r="U812" t="n">
        <v>0.7778</v>
      </c>
      <c r="V812" t="b">
        <v>1</v>
      </c>
      <c r="X812" t="b">
        <v>0</v>
      </c>
      <c r="Y812" t="inlineStr">
        <is>
          <t>ON</t>
        </is>
      </c>
      <c r="Z812" t="n">
        <v>935</v>
      </c>
      <c r="AA812" t="n">
        <v>2.5</v>
      </c>
      <c r="AB812" t="n">
        <v>9.5</v>
      </c>
    </row>
    <row r="813">
      <c r="A813" t="inlineStr">
        <is>
          <t>2026-09-24 14:52:57</t>
        </is>
      </c>
      <c r="B813" t="inlineStr">
        <is>
          <t>MLLB_000_y1.0.3</t>
        </is>
      </c>
      <c r="C813" t="inlineStr">
        <is>
          <t>WHITE</t>
        </is>
      </c>
      <c r="D813" t="inlineStr">
        <is>
          <t>v4_white_MLLB_000_y103_0924</t>
        </is>
      </c>
      <c r="E813" t="n">
        <v>3.4</v>
      </c>
      <c r="F813" t="n">
        <v>3.408</v>
      </c>
      <c r="G813" t="n">
        <v>6</v>
      </c>
      <c r="H813" t="n">
        <v>60</v>
      </c>
      <c r="I813" t="n">
        <v>28</v>
      </c>
      <c r="J813" t="inlineStr">
        <is>
          <t>kaba</t>
        </is>
      </c>
      <c r="K813" t="b">
        <v>1</v>
      </c>
      <c r="M813" t="n">
        <v>184</v>
      </c>
      <c r="N813" t="n">
        <v>48</v>
      </c>
      <c r="O813" t="n">
        <v>154</v>
      </c>
      <c r="P813" t="n">
        <v>818</v>
      </c>
      <c r="Q813" t="n">
        <v>1002</v>
      </c>
      <c r="R813" t="n">
        <v>1.094</v>
      </c>
      <c r="S813" t="n">
        <v>10.417</v>
      </c>
      <c r="T813" t="n">
        <v>9.523999999999999</v>
      </c>
      <c r="U813" t="n">
        <v>0.7779</v>
      </c>
      <c r="V813" t="b">
        <v>1</v>
      </c>
      <c r="X813" t="b">
        <v>0</v>
      </c>
      <c r="Y813" t="inlineStr">
        <is>
          <t>ON</t>
        </is>
      </c>
      <c r="Z813" t="n">
        <v>935</v>
      </c>
      <c r="AA813" t="n">
        <v>2.5</v>
      </c>
      <c r="AB813" t="n">
        <v>9.5</v>
      </c>
    </row>
    <row r="814">
      <c r="A814" t="inlineStr">
        <is>
          <t>2026-09-24 14:53:13</t>
        </is>
      </c>
      <c r="B814" t="inlineStr">
        <is>
          <t>MLLB_000_y1.0.3</t>
        </is>
      </c>
      <c r="C814" t="inlineStr">
        <is>
          <t>WHITE</t>
        </is>
      </c>
      <c r="D814" t="inlineStr">
        <is>
          <t>v4_white_MLLB_000_y103_0924</t>
        </is>
      </c>
      <c r="E814" t="n">
        <v>3.4</v>
      </c>
      <c r="F814" t="n">
        <v>3.408</v>
      </c>
      <c r="G814" t="n">
        <v>6</v>
      </c>
      <c r="H814" t="n">
        <v>60</v>
      </c>
      <c r="I814" t="n">
        <v>32</v>
      </c>
      <c r="J814" t="inlineStr">
        <is>
          <t>kaba</t>
        </is>
      </c>
      <c r="K814" t="b">
        <v>1</v>
      </c>
      <c r="M814" t="n">
        <v>132</v>
      </c>
      <c r="N814" t="n">
        <v>50</v>
      </c>
      <c r="O814" t="n">
        <v>102</v>
      </c>
      <c r="P814" t="n">
        <v>870</v>
      </c>
      <c r="Q814" t="n">
        <v>1002</v>
      </c>
      <c r="R814" t="n">
        <v>1.09</v>
      </c>
      <c r="S814" t="n">
        <v>10.417</v>
      </c>
      <c r="T814" t="n">
        <v>9.557</v>
      </c>
      <c r="U814" t="n">
        <v>0.7779</v>
      </c>
      <c r="V814" t="b">
        <v>1</v>
      </c>
      <c r="X814" t="b">
        <v>0</v>
      </c>
      <c r="Y814" t="inlineStr">
        <is>
          <t>ON</t>
        </is>
      </c>
      <c r="Z814" t="n">
        <v>935</v>
      </c>
      <c r="AA814" t="n">
        <v>2.5</v>
      </c>
      <c r="AB814" t="n">
        <v>9.5</v>
      </c>
    </row>
    <row r="815">
      <c r="A815" t="inlineStr">
        <is>
          <t>2026-09-24 14:53:29</t>
        </is>
      </c>
      <c r="B815" t="inlineStr">
        <is>
          <t>MLLB_000_y1.0.3</t>
        </is>
      </c>
      <c r="C815" t="inlineStr">
        <is>
          <t>WHITE</t>
        </is>
      </c>
      <c r="D815" t="inlineStr">
        <is>
          <t>v4_white_MLLB_000_y103_0924</t>
        </is>
      </c>
      <c r="E815" t="n">
        <v>3.4</v>
      </c>
      <c r="F815" t="n">
        <v>3.408</v>
      </c>
      <c r="G815" t="n">
        <v>6</v>
      </c>
      <c r="H815" t="n">
        <v>60</v>
      </c>
      <c r="I815" t="n">
        <v>36</v>
      </c>
      <c r="J815" t="inlineStr">
        <is>
          <t>kaba</t>
        </is>
      </c>
      <c r="K815" t="b">
        <v>1</v>
      </c>
      <c r="M815" t="n">
        <v>78</v>
      </c>
      <c r="N815" t="n">
        <v>50</v>
      </c>
      <c r="O815" t="n">
        <v>50</v>
      </c>
      <c r="P815" t="n">
        <v>924</v>
      </c>
      <c r="Q815" t="n">
        <v>1002</v>
      </c>
      <c r="R815" t="n">
        <v>1.098</v>
      </c>
      <c r="S815" t="n">
        <v>10.508</v>
      </c>
      <c r="T815" t="n">
        <v>9.569000000000001</v>
      </c>
      <c r="U815" t="n">
        <v>0.7776</v>
      </c>
      <c r="V815" t="b">
        <v>1</v>
      </c>
      <c r="X815" t="b">
        <v>0</v>
      </c>
      <c r="Y815" t="inlineStr">
        <is>
          <t>ON</t>
        </is>
      </c>
      <c r="Z815" t="n">
        <v>935</v>
      </c>
      <c r="AA815" t="n">
        <v>2.5</v>
      </c>
      <c r="AB815" t="n">
        <v>9.5</v>
      </c>
    </row>
    <row r="816">
      <c r="A816" t="inlineStr">
        <is>
          <t>2026-09-24 14:53:45</t>
        </is>
      </c>
      <c r="B816" t="inlineStr">
        <is>
          <t>MLLB_000_y1.0.3</t>
        </is>
      </c>
      <c r="C816" t="inlineStr">
        <is>
          <t>WHITE</t>
        </is>
      </c>
      <c r="D816" t="inlineStr">
        <is>
          <t>v4_white_MLLB_000_y103_0924</t>
        </is>
      </c>
      <c r="E816" t="n">
        <v>3.4</v>
      </c>
      <c r="F816" t="n">
        <v>3.408</v>
      </c>
      <c r="G816" t="n">
        <v>6</v>
      </c>
      <c r="H816" t="n">
        <v>60</v>
      </c>
      <c r="I816" t="n">
        <v>40</v>
      </c>
      <c r="J816" t="inlineStr">
        <is>
          <t>kaba</t>
        </is>
      </c>
      <c r="K816" t="b">
        <v>1</v>
      </c>
      <c r="M816" t="n">
        <v>46</v>
      </c>
      <c r="N816" t="n">
        <v>28</v>
      </c>
      <c r="O816" t="n">
        <v>26</v>
      </c>
      <c r="P816" t="n">
        <v>956</v>
      </c>
      <c r="Q816" t="n">
        <v>1002</v>
      </c>
      <c r="R816" t="n">
        <v>1.319</v>
      </c>
      <c r="S816" t="n">
        <v>12.625</v>
      </c>
      <c r="T816" t="n">
        <v>9.571</v>
      </c>
      <c r="U816" t="n">
        <v>0.7784</v>
      </c>
      <c r="V816" t="b">
        <v>1</v>
      </c>
      <c r="X816" t="b">
        <v>1</v>
      </c>
      <c r="Z816" t="n">
        <v>935</v>
      </c>
      <c r="AA816" t="n">
        <v>2.5</v>
      </c>
      <c r="AB816" t="n">
        <v>9.5</v>
      </c>
    </row>
    <row r="817">
      <c r="A817" t="inlineStr">
        <is>
          <t>2026-09-24 14:54:01</t>
        </is>
      </c>
      <c r="B817" t="inlineStr">
        <is>
          <t>MLLB_000_y1.0.3</t>
        </is>
      </c>
      <c r="C817" t="inlineStr">
        <is>
          <t>WHITE</t>
        </is>
      </c>
      <c r="D817" t="inlineStr">
        <is>
          <t>v4_white_MLLB_000_y103_0924</t>
        </is>
      </c>
      <c r="E817" t="n">
        <v>3.4</v>
      </c>
      <c r="F817" t="n">
        <v>3.408</v>
      </c>
      <c r="G817" t="n">
        <v>6</v>
      </c>
      <c r="H817" t="n">
        <v>60</v>
      </c>
      <c r="I817" t="n">
        <v>44</v>
      </c>
      <c r="J817" t="inlineStr">
        <is>
          <t>kaba</t>
        </is>
      </c>
      <c r="K817" t="b">
        <v>1</v>
      </c>
      <c r="M817" t="n">
        <v>46</v>
      </c>
      <c r="N817" t="n">
        <v>28</v>
      </c>
      <c r="O817" t="n">
        <v>26</v>
      </c>
      <c r="P817" t="n">
        <v>956</v>
      </c>
      <c r="Q817" t="n">
        <v>1002</v>
      </c>
      <c r="R817" t="n">
        <v>3.524</v>
      </c>
      <c r="S817" t="n">
        <v>33.763</v>
      </c>
      <c r="T817" t="n">
        <v>9.581</v>
      </c>
      <c r="U817" t="n">
        <v>0.7783</v>
      </c>
      <c r="V817" t="b">
        <v>1</v>
      </c>
      <c r="X817" t="b">
        <v>0</v>
      </c>
      <c r="Y817" t="inlineStr">
        <is>
          <t>FLAS</t>
        </is>
      </c>
      <c r="Z817" t="n">
        <v>935</v>
      </c>
      <c r="AA817" t="n">
        <v>2.5</v>
      </c>
      <c r="AB817" t="n">
        <v>9.5</v>
      </c>
    </row>
    <row r="818">
      <c r="A818" t="inlineStr">
        <is>
          <t>2026-09-24 14:54:17</t>
        </is>
      </c>
      <c r="B818" t="inlineStr">
        <is>
          <t>MLLB_000_y1.0.3</t>
        </is>
      </c>
      <c r="C818" t="inlineStr">
        <is>
          <t>WHITE</t>
        </is>
      </c>
      <c r="D818" t="inlineStr">
        <is>
          <t>v4_white_MLLB_000_y103_0924</t>
        </is>
      </c>
      <c r="E818" t="n">
        <v>3.4</v>
      </c>
      <c r="F818" t="n">
        <v>3.408</v>
      </c>
      <c r="G818" t="n">
        <v>6</v>
      </c>
      <c r="H818" t="n">
        <v>60</v>
      </c>
      <c r="I818" t="n">
        <v>48</v>
      </c>
      <c r="J818" t="inlineStr">
        <is>
          <t>kaba</t>
        </is>
      </c>
      <c r="K818" t="b">
        <v>1</v>
      </c>
      <c r="M818" t="n">
        <v>46</v>
      </c>
      <c r="N818" t="n">
        <v>28</v>
      </c>
      <c r="O818" t="n">
        <v>26</v>
      </c>
      <c r="P818" t="n">
        <v>956</v>
      </c>
      <c r="Q818" t="n">
        <v>1002</v>
      </c>
      <c r="R818" t="n">
        <v>12.188</v>
      </c>
      <c r="S818" t="n">
        <v>116.508</v>
      </c>
      <c r="T818" t="n">
        <v>9.558999999999999</v>
      </c>
      <c r="U818" t="n">
        <v>0.7778</v>
      </c>
      <c r="V818" t="b">
        <v>1</v>
      </c>
      <c r="X818" t="b">
        <v>0</v>
      </c>
      <c r="Y818" t="inlineStr">
        <is>
          <t>FLAS</t>
        </is>
      </c>
      <c r="Z818" t="n">
        <v>935</v>
      </c>
      <c r="AA818" t="n">
        <v>2.5</v>
      </c>
      <c r="AB818" t="n">
        <v>9.5</v>
      </c>
    </row>
    <row r="819">
      <c r="A819" t="inlineStr">
        <is>
          <t>2026-09-24 14:54:33</t>
        </is>
      </c>
      <c r="B819" t="inlineStr">
        <is>
          <t>MLLB_000_y1.0.3</t>
        </is>
      </c>
      <c r="C819" t="inlineStr">
        <is>
          <t>WHITE</t>
        </is>
      </c>
      <c r="D819" t="inlineStr">
        <is>
          <t>v4_white_MLLB_000_y103_0924</t>
        </is>
      </c>
      <c r="E819" t="n">
        <v>3.4</v>
      </c>
      <c r="F819" t="n">
        <v>3.408</v>
      </c>
      <c r="G819" t="n">
        <v>6</v>
      </c>
      <c r="H819" t="n">
        <v>60</v>
      </c>
      <c r="I819" t="n">
        <v>37</v>
      </c>
      <c r="J819" t="inlineStr">
        <is>
          <t>ince</t>
        </is>
      </c>
      <c r="K819" t="b">
        <v>1</v>
      </c>
      <c r="M819" t="n">
        <v>64</v>
      </c>
      <c r="N819" t="n">
        <v>46</v>
      </c>
      <c r="O819" t="n">
        <v>36</v>
      </c>
      <c r="P819" t="n">
        <v>938</v>
      </c>
      <c r="Q819" t="n">
        <v>1002</v>
      </c>
      <c r="R819" t="n">
        <v>1.091</v>
      </c>
      <c r="S819" t="n">
        <v>10.432</v>
      </c>
      <c r="T819" t="n">
        <v>9.565</v>
      </c>
      <c r="U819" t="n">
        <v>0.7775</v>
      </c>
      <c r="V819" t="b">
        <v>1</v>
      </c>
      <c r="X819" t="b">
        <v>1</v>
      </c>
      <c r="Z819" t="n">
        <v>935</v>
      </c>
      <c r="AA819" t="n">
        <v>2.5</v>
      </c>
      <c r="AB819" t="n">
        <v>9.5</v>
      </c>
    </row>
    <row r="820">
      <c r="A820" t="inlineStr">
        <is>
          <t>2026-09-24 14:54:49</t>
        </is>
      </c>
      <c r="B820" t="inlineStr">
        <is>
          <t>MLLB_000_y1.0.3</t>
        </is>
      </c>
      <c r="C820" t="inlineStr">
        <is>
          <t>WHITE</t>
        </is>
      </c>
      <c r="D820" t="inlineStr">
        <is>
          <t>v4_white_MLLB_000_y103_0924</t>
        </is>
      </c>
      <c r="E820" t="n">
        <v>3.4</v>
      </c>
      <c r="F820" t="n">
        <v>3.408</v>
      </c>
      <c r="G820" t="n">
        <v>6</v>
      </c>
      <c r="H820" t="n">
        <v>60</v>
      </c>
      <c r="I820" t="n">
        <v>38</v>
      </c>
      <c r="J820" t="inlineStr">
        <is>
          <t>ince</t>
        </is>
      </c>
      <c r="K820" t="b">
        <v>1</v>
      </c>
      <c r="M820" t="n">
        <v>50</v>
      </c>
      <c r="N820" t="n">
        <v>44</v>
      </c>
      <c r="O820" t="n">
        <v>28</v>
      </c>
      <c r="P820" t="n">
        <v>952</v>
      </c>
      <c r="Q820" t="n">
        <v>1002</v>
      </c>
      <c r="R820" t="n">
        <v>1.093</v>
      </c>
      <c r="S820" t="n">
        <v>10.462</v>
      </c>
      <c r="T820" t="n">
        <v>9.577</v>
      </c>
      <c r="U820" t="n">
        <v>0.7779</v>
      </c>
      <c r="V820" t="b">
        <v>1</v>
      </c>
      <c r="X820" t="b">
        <v>1</v>
      </c>
      <c r="Z820" t="n">
        <v>935</v>
      </c>
      <c r="AA820" t="n">
        <v>2.5</v>
      </c>
      <c r="AB820" t="n">
        <v>9.5</v>
      </c>
    </row>
    <row r="821">
      <c r="A821" t="inlineStr">
        <is>
          <t>2026-09-24 14:55:05</t>
        </is>
      </c>
      <c r="B821" t="inlineStr">
        <is>
          <t>MLLB_000_y1.0.3</t>
        </is>
      </c>
      <c r="C821" t="inlineStr">
        <is>
          <t>WHITE</t>
        </is>
      </c>
      <c r="D821" t="inlineStr">
        <is>
          <t>v4_white_MLLB_000_y103_0924</t>
        </is>
      </c>
      <c r="E821" t="n">
        <v>3.4</v>
      </c>
      <c r="F821" t="n">
        <v>3.408</v>
      </c>
      <c r="G821" t="n">
        <v>6</v>
      </c>
      <c r="H821" t="n">
        <v>60</v>
      </c>
      <c r="I821" t="n">
        <v>39</v>
      </c>
      <c r="J821" t="inlineStr">
        <is>
          <t>ince</t>
        </is>
      </c>
      <c r="K821" t="b">
        <v>1</v>
      </c>
      <c r="M821" t="n">
        <v>46</v>
      </c>
      <c r="N821" t="n">
        <v>28</v>
      </c>
      <c r="O821" t="n">
        <v>26</v>
      </c>
      <c r="P821" t="n">
        <v>956</v>
      </c>
      <c r="Q821" t="n">
        <v>1002</v>
      </c>
      <c r="R821" t="n">
        <v>1.09</v>
      </c>
      <c r="S821" t="n">
        <v>10.46</v>
      </c>
      <c r="T821" t="n">
        <v>9.598000000000001</v>
      </c>
      <c r="U821" t="n">
        <v>0.7772</v>
      </c>
      <c r="V821" t="b">
        <v>1</v>
      </c>
      <c r="X821" t="b">
        <v>1</v>
      </c>
      <c r="Z821" t="n">
        <v>935</v>
      </c>
      <c r="AA821" t="n">
        <v>2.5</v>
      </c>
      <c r="AB821" t="n">
        <v>9.5</v>
      </c>
    </row>
    <row r="822">
      <c r="A822" t="inlineStr">
        <is>
          <t>2026-09-24 14:55:21</t>
        </is>
      </c>
      <c r="B822" t="inlineStr">
        <is>
          <t>MLLB_000_y1.0.3</t>
        </is>
      </c>
      <c r="C822" t="inlineStr">
        <is>
          <t>WHITE</t>
        </is>
      </c>
      <c r="D822" t="inlineStr">
        <is>
          <t>v4_white_MLLB_000_y103_0924</t>
        </is>
      </c>
      <c r="E822" t="n">
        <v>3.4</v>
      </c>
      <c r="F822" t="n">
        <v>3.408</v>
      </c>
      <c r="G822" t="n">
        <v>6</v>
      </c>
      <c r="H822" t="n">
        <v>60</v>
      </c>
      <c r="I822" t="n">
        <v>41</v>
      </c>
      <c r="J822" t="inlineStr">
        <is>
          <t>ince</t>
        </is>
      </c>
      <c r="K822" t="b">
        <v>1</v>
      </c>
      <c r="M822" t="n">
        <v>46</v>
      </c>
      <c r="N822" t="n">
        <v>28</v>
      </c>
      <c r="O822" t="n">
        <v>26</v>
      </c>
      <c r="P822" t="n">
        <v>956</v>
      </c>
      <c r="Q822" t="n">
        <v>1002</v>
      </c>
      <c r="R822" t="n">
        <v>2.208</v>
      </c>
      <c r="S822" t="n">
        <v>21.169</v>
      </c>
      <c r="T822" t="n">
        <v>9.586</v>
      </c>
      <c r="U822" t="n">
        <v>0.7774</v>
      </c>
      <c r="V822" t="b">
        <v>1</v>
      </c>
      <c r="X822" t="b">
        <v>1</v>
      </c>
      <c r="Z822" t="n">
        <v>935</v>
      </c>
      <c r="AA822" t="n">
        <v>2.5</v>
      </c>
      <c r="AB822" t="n">
        <v>9.5</v>
      </c>
    </row>
    <row r="823">
      <c r="A823" t="inlineStr">
        <is>
          <t>2026-09-24 14:55:37</t>
        </is>
      </c>
      <c r="B823" t="inlineStr">
        <is>
          <t>MLLB_000_y1.0.3</t>
        </is>
      </c>
      <c r="C823" t="inlineStr">
        <is>
          <t>WHITE</t>
        </is>
      </c>
      <c r="D823" t="inlineStr">
        <is>
          <t>v4_white_MLLB_000_y103_0924</t>
        </is>
      </c>
      <c r="E823" t="n">
        <v>3.4</v>
      </c>
      <c r="F823" t="n">
        <v>3.408</v>
      </c>
      <c r="G823" t="n">
        <v>6</v>
      </c>
      <c r="H823" t="n">
        <v>60</v>
      </c>
      <c r="I823" t="n">
        <v>42</v>
      </c>
      <c r="J823" t="inlineStr">
        <is>
          <t>ince</t>
        </is>
      </c>
      <c r="K823" t="b">
        <v>1</v>
      </c>
      <c r="M823" t="n">
        <v>46</v>
      </c>
      <c r="N823" t="n">
        <v>28</v>
      </c>
      <c r="O823" t="n">
        <v>26</v>
      </c>
      <c r="P823" t="n">
        <v>956</v>
      </c>
      <c r="Q823" t="n">
        <v>1002</v>
      </c>
      <c r="R823" t="n">
        <v>2.814</v>
      </c>
      <c r="S823" t="n">
        <v>26.912</v>
      </c>
      <c r="T823" t="n">
        <v>9.561999999999999</v>
      </c>
      <c r="U823" t="n">
        <v>0.778</v>
      </c>
      <c r="V823" t="b">
        <v>1</v>
      </c>
      <c r="X823" t="b">
        <v>0</v>
      </c>
      <c r="Y823" t="inlineStr">
        <is>
          <t>FLAS</t>
        </is>
      </c>
      <c r="Z823" t="n">
        <v>935</v>
      </c>
      <c r="AA823" t="n">
        <v>2.5</v>
      </c>
      <c r="AB823" t="n">
        <v>9.5</v>
      </c>
    </row>
    <row r="824">
      <c r="A824" t="inlineStr">
        <is>
          <t>2026-09-24 14:55:53</t>
        </is>
      </c>
      <c r="B824" t="inlineStr">
        <is>
          <t>MLLB_000_y1.0.3</t>
        </is>
      </c>
      <c r="C824" t="inlineStr">
        <is>
          <t>WHITE</t>
        </is>
      </c>
      <c r="D824" t="inlineStr">
        <is>
          <t>v4_white_MLLB_000_y103_0924</t>
        </is>
      </c>
      <c r="E824" t="n">
        <v>3.4</v>
      </c>
      <c r="F824" t="n">
        <v>3.408</v>
      </c>
      <c r="G824" t="n">
        <v>6</v>
      </c>
      <c r="H824" t="n">
        <v>60</v>
      </c>
      <c r="I824" t="n">
        <v>43</v>
      </c>
      <c r="J824" t="inlineStr">
        <is>
          <t>ince</t>
        </is>
      </c>
      <c r="K824" t="b">
        <v>1</v>
      </c>
      <c r="M824" t="n">
        <v>46</v>
      </c>
      <c r="N824" t="n">
        <v>28</v>
      </c>
      <c r="O824" t="n">
        <v>26</v>
      </c>
      <c r="P824" t="n">
        <v>956</v>
      </c>
      <c r="Q824" t="n">
        <v>1002</v>
      </c>
      <c r="R824" t="n">
        <v>3.253</v>
      </c>
      <c r="S824" t="n">
        <v>31.22</v>
      </c>
      <c r="T824" t="n">
        <v>9.597</v>
      </c>
      <c r="U824" t="n">
        <v>0.7776</v>
      </c>
      <c r="V824" t="b">
        <v>1</v>
      </c>
      <c r="X824" t="b">
        <v>0</v>
      </c>
      <c r="Y824" t="inlineStr">
        <is>
          <t>FLAS</t>
        </is>
      </c>
      <c r="Z824" t="n">
        <v>935</v>
      </c>
      <c r="AA824" t="n">
        <v>2.5</v>
      </c>
      <c r="AB824" t="n">
        <v>9.5</v>
      </c>
    </row>
    <row r="825">
      <c r="A825" t="inlineStr">
        <is>
          <t>2026-09-24 14:55:54</t>
        </is>
      </c>
      <c r="B825" t="inlineStr">
        <is>
          <t>MLLB_000_y1.0.3</t>
        </is>
      </c>
      <c r="C825" t="inlineStr">
        <is>
          <t>WHITE</t>
        </is>
      </c>
      <c r="D825" t="inlineStr">
        <is>
          <t>v4_white_MLLB_000_y103_0924</t>
        </is>
      </c>
      <c r="E825" t="n">
        <v>3.4</v>
      </c>
      <c r="F825" t="n">
        <v>3.408</v>
      </c>
      <c r="G825" t="n">
        <v>6</v>
      </c>
      <c r="H825" t="n">
        <v>60</v>
      </c>
      <c r="J825" t="inlineStr">
        <is>
          <t>bitti</t>
        </is>
      </c>
      <c r="K825" t="b">
        <v>0</v>
      </c>
      <c r="Z825" t="n">
        <v>935</v>
      </c>
      <c r="AA825" t="n">
        <v>2.5</v>
      </c>
      <c r="AB825" t="n">
        <v>9.5</v>
      </c>
    </row>
    <row r="826">
      <c r="A826" t="inlineStr">
        <is>
          <t>2026-09-24 14:56:15</t>
        </is>
      </c>
      <c r="B826" t="inlineStr">
        <is>
          <t>MLLB_000_y1.0.3</t>
        </is>
      </c>
      <c r="C826" t="inlineStr">
        <is>
          <t>WHITE</t>
        </is>
      </c>
      <c r="D826" t="inlineStr">
        <is>
          <t>v4_white_MLLB_000_y103_0924</t>
        </is>
      </c>
      <c r="E826" t="n">
        <v>3.4</v>
      </c>
      <c r="F826" t="n">
        <v>3.408</v>
      </c>
      <c r="G826" t="n">
        <v>7</v>
      </c>
      <c r="H826" t="n">
        <v>100</v>
      </c>
      <c r="I826" t="n">
        <v>12</v>
      </c>
      <c r="J826" t="inlineStr">
        <is>
          <t>kaba</t>
        </is>
      </c>
      <c r="K826" t="b">
        <v>1</v>
      </c>
      <c r="M826" t="n">
        <v>246</v>
      </c>
      <c r="N826" t="n">
        <v>40</v>
      </c>
      <c r="O826" t="n">
        <v>222</v>
      </c>
      <c r="P826" t="n">
        <v>756</v>
      </c>
      <c r="Q826" t="n">
        <v>1002</v>
      </c>
      <c r="R826" t="n">
        <v>1.097</v>
      </c>
      <c r="S826" t="n">
        <v>12.903</v>
      </c>
      <c r="T826" t="n">
        <v>11.762</v>
      </c>
      <c r="U826" t="n">
        <v>0.778</v>
      </c>
      <c r="V826" t="b">
        <v>1</v>
      </c>
      <c r="X826" t="b">
        <v>0</v>
      </c>
      <c r="Y826" t="inlineStr">
        <is>
          <t>ON</t>
        </is>
      </c>
      <c r="Z826" t="n">
        <v>935</v>
      </c>
      <c r="AA826" t="n">
        <v>2.5</v>
      </c>
      <c r="AB826" t="n">
        <v>9.5</v>
      </c>
    </row>
    <row r="827">
      <c r="A827" t="inlineStr">
        <is>
          <t>2026-09-24 14:56:31</t>
        </is>
      </c>
      <c r="B827" t="inlineStr">
        <is>
          <t>MLLB_000_y1.0.3</t>
        </is>
      </c>
      <c r="C827" t="inlineStr">
        <is>
          <t>WHITE</t>
        </is>
      </c>
      <c r="D827" t="inlineStr">
        <is>
          <t>v4_white_MLLB_000_y103_0924</t>
        </is>
      </c>
      <c r="E827" t="n">
        <v>3.4</v>
      </c>
      <c r="F827" t="n">
        <v>3.408</v>
      </c>
      <c r="G827" t="n">
        <v>7</v>
      </c>
      <c r="H827" t="n">
        <v>100</v>
      </c>
      <c r="I827" t="n">
        <v>16</v>
      </c>
      <c r="J827" t="inlineStr">
        <is>
          <t>kaba</t>
        </is>
      </c>
      <c r="K827" t="b">
        <v>1</v>
      </c>
      <c r="M827" t="n">
        <v>178</v>
      </c>
      <c r="N827" t="n">
        <v>44</v>
      </c>
      <c r="O827" t="n">
        <v>152</v>
      </c>
      <c r="P827" t="n">
        <v>824</v>
      </c>
      <c r="Q827" t="n">
        <v>1002</v>
      </c>
      <c r="R827" t="n">
        <v>1.092</v>
      </c>
      <c r="S827" t="n">
        <v>12.856</v>
      </c>
      <c r="T827" t="n">
        <v>11.778</v>
      </c>
      <c r="U827" t="n">
        <v>0.7779</v>
      </c>
      <c r="V827" t="b">
        <v>1</v>
      </c>
      <c r="X827" t="b">
        <v>0</v>
      </c>
      <c r="Y827" t="inlineStr">
        <is>
          <t>ON</t>
        </is>
      </c>
      <c r="Z827" t="n">
        <v>935</v>
      </c>
      <c r="AA827" t="n">
        <v>2.5</v>
      </c>
      <c r="AB827" t="n">
        <v>9.5</v>
      </c>
    </row>
    <row r="828">
      <c r="A828" t="inlineStr">
        <is>
          <t>2026-09-24 14:56:48</t>
        </is>
      </c>
      <c r="B828" t="inlineStr">
        <is>
          <t>MLLB_000_y1.0.3</t>
        </is>
      </c>
      <c r="C828" t="inlineStr">
        <is>
          <t>WHITE</t>
        </is>
      </c>
      <c r="D828" t="inlineStr">
        <is>
          <t>v4_white_MLLB_000_y103_0924</t>
        </is>
      </c>
      <c r="E828" t="n">
        <v>3.4</v>
      </c>
      <c r="F828" t="n">
        <v>3.408</v>
      </c>
      <c r="G828" t="n">
        <v>7</v>
      </c>
      <c r="H828" t="n">
        <v>100</v>
      </c>
      <c r="I828" t="n">
        <v>20</v>
      </c>
      <c r="J828" t="inlineStr">
        <is>
          <t>kaba</t>
        </is>
      </c>
      <c r="K828" t="b">
        <v>1</v>
      </c>
      <c r="M828" t="n">
        <v>108</v>
      </c>
      <c r="N828" t="n">
        <v>46</v>
      </c>
      <c r="O828" t="n">
        <v>82</v>
      </c>
      <c r="P828" t="n">
        <v>894</v>
      </c>
      <c r="Q828" t="n">
        <v>1002</v>
      </c>
      <c r="R828" t="n">
        <v>1.088</v>
      </c>
      <c r="S828" t="n">
        <v>12.903</v>
      </c>
      <c r="T828" t="n">
        <v>11.855</v>
      </c>
      <c r="U828" t="n">
        <v>0.7783</v>
      </c>
      <c r="V828" t="b">
        <v>1</v>
      </c>
      <c r="X828" t="b">
        <v>0</v>
      </c>
      <c r="Y828" t="inlineStr">
        <is>
          <t>ON</t>
        </is>
      </c>
      <c r="Z828" t="n">
        <v>935</v>
      </c>
      <c r="AA828" t="n">
        <v>2.5</v>
      </c>
      <c r="AB828" t="n">
        <v>9.5</v>
      </c>
    </row>
    <row r="829">
      <c r="A829" t="inlineStr">
        <is>
          <t>2026-09-24 14:57:04</t>
        </is>
      </c>
      <c r="B829" t="inlineStr">
        <is>
          <t>MLLB_000_y1.0.3</t>
        </is>
      </c>
      <c r="C829" t="inlineStr">
        <is>
          <t>WHITE</t>
        </is>
      </c>
      <c r="D829" t="inlineStr">
        <is>
          <t>v4_white_MLLB_000_y103_0924</t>
        </is>
      </c>
      <c r="E829" t="n">
        <v>3.4</v>
      </c>
      <c r="F829" t="n">
        <v>3.408</v>
      </c>
      <c r="G829" t="n">
        <v>7</v>
      </c>
      <c r="H829" t="n">
        <v>100</v>
      </c>
      <c r="I829" t="n">
        <v>24</v>
      </c>
      <c r="J829" t="inlineStr">
        <is>
          <t>kaba</t>
        </is>
      </c>
      <c r="K829" t="b">
        <v>1</v>
      </c>
      <c r="M829" t="n">
        <v>36</v>
      </c>
      <c r="N829" t="n">
        <v>36</v>
      </c>
      <c r="O829" t="n">
        <v>14</v>
      </c>
      <c r="P829" t="n">
        <v>966</v>
      </c>
      <c r="Q829" t="n">
        <v>1002</v>
      </c>
      <c r="R829" t="n">
        <v>1.081</v>
      </c>
      <c r="S829" t="n">
        <v>12.839</v>
      </c>
      <c r="T829" t="n">
        <v>11.88</v>
      </c>
      <c r="U829" t="n">
        <v>0.7786</v>
      </c>
      <c r="V829" t="b">
        <v>1</v>
      </c>
      <c r="X829" t="b">
        <v>1</v>
      </c>
      <c r="Z829" t="n">
        <v>935</v>
      </c>
      <c r="AA829" t="n">
        <v>2.5</v>
      </c>
      <c r="AB829" t="n">
        <v>9.5</v>
      </c>
    </row>
    <row r="830">
      <c r="A830" t="inlineStr">
        <is>
          <t>2026-09-24 14:57:19</t>
        </is>
      </c>
      <c r="B830" t="inlineStr">
        <is>
          <t>MLLB_000_y1.0.3</t>
        </is>
      </c>
      <c r="C830" t="inlineStr">
        <is>
          <t>WHITE</t>
        </is>
      </c>
      <c r="D830" t="inlineStr">
        <is>
          <t>v4_white_MLLB_000_y103_0924</t>
        </is>
      </c>
      <c r="E830" t="n">
        <v>3.4</v>
      </c>
      <c r="F830" t="n">
        <v>3.408</v>
      </c>
      <c r="G830" t="n">
        <v>7</v>
      </c>
      <c r="H830" t="n">
        <v>100</v>
      </c>
      <c r="I830" t="n">
        <v>28</v>
      </c>
      <c r="J830" t="inlineStr">
        <is>
          <t>kaba</t>
        </is>
      </c>
      <c r="K830" t="b">
        <v>1</v>
      </c>
      <c r="M830" t="n">
        <v>34</v>
      </c>
      <c r="N830" t="n">
        <v>28</v>
      </c>
      <c r="O830" t="n">
        <v>14</v>
      </c>
      <c r="P830" t="n">
        <v>968</v>
      </c>
      <c r="Q830" t="n">
        <v>1002</v>
      </c>
      <c r="R830" t="n">
        <v>3.452</v>
      </c>
      <c r="S830" t="n">
        <v>40.927</v>
      </c>
      <c r="T830" t="n">
        <v>11.856</v>
      </c>
      <c r="U830" t="n">
        <v>0.7776999999999999</v>
      </c>
      <c r="V830" t="b">
        <v>1</v>
      </c>
      <c r="X830" t="b">
        <v>0</v>
      </c>
      <c r="Y830" t="inlineStr">
        <is>
          <t>FLAS</t>
        </is>
      </c>
      <c r="Z830" t="n">
        <v>935</v>
      </c>
      <c r="AA830" t="n">
        <v>2.5</v>
      </c>
      <c r="AB830" t="n">
        <v>9.5</v>
      </c>
    </row>
    <row r="831">
      <c r="A831" t="inlineStr">
        <is>
          <t>2026-09-24 14:57:35</t>
        </is>
      </c>
      <c r="B831" t="inlineStr">
        <is>
          <t>MLLB_000_y1.0.3</t>
        </is>
      </c>
      <c r="C831" t="inlineStr">
        <is>
          <t>WHITE</t>
        </is>
      </c>
      <c r="D831" t="inlineStr">
        <is>
          <t>v4_white_MLLB_000_y103_0924</t>
        </is>
      </c>
      <c r="E831" t="n">
        <v>3.4</v>
      </c>
      <c r="F831" t="n">
        <v>3.408</v>
      </c>
      <c r="G831" t="n">
        <v>7</v>
      </c>
      <c r="H831" t="n">
        <v>100</v>
      </c>
      <c r="I831" t="n">
        <v>32</v>
      </c>
      <c r="J831" t="inlineStr">
        <is>
          <t>kaba</t>
        </is>
      </c>
      <c r="K831" t="b">
        <v>1</v>
      </c>
      <c r="M831" t="n">
        <v>34</v>
      </c>
      <c r="N831" t="n">
        <v>28</v>
      </c>
      <c r="O831" t="n">
        <v>14</v>
      </c>
      <c r="P831" t="n">
        <v>968</v>
      </c>
      <c r="Q831" t="n">
        <v>1002</v>
      </c>
      <c r="R831" t="n">
        <v>17.353</v>
      </c>
      <c r="S831" t="n">
        <v>205.451</v>
      </c>
      <c r="T831" t="n">
        <v>11.839</v>
      </c>
      <c r="U831" t="n">
        <v>0.7782</v>
      </c>
      <c r="V831" t="b">
        <v>1</v>
      </c>
      <c r="X831" t="b">
        <v>0</v>
      </c>
      <c r="Y831" t="inlineStr">
        <is>
          <t>FLAS</t>
        </is>
      </c>
      <c r="Z831" t="n">
        <v>935</v>
      </c>
      <c r="AA831" t="n">
        <v>2.5</v>
      </c>
      <c r="AB831" t="n">
        <v>9.5</v>
      </c>
    </row>
    <row r="832">
      <c r="A832" t="inlineStr">
        <is>
          <t>2026-09-24 14:57:52</t>
        </is>
      </c>
      <c r="B832" t="inlineStr">
        <is>
          <t>MLLB_000_y1.0.3</t>
        </is>
      </c>
      <c r="C832" t="inlineStr">
        <is>
          <t>WHITE</t>
        </is>
      </c>
      <c r="D832" t="inlineStr">
        <is>
          <t>v4_white_MLLB_000_y103_0924</t>
        </is>
      </c>
      <c r="E832" t="n">
        <v>3.4</v>
      </c>
      <c r="F832" t="n">
        <v>3.408</v>
      </c>
      <c r="G832" t="n">
        <v>7</v>
      </c>
      <c r="H832" t="n">
        <v>100</v>
      </c>
      <c r="I832" t="n">
        <v>21</v>
      </c>
      <c r="J832" t="inlineStr">
        <is>
          <t>ince</t>
        </is>
      </c>
      <c r="K832" t="b">
        <v>1</v>
      </c>
      <c r="M832" t="n">
        <v>90</v>
      </c>
      <c r="N832" t="n">
        <v>40</v>
      </c>
      <c r="O832" t="n">
        <v>66</v>
      </c>
      <c r="P832" t="n">
        <v>912</v>
      </c>
      <c r="Q832" t="n">
        <v>1002</v>
      </c>
      <c r="R832" t="n">
        <v>1.083</v>
      </c>
      <c r="S832" t="n">
        <v>12.825</v>
      </c>
      <c r="T832" t="n">
        <v>11.843</v>
      </c>
      <c r="U832" t="n">
        <v>0.7786</v>
      </c>
      <c r="V832" t="b">
        <v>1</v>
      </c>
      <c r="X832" t="b">
        <v>0</v>
      </c>
      <c r="Y832" t="inlineStr">
        <is>
          <t>ON</t>
        </is>
      </c>
      <c r="Z832" t="n">
        <v>935</v>
      </c>
      <c r="AA832" t="n">
        <v>2.5</v>
      </c>
      <c r="AB832" t="n">
        <v>9.5</v>
      </c>
    </row>
    <row r="833">
      <c r="A833" t="inlineStr">
        <is>
          <t>2026-09-24 14:58:08</t>
        </is>
      </c>
      <c r="B833" t="inlineStr">
        <is>
          <t>MLLB_000_y1.0.3</t>
        </is>
      </c>
      <c r="C833" t="inlineStr">
        <is>
          <t>WHITE</t>
        </is>
      </c>
      <c r="D833" t="inlineStr">
        <is>
          <t>v4_white_MLLB_000_y103_0924</t>
        </is>
      </c>
      <c r="E833" t="n">
        <v>3.4</v>
      </c>
      <c r="F833" t="n">
        <v>3.408</v>
      </c>
      <c r="G833" t="n">
        <v>7</v>
      </c>
      <c r="H833" t="n">
        <v>100</v>
      </c>
      <c r="I833" t="n">
        <v>22</v>
      </c>
      <c r="J833" t="inlineStr">
        <is>
          <t>ince</t>
        </is>
      </c>
      <c r="K833" t="b">
        <v>1</v>
      </c>
      <c r="M833" t="n">
        <v>72</v>
      </c>
      <c r="N833" t="n">
        <v>46</v>
      </c>
      <c r="O833" t="n">
        <v>46</v>
      </c>
      <c r="P833" t="n">
        <v>930</v>
      </c>
      <c r="Q833" t="n">
        <v>1002</v>
      </c>
      <c r="R833" t="n">
        <v>1.087</v>
      </c>
      <c r="S833" t="n">
        <v>12.867</v>
      </c>
      <c r="T833" t="n">
        <v>11.841</v>
      </c>
      <c r="U833" t="n">
        <v>0.7778</v>
      </c>
      <c r="V833" t="b">
        <v>1</v>
      </c>
      <c r="X833" t="b">
        <v>0</v>
      </c>
      <c r="Y833" t="inlineStr">
        <is>
          <t>ON</t>
        </is>
      </c>
      <c r="Z833" t="n">
        <v>935</v>
      </c>
      <c r="AA833" t="n">
        <v>2.5</v>
      </c>
      <c r="AB833" t="n">
        <v>9.5</v>
      </c>
    </row>
    <row r="834">
      <c r="A834" t="inlineStr">
        <is>
          <t>2026-09-24 14:58:24</t>
        </is>
      </c>
      <c r="B834" t="inlineStr">
        <is>
          <t>MLLB_000_y1.0.3</t>
        </is>
      </c>
      <c r="C834" t="inlineStr">
        <is>
          <t>WHITE</t>
        </is>
      </c>
      <c r="D834" t="inlineStr">
        <is>
          <t>v4_white_MLLB_000_y103_0924</t>
        </is>
      </c>
      <c r="E834" t="n">
        <v>3.4</v>
      </c>
      <c r="F834" t="n">
        <v>3.408</v>
      </c>
      <c r="G834" t="n">
        <v>7</v>
      </c>
      <c r="H834" t="n">
        <v>100</v>
      </c>
      <c r="I834" t="n">
        <v>23</v>
      </c>
      <c r="J834" t="inlineStr">
        <is>
          <t>ince</t>
        </is>
      </c>
      <c r="K834" t="b">
        <v>1</v>
      </c>
      <c r="M834" t="n">
        <v>54</v>
      </c>
      <c r="N834" t="n">
        <v>42</v>
      </c>
      <c r="O834" t="n">
        <v>28</v>
      </c>
      <c r="P834" t="n">
        <v>948</v>
      </c>
      <c r="Q834" t="n">
        <v>1002</v>
      </c>
      <c r="R834" t="n">
        <v>1.085</v>
      </c>
      <c r="S834" t="n">
        <v>12.856</v>
      </c>
      <c r="T834" t="n">
        <v>11.847</v>
      </c>
      <c r="U834" t="n">
        <v>0.7779</v>
      </c>
      <c r="V834" t="b">
        <v>1</v>
      </c>
      <c r="X834" t="b">
        <v>1</v>
      </c>
      <c r="Z834" t="n">
        <v>935</v>
      </c>
      <c r="AA834" t="n">
        <v>2.5</v>
      </c>
      <c r="AB834" t="n">
        <v>9.5</v>
      </c>
    </row>
    <row r="835">
      <c r="A835" t="inlineStr">
        <is>
          <t>2026-09-24 14:58:39</t>
        </is>
      </c>
      <c r="B835" t="inlineStr">
        <is>
          <t>MLLB_000_y1.0.3</t>
        </is>
      </c>
      <c r="C835" t="inlineStr">
        <is>
          <t>WHITE</t>
        </is>
      </c>
      <c r="D835" t="inlineStr">
        <is>
          <t>v4_white_MLLB_000_y103_0924</t>
        </is>
      </c>
      <c r="E835" t="n">
        <v>3.4</v>
      </c>
      <c r="F835" t="n">
        <v>3.408</v>
      </c>
      <c r="G835" t="n">
        <v>7</v>
      </c>
      <c r="H835" t="n">
        <v>100</v>
      </c>
      <c r="I835" t="n">
        <v>25</v>
      </c>
      <c r="J835" t="inlineStr">
        <is>
          <t>ince</t>
        </is>
      </c>
      <c r="K835" t="b">
        <v>1</v>
      </c>
      <c r="M835" t="n">
        <v>34</v>
      </c>
      <c r="N835" t="n">
        <v>28</v>
      </c>
      <c r="O835" t="n">
        <v>14</v>
      </c>
      <c r="P835" t="n">
        <v>968</v>
      </c>
      <c r="Q835" t="n">
        <v>1002</v>
      </c>
      <c r="R835" t="n">
        <v>1.084</v>
      </c>
      <c r="S835" t="n">
        <v>12.865</v>
      </c>
      <c r="T835" t="n">
        <v>11.864</v>
      </c>
      <c r="U835" t="n">
        <v>0.7775</v>
      </c>
      <c r="V835" t="b">
        <v>1</v>
      </c>
      <c r="X835" t="b">
        <v>1</v>
      </c>
      <c r="Z835" t="n">
        <v>935</v>
      </c>
      <c r="AA835" t="n">
        <v>2.5</v>
      </c>
      <c r="AB835" t="n">
        <v>9.5</v>
      </c>
    </row>
    <row r="836">
      <c r="A836" t="inlineStr">
        <is>
          <t>2026-09-24 14:58:56</t>
        </is>
      </c>
      <c r="B836" t="inlineStr">
        <is>
          <t>MLLB_000_y1.0.3</t>
        </is>
      </c>
      <c r="C836" t="inlineStr">
        <is>
          <t>WHITE</t>
        </is>
      </c>
      <c r="D836" t="inlineStr">
        <is>
          <t>v4_white_MLLB_000_y103_0924</t>
        </is>
      </c>
      <c r="E836" t="n">
        <v>3.4</v>
      </c>
      <c r="F836" t="n">
        <v>3.408</v>
      </c>
      <c r="G836" t="n">
        <v>7</v>
      </c>
      <c r="H836" t="n">
        <v>100</v>
      </c>
      <c r="I836" t="n">
        <v>26</v>
      </c>
      <c r="J836" t="inlineStr">
        <is>
          <t>ince</t>
        </is>
      </c>
      <c r="K836" t="b">
        <v>1</v>
      </c>
      <c r="M836" t="n">
        <v>34</v>
      </c>
      <c r="N836" t="n">
        <v>28</v>
      </c>
      <c r="O836" t="n">
        <v>14</v>
      </c>
      <c r="P836" t="n">
        <v>968</v>
      </c>
      <c r="Q836" t="n">
        <v>1002</v>
      </c>
      <c r="R836" t="n">
        <v>2.022</v>
      </c>
      <c r="S836" t="n">
        <v>24.004</v>
      </c>
      <c r="T836" t="n">
        <v>11.873</v>
      </c>
      <c r="U836" t="n">
        <v>0.7774</v>
      </c>
      <c r="V836" t="b">
        <v>1</v>
      </c>
      <c r="X836" t="b">
        <v>1</v>
      </c>
      <c r="Z836" t="n">
        <v>935</v>
      </c>
      <c r="AA836" t="n">
        <v>2.5</v>
      </c>
      <c r="AB836" t="n">
        <v>9.5</v>
      </c>
    </row>
    <row r="837">
      <c r="A837" t="inlineStr">
        <is>
          <t>2026-09-24 14:59:11</t>
        </is>
      </c>
      <c r="B837" t="inlineStr">
        <is>
          <t>MLLB_000_y1.0.3</t>
        </is>
      </c>
      <c r="C837" t="inlineStr">
        <is>
          <t>WHITE</t>
        </is>
      </c>
      <c r="D837" t="inlineStr">
        <is>
          <t>v4_white_MLLB_000_y103_0924</t>
        </is>
      </c>
      <c r="E837" t="n">
        <v>3.4</v>
      </c>
      <c r="F837" t="n">
        <v>3.408</v>
      </c>
      <c r="G837" t="n">
        <v>7</v>
      </c>
      <c r="H837" t="n">
        <v>100</v>
      </c>
      <c r="I837" t="n">
        <v>27</v>
      </c>
      <c r="J837" t="inlineStr">
        <is>
          <t>ince</t>
        </is>
      </c>
      <c r="K837" t="b">
        <v>1</v>
      </c>
      <c r="M837" t="n">
        <v>34</v>
      </c>
      <c r="N837" t="n">
        <v>28</v>
      </c>
      <c r="O837" t="n">
        <v>14</v>
      </c>
      <c r="P837" t="n">
        <v>968</v>
      </c>
      <c r="Q837" t="n">
        <v>1002</v>
      </c>
      <c r="R837" t="n">
        <v>2.686</v>
      </c>
      <c r="S837" t="n">
        <v>31.828</v>
      </c>
      <c r="T837" t="n">
        <v>11.85</v>
      </c>
      <c r="U837" t="n">
        <v>0.7778</v>
      </c>
      <c r="V837" t="b">
        <v>1</v>
      </c>
      <c r="X837" t="b">
        <v>0</v>
      </c>
      <c r="Y837" t="inlineStr">
        <is>
          <t>FLAS</t>
        </is>
      </c>
      <c r="Z837" t="n">
        <v>935</v>
      </c>
      <c r="AA837" t="n">
        <v>2.5</v>
      </c>
      <c r="AB837" t="n">
        <v>9.5</v>
      </c>
    </row>
    <row r="838">
      <c r="A838" t="inlineStr">
        <is>
          <t>2026-09-24 14:59:12</t>
        </is>
      </c>
      <c r="B838" t="inlineStr">
        <is>
          <t>MLLB_000_y1.0.3</t>
        </is>
      </c>
      <c r="C838" t="inlineStr">
        <is>
          <t>WHITE</t>
        </is>
      </c>
      <c r="D838" t="inlineStr">
        <is>
          <t>v4_white_MLLB_000_y103_0924</t>
        </is>
      </c>
      <c r="E838" t="n">
        <v>3.4</v>
      </c>
      <c r="F838" t="n">
        <v>3.408</v>
      </c>
      <c r="G838" t="n">
        <v>7</v>
      </c>
      <c r="H838" t="n">
        <v>100</v>
      </c>
      <c r="J838" t="inlineStr">
        <is>
          <t>bitti</t>
        </is>
      </c>
      <c r="K838" t="b">
        <v>0</v>
      </c>
      <c r="Z838" t="n">
        <v>935</v>
      </c>
      <c r="AA838" t="n">
        <v>2.5</v>
      </c>
      <c r="AB838" t="n">
        <v>9.5</v>
      </c>
    </row>
    <row r="839">
      <c r="A839" t="inlineStr">
        <is>
          <t>2026-09-24 14:59:27</t>
        </is>
      </c>
      <c r="B839" t="inlineStr">
        <is>
          <t>MLLB_000_y1.0.3</t>
        </is>
      </c>
      <c r="C839" t="inlineStr">
        <is>
          <t>WHITE</t>
        </is>
      </c>
      <c r="D839" t="inlineStr">
        <is>
          <t>v4_white_MLLB_000_y103_0924</t>
        </is>
      </c>
      <c r="E839" t="n">
        <v>3.4</v>
      </c>
      <c r="F839" t="n">
        <v>3.408</v>
      </c>
      <c r="G839" t="n">
        <v>7</v>
      </c>
      <c r="H839" t="n">
        <v>80</v>
      </c>
      <c r="I839" t="n">
        <v>12</v>
      </c>
      <c r="J839" t="inlineStr">
        <is>
          <t>kaba</t>
        </is>
      </c>
      <c r="K839" t="b">
        <v>1</v>
      </c>
      <c r="M839" t="n">
        <v>280</v>
      </c>
      <c r="N839" t="n">
        <v>46</v>
      </c>
      <c r="O839" t="n">
        <v>254</v>
      </c>
      <c r="P839" t="n">
        <v>722</v>
      </c>
      <c r="Q839" t="n">
        <v>1002</v>
      </c>
      <c r="R839" t="n">
        <v>1.096</v>
      </c>
      <c r="S839" t="n">
        <v>12.83</v>
      </c>
      <c r="T839" t="n">
        <v>11.71</v>
      </c>
      <c r="U839" t="n">
        <v>0.7774</v>
      </c>
      <c r="V839" t="b">
        <v>1</v>
      </c>
      <c r="X839" t="b">
        <v>0</v>
      </c>
      <c r="Y839" t="inlineStr">
        <is>
          <t>ON</t>
        </is>
      </c>
      <c r="Z839" t="n">
        <v>935</v>
      </c>
      <c r="AA839" t="n">
        <v>2.5</v>
      </c>
      <c r="AB839" t="n">
        <v>9.5</v>
      </c>
    </row>
    <row r="840">
      <c r="A840" t="inlineStr">
        <is>
          <t>2026-09-24 14:59:43</t>
        </is>
      </c>
      <c r="B840" t="inlineStr">
        <is>
          <t>MLLB_000_y1.0.3</t>
        </is>
      </c>
      <c r="C840" t="inlineStr">
        <is>
          <t>WHITE</t>
        </is>
      </c>
      <c r="D840" t="inlineStr">
        <is>
          <t>v4_white_MLLB_000_y103_0924</t>
        </is>
      </c>
      <c r="E840" t="n">
        <v>3.4</v>
      </c>
      <c r="F840" t="n">
        <v>3.408</v>
      </c>
      <c r="G840" t="n">
        <v>7</v>
      </c>
      <c r="H840" t="n">
        <v>80</v>
      </c>
      <c r="I840" t="n">
        <v>16</v>
      </c>
      <c r="J840" t="inlineStr">
        <is>
          <t>kaba</t>
        </is>
      </c>
      <c r="K840" t="b">
        <v>1</v>
      </c>
      <c r="M840" t="n">
        <v>224</v>
      </c>
      <c r="N840" t="n">
        <v>46</v>
      </c>
      <c r="O840" t="n">
        <v>198</v>
      </c>
      <c r="P840" t="n">
        <v>778</v>
      </c>
      <c r="Q840" t="n">
        <v>1002</v>
      </c>
      <c r="R840" t="n">
        <v>1.09</v>
      </c>
      <c r="S840" t="n">
        <v>12.81</v>
      </c>
      <c r="T840" t="n">
        <v>11.752</v>
      </c>
      <c r="U840" t="n">
        <v>0.7776</v>
      </c>
      <c r="V840" t="b">
        <v>1</v>
      </c>
      <c r="X840" t="b">
        <v>0</v>
      </c>
      <c r="Y840" t="inlineStr">
        <is>
          <t>ON</t>
        </is>
      </c>
      <c r="Z840" t="n">
        <v>935</v>
      </c>
      <c r="AA840" t="n">
        <v>2.5</v>
      </c>
      <c r="AB840" t="n">
        <v>9.5</v>
      </c>
    </row>
    <row r="841">
      <c r="A841" t="inlineStr">
        <is>
          <t>2026-09-24 14:59:59</t>
        </is>
      </c>
      <c r="B841" t="inlineStr">
        <is>
          <t>MLLB_000_y1.0.3</t>
        </is>
      </c>
      <c r="C841" t="inlineStr">
        <is>
          <t>WHITE</t>
        </is>
      </c>
      <c r="D841" t="inlineStr">
        <is>
          <t>v4_white_MLLB_000_y103_0924</t>
        </is>
      </c>
      <c r="E841" t="n">
        <v>3.4</v>
      </c>
      <c r="F841" t="n">
        <v>3.408</v>
      </c>
      <c r="G841" t="n">
        <v>7</v>
      </c>
      <c r="H841" t="n">
        <v>80</v>
      </c>
      <c r="I841" t="n">
        <v>20</v>
      </c>
      <c r="J841" t="inlineStr">
        <is>
          <t>kaba</t>
        </is>
      </c>
      <c r="K841" t="b">
        <v>1</v>
      </c>
      <c r="M841" t="n">
        <v>168</v>
      </c>
      <c r="N841" t="n">
        <v>46</v>
      </c>
      <c r="O841" t="n">
        <v>142</v>
      </c>
      <c r="P841" t="n">
        <v>834</v>
      </c>
      <c r="Q841" t="n">
        <v>1002</v>
      </c>
      <c r="R841" t="n">
        <v>1.091</v>
      </c>
      <c r="S841" t="n">
        <v>12.856</v>
      </c>
      <c r="T841" t="n">
        <v>11.787</v>
      </c>
      <c r="U841" t="n">
        <v>0.7778</v>
      </c>
      <c r="V841" t="b">
        <v>1</v>
      </c>
      <c r="X841" t="b">
        <v>0</v>
      </c>
      <c r="Y841" t="inlineStr">
        <is>
          <t>ON</t>
        </is>
      </c>
      <c r="Z841" t="n">
        <v>935</v>
      </c>
      <c r="AA841" t="n">
        <v>2.5</v>
      </c>
      <c r="AB841" t="n">
        <v>9.5</v>
      </c>
    </row>
    <row r="842">
      <c r="A842" t="inlineStr">
        <is>
          <t>2026-09-24 15:00:15</t>
        </is>
      </c>
      <c r="B842" t="inlineStr">
        <is>
          <t>MLLB_000_y1.0.3</t>
        </is>
      </c>
      <c r="C842" t="inlineStr">
        <is>
          <t>WHITE</t>
        </is>
      </c>
      <c r="D842" t="inlineStr">
        <is>
          <t>v4_white_MLLB_000_y103_0924</t>
        </is>
      </c>
      <c r="E842" t="n">
        <v>3.4</v>
      </c>
      <c r="F842" t="n">
        <v>3.408</v>
      </c>
      <c r="G842" t="n">
        <v>7</v>
      </c>
      <c r="H842" t="n">
        <v>80</v>
      </c>
      <c r="I842" t="n">
        <v>24</v>
      </c>
      <c r="J842" t="inlineStr">
        <is>
          <t>kaba</t>
        </is>
      </c>
      <c r="K842" t="b">
        <v>1</v>
      </c>
      <c r="M842" t="n">
        <v>112</v>
      </c>
      <c r="N842" t="n">
        <v>46</v>
      </c>
      <c r="O842" t="n">
        <v>86</v>
      </c>
      <c r="P842" t="n">
        <v>890</v>
      </c>
      <c r="Q842" t="n">
        <v>1002</v>
      </c>
      <c r="R842" t="n">
        <v>1.089</v>
      </c>
      <c r="S842" t="n">
        <v>12.903</v>
      </c>
      <c r="T842" t="n">
        <v>11.85</v>
      </c>
      <c r="U842" t="n">
        <v>0.7779</v>
      </c>
      <c r="V842" t="b">
        <v>1</v>
      </c>
      <c r="X842" t="b">
        <v>0</v>
      </c>
      <c r="Y842" t="inlineStr">
        <is>
          <t>ON</t>
        </is>
      </c>
      <c r="Z842" t="n">
        <v>935</v>
      </c>
      <c r="AA842" t="n">
        <v>2.5</v>
      </c>
      <c r="AB842" t="n">
        <v>9.5</v>
      </c>
    </row>
    <row r="843">
      <c r="A843" t="inlineStr">
        <is>
          <t>2026-09-24 15:00:31</t>
        </is>
      </c>
      <c r="B843" t="inlineStr">
        <is>
          <t>MLLB_000_y1.0.3</t>
        </is>
      </c>
      <c r="C843" t="inlineStr">
        <is>
          <t>WHITE</t>
        </is>
      </c>
      <c r="D843" t="inlineStr">
        <is>
          <t>v4_white_MLLB_000_y103_0924</t>
        </is>
      </c>
      <c r="E843" t="n">
        <v>3.4</v>
      </c>
      <c r="F843" t="n">
        <v>3.408</v>
      </c>
      <c r="G843" t="n">
        <v>7</v>
      </c>
      <c r="H843" t="n">
        <v>80</v>
      </c>
      <c r="I843" t="n">
        <v>28</v>
      </c>
      <c r="J843" t="inlineStr">
        <is>
          <t>kaba</t>
        </is>
      </c>
      <c r="K843" t="b">
        <v>1</v>
      </c>
      <c r="M843" t="n">
        <v>54</v>
      </c>
      <c r="N843" t="n">
        <v>42</v>
      </c>
      <c r="O843" t="n">
        <v>28</v>
      </c>
      <c r="P843" t="n">
        <v>948</v>
      </c>
      <c r="Q843" t="n">
        <v>1002</v>
      </c>
      <c r="R843" t="n">
        <v>1.086</v>
      </c>
      <c r="S843" t="n">
        <v>12.856</v>
      </c>
      <c r="T843" t="n">
        <v>11.838</v>
      </c>
      <c r="U843" t="n">
        <v>0.7779</v>
      </c>
      <c r="V843" t="b">
        <v>1</v>
      </c>
      <c r="X843" t="b">
        <v>1</v>
      </c>
      <c r="Z843" t="n">
        <v>935</v>
      </c>
      <c r="AA843" t="n">
        <v>2.5</v>
      </c>
      <c r="AB843" t="n">
        <v>9.5</v>
      </c>
    </row>
    <row r="844">
      <c r="A844" t="inlineStr">
        <is>
          <t>2026-09-24 15:00:44</t>
        </is>
      </c>
      <c r="B844" t="inlineStr">
        <is>
          <t>MLLB_000_y1.0.3</t>
        </is>
      </c>
      <c r="C844" t="inlineStr">
        <is>
          <t>WHITE</t>
        </is>
      </c>
      <c r="D844" t="inlineStr">
        <is>
          <t>v4_white_MLLB_000_y103_0924</t>
        </is>
      </c>
      <c r="E844" t="n">
        <v>3.4</v>
      </c>
      <c r="F844" t="n">
        <v>3.408</v>
      </c>
      <c r="G844" t="n">
        <v>7</v>
      </c>
      <c r="H844" t="n">
        <v>80</v>
      </c>
      <c r="I844" t="n">
        <v>32</v>
      </c>
      <c r="J844" t="inlineStr">
        <is>
          <t>kaba</t>
        </is>
      </c>
      <c r="K844" t="b">
        <v>1</v>
      </c>
      <c r="M844" t="n">
        <v>38</v>
      </c>
      <c r="N844" t="n">
        <v>28</v>
      </c>
      <c r="O844" t="n">
        <v>18</v>
      </c>
      <c r="P844" t="n">
        <v>964</v>
      </c>
      <c r="Q844" t="n">
        <v>1002</v>
      </c>
      <c r="R844" t="n">
        <v>2.371</v>
      </c>
      <c r="S844" t="n">
        <v>28.067</v>
      </c>
      <c r="T844" t="n">
        <v>11.835</v>
      </c>
      <c r="U844" t="n">
        <v>0.7773</v>
      </c>
      <c r="V844" t="b">
        <v>1</v>
      </c>
      <c r="X844" t="b">
        <v>1</v>
      </c>
      <c r="Z844" t="n">
        <v>935</v>
      </c>
      <c r="AA844" t="n">
        <v>2.5</v>
      </c>
      <c r="AB844" t="n">
        <v>9.5</v>
      </c>
    </row>
    <row r="845">
      <c r="A845" t="inlineStr">
        <is>
          <t>2026-09-24 15:00:59</t>
        </is>
      </c>
      <c r="B845" t="inlineStr">
        <is>
          <t>MLLB_000_y1.0.3</t>
        </is>
      </c>
      <c r="C845" t="inlineStr">
        <is>
          <t>WHITE</t>
        </is>
      </c>
      <c r="D845" t="inlineStr">
        <is>
          <t>v4_white_MLLB_000_y103_0924</t>
        </is>
      </c>
      <c r="E845" t="n">
        <v>3.4</v>
      </c>
      <c r="F845" t="n">
        <v>3.408</v>
      </c>
      <c r="G845" t="n">
        <v>7</v>
      </c>
      <c r="H845" t="n">
        <v>80</v>
      </c>
      <c r="I845" t="n">
        <v>36</v>
      </c>
      <c r="J845" t="inlineStr">
        <is>
          <t>kaba</t>
        </is>
      </c>
      <c r="K845" t="b">
        <v>1</v>
      </c>
      <c r="M845" t="n">
        <v>38</v>
      </c>
      <c r="N845" t="n">
        <v>28</v>
      </c>
      <c r="O845" t="n">
        <v>18</v>
      </c>
      <c r="P845" t="n">
        <v>964</v>
      </c>
      <c r="Q845" t="n">
        <v>1002</v>
      </c>
      <c r="R845" t="n">
        <v>10.605</v>
      </c>
      <c r="S845" t="n">
        <v>125.57</v>
      </c>
      <c r="T845" t="n">
        <v>11.841</v>
      </c>
      <c r="U845" t="n">
        <v>0.7776</v>
      </c>
      <c r="V845" t="b">
        <v>1</v>
      </c>
      <c r="X845" t="b">
        <v>0</v>
      </c>
      <c r="Y845" t="inlineStr">
        <is>
          <t>FLAS</t>
        </is>
      </c>
      <c r="Z845" t="n">
        <v>935</v>
      </c>
      <c r="AA845" t="n">
        <v>2.5</v>
      </c>
      <c r="AB845" t="n">
        <v>9.5</v>
      </c>
    </row>
    <row r="846">
      <c r="A846" t="inlineStr">
        <is>
          <t>2026-09-24 15:01:16</t>
        </is>
      </c>
      <c r="B846" t="inlineStr">
        <is>
          <t>MLLB_000_y1.0.3</t>
        </is>
      </c>
      <c r="C846" t="inlineStr">
        <is>
          <t>WHITE</t>
        </is>
      </c>
      <c r="D846" t="inlineStr">
        <is>
          <t>v4_white_MLLB_000_y103_0924</t>
        </is>
      </c>
      <c r="E846" t="n">
        <v>3.4</v>
      </c>
      <c r="F846" t="n">
        <v>3.408</v>
      </c>
      <c r="G846" t="n">
        <v>7</v>
      </c>
      <c r="H846" t="n">
        <v>80</v>
      </c>
      <c r="I846" t="n">
        <v>25</v>
      </c>
      <c r="J846" t="inlineStr">
        <is>
          <t>ince</t>
        </is>
      </c>
      <c r="K846" t="b">
        <v>1</v>
      </c>
      <c r="M846" t="n">
        <v>98</v>
      </c>
      <c r="N846" t="n">
        <v>40</v>
      </c>
      <c r="O846" t="n">
        <v>74</v>
      </c>
      <c r="P846" t="n">
        <v>904</v>
      </c>
      <c r="Q846" t="n">
        <v>1002</v>
      </c>
      <c r="R846" t="n">
        <v>1.089</v>
      </c>
      <c r="S846" t="n">
        <v>12.881</v>
      </c>
      <c r="T846" t="n">
        <v>11.833</v>
      </c>
      <c r="U846" t="n">
        <v>0.7779</v>
      </c>
      <c r="V846" t="b">
        <v>1</v>
      </c>
      <c r="X846" t="b">
        <v>0</v>
      </c>
      <c r="Y846" t="inlineStr">
        <is>
          <t>ON</t>
        </is>
      </c>
      <c r="Z846" t="n">
        <v>935</v>
      </c>
      <c r="AA846" t="n">
        <v>2.5</v>
      </c>
      <c r="AB846" t="n">
        <v>9.5</v>
      </c>
    </row>
    <row r="847">
      <c r="A847" t="inlineStr">
        <is>
          <t>2026-09-24 15:01:28</t>
        </is>
      </c>
      <c r="B847" t="inlineStr">
        <is>
          <t>MLLB_000_y1.0.3</t>
        </is>
      </c>
      <c r="C847" t="inlineStr">
        <is>
          <t>WHITE</t>
        </is>
      </c>
      <c r="D847" t="inlineStr">
        <is>
          <t>v4_white_MLLB_000_y103_0924</t>
        </is>
      </c>
      <c r="E847" t="n">
        <v>3.4</v>
      </c>
      <c r="F847" t="n">
        <v>3.408</v>
      </c>
      <c r="G847" t="n">
        <v>7</v>
      </c>
      <c r="H847" t="n">
        <v>80</v>
      </c>
      <c r="I847" t="n">
        <v>26</v>
      </c>
      <c r="J847" t="inlineStr">
        <is>
          <t>ince</t>
        </is>
      </c>
      <c r="K847" t="b">
        <v>1</v>
      </c>
      <c r="M847" t="n">
        <v>84</v>
      </c>
      <c r="N847" t="n">
        <v>40</v>
      </c>
      <c r="O847" t="n">
        <v>58</v>
      </c>
      <c r="P847" t="n">
        <v>918</v>
      </c>
      <c r="Q847" t="n">
        <v>1002</v>
      </c>
      <c r="R847" t="n">
        <v>1.088</v>
      </c>
      <c r="S847" t="n">
        <v>12.856</v>
      </c>
      <c r="T847" t="n">
        <v>11.813</v>
      </c>
      <c r="U847" t="n">
        <v>0.778</v>
      </c>
      <c r="V847" t="b">
        <v>1</v>
      </c>
      <c r="X847" t="b">
        <v>0</v>
      </c>
      <c r="Y847" t="inlineStr">
        <is>
          <t>ON</t>
        </is>
      </c>
      <c r="Z847" t="n">
        <v>935</v>
      </c>
      <c r="AA847" t="n">
        <v>2.5</v>
      </c>
      <c r="AB847" t="n">
        <v>9.5</v>
      </c>
    </row>
    <row r="848">
      <c r="A848" t="inlineStr">
        <is>
          <t>2026-09-24 15:01:43</t>
        </is>
      </c>
      <c r="B848" t="inlineStr">
        <is>
          <t>MLLB_000_y1.0.3</t>
        </is>
      </c>
      <c r="C848" t="inlineStr">
        <is>
          <t>WHITE</t>
        </is>
      </c>
      <c r="D848" t="inlineStr">
        <is>
          <t>v4_white_MLLB_000_y103_0924</t>
        </is>
      </c>
      <c r="E848" t="n">
        <v>3.4</v>
      </c>
      <c r="F848" t="n">
        <v>3.408</v>
      </c>
      <c r="G848" t="n">
        <v>7</v>
      </c>
      <c r="H848" t="n">
        <v>80</v>
      </c>
      <c r="I848" t="n">
        <v>27</v>
      </c>
      <c r="J848" t="inlineStr">
        <is>
          <t>ince</t>
        </is>
      </c>
      <c r="K848" t="b">
        <v>1</v>
      </c>
      <c r="M848" t="n">
        <v>70</v>
      </c>
      <c r="N848" t="n">
        <v>42</v>
      </c>
      <c r="O848" t="n">
        <v>44</v>
      </c>
      <c r="P848" t="n">
        <v>932</v>
      </c>
      <c r="Q848" t="n">
        <v>1002</v>
      </c>
      <c r="R848" t="n">
        <v>1.088</v>
      </c>
      <c r="S848" t="n">
        <v>12.903</v>
      </c>
      <c r="T848" t="n">
        <v>11.855</v>
      </c>
      <c r="U848" t="n">
        <v>0.7782</v>
      </c>
      <c r="V848" t="b">
        <v>1</v>
      </c>
      <c r="X848" t="b">
        <v>0</v>
      </c>
      <c r="Y848" t="inlineStr">
        <is>
          <t>ON</t>
        </is>
      </c>
      <c r="Z848" t="n">
        <v>935</v>
      </c>
      <c r="AA848" t="n">
        <v>2.5</v>
      </c>
      <c r="AB848" t="n">
        <v>9.5</v>
      </c>
    </row>
    <row r="849">
      <c r="A849" t="inlineStr">
        <is>
          <t>2026-09-24 15:01:44</t>
        </is>
      </c>
      <c r="B849" t="inlineStr">
        <is>
          <t>MLLB_000_y1.0.3</t>
        </is>
      </c>
      <c r="C849" t="inlineStr">
        <is>
          <t>WHITE</t>
        </is>
      </c>
      <c r="D849" t="inlineStr">
        <is>
          <t>v4_white_MLLB_000_y103_0924</t>
        </is>
      </c>
      <c r="E849" t="n">
        <v>3.4</v>
      </c>
      <c r="F849" t="n">
        <v>3.408</v>
      </c>
      <c r="G849" t="n">
        <v>7</v>
      </c>
      <c r="H849" t="n">
        <v>80</v>
      </c>
      <c r="I849" t="n">
        <v>29</v>
      </c>
      <c r="J849" t="inlineStr">
        <is>
          <t>ince</t>
        </is>
      </c>
      <c r="K849" t="b">
        <v>0</v>
      </c>
      <c r="L849" t="inlineStr">
        <is>
          <t>iki-OK-arasi-monotonluk</t>
        </is>
      </c>
      <c r="X849" t="b">
        <v>1</v>
      </c>
      <c r="Z849" t="n">
        <v>935</v>
      </c>
      <c r="AA849" t="n">
        <v>2.5</v>
      </c>
      <c r="AB849" t="n">
        <v>9.5</v>
      </c>
    </row>
    <row r="850">
      <c r="A850" t="inlineStr">
        <is>
          <t>2026-09-24 15:01:44</t>
        </is>
      </c>
      <c r="B850" t="inlineStr">
        <is>
          <t>MLLB_000_y1.0.3</t>
        </is>
      </c>
      <c r="C850" t="inlineStr">
        <is>
          <t>WHITE</t>
        </is>
      </c>
      <c r="D850" t="inlineStr">
        <is>
          <t>v4_white_MLLB_000_y103_0924</t>
        </is>
      </c>
      <c r="E850" t="n">
        <v>3.4</v>
      </c>
      <c r="F850" t="n">
        <v>3.408</v>
      </c>
      <c r="G850" t="n">
        <v>7</v>
      </c>
      <c r="H850" t="n">
        <v>80</v>
      </c>
      <c r="I850" t="n">
        <v>30</v>
      </c>
      <c r="J850" t="inlineStr">
        <is>
          <t>ince</t>
        </is>
      </c>
      <c r="K850" t="b">
        <v>0</v>
      </c>
      <c r="L850" t="inlineStr">
        <is>
          <t>iki-OK-arasi-monotonluk</t>
        </is>
      </c>
      <c r="X850" t="b">
        <v>1</v>
      </c>
      <c r="Z850" t="n">
        <v>935</v>
      </c>
      <c r="AA850" t="n">
        <v>2.5</v>
      </c>
      <c r="AB850" t="n">
        <v>9.5</v>
      </c>
    </row>
    <row r="851">
      <c r="A851" t="inlineStr">
        <is>
          <t>2026-09-24 15:01:44</t>
        </is>
      </c>
      <c r="B851" t="inlineStr">
        <is>
          <t>MLLB_000_y1.0.3</t>
        </is>
      </c>
      <c r="C851" t="inlineStr">
        <is>
          <t>WHITE</t>
        </is>
      </c>
      <c r="D851" t="inlineStr">
        <is>
          <t>v4_white_MLLB_000_y103_0924</t>
        </is>
      </c>
      <c r="E851" t="n">
        <v>3.4</v>
      </c>
      <c r="F851" t="n">
        <v>3.408</v>
      </c>
      <c r="G851" t="n">
        <v>7</v>
      </c>
      <c r="H851" t="n">
        <v>80</v>
      </c>
      <c r="I851" t="n">
        <v>31</v>
      </c>
      <c r="J851" t="inlineStr">
        <is>
          <t>ince</t>
        </is>
      </c>
      <c r="K851" t="b">
        <v>0</v>
      </c>
      <c r="L851" t="inlineStr">
        <is>
          <t>iki-OK-arasi-monotonluk</t>
        </is>
      </c>
      <c r="X851" t="b">
        <v>1</v>
      </c>
      <c r="Z851" t="n">
        <v>935</v>
      </c>
      <c r="AA851" t="n">
        <v>2.5</v>
      </c>
      <c r="AB851" t="n">
        <v>9.5</v>
      </c>
    </row>
    <row r="852">
      <c r="A852" t="inlineStr">
        <is>
          <t>2026-09-24 15:01:59</t>
        </is>
      </c>
      <c r="B852" t="inlineStr">
        <is>
          <t>MLLB_000_y1.0.3</t>
        </is>
      </c>
      <c r="C852" t="inlineStr">
        <is>
          <t>WHITE</t>
        </is>
      </c>
      <c r="D852" t="inlineStr">
        <is>
          <t>v4_white_MLLB_000_y103_0924</t>
        </is>
      </c>
      <c r="E852" t="n">
        <v>3.4</v>
      </c>
      <c r="F852" t="n">
        <v>3.408</v>
      </c>
      <c r="G852" t="n">
        <v>7</v>
      </c>
      <c r="H852" t="n">
        <v>80</v>
      </c>
      <c r="I852" t="n">
        <v>33</v>
      </c>
      <c r="J852" t="inlineStr">
        <is>
          <t>ince</t>
        </is>
      </c>
      <c r="K852" t="b">
        <v>1</v>
      </c>
      <c r="M852" t="n">
        <v>38</v>
      </c>
      <c r="N852" t="n">
        <v>28</v>
      </c>
      <c r="O852" t="n">
        <v>18</v>
      </c>
      <c r="P852" t="n">
        <v>964</v>
      </c>
      <c r="Q852" t="n">
        <v>1002</v>
      </c>
      <c r="R852" t="n">
        <v>2.785</v>
      </c>
      <c r="S852" t="n">
        <v>32.938</v>
      </c>
      <c r="T852" t="n">
        <v>11.828</v>
      </c>
      <c r="U852" t="n">
        <v>0.7781</v>
      </c>
      <c r="V852" t="b">
        <v>1</v>
      </c>
      <c r="X852" t="b">
        <v>0</v>
      </c>
      <c r="Y852" t="inlineStr">
        <is>
          <t>FLAS</t>
        </is>
      </c>
      <c r="Z852" t="n">
        <v>935</v>
      </c>
      <c r="AA852" t="n">
        <v>2.5</v>
      </c>
      <c r="AB852" t="n">
        <v>9.5</v>
      </c>
    </row>
    <row r="853">
      <c r="A853" t="inlineStr">
        <is>
          <t>2026-09-24 15:02:12</t>
        </is>
      </c>
      <c r="B853" t="inlineStr">
        <is>
          <t>MLLB_000_y1.0.3</t>
        </is>
      </c>
      <c r="C853" t="inlineStr">
        <is>
          <t>WHITE</t>
        </is>
      </c>
      <c r="D853" t="inlineStr">
        <is>
          <t>v4_white_MLLB_000_y103_0924</t>
        </is>
      </c>
      <c r="E853" t="n">
        <v>3.4</v>
      </c>
      <c r="F853" t="n">
        <v>3.408</v>
      </c>
      <c r="G853" t="n">
        <v>7</v>
      </c>
      <c r="H853" t="n">
        <v>80</v>
      </c>
      <c r="I853" t="n">
        <v>34</v>
      </c>
      <c r="J853" t="inlineStr">
        <is>
          <t>ince</t>
        </is>
      </c>
      <c r="K853" t="b">
        <v>1</v>
      </c>
      <c r="M853" t="n">
        <v>38</v>
      </c>
      <c r="N853" t="n">
        <v>28</v>
      </c>
      <c r="O853" t="n">
        <v>18</v>
      </c>
      <c r="P853" t="n">
        <v>964</v>
      </c>
      <c r="Q853" t="n">
        <v>1002</v>
      </c>
      <c r="R853" t="n">
        <v>3.5</v>
      </c>
      <c r="S853" t="n">
        <v>41.401</v>
      </c>
      <c r="T853" t="n">
        <v>11.828</v>
      </c>
      <c r="U853" t="n">
        <v>0.7781</v>
      </c>
      <c r="V853" t="b">
        <v>1</v>
      </c>
      <c r="X853" t="b">
        <v>0</v>
      </c>
      <c r="Y853" t="inlineStr">
        <is>
          <t>FLAS</t>
        </is>
      </c>
      <c r="Z853" t="n">
        <v>935</v>
      </c>
      <c r="AA853" t="n">
        <v>2.5</v>
      </c>
      <c r="AB853" t="n">
        <v>9.5</v>
      </c>
    </row>
    <row r="854">
      <c r="A854" t="inlineStr">
        <is>
          <t>2026-09-24 15:02:27</t>
        </is>
      </c>
      <c r="B854" t="inlineStr">
        <is>
          <t>MLLB_000_y1.0.3</t>
        </is>
      </c>
      <c r="C854" t="inlineStr">
        <is>
          <t>WHITE</t>
        </is>
      </c>
      <c r="D854" t="inlineStr">
        <is>
          <t>v4_white_MLLB_000_y103_0924</t>
        </is>
      </c>
      <c r="E854" t="n">
        <v>3.4</v>
      </c>
      <c r="F854" t="n">
        <v>3.408</v>
      </c>
      <c r="G854" t="n">
        <v>7</v>
      </c>
      <c r="H854" t="n">
        <v>80</v>
      </c>
      <c r="I854" t="n">
        <v>35</v>
      </c>
      <c r="J854" t="inlineStr">
        <is>
          <t>ince</t>
        </is>
      </c>
      <c r="K854" t="b">
        <v>1</v>
      </c>
      <c r="M854" t="n">
        <v>38</v>
      </c>
      <c r="N854" t="n">
        <v>28</v>
      </c>
      <c r="O854" t="n">
        <v>18</v>
      </c>
      <c r="P854" t="n">
        <v>964</v>
      </c>
      <c r="Q854" t="n">
        <v>1002</v>
      </c>
      <c r="R854" t="n">
        <v>6.796</v>
      </c>
      <c r="S854" t="n">
        <v>80.42700000000001</v>
      </c>
      <c r="T854" t="n">
        <v>11.834</v>
      </c>
      <c r="U854" t="n">
        <v>0.7775</v>
      </c>
      <c r="V854" t="b">
        <v>1</v>
      </c>
      <c r="X854" t="b">
        <v>0</v>
      </c>
      <c r="Y854" t="inlineStr">
        <is>
          <t>FLAS</t>
        </is>
      </c>
      <c r="Z854" t="n">
        <v>935</v>
      </c>
      <c r="AA854" t="n">
        <v>2.5</v>
      </c>
      <c r="AB854" t="n">
        <v>9.5</v>
      </c>
    </row>
    <row r="855">
      <c r="A855" t="inlineStr">
        <is>
          <t>2026-09-24 15:02:28</t>
        </is>
      </c>
      <c r="B855" t="inlineStr">
        <is>
          <t>MLLB_000_y1.0.3</t>
        </is>
      </c>
      <c r="C855" t="inlineStr">
        <is>
          <t>WHITE</t>
        </is>
      </c>
      <c r="D855" t="inlineStr">
        <is>
          <t>v4_white_MLLB_000_y103_0924</t>
        </is>
      </c>
      <c r="E855" t="n">
        <v>3.4</v>
      </c>
      <c r="F855" t="n">
        <v>3.408</v>
      </c>
      <c r="G855" t="n">
        <v>7</v>
      </c>
      <c r="H855" t="n">
        <v>80</v>
      </c>
      <c r="J855" t="inlineStr">
        <is>
          <t>bitti</t>
        </is>
      </c>
      <c r="K855" t="b">
        <v>0</v>
      </c>
      <c r="Z855" t="n">
        <v>935</v>
      </c>
      <c r="AA855" t="n">
        <v>2.5</v>
      </c>
      <c r="AB855" t="n">
        <v>9.5</v>
      </c>
    </row>
    <row r="856">
      <c r="A856" t="inlineStr">
        <is>
          <t>2026-09-24 15:02:43</t>
        </is>
      </c>
      <c r="B856" t="inlineStr">
        <is>
          <t>MLLB_000_y1.0.3</t>
        </is>
      </c>
      <c r="C856" t="inlineStr">
        <is>
          <t>WHITE</t>
        </is>
      </c>
      <c r="D856" t="inlineStr">
        <is>
          <t>v4_white_MLLB_000_y103_0924</t>
        </is>
      </c>
      <c r="E856" t="n">
        <v>3.4</v>
      </c>
      <c r="F856" t="n">
        <v>3.408</v>
      </c>
      <c r="G856" t="n">
        <v>7</v>
      </c>
      <c r="H856" t="n">
        <v>60</v>
      </c>
      <c r="I856" t="n">
        <v>12</v>
      </c>
      <c r="J856" t="inlineStr">
        <is>
          <t>kaba</t>
        </is>
      </c>
      <c r="K856" t="b">
        <v>1</v>
      </c>
      <c r="M856" t="n">
        <v>318</v>
      </c>
      <c r="N856" t="n">
        <v>42</v>
      </c>
      <c r="O856" t="n">
        <v>292</v>
      </c>
      <c r="P856" t="n">
        <v>684</v>
      </c>
      <c r="Q856" t="n">
        <v>1002</v>
      </c>
      <c r="R856" t="n">
        <v>1.104</v>
      </c>
      <c r="S856" t="n">
        <v>12.903</v>
      </c>
      <c r="T856" t="n">
        <v>11.687</v>
      </c>
      <c r="U856" t="n">
        <v>0.7773</v>
      </c>
      <c r="V856" t="b">
        <v>1</v>
      </c>
      <c r="X856" t="b">
        <v>0</v>
      </c>
      <c r="Y856" t="inlineStr">
        <is>
          <t>ON</t>
        </is>
      </c>
      <c r="Z856" t="n">
        <v>935</v>
      </c>
      <c r="AA856" t="n">
        <v>2.5</v>
      </c>
      <c r="AB856" t="n">
        <v>9.5</v>
      </c>
    </row>
    <row r="857">
      <c r="A857" t="inlineStr">
        <is>
          <t>2026-09-24 15:02:59</t>
        </is>
      </c>
      <c r="B857" t="inlineStr">
        <is>
          <t>MLLB_000_y1.0.3</t>
        </is>
      </c>
      <c r="C857" t="inlineStr">
        <is>
          <t>WHITE</t>
        </is>
      </c>
      <c r="D857" t="inlineStr">
        <is>
          <t>v4_white_MLLB_000_y103_0924</t>
        </is>
      </c>
      <c r="E857" t="n">
        <v>3.4</v>
      </c>
      <c r="F857" t="n">
        <v>3.408</v>
      </c>
      <c r="G857" t="n">
        <v>7</v>
      </c>
      <c r="H857" t="n">
        <v>60</v>
      </c>
      <c r="I857" t="n">
        <v>16</v>
      </c>
      <c r="J857" t="inlineStr">
        <is>
          <t>kaba</t>
        </is>
      </c>
      <c r="K857" t="b">
        <v>1</v>
      </c>
      <c r="M857" t="n">
        <v>278</v>
      </c>
      <c r="N857" t="n">
        <v>42</v>
      </c>
      <c r="O857" t="n">
        <v>252</v>
      </c>
      <c r="P857" t="n">
        <v>724</v>
      </c>
      <c r="Q857" t="n">
        <v>1002</v>
      </c>
      <c r="R857" t="n">
        <v>1.092</v>
      </c>
      <c r="S857" t="n">
        <v>12.821</v>
      </c>
      <c r="T857" t="n">
        <v>11.737</v>
      </c>
      <c r="U857" t="n">
        <v>0.7776999999999999</v>
      </c>
      <c r="V857" t="b">
        <v>1</v>
      </c>
      <c r="X857" t="b">
        <v>0</v>
      </c>
      <c r="Y857" t="inlineStr">
        <is>
          <t>ON</t>
        </is>
      </c>
      <c r="Z857" t="n">
        <v>935</v>
      </c>
      <c r="AA857" t="n">
        <v>2.5</v>
      </c>
      <c r="AB857" t="n">
        <v>9.5</v>
      </c>
    </row>
    <row r="858">
      <c r="A858" t="inlineStr">
        <is>
          <t>2026-09-24 15:03:15</t>
        </is>
      </c>
      <c r="B858" t="inlineStr">
        <is>
          <t>MLLB_000_y1.0.3</t>
        </is>
      </c>
      <c r="C858" t="inlineStr">
        <is>
          <t>WHITE</t>
        </is>
      </c>
      <c r="D858" t="inlineStr">
        <is>
          <t>v4_white_MLLB_000_y103_0924</t>
        </is>
      </c>
      <c r="E858" t="n">
        <v>3.4</v>
      </c>
      <c r="F858" t="n">
        <v>3.408</v>
      </c>
      <c r="G858" t="n">
        <v>7</v>
      </c>
      <c r="H858" t="n">
        <v>60</v>
      </c>
      <c r="I858" t="n">
        <v>20</v>
      </c>
      <c r="J858" t="inlineStr">
        <is>
          <t>kaba</t>
        </is>
      </c>
      <c r="K858" t="b">
        <v>1</v>
      </c>
      <c r="M858" t="n">
        <v>236</v>
      </c>
      <c r="N858" t="n">
        <v>46</v>
      </c>
      <c r="O858" t="n">
        <v>210</v>
      </c>
      <c r="P858" t="n">
        <v>766</v>
      </c>
      <c r="Q858" t="n">
        <v>1002</v>
      </c>
      <c r="R858" t="n">
        <v>1.089</v>
      </c>
      <c r="S858" t="n">
        <v>12.81</v>
      </c>
      <c r="T858" t="n">
        <v>11.765</v>
      </c>
      <c r="U858" t="n">
        <v>0.7775</v>
      </c>
      <c r="V858" t="b">
        <v>1</v>
      </c>
      <c r="X858" t="b">
        <v>0</v>
      </c>
      <c r="Y858" t="inlineStr">
        <is>
          <t>ON</t>
        </is>
      </c>
      <c r="Z858" t="n">
        <v>935</v>
      </c>
      <c r="AA858" t="n">
        <v>2.5</v>
      </c>
      <c r="AB858" t="n">
        <v>9.5</v>
      </c>
    </row>
    <row r="859">
      <c r="A859" t="inlineStr">
        <is>
          <t>2026-09-24 15:03:31</t>
        </is>
      </c>
      <c r="B859" t="inlineStr">
        <is>
          <t>MLLB_000_y1.0.3</t>
        </is>
      </c>
      <c r="C859" t="inlineStr">
        <is>
          <t>WHITE</t>
        </is>
      </c>
      <c r="D859" t="inlineStr">
        <is>
          <t>v4_white_MLLB_000_y103_0924</t>
        </is>
      </c>
      <c r="E859" t="n">
        <v>3.4</v>
      </c>
      <c r="F859" t="n">
        <v>3.408</v>
      </c>
      <c r="G859" t="n">
        <v>7</v>
      </c>
      <c r="H859" t="n">
        <v>60</v>
      </c>
      <c r="I859" t="n">
        <v>24</v>
      </c>
      <c r="J859" t="inlineStr">
        <is>
          <t>kaba</t>
        </is>
      </c>
      <c r="K859" t="b">
        <v>1</v>
      </c>
      <c r="M859" t="n">
        <v>196</v>
      </c>
      <c r="N859" t="n">
        <v>46</v>
      </c>
      <c r="O859" t="n">
        <v>170</v>
      </c>
      <c r="P859" t="n">
        <v>806</v>
      </c>
      <c r="Q859" t="n">
        <v>1002</v>
      </c>
      <c r="R859" t="n">
        <v>1.091</v>
      </c>
      <c r="S859" t="n">
        <v>12.858</v>
      </c>
      <c r="T859" t="n">
        <v>11.784</v>
      </c>
      <c r="U859" t="n">
        <v>0.7778</v>
      </c>
      <c r="V859" t="b">
        <v>1</v>
      </c>
      <c r="X859" t="b">
        <v>0</v>
      </c>
      <c r="Y859" t="inlineStr">
        <is>
          <t>ON</t>
        </is>
      </c>
      <c r="Z859" t="n">
        <v>935</v>
      </c>
      <c r="AA859" t="n">
        <v>2.5</v>
      </c>
      <c r="AB859" t="n">
        <v>9.5</v>
      </c>
    </row>
    <row r="860">
      <c r="A860" t="inlineStr">
        <is>
          <t>2026-09-24 15:03:48</t>
        </is>
      </c>
      <c r="B860" t="inlineStr">
        <is>
          <t>MLLB_000_y1.0.3</t>
        </is>
      </c>
      <c r="C860" t="inlineStr">
        <is>
          <t>WHITE</t>
        </is>
      </c>
      <c r="D860" t="inlineStr">
        <is>
          <t>v4_white_MLLB_000_y103_0924</t>
        </is>
      </c>
      <c r="E860" t="n">
        <v>3.4</v>
      </c>
      <c r="F860" t="n">
        <v>3.408</v>
      </c>
      <c r="G860" t="n">
        <v>7</v>
      </c>
      <c r="H860" t="n">
        <v>60</v>
      </c>
      <c r="I860" t="n">
        <v>28</v>
      </c>
      <c r="J860" t="inlineStr">
        <is>
          <t>kaba</t>
        </is>
      </c>
      <c r="K860" t="b">
        <v>1</v>
      </c>
      <c r="M860" t="n">
        <v>156</v>
      </c>
      <c r="N860" t="n">
        <v>40</v>
      </c>
      <c r="O860" t="n">
        <v>130</v>
      </c>
      <c r="P860" t="n">
        <v>846</v>
      </c>
      <c r="Q860" t="n">
        <v>1002</v>
      </c>
      <c r="R860" t="n">
        <v>1.095</v>
      </c>
      <c r="S860" t="n">
        <v>12.926</v>
      </c>
      <c r="T860" t="n">
        <v>11.8</v>
      </c>
      <c r="U860" t="n">
        <v>0.7783</v>
      </c>
      <c r="V860" t="b">
        <v>1</v>
      </c>
      <c r="X860" t="b">
        <v>0</v>
      </c>
      <c r="Y860" t="inlineStr">
        <is>
          <t>ON</t>
        </is>
      </c>
      <c r="Z860" t="n">
        <v>935</v>
      </c>
      <c r="AA860" t="n">
        <v>2.5</v>
      </c>
      <c r="AB860" t="n">
        <v>9.5</v>
      </c>
    </row>
    <row r="861">
      <c r="A861" t="inlineStr">
        <is>
          <t>2026-09-24 15:04:03</t>
        </is>
      </c>
      <c r="B861" t="inlineStr">
        <is>
          <t>MLLB_000_y1.0.3</t>
        </is>
      </c>
      <c r="C861" t="inlineStr">
        <is>
          <t>WHITE</t>
        </is>
      </c>
      <c r="D861" t="inlineStr">
        <is>
          <t>v4_white_MLLB_000_y103_0924</t>
        </is>
      </c>
      <c r="E861" t="n">
        <v>3.4</v>
      </c>
      <c r="F861" t="n">
        <v>3.408</v>
      </c>
      <c r="G861" t="n">
        <v>7</v>
      </c>
      <c r="H861" t="n">
        <v>60</v>
      </c>
      <c r="I861" t="n">
        <v>32</v>
      </c>
      <c r="J861" t="inlineStr">
        <is>
          <t>kaba</t>
        </is>
      </c>
      <c r="K861" t="b">
        <v>1</v>
      </c>
      <c r="M861" t="n">
        <v>114</v>
      </c>
      <c r="N861" t="n">
        <v>44</v>
      </c>
      <c r="O861" t="n">
        <v>88</v>
      </c>
      <c r="P861" t="n">
        <v>888</v>
      </c>
      <c r="Q861" t="n">
        <v>1002</v>
      </c>
      <c r="R861" t="n">
        <v>1.088</v>
      </c>
      <c r="S861" t="n">
        <v>12.856</v>
      </c>
      <c r="T861" t="n">
        <v>11.814</v>
      </c>
      <c r="U861" t="n">
        <v>0.7786</v>
      </c>
      <c r="V861" t="b">
        <v>1</v>
      </c>
      <c r="X861" t="b">
        <v>0</v>
      </c>
      <c r="Y861" t="inlineStr">
        <is>
          <t>ON</t>
        </is>
      </c>
      <c r="Z861" t="n">
        <v>935</v>
      </c>
      <c r="AA861" t="n">
        <v>2.5</v>
      </c>
      <c r="AB861" t="n">
        <v>9.5</v>
      </c>
    </row>
    <row r="862">
      <c r="A862" t="inlineStr">
        <is>
          <t>2026-09-24 15:04:20</t>
        </is>
      </c>
      <c r="B862" t="inlineStr">
        <is>
          <t>MLLB_000_y1.0.3</t>
        </is>
      </c>
      <c r="C862" t="inlineStr">
        <is>
          <t>WHITE</t>
        </is>
      </c>
      <c r="D862" t="inlineStr">
        <is>
          <t>v4_white_MLLB_000_y103_0924</t>
        </is>
      </c>
      <c r="E862" t="n">
        <v>3.4</v>
      </c>
      <c r="F862" t="n">
        <v>3.408</v>
      </c>
      <c r="G862" t="n">
        <v>7</v>
      </c>
      <c r="H862" t="n">
        <v>60</v>
      </c>
      <c r="I862" t="n">
        <v>36</v>
      </c>
      <c r="J862" t="inlineStr">
        <is>
          <t>kaba</t>
        </is>
      </c>
      <c r="K862" t="b">
        <v>1</v>
      </c>
      <c r="M862" t="n">
        <v>72</v>
      </c>
      <c r="N862" t="n">
        <v>46</v>
      </c>
      <c r="O862" t="n">
        <v>46</v>
      </c>
      <c r="P862" t="n">
        <v>930</v>
      </c>
      <c r="Q862" t="n">
        <v>1002</v>
      </c>
      <c r="R862" t="n">
        <v>1.089</v>
      </c>
      <c r="S862" t="n">
        <v>12.893</v>
      </c>
      <c r="T862" t="n">
        <v>11.844</v>
      </c>
      <c r="U862" t="n">
        <v>0.7776999999999999</v>
      </c>
      <c r="V862" t="b">
        <v>1</v>
      </c>
      <c r="X862" t="b">
        <v>0</v>
      </c>
      <c r="Y862" t="inlineStr">
        <is>
          <t>ON</t>
        </is>
      </c>
      <c r="Z862" t="n">
        <v>935</v>
      </c>
      <c r="AA862" t="n">
        <v>2.5</v>
      </c>
      <c r="AB862" t="n">
        <v>9.5</v>
      </c>
    </row>
    <row r="863">
      <c r="A863" t="inlineStr">
        <is>
          <t>2026-09-24 15:04:35</t>
        </is>
      </c>
      <c r="B863" t="inlineStr">
        <is>
          <t>MLLB_000_y1.0.3</t>
        </is>
      </c>
      <c r="C863" t="inlineStr">
        <is>
          <t>WHITE</t>
        </is>
      </c>
      <c r="D863" t="inlineStr">
        <is>
          <t>v4_white_MLLB_000_y103_0924</t>
        </is>
      </c>
      <c r="E863" t="n">
        <v>3.4</v>
      </c>
      <c r="F863" t="n">
        <v>3.408</v>
      </c>
      <c r="G863" t="n">
        <v>7</v>
      </c>
      <c r="H863" t="n">
        <v>60</v>
      </c>
      <c r="I863" t="n">
        <v>40</v>
      </c>
      <c r="J863" t="inlineStr">
        <is>
          <t>kaba</t>
        </is>
      </c>
      <c r="K863" t="b">
        <v>1</v>
      </c>
      <c r="M863" t="n">
        <v>46</v>
      </c>
      <c r="N863" t="n">
        <v>28</v>
      </c>
      <c r="O863" t="n">
        <v>26</v>
      </c>
      <c r="P863" t="n">
        <v>956</v>
      </c>
      <c r="Q863" t="n">
        <v>1002</v>
      </c>
      <c r="R863" t="n">
        <v>1.089</v>
      </c>
      <c r="S863" t="n">
        <v>12.903</v>
      </c>
      <c r="T863" t="n">
        <v>11.846</v>
      </c>
      <c r="U863" t="n">
        <v>0.7785</v>
      </c>
      <c r="V863" t="b">
        <v>1</v>
      </c>
      <c r="X863" t="b">
        <v>1</v>
      </c>
      <c r="Z863" t="n">
        <v>935</v>
      </c>
      <c r="AA863" t="n">
        <v>2.5</v>
      </c>
      <c r="AB863" t="n">
        <v>9.5</v>
      </c>
    </row>
    <row r="864">
      <c r="A864" t="inlineStr">
        <is>
          <t>2026-09-24 15:04:48</t>
        </is>
      </c>
      <c r="B864" t="inlineStr">
        <is>
          <t>MLLB_000_y1.0.3</t>
        </is>
      </c>
      <c r="C864" t="inlineStr">
        <is>
          <t>WHITE</t>
        </is>
      </c>
      <c r="D864" t="inlineStr">
        <is>
          <t>v4_white_MLLB_000_y103_0924</t>
        </is>
      </c>
      <c r="E864" t="n">
        <v>3.4</v>
      </c>
      <c r="F864" t="n">
        <v>3.408</v>
      </c>
      <c r="G864" t="n">
        <v>7</v>
      </c>
      <c r="H864" t="n">
        <v>60</v>
      </c>
      <c r="I864" t="n">
        <v>44</v>
      </c>
      <c r="J864" t="inlineStr">
        <is>
          <t>kaba</t>
        </is>
      </c>
      <c r="K864" t="b">
        <v>1</v>
      </c>
      <c r="M864" t="n">
        <v>46</v>
      </c>
      <c r="N864" t="n">
        <v>28</v>
      </c>
      <c r="O864" t="n">
        <v>26</v>
      </c>
      <c r="P864" t="n">
        <v>956</v>
      </c>
      <c r="Q864" t="n">
        <v>1002</v>
      </c>
      <c r="R864" t="n">
        <v>2.778</v>
      </c>
      <c r="S864" t="n">
        <v>33.52</v>
      </c>
      <c r="T864" t="n">
        <v>12.066</v>
      </c>
      <c r="U864" t="n">
        <v>0.778</v>
      </c>
      <c r="V864" t="b">
        <v>1</v>
      </c>
      <c r="X864" t="b">
        <v>0</v>
      </c>
      <c r="Y864" t="inlineStr">
        <is>
          <t>FLAS</t>
        </is>
      </c>
      <c r="Z864" t="n">
        <v>935</v>
      </c>
      <c r="AA864" t="n">
        <v>2.5</v>
      </c>
      <c r="AB864" t="n">
        <v>9.5</v>
      </c>
    </row>
    <row r="865">
      <c r="A865" t="inlineStr">
        <is>
          <t>2026-09-24 15:05:03</t>
        </is>
      </c>
      <c r="B865" t="inlineStr">
        <is>
          <t>MLLB_000_y1.0.3</t>
        </is>
      </c>
      <c r="C865" t="inlineStr">
        <is>
          <t>WHITE</t>
        </is>
      </c>
      <c r="D865" t="inlineStr">
        <is>
          <t>v4_white_MLLB_000_y103_0924</t>
        </is>
      </c>
      <c r="E865" t="n">
        <v>3.4</v>
      </c>
      <c r="F865" t="n">
        <v>3.408</v>
      </c>
      <c r="G865" t="n">
        <v>7</v>
      </c>
      <c r="H865" t="n">
        <v>60</v>
      </c>
      <c r="I865" t="n">
        <v>48</v>
      </c>
      <c r="J865" t="inlineStr">
        <is>
          <t>kaba</t>
        </is>
      </c>
      <c r="K865" t="b">
        <v>1</v>
      </c>
      <c r="M865" t="n">
        <v>46</v>
      </c>
      <c r="N865" t="n">
        <v>28</v>
      </c>
      <c r="O865" t="n">
        <v>26</v>
      </c>
      <c r="P865" t="n">
        <v>956</v>
      </c>
      <c r="Q865" t="n">
        <v>1002</v>
      </c>
      <c r="R865" t="n">
        <v>9.930999999999999</v>
      </c>
      <c r="S865" t="n">
        <v>117.483</v>
      </c>
      <c r="T865" t="n">
        <v>11.83</v>
      </c>
      <c r="U865" t="n">
        <v>0.7786</v>
      </c>
      <c r="V865" t="b">
        <v>1</v>
      </c>
      <c r="X865" t="b">
        <v>0</v>
      </c>
      <c r="Y865" t="inlineStr">
        <is>
          <t>FLAS</t>
        </is>
      </c>
      <c r="Z865" t="n">
        <v>935</v>
      </c>
      <c r="AA865" t="n">
        <v>2.5</v>
      </c>
      <c r="AB865" t="n">
        <v>9.5</v>
      </c>
    </row>
    <row r="866">
      <c r="A866" t="inlineStr">
        <is>
          <t>2026-09-24 15:05:20</t>
        </is>
      </c>
      <c r="B866" t="inlineStr">
        <is>
          <t>MLLB_000_y1.0.3</t>
        </is>
      </c>
      <c r="C866" t="inlineStr">
        <is>
          <t>WHITE</t>
        </is>
      </c>
      <c r="D866" t="inlineStr">
        <is>
          <t>v4_white_MLLB_000_y103_0924</t>
        </is>
      </c>
      <c r="E866" t="n">
        <v>3.4</v>
      </c>
      <c r="F866" t="n">
        <v>3.408</v>
      </c>
      <c r="G866" t="n">
        <v>7</v>
      </c>
      <c r="H866" t="n">
        <v>60</v>
      </c>
      <c r="I866" t="n">
        <v>37</v>
      </c>
      <c r="J866" t="inlineStr">
        <is>
          <t>ince</t>
        </is>
      </c>
      <c r="K866" t="b">
        <v>1</v>
      </c>
      <c r="M866" t="n">
        <v>60</v>
      </c>
      <c r="N866" t="n">
        <v>44</v>
      </c>
      <c r="O866" t="n">
        <v>34</v>
      </c>
      <c r="P866" t="n">
        <v>942</v>
      </c>
      <c r="Q866" t="n">
        <v>1002</v>
      </c>
      <c r="R866" t="n">
        <v>1.082</v>
      </c>
      <c r="S866" t="n">
        <v>12.81</v>
      </c>
      <c r="T866" t="n">
        <v>11.838</v>
      </c>
      <c r="U866" t="n">
        <v>0.7786</v>
      </c>
      <c r="V866" t="b">
        <v>1</v>
      </c>
      <c r="X866" t="b">
        <v>1</v>
      </c>
      <c r="Z866" t="n">
        <v>935</v>
      </c>
      <c r="AA866" t="n">
        <v>2.5</v>
      </c>
      <c r="AB866" t="n">
        <v>9.5</v>
      </c>
    </row>
    <row r="867">
      <c r="A867" t="inlineStr">
        <is>
          <t>2026-09-24 15:05:35</t>
        </is>
      </c>
      <c r="B867" t="inlineStr">
        <is>
          <t>MLLB_000_y1.0.3</t>
        </is>
      </c>
      <c r="C867" t="inlineStr">
        <is>
          <t>WHITE</t>
        </is>
      </c>
      <c r="D867" t="inlineStr">
        <is>
          <t>v4_white_MLLB_000_y103_0924</t>
        </is>
      </c>
      <c r="E867" t="n">
        <v>3.4</v>
      </c>
      <c r="F867" t="n">
        <v>3.408</v>
      </c>
      <c r="G867" t="n">
        <v>7</v>
      </c>
      <c r="H867" t="n">
        <v>60</v>
      </c>
      <c r="I867" t="n">
        <v>38</v>
      </c>
      <c r="J867" t="inlineStr">
        <is>
          <t>ince</t>
        </is>
      </c>
      <c r="K867" t="b">
        <v>1</v>
      </c>
      <c r="M867" t="n">
        <v>50</v>
      </c>
      <c r="N867" t="n">
        <v>38</v>
      </c>
      <c r="O867" t="n">
        <v>28</v>
      </c>
      <c r="P867" t="n">
        <v>952</v>
      </c>
      <c r="Q867" t="n">
        <v>1002</v>
      </c>
      <c r="R867" t="n">
        <v>1.082</v>
      </c>
      <c r="S867" t="n">
        <v>12.823</v>
      </c>
      <c r="T867" t="n">
        <v>11.853</v>
      </c>
      <c r="U867" t="n">
        <v>0.779</v>
      </c>
      <c r="V867" t="b">
        <v>1</v>
      </c>
      <c r="X867" t="b">
        <v>1</v>
      </c>
      <c r="Z867" t="n">
        <v>935</v>
      </c>
      <c r="AA867" t="n">
        <v>2.5</v>
      </c>
      <c r="AB867" t="n">
        <v>9.5</v>
      </c>
    </row>
    <row r="868">
      <c r="A868" t="inlineStr">
        <is>
          <t>2026-09-24 15:05:51</t>
        </is>
      </c>
      <c r="B868" t="inlineStr">
        <is>
          <t>MLLB_000_y1.0.3</t>
        </is>
      </c>
      <c r="C868" t="inlineStr">
        <is>
          <t>WHITE</t>
        </is>
      </c>
      <c r="D868" t="inlineStr">
        <is>
          <t>v4_white_MLLB_000_y103_0924</t>
        </is>
      </c>
      <c r="E868" t="n">
        <v>3.4</v>
      </c>
      <c r="F868" t="n">
        <v>3.408</v>
      </c>
      <c r="G868" t="n">
        <v>7</v>
      </c>
      <c r="H868" t="n">
        <v>60</v>
      </c>
      <c r="I868" t="n">
        <v>39</v>
      </c>
      <c r="J868" t="inlineStr">
        <is>
          <t>ince</t>
        </is>
      </c>
      <c r="K868" t="b">
        <v>1</v>
      </c>
      <c r="M868" t="n">
        <v>46</v>
      </c>
      <c r="N868" t="n">
        <v>28</v>
      </c>
      <c r="O868" t="n">
        <v>26</v>
      </c>
      <c r="P868" t="n">
        <v>956</v>
      </c>
      <c r="Q868" t="n">
        <v>1002</v>
      </c>
      <c r="R868" t="n">
        <v>1.085</v>
      </c>
      <c r="S868" t="n">
        <v>12.839</v>
      </c>
      <c r="T868" t="n">
        <v>11.832</v>
      </c>
      <c r="U868" t="n">
        <v>0.779</v>
      </c>
      <c r="V868" t="b">
        <v>1</v>
      </c>
      <c r="X868" t="b">
        <v>1</v>
      </c>
      <c r="Z868" t="n">
        <v>935</v>
      </c>
      <c r="AA868" t="n">
        <v>2.5</v>
      </c>
      <c r="AB868" t="n">
        <v>9.5</v>
      </c>
    </row>
    <row r="869">
      <c r="A869" t="inlineStr">
        <is>
          <t>2026-09-24 15:06:07</t>
        </is>
      </c>
      <c r="B869" t="inlineStr">
        <is>
          <t>MLLB_000_y1.0.3</t>
        </is>
      </c>
      <c r="C869" t="inlineStr">
        <is>
          <t>WHITE</t>
        </is>
      </c>
      <c r="D869" t="inlineStr">
        <is>
          <t>v4_white_MLLB_000_y103_0924</t>
        </is>
      </c>
      <c r="E869" t="n">
        <v>3.4</v>
      </c>
      <c r="F869" t="n">
        <v>3.408</v>
      </c>
      <c r="G869" t="n">
        <v>7</v>
      </c>
      <c r="H869" t="n">
        <v>60</v>
      </c>
      <c r="I869" t="n">
        <v>41</v>
      </c>
      <c r="J869" t="inlineStr">
        <is>
          <t>ince</t>
        </is>
      </c>
      <c r="K869" t="b">
        <v>1</v>
      </c>
      <c r="M869" t="n">
        <v>46</v>
      </c>
      <c r="N869" t="n">
        <v>28</v>
      </c>
      <c r="O869" t="n">
        <v>26</v>
      </c>
      <c r="P869" t="n">
        <v>956</v>
      </c>
      <c r="Q869" t="n">
        <v>1002</v>
      </c>
      <c r="R869" t="n">
        <v>1.731</v>
      </c>
      <c r="S869" t="n">
        <v>20.487</v>
      </c>
      <c r="T869" t="n">
        <v>11.833</v>
      </c>
      <c r="U869" t="n">
        <v>0.778</v>
      </c>
      <c r="V869" t="b">
        <v>1</v>
      </c>
      <c r="X869" t="b">
        <v>1</v>
      </c>
      <c r="Z869" t="n">
        <v>935</v>
      </c>
      <c r="AA869" t="n">
        <v>2.5</v>
      </c>
      <c r="AB869" t="n">
        <v>9.5</v>
      </c>
    </row>
    <row r="870">
      <c r="A870" t="inlineStr">
        <is>
          <t>2026-09-24 15:06:24</t>
        </is>
      </c>
      <c r="B870" t="inlineStr">
        <is>
          <t>MLLB_000_y1.0.3</t>
        </is>
      </c>
      <c r="C870" t="inlineStr">
        <is>
          <t>WHITE</t>
        </is>
      </c>
      <c r="D870" t="inlineStr">
        <is>
          <t>v4_white_MLLB_000_y103_0924</t>
        </is>
      </c>
      <c r="E870" t="n">
        <v>3.4</v>
      </c>
      <c r="F870" t="n">
        <v>3.408</v>
      </c>
      <c r="G870" t="n">
        <v>7</v>
      </c>
      <c r="H870" t="n">
        <v>60</v>
      </c>
      <c r="I870" t="n">
        <v>42</v>
      </c>
      <c r="J870" t="inlineStr">
        <is>
          <t>ince</t>
        </is>
      </c>
      <c r="K870" t="b">
        <v>1</v>
      </c>
      <c r="M870" t="n">
        <v>46</v>
      </c>
      <c r="N870" t="n">
        <v>28</v>
      </c>
      <c r="O870" t="n">
        <v>26</v>
      </c>
      <c r="P870" t="n">
        <v>956</v>
      </c>
      <c r="Q870" t="n">
        <v>1002</v>
      </c>
      <c r="R870" t="n">
        <v>2.219</v>
      </c>
      <c r="S870" t="n">
        <v>26.367</v>
      </c>
      <c r="T870" t="n">
        <v>11.88</v>
      </c>
      <c r="U870" t="n">
        <v>0.7781</v>
      </c>
      <c r="V870" t="b">
        <v>1</v>
      </c>
      <c r="X870" t="b">
        <v>1</v>
      </c>
      <c r="Z870" t="n">
        <v>935</v>
      </c>
      <c r="AA870" t="n">
        <v>2.5</v>
      </c>
      <c r="AB870" t="n">
        <v>9.5</v>
      </c>
    </row>
    <row r="871">
      <c r="A871" t="inlineStr">
        <is>
          <t>2026-09-24 15:06:40</t>
        </is>
      </c>
      <c r="B871" t="inlineStr">
        <is>
          <t>MLLB_000_y1.0.3</t>
        </is>
      </c>
      <c r="C871" t="inlineStr">
        <is>
          <t>WHITE</t>
        </is>
      </c>
      <c r="D871" t="inlineStr">
        <is>
          <t>v4_white_MLLB_000_y103_0924</t>
        </is>
      </c>
      <c r="E871" t="n">
        <v>3.4</v>
      </c>
      <c r="F871" t="n">
        <v>3.408</v>
      </c>
      <c r="G871" t="n">
        <v>7</v>
      </c>
      <c r="H871" t="n">
        <v>60</v>
      </c>
      <c r="I871" t="n">
        <v>43</v>
      </c>
      <c r="J871" t="inlineStr">
        <is>
          <t>ince</t>
        </is>
      </c>
      <c r="K871" t="b">
        <v>1</v>
      </c>
      <c r="M871" t="n">
        <v>46</v>
      </c>
      <c r="N871" t="n">
        <v>28</v>
      </c>
      <c r="O871" t="n">
        <v>26</v>
      </c>
      <c r="P871" t="n">
        <v>956</v>
      </c>
      <c r="Q871" t="n">
        <v>1002</v>
      </c>
      <c r="R871" t="n">
        <v>2.598</v>
      </c>
      <c r="S871" t="n">
        <v>30.765</v>
      </c>
      <c r="T871" t="n">
        <v>11.843</v>
      </c>
      <c r="U871" t="n">
        <v>0.7778</v>
      </c>
      <c r="V871" t="b">
        <v>1</v>
      </c>
      <c r="X871" t="b">
        <v>0</v>
      </c>
      <c r="Y871" t="inlineStr">
        <is>
          <t>FLAS</t>
        </is>
      </c>
      <c r="Z871" t="n">
        <v>935</v>
      </c>
      <c r="AA871" t="n">
        <v>2.5</v>
      </c>
      <c r="AB871" t="n">
        <v>9.5</v>
      </c>
    </row>
    <row r="872">
      <c r="A872" t="inlineStr">
        <is>
          <t>2026-09-24 15:06:40</t>
        </is>
      </c>
      <c r="B872" t="inlineStr">
        <is>
          <t>MLLB_000_y1.0.3</t>
        </is>
      </c>
      <c r="C872" t="inlineStr">
        <is>
          <t>WHITE</t>
        </is>
      </c>
      <c r="D872" t="inlineStr">
        <is>
          <t>v4_white_MLLB_000_y103_0924</t>
        </is>
      </c>
      <c r="E872" t="n">
        <v>3.4</v>
      </c>
      <c r="F872" t="n">
        <v>3.408</v>
      </c>
      <c r="G872" t="n">
        <v>7</v>
      </c>
      <c r="H872" t="n">
        <v>60</v>
      </c>
      <c r="J872" t="inlineStr">
        <is>
          <t>bitti</t>
        </is>
      </c>
      <c r="K872" t="b">
        <v>0</v>
      </c>
      <c r="Z872" t="n">
        <v>935</v>
      </c>
      <c r="AA872" t="n">
        <v>2.5</v>
      </c>
      <c r="AB872" t="n">
        <v>9.5</v>
      </c>
    </row>
    <row r="873">
      <c r="A873" t="inlineStr">
        <is>
          <t>2026-09-24 15:07:02</t>
        </is>
      </c>
      <c r="B873" t="inlineStr">
        <is>
          <t>MLLB_000_y1.0.3</t>
        </is>
      </c>
      <c r="C873" t="inlineStr">
        <is>
          <t>WHITE</t>
        </is>
      </c>
      <c r="D873" t="inlineStr">
        <is>
          <t>v4_white_MLLB_000_y103_0924</t>
        </is>
      </c>
      <c r="E873" t="n">
        <v>3.4</v>
      </c>
      <c r="F873" t="n">
        <v>3.408</v>
      </c>
      <c r="G873" t="n">
        <v>8</v>
      </c>
      <c r="H873" t="n">
        <v>100</v>
      </c>
      <c r="I873" t="n">
        <v>12</v>
      </c>
      <c r="J873" t="inlineStr">
        <is>
          <t>kaba</t>
        </is>
      </c>
      <c r="K873" t="b">
        <v>1</v>
      </c>
      <c r="M873" t="n">
        <v>208</v>
      </c>
      <c r="N873" t="n">
        <v>36</v>
      </c>
      <c r="O873" t="n">
        <v>186</v>
      </c>
      <c r="P873" t="n">
        <v>794</v>
      </c>
      <c r="Q873" t="n">
        <v>1002</v>
      </c>
      <c r="R873" t="n">
        <v>1.095</v>
      </c>
      <c r="S873" t="n">
        <v>15.421</v>
      </c>
      <c r="T873" t="n">
        <v>14.086</v>
      </c>
      <c r="U873" t="n">
        <v>0.7781</v>
      </c>
      <c r="V873" t="b">
        <v>1</v>
      </c>
      <c r="X873" t="b">
        <v>0</v>
      </c>
      <c r="Y873" t="inlineStr">
        <is>
          <t>ON</t>
        </is>
      </c>
      <c r="Z873" t="n">
        <v>935</v>
      </c>
      <c r="AA873" t="n">
        <v>2.5</v>
      </c>
      <c r="AB873" t="n">
        <v>9.5</v>
      </c>
    </row>
    <row r="874">
      <c r="A874" t="inlineStr">
        <is>
          <t>2026-09-24 15:07:18</t>
        </is>
      </c>
      <c r="B874" t="inlineStr">
        <is>
          <t>MLLB_000_y1.0.3</t>
        </is>
      </c>
      <c r="C874" t="inlineStr">
        <is>
          <t>WHITE</t>
        </is>
      </c>
      <c r="D874" t="inlineStr">
        <is>
          <t>v4_white_MLLB_000_y103_0924</t>
        </is>
      </c>
      <c r="E874" t="n">
        <v>3.4</v>
      </c>
      <c r="F874" t="n">
        <v>3.408</v>
      </c>
      <c r="G874" t="n">
        <v>8</v>
      </c>
      <c r="H874" t="n">
        <v>100</v>
      </c>
      <c r="I874" t="n">
        <v>16</v>
      </c>
      <c r="J874" t="inlineStr">
        <is>
          <t>kaba</t>
        </is>
      </c>
      <c r="K874" t="b">
        <v>1</v>
      </c>
      <c r="M874" t="n">
        <v>152</v>
      </c>
      <c r="N874" t="n">
        <v>38</v>
      </c>
      <c r="O874" t="n">
        <v>128</v>
      </c>
      <c r="P874" t="n">
        <v>850</v>
      </c>
      <c r="Q874" t="n">
        <v>1002</v>
      </c>
      <c r="R874" t="n">
        <v>1.085</v>
      </c>
      <c r="S874" t="n">
        <v>15.347</v>
      </c>
      <c r="T874" t="n">
        <v>14.141</v>
      </c>
      <c r="U874" t="n">
        <v>0.7781</v>
      </c>
      <c r="V874" t="b">
        <v>1</v>
      </c>
      <c r="X874" t="b">
        <v>0</v>
      </c>
      <c r="Y874" t="inlineStr">
        <is>
          <t>ON</t>
        </is>
      </c>
      <c r="Z874" t="n">
        <v>935</v>
      </c>
      <c r="AA874" t="n">
        <v>2.5</v>
      </c>
      <c r="AB874" t="n">
        <v>9.5</v>
      </c>
    </row>
    <row r="875">
      <c r="A875" t="inlineStr">
        <is>
          <t>2026-09-24 15:07:34</t>
        </is>
      </c>
      <c r="B875" t="inlineStr">
        <is>
          <t>MLLB_000_y1.0.3</t>
        </is>
      </c>
      <c r="C875" t="inlineStr">
        <is>
          <t>WHITE</t>
        </is>
      </c>
      <c r="D875" t="inlineStr">
        <is>
          <t>v4_white_MLLB_000_y103_0924</t>
        </is>
      </c>
      <c r="E875" t="n">
        <v>3.4</v>
      </c>
      <c r="F875" t="n">
        <v>3.408</v>
      </c>
      <c r="G875" t="n">
        <v>8</v>
      </c>
      <c r="H875" t="n">
        <v>100</v>
      </c>
      <c r="I875" t="n">
        <v>20</v>
      </c>
      <c r="J875" t="inlineStr">
        <is>
          <t>kaba</t>
        </is>
      </c>
      <c r="K875" t="b">
        <v>1</v>
      </c>
      <c r="M875" t="n">
        <v>94</v>
      </c>
      <c r="N875" t="n">
        <v>40</v>
      </c>
      <c r="O875" t="n">
        <v>70</v>
      </c>
      <c r="P875" t="n">
        <v>908</v>
      </c>
      <c r="Q875" t="n">
        <v>1002</v>
      </c>
      <c r="R875" t="n">
        <v>1.083</v>
      </c>
      <c r="S875" t="n">
        <v>15.327</v>
      </c>
      <c r="T875" t="n">
        <v>14.155</v>
      </c>
      <c r="U875" t="n">
        <v>0.778</v>
      </c>
      <c r="V875" t="b">
        <v>1</v>
      </c>
      <c r="X875" t="b">
        <v>0</v>
      </c>
      <c r="Y875" t="inlineStr">
        <is>
          <t>ON</t>
        </is>
      </c>
      <c r="Z875" t="n">
        <v>935</v>
      </c>
      <c r="AA875" t="n">
        <v>2.5</v>
      </c>
      <c r="AB875" t="n">
        <v>9.5</v>
      </c>
    </row>
    <row r="876">
      <c r="A876" t="inlineStr">
        <is>
          <t>2026-09-24 15:07:50</t>
        </is>
      </c>
      <c r="B876" t="inlineStr">
        <is>
          <t>MLLB_000_y1.0.3</t>
        </is>
      </c>
      <c r="C876" t="inlineStr">
        <is>
          <t>WHITE</t>
        </is>
      </c>
      <c r="D876" t="inlineStr">
        <is>
          <t>v4_white_MLLB_000_y103_0924</t>
        </is>
      </c>
      <c r="E876" t="n">
        <v>3.4</v>
      </c>
      <c r="F876" t="n">
        <v>3.408</v>
      </c>
      <c r="G876" t="n">
        <v>8</v>
      </c>
      <c r="H876" t="n">
        <v>100</v>
      </c>
      <c r="I876" t="n">
        <v>24</v>
      </c>
      <c r="J876" t="inlineStr">
        <is>
          <t>kaba</t>
        </is>
      </c>
      <c r="K876" t="b">
        <v>1</v>
      </c>
      <c r="M876" t="n">
        <v>36</v>
      </c>
      <c r="N876" t="n">
        <v>36</v>
      </c>
      <c r="O876" t="n">
        <v>16</v>
      </c>
      <c r="P876" t="n">
        <v>966</v>
      </c>
      <c r="Q876" t="n">
        <v>1002</v>
      </c>
      <c r="R876" t="n">
        <v>1.081</v>
      </c>
      <c r="S876" t="n">
        <v>15.335</v>
      </c>
      <c r="T876" t="n">
        <v>14.179</v>
      </c>
      <c r="U876" t="n">
        <v>0.7776999999999999</v>
      </c>
      <c r="V876" t="b">
        <v>1</v>
      </c>
      <c r="X876" t="b">
        <v>1</v>
      </c>
      <c r="Z876" t="n">
        <v>935</v>
      </c>
      <c r="AA876" t="n">
        <v>2.5</v>
      </c>
      <c r="AB876" t="n">
        <v>9.5</v>
      </c>
    </row>
    <row r="877">
      <c r="A877" t="inlineStr">
        <is>
          <t>2026-09-24 15:08:05</t>
        </is>
      </c>
      <c r="B877" t="inlineStr">
        <is>
          <t>MLLB_000_y1.0.3</t>
        </is>
      </c>
      <c r="C877" t="inlineStr">
        <is>
          <t>WHITE</t>
        </is>
      </c>
      <c r="D877" t="inlineStr">
        <is>
          <t>v4_white_MLLB_000_y103_0924</t>
        </is>
      </c>
      <c r="E877" t="n">
        <v>3.4</v>
      </c>
      <c r="F877" t="n">
        <v>3.408</v>
      </c>
      <c r="G877" t="n">
        <v>8</v>
      </c>
      <c r="H877" t="n">
        <v>100</v>
      </c>
      <c r="I877" t="n">
        <v>28</v>
      </c>
      <c r="J877" t="inlineStr">
        <is>
          <t>kaba</t>
        </is>
      </c>
      <c r="K877" t="b">
        <v>1</v>
      </c>
      <c r="M877" t="n">
        <v>34</v>
      </c>
      <c r="N877" t="n">
        <v>28</v>
      </c>
      <c r="O877" t="n">
        <v>14</v>
      </c>
      <c r="P877" t="n">
        <v>968</v>
      </c>
      <c r="Q877" t="n">
        <v>1002</v>
      </c>
      <c r="R877" t="n">
        <v>2.855</v>
      </c>
      <c r="S877" t="n">
        <v>40.505</v>
      </c>
      <c r="T877" t="n">
        <v>14.188</v>
      </c>
      <c r="U877" t="n">
        <v>0.7783</v>
      </c>
      <c r="V877" t="b">
        <v>1</v>
      </c>
      <c r="X877" t="b">
        <v>0</v>
      </c>
      <c r="Y877" t="inlineStr">
        <is>
          <t>FLAS</t>
        </is>
      </c>
      <c r="Z877" t="n">
        <v>935</v>
      </c>
      <c r="AA877" t="n">
        <v>2.5</v>
      </c>
      <c r="AB877" t="n">
        <v>9.5</v>
      </c>
    </row>
    <row r="878">
      <c r="A878" t="inlineStr">
        <is>
          <t>2026-09-24 15:08:21</t>
        </is>
      </c>
      <c r="B878" t="inlineStr">
        <is>
          <t>MLLB_000_y1.0.3</t>
        </is>
      </c>
      <c r="C878" t="inlineStr">
        <is>
          <t>WHITE</t>
        </is>
      </c>
      <c r="D878" t="inlineStr">
        <is>
          <t>v4_white_MLLB_000_y103_0924</t>
        </is>
      </c>
      <c r="E878" t="n">
        <v>3.4</v>
      </c>
      <c r="F878" t="n">
        <v>3.408</v>
      </c>
      <c r="G878" t="n">
        <v>8</v>
      </c>
      <c r="H878" t="n">
        <v>100</v>
      </c>
      <c r="I878" t="n">
        <v>32</v>
      </c>
      <c r="J878" t="inlineStr">
        <is>
          <t>kaba</t>
        </is>
      </c>
      <c r="K878" t="b">
        <v>1</v>
      </c>
      <c r="M878" t="n">
        <v>34</v>
      </c>
      <c r="N878" t="n">
        <v>28</v>
      </c>
      <c r="O878" t="n">
        <v>14</v>
      </c>
      <c r="P878" t="n">
        <v>968</v>
      </c>
      <c r="Q878" t="n">
        <v>1002</v>
      </c>
      <c r="R878" t="n">
        <v>14.488</v>
      </c>
      <c r="S878" t="n">
        <v>205.451</v>
      </c>
      <c r="T878" t="n">
        <v>14.181</v>
      </c>
      <c r="U878" t="n">
        <v>0.7779</v>
      </c>
      <c r="V878" t="b">
        <v>1</v>
      </c>
      <c r="X878" t="b">
        <v>0</v>
      </c>
      <c r="Y878" t="inlineStr">
        <is>
          <t>FLAS</t>
        </is>
      </c>
      <c r="Z878" t="n">
        <v>935</v>
      </c>
      <c r="AA878" t="n">
        <v>2.5</v>
      </c>
      <c r="AB878" t="n">
        <v>9.5</v>
      </c>
    </row>
    <row r="879">
      <c r="A879" t="inlineStr">
        <is>
          <t>2026-09-24 15:08:38</t>
        </is>
      </c>
      <c r="B879" t="inlineStr">
        <is>
          <t>MLLB_000_y1.0.3</t>
        </is>
      </c>
      <c r="C879" t="inlineStr">
        <is>
          <t>WHITE</t>
        </is>
      </c>
      <c r="D879" t="inlineStr">
        <is>
          <t>v4_white_MLLB_000_y103_0924</t>
        </is>
      </c>
      <c r="E879" t="n">
        <v>3.4</v>
      </c>
      <c r="F879" t="n">
        <v>3.408</v>
      </c>
      <c r="G879" t="n">
        <v>8</v>
      </c>
      <c r="H879" t="n">
        <v>100</v>
      </c>
      <c r="I879" t="n">
        <v>21</v>
      </c>
      <c r="J879" t="inlineStr">
        <is>
          <t>ince</t>
        </is>
      </c>
      <c r="K879" t="b">
        <v>1</v>
      </c>
      <c r="M879" t="n">
        <v>80</v>
      </c>
      <c r="N879" t="n">
        <v>38</v>
      </c>
      <c r="O879" t="n">
        <v>56</v>
      </c>
      <c r="P879" t="n">
        <v>922</v>
      </c>
      <c r="Q879" t="n">
        <v>1002</v>
      </c>
      <c r="R879" t="n">
        <v>1.082</v>
      </c>
      <c r="S879" t="n">
        <v>15.327</v>
      </c>
      <c r="T879" t="n">
        <v>14.172</v>
      </c>
      <c r="U879" t="n">
        <v>0.778</v>
      </c>
      <c r="V879" t="b">
        <v>1</v>
      </c>
      <c r="X879" t="b">
        <v>0</v>
      </c>
      <c r="Y879" t="inlineStr">
        <is>
          <t>ON</t>
        </is>
      </c>
      <c r="Z879" t="n">
        <v>935</v>
      </c>
      <c r="AA879" t="n">
        <v>2.5</v>
      </c>
      <c r="AB879" t="n">
        <v>9.5</v>
      </c>
    </row>
    <row r="880">
      <c r="A880" t="inlineStr">
        <is>
          <t>2026-09-24 15:08:53</t>
        </is>
      </c>
      <c r="B880" t="inlineStr">
        <is>
          <t>MLLB_000_y1.0.3</t>
        </is>
      </c>
      <c r="C880" t="inlineStr">
        <is>
          <t>WHITE</t>
        </is>
      </c>
      <c r="D880" t="inlineStr">
        <is>
          <t>v4_white_MLLB_000_y103_0924</t>
        </is>
      </c>
      <c r="E880" t="n">
        <v>3.4</v>
      </c>
      <c r="F880" t="n">
        <v>3.408</v>
      </c>
      <c r="G880" t="n">
        <v>8</v>
      </c>
      <c r="H880" t="n">
        <v>100</v>
      </c>
      <c r="I880" t="n">
        <v>22</v>
      </c>
      <c r="J880" t="inlineStr">
        <is>
          <t>ince</t>
        </is>
      </c>
      <c r="K880" t="b">
        <v>1</v>
      </c>
      <c r="M880" t="n">
        <v>66</v>
      </c>
      <c r="N880" t="n">
        <v>36</v>
      </c>
      <c r="O880" t="n">
        <v>42</v>
      </c>
      <c r="P880" t="n">
        <v>936</v>
      </c>
      <c r="Q880" t="n">
        <v>1002</v>
      </c>
      <c r="R880" t="n">
        <v>1.08</v>
      </c>
      <c r="S880" t="n">
        <v>15.327</v>
      </c>
      <c r="T880" t="n">
        <v>14.185</v>
      </c>
      <c r="U880" t="n">
        <v>0.7784</v>
      </c>
      <c r="V880" t="b">
        <v>1</v>
      </c>
      <c r="X880" t="b">
        <v>1</v>
      </c>
      <c r="Z880" t="n">
        <v>935</v>
      </c>
      <c r="AA880" t="n">
        <v>2.5</v>
      </c>
      <c r="AB880" t="n">
        <v>9.5</v>
      </c>
    </row>
    <row r="881">
      <c r="A881" t="inlineStr">
        <is>
          <t>2026-09-24 15:09:10</t>
        </is>
      </c>
      <c r="B881" t="inlineStr">
        <is>
          <t>MLLB_000_y1.0.3</t>
        </is>
      </c>
      <c r="C881" t="inlineStr">
        <is>
          <t>WHITE</t>
        </is>
      </c>
      <c r="D881" t="inlineStr">
        <is>
          <t>v4_white_MLLB_000_y103_0924</t>
        </is>
      </c>
      <c r="E881" t="n">
        <v>3.4</v>
      </c>
      <c r="F881" t="n">
        <v>3.408</v>
      </c>
      <c r="G881" t="n">
        <v>8</v>
      </c>
      <c r="H881" t="n">
        <v>100</v>
      </c>
      <c r="I881" t="n">
        <v>23</v>
      </c>
      <c r="J881" t="inlineStr">
        <is>
          <t>ince</t>
        </is>
      </c>
      <c r="K881" t="b">
        <v>1</v>
      </c>
      <c r="M881" t="n">
        <v>50</v>
      </c>
      <c r="N881" t="n">
        <v>40</v>
      </c>
      <c r="O881" t="n">
        <v>26</v>
      </c>
      <c r="P881" t="n">
        <v>952</v>
      </c>
      <c r="Q881" t="n">
        <v>1002</v>
      </c>
      <c r="R881" t="n">
        <v>1.085</v>
      </c>
      <c r="S881" t="n">
        <v>15.421</v>
      </c>
      <c r="T881" t="n">
        <v>14.211</v>
      </c>
      <c r="U881" t="n">
        <v>0.7784</v>
      </c>
      <c r="V881" t="b">
        <v>1</v>
      </c>
      <c r="X881" t="b">
        <v>1</v>
      </c>
      <c r="Z881" t="n">
        <v>935</v>
      </c>
      <c r="AA881" t="n">
        <v>2.5</v>
      </c>
      <c r="AB881" t="n">
        <v>9.5</v>
      </c>
    </row>
    <row r="882">
      <c r="A882" t="inlineStr">
        <is>
          <t>2026-09-24 15:09:26</t>
        </is>
      </c>
      <c r="B882" t="inlineStr">
        <is>
          <t>MLLB_000_y1.0.3</t>
        </is>
      </c>
      <c r="C882" t="inlineStr">
        <is>
          <t>WHITE</t>
        </is>
      </c>
      <c r="D882" t="inlineStr">
        <is>
          <t>v4_white_MLLB_000_y103_0924</t>
        </is>
      </c>
      <c r="E882" t="n">
        <v>3.4</v>
      </c>
      <c r="F882" t="n">
        <v>3.408</v>
      </c>
      <c r="G882" t="n">
        <v>8</v>
      </c>
      <c r="H882" t="n">
        <v>100</v>
      </c>
      <c r="I882" t="n">
        <v>25</v>
      </c>
      <c r="J882" t="inlineStr">
        <is>
          <t>ince</t>
        </is>
      </c>
      <c r="K882" t="b">
        <v>1</v>
      </c>
      <c r="M882" t="n">
        <v>34</v>
      </c>
      <c r="N882" t="n">
        <v>28</v>
      </c>
      <c r="O882" t="n">
        <v>14</v>
      </c>
      <c r="P882" t="n">
        <v>968</v>
      </c>
      <c r="Q882" t="n">
        <v>1002</v>
      </c>
      <c r="R882" t="n">
        <v>1.074</v>
      </c>
      <c r="S882" t="n">
        <v>15.258</v>
      </c>
      <c r="T882" t="n">
        <v>14.201</v>
      </c>
      <c r="U882" t="n">
        <v>0.7781</v>
      </c>
      <c r="V882" t="b">
        <v>1</v>
      </c>
      <c r="X882" t="b">
        <v>1</v>
      </c>
      <c r="Z882" t="n">
        <v>935</v>
      </c>
      <c r="AA882" t="n">
        <v>2.5</v>
      </c>
      <c r="AB882" t="n">
        <v>9.5</v>
      </c>
    </row>
    <row r="883">
      <c r="A883" t="inlineStr">
        <is>
          <t>2026-09-24 15:09:41</t>
        </is>
      </c>
      <c r="B883" t="inlineStr">
        <is>
          <t>MLLB_000_y1.0.3</t>
        </is>
      </c>
      <c r="C883" t="inlineStr">
        <is>
          <t>WHITE</t>
        </is>
      </c>
      <c r="D883" t="inlineStr">
        <is>
          <t>v4_white_MLLB_000_y103_0924</t>
        </is>
      </c>
      <c r="E883" t="n">
        <v>3.4</v>
      </c>
      <c r="F883" t="n">
        <v>3.408</v>
      </c>
      <c r="G883" t="n">
        <v>8</v>
      </c>
      <c r="H883" t="n">
        <v>100</v>
      </c>
      <c r="I883" t="n">
        <v>26</v>
      </c>
      <c r="J883" t="inlineStr">
        <is>
          <t>ince</t>
        </is>
      </c>
      <c r="K883" t="b">
        <v>1</v>
      </c>
      <c r="M883" t="n">
        <v>34</v>
      </c>
      <c r="N883" t="n">
        <v>28</v>
      </c>
      <c r="O883" t="n">
        <v>14</v>
      </c>
      <c r="P883" t="n">
        <v>968</v>
      </c>
      <c r="Q883" t="n">
        <v>1002</v>
      </c>
      <c r="R883" t="n">
        <v>1.671</v>
      </c>
      <c r="S883" t="n">
        <v>23.727</v>
      </c>
      <c r="T883" t="n">
        <v>14.203</v>
      </c>
      <c r="U883" t="n">
        <v>0.7781</v>
      </c>
      <c r="V883" t="b">
        <v>1</v>
      </c>
      <c r="X883" t="b">
        <v>1</v>
      </c>
      <c r="Z883" t="n">
        <v>935</v>
      </c>
      <c r="AA883" t="n">
        <v>2.5</v>
      </c>
      <c r="AB883" t="n">
        <v>9.5</v>
      </c>
    </row>
    <row r="884">
      <c r="A884" t="inlineStr">
        <is>
          <t>2026-09-24 15:09:57</t>
        </is>
      </c>
      <c r="B884" t="inlineStr">
        <is>
          <t>MLLB_000_y1.0.3</t>
        </is>
      </c>
      <c r="C884" t="inlineStr">
        <is>
          <t>WHITE</t>
        </is>
      </c>
      <c r="D884" t="inlineStr">
        <is>
          <t>v4_white_MLLB_000_y103_0924</t>
        </is>
      </c>
      <c r="E884" t="n">
        <v>3.4</v>
      </c>
      <c r="F884" t="n">
        <v>3.408</v>
      </c>
      <c r="G884" t="n">
        <v>8</v>
      </c>
      <c r="H884" t="n">
        <v>100</v>
      </c>
      <c r="I884" t="n">
        <v>27</v>
      </c>
      <c r="J884" t="inlineStr">
        <is>
          <t>ince</t>
        </is>
      </c>
      <c r="K884" t="b">
        <v>1</v>
      </c>
      <c r="M884" t="n">
        <v>34</v>
      </c>
      <c r="N884" t="n">
        <v>28</v>
      </c>
      <c r="O884" t="n">
        <v>14</v>
      </c>
      <c r="P884" t="n">
        <v>968</v>
      </c>
      <c r="Q884" t="n">
        <v>1002</v>
      </c>
      <c r="R884" t="n">
        <v>2.237</v>
      </c>
      <c r="S884" t="n">
        <v>31.714</v>
      </c>
      <c r="T884" t="n">
        <v>14.179</v>
      </c>
      <c r="U884" t="n">
        <v>0.7779</v>
      </c>
      <c r="V884" t="b">
        <v>1</v>
      </c>
      <c r="X884" t="b">
        <v>1</v>
      </c>
      <c r="Z884" t="n">
        <v>935</v>
      </c>
      <c r="AA884" t="n">
        <v>2.5</v>
      </c>
      <c r="AB884" t="n">
        <v>9.5</v>
      </c>
    </row>
    <row r="885">
      <c r="A885" t="inlineStr">
        <is>
          <t>2026-09-24 15:09:58</t>
        </is>
      </c>
      <c r="B885" t="inlineStr">
        <is>
          <t>MLLB_000_y1.0.3</t>
        </is>
      </c>
      <c r="C885" t="inlineStr">
        <is>
          <t>WHITE</t>
        </is>
      </c>
      <c r="D885" t="inlineStr">
        <is>
          <t>v4_white_MLLB_000_y103_0924</t>
        </is>
      </c>
      <c r="E885" t="n">
        <v>3.4</v>
      </c>
      <c r="F885" t="n">
        <v>3.408</v>
      </c>
      <c r="G885" t="n">
        <v>8</v>
      </c>
      <c r="H885" t="n">
        <v>100</v>
      </c>
      <c r="J885" t="inlineStr">
        <is>
          <t>bitti</t>
        </is>
      </c>
      <c r="K885" t="b">
        <v>0</v>
      </c>
      <c r="Z885" t="n">
        <v>935</v>
      </c>
      <c r="AA885" t="n">
        <v>2.5</v>
      </c>
      <c r="AB885" t="n">
        <v>9.5</v>
      </c>
    </row>
    <row r="886">
      <c r="A886" t="inlineStr">
        <is>
          <t>2026-09-24 15:10:14</t>
        </is>
      </c>
      <c r="B886" t="inlineStr">
        <is>
          <t>MLLB_000_y1.0.3</t>
        </is>
      </c>
      <c r="C886" t="inlineStr">
        <is>
          <t>WHITE</t>
        </is>
      </c>
      <c r="D886" t="inlineStr">
        <is>
          <t>v4_white_MLLB_000_y103_0924</t>
        </is>
      </c>
      <c r="E886" t="n">
        <v>3.4</v>
      </c>
      <c r="F886" t="n">
        <v>3.408</v>
      </c>
      <c r="G886" t="n">
        <v>8</v>
      </c>
      <c r="H886" t="n">
        <v>80</v>
      </c>
      <c r="I886" t="n">
        <v>12</v>
      </c>
      <c r="J886" t="inlineStr">
        <is>
          <t>kaba</t>
        </is>
      </c>
      <c r="K886" t="b">
        <v>1</v>
      </c>
      <c r="M886" t="n">
        <v>238</v>
      </c>
      <c r="N886" t="n">
        <v>42</v>
      </c>
      <c r="O886" t="n">
        <v>214</v>
      </c>
      <c r="P886" t="n">
        <v>764</v>
      </c>
      <c r="Q886" t="n">
        <v>1002</v>
      </c>
      <c r="R886" t="n">
        <v>1.096</v>
      </c>
      <c r="S886" t="n">
        <v>15.421</v>
      </c>
      <c r="T886" t="n">
        <v>14.074</v>
      </c>
      <c r="U886" t="n">
        <v>0.7788</v>
      </c>
      <c r="V886" t="b">
        <v>1</v>
      </c>
      <c r="X886" t="b">
        <v>0</v>
      </c>
      <c r="Y886" t="inlineStr">
        <is>
          <t>ON</t>
        </is>
      </c>
      <c r="Z886" t="n">
        <v>935</v>
      </c>
      <c r="AA886" t="n">
        <v>2.5</v>
      </c>
      <c r="AB886" t="n">
        <v>9.5</v>
      </c>
    </row>
    <row r="887">
      <c r="A887" t="inlineStr">
        <is>
          <t>2026-09-24 15:10:30</t>
        </is>
      </c>
      <c r="B887" t="inlineStr">
        <is>
          <t>MLLB_000_y1.0.3</t>
        </is>
      </c>
      <c r="C887" t="inlineStr">
        <is>
          <t>WHITE</t>
        </is>
      </c>
      <c r="D887" t="inlineStr">
        <is>
          <t>v4_white_MLLB_000_y103_0924</t>
        </is>
      </c>
      <c r="E887" t="n">
        <v>3.4</v>
      </c>
      <c r="F887" t="n">
        <v>3.408</v>
      </c>
      <c r="G887" t="n">
        <v>8</v>
      </c>
      <c r="H887" t="n">
        <v>80</v>
      </c>
      <c r="I887" t="n">
        <v>16</v>
      </c>
      <c r="J887" t="inlineStr">
        <is>
          <t>kaba</t>
        </is>
      </c>
      <c r="K887" t="b">
        <v>1</v>
      </c>
      <c r="M887" t="n">
        <v>190</v>
      </c>
      <c r="N887" t="n">
        <v>38</v>
      </c>
      <c r="O887" t="n">
        <v>168</v>
      </c>
      <c r="P887" t="n">
        <v>812</v>
      </c>
      <c r="Q887" t="n">
        <v>1002</v>
      </c>
      <c r="R887" t="n">
        <v>1.087</v>
      </c>
      <c r="S887" t="n">
        <v>15.327</v>
      </c>
      <c r="T887" t="n">
        <v>14.103</v>
      </c>
      <c r="U887" t="n">
        <v>0.7781</v>
      </c>
      <c r="V887" t="b">
        <v>1</v>
      </c>
      <c r="X887" t="b">
        <v>0</v>
      </c>
      <c r="Y887" t="inlineStr">
        <is>
          <t>ON</t>
        </is>
      </c>
      <c r="Z887" t="n">
        <v>935</v>
      </c>
      <c r="AA887" t="n">
        <v>2.5</v>
      </c>
      <c r="AB887" t="n">
        <v>9.5</v>
      </c>
    </row>
    <row r="888">
      <c r="A888" t="inlineStr">
        <is>
          <t>2026-09-24 15:10:46</t>
        </is>
      </c>
      <c r="B888" t="inlineStr">
        <is>
          <t>MLLB_000_y1.0.3</t>
        </is>
      </c>
      <c r="C888" t="inlineStr">
        <is>
          <t>WHITE</t>
        </is>
      </c>
      <c r="D888" t="inlineStr">
        <is>
          <t>v4_white_MLLB_000_y103_0924</t>
        </is>
      </c>
      <c r="E888" t="n">
        <v>3.4</v>
      </c>
      <c r="F888" t="n">
        <v>3.408</v>
      </c>
      <c r="G888" t="n">
        <v>8</v>
      </c>
      <c r="H888" t="n">
        <v>80</v>
      </c>
      <c r="I888" t="n">
        <v>20</v>
      </c>
      <c r="J888" t="inlineStr">
        <is>
          <t>kaba</t>
        </is>
      </c>
      <c r="K888" t="b">
        <v>1</v>
      </c>
      <c r="M888" t="n">
        <v>146</v>
      </c>
      <c r="N888" t="n">
        <v>42</v>
      </c>
      <c r="O888" t="n">
        <v>122</v>
      </c>
      <c r="P888" t="n">
        <v>856</v>
      </c>
      <c r="Q888" t="n">
        <v>1002</v>
      </c>
      <c r="R888" t="n">
        <v>1.084</v>
      </c>
      <c r="S888" t="n">
        <v>15.327</v>
      </c>
      <c r="T888" t="n">
        <v>14.141</v>
      </c>
      <c r="U888" t="n">
        <v>0.7786</v>
      </c>
      <c r="V888" t="b">
        <v>1</v>
      </c>
      <c r="X888" t="b">
        <v>0</v>
      </c>
      <c r="Y888" t="inlineStr">
        <is>
          <t>ON</t>
        </is>
      </c>
      <c r="Z888" t="n">
        <v>935</v>
      </c>
      <c r="AA888" t="n">
        <v>2.5</v>
      </c>
      <c r="AB888" t="n">
        <v>9.5</v>
      </c>
    </row>
    <row r="889">
      <c r="A889" t="inlineStr">
        <is>
          <t>2026-09-24 15:11:02</t>
        </is>
      </c>
      <c r="B889" t="inlineStr">
        <is>
          <t>MLLB_000_y1.0.3</t>
        </is>
      </c>
      <c r="C889" t="inlineStr">
        <is>
          <t>WHITE</t>
        </is>
      </c>
      <c r="D889" t="inlineStr">
        <is>
          <t>v4_white_MLLB_000_y103_0924</t>
        </is>
      </c>
      <c r="E889" t="n">
        <v>3.4</v>
      </c>
      <c r="F889" t="n">
        <v>3.408</v>
      </c>
      <c r="G889" t="n">
        <v>8</v>
      </c>
      <c r="H889" t="n">
        <v>80</v>
      </c>
      <c r="I889" t="n">
        <v>24</v>
      </c>
      <c r="J889" t="inlineStr">
        <is>
          <t>kaba</t>
        </is>
      </c>
      <c r="K889" t="b">
        <v>1</v>
      </c>
      <c r="M889" t="n">
        <v>98</v>
      </c>
      <c r="N889" t="n">
        <v>40</v>
      </c>
      <c r="O889" t="n">
        <v>74</v>
      </c>
      <c r="P889" t="n">
        <v>904</v>
      </c>
      <c r="Q889" t="n">
        <v>1002</v>
      </c>
      <c r="R889" t="n">
        <v>1.082</v>
      </c>
      <c r="S889" t="n">
        <v>15.357</v>
      </c>
      <c r="T889" t="n">
        <v>14.197</v>
      </c>
      <c r="U889" t="n">
        <v>0.7788</v>
      </c>
      <c r="V889" t="b">
        <v>1</v>
      </c>
      <c r="X889" t="b">
        <v>0</v>
      </c>
      <c r="Y889" t="inlineStr">
        <is>
          <t>ON</t>
        </is>
      </c>
      <c r="Z889" t="n">
        <v>935</v>
      </c>
      <c r="AA889" t="n">
        <v>2.5</v>
      </c>
      <c r="AB889" t="n">
        <v>9.5</v>
      </c>
    </row>
    <row r="890">
      <c r="A890" t="inlineStr">
        <is>
          <t>2026-09-24 15:11:18</t>
        </is>
      </c>
      <c r="B890" t="inlineStr">
        <is>
          <t>MLLB_000_y1.0.3</t>
        </is>
      </c>
      <c r="C890" t="inlineStr">
        <is>
          <t>WHITE</t>
        </is>
      </c>
      <c r="D890" t="inlineStr">
        <is>
          <t>v4_white_MLLB_000_y103_0924</t>
        </is>
      </c>
      <c r="E890" t="n">
        <v>3.4</v>
      </c>
      <c r="F890" t="n">
        <v>3.408</v>
      </c>
      <c r="G890" t="n">
        <v>8</v>
      </c>
      <c r="H890" t="n">
        <v>80</v>
      </c>
      <c r="I890" t="n">
        <v>28</v>
      </c>
      <c r="J890" t="inlineStr">
        <is>
          <t>kaba</t>
        </is>
      </c>
      <c r="K890" t="b">
        <v>1</v>
      </c>
      <c r="M890" t="n">
        <v>50</v>
      </c>
      <c r="N890" t="n">
        <v>40</v>
      </c>
      <c r="O890" t="n">
        <v>26</v>
      </c>
      <c r="P890" t="n">
        <v>952</v>
      </c>
      <c r="Q890" t="n">
        <v>1002</v>
      </c>
      <c r="R890" t="n">
        <v>1.08</v>
      </c>
      <c r="S890" t="n">
        <v>15.327</v>
      </c>
      <c r="T890" t="n">
        <v>14.193</v>
      </c>
      <c r="U890" t="n">
        <v>0.7782</v>
      </c>
      <c r="V890" t="b">
        <v>1</v>
      </c>
      <c r="X890" t="b">
        <v>1</v>
      </c>
      <c r="Z890" t="n">
        <v>935</v>
      </c>
      <c r="AA890" t="n">
        <v>2.5</v>
      </c>
      <c r="AB890" t="n">
        <v>9.5</v>
      </c>
    </row>
    <row r="891">
      <c r="A891" t="inlineStr">
        <is>
          <t>2026-09-24 15:11:33</t>
        </is>
      </c>
      <c r="B891" t="inlineStr">
        <is>
          <t>MLLB_000_y1.0.3</t>
        </is>
      </c>
      <c r="C891" t="inlineStr">
        <is>
          <t>WHITE</t>
        </is>
      </c>
      <c r="D891" t="inlineStr">
        <is>
          <t>v4_white_MLLB_000_y103_0924</t>
        </is>
      </c>
      <c r="E891" t="n">
        <v>3.4</v>
      </c>
      <c r="F891" t="n">
        <v>3.408</v>
      </c>
      <c r="G891" t="n">
        <v>8</v>
      </c>
      <c r="H891" t="n">
        <v>80</v>
      </c>
      <c r="I891" t="n">
        <v>32</v>
      </c>
      <c r="J891" t="inlineStr">
        <is>
          <t>kaba</t>
        </is>
      </c>
      <c r="K891" t="b">
        <v>1</v>
      </c>
      <c r="M891" t="n">
        <v>38</v>
      </c>
      <c r="N891" t="n">
        <v>28</v>
      </c>
      <c r="O891" t="n">
        <v>18</v>
      </c>
      <c r="P891" t="n">
        <v>964</v>
      </c>
      <c r="Q891" t="n">
        <v>1002</v>
      </c>
      <c r="R891" t="n">
        <v>1.959</v>
      </c>
      <c r="S891" t="n">
        <v>27.807</v>
      </c>
      <c r="T891" t="n">
        <v>14.192</v>
      </c>
      <c r="U891" t="n">
        <v>0.7779</v>
      </c>
      <c r="V891" t="b">
        <v>1</v>
      </c>
      <c r="X891" t="b">
        <v>1</v>
      </c>
      <c r="Z891" t="n">
        <v>935</v>
      </c>
      <c r="AA891" t="n">
        <v>2.5</v>
      </c>
      <c r="AB891" t="n">
        <v>9.5</v>
      </c>
    </row>
    <row r="892">
      <c r="A892" t="inlineStr">
        <is>
          <t>2026-09-24 15:11:50</t>
        </is>
      </c>
      <c r="B892" t="inlineStr">
        <is>
          <t>MLLB_000_y1.0.3</t>
        </is>
      </c>
      <c r="C892" t="inlineStr">
        <is>
          <t>WHITE</t>
        </is>
      </c>
      <c r="D892" t="inlineStr">
        <is>
          <t>v4_white_MLLB_000_y103_0924</t>
        </is>
      </c>
      <c r="E892" t="n">
        <v>3.4</v>
      </c>
      <c r="F892" t="n">
        <v>3.408</v>
      </c>
      <c r="G892" t="n">
        <v>8</v>
      </c>
      <c r="H892" t="n">
        <v>80</v>
      </c>
      <c r="I892" t="n">
        <v>36</v>
      </c>
      <c r="J892" t="inlineStr">
        <is>
          <t>kaba</t>
        </is>
      </c>
      <c r="K892" t="b">
        <v>1</v>
      </c>
      <c r="M892" t="n">
        <v>38</v>
      </c>
      <c r="N892" t="n">
        <v>28</v>
      </c>
      <c r="O892" t="n">
        <v>18</v>
      </c>
      <c r="P892" t="n">
        <v>964</v>
      </c>
      <c r="Q892" t="n">
        <v>1002</v>
      </c>
      <c r="R892" t="n">
        <v>8.81</v>
      </c>
      <c r="S892" t="n">
        <v>124.903</v>
      </c>
      <c r="T892" t="n">
        <v>14.178</v>
      </c>
      <c r="U892" t="n">
        <v>0.7785</v>
      </c>
      <c r="V892" t="b">
        <v>1</v>
      </c>
      <c r="X892" t="b">
        <v>0</v>
      </c>
      <c r="Y892" t="inlineStr">
        <is>
          <t>FLAS</t>
        </is>
      </c>
      <c r="Z892" t="n">
        <v>935</v>
      </c>
      <c r="AA892" t="n">
        <v>2.5</v>
      </c>
      <c r="AB892" t="n">
        <v>9.5</v>
      </c>
    </row>
    <row r="893">
      <c r="A893" t="inlineStr">
        <is>
          <t>2026-09-24 15:12:06</t>
        </is>
      </c>
      <c r="B893" t="inlineStr">
        <is>
          <t>MLLB_000_y1.0.3</t>
        </is>
      </c>
      <c r="C893" t="inlineStr">
        <is>
          <t>WHITE</t>
        </is>
      </c>
      <c r="D893" t="inlineStr">
        <is>
          <t>v4_white_MLLB_000_y103_0924</t>
        </is>
      </c>
      <c r="E893" t="n">
        <v>3.4</v>
      </c>
      <c r="F893" t="n">
        <v>3.408</v>
      </c>
      <c r="G893" t="n">
        <v>8</v>
      </c>
      <c r="H893" t="n">
        <v>80</v>
      </c>
      <c r="I893" t="n">
        <v>25</v>
      </c>
      <c r="J893" t="inlineStr">
        <is>
          <t>ince</t>
        </is>
      </c>
      <c r="K893" t="b">
        <v>1</v>
      </c>
      <c r="M893" t="n">
        <v>88</v>
      </c>
      <c r="N893" t="n">
        <v>38</v>
      </c>
      <c r="O893" t="n">
        <v>64</v>
      </c>
      <c r="P893" t="n">
        <v>914</v>
      </c>
      <c r="Q893" t="n">
        <v>1002</v>
      </c>
      <c r="R893" t="n">
        <v>1.079</v>
      </c>
      <c r="S893" t="n">
        <v>15.3</v>
      </c>
      <c r="T893" t="n">
        <v>14.177</v>
      </c>
      <c r="U893" t="n">
        <v>0.7781</v>
      </c>
      <c r="V893" t="b">
        <v>1</v>
      </c>
      <c r="X893" t="b">
        <v>0</v>
      </c>
      <c r="Y893" t="inlineStr">
        <is>
          <t>ON</t>
        </is>
      </c>
      <c r="Z893" t="n">
        <v>935</v>
      </c>
      <c r="AA893" t="n">
        <v>2.5</v>
      </c>
      <c r="AB893" t="n">
        <v>9.5</v>
      </c>
    </row>
    <row r="894">
      <c r="A894" t="inlineStr">
        <is>
          <t>2026-09-24 15:12:22</t>
        </is>
      </c>
      <c r="B894" t="inlineStr">
        <is>
          <t>MLLB_000_y1.0.3</t>
        </is>
      </c>
      <c r="C894" t="inlineStr">
        <is>
          <t>WHITE</t>
        </is>
      </c>
      <c r="D894" t="inlineStr">
        <is>
          <t>v4_white_MLLB_000_y103_0924</t>
        </is>
      </c>
      <c r="E894" t="n">
        <v>3.4</v>
      </c>
      <c r="F894" t="n">
        <v>3.408</v>
      </c>
      <c r="G894" t="n">
        <v>8</v>
      </c>
      <c r="H894" t="n">
        <v>80</v>
      </c>
      <c r="I894" t="n">
        <v>26</v>
      </c>
      <c r="J894" t="inlineStr">
        <is>
          <t>ince</t>
        </is>
      </c>
      <c r="K894" t="b">
        <v>1</v>
      </c>
      <c r="M894" t="n">
        <v>76</v>
      </c>
      <c r="N894" t="n">
        <v>38</v>
      </c>
      <c r="O894" t="n">
        <v>52</v>
      </c>
      <c r="P894" t="n">
        <v>926</v>
      </c>
      <c r="Q894" t="n">
        <v>1002</v>
      </c>
      <c r="R894" t="n">
        <v>1.08</v>
      </c>
      <c r="S894" t="n">
        <v>15.327</v>
      </c>
      <c r="T894" t="n">
        <v>14.188</v>
      </c>
      <c r="U894" t="n">
        <v>0.7785</v>
      </c>
      <c r="V894" t="b">
        <v>1</v>
      </c>
      <c r="X894" t="b">
        <v>0</v>
      </c>
      <c r="Y894" t="inlineStr">
        <is>
          <t>ON</t>
        </is>
      </c>
      <c r="Z894" t="n">
        <v>935</v>
      </c>
      <c r="AA894" t="n">
        <v>2.5</v>
      </c>
      <c r="AB894" t="n">
        <v>9.5</v>
      </c>
    </row>
    <row r="895">
      <c r="A895" t="inlineStr">
        <is>
          <t>2026-09-24 15:12:37</t>
        </is>
      </c>
      <c r="B895" t="inlineStr">
        <is>
          <t>MLLB_000_y1.0.3</t>
        </is>
      </c>
      <c r="C895" t="inlineStr">
        <is>
          <t>WHITE</t>
        </is>
      </c>
      <c r="D895" t="inlineStr">
        <is>
          <t>v4_white_MLLB_000_y103_0924</t>
        </is>
      </c>
      <c r="E895" t="n">
        <v>3.4</v>
      </c>
      <c r="F895" t="n">
        <v>3.408</v>
      </c>
      <c r="G895" t="n">
        <v>8</v>
      </c>
      <c r="H895" t="n">
        <v>80</v>
      </c>
      <c r="I895" t="n">
        <v>27</v>
      </c>
      <c r="J895" t="inlineStr">
        <is>
          <t>ince</t>
        </is>
      </c>
      <c r="K895" t="b">
        <v>1</v>
      </c>
      <c r="M895" t="n">
        <v>64</v>
      </c>
      <c r="N895" t="n">
        <v>40</v>
      </c>
      <c r="O895" t="n">
        <v>38</v>
      </c>
      <c r="P895" t="n">
        <v>938</v>
      </c>
      <c r="Q895" t="n">
        <v>1002</v>
      </c>
      <c r="R895" t="n">
        <v>1.08</v>
      </c>
      <c r="S895" t="n">
        <v>15.327</v>
      </c>
      <c r="T895" t="n">
        <v>14.196</v>
      </c>
      <c r="U895" t="n">
        <v>0.7783</v>
      </c>
      <c r="V895" t="b">
        <v>1</v>
      </c>
      <c r="X895" t="b">
        <v>1</v>
      </c>
      <c r="Z895" t="n">
        <v>935</v>
      </c>
      <c r="AA895" t="n">
        <v>2.5</v>
      </c>
      <c r="AB895" t="n">
        <v>9.5</v>
      </c>
    </row>
    <row r="896">
      <c r="A896" t="inlineStr">
        <is>
          <t>2026-09-24 15:12:38</t>
        </is>
      </c>
      <c r="B896" t="inlineStr">
        <is>
          <t>MLLB_000_y1.0.3</t>
        </is>
      </c>
      <c r="C896" t="inlineStr">
        <is>
          <t>WHITE</t>
        </is>
      </c>
      <c r="D896" t="inlineStr">
        <is>
          <t>v4_white_MLLB_000_y103_0924</t>
        </is>
      </c>
      <c r="E896" t="n">
        <v>3.4</v>
      </c>
      <c r="F896" t="n">
        <v>3.408</v>
      </c>
      <c r="G896" t="n">
        <v>8</v>
      </c>
      <c r="H896" t="n">
        <v>80</v>
      </c>
      <c r="I896" t="n">
        <v>29</v>
      </c>
      <c r="J896" t="inlineStr">
        <is>
          <t>ince</t>
        </is>
      </c>
      <c r="K896" t="b">
        <v>0</v>
      </c>
      <c r="L896" t="inlineStr">
        <is>
          <t>iki-OK-arasi-monotonluk</t>
        </is>
      </c>
      <c r="X896" t="b">
        <v>1</v>
      </c>
      <c r="Z896" t="n">
        <v>935</v>
      </c>
      <c r="AA896" t="n">
        <v>2.5</v>
      </c>
      <c r="AB896" t="n">
        <v>9.5</v>
      </c>
    </row>
    <row r="897">
      <c r="A897" t="inlineStr">
        <is>
          <t>2026-09-24 15:12:38</t>
        </is>
      </c>
      <c r="B897" t="inlineStr">
        <is>
          <t>MLLB_000_y1.0.3</t>
        </is>
      </c>
      <c r="C897" t="inlineStr">
        <is>
          <t>WHITE</t>
        </is>
      </c>
      <c r="D897" t="inlineStr">
        <is>
          <t>v4_white_MLLB_000_y103_0924</t>
        </is>
      </c>
      <c r="E897" t="n">
        <v>3.4</v>
      </c>
      <c r="F897" t="n">
        <v>3.408</v>
      </c>
      <c r="G897" t="n">
        <v>8</v>
      </c>
      <c r="H897" t="n">
        <v>80</v>
      </c>
      <c r="I897" t="n">
        <v>30</v>
      </c>
      <c r="J897" t="inlineStr">
        <is>
          <t>ince</t>
        </is>
      </c>
      <c r="K897" t="b">
        <v>0</v>
      </c>
      <c r="L897" t="inlineStr">
        <is>
          <t>iki-OK-arasi-monotonluk</t>
        </is>
      </c>
      <c r="X897" t="b">
        <v>1</v>
      </c>
      <c r="Z897" t="n">
        <v>935</v>
      </c>
      <c r="AA897" t="n">
        <v>2.5</v>
      </c>
      <c r="AB897" t="n">
        <v>9.5</v>
      </c>
    </row>
    <row r="898">
      <c r="A898" t="inlineStr">
        <is>
          <t>2026-09-24 15:12:38</t>
        </is>
      </c>
      <c r="B898" t="inlineStr">
        <is>
          <t>MLLB_000_y1.0.3</t>
        </is>
      </c>
      <c r="C898" t="inlineStr">
        <is>
          <t>WHITE</t>
        </is>
      </c>
      <c r="D898" t="inlineStr">
        <is>
          <t>v4_white_MLLB_000_y103_0924</t>
        </is>
      </c>
      <c r="E898" t="n">
        <v>3.4</v>
      </c>
      <c r="F898" t="n">
        <v>3.408</v>
      </c>
      <c r="G898" t="n">
        <v>8</v>
      </c>
      <c r="H898" t="n">
        <v>80</v>
      </c>
      <c r="I898" t="n">
        <v>31</v>
      </c>
      <c r="J898" t="inlineStr">
        <is>
          <t>ince</t>
        </is>
      </c>
      <c r="K898" t="b">
        <v>0</v>
      </c>
      <c r="L898" t="inlineStr">
        <is>
          <t>iki-OK-arasi-monotonluk</t>
        </is>
      </c>
      <c r="X898" t="b">
        <v>1</v>
      </c>
      <c r="Z898" t="n">
        <v>935</v>
      </c>
      <c r="AA898" t="n">
        <v>2.5</v>
      </c>
      <c r="AB898" t="n">
        <v>9.5</v>
      </c>
    </row>
    <row r="899">
      <c r="A899" t="inlineStr">
        <is>
          <t>2026-09-24 15:12:53</t>
        </is>
      </c>
      <c r="B899" t="inlineStr">
        <is>
          <t>MLLB_000_y1.0.3</t>
        </is>
      </c>
      <c r="C899" t="inlineStr">
        <is>
          <t>WHITE</t>
        </is>
      </c>
      <c r="D899" t="inlineStr">
        <is>
          <t>v4_white_MLLB_000_y103_0924</t>
        </is>
      </c>
      <c r="E899" t="n">
        <v>3.4</v>
      </c>
      <c r="F899" t="n">
        <v>3.408</v>
      </c>
      <c r="G899" t="n">
        <v>8</v>
      </c>
      <c r="H899" t="n">
        <v>80</v>
      </c>
      <c r="I899" t="n">
        <v>33</v>
      </c>
      <c r="J899" t="inlineStr">
        <is>
          <t>ince</t>
        </is>
      </c>
      <c r="K899" t="b">
        <v>1</v>
      </c>
      <c r="M899" t="n">
        <v>38</v>
      </c>
      <c r="N899" t="n">
        <v>28</v>
      </c>
      <c r="O899" t="n">
        <v>18</v>
      </c>
      <c r="P899" t="n">
        <v>964</v>
      </c>
      <c r="Q899" t="n">
        <v>1002</v>
      </c>
      <c r="R899" t="n">
        <v>2.324</v>
      </c>
      <c r="S899" t="n">
        <v>32.914</v>
      </c>
      <c r="T899" t="n">
        <v>14.16</v>
      </c>
      <c r="U899" t="n">
        <v>0.7786</v>
      </c>
      <c r="V899" t="b">
        <v>1</v>
      </c>
      <c r="X899" t="b">
        <v>1</v>
      </c>
      <c r="Z899" t="n">
        <v>935</v>
      </c>
      <c r="AA899" t="n">
        <v>2.5</v>
      </c>
      <c r="AB899" t="n">
        <v>9.5</v>
      </c>
    </row>
    <row r="900">
      <c r="A900" t="inlineStr">
        <is>
          <t>2026-09-24 15:13:10</t>
        </is>
      </c>
      <c r="B900" t="inlineStr">
        <is>
          <t>MLLB_000_y1.0.3</t>
        </is>
      </c>
      <c r="C900" t="inlineStr">
        <is>
          <t>WHITE</t>
        </is>
      </c>
      <c r="D900" t="inlineStr">
        <is>
          <t>v4_white_MLLB_000_y103_0924</t>
        </is>
      </c>
      <c r="E900" t="n">
        <v>3.4</v>
      </c>
      <c r="F900" t="n">
        <v>3.408</v>
      </c>
      <c r="G900" t="n">
        <v>8</v>
      </c>
      <c r="H900" t="n">
        <v>80</v>
      </c>
      <c r="I900" t="n">
        <v>34</v>
      </c>
      <c r="J900" t="inlineStr">
        <is>
          <t>ince</t>
        </is>
      </c>
      <c r="K900" t="b">
        <v>1</v>
      </c>
      <c r="M900" t="n">
        <v>38</v>
      </c>
      <c r="N900" t="n">
        <v>28</v>
      </c>
      <c r="O900" t="n">
        <v>18</v>
      </c>
      <c r="P900" t="n">
        <v>964</v>
      </c>
      <c r="Q900" t="n">
        <v>1002</v>
      </c>
      <c r="R900" t="n">
        <v>2.884</v>
      </c>
      <c r="S900" t="n">
        <v>40.927</v>
      </c>
      <c r="T900" t="n">
        <v>14.191</v>
      </c>
      <c r="U900" t="n">
        <v>0.7788</v>
      </c>
      <c r="V900" t="b">
        <v>1</v>
      </c>
      <c r="X900" t="b">
        <v>0</v>
      </c>
      <c r="Y900" t="inlineStr">
        <is>
          <t>FLAS</t>
        </is>
      </c>
      <c r="Z900" t="n">
        <v>935</v>
      </c>
      <c r="AA900" t="n">
        <v>2.5</v>
      </c>
      <c r="AB900" t="n">
        <v>9.5</v>
      </c>
    </row>
    <row r="901">
      <c r="A901" t="inlineStr">
        <is>
          <t>2026-09-24 15:13:26</t>
        </is>
      </c>
      <c r="B901" t="inlineStr">
        <is>
          <t>MLLB_000_y1.0.3</t>
        </is>
      </c>
      <c r="C901" t="inlineStr">
        <is>
          <t>WHITE</t>
        </is>
      </c>
      <c r="D901" t="inlineStr">
        <is>
          <t>v4_white_MLLB_000_y103_0924</t>
        </is>
      </c>
      <c r="E901" t="n">
        <v>3.4</v>
      </c>
      <c r="F901" t="n">
        <v>3.408</v>
      </c>
      <c r="G901" t="n">
        <v>8</v>
      </c>
      <c r="H901" t="n">
        <v>80</v>
      </c>
      <c r="I901" t="n">
        <v>35</v>
      </c>
      <c r="J901" t="inlineStr">
        <is>
          <t>ince</t>
        </is>
      </c>
      <c r="K901" t="b">
        <v>1</v>
      </c>
      <c r="M901" t="n">
        <v>38</v>
      </c>
      <c r="N901" t="n">
        <v>28</v>
      </c>
      <c r="O901" t="n">
        <v>18</v>
      </c>
      <c r="P901" t="n">
        <v>964</v>
      </c>
      <c r="Q901" t="n">
        <v>1002</v>
      </c>
      <c r="R901" t="n">
        <v>5.62</v>
      </c>
      <c r="S901" t="n">
        <v>79.652</v>
      </c>
      <c r="T901" t="n">
        <v>14.173</v>
      </c>
      <c r="U901" t="n">
        <v>0.7785</v>
      </c>
      <c r="V901" t="b">
        <v>1</v>
      </c>
      <c r="X901" t="b">
        <v>0</v>
      </c>
      <c r="Y901" t="inlineStr">
        <is>
          <t>FLAS</t>
        </is>
      </c>
      <c r="Z901" t="n">
        <v>935</v>
      </c>
      <c r="AA901" t="n">
        <v>2.5</v>
      </c>
      <c r="AB901" t="n">
        <v>9.5</v>
      </c>
    </row>
    <row r="902">
      <c r="A902" t="inlineStr">
        <is>
          <t>2026-09-24 15:13:26</t>
        </is>
      </c>
      <c r="B902" t="inlineStr">
        <is>
          <t>MLLB_000_y1.0.3</t>
        </is>
      </c>
      <c r="C902" t="inlineStr">
        <is>
          <t>WHITE</t>
        </is>
      </c>
      <c r="D902" t="inlineStr">
        <is>
          <t>v4_white_MLLB_000_y103_0924</t>
        </is>
      </c>
      <c r="E902" t="n">
        <v>3.4</v>
      </c>
      <c r="F902" t="n">
        <v>3.408</v>
      </c>
      <c r="G902" t="n">
        <v>8</v>
      </c>
      <c r="H902" t="n">
        <v>80</v>
      </c>
      <c r="J902" t="inlineStr">
        <is>
          <t>bitti</t>
        </is>
      </c>
      <c r="K902" t="b">
        <v>0</v>
      </c>
      <c r="Z902" t="n">
        <v>935</v>
      </c>
      <c r="AA902" t="n">
        <v>2.5</v>
      </c>
      <c r="AB902" t="n">
        <v>9.5</v>
      </c>
    </row>
    <row r="903">
      <c r="A903" t="inlineStr">
        <is>
          <t>2026-09-24 15:13:42</t>
        </is>
      </c>
      <c r="B903" t="inlineStr">
        <is>
          <t>MLLB_000_y1.0.3</t>
        </is>
      </c>
      <c r="C903" t="inlineStr">
        <is>
          <t>WHITE</t>
        </is>
      </c>
      <c r="D903" t="inlineStr">
        <is>
          <t>v4_white_MLLB_000_y103_0924</t>
        </is>
      </c>
      <c r="E903" t="n">
        <v>3.4</v>
      </c>
      <c r="F903" t="n">
        <v>3.408</v>
      </c>
      <c r="G903" t="n">
        <v>8</v>
      </c>
      <c r="H903" t="n">
        <v>60</v>
      </c>
      <c r="I903" t="n">
        <v>12</v>
      </c>
      <c r="J903" t="inlineStr">
        <is>
          <t>kaba</t>
        </is>
      </c>
      <c r="K903" t="b">
        <v>1</v>
      </c>
      <c r="M903" t="n">
        <v>268</v>
      </c>
      <c r="N903" t="n">
        <v>38</v>
      </c>
      <c r="O903" t="n">
        <v>244</v>
      </c>
      <c r="P903" t="n">
        <v>734</v>
      </c>
      <c r="Q903" t="n">
        <v>1002</v>
      </c>
      <c r="R903" t="n">
        <v>1.094</v>
      </c>
      <c r="S903" t="n">
        <v>15.374</v>
      </c>
      <c r="T903" t="n">
        <v>14.057</v>
      </c>
      <c r="U903" t="n">
        <v>0.7783</v>
      </c>
      <c r="V903" t="b">
        <v>1</v>
      </c>
      <c r="X903" t="b">
        <v>0</v>
      </c>
      <c r="Y903" t="inlineStr">
        <is>
          <t>ON</t>
        </is>
      </c>
      <c r="Z903" t="n">
        <v>935</v>
      </c>
      <c r="AA903" t="n">
        <v>2.5</v>
      </c>
      <c r="AB903" t="n">
        <v>9.5</v>
      </c>
    </row>
    <row r="904">
      <c r="A904" t="inlineStr">
        <is>
          <t>2026-09-24 15:13:57</t>
        </is>
      </c>
      <c r="B904" t="inlineStr">
        <is>
          <t>MLLB_000_y1.0.3</t>
        </is>
      </c>
      <c r="C904" t="inlineStr">
        <is>
          <t>WHITE</t>
        </is>
      </c>
      <c r="D904" t="inlineStr">
        <is>
          <t>v4_white_MLLB_000_y103_0924</t>
        </is>
      </c>
      <c r="E904" t="n">
        <v>3.4</v>
      </c>
      <c r="F904" t="n">
        <v>3.408</v>
      </c>
      <c r="G904" t="n">
        <v>8</v>
      </c>
      <c r="H904" t="n">
        <v>60</v>
      </c>
      <c r="I904" t="n">
        <v>16</v>
      </c>
      <c r="J904" t="inlineStr">
        <is>
          <t>kaba</t>
        </is>
      </c>
      <c r="K904" t="b">
        <v>1</v>
      </c>
      <c r="M904" t="n">
        <v>234</v>
      </c>
      <c r="N904" t="n">
        <v>38</v>
      </c>
      <c r="O904" t="n">
        <v>212</v>
      </c>
      <c r="P904" t="n">
        <v>768</v>
      </c>
      <c r="Q904" t="n">
        <v>1002</v>
      </c>
      <c r="R904" t="n">
        <v>1.09</v>
      </c>
      <c r="S904" t="n">
        <v>15.327</v>
      </c>
      <c r="T904" t="n">
        <v>14.061</v>
      </c>
      <c r="U904" t="n">
        <v>0.778</v>
      </c>
      <c r="V904" t="b">
        <v>1</v>
      </c>
      <c r="X904" t="b">
        <v>0</v>
      </c>
      <c r="Y904" t="inlineStr">
        <is>
          <t>ON</t>
        </is>
      </c>
      <c r="Z904" t="n">
        <v>935</v>
      </c>
      <c r="AA904" t="n">
        <v>2.5</v>
      </c>
      <c r="AB904" t="n">
        <v>9.5</v>
      </c>
    </row>
    <row r="905">
      <c r="A905" t="inlineStr">
        <is>
          <t>2026-09-24 15:14:13</t>
        </is>
      </c>
      <c r="B905" t="inlineStr">
        <is>
          <t>MLLB_000_y1.0.3</t>
        </is>
      </c>
      <c r="C905" t="inlineStr">
        <is>
          <t>WHITE</t>
        </is>
      </c>
      <c r="D905" t="inlineStr">
        <is>
          <t>v4_white_MLLB_000_y103_0924</t>
        </is>
      </c>
      <c r="E905" t="n">
        <v>3.4</v>
      </c>
      <c r="F905" t="n">
        <v>3.408</v>
      </c>
      <c r="G905" t="n">
        <v>8</v>
      </c>
      <c r="H905" t="n">
        <v>60</v>
      </c>
      <c r="I905" t="n">
        <v>20</v>
      </c>
      <c r="J905" t="inlineStr">
        <is>
          <t>kaba</t>
        </is>
      </c>
      <c r="K905" t="b">
        <v>1</v>
      </c>
      <c r="M905" t="n">
        <v>202</v>
      </c>
      <c r="N905" t="n">
        <v>40</v>
      </c>
      <c r="O905" t="n">
        <v>178</v>
      </c>
      <c r="P905" t="n">
        <v>800</v>
      </c>
      <c r="Q905" t="n">
        <v>1002</v>
      </c>
      <c r="R905" t="n">
        <v>1.089</v>
      </c>
      <c r="S905" t="n">
        <v>15.327</v>
      </c>
      <c r="T905" t="n">
        <v>14.073</v>
      </c>
      <c r="U905" t="n">
        <v>0.7786</v>
      </c>
      <c r="V905" t="b">
        <v>1</v>
      </c>
      <c r="X905" t="b">
        <v>0</v>
      </c>
      <c r="Y905" t="inlineStr">
        <is>
          <t>ON</t>
        </is>
      </c>
      <c r="Z905" t="n">
        <v>935</v>
      </c>
      <c r="AA905" t="n">
        <v>2.5</v>
      </c>
      <c r="AB905" t="n">
        <v>9.5</v>
      </c>
    </row>
    <row r="906">
      <c r="A906" t="inlineStr">
        <is>
          <t>2026-09-24 15:14:26</t>
        </is>
      </c>
      <c r="B906" t="inlineStr">
        <is>
          <t>MLLB_000_y1.0.3</t>
        </is>
      </c>
      <c r="C906" t="inlineStr">
        <is>
          <t>WHITE</t>
        </is>
      </c>
      <c r="D906" t="inlineStr">
        <is>
          <t>v4_white_MLLB_000_y103_0924</t>
        </is>
      </c>
      <c r="E906" t="n">
        <v>3.4</v>
      </c>
      <c r="F906" t="n">
        <v>3.408</v>
      </c>
      <c r="G906" t="n">
        <v>8</v>
      </c>
      <c r="H906" t="n">
        <v>60</v>
      </c>
      <c r="I906" t="n">
        <v>24</v>
      </c>
      <c r="J906" t="inlineStr">
        <is>
          <t>kaba</t>
        </is>
      </c>
      <c r="K906" t="b">
        <v>1</v>
      </c>
      <c r="M906" t="n">
        <v>168</v>
      </c>
      <c r="N906" t="n">
        <v>36</v>
      </c>
      <c r="O906" t="n">
        <v>146</v>
      </c>
      <c r="P906" t="n">
        <v>834</v>
      </c>
      <c r="Q906" t="n">
        <v>1002</v>
      </c>
      <c r="R906" t="n">
        <v>1.086</v>
      </c>
      <c r="S906" t="n">
        <v>15.327</v>
      </c>
      <c r="T906" t="n">
        <v>14.109</v>
      </c>
      <c r="U906" t="n">
        <v>0.7786</v>
      </c>
      <c r="V906" t="b">
        <v>1</v>
      </c>
      <c r="X906" t="b">
        <v>0</v>
      </c>
      <c r="Y906" t="inlineStr">
        <is>
          <t>ON</t>
        </is>
      </c>
      <c r="Z906" t="n">
        <v>935</v>
      </c>
      <c r="AA906" t="n">
        <v>2.5</v>
      </c>
      <c r="AB906" t="n">
        <v>9.5</v>
      </c>
    </row>
    <row r="907">
      <c r="A907" t="inlineStr">
        <is>
          <t>2026-09-24 15:14:41</t>
        </is>
      </c>
      <c r="B907" t="inlineStr">
        <is>
          <t>MLLB_000_y1.0.3</t>
        </is>
      </c>
      <c r="C907" t="inlineStr">
        <is>
          <t>WHITE</t>
        </is>
      </c>
      <c r="D907" t="inlineStr">
        <is>
          <t>v4_white_MLLB_000_y103_0924</t>
        </is>
      </c>
      <c r="E907" t="n">
        <v>3.4</v>
      </c>
      <c r="F907" t="n">
        <v>3.408</v>
      </c>
      <c r="G907" t="n">
        <v>8</v>
      </c>
      <c r="H907" t="n">
        <v>60</v>
      </c>
      <c r="I907" t="n">
        <v>28</v>
      </c>
      <c r="J907" t="inlineStr">
        <is>
          <t>kaba</t>
        </is>
      </c>
      <c r="K907" t="b">
        <v>1</v>
      </c>
      <c r="M907" t="n">
        <v>136</v>
      </c>
      <c r="N907" t="n">
        <v>40</v>
      </c>
      <c r="O907" t="n">
        <v>110</v>
      </c>
      <c r="P907" t="n">
        <v>866</v>
      </c>
      <c r="Q907" t="n">
        <v>1002</v>
      </c>
      <c r="R907" t="n">
        <v>1.084</v>
      </c>
      <c r="S907" t="n">
        <v>15.327</v>
      </c>
      <c r="T907" t="n">
        <v>14.134</v>
      </c>
      <c r="U907" t="n">
        <v>0.7788</v>
      </c>
      <c r="V907" t="b">
        <v>1</v>
      </c>
      <c r="X907" t="b">
        <v>0</v>
      </c>
      <c r="Y907" t="inlineStr">
        <is>
          <t>ON</t>
        </is>
      </c>
      <c r="Z907" t="n">
        <v>935</v>
      </c>
      <c r="AA907" t="n">
        <v>2.5</v>
      </c>
      <c r="AB907" t="n">
        <v>9.5</v>
      </c>
    </row>
    <row r="908">
      <c r="A908" t="inlineStr">
        <is>
          <t>2026-09-24 15:14:57</t>
        </is>
      </c>
      <c r="B908" t="inlineStr">
        <is>
          <t>MLLB_000_y1.0.3</t>
        </is>
      </c>
      <c r="C908" t="inlineStr">
        <is>
          <t>WHITE</t>
        </is>
      </c>
      <c r="D908" t="inlineStr">
        <is>
          <t>v4_white_MLLB_000_y103_0924</t>
        </is>
      </c>
      <c r="E908" t="n">
        <v>3.4</v>
      </c>
      <c r="F908" t="n">
        <v>3.408</v>
      </c>
      <c r="G908" t="n">
        <v>8</v>
      </c>
      <c r="H908" t="n">
        <v>60</v>
      </c>
      <c r="I908" t="n">
        <v>32</v>
      </c>
      <c r="J908" t="inlineStr">
        <is>
          <t>kaba</t>
        </is>
      </c>
      <c r="K908" t="b">
        <v>1</v>
      </c>
      <c r="M908" t="n">
        <v>102</v>
      </c>
      <c r="N908" t="n">
        <v>42</v>
      </c>
      <c r="O908" t="n">
        <v>78</v>
      </c>
      <c r="P908" t="n">
        <v>900</v>
      </c>
      <c r="Q908" t="n">
        <v>1002</v>
      </c>
      <c r="R908" t="n">
        <v>1.082</v>
      </c>
      <c r="S908" t="n">
        <v>15.327</v>
      </c>
      <c r="T908" t="n">
        <v>14.171</v>
      </c>
      <c r="U908" t="n">
        <v>0.7781</v>
      </c>
      <c r="V908" t="b">
        <v>1</v>
      </c>
      <c r="X908" t="b">
        <v>0</v>
      </c>
      <c r="Y908" t="inlineStr">
        <is>
          <t>ON</t>
        </is>
      </c>
      <c r="Z908" t="n">
        <v>935</v>
      </c>
      <c r="AA908" t="n">
        <v>2.5</v>
      </c>
      <c r="AB908" t="n">
        <v>9.5</v>
      </c>
    </row>
    <row r="909">
      <c r="A909" t="inlineStr">
        <is>
          <t>2026-09-24 15:15:10</t>
        </is>
      </c>
      <c r="B909" t="inlineStr">
        <is>
          <t>MLLB_000_y1.0.3</t>
        </is>
      </c>
      <c r="C909" t="inlineStr">
        <is>
          <t>WHITE</t>
        </is>
      </c>
      <c r="D909" t="inlineStr">
        <is>
          <t>v4_white_MLLB_000_y103_0924</t>
        </is>
      </c>
      <c r="E909" t="n">
        <v>3.4</v>
      </c>
      <c r="F909" t="n">
        <v>3.408</v>
      </c>
      <c r="G909" t="n">
        <v>8</v>
      </c>
      <c r="H909" t="n">
        <v>60</v>
      </c>
      <c r="I909" t="n">
        <v>36</v>
      </c>
      <c r="J909" t="inlineStr">
        <is>
          <t>kaba</t>
        </is>
      </c>
      <c r="K909" t="b">
        <v>1</v>
      </c>
      <c r="M909" t="n">
        <v>66</v>
      </c>
      <c r="N909" t="n">
        <v>40</v>
      </c>
      <c r="O909" t="n">
        <v>42</v>
      </c>
      <c r="P909" t="n">
        <v>936</v>
      </c>
      <c r="Q909" t="n">
        <v>1002</v>
      </c>
      <c r="R909" t="n">
        <v>1.061</v>
      </c>
      <c r="S909" t="n">
        <v>15.358</v>
      </c>
      <c r="T909" t="n">
        <v>14.472</v>
      </c>
      <c r="U909" t="n">
        <v>0.7785</v>
      </c>
      <c r="V909" t="b">
        <v>1</v>
      </c>
      <c r="X909" t="b">
        <v>1</v>
      </c>
      <c r="Z909" t="n">
        <v>935</v>
      </c>
      <c r="AA909" t="n">
        <v>2.5</v>
      </c>
      <c r="AB909" t="n">
        <v>9.5</v>
      </c>
    </row>
    <row r="910">
      <c r="A910" t="inlineStr">
        <is>
          <t>2026-09-24 15:15:26</t>
        </is>
      </c>
      <c r="B910" t="inlineStr">
        <is>
          <t>MLLB_000_y1.0.3</t>
        </is>
      </c>
      <c r="C910" t="inlineStr">
        <is>
          <t>WHITE</t>
        </is>
      </c>
      <c r="D910" t="inlineStr">
        <is>
          <t>v4_white_MLLB_000_y103_0924</t>
        </is>
      </c>
      <c r="E910" t="n">
        <v>3.4</v>
      </c>
      <c r="F910" t="n">
        <v>3.408</v>
      </c>
      <c r="G910" t="n">
        <v>8</v>
      </c>
      <c r="H910" t="n">
        <v>60</v>
      </c>
      <c r="I910" t="n">
        <v>40</v>
      </c>
      <c r="J910" t="inlineStr">
        <is>
          <t>kaba</t>
        </is>
      </c>
      <c r="K910" t="b">
        <v>1</v>
      </c>
      <c r="M910" t="n">
        <v>46</v>
      </c>
      <c r="N910" t="n">
        <v>28</v>
      </c>
      <c r="O910" t="n">
        <v>26</v>
      </c>
      <c r="P910" t="n">
        <v>956</v>
      </c>
      <c r="Q910" t="n">
        <v>1002</v>
      </c>
      <c r="R910" t="n">
        <v>1.08</v>
      </c>
      <c r="S910" t="n">
        <v>15.306</v>
      </c>
      <c r="T910" t="n">
        <v>14.173</v>
      </c>
      <c r="U910" t="n">
        <v>0.7781</v>
      </c>
      <c r="V910" t="b">
        <v>1</v>
      </c>
      <c r="X910" t="b">
        <v>1</v>
      </c>
      <c r="Z910" t="n">
        <v>935</v>
      </c>
      <c r="AA910" t="n">
        <v>2.5</v>
      </c>
      <c r="AB910" t="n">
        <v>9.5</v>
      </c>
    </row>
    <row r="911">
      <c r="A911" t="inlineStr">
        <is>
          <t>2026-09-24 15:15:42</t>
        </is>
      </c>
      <c r="B911" t="inlineStr">
        <is>
          <t>MLLB_000_y1.0.3</t>
        </is>
      </c>
      <c r="C911" t="inlineStr">
        <is>
          <t>WHITE</t>
        </is>
      </c>
      <c r="D911" t="inlineStr">
        <is>
          <t>v4_white_MLLB_000_y103_0924</t>
        </is>
      </c>
      <c r="E911" t="n">
        <v>3.4</v>
      </c>
      <c r="F911" t="n">
        <v>3.408</v>
      </c>
      <c r="G911" t="n">
        <v>8</v>
      </c>
      <c r="H911" t="n">
        <v>60</v>
      </c>
      <c r="I911" t="n">
        <v>44</v>
      </c>
      <c r="J911" t="inlineStr">
        <is>
          <t>kaba</t>
        </is>
      </c>
      <c r="K911" t="b">
        <v>1</v>
      </c>
      <c r="M911" t="n">
        <v>46</v>
      </c>
      <c r="N911" t="n">
        <v>28</v>
      </c>
      <c r="O911" t="n">
        <v>26</v>
      </c>
      <c r="P911" t="n">
        <v>956</v>
      </c>
      <c r="Q911" t="n">
        <v>1002</v>
      </c>
      <c r="R911" t="n">
        <v>2.344</v>
      </c>
      <c r="S911" t="n">
        <v>33.252</v>
      </c>
      <c r="T911" t="n">
        <v>14.189</v>
      </c>
      <c r="U911" t="n">
        <v>0.7785</v>
      </c>
      <c r="V911" t="b">
        <v>1</v>
      </c>
      <c r="X911" t="b">
        <v>1</v>
      </c>
      <c r="Z911" t="n">
        <v>935</v>
      </c>
      <c r="AA911" t="n">
        <v>2.5</v>
      </c>
      <c r="AB911" t="n">
        <v>9.5</v>
      </c>
    </row>
    <row r="912">
      <c r="A912" t="inlineStr">
        <is>
          <t>2026-09-24 15:15:58</t>
        </is>
      </c>
      <c r="B912" t="inlineStr">
        <is>
          <t>MLLB_000_y1.0.3</t>
        </is>
      </c>
      <c r="C912" t="inlineStr">
        <is>
          <t>WHITE</t>
        </is>
      </c>
      <c r="D912" t="inlineStr">
        <is>
          <t>v4_white_MLLB_000_y103_0924</t>
        </is>
      </c>
      <c r="E912" t="n">
        <v>3.4</v>
      </c>
      <c r="F912" t="n">
        <v>3.408</v>
      </c>
      <c r="G912" t="n">
        <v>8</v>
      </c>
      <c r="H912" t="n">
        <v>60</v>
      </c>
      <c r="I912" t="n">
        <v>48</v>
      </c>
      <c r="J912" t="inlineStr">
        <is>
          <t>kaba</t>
        </is>
      </c>
      <c r="K912" t="b">
        <v>1</v>
      </c>
      <c r="M912" t="n">
        <v>46</v>
      </c>
      <c r="N912" t="n">
        <v>28</v>
      </c>
      <c r="O912" t="n">
        <v>26</v>
      </c>
      <c r="P912" t="n">
        <v>956</v>
      </c>
      <c r="Q912" t="n">
        <v>1002</v>
      </c>
      <c r="R912" t="n">
        <v>7.97</v>
      </c>
      <c r="S912" t="n">
        <v>112.802</v>
      </c>
      <c r="T912" t="n">
        <v>14.153</v>
      </c>
      <c r="U912" t="n">
        <v>0.7781</v>
      </c>
      <c r="V912" t="b">
        <v>1</v>
      </c>
      <c r="X912" t="b">
        <v>0</v>
      </c>
      <c r="Y912" t="inlineStr">
        <is>
          <t>FLAS</t>
        </is>
      </c>
      <c r="Z912" t="n">
        <v>935</v>
      </c>
      <c r="AA912" t="n">
        <v>2.5</v>
      </c>
      <c r="AB912" t="n">
        <v>9.5</v>
      </c>
    </row>
    <row r="913">
      <c r="A913" t="inlineStr">
        <is>
          <t>2026-09-24 15:16:14</t>
        </is>
      </c>
      <c r="B913" t="inlineStr">
        <is>
          <t>MLLB_000_y1.0.3</t>
        </is>
      </c>
      <c r="C913" t="inlineStr">
        <is>
          <t>WHITE</t>
        </is>
      </c>
      <c r="D913" t="inlineStr">
        <is>
          <t>v4_white_MLLB_000_y103_0924</t>
        </is>
      </c>
      <c r="E913" t="n">
        <v>3.4</v>
      </c>
      <c r="F913" t="n">
        <v>3.408</v>
      </c>
      <c r="G913" t="n">
        <v>8</v>
      </c>
      <c r="H913" t="n">
        <v>60</v>
      </c>
      <c r="I913" t="n">
        <v>33</v>
      </c>
      <c r="J913" t="inlineStr">
        <is>
          <t>ince</t>
        </is>
      </c>
      <c r="K913" t="b">
        <v>1</v>
      </c>
      <c r="M913" t="n">
        <v>94</v>
      </c>
      <c r="N913" t="n">
        <v>36</v>
      </c>
      <c r="O913" t="n">
        <v>70</v>
      </c>
      <c r="P913" t="n">
        <v>908</v>
      </c>
      <c r="Q913" t="n">
        <v>1002</v>
      </c>
      <c r="R913" t="n">
        <v>1.083</v>
      </c>
      <c r="S913" t="n">
        <v>15.327</v>
      </c>
      <c r="T913" t="n">
        <v>14.158</v>
      </c>
      <c r="U913" t="n">
        <v>0.7779</v>
      </c>
      <c r="V913" t="b">
        <v>1</v>
      </c>
      <c r="X913" t="b">
        <v>0</v>
      </c>
      <c r="Y913" t="inlineStr">
        <is>
          <t>ON</t>
        </is>
      </c>
      <c r="Z913" t="n">
        <v>935</v>
      </c>
      <c r="AA913" t="n">
        <v>2.5</v>
      </c>
      <c r="AB913" t="n">
        <v>9.5</v>
      </c>
    </row>
    <row r="914">
      <c r="A914" t="inlineStr">
        <is>
          <t>2026-09-24 15:16:30</t>
        </is>
      </c>
      <c r="B914" t="inlineStr">
        <is>
          <t>MLLB_000_y1.0.3</t>
        </is>
      </c>
      <c r="C914" t="inlineStr">
        <is>
          <t>WHITE</t>
        </is>
      </c>
      <c r="D914" t="inlineStr">
        <is>
          <t>v4_white_MLLB_000_y103_0924</t>
        </is>
      </c>
      <c r="E914" t="n">
        <v>3.4</v>
      </c>
      <c r="F914" t="n">
        <v>3.408</v>
      </c>
      <c r="G914" t="n">
        <v>8</v>
      </c>
      <c r="H914" t="n">
        <v>60</v>
      </c>
      <c r="I914" t="n">
        <v>34</v>
      </c>
      <c r="J914" t="inlineStr">
        <is>
          <t>ince</t>
        </is>
      </c>
      <c r="K914" t="b">
        <v>1</v>
      </c>
      <c r="M914" t="n">
        <v>84</v>
      </c>
      <c r="N914" t="n">
        <v>36</v>
      </c>
      <c r="O914" t="n">
        <v>62</v>
      </c>
      <c r="P914" t="n">
        <v>918</v>
      </c>
      <c r="Q914" t="n">
        <v>1002</v>
      </c>
      <c r="R914" t="n">
        <v>1.081</v>
      </c>
      <c r="S914" t="n">
        <v>15.316</v>
      </c>
      <c r="T914" t="n">
        <v>14.165</v>
      </c>
      <c r="U914" t="n">
        <v>0.7781</v>
      </c>
      <c r="V914" t="b">
        <v>1</v>
      </c>
      <c r="X914" t="b">
        <v>0</v>
      </c>
      <c r="Y914" t="inlineStr">
        <is>
          <t>ON</t>
        </is>
      </c>
      <c r="Z914" t="n">
        <v>935</v>
      </c>
      <c r="AA914" t="n">
        <v>2.5</v>
      </c>
      <c r="AB914" t="n">
        <v>9.5</v>
      </c>
    </row>
    <row r="915">
      <c r="A915" t="inlineStr">
        <is>
          <t>2026-09-24 15:16:46</t>
        </is>
      </c>
      <c r="B915" t="inlineStr">
        <is>
          <t>MLLB_000_y1.0.3</t>
        </is>
      </c>
      <c r="C915" t="inlineStr">
        <is>
          <t>WHITE</t>
        </is>
      </c>
      <c r="D915" t="inlineStr">
        <is>
          <t>v4_white_MLLB_000_y103_0924</t>
        </is>
      </c>
      <c r="E915" t="n">
        <v>3.4</v>
      </c>
      <c r="F915" t="n">
        <v>3.408</v>
      </c>
      <c r="G915" t="n">
        <v>8</v>
      </c>
      <c r="H915" t="n">
        <v>60</v>
      </c>
      <c r="I915" t="n">
        <v>35</v>
      </c>
      <c r="J915" t="inlineStr">
        <is>
          <t>ince</t>
        </is>
      </c>
      <c r="K915" t="b">
        <v>1</v>
      </c>
      <c r="M915" t="n">
        <v>76</v>
      </c>
      <c r="N915" t="n">
        <v>40</v>
      </c>
      <c r="O915" t="n">
        <v>50</v>
      </c>
      <c r="P915" t="n">
        <v>926</v>
      </c>
      <c r="Q915" t="n">
        <v>1002</v>
      </c>
      <c r="R915" t="n">
        <v>1.086</v>
      </c>
      <c r="S915" t="n">
        <v>15.421</v>
      </c>
      <c r="T915" t="n">
        <v>14.202</v>
      </c>
      <c r="U915" t="n">
        <v>0.7781</v>
      </c>
      <c r="V915" t="b">
        <v>1</v>
      </c>
      <c r="X915" t="b">
        <v>0</v>
      </c>
      <c r="Y915" t="inlineStr">
        <is>
          <t>ON</t>
        </is>
      </c>
      <c r="Z915" t="n">
        <v>935</v>
      </c>
      <c r="AA915" t="n">
        <v>2.5</v>
      </c>
      <c r="AB915" t="n">
        <v>9.5</v>
      </c>
    </row>
    <row r="916">
      <c r="A916" t="inlineStr">
        <is>
          <t>2026-09-24 15:16:46</t>
        </is>
      </c>
      <c r="B916" t="inlineStr">
        <is>
          <t>MLLB_000_y1.0.3</t>
        </is>
      </c>
      <c r="C916" t="inlineStr">
        <is>
          <t>WHITE</t>
        </is>
      </c>
      <c r="D916" t="inlineStr">
        <is>
          <t>v4_white_MLLB_000_y103_0924</t>
        </is>
      </c>
      <c r="E916" t="n">
        <v>3.4</v>
      </c>
      <c r="F916" t="n">
        <v>3.408</v>
      </c>
      <c r="G916" t="n">
        <v>8</v>
      </c>
      <c r="H916" t="n">
        <v>60</v>
      </c>
      <c r="I916" t="n">
        <v>37</v>
      </c>
      <c r="J916" t="inlineStr">
        <is>
          <t>ince</t>
        </is>
      </c>
      <c r="K916" t="b">
        <v>0</v>
      </c>
      <c r="L916" t="inlineStr">
        <is>
          <t>iki-OK-arasi-monotonluk</t>
        </is>
      </c>
      <c r="X916" t="b">
        <v>1</v>
      </c>
      <c r="Z916" t="n">
        <v>935</v>
      </c>
      <c r="AA916" t="n">
        <v>2.5</v>
      </c>
      <c r="AB916" t="n">
        <v>9.5</v>
      </c>
    </row>
    <row r="917">
      <c r="A917" t="inlineStr">
        <is>
          <t>2026-09-24 15:16:46</t>
        </is>
      </c>
      <c r="B917" t="inlineStr">
        <is>
          <t>MLLB_000_y1.0.3</t>
        </is>
      </c>
      <c r="C917" t="inlineStr">
        <is>
          <t>WHITE</t>
        </is>
      </c>
      <c r="D917" t="inlineStr">
        <is>
          <t>v4_white_MLLB_000_y103_0924</t>
        </is>
      </c>
      <c r="E917" t="n">
        <v>3.4</v>
      </c>
      <c r="F917" t="n">
        <v>3.408</v>
      </c>
      <c r="G917" t="n">
        <v>8</v>
      </c>
      <c r="H917" t="n">
        <v>60</v>
      </c>
      <c r="I917" t="n">
        <v>38</v>
      </c>
      <c r="J917" t="inlineStr">
        <is>
          <t>ince</t>
        </is>
      </c>
      <c r="K917" t="b">
        <v>0</v>
      </c>
      <c r="L917" t="inlineStr">
        <is>
          <t>iki-OK-arasi-monotonluk</t>
        </is>
      </c>
      <c r="X917" t="b">
        <v>1</v>
      </c>
      <c r="Z917" t="n">
        <v>935</v>
      </c>
      <c r="AA917" t="n">
        <v>2.5</v>
      </c>
      <c r="AB917" t="n">
        <v>9.5</v>
      </c>
    </row>
    <row r="918">
      <c r="A918" t="inlineStr">
        <is>
          <t>2026-09-24 15:16:46</t>
        </is>
      </c>
      <c r="B918" t="inlineStr">
        <is>
          <t>MLLB_000_y1.0.3</t>
        </is>
      </c>
      <c r="C918" t="inlineStr">
        <is>
          <t>WHITE</t>
        </is>
      </c>
      <c r="D918" t="inlineStr">
        <is>
          <t>v4_white_MLLB_000_y103_0924</t>
        </is>
      </c>
      <c r="E918" t="n">
        <v>3.4</v>
      </c>
      <c r="F918" t="n">
        <v>3.408</v>
      </c>
      <c r="G918" t="n">
        <v>8</v>
      </c>
      <c r="H918" t="n">
        <v>60</v>
      </c>
      <c r="I918" t="n">
        <v>39</v>
      </c>
      <c r="J918" t="inlineStr">
        <is>
          <t>ince</t>
        </is>
      </c>
      <c r="K918" t="b">
        <v>0</v>
      </c>
      <c r="L918" t="inlineStr">
        <is>
          <t>iki-OK-arasi-monotonluk</t>
        </is>
      </c>
      <c r="X918" t="b">
        <v>1</v>
      </c>
      <c r="Z918" t="n">
        <v>935</v>
      </c>
      <c r="AA918" t="n">
        <v>2.5</v>
      </c>
      <c r="AB918" t="n">
        <v>9.5</v>
      </c>
    </row>
    <row r="919">
      <c r="A919" t="inlineStr">
        <is>
          <t>2026-09-24 15:16:46</t>
        </is>
      </c>
      <c r="B919" t="inlineStr">
        <is>
          <t>MLLB_000_y1.0.3</t>
        </is>
      </c>
      <c r="C919" t="inlineStr">
        <is>
          <t>WHITE</t>
        </is>
      </c>
      <c r="D919" t="inlineStr">
        <is>
          <t>v4_white_MLLB_000_y103_0924</t>
        </is>
      </c>
      <c r="E919" t="n">
        <v>3.4</v>
      </c>
      <c r="F919" t="n">
        <v>3.408</v>
      </c>
      <c r="G919" t="n">
        <v>8</v>
      </c>
      <c r="H919" t="n">
        <v>60</v>
      </c>
      <c r="I919" t="n">
        <v>41</v>
      </c>
      <c r="J919" t="inlineStr">
        <is>
          <t>ince</t>
        </is>
      </c>
      <c r="K919" t="b">
        <v>0</v>
      </c>
      <c r="L919" t="inlineStr">
        <is>
          <t>iki-OK-arasi-monotonluk</t>
        </is>
      </c>
      <c r="X919" t="b">
        <v>1</v>
      </c>
      <c r="Z919" t="n">
        <v>935</v>
      </c>
      <c r="AA919" t="n">
        <v>2.5</v>
      </c>
      <c r="AB919" t="n">
        <v>9.5</v>
      </c>
    </row>
    <row r="920">
      <c r="A920" t="inlineStr">
        <is>
          <t>2026-09-24 15:16:46</t>
        </is>
      </c>
      <c r="B920" t="inlineStr">
        <is>
          <t>MLLB_000_y1.0.3</t>
        </is>
      </c>
      <c r="C920" t="inlineStr">
        <is>
          <t>WHITE</t>
        </is>
      </c>
      <c r="D920" t="inlineStr">
        <is>
          <t>v4_white_MLLB_000_y103_0924</t>
        </is>
      </c>
      <c r="E920" t="n">
        <v>3.4</v>
      </c>
      <c r="F920" t="n">
        <v>3.408</v>
      </c>
      <c r="G920" t="n">
        <v>8</v>
      </c>
      <c r="H920" t="n">
        <v>60</v>
      </c>
      <c r="I920" t="n">
        <v>42</v>
      </c>
      <c r="J920" t="inlineStr">
        <is>
          <t>ince</t>
        </is>
      </c>
      <c r="K920" t="b">
        <v>0</v>
      </c>
      <c r="L920" t="inlineStr">
        <is>
          <t>iki-OK-arasi-monotonluk</t>
        </is>
      </c>
      <c r="X920" t="b">
        <v>1</v>
      </c>
      <c r="Z920" t="n">
        <v>935</v>
      </c>
      <c r="AA920" t="n">
        <v>2.5</v>
      </c>
      <c r="AB920" t="n">
        <v>9.5</v>
      </c>
    </row>
    <row r="921">
      <c r="A921" t="inlineStr">
        <is>
          <t>2026-09-24 15:16:46</t>
        </is>
      </c>
      <c r="B921" t="inlineStr">
        <is>
          <t>MLLB_000_y1.0.3</t>
        </is>
      </c>
      <c r="C921" t="inlineStr">
        <is>
          <t>WHITE</t>
        </is>
      </c>
      <c r="D921" t="inlineStr">
        <is>
          <t>v4_white_MLLB_000_y103_0924</t>
        </is>
      </c>
      <c r="E921" t="n">
        <v>3.4</v>
      </c>
      <c r="F921" t="n">
        <v>3.408</v>
      </c>
      <c r="G921" t="n">
        <v>8</v>
      </c>
      <c r="H921" t="n">
        <v>60</v>
      </c>
      <c r="I921" t="n">
        <v>43</v>
      </c>
      <c r="J921" t="inlineStr">
        <is>
          <t>ince</t>
        </is>
      </c>
      <c r="K921" t="b">
        <v>0</v>
      </c>
      <c r="L921" t="inlineStr">
        <is>
          <t>iki-OK-arasi-monotonluk</t>
        </is>
      </c>
      <c r="X921" t="b">
        <v>1</v>
      </c>
      <c r="Z921" t="n">
        <v>935</v>
      </c>
      <c r="AA921" t="n">
        <v>2.5</v>
      </c>
      <c r="AB921" t="n">
        <v>9.5</v>
      </c>
    </row>
    <row r="922">
      <c r="A922" t="inlineStr">
        <is>
          <t>2026-09-24 15:17:02</t>
        </is>
      </c>
      <c r="B922" t="inlineStr">
        <is>
          <t>MLLB_000_y1.0.3</t>
        </is>
      </c>
      <c r="C922" t="inlineStr">
        <is>
          <t>WHITE</t>
        </is>
      </c>
      <c r="D922" t="inlineStr">
        <is>
          <t>v4_white_MLLB_000_y103_0924</t>
        </is>
      </c>
      <c r="E922" t="n">
        <v>3.4</v>
      </c>
      <c r="F922" t="n">
        <v>3.408</v>
      </c>
      <c r="G922" t="n">
        <v>8</v>
      </c>
      <c r="H922" t="n">
        <v>60</v>
      </c>
      <c r="I922" t="n">
        <v>45</v>
      </c>
      <c r="J922" t="inlineStr">
        <is>
          <t>ince</t>
        </is>
      </c>
      <c r="K922" t="b">
        <v>1</v>
      </c>
      <c r="M922" t="n">
        <v>46</v>
      </c>
      <c r="N922" t="n">
        <v>28</v>
      </c>
      <c r="O922" t="n">
        <v>26</v>
      </c>
      <c r="P922" t="n">
        <v>956</v>
      </c>
      <c r="Q922" t="n">
        <v>1002</v>
      </c>
      <c r="R922" t="n">
        <v>2.793</v>
      </c>
      <c r="S922" t="n">
        <v>39.665</v>
      </c>
      <c r="T922" t="n">
        <v>14.199</v>
      </c>
      <c r="U922" t="n">
        <v>0.7783</v>
      </c>
      <c r="V922" t="b">
        <v>1</v>
      </c>
      <c r="X922" t="b">
        <v>0</v>
      </c>
      <c r="Y922" t="inlineStr">
        <is>
          <t>FLAS</t>
        </is>
      </c>
      <c r="Z922" t="n">
        <v>935</v>
      </c>
      <c r="AA922" t="n">
        <v>2.5</v>
      </c>
      <c r="AB922" t="n">
        <v>9.5</v>
      </c>
    </row>
    <row r="923">
      <c r="A923" t="inlineStr">
        <is>
          <t>2026-09-24 15:17:18</t>
        </is>
      </c>
      <c r="B923" t="inlineStr">
        <is>
          <t>MLLB_000_y1.0.3</t>
        </is>
      </c>
      <c r="C923" t="inlineStr">
        <is>
          <t>WHITE</t>
        </is>
      </c>
      <c r="D923" t="inlineStr">
        <is>
          <t>v4_white_MLLB_000_y103_0924</t>
        </is>
      </c>
      <c r="E923" t="n">
        <v>3.4</v>
      </c>
      <c r="F923" t="n">
        <v>3.408</v>
      </c>
      <c r="G923" t="n">
        <v>8</v>
      </c>
      <c r="H923" t="n">
        <v>60</v>
      </c>
      <c r="I923" t="n">
        <v>46</v>
      </c>
      <c r="J923" t="inlineStr">
        <is>
          <t>ince</t>
        </is>
      </c>
      <c r="K923" t="b">
        <v>1</v>
      </c>
      <c r="M923" t="n">
        <v>46</v>
      </c>
      <c r="N923" t="n">
        <v>28</v>
      </c>
      <c r="O923" t="n">
        <v>26</v>
      </c>
      <c r="P923" t="n">
        <v>956</v>
      </c>
      <c r="Q923" t="n">
        <v>1002</v>
      </c>
      <c r="R923" t="n">
        <v>3.533</v>
      </c>
      <c r="S923" t="n">
        <v>50.145</v>
      </c>
      <c r="T923" t="n">
        <v>14.192</v>
      </c>
      <c r="U923" t="n">
        <v>0.7782</v>
      </c>
      <c r="V923" t="b">
        <v>1</v>
      </c>
      <c r="X923" t="b">
        <v>0</v>
      </c>
      <c r="Y923" t="inlineStr">
        <is>
          <t>FLAS</t>
        </is>
      </c>
      <c r="Z923" t="n">
        <v>935</v>
      </c>
      <c r="AA923" t="n">
        <v>2.5</v>
      </c>
      <c r="AB923" t="n">
        <v>9.5</v>
      </c>
    </row>
    <row r="924">
      <c r="A924" t="inlineStr">
        <is>
          <t>2026-09-24 15:17:34</t>
        </is>
      </c>
      <c r="B924" t="inlineStr">
        <is>
          <t>MLLB_000_y1.0.3</t>
        </is>
      </c>
      <c r="C924" t="inlineStr">
        <is>
          <t>WHITE</t>
        </is>
      </c>
      <c r="D924" t="inlineStr">
        <is>
          <t>v4_white_MLLB_000_y103_0924</t>
        </is>
      </c>
      <c r="E924" t="n">
        <v>3.4</v>
      </c>
      <c r="F924" t="n">
        <v>3.408</v>
      </c>
      <c r="G924" t="n">
        <v>8</v>
      </c>
      <c r="H924" t="n">
        <v>60</v>
      </c>
      <c r="I924" t="n">
        <v>47</v>
      </c>
      <c r="J924" t="inlineStr">
        <is>
          <t>ince</t>
        </is>
      </c>
      <c r="K924" t="b">
        <v>1</v>
      </c>
      <c r="M924" t="n">
        <v>46</v>
      </c>
      <c r="N924" t="n">
        <v>28</v>
      </c>
      <c r="O924" t="n">
        <v>26</v>
      </c>
      <c r="P924" t="n">
        <v>956</v>
      </c>
      <c r="Q924" t="n">
        <v>1002</v>
      </c>
      <c r="R924" t="n">
        <v>6.246</v>
      </c>
      <c r="S924" t="n">
        <v>88.65600000000001</v>
      </c>
      <c r="T924" t="n">
        <v>14.194</v>
      </c>
      <c r="U924" t="n">
        <v>0.7783</v>
      </c>
      <c r="V924" t="b">
        <v>1</v>
      </c>
      <c r="X924" t="b">
        <v>0</v>
      </c>
      <c r="Y924" t="inlineStr">
        <is>
          <t>FLAS</t>
        </is>
      </c>
      <c r="Z924" t="n">
        <v>935</v>
      </c>
      <c r="AA924" t="n">
        <v>2.5</v>
      </c>
      <c r="AB924" t="n">
        <v>9.5</v>
      </c>
    </row>
    <row r="925">
      <c r="A925" t="inlineStr">
        <is>
          <t>2026-09-24 15:17:34</t>
        </is>
      </c>
      <c r="B925" t="inlineStr">
        <is>
          <t>MLLB_000_y1.0.3</t>
        </is>
      </c>
      <c r="C925" t="inlineStr">
        <is>
          <t>WHITE</t>
        </is>
      </c>
      <c r="D925" t="inlineStr">
        <is>
          <t>v4_white_MLLB_000_y103_0924</t>
        </is>
      </c>
      <c r="E925" t="n">
        <v>3.4</v>
      </c>
      <c r="F925" t="n">
        <v>3.408</v>
      </c>
      <c r="G925" t="n">
        <v>8</v>
      </c>
      <c r="H925" t="n">
        <v>60</v>
      </c>
      <c r="J925" t="inlineStr">
        <is>
          <t>bitti</t>
        </is>
      </c>
      <c r="K925" t="b">
        <v>0</v>
      </c>
      <c r="Z925" t="n">
        <v>935</v>
      </c>
      <c r="AA925" t="n">
        <v>2.5</v>
      </c>
      <c r="AB925" t="n">
        <v>9.5</v>
      </c>
    </row>
    <row r="926">
      <c r="A926" t="inlineStr">
        <is>
          <t>2026-09-24 15:17:56</t>
        </is>
      </c>
      <c r="B926" t="inlineStr">
        <is>
          <t>MLLB_000_y1.0.3</t>
        </is>
      </c>
      <c r="C926" t="inlineStr">
        <is>
          <t>WHITE</t>
        </is>
      </c>
      <c r="D926" t="inlineStr">
        <is>
          <t>v4_white_MLLB_000_y103_0924</t>
        </is>
      </c>
      <c r="E926" t="n">
        <v>3.4</v>
      </c>
      <c r="F926" t="n">
        <v>3.408</v>
      </c>
      <c r="G926" t="n">
        <v>10</v>
      </c>
      <c r="H926" t="n">
        <v>100</v>
      </c>
      <c r="I926" t="n">
        <v>12</v>
      </c>
      <c r="J926" t="inlineStr">
        <is>
          <t>kaba</t>
        </is>
      </c>
      <c r="K926" t="b">
        <v>1</v>
      </c>
      <c r="M926" t="n">
        <v>162</v>
      </c>
      <c r="N926" t="n">
        <v>32</v>
      </c>
      <c r="O926" t="n">
        <v>142</v>
      </c>
      <c r="P926" t="n">
        <v>840</v>
      </c>
      <c r="Q926" t="n">
        <v>1002</v>
      </c>
      <c r="R926" t="n">
        <v>1.078</v>
      </c>
      <c r="S926" t="n">
        <v>20.268</v>
      </c>
      <c r="T926" t="n">
        <v>18.798</v>
      </c>
      <c r="U926" t="n">
        <v>0.7785</v>
      </c>
      <c r="V926" t="b">
        <v>1</v>
      </c>
      <c r="X926" t="b">
        <v>0</v>
      </c>
      <c r="Y926" t="inlineStr">
        <is>
          <t>ON</t>
        </is>
      </c>
      <c r="Z926" t="n">
        <v>935</v>
      </c>
      <c r="AA926" t="n">
        <v>2.5</v>
      </c>
      <c r="AB926" t="n">
        <v>9.5</v>
      </c>
    </row>
    <row r="927">
      <c r="A927" t="inlineStr">
        <is>
          <t>2026-09-24 15:18:12</t>
        </is>
      </c>
      <c r="B927" t="inlineStr">
        <is>
          <t>MLLB_000_y1.0.3</t>
        </is>
      </c>
      <c r="C927" t="inlineStr">
        <is>
          <t>WHITE</t>
        </is>
      </c>
      <c r="D927" t="inlineStr">
        <is>
          <t>v4_white_MLLB_000_y103_0924</t>
        </is>
      </c>
      <c r="E927" t="n">
        <v>3.4</v>
      </c>
      <c r="F927" t="n">
        <v>3.408</v>
      </c>
      <c r="G927" t="n">
        <v>10</v>
      </c>
      <c r="H927" t="n">
        <v>100</v>
      </c>
      <c r="I927" t="n">
        <v>16</v>
      </c>
      <c r="J927" t="inlineStr">
        <is>
          <t>kaba</t>
        </is>
      </c>
      <c r="K927" t="b">
        <v>1</v>
      </c>
      <c r="M927" t="n">
        <v>120</v>
      </c>
      <c r="N927" t="n">
        <v>36</v>
      </c>
      <c r="O927" t="n">
        <v>98</v>
      </c>
      <c r="P927" t="n">
        <v>882</v>
      </c>
      <c r="Q927" t="n">
        <v>1002</v>
      </c>
      <c r="R927" t="n">
        <v>1.075</v>
      </c>
      <c r="S927" t="n">
        <v>20.237</v>
      </c>
      <c r="T927" t="n">
        <v>18.825</v>
      </c>
      <c r="U927" t="n">
        <v>0.7782</v>
      </c>
      <c r="V927" t="b">
        <v>1</v>
      </c>
      <c r="X927" t="b">
        <v>0</v>
      </c>
      <c r="Y927" t="inlineStr">
        <is>
          <t>ON</t>
        </is>
      </c>
      <c r="Z927" t="n">
        <v>935</v>
      </c>
      <c r="AA927" t="n">
        <v>2.5</v>
      </c>
      <c r="AB927" t="n">
        <v>9.5</v>
      </c>
    </row>
    <row r="928">
      <c r="A928" t="inlineStr">
        <is>
          <t>2026-09-24 15:18:28</t>
        </is>
      </c>
      <c r="B928" t="inlineStr">
        <is>
          <t>MLLB_000_y1.0.3</t>
        </is>
      </c>
      <c r="C928" t="inlineStr">
        <is>
          <t>WHITE</t>
        </is>
      </c>
      <c r="D928" t="inlineStr">
        <is>
          <t>v4_white_MLLB_000_y103_0924</t>
        </is>
      </c>
      <c r="E928" t="n">
        <v>3.4</v>
      </c>
      <c r="F928" t="n">
        <v>3.408</v>
      </c>
      <c r="G928" t="n">
        <v>10</v>
      </c>
      <c r="H928" t="n">
        <v>100</v>
      </c>
      <c r="I928" t="n">
        <v>20</v>
      </c>
      <c r="J928" t="inlineStr">
        <is>
          <t>kaba</t>
        </is>
      </c>
      <c r="K928" t="b">
        <v>1</v>
      </c>
      <c r="M928" t="n">
        <v>78</v>
      </c>
      <c r="N928" t="n">
        <v>34</v>
      </c>
      <c r="O928" t="n">
        <v>56</v>
      </c>
      <c r="P928" t="n">
        <v>924</v>
      </c>
      <c r="Q928" t="n">
        <v>1002</v>
      </c>
      <c r="R928" t="n">
        <v>1.075</v>
      </c>
      <c r="S928" t="n">
        <v>20.268</v>
      </c>
      <c r="T928" t="n">
        <v>18.859</v>
      </c>
      <c r="U928" t="n">
        <v>0.7786999999999999</v>
      </c>
      <c r="V928" t="b">
        <v>1</v>
      </c>
      <c r="X928" t="b">
        <v>0</v>
      </c>
      <c r="Y928" t="inlineStr">
        <is>
          <t>ON</t>
        </is>
      </c>
      <c r="Z928" t="n">
        <v>935</v>
      </c>
      <c r="AA928" t="n">
        <v>2.5</v>
      </c>
      <c r="AB928" t="n">
        <v>9.5</v>
      </c>
    </row>
    <row r="929">
      <c r="A929" t="inlineStr">
        <is>
          <t>2026-09-24 15:18:44</t>
        </is>
      </c>
      <c r="B929" t="inlineStr">
        <is>
          <t>MLLB_000_y1.0.3</t>
        </is>
      </c>
      <c r="C929" t="inlineStr">
        <is>
          <t>WHITE</t>
        </is>
      </c>
      <c r="D929" t="inlineStr">
        <is>
          <t>v4_white_MLLB_000_y103_0924</t>
        </is>
      </c>
      <c r="E929" t="n">
        <v>3.4</v>
      </c>
      <c r="F929" t="n">
        <v>3.408</v>
      </c>
      <c r="G929" t="n">
        <v>10</v>
      </c>
      <c r="H929" t="n">
        <v>100</v>
      </c>
      <c r="I929" t="n">
        <v>24</v>
      </c>
      <c r="J929" t="inlineStr">
        <is>
          <t>kaba</t>
        </is>
      </c>
      <c r="K929" t="b">
        <v>1</v>
      </c>
      <c r="M929" t="n">
        <v>36</v>
      </c>
      <c r="N929" t="n">
        <v>32</v>
      </c>
      <c r="O929" t="n">
        <v>14</v>
      </c>
      <c r="P929" t="n">
        <v>966</v>
      </c>
      <c r="Q929" t="n">
        <v>1002</v>
      </c>
      <c r="R929" t="n">
        <v>1.073</v>
      </c>
      <c r="S929" t="n">
        <v>20.236</v>
      </c>
      <c r="T929" t="n">
        <v>18.854</v>
      </c>
      <c r="U929" t="n">
        <v>0.7783</v>
      </c>
      <c r="V929" t="b">
        <v>1</v>
      </c>
      <c r="X929" t="b">
        <v>1</v>
      </c>
      <c r="Z929" t="n">
        <v>935</v>
      </c>
      <c r="AA929" t="n">
        <v>2.5</v>
      </c>
      <c r="AB929" t="n">
        <v>9.5</v>
      </c>
    </row>
    <row r="930">
      <c r="A930" t="inlineStr">
        <is>
          <t>2026-09-24 15:19:00</t>
        </is>
      </c>
      <c r="B930" t="inlineStr">
        <is>
          <t>MLLB_000_y1.0.3</t>
        </is>
      </c>
      <c r="C930" t="inlineStr">
        <is>
          <t>WHITE</t>
        </is>
      </c>
      <c r="D930" t="inlineStr">
        <is>
          <t>v4_white_MLLB_000_y103_0924</t>
        </is>
      </c>
      <c r="E930" t="n">
        <v>3.4</v>
      </c>
      <c r="F930" t="n">
        <v>3.408</v>
      </c>
      <c r="G930" t="n">
        <v>10</v>
      </c>
      <c r="H930" t="n">
        <v>100</v>
      </c>
      <c r="I930" t="n">
        <v>28</v>
      </c>
      <c r="J930" t="inlineStr">
        <is>
          <t>kaba</t>
        </is>
      </c>
      <c r="K930" t="b">
        <v>1</v>
      </c>
      <c r="M930" t="n">
        <v>34</v>
      </c>
      <c r="N930" t="n">
        <v>28</v>
      </c>
      <c r="O930" t="n">
        <v>14</v>
      </c>
      <c r="P930" t="n">
        <v>968</v>
      </c>
      <c r="Q930" t="n">
        <v>1002</v>
      </c>
      <c r="R930" t="n">
        <v>2.135</v>
      </c>
      <c r="S930" t="n">
        <v>40.295</v>
      </c>
      <c r="T930" t="n">
        <v>18.875</v>
      </c>
      <c r="U930" t="n">
        <v>0.7786999999999999</v>
      </c>
      <c r="V930" t="b">
        <v>1</v>
      </c>
      <c r="X930" t="b">
        <v>1</v>
      </c>
      <c r="Z930" t="n">
        <v>935</v>
      </c>
      <c r="AA930" t="n">
        <v>2.5</v>
      </c>
      <c r="AB930" t="n">
        <v>9.5</v>
      </c>
    </row>
    <row r="931">
      <c r="A931" t="inlineStr">
        <is>
          <t>2026-09-24 15:19:15</t>
        </is>
      </c>
      <c r="B931" t="inlineStr">
        <is>
          <t>MLLB_000_y1.0.3</t>
        </is>
      </c>
      <c r="C931" t="inlineStr">
        <is>
          <t>WHITE</t>
        </is>
      </c>
      <c r="D931" t="inlineStr">
        <is>
          <t>v4_white_MLLB_000_y103_0924</t>
        </is>
      </c>
      <c r="E931" t="n">
        <v>3.4</v>
      </c>
      <c r="F931" t="n">
        <v>3.408</v>
      </c>
      <c r="G931" t="n">
        <v>10</v>
      </c>
      <c r="H931" t="n">
        <v>100</v>
      </c>
      <c r="I931" t="n">
        <v>32</v>
      </c>
      <c r="J931" t="inlineStr">
        <is>
          <t>kaba</t>
        </is>
      </c>
      <c r="K931" t="b">
        <v>1</v>
      </c>
      <c r="M931" t="n">
        <v>34</v>
      </c>
      <c r="N931" t="n">
        <v>28</v>
      </c>
      <c r="O931" t="n">
        <v>14</v>
      </c>
      <c r="P931" t="n">
        <v>968</v>
      </c>
      <c r="Q931" t="n">
        <v>1002</v>
      </c>
      <c r="R931" t="n">
        <v>10.818</v>
      </c>
      <c r="S931" t="n">
        <v>203.919</v>
      </c>
      <c r="T931" t="n">
        <v>18.85</v>
      </c>
      <c r="U931" t="n">
        <v>0.7784</v>
      </c>
      <c r="V931" t="b">
        <v>1</v>
      </c>
      <c r="X931" t="b">
        <v>0</v>
      </c>
      <c r="Y931" t="inlineStr">
        <is>
          <t>FLAS</t>
        </is>
      </c>
      <c r="Z931" t="n">
        <v>935</v>
      </c>
      <c r="AA931" t="n">
        <v>2.5</v>
      </c>
      <c r="AB931" t="n">
        <v>9.5</v>
      </c>
    </row>
    <row r="932">
      <c r="A932" t="inlineStr">
        <is>
          <t>2026-09-24 15:19:32</t>
        </is>
      </c>
      <c r="B932" t="inlineStr">
        <is>
          <t>MLLB_000_y1.0.3</t>
        </is>
      </c>
      <c r="C932" t="inlineStr">
        <is>
          <t>WHITE</t>
        </is>
      </c>
      <c r="D932" t="inlineStr">
        <is>
          <t>v4_white_MLLB_000_y103_0924</t>
        </is>
      </c>
      <c r="E932" t="n">
        <v>3.4</v>
      </c>
      <c r="F932" t="n">
        <v>3.408</v>
      </c>
      <c r="G932" t="n">
        <v>10</v>
      </c>
      <c r="H932" t="n">
        <v>100</v>
      </c>
      <c r="I932" t="n">
        <v>21</v>
      </c>
      <c r="J932" t="inlineStr">
        <is>
          <t>ince</t>
        </is>
      </c>
      <c r="K932" t="b">
        <v>1</v>
      </c>
      <c r="M932" t="n">
        <v>68</v>
      </c>
      <c r="N932" t="n">
        <v>38</v>
      </c>
      <c r="O932" t="n">
        <v>46</v>
      </c>
      <c r="P932" t="n">
        <v>934</v>
      </c>
      <c r="Q932" t="n">
        <v>1002</v>
      </c>
      <c r="R932" t="n">
        <v>1.073</v>
      </c>
      <c r="S932" t="n">
        <v>20.22</v>
      </c>
      <c r="T932" t="n">
        <v>18.852</v>
      </c>
      <c r="U932" t="n">
        <v>0.7791</v>
      </c>
      <c r="V932" t="b">
        <v>1</v>
      </c>
      <c r="X932" t="b">
        <v>0</v>
      </c>
      <c r="Y932" t="inlineStr">
        <is>
          <t>ON</t>
        </is>
      </c>
      <c r="Z932" t="n">
        <v>935</v>
      </c>
      <c r="AA932" t="n">
        <v>2.5</v>
      </c>
      <c r="AB932" t="n">
        <v>9.5</v>
      </c>
    </row>
    <row r="933">
      <c r="A933" t="inlineStr">
        <is>
          <t>2026-09-24 15:19:48</t>
        </is>
      </c>
      <c r="B933" t="inlineStr">
        <is>
          <t>MLLB_000_y1.0.3</t>
        </is>
      </c>
      <c r="C933" t="inlineStr">
        <is>
          <t>WHITE</t>
        </is>
      </c>
      <c r="D933" t="inlineStr">
        <is>
          <t>v4_white_MLLB_000_y103_0924</t>
        </is>
      </c>
      <c r="E933" t="n">
        <v>3.4</v>
      </c>
      <c r="F933" t="n">
        <v>3.408</v>
      </c>
      <c r="G933" t="n">
        <v>10</v>
      </c>
      <c r="H933" t="n">
        <v>100</v>
      </c>
      <c r="I933" t="n">
        <v>22</v>
      </c>
      <c r="J933" t="inlineStr">
        <is>
          <t>ince</t>
        </is>
      </c>
      <c r="K933" t="b">
        <v>1</v>
      </c>
      <c r="M933" t="n">
        <v>56</v>
      </c>
      <c r="N933" t="n">
        <v>36</v>
      </c>
      <c r="O933" t="n">
        <v>34</v>
      </c>
      <c r="P933" t="n">
        <v>946</v>
      </c>
      <c r="Q933" t="n">
        <v>1002</v>
      </c>
      <c r="R933" t="n">
        <v>1.074</v>
      </c>
      <c r="S933" t="n">
        <v>20.268</v>
      </c>
      <c r="T933" t="n">
        <v>18.868</v>
      </c>
      <c r="U933" t="n">
        <v>0.7782</v>
      </c>
      <c r="V933" t="b">
        <v>1</v>
      </c>
      <c r="X933" t="b">
        <v>1</v>
      </c>
      <c r="Z933" t="n">
        <v>935</v>
      </c>
      <c r="AA933" t="n">
        <v>2.5</v>
      </c>
      <c r="AB933" t="n">
        <v>9.5</v>
      </c>
    </row>
    <row r="934">
      <c r="A934" t="inlineStr">
        <is>
          <t>2026-09-24 15:20:04</t>
        </is>
      </c>
      <c r="B934" t="inlineStr">
        <is>
          <t>MLLB_000_y1.0.3</t>
        </is>
      </c>
      <c r="C934" t="inlineStr">
        <is>
          <t>WHITE</t>
        </is>
      </c>
      <c r="D934" t="inlineStr">
        <is>
          <t>v4_white_MLLB_000_y103_0924</t>
        </is>
      </c>
      <c r="E934" t="n">
        <v>3.4</v>
      </c>
      <c r="F934" t="n">
        <v>3.408</v>
      </c>
      <c r="G934" t="n">
        <v>10</v>
      </c>
      <c r="H934" t="n">
        <v>100</v>
      </c>
      <c r="I934" t="n">
        <v>23</v>
      </c>
      <c r="J934" t="inlineStr">
        <is>
          <t>ince</t>
        </is>
      </c>
      <c r="K934" t="b">
        <v>1</v>
      </c>
      <c r="M934" t="n">
        <v>46</v>
      </c>
      <c r="N934" t="n">
        <v>36</v>
      </c>
      <c r="O934" t="n">
        <v>22</v>
      </c>
      <c r="P934" t="n">
        <v>956</v>
      </c>
      <c r="Q934" t="n">
        <v>1002</v>
      </c>
      <c r="R934" t="n">
        <v>1.072</v>
      </c>
      <c r="S934" t="n">
        <v>20.22</v>
      </c>
      <c r="T934" t="n">
        <v>18.855</v>
      </c>
      <c r="U934" t="n">
        <v>0.7784</v>
      </c>
      <c r="V934" t="b">
        <v>1</v>
      </c>
      <c r="X934" t="b">
        <v>1</v>
      </c>
      <c r="Z934" t="n">
        <v>935</v>
      </c>
      <c r="AA934" t="n">
        <v>2.5</v>
      </c>
      <c r="AB934" t="n">
        <v>9.5</v>
      </c>
    </row>
    <row r="935">
      <c r="A935" t="inlineStr">
        <is>
          <t>2026-09-24 15:20:04</t>
        </is>
      </c>
      <c r="B935" t="inlineStr">
        <is>
          <t>MLLB_000_y1.0.3</t>
        </is>
      </c>
      <c r="C935" t="inlineStr">
        <is>
          <t>WHITE</t>
        </is>
      </c>
      <c r="D935" t="inlineStr">
        <is>
          <t>v4_white_MLLB_000_y103_0924</t>
        </is>
      </c>
      <c r="E935" t="n">
        <v>3.4</v>
      </c>
      <c r="F935" t="n">
        <v>3.408</v>
      </c>
      <c r="G935" t="n">
        <v>10</v>
      </c>
      <c r="H935" t="n">
        <v>100</v>
      </c>
      <c r="I935" t="n">
        <v>25</v>
      </c>
      <c r="J935" t="inlineStr">
        <is>
          <t>ince</t>
        </is>
      </c>
      <c r="K935" t="b">
        <v>0</v>
      </c>
      <c r="L935" t="inlineStr">
        <is>
          <t>iki-OK-arasi-monotonluk</t>
        </is>
      </c>
      <c r="X935" t="b">
        <v>1</v>
      </c>
      <c r="Z935" t="n">
        <v>935</v>
      </c>
      <c r="AA935" t="n">
        <v>2.5</v>
      </c>
      <c r="AB935" t="n">
        <v>9.5</v>
      </c>
    </row>
    <row r="936">
      <c r="A936" t="inlineStr">
        <is>
          <t>2026-09-24 15:20:04</t>
        </is>
      </c>
      <c r="B936" t="inlineStr">
        <is>
          <t>MLLB_000_y1.0.3</t>
        </is>
      </c>
      <c r="C936" t="inlineStr">
        <is>
          <t>WHITE</t>
        </is>
      </c>
      <c r="D936" t="inlineStr">
        <is>
          <t>v4_white_MLLB_000_y103_0924</t>
        </is>
      </c>
      <c r="E936" t="n">
        <v>3.4</v>
      </c>
      <c r="F936" t="n">
        <v>3.408</v>
      </c>
      <c r="G936" t="n">
        <v>10</v>
      </c>
      <c r="H936" t="n">
        <v>100</v>
      </c>
      <c r="I936" t="n">
        <v>26</v>
      </c>
      <c r="J936" t="inlineStr">
        <is>
          <t>ince</t>
        </is>
      </c>
      <c r="K936" t="b">
        <v>0</v>
      </c>
      <c r="L936" t="inlineStr">
        <is>
          <t>iki-OK-arasi-monotonluk</t>
        </is>
      </c>
      <c r="X936" t="b">
        <v>1</v>
      </c>
      <c r="Z936" t="n">
        <v>935</v>
      </c>
      <c r="AA936" t="n">
        <v>2.5</v>
      </c>
      <c r="AB936" t="n">
        <v>9.5</v>
      </c>
    </row>
    <row r="937">
      <c r="A937" t="inlineStr">
        <is>
          <t>2026-09-24 15:20:04</t>
        </is>
      </c>
      <c r="B937" t="inlineStr">
        <is>
          <t>MLLB_000_y1.0.3</t>
        </is>
      </c>
      <c r="C937" t="inlineStr">
        <is>
          <t>WHITE</t>
        </is>
      </c>
      <c r="D937" t="inlineStr">
        <is>
          <t>v4_white_MLLB_000_y103_0924</t>
        </is>
      </c>
      <c r="E937" t="n">
        <v>3.4</v>
      </c>
      <c r="F937" t="n">
        <v>3.408</v>
      </c>
      <c r="G937" t="n">
        <v>10</v>
      </c>
      <c r="H937" t="n">
        <v>100</v>
      </c>
      <c r="I937" t="n">
        <v>27</v>
      </c>
      <c r="J937" t="inlineStr">
        <is>
          <t>ince</t>
        </is>
      </c>
      <c r="K937" t="b">
        <v>0</v>
      </c>
      <c r="L937" t="inlineStr">
        <is>
          <t>iki-OK-arasi-monotonluk</t>
        </is>
      </c>
      <c r="X937" t="b">
        <v>1</v>
      </c>
      <c r="Z937" t="n">
        <v>935</v>
      </c>
      <c r="AA937" t="n">
        <v>2.5</v>
      </c>
      <c r="AB937" t="n">
        <v>9.5</v>
      </c>
    </row>
    <row r="938">
      <c r="A938" t="inlineStr">
        <is>
          <t>2026-09-24 15:20:20</t>
        </is>
      </c>
      <c r="B938" t="inlineStr">
        <is>
          <t>MLLB_000_y1.0.3</t>
        </is>
      </c>
      <c r="C938" t="inlineStr">
        <is>
          <t>WHITE</t>
        </is>
      </c>
      <c r="D938" t="inlineStr">
        <is>
          <t>v4_white_MLLB_000_y103_0924</t>
        </is>
      </c>
      <c r="E938" t="n">
        <v>3.4</v>
      </c>
      <c r="F938" t="n">
        <v>3.408</v>
      </c>
      <c r="G938" t="n">
        <v>10</v>
      </c>
      <c r="H938" t="n">
        <v>100</v>
      </c>
      <c r="I938" t="n">
        <v>29</v>
      </c>
      <c r="J938" t="inlineStr">
        <is>
          <t>ince</t>
        </is>
      </c>
      <c r="K938" t="b">
        <v>1</v>
      </c>
      <c r="M938" t="n">
        <v>34</v>
      </c>
      <c r="N938" t="n">
        <v>28</v>
      </c>
      <c r="O938" t="n">
        <v>14</v>
      </c>
      <c r="P938" t="n">
        <v>968</v>
      </c>
      <c r="Q938" t="n">
        <v>1002</v>
      </c>
      <c r="R938" t="n">
        <v>4.897</v>
      </c>
      <c r="S938" t="n">
        <v>92.41200000000001</v>
      </c>
      <c r="T938" t="n">
        <v>18.869</v>
      </c>
      <c r="U938" t="n">
        <v>0.779</v>
      </c>
      <c r="V938" t="b">
        <v>1</v>
      </c>
      <c r="X938" t="b">
        <v>0</v>
      </c>
      <c r="Y938" t="inlineStr">
        <is>
          <t>FLAS</t>
        </is>
      </c>
      <c r="Z938" t="n">
        <v>935</v>
      </c>
      <c r="AA938" t="n">
        <v>2.5</v>
      </c>
      <c r="AB938" t="n">
        <v>9.5</v>
      </c>
    </row>
    <row r="939">
      <c r="A939" t="inlineStr">
        <is>
          <t>2026-09-24 15:20:36</t>
        </is>
      </c>
      <c r="B939" t="inlineStr">
        <is>
          <t>MLLB_000_y1.0.3</t>
        </is>
      </c>
      <c r="C939" t="inlineStr">
        <is>
          <t>WHITE</t>
        </is>
      </c>
      <c r="D939" t="inlineStr">
        <is>
          <t>v4_white_MLLB_000_y103_0924</t>
        </is>
      </c>
      <c r="E939" t="n">
        <v>3.4</v>
      </c>
      <c r="F939" t="n">
        <v>3.408</v>
      </c>
      <c r="G939" t="n">
        <v>10</v>
      </c>
      <c r="H939" t="n">
        <v>100</v>
      </c>
      <c r="I939" t="n">
        <v>30</v>
      </c>
      <c r="J939" t="inlineStr">
        <is>
          <t>ince</t>
        </is>
      </c>
      <c r="K939" t="b">
        <v>1</v>
      </c>
      <c r="M939" t="n">
        <v>34</v>
      </c>
      <c r="N939" t="n">
        <v>28</v>
      </c>
      <c r="O939" t="n">
        <v>14</v>
      </c>
      <c r="P939" t="n">
        <v>968</v>
      </c>
      <c r="Q939" t="n">
        <v>1002</v>
      </c>
      <c r="R939" t="n">
        <v>7.538</v>
      </c>
      <c r="S939" t="n">
        <v>142.219</v>
      </c>
      <c r="T939" t="n">
        <v>18.868</v>
      </c>
      <c r="U939" t="n">
        <v>0.7786999999999999</v>
      </c>
      <c r="V939" t="b">
        <v>1</v>
      </c>
      <c r="X939" t="b">
        <v>0</v>
      </c>
      <c r="Y939" t="inlineStr">
        <is>
          <t>FLAS</t>
        </is>
      </c>
      <c r="Z939" t="n">
        <v>935</v>
      </c>
      <c r="AA939" t="n">
        <v>2.5</v>
      </c>
      <c r="AB939" t="n">
        <v>9.5</v>
      </c>
    </row>
    <row r="940">
      <c r="A940" t="inlineStr">
        <is>
          <t>2026-09-24 15:20:51</t>
        </is>
      </c>
      <c r="B940" t="inlineStr">
        <is>
          <t>MLLB_000_y1.0.3</t>
        </is>
      </c>
      <c r="C940" t="inlineStr">
        <is>
          <t>WHITE</t>
        </is>
      </c>
      <c r="D940" t="inlineStr">
        <is>
          <t>v4_white_MLLB_000_y103_0924</t>
        </is>
      </c>
      <c r="E940" t="n">
        <v>3.4</v>
      </c>
      <c r="F940" t="n">
        <v>3.408</v>
      </c>
      <c r="G940" t="n">
        <v>10</v>
      </c>
      <c r="H940" t="n">
        <v>100</v>
      </c>
      <c r="I940" t="n">
        <v>31</v>
      </c>
      <c r="J940" t="inlineStr">
        <is>
          <t>ince</t>
        </is>
      </c>
      <c r="K940" t="b">
        <v>1</v>
      </c>
      <c r="M940" t="n">
        <v>34</v>
      </c>
      <c r="N940" t="n">
        <v>28</v>
      </c>
      <c r="O940" t="n">
        <v>14</v>
      </c>
      <c r="P940" t="n">
        <v>968</v>
      </c>
      <c r="Q940" t="n">
        <v>1002</v>
      </c>
      <c r="R940" t="n">
        <v>9.521000000000001</v>
      </c>
      <c r="S940" t="n">
        <v>179.468</v>
      </c>
      <c r="T940" t="n">
        <v>18.849</v>
      </c>
      <c r="U940" t="n">
        <v>0.7783</v>
      </c>
      <c r="V940" t="b">
        <v>1</v>
      </c>
      <c r="X940" t="b">
        <v>0</v>
      </c>
      <c r="Y940" t="inlineStr">
        <is>
          <t>FLAS</t>
        </is>
      </c>
      <c r="Z940" t="n">
        <v>935</v>
      </c>
      <c r="AA940" t="n">
        <v>2.5</v>
      </c>
      <c r="AB940" t="n">
        <v>9.5</v>
      </c>
    </row>
    <row r="941">
      <c r="A941" t="inlineStr">
        <is>
          <t>2026-09-24 15:20:52</t>
        </is>
      </c>
      <c r="B941" t="inlineStr">
        <is>
          <t>MLLB_000_y1.0.3</t>
        </is>
      </c>
      <c r="C941" t="inlineStr">
        <is>
          <t>WHITE</t>
        </is>
      </c>
      <c r="D941" t="inlineStr">
        <is>
          <t>v4_white_MLLB_000_y103_0924</t>
        </is>
      </c>
      <c r="E941" t="n">
        <v>3.4</v>
      </c>
      <c r="F941" t="n">
        <v>3.408</v>
      </c>
      <c r="G941" t="n">
        <v>10</v>
      </c>
      <c r="H941" t="n">
        <v>100</v>
      </c>
      <c r="J941" t="inlineStr">
        <is>
          <t>bitti</t>
        </is>
      </c>
      <c r="K941" t="b">
        <v>0</v>
      </c>
      <c r="Z941" t="n">
        <v>935</v>
      </c>
      <c r="AA941" t="n">
        <v>2.5</v>
      </c>
      <c r="AB941" t="n">
        <v>9.5</v>
      </c>
    </row>
    <row r="942">
      <c r="A942" t="inlineStr">
        <is>
          <t>2026-09-24 15:21:08</t>
        </is>
      </c>
      <c r="B942" t="inlineStr">
        <is>
          <t>MLLB_000_y1.0.3</t>
        </is>
      </c>
      <c r="C942" t="inlineStr">
        <is>
          <t>WHITE</t>
        </is>
      </c>
      <c r="D942" t="inlineStr">
        <is>
          <t>v4_white_MLLB_000_y103_0924</t>
        </is>
      </c>
      <c r="E942" t="n">
        <v>3.4</v>
      </c>
      <c r="F942" t="n">
        <v>3.408</v>
      </c>
      <c r="G942" t="n">
        <v>10</v>
      </c>
      <c r="H942" t="n">
        <v>80</v>
      </c>
      <c r="I942" t="n">
        <v>12</v>
      </c>
      <c r="J942" t="inlineStr">
        <is>
          <t>kaba</t>
        </is>
      </c>
      <c r="K942" t="b">
        <v>1</v>
      </c>
      <c r="M942" t="n">
        <v>184</v>
      </c>
      <c r="N942" t="n">
        <v>36</v>
      </c>
      <c r="O942" t="n">
        <v>162</v>
      </c>
      <c r="P942" t="n">
        <v>818</v>
      </c>
      <c r="Q942" t="n">
        <v>1002</v>
      </c>
      <c r="R942" t="n">
        <v>1.078</v>
      </c>
      <c r="S942" t="n">
        <v>20.22</v>
      </c>
      <c r="T942" t="n">
        <v>18.761</v>
      </c>
      <c r="U942" t="n">
        <v>0.7789</v>
      </c>
      <c r="V942" t="b">
        <v>1</v>
      </c>
      <c r="X942" t="b">
        <v>0</v>
      </c>
      <c r="Y942" t="inlineStr">
        <is>
          <t>ON</t>
        </is>
      </c>
      <c r="Z942" t="n">
        <v>935</v>
      </c>
      <c r="AA942" t="n">
        <v>2.5</v>
      </c>
      <c r="AB942" t="n">
        <v>9.5</v>
      </c>
    </row>
    <row r="943">
      <c r="A943" t="inlineStr">
        <is>
          <t>2026-09-24 15:21:24</t>
        </is>
      </c>
      <c r="B943" t="inlineStr">
        <is>
          <t>MLLB_000_y1.0.3</t>
        </is>
      </c>
      <c r="C943" t="inlineStr">
        <is>
          <t>WHITE</t>
        </is>
      </c>
      <c r="D943" t="inlineStr">
        <is>
          <t>v4_white_MLLB_000_y103_0924</t>
        </is>
      </c>
      <c r="E943" t="n">
        <v>3.4</v>
      </c>
      <c r="F943" t="n">
        <v>3.408</v>
      </c>
      <c r="G943" t="n">
        <v>10</v>
      </c>
      <c r="H943" t="n">
        <v>80</v>
      </c>
      <c r="I943" t="n">
        <v>16</v>
      </c>
      <c r="J943" t="inlineStr">
        <is>
          <t>kaba</t>
        </is>
      </c>
      <c r="K943" t="b">
        <v>1</v>
      </c>
      <c r="M943" t="n">
        <v>150</v>
      </c>
      <c r="N943" t="n">
        <v>34</v>
      </c>
      <c r="O943" t="n">
        <v>128</v>
      </c>
      <c r="P943" t="n">
        <v>852</v>
      </c>
      <c r="Q943" t="n">
        <v>1002</v>
      </c>
      <c r="R943" t="n">
        <v>1.076</v>
      </c>
      <c r="S943" t="n">
        <v>20.22</v>
      </c>
      <c r="T943" t="n">
        <v>18.79</v>
      </c>
      <c r="U943" t="n">
        <v>0.7792</v>
      </c>
      <c r="V943" t="b">
        <v>1</v>
      </c>
      <c r="X943" t="b">
        <v>0</v>
      </c>
      <c r="Y943" t="inlineStr">
        <is>
          <t>ON</t>
        </is>
      </c>
      <c r="Z943" t="n">
        <v>935</v>
      </c>
      <c r="AA943" t="n">
        <v>2.5</v>
      </c>
      <c r="AB943" t="n">
        <v>9.5</v>
      </c>
    </row>
    <row r="944">
      <c r="A944" t="inlineStr">
        <is>
          <t>2026-09-24 15:21:40</t>
        </is>
      </c>
      <c r="B944" t="inlineStr">
        <is>
          <t>MLLB_000_y1.0.3</t>
        </is>
      </c>
      <c r="C944" t="inlineStr">
        <is>
          <t>WHITE</t>
        </is>
      </c>
      <c r="D944" t="inlineStr">
        <is>
          <t>v4_white_MLLB_000_y103_0924</t>
        </is>
      </c>
      <c r="E944" t="n">
        <v>3.4</v>
      </c>
      <c r="F944" t="n">
        <v>3.408</v>
      </c>
      <c r="G944" t="n">
        <v>10</v>
      </c>
      <c r="H944" t="n">
        <v>80</v>
      </c>
      <c r="I944" t="n">
        <v>20</v>
      </c>
      <c r="J944" t="inlineStr">
        <is>
          <t>kaba</t>
        </is>
      </c>
      <c r="K944" t="b">
        <v>1</v>
      </c>
      <c r="M944" t="n">
        <v>116</v>
      </c>
      <c r="N944" t="n">
        <v>36</v>
      </c>
      <c r="O944" t="n">
        <v>94</v>
      </c>
      <c r="P944" t="n">
        <v>886</v>
      </c>
      <c r="Q944" t="n">
        <v>1002</v>
      </c>
      <c r="R944" t="n">
        <v>1.075</v>
      </c>
      <c r="S944" t="n">
        <v>20.22</v>
      </c>
      <c r="T944" t="n">
        <v>18.805</v>
      </c>
      <c r="U944" t="n">
        <v>0.7785</v>
      </c>
      <c r="V944" t="b">
        <v>1</v>
      </c>
      <c r="X944" t="b">
        <v>0</v>
      </c>
      <c r="Y944" t="inlineStr">
        <is>
          <t>ON</t>
        </is>
      </c>
      <c r="Z944" t="n">
        <v>935</v>
      </c>
      <c r="AA944" t="n">
        <v>2.5</v>
      </c>
      <c r="AB944" t="n">
        <v>9.5</v>
      </c>
    </row>
    <row r="945">
      <c r="A945" t="inlineStr">
        <is>
          <t>2026-09-24 15:21:55</t>
        </is>
      </c>
      <c r="B945" t="inlineStr">
        <is>
          <t>MLLB_000_y1.0.3</t>
        </is>
      </c>
      <c r="C945" t="inlineStr">
        <is>
          <t>WHITE</t>
        </is>
      </c>
      <c r="D945" t="inlineStr">
        <is>
          <t>v4_white_MLLB_000_y103_0924</t>
        </is>
      </c>
      <c r="E945" t="n">
        <v>3.4</v>
      </c>
      <c r="F945" t="n">
        <v>3.408</v>
      </c>
      <c r="G945" t="n">
        <v>10</v>
      </c>
      <c r="H945" t="n">
        <v>80</v>
      </c>
      <c r="I945" t="n">
        <v>24</v>
      </c>
      <c r="J945" t="inlineStr">
        <is>
          <t>kaba</t>
        </is>
      </c>
      <c r="K945" t="b">
        <v>1</v>
      </c>
      <c r="M945" t="n">
        <v>82</v>
      </c>
      <c r="N945" t="n">
        <v>32</v>
      </c>
      <c r="O945" t="n">
        <v>62</v>
      </c>
      <c r="P945" t="n">
        <v>920</v>
      </c>
      <c r="Q945" t="n">
        <v>1002</v>
      </c>
      <c r="R945" t="n">
        <v>1.071</v>
      </c>
      <c r="S945" t="n">
        <v>20.172</v>
      </c>
      <c r="T945" t="n">
        <v>18.843</v>
      </c>
      <c r="U945" t="n">
        <v>0.778</v>
      </c>
      <c r="V945" t="b">
        <v>1</v>
      </c>
      <c r="X945" t="b">
        <v>0</v>
      </c>
      <c r="Y945" t="inlineStr">
        <is>
          <t>ON</t>
        </is>
      </c>
      <c r="Z945" t="n">
        <v>935</v>
      </c>
      <c r="AA945" t="n">
        <v>2.5</v>
      </c>
      <c r="AB945" t="n">
        <v>9.5</v>
      </c>
    </row>
    <row r="946">
      <c r="A946" t="inlineStr">
        <is>
          <t>2026-09-24 15:22:12</t>
        </is>
      </c>
      <c r="B946" t="inlineStr">
        <is>
          <t>MLLB_000_y1.0.3</t>
        </is>
      </c>
      <c r="C946" t="inlineStr">
        <is>
          <t>WHITE</t>
        </is>
      </c>
      <c r="D946" t="inlineStr">
        <is>
          <t>v4_white_MLLB_000_y103_0924</t>
        </is>
      </c>
      <c r="E946" t="n">
        <v>3.4</v>
      </c>
      <c r="F946" t="n">
        <v>3.408</v>
      </c>
      <c r="G946" t="n">
        <v>10</v>
      </c>
      <c r="H946" t="n">
        <v>80</v>
      </c>
      <c r="I946" t="n">
        <v>28</v>
      </c>
      <c r="J946" t="inlineStr">
        <is>
          <t>kaba</t>
        </is>
      </c>
      <c r="K946" t="b">
        <v>1</v>
      </c>
      <c r="M946" t="n">
        <v>48</v>
      </c>
      <c r="N946" t="n">
        <v>38</v>
      </c>
      <c r="O946" t="n">
        <v>26</v>
      </c>
      <c r="P946" t="n">
        <v>954</v>
      </c>
      <c r="Q946" t="n">
        <v>1002</v>
      </c>
      <c r="R946" t="n">
        <v>1.07</v>
      </c>
      <c r="S946" t="n">
        <v>20.18</v>
      </c>
      <c r="T946" t="n">
        <v>18.868</v>
      </c>
      <c r="U946" t="n">
        <v>0.7785</v>
      </c>
      <c r="V946" t="b">
        <v>1</v>
      </c>
      <c r="X946" t="b">
        <v>1</v>
      </c>
      <c r="Z946" t="n">
        <v>935</v>
      </c>
      <c r="AA946" t="n">
        <v>2.5</v>
      </c>
      <c r="AB946" t="n">
        <v>9.5</v>
      </c>
    </row>
    <row r="947">
      <c r="A947" t="inlineStr">
        <is>
          <t>2026-09-24 15:22:28</t>
        </is>
      </c>
      <c r="B947" t="inlineStr">
        <is>
          <t>MLLB_000_y1.0.3</t>
        </is>
      </c>
      <c r="C947" t="inlineStr">
        <is>
          <t>WHITE</t>
        </is>
      </c>
      <c r="D947" t="inlineStr">
        <is>
          <t>v4_white_MLLB_000_y103_0924</t>
        </is>
      </c>
      <c r="E947" t="n">
        <v>3.4</v>
      </c>
      <c r="F947" t="n">
        <v>3.408</v>
      </c>
      <c r="G947" t="n">
        <v>10</v>
      </c>
      <c r="H947" t="n">
        <v>80</v>
      </c>
      <c r="I947" t="n">
        <v>32</v>
      </c>
      <c r="J947" t="inlineStr">
        <is>
          <t>kaba</t>
        </is>
      </c>
      <c r="K947" t="b">
        <v>1</v>
      </c>
      <c r="M947" t="n">
        <v>38</v>
      </c>
      <c r="N947" t="n">
        <v>28</v>
      </c>
      <c r="O947" t="n">
        <v>18</v>
      </c>
      <c r="P947" t="n">
        <v>964</v>
      </c>
      <c r="Q947" t="n">
        <v>1002</v>
      </c>
      <c r="R947" t="n">
        <v>1.461</v>
      </c>
      <c r="S947" t="n">
        <v>27.516</v>
      </c>
      <c r="T947" t="n">
        <v>18.84</v>
      </c>
      <c r="U947" t="n">
        <v>0.7782</v>
      </c>
      <c r="V947" t="b">
        <v>1</v>
      </c>
      <c r="X947" t="b">
        <v>1</v>
      </c>
      <c r="Z947" t="n">
        <v>935</v>
      </c>
      <c r="AA947" t="n">
        <v>2.5</v>
      </c>
      <c r="AB947" t="n">
        <v>9.5</v>
      </c>
    </row>
    <row r="948">
      <c r="A948" t="inlineStr">
        <is>
          <t>2026-09-24 15:22:44</t>
        </is>
      </c>
      <c r="B948" t="inlineStr">
        <is>
          <t>MLLB_000_y1.0.3</t>
        </is>
      </c>
      <c r="C948" t="inlineStr">
        <is>
          <t>WHITE</t>
        </is>
      </c>
      <c r="D948" t="inlineStr">
        <is>
          <t>v4_white_MLLB_000_y103_0924</t>
        </is>
      </c>
      <c r="E948" t="n">
        <v>3.4</v>
      </c>
      <c r="F948" t="n">
        <v>3.408</v>
      </c>
      <c r="G948" t="n">
        <v>10</v>
      </c>
      <c r="H948" t="n">
        <v>80</v>
      </c>
      <c r="I948" t="n">
        <v>36</v>
      </c>
      <c r="J948" t="inlineStr">
        <is>
          <t>kaba</t>
        </is>
      </c>
      <c r="K948" t="b">
        <v>1</v>
      </c>
      <c r="M948" t="n">
        <v>38</v>
      </c>
      <c r="N948" t="n">
        <v>28</v>
      </c>
      <c r="O948" t="n">
        <v>18</v>
      </c>
      <c r="P948" t="n">
        <v>964</v>
      </c>
      <c r="Q948" t="n">
        <v>1002</v>
      </c>
      <c r="R948" t="n">
        <v>6.587</v>
      </c>
      <c r="S948" t="n">
        <v>124.225</v>
      </c>
      <c r="T948" t="n">
        <v>18.859</v>
      </c>
      <c r="U948" t="n">
        <v>0.7786</v>
      </c>
      <c r="V948" t="b">
        <v>1</v>
      </c>
      <c r="X948" t="b">
        <v>0</v>
      </c>
      <c r="Y948" t="inlineStr">
        <is>
          <t>FLAS</t>
        </is>
      </c>
      <c r="Z948" t="n">
        <v>935</v>
      </c>
      <c r="AA948" t="n">
        <v>2.5</v>
      </c>
      <c r="AB948" t="n">
        <v>9.5</v>
      </c>
    </row>
    <row r="949">
      <c r="A949" t="inlineStr">
        <is>
          <t>2026-09-24 15:22:59</t>
        </is>
      </c>
      <c r="B949" t="inlineStr">
        <is>
          <t>MLLB_000_y1.0.3</t>
        </is>
      </c>
      <c r="C949" t="inlineStr">
        <is>
          <t>WHITE</t>
        </is>
      </c>
      <c r="D949" t="inlineStr">
        <is>
          <t>v4_white_MLLB_000_y103_0924</t>
        </is>
      </c>
      <c r="E949" t="n">
        <v>3.4</v>
      </c>
      <c r="F949" t="n">
        <v>3.408</v>
      </c>
      <c r="G949" t="n">
        <v>10</v>
      </c>
      <c r="H949" t="n">
        <v>80</v>
      </c>
      <c r="I949" t="n">
        <v>25</v>
      </c>
      <c r="J949" t="inlineStr">
        <is>
          <t>ince</t>
        </is>
      </c>
      <c r="K949" t="b">
        <v>1</v>
      </c>
      <c r="M949" t="n">
        <v>74</v>
      </c>
      <c r="N949" t="n">
        <v>34</v>
      </c>
      <c r="O949" t="n">
        <v>52</v>
      </c>
      <c r="P949" t="n">
        <v>928</v>
      </c>
      <c r="Q949" t="n">
        <v>1002</v>
      </c>
      <c r="R949" t="n">
        <v>1.074</v>
      </c>
      <c r="S949" t="n">
        <v>20.236</v>
      </c>
      <c r="T949" t="n">
        <v>18.846</v>
      </c>
      <c r="U949" t="n">
        <v>0.7779</v>
      </c>
      <c r="V949" t="b">
        <v>1</v>
      </c>
      <c r="X949" t="b">
        <v>0</v>
      </c>
      <c r="Y949" t="inlineStr">
        <is>
          <t>ON</t>
        </is>
      </c>
      <c r="Z949" t="n">
        <v>935</v>
      </c>
      <c r="AA949" t="n">
        <v>2.5</v>
      </c>
      <c r="AB949" t="n">
        <v>9.5</v>
      </c>
    </row>
    <row r="950">
      <c r="A950" t="inlineStr">
        <is>
          <t>2026-09-24 15:23:16</t>
        </is>
      </c>
      <c r="B950" t="inlineStr">
        <is>
          <t>MLLB_000_y1.0.3</t>
        </is>
      </c>
      <c r="C950" t="inlineStr">
        <is>
          <t>WHITE</t>
        </is>
      </c>
      <c r="D950" t="inlineStr">
        <is>
          <t>v4_white_MLLB_000_y103_0924</t>
        </is>
      </c>
      <c r="E950" t="n">
        <v>3.4</v>
      </c>
      <c r="F950" t="n">
        <v>3.408</v>
      </c>
      <c r="G950" t="n">
        <v>10</v>
      </c>
      <c r="H950" t="n">
        <v>80</v>
      </c>
      <c r="I950" t="n">
        <v>26</v>
      </c>
      <c r="J950" t="inlineStr">
        <is>
          <t>ince</t>
        </is>
      </c>
      <c r="K950" t="b">
        <v>1</v>
      </c>
      <c r="M950" t="n">
        <v>64</v>
      </c>
      <c r="N950" t="n">
        <v>34</v>
      </c>
      <c r="O950" t="n">
        <v>44</v>
      </c>
      <c r="P950" t="n">
        <v>938</v>
      </c>
      <c r="Q950" t="n">
        <v>1002</v>
      </c>
      <c r="R950" t="n">
        <v>1.072</v>
      </c>
      <c r="S950" t="n">
        <v>20.212</v>
      </c>
      <c r="T950" t="n">
        <v>18.859</v>
      </c>
      <c r="U950" t="n">
        <v>0.7786</v>
      </c>
      <c r="V950" t="b">
        <v>1</v>
      </c>
      <c r="X950" t="b">
        <v>1</v>
      </c>
      <c r="Z950" t="n">
        <v>935</v>
      </c>
      <c r="AA950" t="n">
        <v>2.5</v>
      </c>
      <c r="AB950" t="n">
        <v>9.5</v>
      </c>
    </row>
    <row r="951">
      <c r="A951" t="inlineStr">
        <is>
          <t>2026-09-24 15:23:32</t>
        </is>
      </c>
      <c r="B951" t="inlineStr">
        <is>
          <t>MLLB_000_y1.0.3</t>
        </is>
      </c>
      <c r="C951" t="inlineStr">
        <is>
          <t>WHITE</t>
        </is>
      </c>
      <c r="D951" t="inlineStr">
        <is>
          <t>v4_white_MLLB_000_y103_0924</t>
        </is>
      </c>
      <c r="E951" t="n">
        <v>3.4</v>
      </c>
      <c r="F951" t="n">
        <v>3.408</v>
      </c>
      <c r="G951" t="n">
        <v>10</v>
      </c>
      <c r="H951" t="n">
        <v>80</v>
      </c>
      <c r="I951" t="n">
        <v>27</v>
      </c>
      <c r="J951" t="inlineStr">
        <is>
          <t>ince</t>
        </is>
      </c>
      <c r="K951" t="b">
        <v>1</v>
      </c>
      <c r="M951" t="n">
        <v>56</v>
      </c>
      <c r="N951" t="n">
        <v>36</v>
      </c>
      <c r="O951" t="n">
        <v>34</v>
      </c>
      <c r="P951" t="n">
        <v>946</v>
      </c>
      <c r="Q951" t="n">
        <v>1002</v>
      </c>
      <c r="R951" t="n">
        <v>1.074</v>
      </c>
      <c r="S951" t="n">
        <v>20.268</v>
      </c>
      <c r="T951" t="n">
        <v>18.872</v>
      </c>
      <c r="U951" t="n">
        <v>0.7783</v>
      </c>
      <c r="V951" t="b">
        <v>1</v>
      </c>
      <c r="X951" t="b">
        <v>1</v>
      </c>
      <c r="Z951" t="n">
        <v>935</v>
      </c>
      <c r="AA951" t="n">
        <v>2.5</v>
      </c>
      <c r="AB951" t="n">
        <v>9.5</v>
      </c>
    </row>
    <row r="952">
      <c r="A952" t="inlineStr">
        <is>
          <t>2026-09-24 15:23:32</t>
        </is>
      </c>
      <c r="B952" t="inlineStr">
        <is>
          <t>MLLB_000_y1.0.3</t>
        </is>
      </c>
      <c r="C952" t="inlineStr">
        <is>
          <t>WHITE</t>
        </is>
      </c>
      <c r="D952" t="inlineStr">
        <is>
          <t>v4_white_MLLB_000_y103_0924</t>
        </is>
      </c>
      <c r="E952" t="n">
        <v>3.4</v>
      </c>
      <c r="F952" t="n">
        <v>3.408</v>
      </c>
      <c r="G952" t="n">
        <v>10</v>
      </c>
      <c r="H952" t="n">
        <v>80</v>
      </c>
      <c r="I952" t="n">
        <v>29</v>
      </c>
      <c r="J952" t="inlineStr">
        <is>
          <t>ince</t>
        </is>
      </c>
      <c r="K952" t="b">
        <v>0</v>
      </c>
      <c r="L952" t="inlineStr">
        <is>
          <t>iki-OK-arasi-monotonluk</t>
        </is>
      </c>
      <c r="X952" t="b">
        <v>1</v>
      </c>
      <c r="Z952" t="n">
        <v>935</v>
      </c>
      <c r="AA952" t="n">
        <v>2.5</v>
      </c>
      <c r="AB952" t="n">
        <v>9.5</v>
      </c>
    </row>
    <row r="953">
      <c r="A953" t="inlineStr">
        <is>
          <t>2026-09-24 15:23:32</t>
        </is>
      </c>
      <c r="B953" t="inlineStr">
        <is>
          <t>MLLB_000_y1.0.3</t>
        </is>
      </c>
      <c r="C953" t="inlineStr">
        <is>
          <t>WHITE</t>
        </is>
      </c>
      <c r="D953" t="inlineStr">
        <is>
          <t>v4_white_MLLB_000_y103_0924</t>
        </is>
      </c>
      <c r="E953" t="n">
        <v>3.4</v>
      </c>
      <c r="F953" t="n">
        <v>3.408</v>
      </c>
      <c r="G953" t="n">
        <v>10</v>
      </c>
      <c r="H953" t="n">
        <v>80</v>
      </c>
      <c r="I953" t="n">
        <v>30</v>
      </c>
      <c r="J953" t="inlineStr">
        <is>
          <t>ince</t>
        </is>
      </c>
      <c r="K953" t="b">
        <v>0</v>
      </c>
      <c r="L953" t="inlineStr">
        <is>
          <t>iki-OK-arasi-monotonluk</t>
        </is>
      </c>
      <c r="X953" t="b">
        <v>1</v>
      </c>
      <c r="Z953" t="n">
        <v>935</v>
      </c>
      <c r="AA953" t="n">
        <v>2.5</v>
      </c>
      <c r="AB953" t="n">
        <v>9.5</v>
      </c>
    </row>
    <row r="954">
      <c r="A954" t="inlineStr">
        <is>
          <t>2026-09-24 15:23:32</t>
        </is>
      </c>
      <c r="B954" t="inlineStr">
        <is>
          <t>MLLB_000_y1.0.3</t>
        </is>
      </c>
      <c r="C954" t="inlineStr">
        <is>
          <t>WHITE</t>
        </is>
      </c>
      <c r="D954" t="inlineStr">
        <is>
          <t>v4_white_MLLB_000_y103_0924</t>
        </is>
      </c>
      <c r="E954" t="n">
        <v>3.4</v>
      </c>
      <c r="F954" t="n">
        <v>3.408</v>
      </c>
      <c r="G954" t="n">
        <v>10</v>
      </c>
      <c r="H954" t="n">
        <v>80</v>
      </c>
      <c r="I954" t="n">
        <v>31</v>
      </c>
      <c r="J954" t="inlineStr">
        <is>
          <t>ince</t>
        </is>
      </c>
      <c r="K954" t="b">
        <v>0</v>
      </c>
      <c r="L954" t="inlineStr">
        <is>
          <t>iki-OK-arasi-monotonluk</t>
        </is>
      </c>
      <c r="X954" t="b">
        <v>1</v>
      </c>
      <c r="Z954" t="n">
        <v>935</v>
      </c>
      <c r="AA954" t="n">
        <v>2.5</v>
      </c>
      <c r="AB954" t="n">
        <v>9.5</v>
      </c>
    </row>
    <row r="955">
      <c r="A955" t="inlineStr">
        <is>
          <t>2026-09-24 15:23:48</t>
        </is>
      </c>
      <c r="B955" t="inlineStr">
        <is>
          <t>MLLB_000_y1.0.3</t>
        </is>
      </c>
      <c r="C955" t="inlineStr">
        <is>
          <t>WHITE</t>
        </is>
      </c>
      <c r="D955" t="inlineStr">
        <is>
          <t>v4_white_MLLB_000_y103_0924</t>
        </is>
      </c>
      <c r="E955" t="n">
        <v>3.4</v>
      </c>
      <c r="F955" t="n">
        <v>3.408</v>
      </c>
      <c r="G955" t="n">
        <v>10</v>
      </c>
      <c r="H955" t="n">
        <v>80</v>
      </c>
      <c r="I955" t="n">
        <v>33</v>
      </c>
      <c r="J955" t="inlineStr">
        <is>
          <t>ince</t>
        </is>
      </c>
      <c r="K955" t="b">
        <v>1</v>
      </c>
      <c r="M955" t="n">
        <v>38</v>
      </c>
      <c r="N955" t="n">
        <v>28</v>
      </c>
      <c r="O955" t="n">
        <v>18</v>
      </c>
      <c r="P955" t="n">
        <v>964</v>
      </c>
      <c r="Q955" t="n">
        <v>1002</v>
      </c>
      <c r="R955" t="n">
        <v>1.747</v>
      </c>
      <c r="S955" t="n">
        <v>32.946</v>
      </c>
      <c r="T955" t="n">
        <v>18.864</v>
      </c>
      <c r="U955" t="n">
        <v>0.7786</v>
      </c>
      <c r="V955" t="b">
        <v>1</v>
      </c>
      <c r="X955" t="b">
        <v>1</v>
      </c>
      <c r="Z955" t="n">
        <v>935</v>
      </c>
      <c r="AA955" t="n">
        <v>2.5</v>
      </c>
      <c r="AB955" t="n">
        <v>9.5</v>
      </c>
    </row>
    <row r="956">
      <c r="A956" t="inlineStr">
        <is>
          <t>2026-09-24 15:24:03</t>
        </is>
      </c>
      <c r="B956" t="inlineStr">
        <is>
          <t>MLLB_000_y1.0.3</t>
        </is>
      </c>
      <c r="C956" t="inlineStr">
        <is>
          <t>WHITE</t>
        </is>
      </c>
      <c r="D956" t="inlineStr">
        <is>
          <t>v4_white_MLLB_000_y103_0924</t>
        </is>
      </c>
      <c r="E956" t="n">
        <v>3.4</v>
      </c>
      <c r="F956" t="n">
        <v>3.408</v>
      </c>
      <c r="G956" t="n">
        <v>10</v>
      </c>
      <c r="H956" t="n">
        <v>80</v>
      </c>
      <c r="I956" t="n">
        <v>34</v>
      </c>
      <c r="J956" t="inlineStr">
        <is>
          <t>ince</t>
        </is>
      </c>
      <c r="K956" t="b">
        <v>1</v>
      </c>
      <c r="M956" t="n">
        <v>38</v>
      </c>
      <c r="N956" t="n">
        <v>28</v>
      </c>
      <c r="O956" t="n">
        <v>18</v>
      </c>
      <c r="P956" t="n">
        <v>964</v>
      </c>
      <c r="Q956" t="n">
        <v>1002</v>
      </c>
      <c r="R956" t="n">
        <v>2.164</v>
      </c>
      <c r="S956" t="n">
        <v>40.829</v>
      </c>
      <c r="T956" t="n">
        <v>18.871</v>
      </c>
      <c r="U956" t="n">
        <v>0.7784</v>
      </c>
      <c r="V956" t="b">
        <v>1</v>
      </c>
      <c r="X956" t="b">
        <v>1</v>
      </c>
      <c r="Z956" t="n">
        <v>935</v>
      </c>
      <c r="AA956" t="n">
        <v>2.5</v>
      </c>
      <c r="AB956" t="n">
        <v>9.5</v>
      </c>
    </row>
    <row r="957">
      <c r="A957" t="inlineStr">
        <is>
          <t>2026-09-24 15:24:20</t>
        </is>
      </c>
      <c r="B957" t="inlineStr">
        <is>
          <t>MLLB_000_y1.0.3</t>
        </is>
      </c>
      <c r="C957" t="inlineStr">
        <is>
          <t>WHITE</t>
        </is>
      </c>
      <c r="D957" t="inlineStr">
        <is>
          <t>v4_white_MLLB_000_y103_0924</t>
        </is>
      </c>
      <c r="E957" t="n">
        <v>3.4</v>
      </c>
      <c r="F957" t="n">
        <v>3.408</v>
      </c>
      <c r="G957" t="n">
        <v>10</v>
      </c>
      <c r="H957" t="n">
        <v>80</v>
      </c>
      <c r="I957" t="n">
        <v>35</v>
      </c>
      <c r="J957" t="inlineStr">
        <is>
          <t>ince</t>
        </is>
      </c>
      <c r="K957" t="b">
        <v>1</v>
      </c>
      <c r="M957" t="n">
        <v>38</v>
      </c>
      <c r="N957" t="n">
        <v>28</v>
      </c>
      <c r="O957" t="n">
        <v>18</v>
      </c>
      <c r="P957" t="n">
        <v>964</v>
      </c>
      <c r="Q957" t="n">
        <v>1002</v>
      </c>
      <c r="R957" t="n">
        <v>4.098</v>
      </c>
      <c r="S957" t="n">
        <v>77.40300000000001</v>
      </c>
      <c r="T957" t="n">
        <v>18.888</v>
      </c>
      <c r="U957" t="n">
        <v>0.778</v>
      </c>
      <c r="V957" t="b">
        <v>1</v>
      </c>
      <c r="X957" t="b">
        <v>0</v>
      </c>
      <c r="Y957" t="inlineStr">
        <is>
          <t>FLAS</t>
        </is>
      </c>
      <c r="Z957" t="n">
        <v>935</v>
      </c>
      <c r="AA957" t="n">
        <v>2.5</v>
      </c>
      <c r="AB957" t="n">
        <v>9.5</v>
      </c>
    </row>
    <row r="958">
      <c r="A958" t="inlineStr">
        <is>
          <t>2026-09-24 15:24:20</t>
        </is>
      </c>
      <c r="B958" t="inlineStr">
        <is>
          <t>MLLB_000_y1.0.3</t>
        </is>
      </c>
      <c r="C958" t="inlineStr">
        <is>
          <t>WHITE</t>
        </is>
      </c>
      <c r="D958" t="inlineStr">
        <is>
          <t>v4_white_MLLB_000_y103_0924</t>
        </is>
      </c>
      <c r="E958" t="n">
        <v>3.4</v>
      </c>
      <c r="F958" t="n">
        <v>3.408</v>
      </c>
      <c r="G958" t="n">
        <v>10</v>
      </c>
      <c r="H958" t="n">
        <v>80</v>
      </c>
      <c r="J958" t="inlineStr">
        <is>
          <t>bitti</t>
        </is>
      </c>
      <c r="K958" t="b">
        <v>0</v>
      </c>
      <c r="Z958" t="n">
        <v>935</v>
      </c>
      <c r="AA958" t="n">
        <v>2.5</v>
      </c>
      <c r="AB958" t="n">
        <v>9.5</v>
      </c>
    </row>
    <row r="959">
      <c r="A959" t="inlineStr">
        <is>
          <t>2026-09-24 15:24:36</t>
        </is>
      </c>
      <c r="B959" t="inlineStr">
        <is>
          <t>MLLB_000_y1.0.3</t>
        </is>
      </c>
      <c r="C959" t="inlineStr">
        <is>
          <t>WHITE</t>
        </is>
      </c>
      <c r="D959" t="inlineStr">
        <is>
          <t>v4_white_MLLB_000_y103_0924</t>
        </is>
      </c>
      <c r="E959" t="n">
        <v>3.4</v>
      </c>
      <c r="F959" t="n">
        <v>3.408</v>
      </c>
      <c r="G959" t="n">
        <v>10</v>
      </c>
      <c r="H959" t="n">
        <v>60</v>
      </c>
      <c r="I959" t="n">
        <v>12</v>
      </c>
      <c r="J959" t="inlineStr">
        <is>
          <t>kaba</t>
        </is>
      </c>
      <c r="K959" t="b">
        <v>1</v>
      </c>
      <c r="M959" t="n">
        <v>208</v>
      </c>
      <c r="N959" t="n">
        <v>38</v>
      </c>
      <c r="O959" t="n">
        <v>186</v>
      </c>
      <c r="P959" t="n">
        <v>794</v>
      </c>
      <c r="Q959" t="n">
        <v>1002</v>
      </c>
      <c r="R959" t="n">
        <v>1.083</v>
      </c>
      <c r="S959" t="n">
        <v>20.292</v>
      </c>
      <c r="T959" t="n">
        <v>18.742</v>
      </c>
      <c r="U959" t="n">
        <v>0.778</v>
      </c>
      <c r="V959" t="b">
        <v>1</v>
      </c>
      <c r="X959" t="b">
        <v>0</v>
      </c>
      <c r="Y959" t="inlineStr">
        <is>
          <t>ON</t>
        </is>
      </c>
      <c r="Z959" t="n">
        <v>935</v>
      </c>
      <c r="AA959" t="n">
        <v>2.5</v>
      </c>
      <c r="AB959" t="n">
        <v>9.5</v>
      </c>
    </row>
    <row r="960">
      <c r="A960" t="inlineStr">
        <is>
          <t>2026-09-24 15:24:51</t>
        </is>
      </c>
      <c r="B960" t="inlineStr">
        <is>
          <t>MLLB_000_y1.0.3</t>
        </is>
      </c>
      <c r="C960" t="inlineStr">
        <is>
          <t>WHITE</t>
        </is>
      </c>
      <c r="D960" t="inlineStr">
        <is>
          <t>v4_white_MLLB_000_y103_0924</t>
        </is>
      </c>
      <c r="E960" t="n">
        <v>3.4</v>
      </c>
      <c r="F960" t="n">
        <v>3.408</v>
      </c>
      <c r="G960" t="n">
        <v>10</v>
      </c>
      <c r="H960" t="n">
        <v>60</v>
      </c>
      <c r="I960" t="n">
        <v>16</v>
      </c>
      <c r="J960" t="inlineStr">
        <is>
          <t>kaba</t>
        </is>
      </c>
      <c r="K960" t="b">
        <v>1</v>
      </c>
      <c r="M960" t="n">
        <v>184</v>
      </c>
      <c r="N960" t="n">
        <v>36</v>
      </c>
      <c r="O960" t="n">
        <v>162</v>
      </c>
      <c r="P960" t="n">
        <v>818</v>
      </c>
      <c r="Q960" t="n">
        <v>1002</v>
      </c>
      <c r="R960" t="n">
        <v>1.081</v>
      </c>
      <c r="S960" t="n">
        <v>20.268</v>
      </c>
      <c r="T960" t="n">
        <v>18.757</v>
      </c>
      <c r="U960" t="n">
        <v>0.7776</v>
      </c>
      <c r="V960" t="b">
        <v>1</v>
      </c>
      <c r="X960" t="b">
        <v>0</v>
      </c>
      <c r="Y960" t="inlineStr">
        <is>
          <t>ON</t>
        </is>
      </c>
      <c r="Z960" t="n">
        <v>935</v>
      </c>
      <c r="AA960" t="n">
        <v>2.5</v>
      </c>
      <c r="AB960" t="n">
        <v>9.5</v>
      </c>
    </row>
    <row r="961">
      <c r="A961" t="inlineStr">
        <is>
          <t>2026-09-24 15:25:08</t>
        </is>
      </c>
      <c r="B961" t="inlineStr">
        <is>
          <t>MLLB_000_y1.0.3</t>
        </is>
      </c>
      <c r="C961" t="inlineStr">
        <is>
          <t>WHITE</t>
        </is>
      </c>
      <c r="D961" t="inlineStr">
        <is>
          <t>v4_white_MLLB_000_y103_0924</t>
        </is>
      </c>
      <c r="E961" t="n">
        <v>3.4</v>
      </c>
      <c r="F961" t="n">
        <v>3.408</v>
      </c>
      <c r="G961" t="n">
        <v>10</v>
      </c>
      <c r="H961" t="n">
        <v>60</v>
      </c>
      <c r="I961" t="n">
        <v>20</v>
      </c>
      <c r="J961" t="inlineStr">
        <is>
          <t>kaba</t>
        </is>
      </c>
      <c r="K961" t="b">
        <v>1</v>
      </c>
      <c r="M961" t="n">
        <v>160</v>
      </c>
      <c r="N961" t="n">
        <v>38</v>
      </c>
      <c r="O961" t="n">
        <v>138</v>
      </c>
      <c r="P961" t="n">
        <v>842</v>
      </c>
      <c r="Q961" t="n">
        <v>1002</v>
      </c>
      <c r="R961" t="n">
        <v>1.078</v>
      </c>
      <c r="S961" t="n">
        <v>20.268</v>
      </c>
      <c r="T961" t="n">
        <v>18.802</v>
      </c>
      <c r="U961" t="n">
        <v>0.778</v>
      </c>
      <c r="V961" t="b">
        <v>1</v>
      </c>
      <c r="X961" t="b">
        <v>0</v>
      </c>
      <c r="Y961" t="inlineStr">
        <is>
          <t>ON</t>
        </is>
      </c>
      <c r="Z961" t="n">
        <v>935</v>
      </c>
      <c r="AA961" t="n">
        <v>2.5</v>
      </c>
      <c r="AB961" t="n">
        <v>9.5</v>
      </c>
    </row>
    <row r="962">
      <c r="A962" t="inlineStr">
        <is>
          <t>2026-09-24 15:25:24</t>
        </is>
      </c>
      <c r="B962" t="inlineStr">
        <is>
          <t>MLLB_000_y1.0.3</t>
        </is>
      </c>
      <c r="C962" t="inlineStr">
        <is>
          <t>WHITE</t>
        </is>
      </c>
      <c r="D962" t="inlineStr">
        <is>
          <t>v4_white_MLLB_000_y103_0924</t>
        </is>
      </c>
      <c r="E962" t="n">
        <v>3.4</v>
      </c>
      <c r="F962" t="n">
        <v>3.408</v>
      </c>
      <c r="G962" t="n">
        <v>10</v>
      </c>
      <c r="H962" t="n">
        <v>60</v>
      </c>
      <c r="I962" t="n">
        <v>24</v>
      </c>
      <c r="J962" t="inlineStr">
        <is>
          <t>kaba</t>
        </is>
      </c>
      <c r="K962" t="b">
        <v>1</v>
      </c>
      <c r="M962" t="n">
        <v>134</v>
      </c>
      <c r="N962" t="n">
        <v>32</v>
      </c>
      <c r="O962" t="n">
        <v>114</v>
      </c>
      <c r="P962" t="n">
        <v>868</v>
      </c>
      <c r="Q962" t="n">
        <v>1002</v>
      </c>
      <c r="R962" t="n">
        <v>1.079</v>
      </c>
      <c r="S962" t="n">
        <v>20.268</v>
      </c>
      <c r="T962" t="n">
        <v>18.792</v>
      </c>
      <c r="U962" t="n">
        <v>0.7776</v>
      </c>
      <c r="V962" t="b">
        <v>1</v>
      </c>
      <c r="X962" t="b">
        <v>0</v>
      </c>
      <c r="Y962" t="inlineStr">
        <is>
          <t>ON</t>
        </is>
      </c>
      <c r="Z962" t="n">
        <v>935</v>
      </c>
      <c r="AA962" t="n">
        <v>2.5</v>
      </c>
      <c r="AB962" t="n">
        <v>9.5</v>
      </c>
    </row>
    <row r="963">
      <c r="A963" t="inlineStr">
        <is>
          <t>2026-09-24 15:25:39</t>
        </is>
      </c>
      <c r="B963" t="inlineStr">
        <is>
          <t>MLLB_000_y1.0.3</t>
        </is>
      </c>
      <c r="C963" t="inlineStr">
        <is>
          <t>WHITE</t>
        </is>
      </c>
      <c r="D963" t="inlineStr">
        <is>
          <t>v4_white_MLLB_000_y103_0924</t>
        </is>
      </c>
      <c r="E963" t="n">
        <v>3.4</v>
      </c>
      <c r="F963" t="n">
        <v>3.408</v>
      </c>
      <c r="G963" t="n">
        <v>10</v>
      </c>
      <c r="H963" t="n">
        <v>60</v>
      </c>
      <c r="I963" t="n">
        <v>28</v>
      </c>
      <c r="J963" t="inlineStr">
        <is>
          <t>kaba</t>
        </is>
      </c>
      <c r="K963" t="b">
        <v>1</v>
      </c>
      <c r="M963" t="n">
        <v>112</v>
      </c>
      <c r="N963" t="n">
        <v>32</v>
      </c>
      <c r="O963" t="n">
        <v>90</v>
      </c>
      <c r="P963" t="n">
        <v>890</v>
      </c>
      <c r="Q963" t="n">
        <v>1002</v>
      </c>
      <c r="R963" t="n">
        <v>1.075</v>
      </c>
      <c r="S963" t="n">
        <v>20.245</v>
      </c>
      <c r="T963" t="n">
        <v>18.828</v>
      </c>
      <c r="U963" t="n">
        <v>0.7782</v>
      </c>
      <c r="V963" t="b">
        <v>1</v>
      </c>
      <c r="X963" t="b">
        <v>0</v>
      </c>
      <c r="Y963" t="inlineStr">
        <is>
          <t>ON</t>
        </is>
      </c>
      <c r="Z963" t="n">
        <v>935</v>
      </c>
      <c r="AA963" t="n">
        <v>2.5</v>
      </c>
      <c r="AB963" t="n">
        <v>9.5</v>
      </c>
    </row>
    <row r="964">
      <c r="A964" t="inlineStr">
        <is>
          <t>2026-09-24 15:25:56</t>
        </is>
      </c>
      <c r="B964" t="inlineStr">
        <is>
          <t>MLLB_000_y1.0.3</t>
        </is>
      </c>
      <c r="C964" t="inlineStr">
        <is>
          <t>WHITE</t>
        </is>
      </c>
      <c r="D964" t="inlineStr">
        <is>
          <t>v4_white_MLLB_000_y103_0924</t>
        </is>
      </c>
      <c r="E964" t="n">
        <v>3.4</v>
      </c>
      <c r="F964" t="n">
        <v>3.408</v>
      </c>
      <c r="G964" t="n">
        <v>10</v>
      </c>
      <c r="H964" t="n">
        <v>60</v>
      </c>
      <c r="I964" t="n">
        <v>32</v>
      </c>
      <c r="J964" t="inlineStr">
        <is>
          <t>kaba</t>
        </is>
      </c>
      <c r="K964" t="b">
        <v>1</v>
      </c>
      <c r="M964" t="n">
        <v>86</v>
      </c>
      <c r="N964" t="n">
        <v>34</v>
      </c>
      <c r="O964" t="n">
        <v>64</v>
      </c>
      <c r="P964" t="n">
        <v>916</v>
      </c>
      <c r="Q964" t="n">
        <v>1002</v>
      </c>
      <c r="R964" t="n">
        <v>1.074</v>
      </c>
      <c r="S964" t="n">
        <v>20.251</v>
      </c>
      <c r="T964" t="n">
        <v>18.849</v>
      </c>
      <c r="U964" t="n">
        <v>0.7779</v>
      </c>
      <c r="V964" t="b">
        <v>1</v>
      </c>
      <c r="X964" t="b">
        <v>0</v>
      </c>
      <c r="Y964" t="inlineStr">
        <is>
          <t>ON</t>
        </is>
      </c>
      <c r="Z964" t="n">
        <v>935</v>
      </c>
      <c r="AA964" t="n">
        <v>2.5</v>
      </c>
      <c r="AB964" t="n">
        <v>9.5</v>
      </c>
    </row>
    <row r="965">
      <c r="A965" t="inlineStr">
        <is>
          <t>2026-09-24 15:26:12</t>
        </is>
      </c>
      <c r="B965" t="inlineStr">
        <is>
          <t>MLLB_000_y1.0.3</t>
        </is>
      </c>
      <c r="C965" t="inlineStr">
        <is>
          <t>WHITE</t>
        </is>
      </c>
      <c r="D965" t="inlineStr">
        <is>
          <t>v4_white_MLLB_000_y103_0924</t>
        </is>
      </c>
      <c r="E965" t="n">
        <v>3.4</v>
      </c>
      <c r="F965" t="n">
        <v>3.408</v>
      </c>
      <c r="G965" t="n">
        <v>10</v>
      </c>
      <c r="H965" t="n">
        <v>60</v>
      </c>
      <c r="I965" t="n">
        <v>36</v>
      </c>
      <c r="J965" t="inlineStr">
        <is>
          <t>kaba</t>
        </is>
      </c>
      <c r="K965" t="b">
        <v>1</v>
      </c>
      <c r="M965" t="n">
        <v>60</v>
      </c>
      <c r="N965" t="n">
        <v>36</v>
      </c>
      <c r="O965" t="n">
        <v>38</v>
      </c>
      <c r="P965" t="n">
        <v>942</v>
      </c>
      <c r="Q965" t="n">
        <v>1002</v>
      </c>
      <c r="R965" t="n">
        <v>1.074</v>
      </c>
      <c r="S965" t="n">
        <v>20.252</v>
      </c>
      <c r="T965" t="n">
        <v>18.855</v>
      </c>
      <c r="U965" t="n">
        <v>0.7785</v>
      </c>
      <c r="V965" t="b">
        <v>1</v>
      </c>
      <c r="X965" t="b">
        <v>1</v>
      </c>
      <c r="Z965" t="n">
        <v>935</v>
      </c>
      <c r="AA965" t="n">
        <v>2.5</v>
      </c>
      <c r="AB965" t="n">
        <v>9.5</v>
      </c>
    </row>
    <row r="966">
      <c r="A966" t="inlineStr">
        <is>
          <t>2026-09-24 15:26:28</t>
        </is>
      </c>
      <c r="B966" t="inlineStr">
        <is>
          <t>MLLB_000_y1.0.3</t>
        </is>
      </c>
      <c r="C966" t="inlineStr">
        <is>
          <t>WHITE</t>
        </is>
      </c>
      <c r="D966" t="inlineStr">
        <is>
          <t>v4_white_MLLB_000_y103_0924</t>
        </is>
      </c>
      <c r="E966" t="n">
        <v>3.4</v>
      </c>
      <c r="F966" t="n">
        <v>3.408</v>
      </c>
      <c r="G966" t="n">
        <v>10</v>
      </c>
      <c r="H966" t="n">
        <v>60</v>
      </c>
      <c r="I966" t="n">
        <v>40</v>
      </c>
      <c r="J966" t="inlineStr">
        <is>
          <t>kaba</t>
        </is>
      </c>
      <c r="K966" t="b">
        <v>1</v>
      </c>
      <c r="M966" t="n">
        <v>46</v>
      </c>
      <c r="N966" t="n">
        <v>28</v>
      </c>
      <c r="O966" t="n">
        <v>26</v>
      </c>
      <c r="P966" t="n">
        <v>956</v>
      </c>
      <c r="Q966" t="n">
        <v>1002</v>
      </c>
      <c r="R966" t="n">
        <v>1.072</v>
      </c>
      <c r="S966" t="n">
        <v>20.22</v>
      </c>
      <c r="T966" t="n">
        <v>18.861</v>
      </c>
      <c r="U966" t="n">
        <v>0.7778</v>
      </c>
      <c r="V966" t="b">
        <v>1</v>
      </c>
      <c r="X966" t="b">
        <v>1</v>
      </c>
      <c r="Z966" t="n">
        <v>935</v>
      </c>
      <c r="AA966" t="n">
        <v>2.5</v>
      </c>
      <c r="AB966" t="n">
        <v>9.5</v>
      </c>
    </row>
    <row r="967">
      <c r="A967" t="inlineStr">
        <is>
          <t>2026-09-24 15:26:44</t>
        </is>
      </c>
      <c r="B967" t="inlineStr">
        <is>
          <t>MLLB_000_y1.0.3</t>
        </is>
      </c>
      <c r="C967" t="inlineStr">
        <is>
          <t>WHITE</t>
        </is>
      </c>
      <c r="D967" t="inlineStr">
        <is>
          <t>v4_white_MLLB_000_y103_0924</t>
        </is>
      </c>
      <c r="E967" t="n">
        <v>3.4</v>
      </c>
      <c r="F967" t="n">
        <v>3.408</v>
      </c>
      <c r="G967" t="n">
        <v>10</v>
      </c>
      <c r="H967" t="n">
        <v>60</v>
      </c>
      <c r="I967" t="n">
        <v>44</v>
      </c>
      <c r="J967" t="inlineStr">
        <is>
          <t>kaba</t>
        </is>
      </c>
      <c r="K967" t="b">
        <v>1</v>
      </c>
      <c r="M967" t="n">
        <v>46</v>
      </c>
      <c r="N967" t="n">
        <v>28</v>
      </c>
      <c r="O967" t="n">
        <v>26</v>
      </c>
      <c r="P967" t="n">
        <v>956</v>
      </c>
      <c r="Q967" t="n">
        <v>1002</v>
      </c>
      <c r="R967" t="n">
        <v>1.763</v>
      </c>
      <c r="S967" t="n">
        <v>33.252</v>
      </c>
      <c r="T967" t="n">
        <v>18.861</v>
      </c>
      <c r="U967" t="n">
        <v>0.7784</v>
      </c>
      <c r="V967" t="b">
        <v>1</v>
      </c>
      <c r="X967" t="b">
        <v>1</v>
      </c>
      <c r="Z967" t="n">
        <v>935</v>
      </c>
      <c r="AA967" t="n">
        <v>2.5</v>
      </c>
      <c r="AB967" t="n">
        <v>9.5</v>
      </c>
    </row>
    <row r="968">
      <c r="A968" t="inlineStr">
        <is>
          <t>2026-09-24 15:26:56</t>
        </is>
      </c>
      <c r="B968" t="inlineStr">
        <is>
          <t>MLLB_000_y1.0.3</t>
        </is>
      </c>
      <c r="C968" t="inlineStr">
        <is>
          <t>WHITE</t>
        </is>
      </c>
      <c r="D968" t="inlineStr">
        <is>
          <t>v4_white_MLLB_000_y103_0924</t>
        </is>
      </c>
      <c r="E968" t="n">
        <v>3.4</v>
      </c>
      <c r="F968" t="n">
        <v>3.408</v>
      </c>
      <c r="G968" t="n">
        <v>10</v>
      </c>
      <c r="H968" t="n">
        <v>60</v>
      </c>
      <c r="I968" t="n">
        <v>48</v>
      </c>
      <c r="J968" t="inlineStr">
        <is>
          <t>kaba</t>
        </is>
      </c>
      <c r="K968" t="b">
        <v>1</v>
      </c>
      <c r="M968" t="n">
        <v>46</v>
      </c>
      <c r="N968" t="n">
        <v>28</v>
      </c>
      <c r="O968" t="n">
        <v>26</v>
      </c>
      <c r="P968" t="n">
        <v>956</v>
      </c>
      <c r="Q968" t="n">
        <v>1002</v>
      </c>
      <c r="R968" t="n">
        <v>6.104</v>
      </c>
      <c r="S968" t="n">
        <v>114.956</v>
      </c>
      <c r="T968" t="n">
        <v>18.832</v>
      </c>
      <c r="U968" t="n">
        <v>0.7781</v>
      </c>
      <c r="V968" t="b">
        <v>1</v>
      </c>
      <c r="X968" t="b">
        <v>0</v>
      </c>
      <c r="Y968" t="inlineStr">
        <is>
          <t>FLAS</t>
        </is>
      </c>
      <c r="Z968" t="n">
        <v>935</v>
      </c>
      <c r="AA968" t="n">
        <v>2.5</v>
      </c>
      <c r="AB968" t="n">
        <v>9.5</v>
      </c>
    </row>
    <row r="969">
      <c r="A969" t="inlineStr">
        <is>
          <t>2026-09-24 15:27:12</t>
        </is>
      </c>
      <c r="B969" t="inlineStr">
        <is>
          <t>MLLB_000_y1.0.3</t>
        </is>
      </c>
      <c r="C969" t="inlineStr">
        <is>
          <t>WHITE</t>
        </is>
      </c>
      <c r="D969" t="inlineStr">
        <is>
          <t>v4_white_MLLB_000_y103_0924</t>
        </is>
      </c>
      <c r="E969" t="n">
        <v>3.4</v>
      </c>
      <c r="F969" t="n">
        <v>3.408</v>
      </c>
      <c r="G969" t="n">
        <v>10</v>
      </c>
      <c r="H969" t="n">
        <v>60</v>
      </c>
      <c r="I969" t="n">
        <v>33</v>
      </c>
      <c r="J969" t="inlineStr">
        <is>
          <t>ince</t>
        </is>
      </c>
      <c r="K969" t="b">
        <v>1</v>
      </c>
      <c r="M969" t="n">
        <v>80</v>
      </c>
      <c r="N969" t="n">
        <v>38</v>
      </c>
      <c r="O969" t="n">
        <v>58</v>
      </c>
      <c r="P969" t="n">
        <v>922</v>
      </c>
      <c r="Q969" t="n">
        <v>1002</v>
      </c>
      <c r="R969" t="n">
        <v>1.074</v>
      </c>
      <c r="S969" t="n">
        <v>20.242</v>
      </c>
      <c r="T969" t="n">
        <v>18.846</v>
      </c>
      <c r="U969" t="n">
        <v>0.7776999999999999</v>
      </c>
      <c r="V969" t="b">
        <v>1</v>
      </c>
      <c r="X969" t="b">
        <v>0</v>
      </c>
      <c r="Y969" t="inlineStr">
        <is>
          <t>ON</t>
        </is>
      </c>
      <c r="Z969" t="n">
        <v>935</v>
      </c>
      <c r="AA969" t="n">
        <v>2.5</v>
      </c>
      <c r="AB969" t="n">
        <v>9.5</v>
      </c>
    </row>
    <row r="970">
      <c r="A970" t="inlineStr">
        <is>
          <t>2026-09-24 15:27:28</t>
        </is>
      </c>
      <c r="B970" t="inlineStr">
        <is>
          <t>MLLB_000_y1.0.3</t>
        </is>
      </c>
      <c r="C970" t="inlineStr">
        <is>
          <t>WHITE</t>
        </is>
      </c>
      <c r="D970" t="inlineStr">
        <is>
          <t>v4_white_MLLB_000_y103_0924</t>
        </is>
      </c>
      <c r="E970" t="n">
        <v>3.4</v>
      </c>
      <c r="F970" t="n">
        <v>3.408</v>
      </c>
      <c r="G970" t="n">
        <v>10</v>
      </c>
      <c r="H970" t="n">
        <v>60</v>
      </c>
      <c r="I970" t="n">
        <v>34</v>
      </c>
      <c r="J970" t="inlineStr">
        <is>
          <t>ince</t>
        </is>
      </c>
      <c r="K970" t="b">
        <v>1</v>
      </c>
      <c r="M970" t="n">
        <v>74</v>
      </c>
      <c r="N970" t="n">
        <v>34</v>
      </c>
      <c r="O970" t="n">
        <v>52</v>
      </c>
      <c r="P970" t="n">
        <v>928</v>
      </c>
      <c r="Q970" t="n">
        <v>1002</v>
      </c>
      <c r="R970" t="n">
        <v>1.073</v>
      </c>
      <c r="S970" t="n">
        <v>20.228</v>
      </c>
      <c r="T970" t="n">
        <v>18.85</v>
      </c>
      <c r="U970" t="n">
        <v>0.7779</v>
      </c>
      <c r="V970" t="b">
        <v>1</v>
      </c>
      <c r="X970" t="b">
        <v>0</v>
      </c>
      <c r="Y970" t="inlineStr">
        <is>
          <t>ON</t>
        </is>
      </c>
      <c r="Z970" t="n">
        <v>935</v>
      </c>
      <c r="AA970" t="n">
        <v>2.5</v>
      </c>
      <c r="AB970" t="n">
        <v>9.5</v>
      </c>
    </row>
    <row r="971">
      <c r="A971" t="inlineStr">
        <is>
          <t>2026-09-24 15:27:44</t>
        </is>
      </c>
      <c r="B971" t="inlineStr">
        <is>
          <t>MLLB_000_y1.0.3</t>
        </is>
      </c>
      <c r="C971" t="inlineStr">
        <is>
          <t>WHITE</t>
        </is>
      </c>
      <c r="D971" t="inlineStr">
        <is>
          <t>v4_white_MLLB_000_y103_0924</t>
        </is>
      </c>
      <c r="E971" t="n">
        <v>3.4</v>
      </c>
      <c r="F971" t="n">
        <v>3.408</v>
      </c>
      <c r="G971" t="n">
        <v>10</v>
      </c>
      <c r="H971" t="n">
        <v>60</v>
      </c>
      <c r="I971" t="n">
        <v>35</v>
      </c>
      <c r="J971" t="inlineStr">
        <is>
          <t>ince</t>
        </is>
      </c>
      <c r="K971" t="b">
        <v>1</v>
      </c>
      <c r="M971" t="n">
        <v>68</v>
      </c>
      <c r="N971" t="n">
        <v>38</v>
      </c>
      <c r="O971" t="n">
        <v>46</v>
      </c>
      <c r="P971" t="n">
        <v>934</v>
      </c>
      <c r="Q971" t="n">
        <v>1002</v>
      </c>
      <c r="R971" t="n">
        <v>1.071</v>
      </c>
      <c r="S971" t="n">
        <v>20.172</v>
      </c>
      <c r="T971" t="n">
        <v>18.837</v>
      </c>
      <c r="U971" t="n">
        <v>0.7779</v>
      </c>
      <c r="V971" t="b">
        <v>1</v>
      </c>
      <c r="X971" t="b">
        <v>0</v>
      </c>
      <c r="Y971" t="inlineStr">
        <is>
          <t>ON</t>
        </is>
      </c>
      <c r="Z971" t="n">
        <v>935</v>
      </c>
      <c r="AA971" t="n">
        <v>2.5</v>
      </c>
      <c r="AB971" t="n">
        <v>9.5</v>
      </c>
    </row>
    <row r="972">
      <c r="A972" t="inlineStr">
        <is>
          <t>2026-09-24 15:27:44</t>
        </is>
      </c>
      <c r="B972" t="inlineStr">
        <is>
          <t>MLLB_000_y1.0.3</t>
        </is>
      </c>
      <c r="C972" t="inlineStr">
        <is>
          <t>WHITE</t>
        </is>
      </c>
      <c r="D972" t="inlineStr">
        <is>
          <t>v4_white_MLLB_000_y103_0924</t>
        </is>
      </c>
      <c r="E972" t="n">
        <v>3.4</v>
      </c>
      <c r="F972" t="n">
        <v>3.408</v>
      </c>
      <c r="G972" t="n">
        <v>10</v>
      </c>
      <c r="H972" t="n">
        <v>60</v>
      </c>
      <c r="I972" t="n">
        <v>37</v>
      </c>
      <c r="J972" t="inlineStr">
        <is>
          <t>ince</t>
        </is>
      </c>
      <c r="K972" t="b">
        <v>0</v>
      </c>
      <c r="L972" t="inlineStr">
        <is>
          <t>iki-OK-arasi-monotonluk</t>
        </is>
      </c>
      <c r="X972" t="b">
        <v>1</v>
      </c>
      <c r="Z972" t="n">
        <v>935</v>
      </c>
      <c r="AA972" t="n">
        <v>2.5</v>
      </c>
      <c r="AB972" t="n">
        <v>9.5</v>
      </c>
    </row>
    <row r="973">
      <c r="A973" t="inlineStr">
        <is>
          <t>2026-09-24 15:27:44</t>
        </is>
      </c>
      <c r="B973" t="inlineStr">
        <is>
          <t>MLLB_000_y1.0.3</t>
        </is>
      </c>
      <c r="C973" t="inlineStr">
        <is>
          <t>WHITE</t>
        </is>
      </c>
      <c r="D973" t="inlineStr">
        <is>
          <t>v4_white_MLLB_000_y103_0924</t>
        </is>
      </c>
      <c r="E973" t="n">
        <v>3.4</v>
      </c>
      <c r="F973" t="n">
        <v>3.408</v>
      </c>
      <c r="G973" t="n">
        <v>10</v>
      </c>
      <c r="H973" t="n">
        <v>60</v>
      </c>
      <c r="I973" t="n">
        <v>38</v>
      </c>
      <c r="J973" t="inlineStr">
        <is>
          <t>ince</t>
        </is>
      </c>
      <c r="K973" t="b">
        <v>0</v>
      </c>
      <c r="L973" t="inlineStr">
        <is>
          <t>iki-OK-arasi-monotonluk</t>
        </is>
      </c>
      <c r="X973" t="b">
        <v>1</v>
      </c>
      <c r="Z973" t="n">
        <v>935</v>
      </c>
      <c r="AA973" t="n">
        <v>2.5</v>
      </c>
      <c r="AB973" t="n">
        <v>9.5</v>
      </c>
    </row>
    <row r="974">
      <c r="A974" t="inlineStr">
        <is>
          <t>2026-09-24 15:27:44</t>
        </is>
      </c>
      <c r="B974" t="inlineStr">
        <is>
          <t>MLLB_000_y1.0.3</t>
        </is>
      </c>
      <c r="C974" t="inlineStr">
        <is>
          <t>WHITE</t>
        </is>
      </c>
      <c r="D974" t="inlineStr">
        <is>
          <t>v4_white_MLLB_000_y103_0924</t>
        </is>
      </c>
      <c r="E974" t="n">
        <v>3.4</v>
      </c>
      <c r="F974" t="n">
        <v>3.408</v>
      </c>
      <c r="G974" t="n">
        <v>10</v>
      </c>
      <c r="H974" t="n">
        <v>60</v>
      </c>
      <c r="I974" t="n">
        <v>39</v>
      </c>
      <c r="J974" t="inlineStr">
        <is>
          <t>ince</t>
        </is>
      </c>
      <c r="K974" t="b">
        <v>0</v>
      </c>
      <c r="L974" t="inlineStr">
        <is>
          <t>iki-OK-arasi-monotonluk</t>
        </is>
      </c>
      <c r="X974" t="b">
        <v>1</v>
      </c>
      <c r="Z974" t="n">
        <v>935</v>
      </c>
      <c r="AA974" t="n">
        <v>2.5</v>
      </c>
      <c r="AB974" t="n">
        <v>9.5</v>
      </c>
    </row>
    <row r="975">
      <c r="A975" t="inlineStr">
        <is>
          <t>2026-09-24 15:27:44</t>
        </is>
      </c>
      <c r="B975" t="inlineStr">
        <is>
          <t>MLLB_000_y1.0.3</t>
        </is>
      </c>
      <c r="C975" t="inlineStr">
        <is>
          <t>WHITE</t>
        </is>
      </c>
      <c r="D975" t="inlineStr">
        <is>
          <t>v4_white_MLLB_000_y103_0924</t>
        </is>
      </c>
      <c r="E975" t="n">
        <v>3.4</v>
      </c>
      <c r="F975" t="n">
        <v>3.408</v>
      </c>
      <c r="G975" t="n">
        <v>10</v>
      </c>
      <c r="H975" t="n">
        <v>60</v>
      </c>
      <c r="I975" t="n">
        <v>41</v>
      </c>
      <c r="J975" t="inlineStr">
        <is>
          <t>ince</t>
        </is>
      </c>
      <c r="K975" t="b">
        <v>0</v>
      </c>
      <c r="L975" t="inlineStr">
        <is>
          <t>iki-OK-arasi-monotonluk</t>
        </is>
      </c>
      <c r="X975" t="b">
        <v>1</v>
      </c>
      <c r="Z975" t="n">
        <v>935</v>
      </c>
      <c r="AA975" t="n">
        <v>2.5</v>
      </c>
      <c r="AB975" t="n">
        <v>9.5</v>
      </c>
    </row>
    <row r="976">
      <c r="A976" t="inlineStr">
        <is>
          <t>2026-09-24 15:27:44</t>
        </is>
      </c>
      <c r="B976" t="inlineStr">
        <is>
          <t>MLLB_000_y1.0.3</t>
        </is>
      </c>
      <c r="C976" t="inlineStr">
        <is>
          <t>WHITE</t>
        </is>
      </c>
      <c r="D976" t="inlineStr">
        <is>
          <t>v4_white_MLLB_000_y103_0924</t>
        </is>
      </c>
      <c r="E976" t="n">
        <v>3.4</v>
      </c>
      <c r="F976" t="n">
        <v>3.408</v>
      </c>
      <c r="G976" t="n">
        <v>10</v>
      </c>
      <c r="H976" t="n">
        <v>60</v>
      </c>
      <c r="I976" t="n">
        <v>42</v>
      </c>
      <c r="J976" t="inlineStr">
        <is>
          <t>ince</t>
        </is>
      </c>
      <c r="K976" t="b">
        <v>0</v>
      </c>
      <c r="L976" t="inlineStr">
        <is>
          <t>iki-OK-arasi-monotonluk</t>
        </is>
      </c>
      <c r="X976" t="b">
        <v>1</v>
      </c>
      <c r="Z976" t="n">
        <v>935</v>
      </c>
      <c r="AA976" t="n">
        <v>2.5</v>
      </c>
      <c r="AB976" t="n">
        <v>9.5</v>
      </c>
    </row>
    <row r="977">
      <c r="A977" t="inlineStr">
        <is>
          <t>2026-09-24 15:27:44</t>
        </is>
      </c>
      <c r="B977" t="inlineStr">
        <is>
          <t>MLLB_000_y1.0.3</t>
        </is>
      </c>
      <c r="C977" t="inlineStr">
        <is>
          <t>WHITE</t>
        </is>
      </c>
      <c r="D977" t="inlineStr">
        <is>
          <t>v4_white_MLLB_000_y103_0924</t>
        </is>
      </c>
      <c r="E977" t="n">
        <v>3.4</v>
      </c>
      <c r="F977" t="n">
        <v>3.408</v>
      </c>
      <c r="G977" t="n">
        <v>10</v>
      </c>
      <c r="H977" t="n">
        <v>60</v>
      </c>
      <c r="I977" t="n">
        <v>43</v>
      </c>
      <c r="J977" t="inlineStr">
        <is>
          <t>ince</t>
        </is>
      </c>
      <c r="K977" t="b">
        <v>0</v>
      </c>
      <c r="L977" t="inlineStr">
        <is>
          <t>iki-OK-arasi-monotonluk</t>
        </is>
      </c>
      <c r="X977" t="b">
        <v>1</v>
      </c>
      <c r="Z977" t="n">
        <v>935</v>
      </c>
      <c r="AA977" t="n">
        <v>2.5</v>
      </c>
      <c r="AB977" t="n">
        <v>9.5</v>
      </c>
    </row>
    <row r="978">
      <c r="A978" t="inlineStr">
        <is>
          <t>2026-09-24 15:28:00</t>
        </is>
      </c>
      <c r="B978" t="inlineStr">
        <is>
          <t>MLLB_000_y1.0.3</t>
        </is>
      </c>
      <c r="C978" t="inlineStr">
        <is>
          <t>WHITE</t>
        </is>
      </c>
      <c r="D978" t="inlineStr">
        <is>
          <t>v4_white_MLLB_000_y103_0924</t>
        </is>
      </c>
      <c r="E978" t="n">
        <v>3.4</v>
      </c>
      <c r="F978" t="n">
        <v>3.408</v>
      </c>
      <c r="G978" t="n">
        <v>10</v>
      </c>
      <c r="H978" t="n">
        <v>60</v>
      </c>
      <c r="I978" t="n">
        <v>45</v>
      </c>
      <c r="J978" t="inlineStr">
        <is>
          <t>ince</t>
        </is>
      </c>
      <c r="K978" t="b">
        <v>1</v>
      </c>
      <c r="M978" t="n">
        <v>46</v>
      </c>
      <c r="N978" t="n">
        <v>28</v>
      </c>
      <c r="O978" t="n">
        <v>26</v>
      </c>
      <c r="P978" t="n">
        <v>956</v>
      </c>
      <c r="Q978" t="n">
        <v>1002</v>
      </c>
      <c r="R978" t="n">
        <v>2.078</v>
      </c>
      <c r="S978" t="n">
        <v>39.194</v>
      </c>
      <c r="T978" t="n">
        <v>18.858</v>
      </c>
      <c r="U978" t="n">
        <v>0.7776999999999999</v>
      </c>
      <c r="V978" t="b">
        <v>1</v>
      </c>
      <c r="X978" t="b">
        <v>1</v>
      </c>
      <c r="Z978" t="n">
        <v>935</v>
      </c>
      <c r="AA978" t="n">
        <v>2.5</v>
      </c>
      <c r="AB978" t="n">
        <v>9.5</v>
      </c>
    </row>
    <row r="979">
      <c r="A979" t="inlineStr">
        <is>
          <t>2026-09-24 15:28:16</t>
        </is>
      </c>
      <c r="B979" t="inlineStr">
        <is>
          <t>MLLB_000_y1.0.3</t>
        </is>
      </c>
      <c r="C979" t="inlineStr">
        <is>
          <t>WHITE</t>
        </is>
      </c>
      <c r="D979" t="inlineStr">
        <is>
          <t>v4_white_MLLB_000_y103_0924</t>
        </is>
      </c>
      <c r="E979" t="n">
        <v>3.4</v>
      </c>
      <c r="F979" t="n">
        <v>3.408</v>
      </c>
      <c r="G979" t="n">
        <v>10</v>
      </c>
      <c r="H979" t="n">
        <v>60</v>
      </c>
      <c r="I979" t="n">
        <v>46</v>
      </c>
      <c r="J979" t="inlineStr">
        <is>
          <t>ince</t>
        </is>
      </c>
      <c r="K979" t="b">
        <v>1</v>
      </c>
      <c r="M979" t="n">
        <v>46</v>
      </c>
      <c r="N979" t="n">
        <v>28</v>
      </c>
      <c r="O979" t="n">
        <v>26</v>
      </c>
      <c r="P979" t="n">
        <v>956</v>
      </c>
      <c r="Q979" t="n">
        <v>1002</v>
      </c>
      <c r="R979" t="n">
        <v>2.645</v>
      </c>
      <c r="S979" t="n">
        <v>49.881</v>
      </c>
      <c r="T979" t="n">
        <v>18.856</v>
      </c>
      <c r="U979" t="n">
        <v>0.7779</v>
      </c>
      <c r="V979" t="b">
        <v>1</v>
      </c>
      <c r="X979" t="b">
        <v>0</v>
      </c>
      <c r="Y979" t="inlineStr">
        <is>
          <t>FLAS</t>
        </is>
      </c>
      <c r="Z979" t="n">
        <v>935</v>
      </c>
      <c r="AA979" t="n">
        <v>2.5</v>
      </c>
      <c r="AB979" t="n">
        <v>9.5</v>
      </c>
    </row>
    <row r="980">
      <c r="A980" t="inlineStr">
        <is>
          <t>2026-09-24 15:28:32</t>
        </is>
      </c>
      <c r="B980" t="inlineStr">
        <is>
          <t>MLLB_000_y1.0.3</t>
        </is>
      </c>
      <c r="C980" t="inlineStr">
        <is>
          <t>WHITE</t>
        </is>
      </c>
      <c r="D980" t="inlineStr">
        <is>
          <t>v4_white_MLLB_000_y103_0924</t>
        </is>
      </c>
      <c r="E980" t="n">
        <v>3.4</v>
      </c>
      <c r="F980" t="n">
        <v>3.408</v>
      </c>
      <c r="G980" t="n">
        <v>10</v>
      </c>
      <c r="H980" t="n">
        <v>60</v>
      </c>
      <c r="I980" t="n">
        <v>47</v>
      </c>
      <c r="J980" t="inlineStr">
        <is>
          <t>ince</t>
        </is>
      </c>
      <c r="K980" t="b">
        <v>1</v>
      </c>
      <c r="M980" t="n">
        <v>46</v>
      </c>
      <c r="N980" t="n">
        <v>28</v>
      </c>
      <c r="O980" t="n">
        <v>26</v>
      </c>
      <c r="P980" t="n">
        <v>956</v>
      </c>
      <c r="Q980" t="n">
        <v>1002</v>
      </c>
      <c r="R980" t="n">
        <v>4.581</v>
      </c>
      <c r="S980" t="n">
        <v>86.404</v>
      </c>
      <c r="T980" t="n">
        <v>18.862</v>
      </c>
      <c r="U980" t="n">
        <v>0.7783</v>
      </c>
      <c r="V980" t="b">
        <v>1</v>
      </c>
      <c r="X980" t="b">
        <v>0</v>
      </c>
      <c r="Y980" t="inlineStr">
        <is>
          <t>FLAS</t>
        </is>
      </c>
      <c r="Z980" t="n">
        <v>935</v>
      </c>
      <c r="AA980" t="n">
        <v>2.5</v>
      </c>
      <c r="AB980" t="n">
        <v>9.5</v>
      </c>
    </row>
    <row r="981">
      <c r="A981" t="inlineStr">
        <is>
          <t>2026-09-24 15:28:32</t>
        </is>
      </c>
      <c r="B981" t="inlineStr">
        <is>
          <t>MLLB_000_y1.0.3</t>
        </is>
      </c>
      <c r="C981" t="inlineStr">
        <is>
          <t>WHITE</t>
        </is>
      </c>
      <c r="D981" t="inlineStr">
        <is>
          <t>v4_white_MLLB_000_y103_0924</t>
        </is>
      </c>
      <c r="E981" t="n">
        <v>3.4</v>
      </c>
      <c r="F981" t="n">
        <v>3.408</v>
      </c>
      <c r="G981" t="n">
        <v>10</v>
      </c>
      <c r="H981" t="n">
        <v>60</v>
      </c>
      <c r="J981" t="inlineStr">
        <is>
          <t>bitti</t>
        </is>
      </c>
      <c r="K981" t="b">
        <v>0</v>
      </c>
      <c r="Z981" t="n">
        <v>935</v>
      </c>
      <c r="AA981" t="n">
        <v>2.5</v>
      </c>
      <c r="AB981" t="n">
        <v>9.5</v>
      </c>
    </row>
    <row r="982">
      <c r="A982" t="inlineStr">
        <is>
          <t>2026-09-24 15:28:54</t>
        </is>
      </c>
      <c r="B982" t="inlineStr">
        <is>
          <t>MLLB_000_y1.0.3</t>
        </is>
      </c>
      <c r="C982" t="inlineStr">
        <is>
          <t>WHITE</t>
        </is>
      </c>
      <c r="D982" t="inlineStr">
        <is>
          <t>v4_white_MLLB_000_y103_0924</t>
        </is>
      </c>
      <c r="E982" t="n">
        <v>3.4</v>
      </c>
      <c r="F982" t="n">
        <v>3.408</v>
      </c>
      <c r="G982" t="n">
        <v>15</v>
      </c>
      <c r="H982" t="n">
        <v>100</v>
      </c>
      <c r="I982" t="n">
        <v>12</v>
      </c>
      <c r="J982" t="inlineStr">
        <is>
          <t>kaba</t>
        </is>
      </c>
      <c r="K982" t="b">
        <v>1</v>
      </c>
      <c r="M982" t="n">
        <v>108</v>
      </c>
      <c r="N982" t="n">
        <v>30</v>
      </c>
      <c r="O982" t="n">
        <v>88</v>
      </c>
      <c r="P982" t="n">
        <v>894</v>
      </c>
      <c r="Q982" t="n">
        <v>1002</v>
      </c>
      <c r="R982" t="n">
        <v>1.061</v>
      </c>
      <c r="S982" t="n">
        <v>32.946</v>
      </c>
      <c r="T982" t="n">
        <v>31.05</v>
      </c>
      <c r="U982" t="n">
        <v>0.7784</v>
      </c>
      <c r="V982" t="b">
        <v>1</v>
      </c>
      <c r="X982" t="b">
        <v>0</v>
      </c>
      <c r="Y982" t="inlineStr">
        <is>
          <t>ON</t>
        </is>
      </c>
      <c r="Z982" t="n">
        <v>935</v>
      </c>
      <c r="AA982" t="n">
        <v>2.5</v>
      </c>
      <c r="AB982" t="n">
        <v>9.5</v>
      </c>
    </row>
    <row r="983">
      <c r="A983" t="inlineStr">
        <is>
          <t>2026-09-24 15:29:10</t>
        </is>
      </c>
      <c r="B983" t="inlineStr">
        <is>
          <t>MLLB_000_y1.0.3</t>
        </is>
      </c>
      <c r="C983" t="inlineStr">
        <is>
          <t>WHITE</t>
        </is>
      </c>
      <c r="D983" t="inlineStr">
        <is>
          <t>v4_white_MLLB_000_y103_0924</t>
        </is>
      </c>
      <c r="E983" t="n">
        <v>3.4</v>
      </c>
      <c r="F983" t="n">
        <v>3.408</v>
      </c>
      <c r="G983" t="n">
        <v>15</v>
      </c>
      <c r="H983" t="n">
        <v>100</v>
      </c>
      <c r="I983" t="n">
        <v>16</v>
      </c>
      <c r="J983" t="inlineStr">
        <is>
          <t>kaba</t>
        </is>
      </c>
      <c r="K983" t="b">
        <v>1</v>
      </c>
      <c r="M983" t="n">
        <v>84</v>
      </c>
      <c r="N983" t="n">
        <v>32</v>
      </c>
      <c r="O983" t="n">
        <v>62</v>
      </c>
      <c r="P983" t="n">
        <v>918</v>
      </c>
      <c r="Q983" t="n">
        <v>1002</v>
      </c>
      <c r="R983" t="n">
        <v>1.059</v>
      </c>
      <c r="S983" t="n">
        <v>32.946</v>
      </c>
      <c r="T983" t="n">
        <v>31.097</v>
      </c>
      <c r="U983" t="n">
        <v>0.7784</v>
      </c>
      <c r="V983" t="b">
        <v>1</v>
      </c>
      <c r="X983" t="b">
        <v>0</v>
      </c>
      <c r="Y983" t="inlineStr">
        <is>
          <t>ON</t>
        </is>
      </c>
      <c r="Z983" t="n">
        <v>935</v>
      </c>
      <c r="AA983" t="n">
        <v>2.5</v>
      </c>
      <c r="AB983" t="n">
        <v>9.5</v>
      </c>
    </row>
    <row r="984">
      <c r="A984" t="inlineStr">
        <is>
          <t>2026-09-24 15:29:25</t>
        </is>
      </c>
      <c r="B984" t="inlineStr">
        <is>
          <t>MLLB_000_y1.0.3</t>
        </is>
      </c>
      <c r="C984" t="inlineStr">
        <is>
          <t>WHITE</t>
        </is>
      </c>
      <c r="D984" t="inlineStr">
        <is>
          <t>v4_white_MLLB_000_y103_0924</t>
        </is>
      </c>
      <c r="E984" t="n">
        <v>3.4</v>
      </c>
      <c r="F984" t="n">
        <v>3.408</v>
      </c>
      <c r="G984" t="n">
        <v>15</v>
      </c>
      <c r="H984" t="n">
        <v>100</v>
      </c>
      <c r="I984" t="n">
        <v>20</v>
      </c>
      <c r="J984" t="inlineStr">
        <is>
          <t>kaba</t>
        </is>
      </c>
      <c r="K984" t="b">
        <v>1</v>
      </c>
      <c r="M984" t="n">
        <v>58</v>
      </c>
      <c r="N984" t="n">
        <v>32</v>
      </c>
      <c r="O984" t="n">
        <v>38</v>
      </c>
      <c r="P984" t="n">
        <v>944</v>
      </c>
      <c r="Q984" t="n">
        <v>1002</v>
      </c>
      <c r="R984" t="n">
        <v>1.058</v>
      </c>
      <c r="S984" t="n">
        <v>32.946</v>
      </c>
      <c r="T984" t="n">
        <v>31.126</v>
      </c>
      <c r="U984" t="n">
        <v>0.7786</v>
      </c>
      <c r="V984" t="b">
        <v>1</v>
      </c>
      <c r="X984" t="b">
        <v>1</v>
      </c>
      <c r="Z984" t="n">
        <v>935</v>
      </c>
      <c r="AA984" t="n">
        <v>2.5</v>
      </c>
      <c r="AB984" t="n">
        <v>9.5</v>
      </c>
    </row>
    <row r="985">
      <c r="A985" t="inlineStr">
        <is>
          <t>2026-09-24 15:29:42</t>
        </is>
      </c>
      <c r="B985" t="inlineStr">
        <is>
          <t>MLLB_000_y1.0.3</t>
        </is>
      </c>
      <c r="C985" t="inlineStr">
        <is>
          <t>WHITE</t>
        </is>
      </c>
      <c r="D985" t="inlineStr">
        <is>
          <t>v4_white_MLLB_000_y103_0924</t>
        </is>
      </c>
      <c r="E985" t="n">
        <v>3.4</v>
      </c>
      <c r="F985" t="n">
        <v>3.408</v>
      </c>
      <c r="G985" t="n">
        <v>15</v>
      </c>
      <c r="H985" t="n">
        <v>100</v>
      </c>
      <c r="I985" t="n">
        <v>24</v>
      </c>
      <c r="J985" t="inlineStr">
        <is>
          <t>kaba</t>
        </is>
      </c>
      <c r="K985" t="b">
        <v>1</v>
      </c>
      <c r="M985" t="n">
        <v>34</v>
      </c>
      <c r="N985" t="n">
        <v>28</v>
      </c>
      <c r="O985" t="n">
        <v>14</v>
      </c>
      <c r="P985" t="n">
        <v>968</v>
      </c>
      <c r="Q985" t="n">
        <v>1002</v>
      </c>
      <c r="R985" t="n">
        <v>1.059</v>
      </c>
      <c r="S985" t="n">
        <v>32.946</v>
      </c>
      <c r="T985" t="n">
        <v>31.102</v>
      </c>
      <c r="U985" t="n">
        <v>0.7786</v>
      </c>
      <c r="V985" t="b">
        <v>1</v>
      </c>
      <c r="X985" t="b">
        <v>1</v>
      </c>
      <c r="Z985" t="n">
        <v>935</v>
      </c>
      <c r="AA985" t="n">
        <v>2.5</v>
      </c>
      <c r="AB985" t="n">
        <v>9.5</v>
      </c>
    </row>
    <row r="986">
      <c r="A986" t="inlineStr">
        <is>
          <t>2026-09-24 15:29:58</t>
        </is>
      </c>
      <c r="B986" t="inlineStr">
        <is>
          <t>MLLB_000_y1.0.3</t>
        </is>
      </c>
      <c r="C986" t="inlineStr">
        <is>
          <t>WHITE</t>
        </is>
      </c>
      <c r="D986" t="inlineStr">
        <is>
          <t>v4_white_MLLB_000_y103_0924</t>
        </is>
      </c>
      <c r="E986" t="n">
        <v>3.4</v>
      </c>
      <c r="F986" t="n">
        <v>3.408</v>
      </c>
      <c r="G986" t="n">
        <v>15</v>
      </c>
      <c r="H986" t="n">
        <v>100</v>
      </c>
      <c r="I986" t="n">
        <v>28</v>
      </c>
      <c r="J986" t="inlineStr">
        <is>
          <t>kaba</t>
        </is>
      </c>
      <c r="K986" t="b">
        <v>1</v>
      </c>
      <c r="M986" t="n">
        <v>34</v>
      </c>
      <c r="N986" t="n">
        <v>28</v>
      </c>
      <c r="O986" t="n">
        <v>14</v>
      </c>
      <c r="P986" t="n">
        <v>968</v>
      </c>
      <c r="Q986" t="n">
        <v>1002</v>
      </c>
      <c r="R986" t="n">
        <v>1.29</v>
      </c>
      <c r="S986" t="n">
        <v>40.138</v>
      </c>
      <c r="T986" t="n">
        <v>31.112</v>
      </c>
      <c r="U986" t="n">
        <v>0.7781</v>
      </c>
      <c r="V986" t="b">
        <v>1</v>
      </c>
      <c r="X986" t="b">
        <v>1</v>
      </c>
      <c r="Z986" t="n">
        <v>935</v>
      </c>
      <c r="AA986" t="n">
        <v>2.5</v>
      </c>
      <c r="AB986" t="n">
        <v>9.5</v>
      </c>
    </row>
    <row r="987">
      <c r="A987" t="inlineStr">
        <is>
          <t>2026-09-24 15:30:14</t>
        </is>
      </c>
      <c r="B987" t="inlineStr">
        <is>
          <t>MLLB_000_y1.0.3</t>
        </is>
      </c>
      <c r="C987" t="inlineStr">
        <is>
          <t>WHITE</t>
        </is>
      </c>
      <c r="D987" t="inlineStr">
        <is>
          <t>v4_white_MLLB_000_y103_0924</t>
        </is>
      </c>
      <c r="E987" t="n">
        <v>3.4</v>
      </c>
      <c r="F987" t="n">
        <v>3.408</v>
      </c>
      <c r="G987" t="n">
        <v>15</v>
      </c>
      <c r="H987" t="n">
        <v>100</v>
      </c>
      <c r="I987" t="n">
        <v>32</v>
      </c>
      <c r="J987" t="inlineStr">
        <is>
          <t>kaba</t>
        </is>
      </c>
      <c r="K987" t="b">
        <v>1</v>
      </c>
      <c r="M987" t="n">
        <v>34</v>
      </c>
      <c r="N987" t="n">
        <v>28</v>
      </c>
      <c r="O987" t="n">
        <v>14</v>
      </c>
      <c r="P987" t="n">
        <v>968</v>
      </c>
      <c r="Q987" t="n">
        <v>1002</v>
      </c>
      <c r="R987" t="n">
        <v>5.758</v>
      </c>
      <c r="S987" t="n">
        <v>204.966</v>
      </c>
      <c r="T987" t="n">
        <v>35.597</v>
      </c>
      <c r="U987" t="n">
        <v>0.7782</v>
      </c>
      <c r="V987" t="b">
        <v>1</v>
      </c>
      <c r="X987" t="b">
        <v>0</v>
      </c>
      <c r="Y987" t="inlineStr">
        <is>
          <t>FLAS</t>
        </is>
      </c>
      <c r="Z987" t="n">
        <v>935</v>
      </c>
      <c r="AA987" t="n">
        <v>2.5</v>
      </c>
      <c r="AB987" t="n">
        <v>9.5</v>
      </c>
    </row>
    <row r="988">
      <c r="A988" t="inlineStr">
        <is>
          <t>2026-09-24 15:30:30</t>
        </is>
      </c>
      <c r="B988" t="inlineStr">
        <is>
          <t>MLLB_000_y1.0.3</t>
        </is>
      </c>
      <c r="C988" t="inlineStr">
        <is>
          <t>WHITE</t>
        </is>
      </c>
      <c r="D988" t="inlineStr">
        <is>
          <t>v4_white_MLLB_000_y103_0924</t>
        </is>
      </c>
      <c r="E988" t="n">
        <v>3.4</v>
      </c>
      <c r="F988" t="n">
        <v>3.408</v>
      </c>
      <c r="G988" t="n">
        <v>15</v>
      </c>
      <c r="H988" t="n">
        <v>100</v>
      </c>
      <c r="I988" t="n">
        <v>36</v>
      </c>
      <c r="J988" t="inlineStr">
        <is>
          <t>kaba</t>
        </is>
      </c>
      <c r="K988" t="b">
        <v>1</v>
      </c>
      <c r="M988" t="n">
        <v>34</v>
      </c>
      <c r="N988" t="n">
        <v>28</v>
      </c>
      <c r="O988" t="n">
        <v>14</v>
      </c>
      <c r="P988" t="n">
        <v>968</v>
      </c>
      <c r="Q988" t="n">
        <v>1002</v>
      </c>
      <c r="R988" t="n">
        <v>6.475</v>
      </c>
      <c r="S988" t="n">
        <v>230.68</v>
      </c>
      <c r="T988" t="n">
        <v>35.625</v>
      </c>
      <c r="U988" t="n">
        <v>0.7779</v>
      </c>
      <c r="V988" t="b">
        <v>1</v>
      </c>
      <c r="X988" t="b">
        <v>0</v>
      </c>
      <c r="Y988" t="inlineStr">
        <is>
          <t>FLAS</t>
        </is>
      </c>
      <c r="Z988" t="n">
        <v>935</v>
      </c>
      <c r="AA988" t="n">
        <v>2.5</v>
      </c>
      <c r="AB988" t="n">
        <v>9.5</v>
      </c>
    </row>
    <row r="989">
      <c r="A989" t="inlineStr">
        <is>
          <t>2026-09-24 15:30:46</t>
        </is>
      </c>
      <c r="B989" t="inlineStr">
        <is>
          <t>MLLB_000_y1.0.3</t>
        </is>
      </c>
      <c r="C989" t="inlineStr">
        <is>
          <t>WHITE</t>
        </is>
      </c>
      <c r="D989" t="inlineStr">
        <is>
          <t>v4_white_MLLB_000_y103_0924</t>
        </is>
      </c>
      <c r="E989" t="n">
        <v>3.4</v>
      </c>
      <c r="F989" t="n">
        <v>3.408</v>
      </c>
      <c r="G989" t="n">
        <v>15</v>
      </c>
      <c r="H989" t="n">
        <v>100</v>
      </c>
      <c r="I989" t="n">
        <v>17</v>
      </c>
      <c r="J989" t="inlineStr">
        <is>
          <t>ince</t>
        </is>
      </c>
      <c r="K989" t="b">
        <v>1</v>
      </c>
      <c r="M989" t="n">
        <v>78</v>
      </c>
      <c r="N989" t="n">
        <v>34</v>
      </c>
      <c r="O989" t="n">
        <v>58</v>
      </c>
      <c r="P989" t="n">
        <v>924</v>
      </c>
      <c r="Q989" t="n">
        <v>1002</v>
      </c>
      <c r="R989" t="n">
        <v>1.058</v>
      </c>
      <c r="S989" t="n">
        <v>32.898</v>
      </c>
      <c r="T989" t="n">
        <v>31.086</v>
      </c>
      <c r="U989" t="n">
        <v>0.7781</v>
      </c>
      <c r="V989" t="b">
        <v>1</v>
      </c>
      <c r="X989" t="b">
        <v>0</v>
      </c>
      <c r="Y989" t="inlineStr">
        <is>
          <t>ON</t>
        </is>
      </c>
      <c r="Z989" t="n">
        <v>935</v>
      </c>
      <c r="AA989" t="n">
        <v>2.5</v>
      </c>
      <c r="AB989" t="n">
        <v>9.5</v>
      </c>
    </row>
    <row r="990">
      <c r="A990" t="inlineStr">
        <is>
          <t>2026-09-24 15:31:02</t>
        </is>
      </c>
      <c r="B990" t="inlineStr">
        <is>
          <t>MLLB_000_y1.0.3</t>
        </is>
      </c>
      <c r="C990" t="inlineStr">
        <is>
          <t>WHITE</t>
        </is>
      </c>
      <c r="D990" t="inlineStr">
        <is>
          <t>v4_white_MLLB_000_y103_0924</t>
        </is>
      </c>
      <c r="E990" t="n">
        <v>3.4</v>
      </c>
      <c r="F990" t="n">
        <v>3.408</v>
      </c>
      <c r="G990" t="n">
        <v>15</v>
      </c>
      <c r="H990" t="n">
        <v>100</v>
      </c>
      <c r="I990" t="n">
        <v>18</v>
      </c>
      <c r="J990" t="inlineStr">
        <is>
          <t>ince</t>
        </is>
      </c>
      <c r="K990" t="b">
        <v>1</v>
      </c>
      <c r="M990" t="n">
        <v>72</v>
      </c>
      <c r="N990" t="n">
        <v>32</v>
      </c>
      <c r="O990" t="n">
        <v>50</v>
      </c>
      <c r="P990" t="n">
        <v>930</v>
      </c>
      <c r="Q990" t="n">
        <v>1002</v>
      </c>
      <c r="R990" t="n">
        <v>1.058</v>
      </c>
      <c r="S990" t="n">
        <v>32.907</v>
      </c>
      <c r="T990" t="n">
        <v>31.104</v>
      </c>
      <c r="U990" t="n">
        <v>0.778</v>
      </c>
      <c r="V990" t="b">
        <v>1</v>
      </c>
      <c r="X990" t="b">
        <v>0</v>
      </c>
      <c r="Y990" t="inlineStr">
        <is>
          <t>ON</t>
        </is>
      </c>
      <c r="Z990" t="n">
        <v>935</v>
      </c>
      <c r="AA990" t="n">
        <v>2.5</v>
      </c>
      <c r="AB990" t="n">
        <v>9.5</v>
      </c>
    </row>
    <row r="991">
      <c r="A991" t="inlineStr">
        <is>
          <t>2026-09-24 15:31:18</t>
        </is>
      </c>
      <c r="B991" t="inlineStr">
        <is>
          <t>MLLB_000_y1.0.3</t>
        </is>
      </c>
      <c r="C991" t="inlineStr">
        <is>
          <t>WHITE</t>
        </is>
      </c>
      <c r="D991" t="inlineStr">
        <is>
          <t>v4_white_MLLB_000_y103_0924</t>
        </is>
      </c>
      <c r="E991" t="n">
        <v>3.4</v>
      </c>
      <c r="F991" t="n">
        <v>3.408</v>
      </c>
      <c r="G991" t="n">
        <v>15</v>
      </c>
      <c r="H991" t="n">
        <v>100</v>
      </c>
      <c r="I991" t="n">
        <v>19</v>
      </c>
      <c r="J991" t="inlineStr">
        <is>
          <t>ince</t>
        </is>
      </c>
      <c r="K991" t="b">
        <v>1</v>
      </c>
      <c r="M991" t="n">
        <v>64</v>
      </c>
      <c r="N991" t="n">
        <v>30</v>
      </c>
      <c r="O991" t="n">
        <v>44</v>
      </c>
      <c r="P991" t="n">
        <v>938</v>
      </c>
      <c r="Q991" t="n">
        <v>1002</v>
      </c>
      <c r="R991" t="n">
        <v>1.059</v>
      </c>
      <c r="S991" t="n">
        <v>32.946</v>
      </c>
      <c r="T991" t="n">
        <v>31.1</v>
      </c>
      <c r="U991" t="n">
        <v>0.7781</v>
      </c>
      <c r="V991" t="b">
        <v>1</v>
      </c>
      <c r="X991" t="b">
        <v>1</v>
      </c>
      <c r="Z991" t="n">
        <v>935</v>
      </c>
      <c r="AA991" t="n">
        <v>2.5</v>
      </c>
      <c r="AB991" t="n">
        <v>9.5</v>
      </c>
    </row>
    <row r="992">
      <c r="A992" t="inlineStr">
        <is>
          <t>2026-09-24 15:31:18</t>
        </is>
      </c>
      <c r="B992" t="inlineStr">
        <is>
          <t>MLLB_000_y1.0.3</t>
        </is>
      </c>
      <c r="C992" t="inlineStr">
        <is>
          <t>WHITE</t>
        </is>
      </c>
      <c r="D992" t="inlineStr">
        <is>
          <t>v4_white_MLLB_000_y103_0924</t>
        </is>
      </c>
      <c r="E992" t="n">
        <v>3.4</v>
      </c>
      <c r="F992" t="n">
        <v>3.408</v>
      </c>
      <c r="G992" t="n">
        <v>15</v>
      </c>
      <c r="H992" t="n">
        <v>100</v>
      </c>
      <c r="I992" t="n">
        <v>21</v>
      </c>
      <c r="J992" t="inlineStr">
        <is>
          <t>ince</t>
        </is>
      </c>
      <c r="K992" t="b">
        <v>0</v>
      </c>
      <c r="L992" t="inlineStr">
        <is>
          <t>iki-OK-arasi-monotonluk</t>
        </is>
      </c>
      <c r="X992" t="b">
        <v>1</v>
      </c>
      <c r="Z992" t="n">
        <v>935</v>
      </c>
      <c r="AA992" t="n">
        <v>2.5</v>
      </c>
      <c r="AB992" t="n">
        <v>9.5</v>
      </c>
    </row>
    <row r="993">
      <c r="A993" t="inlineStr">
        <is>
          <t>2026-09-24 15:31:18</t>
        </is>
      </c>
      <c r="B993" t="inlineStr">
        <is>
          <t>MLLB_000_y1.0.3</t>
        </is>
      </c>
      <c r="C993" t="inlineStr">
        <is>
          <t>WHITE</t>
        </is>
      </c>
      <c r="D993" t="inlineStr">
        <is>
          <t>v4_white_MLLB_000_y103_0924</t>
        </is>
      </c>
      <c r="E993" t="n">
        <v>3.4</v>
      </c>
      <c r="F993" t="n">
        <v>3.408</v>
      </c>
      <c r="G993" t="n">
        <v>15</v>
      </c>
      <c r="H993" t="n">
        <v>100</v>
      </c>
      <c r="I993" t="n">
        <v>22</v>
      </c>
      <c r="J993" t="inlineStr">
        <is>
          <t>ince</t>
        </is>
      </c>
      <c r="K993" t="b">
        <v>0</v>
      </c>
      <c r="L993" t="inlineStr">
        <is>
          <t>iki-OK-arasi-monotonluk</t>
        </is>
      </c>
      <c r="X993" t="b">
        <v>1</v>
      </c>
      <c r="Z993" t="n">
        <v>935</v>
      </c>
      <c r="AA993" t="n">
        <v>2.5</v>
      </c>
      <c r="AB993" t="n">
        <v>9.5</v>
      </c>
    </row>
    <row r="994">
      <c r="A994" t="inlineStr">
        <is>
          <t>2026-09-24 15:31:18</t>
        </is>
      </c>
      <c r="B994" t="inlineStr">
        <is>
          <t>MLLB_000_y1.0.3</t>
        </is>
      </c>
      <c r="C994" t="inlineStr">
        <is>
          <t>WHITE</t>
        </is>
      </c>
      <c r="D994" t="inlineStr">
        <is>
          <t>v4_white_MLLB_000_y103_0924</t>
        </is>
      </c>
      <c r="E994" t="n">
        <v>3.4</v>
      </c>
      <c r="F994" t="n">
        <v>3.408</v>
      </c>
      <c r="G994" t="n">
        <v>15</v>
      </c>
      <c r="H994" t="n">
        <v>100</v>
      </c>
      <c r="I994" t="n">
        <v>23</v>
      </c>
      <c r="J994" t="inlineStr">
        <is>
          <t>ince</t>
        </is>
      </c>
      <c r="K994" t="b">
        <v>0</v>
      </c>
      <c r="L994" t="inlineStr">
        <is>
          <t>iki-OK-arasi-monotonluk</t>
        </is>
      </c>
      <c r="X994" t="b">
        <v>1</v>
      </c>
      <c r="Z994" t="n">
        <v>935</v>
      </c>
      <c r="AA994" t="n">
        <v>2.5</v>
      </c>
      <c r="AB994" t="n">
        <v>9.5</v>
      </c>
    </row>
    <row r="995">
      <c r="A995" t="inlineStr">
        <is>
          <t>2026-09-24 15:31:18</t>
        </is>
      </c>
      <c r="B995" t="inlineStr">
        <is>
          <t>MLLB_000_y1.0.3</t>
        </is>
      </c>
      <c r="C995" t="inlineStr">
        <is>
          <t>WHITE</t>
        </is>
      </c>
      <c r="D995" t="inlineStr">
        <is>
          <t>v4_white_MLLB_000_y103_0924</t>
        </is>
      </c>
      <c r="E995" t="n">
        <v>3.4</v>
      </c>
      <c r="F995" t="n">
        <v>3.408</v>
      </c>
      <c r="G995" t="n">
        <v>15</v>
      </c>
      <c r="H995" t="n">
        <v>100</v>
      </c>
      <c r="I995" t="n">
        <v>25</v>
      </c>
      <c r="J995" t="inlineStr">
        <is>
          <t>ince</t>
        </is>
      </c>
      <c r="K995" t="b">
        <v>0</v>
      </c>
      <c r="L995" t="inlineStr">
        <is>
          <t>iki-OK-arasi-monotonluk</t>
        </is>
      </c>
      <c r="X995" t="b">
        <v>1</v>
      </c>
      <c r="Z995" t="n">
        <v>935</v>
      </c>
      <c r="AA995" t="n">
        <v>2.5</v>
      </c>
      <c r="AB995" t="n">
        <v>9.5</v>
      </c>
    </row>
    <row r="996">
      <c r="A996" t="inlineStr">
        <is>
          <t>2026-09-24 15:31:18</t>
        </is>
      </c>
      <c r="B996" t="inlineStr">
        <is>
          <t>MLLB_000_y1.0.3</t>
        </is>
      </c>
      <c r="C996" t="inlineStr">
        <is>
          <t>WHITE</t>
        </is>
      </c>
      <c r="D996" t="inlineStr">
        <is>
          <t>v4_white_MLLB_000_y103_0924</t>
        </is>
      </c>
      <c r="E996" t="n">
        <v>3.4</v>
      </c>
      <c r="F996" t="n">
        <v>3.408</v>
      </c>
      <c r="G996" t="n">
        <v>15</v>
      </c>
      <c r="H996" t="n">
        <v>100</v>
      </c>
      <c r="I996" t="n">
        <v>26</v>
      </c>
      <c r="J996" t="inlineStr">
        <is>
          <t>ince</t>
        </is>
      </c>
      <c r="K996" t="b">
        <v>0</v>
      </c>
      <c r="L996" t="inlineStr">
        <is>
          <t>iki-OK-arasi-monotonluk</t>
        </is>
      </c>
      <c r="X996" t="b">
        <v>1</v>
      </c>
      <c r="Z996" t="n">
        <v>935</v>
      </c>
      <c r="AA996" t="n">
        <v>2.5</v>
      </c>
      <c r="AB996" t="n">
        <v>9.5</v>
      </c>
    </row>
    <row r="997">
      <c r="A997" t="inlineStr">
        <is>
          <t>2026-09-24 15:31:18</t>
        </is>
      </c>
      <c r="B997" t="inlineStr">
        <is>
          <t>MLLB_000_y1.0.3</t>
        </is>
      </c>
      <c r="C997" t="inlineStr">
        <is>
          <t>WHITE</t>
        </is>
      </c>
      <c r="D997" t="inlineStr">
        <is>
          <t>v4_white_MLLB_000_y103_0924</t>
        </is>
      </c>
      <c r="E997" t="n">
        <v>3.4</v>
      </c>
      <c r="F997" t="n">
        <v>3.408</v>
      </c>
      <c r="G997" t="n">
        <v>15</v>
      </c>
      <c r="H997" t="n">
        <v>100</v>
      </c>
      <c r="I997" t="n">
        <v>27</v>
      </c>
      <c r="J997" t="inlineStr">
        <is>
          <t>ince</t>
        </is>
      </c>
      <c r="K997" t="b">
        <v>0</v>
      </c>
      <c r="L997" t="inlineStr">
        <is>
          <t>iki-OK-arasi-monotonluk</t>
        </is>
      </c>
      <c r="X997" t="b">
        <v>1</v>
      </c>
      <c r="Z997" t="n">
        <v>935</v>
      </c>
      <c r="AA997" t="n">
        <v>2.5</v>
      </c>
      <c r="AB997" t="n">
        <v>9.5</v>
      </c>
    </row>
    <row r="998">
      <c r="A998" t="inlineStr">
        <is>
          <t>2026-09-24 15:31:34</t>
        </is>
      </c>
      <c r="B998" t="inlineStr">
        <is>
          <t>MLLB_000_y1.0.3</t>
        </is>
      </c>
      <c r="C998" t="inlineStr">
        <is>
          <t>WHITE</t>
        </is>
      </c>
      <c r="D998" t="inlineStr">
        <is>
          <t>v4_white_MLLB_000_y103_0924</t>
        </is>
      </c>
      <c r="E998" t="n">
        <v>3.4</v>
      </c>
      <c r="F998" t="n">
        <v>3.408</v>
      </c>
      <c r="G998" t="n">
        <v>15</v>
      </c>
      <c r="H998" t="n">
        <v>100</v>
      </c>
      <c r="I998" t="n">
        <v>29</v>
      </c>
      <c r="J998" t="inlineStr">
        <is>
          <t>ince</t>
        </is>
      </c>
      <c r="K998" t="b">
        <v>1</v>
      </c>
      <c r="M998" t="n">
        <v>34</v>
      </c>
      <c r="N998" t="n">
        <v>28</v>
      </c>
      <c r="O998" t="n">
        <v>14</v>
      </c>
      <c r="P998" t="n">
        <v>968</v>
      </c>
      <c r="Q998" t="n">
        <v>1002</v>
      </c>
      <c r="R998" t="n">
        <v>2.565</v>
      </c>
      <c r="S998" t="n">
        <v>91.274</v>
      </c>
      <c r="T998" t="n">
        <v>35.582</v>
      </c>
      <c r="U998" t="n">
        <v>0.7785</v>
      </c>
      <c r="V998" t="b">
        <v>1</v>
      </c>
      <c r="X998" t="b">
        <v>0</v>
      </c>
      <c r="Y998" t="inlineStr">
        <is>
          <t>FLAS</t>
        </is>
      </c>
      <c r="Z998" t="n">
        <v>935</v>
      </c>
      <c r="AA998" t="n">
        <v>2.5</v>
      </c>
      <c r="AB998" t="n">
        <v>9.5</v>
      </c>
    </row>
    <row r="999">
      <c r="A999" t="inlineStr">
        <is>
          <t>2026-09-24 15:31:50</t>
        </is>
      </c>
      <c r="B999" t="inlineStr">
        <is>
          <t>MLLB_000_y1.0.3</t>
        </is>
      </c>
      <c r="C999" t="inlineStr">
        <is>
          <t>WHITE</t>
        </is>
      </c>
      <c r="D999" t="inlineStr">
        <is>
          <t>v4_white_MLLB_000_y103_0924</t>
        </is>
      </c>
      <c r="E999" t="n">
        <v>3.4</v>
      </c>
      <c r="F999" t="n">
        <v>3.408</v>
      </c>
      <c r="G999" t="n">
        <v>15</v>
      </c>
      <c r="H999" t="n">
        <v>100</v>
      </c>
      <c r="I999" t="n">
        <v>30</v>
      </c>
      <c r="J999" t="inlineStr">
        <is>
          <t>ince</t>
        </is>
      </c>
      <c r="K999" t="b">
        <v>1</v>
      </c>
      <c r="M999" t="n">
        <v>34</v>
      </c>
      <c r="N999" t="n">
        <v>28</v>
      </c>
      <c r="O999" t="n">
        <v>14</v>
      </c>
      <c r="P999" t="n">
        <v>968</v>
      </c>
      <c r="Q999" t="n">
        <v>1002</v>
      </c>
      <c r="R999" t="n">
        <v>3.967</v>
      </c>
      <c r="S999" t="n">
        <v>141.461</v>
      </c>
      <c r="T999" t="n">
        <v>35.664</v>
      </c>
      <c r="U999" t="n">
        <v>0.7784</v>
      </c>
      <c r="V999" t="b">
        <v>1</v>
      </c>
      <c r="X999" t="b">
        <v>0</v>
      </c>
      <c r="Y999" t="inlineStr">
        <is>
          <t>FLAS</t>
        </is>
      </c>
      <c r="Z999" t="n">
        <v>935</v>
      </c>
      <c r="AA999" t="n">
        <v>2.5</v>
      </c>
      <c r="AB999" t="n">
        <v>9.5</v>
      </c>
    </row>
    <row r="1000">
      <c r="A1000" t="inlineStr">
        <is>
          <t>2026-09-24 15:32:05</t>
        </is>
      </c>
      <c r="B1000" t="inlineStr">
        <is>
          <t>MLLB_000_y1.0.3</t>
        </is>
      </c>
      <c r="C1000" t="inlineStr">
        <is>
          <t>WHITE</t>
        </is>
      </c>
      <c r="D1000" t="inlineStr">
        <is>
          <t>v4_white_MLLB_000_y103_0924</t>
        </is>
      </c>
      <c r="E1000" t="n">
        <v>3.4</v>
      </c>
      <c r="F1000" t="n">
        <v>3.408</v>
      </c>
      <c r="G1000" t="n">
        <v>15</v>
      </c>
      <c r="H1000" t="n">
        <v>100</v>
      </c>
      <c r="I1000" t="n">
        <v>31</v>
      </c>
      <c r="J1000" t="inlineStr">
        <is>
          <t>ince</t>
        </is>
      </c>
      <c r="K1000" t="b">
        <v>1</v>
      </c>
      <c r="M1000" t="n">
        <v>34</v>
      </c>
      <c r="N1000" t="n">
        <v>28</v>
      </c>
      <c r="O1000" t="n">
        <v>14</v>
      </c>
      <c r="P1000" t="n">
        <v>968</v>
      </c>
      <c r="Q1000" t="n">
        <v>1002</v>
      </c>
      <c r="R1000" t="n">
        <v>5.052</v>
      </c>
      <c r="S1000" t="n">
        <v>179.468</v>
      </c>
      <c r="T1000" t="n">
        <v>35.521</v>
      </c>
      <c r="U1000" t="n">
        <v>0.7782</v>
      </c>
      <c r="V1000" t="b">
        <v>1</v>
      </c>
      <c r="X1000" t="b">
        <v>0</v>
      </c>
      <c r="Y1000" t="inlineStr">
        <is>
          <t>FLAS</t>
        </is>
      </c>
      <c r="Z1000" t="n">
        <v>935</v>
      </c>
      <c r="AA1000" t="n">
        <v>2.5</v>
      </c>
      <c r="AB1000" t="n">
        <v>9.5</v>
      </c>
    </row>
    <row r="1001">
      <c r="A1001" t="inlineStr">
        <is>
          <t>2026-09-24 15:32:06</t>
        </is>
      </c>
      <c r="B1001" t="inlineStr">
        <is>
          <t>MLLB_000_y1.0.3</t>
        </is>
      </c>
      <c r="C1001" t="inlineStr">
        <is>
          <t>WHITE</t>
        </is>
      </c>
      <c r="D1001" t="inlineStr">
        <is>
          <t>v4_white_MLLB_000_y103_0924</t>
        </is>
      </c>
      <c r="E1001" t="n">
        <v>3.4</v>
      </c>
      <c r="F1001" t="n">
        <v>3.408</v>
      </c>
      <c r="G1001" t="n">
        <v>15</v>
      </c>
      <c r="H1001" t="n">
        <v>100</v>
      </c>
      <c r="J1001" t="inlineStr">
        <is>
          <t>bitti</t>
        </is>
      </c>
      <c r="K1001" t="b">
        <v>0</v>
      </c>
      <c r="Z1001" t="n">
        <v>935</v>
      </c>
      <c r="AA1001" t="n">
        <v>2.5</v>
      </c>
      <c r="AB1001" t="n">
        <v>9.5</v>
      </c>
    </row>
    <row r="1002">
      <c r="A1002" t="inlineStr">
        <is>
          <t>2026-09-24 15:32:22</t>
        </is>
      </c>
      <c r="B1002" t="inlineStr">
        <is>
          <t>MLLB_000_y1.0.3</t>
        </is>
      </c>
      <c r="C1002" t="inlineStr">
        <is>
          <t>WHITE</t>
        </is>
      </c>
      <c r="D1002" t="inlineStr">
        <is>
          <t>v4_white_MLLB_000_y103_0924</t>
        </is>
      </c>
      <c r="E1002" t="n">
        <v>3.4</v>
      </c>
      <c r="F1002" t="n">
        <v>3.408</v>
      </c>
      <c r="G1002" t="n">
        <v>15</v>
      </c>
      <c r="H1002" t="n">
        <v>80</v>
      </c>
      <c r="I1002" t="n">
        <v>12</v>
      </c>
      <c r="J1002" t="inlineStr">
        <is>
          <t>kaba</t>
        </is>
      </c>
      <c r="K1002" t="b">
        <v>1</v>
      </c>
      <c r="M1002" t="n">
        <v>122</v>
      </c>
      <c r="N1002" t="n">
        <v>34</v>
      </c>
      <c r="O1002" t="n">
        <v>102</v>
      </c>
      <c r="P1002" t="n">
        <v>880</v>
      </c>
      <c r="Q1002" t="n">
        <v>1002</v>
      </c>
      <c r="R1002" t="n">
        <v>1.062</v>
      </c>
      <c r="S1002" t="n">
        <v>32.946</v>
      </c>
      <c r="T1002" t="n">
        <v>31.036</v>
      </c>
      <c r="U1002" t="n">
        <v>0.7784</v>
      </c>
      <c r="V1002" t="b">
        <v>1</v>
      </c>
      <c r="X1002" t="b">
        <v>0</v>
      </c>
      <c r="Y1002" t="inlineStr">
        <is>
          <t>ON</t>
        </is>
      </c>
      <c r="Z1002" t="n">
        <v>935</v>
      </c>
      <c r="AA1002" t="n">
        <v>2.5</v>
      </c>
      <c r="AB1002" t="n">
        <v>9.5</v>
      </c>
    </row>
    <row r="1003">
      <c r="A1003" t="inlineStr">
        <is>
          <t>2026-09-24 15:32:38</t>
        </is>
      </c>
      <c r="B1003" t="inlineStr">
        <is>
          <t>MLLB_000_y1.0.3</t>
        </is>
      </c>
      <c r="C1003" t="inlineStr">
        <is>
          <t>WHITE</t>
        </is>
      </c>
      <c r="D1003" t="inlineStr">
        <is>
          <t>v4_white_MLLB_000_y103_0924</t>
        </is>
      </c>
      <c r="E1003" t="n">
        <v>3.4</v>
      </c>
      <c r="F1003" t="n">
        <v>3.408</v>
      </c>
      <c r="G1003" t="n">
        <v>15</v>
      </c>
      <c r="H1003" t="n">
        <v>80</v>
      </c>
      <c r="I1003" t="n">
        <v>16</v>
      </c>
      <c r="J1003" t="inlineStr">
        <is>
          <t>kaba</t>
        </is>
      </c>
      <c r="K1003" t="b">
        <v>1</v>
      </c>
      <c r="M1003" t="n">
        <v>102</v>
      </c>
      <c r="N1003" t="n">
        <v>32</v>
      </c>
      <c r="O1003" t="n">
        <v>82</v>
      </c>
      <c r="P1003" t="n">
        <v>900</v>
      </c>
      <c r="Q1003" t="n">
        <v>1002</v>
      </c>
      <c r="R1003" t="n">
        <v>1.06</v>
      </c>
      <c r="S1003" t="n">
        <v>32.946</v>
      </c>
      <c r="T1003" t="n">
        <v>31.069</v>
      </c>
      <c r="U1003" t="n">
        <v>0.7785</v>
      </c>
      <c r="V1003" t="b">
        <v>1</v>
      </c>
      <c r="X1003" t="b">
        <v>0</v>
      </c>
      <c r="Y1003" t="inlineStr">
        <is>
          <t>ON</t>
        </is>
      </c>
      <c r="Z1003" t="n">
        <v>935</v>
      </c>
      <c r="AA1003" t="n">
        <v>2.5</v>
      </c>
      <c r="AB1003" t="n">
        <v>9.5</v>
      </c>
    </row>
    <row r="1004">
      <c r="A1004" t="inlineStr">
        <is>
          <t>2026-09-24 15:32:53</t>
        </is>
      </c>
      <c r="B1004" t="inlineStr">
        <is>
          <t>MLLB_000_y1.0.3</t>
        </is>
      </c>
      <c r="C1004" t="inlineStr">
        <is>
          <t>WHITE</t>
        </is>
      </c>
      <c r="D1004" t="inlineStr">
        <is>
          <t>v4_white_MLLB_000_y103_0924</t>
        </is>
      </c>
      <c r="E1004" t="n">
        <v>3.4</v>
      </c>
      <c r="F1004" t="n">
        <v>3.408</v>
      </c>
      <c r="G1004" t="n">
        <v>15</v>
      </c>
      <c r="H1004" t="n">
        <v>80</v>
      </c>
      <c r="I1004" t="n">
        <v>20</v>
      </c>
      <c r="J1004" t="inlineStr">
        <is>
          <t>kaba</t>
        </is>
      </c>
      <c r="K1004" t="b">
        <v>1</v>
      </c>
      <c r="M1004" t="n">
        <v>82</v>
      </c>
      <c r="N1004" t="n">
        <v>32</v>
      </c>
      <c r="O1004" t="n">
        <v>62</v>
      </c>
      <c r="P1004" t="n">
        <v>920</v>
      </c>
      <c r="Q1004" t="n">
        <v>1002</v>
      </c>
      <c r="R1004" t="n">
        <v>1.06</v>
      </c>
      <c r="S1004" t="n">
        <v>32.946</v>
      </c>
      <c r="T1004" t="n">
        <v>31.094</v>
      </c>
      <c r="U1004" t="n">
        <v>0.7785</v>
      </c>
      <c r="V1004" t="b">
        <v>1</v>
      </c>
      <c r="X1004" t="b">
        <v>0</v>
      </c>
      <c r="Y1004" t="inlineStr">
        <is>
          <t>ON</t>
        </is>
      </c>
      <c r="Z1004" t="n">
        <v>935</v>
      </c>
      <c r="AA1004" t="n">
        <v>2.5</v>
      </c>
      <c r="AB1004" t="n">
        <v>9.5</v>
      </c>
    </row>
    <row r="1005">
      <c r="A1005" t="inlineStr">
        <is>
          <t>2026-09-24 15:33:10</t>
        </is>
      </c>
      <c r="B1005" t="inlineStr">
        <is>
          <t>MLLB_000_y1.0.3</t>
        </is>
      </c>
      <c r="C1005" t="inlineStr">
        <is>
          <t>WHITE</t>
        </is>
      </c>
      <c r="D1005" t="inlineStr">
        <is>
          <t>v4_white_MLLB_000_y103_0924</t>
        </is>
      </c>
      <c r="E1005" t="n">
        <v>3.4</v>
      </c>
      <c r="F1005" t="n">
        <v>3.408</v>
      </c>
      <c r="G1005" t="n">
        <v>15</v>
      </c>
      <c r="H1005" t="n">
        <v>80</v>
      </c>
      <c r="I1005" t="n">
        <v>24</v>
      </c>
      <c r="J1005" t="inlineStr">
        <is>
          <t>kaba</t>
        </is>
      </c>
      <c r="K1005" t="b">
        <v>1</v>
      </c>
      <c r="M1005" t="n">
        <v>62</v>
      </c>
      <c r="N1005" t="n">
        <v>32</v>
      </c>
      <c r="O1005" t="n">
        <v>42</v>
      </c>
      <c r="P1005" t="n">
        <v>940</v>
      </c>
      <c r="Q1005" t="n">
        <v>1002</v>
      </c>
      <c r="R1005" t="n">
        <v>1.059</v>
      </c>
      <c r="S1005" t="n">
        <v>32.946</v>
      </c>
      <c r="T1005" t="n">
        <v>31.124</v>
      </c>
      <c r="U1005" t="n">
        <v>0.7781</v>
      </c>
      <c r="V1005" t="b">
        <v>1</v>
      </c>
      <c r="X1005" t="b">
        <v>1</v>
      </c>
      <c r="Z1005" t="n">
        <v>935</v>
      </c>
      <c r="AA1005" t="n">
        <v>2.5</v>
      </c>
      <c r="AB1005" t="n">
        <v>9.5</v>
      </c>
    </row>
    <row r="1006">
      <c r="A1006" t="inlineStr">
        <is>
          <t>2026-09-24 15:33:26</t>
        </is>
      </c>
      <c r="B1006" t="inlineStr">
        <is>
          <t>MLLB_000_y1.0.3</t>
        </is>
      </c>
      <c r="C1006" t="inlineStr">
        <is>
          <t>WHITE</t>
        </is>
      </c>
      <c r="D1006" t="inlineStr">
        <is>
          <t>v4_white_MLLB_000_y103_0924</t>
        </is>
      </c>
      <c r="E1006" t="n">
        <v>3.4</v>
      </c>
      <c r="F1006" t="n">
        <v>3.408</v>
      </c>
      <c r="G1006" t="n">
        <v>15</v>
      </c>
      <c r="H1006" t="n">
        <v>80</v>
      </c>
      <c r="I1006" t="n">
        <v>28</v>
      </c>
      <c r="J1006" t="inlineStr">
        <is>
          <t>kaba</t>
        </is>
      </c>
      <c r="K1006" t="b">
        <v>1</v>
      </c>
      <c r="M1006" t="n">
        <v>42</v>
      </c>
      <c r="N1006" t="n">
        <v>32</v>
      </c>
      <c r="O1006" t="n">
        <v>22</v>
      </c>
      <c r="P1006" t="n">
        <v>960</v>
      </c>
      <c r="Q1006" t="n">
        <v>1002</v>
      </c>
      <c r="R1006" t="n">
        <v>1.057</v>
      </c>
      <c r="S1006" t="n">
        <v>32.895</v>
      </c>
      <c r="T1006" t="n">
        <v>31.126</v>
      </c>
      <c r="U1006" t="n">
        <v>0.7776999999999999</v>
      </c>
      <c r="V1006" t="b">
        <v>1</v>
      </c>
      <c r="X1006" t="b">
        <v>1</v>
      </c>
      <c r="Z1006" t="n">
        <v>935</v>
      </c>
      <c r="AA1006" t="n">
        <v>2.5</v>
      </c>
      <c r="AB1006" t="n">
        <v>9.5</v>
      </c>
    </row>
    <row r="1007">
      <c r="A1007" t="inlineStr">
        <is>
          <t>2026-09-24 15:33:42</t>
        </is>
      </c>
      <c r="B1007" t="inlineStr">
        <is>
          <t>MLLB_000_y1.0.3</t>
        </is>
      </c>
      <c r="C1007" t="inlineStr">
        <is>
          <t>WHITE</t>
        </is>
      </c>
      <c r="D1007" t="inlineStr">
        <is>
          <t>v4_white_MLLB_000_y103_0924</t>
        </is>
      </c>
      <c r="E1007" t="n">
        <v>3.4</v>
      </c>
      <c r="F1007" t="n">
        <v>3.408</v>
      </c>
      <c r="G1007" t="n">
        <v>15</v>
      </c>
      <c r="H1007" t="n">
        <v>80</v>
      </c>
      <c r="I1007" t="n">
        <v>32</v>
      </c>
      <c r="J1007" t="inlineStr">
        <is>
          <t>kaba</t>
        </is>
      </c>
      <c r="K1007" t="b">
        <v>1</v>
      </c>
      <c r="M1007" t="n">
        <v>38</v>
      </c>
      <c r="N1007" t="n">
        <v>28</v>
      </c>
      <c r="O1007" t="n">
        <v>18</v>
      </c>
      <c r="P1007" t="n">
        <v>964</v>
      </c>
      <c r="Q1007" t="n">
        <v>1002</v>
      </c>
      <c r="R1007" t="n">
        <v>1.057</v>
      </c>
      <c r="S1007" t="n">
        <v>32.895</v>
      </c>
      <c r="T1007" t="n">
        <v>31.116</v>
      </c>
      <c r="U1007" t="n">
        <v>0.7776999999999999</v>
      </c>
      <c r="V1007" t="b">
        <v>1</v>
      </c>
      <c r="X1007" t="b">
        <v>1</v>
      </c>
      <c r="Z1007" t="n">
        <v>935</v>
      </c>
      <c r="AA1007" t="n">
        <v>2.5</v>
      </c>
      <c r="AB1007" t="n">
        <v>9.5</v>
      </c>
    </row>
    <row r="1008">
      <c r="A1008" t="inlineStr">
        <is>
          <t>2026-09-24 15:33:57</t>
        </is>
      </c>
      <c r="B1008" t="inlineStr">
        <is>
          <t>MLLB_000_y1.0.3</t>
        </is>
      </c>
      <c r="C1008" t="inlineStr">
        <is>
          <t>WHITE</t>
        </is>
      </c>
      <c r="D1008" t="inlineStr">
        <is>
          <t>v4_white_MLLB_000_y103_0924</t>
        </is>
      </c>
      <c r="E1008" t="n">
        <v>3.4</v>
      </c>
      <c r="F1008" t="n">
        <v>3.408</v>
      </c>
      <c r="G1008" t="n">
        <v>15</v>
      </c>
      <c r="H1008" t="n">
        <v>80</v>
      </c>
      <c r="I1008" t="n">
        <v>36</v>
      </c>
      <c r="J1008" t="inlineStr">
        <is>
          <t>kaba</t>
        </is>
      </c>
      <c r="K1008" t="b">
        <v>1</v>
      </c>
      <c r="M1008" t="n">
        <v>38</v>
      </c>
      <c r="N1008" t="n">
        <v>28</v>
      </c>
      <c r="O1008" t="n">
        <v>18</v>
      </c>
      <c r="P1008" t="n">
        <v>964</v>
      </c>
      <c r="Q1008" t="n">
        <v>1002</v>
      </c>
      <c r="R1008" t="n">
        <v>3.5</v>
      </c>
      <c r="S1008" t="n">
        <v>124.814</v>
      </c>
      <c r="T1008" t="n">
        <v>35.658</v>
      </c>
      <c r="U1008" t="n">
        <v>0.7779</v>
      </c>
      <c r="V1008" t="b">
        <v>1</v>
      </c>
      <c r="X1008" t="b">
        <v>0</v>
      </c>
      <c r="Y1008" t="inlineStr">
        <is>
          <t>FLAS</t>
        </is>
      </c>
      <c r="Z1008" t="n">
        <v>935</v>
      </c>
      <c r="AA1008" t="n">
        <v>2.5</v>
      </c>
      <c r="AB1008" t="n">
        <v>9.5</v>
      </c>
    </row>
    <row r="1009">
      <c r="A1009" t="inlineStr">
        <is>
          <t>2026-09-24 15:34:14</t>
        </is>
      </c>
      <c r="B1009" t="inlineStr">
        <is>
          <t>MLLB_000_y1.0.3</t>
        </is>
      </c>
      <c r="C1009" t="inlineStr">
        <is>
          <t>WHITE</t>
        </is>
      </c>
      <c r="D1009" t="inlineStr">
        <is>
          <t>v4_white_MLLB_000_y103_0924</t>
        </is>
      </c>
      <c r="E1009" t="n">
        <v>3.4</v>
      </c>
      <c r="F1009" t="n">
        <v>3.408</v>
      </c>
      <c r="G1009" t="n">
        <v>15</v>
      </c>
      <c r="H1009" t="n">
        <v>80</v>
      </c>
      <c r="I1009" t="n">
        <v>40</v>
      </c>
      <c r="J1009" t="inlineStr">
        <is>
          <t>kaba</t>
        </is>
      </c>
      <c r="K1009" t="b">
        <v>1</v>
      </c>
      <c r="M1009" t="n">
        <v>38</v>
      </c>
      <c r="N1009" t="n">
        <v>28</v>
      </c>
      <c r="O1009" t="n">
        <v>18</v>
      </c>
      <c r="P1009" t="n">
        <v>964</v>
      </c>
      <c r="Q1009" t="n">
        <v>1002</v>
      </c>
      <c r="R1009" t="n">
        <v>5.098</v>
      </c>
      <c r="S1009" t="n">
        <v>180.993</v>
      </c>
      <c r="T1009" t="n">
        <v>35.5</v>
      </c>
      <c r="U1009" t="n">
        <v>0.778</v>
      </c>
      <c r="V1009" t="b">
        <v>1</v>
      </c>
      <c r="X1009" t="b">
        <v>0</v>
      </c>
      <c r="Y1009" t="inlineStr">
        <is>
          <t>FLAS</t>
        </is>
      </c>
      <c r="Z1009" t="n">
        <v>935</v>
      </c>
      <c r="AA1009" t="n">
        <v>2.5</v>
      </c>
      <c r="AB1009" t="n">
        <v>9.5</v>
      </c>
    </row>
    <row r="1010">
      <c r="A1010" t="inlineStr">
        <is>
          <t>2026-09-24 15:34:30</t>
        </is>
      </c>
      <c r="B1010" t="inlineStr">
        <is>
          <t>MLLB_000_y1.0.3</t>
        </is>
      </c>
      <c r="C1010" t="inlineStr">
        <is>
          <t>WHITE</t>
        </is>
      </c>
      <c r="D1010" t="inlineStr">
        <is>
          <t>v4_white_MLLB_000_y103_0924</t>
        </is>
      </c>
      <c r="E1010" t="n">
        <v>3.4</v>
      </c>
      <c r="F1010" t="n">
        <v>3.408</v>
      </c>
      <c r="G1010" t="n">
        <v>15</v>
      </c>
      <c r="H1010" t="n">
        <v>80</v>
      </c>
      <c r="I1010" t="n">
        <v>21</v>
      </c>
      <c r="J1010" t="inlineStr">
        <is>
          <t>ince</t>
        </is>
      </c>
      <c r="K1010" t="b">
        <v>1</v>
      </c>
      <c r="M1010" t="n">
        <v>78</v>
      </c>
      <c r="N1010" t="n">
        <v>34</v>
      </c>
      <c r="O1010" t="n">
        <v>58</v>
      </c>
      <c r="P1010" t="n">
        <v>924</v>
      </c>
      <c r="Q1010" t="n">
        <v>1002</v>
      </c>
      <c r="R1010" t="n">
        <v>1.06</v>
      </c>
      <c r="S1010" t="n">
        <v>32.946</v>
      </c>
      <c r="T1010" t="n">
        <v>31.086</v>
      </c>
      <c r="U1010" t="n">
        <v>0.7781</v>
      </c>
      <c r="V1010" t="b">
        <v>1</v>
      </c>
      <c r="X1010" t="b">
        <v>0</v>
      </c>
      <c r="Y1010" t="inlineStr">
        <is>
          <t>ON</t>
        </is>
      </c>
      <c r="Z1010" t="n">
        <v>935</v>
      </c>
      <c r="AA1010" t="n">
        <v>2.5</v>
      </c>
      <c r="AB1010" t="n">
        <v>9.5</v>
      </c>
    </row>
    <row r="1011">
      <c r="A1011" t="inlineStr">
        <is>
          <t>2026-09-24 15:34:46</t>
        </is>
      </c>
      <c r="B1011" t="inlineStr">
        <is>
          <t>MLLB_000_y1.0.3</t>
        </is>
      </c>
      <c r="C1011" t="inlineStr">
        <is>
          <t>WHITE</t>
        </is>
      </c>
      <c r="D1011" t="inlineStr">
        <is>
          <t>v4_white_MLLB_000_y103_0924</t>
        </is>
      </c>
      <c r="E1011" t="n">
        <v>3.4</v>
      </c>
      <c r="F1011" t="n">
        <v>3.408</v>
      </c>
      <c r="G1011" t="n">
        <v>15</v>
      </c>
      <c r="H1011" t="n">
        <v>80</v>
      </c>
      <c r="I1011" t="n">
        <v>22</v>
      </c>
      <c r="J1011" t="inlineStr">
        <is>
          <t>ince</t>
        </is>
      </c>
      <c r="K1011" t="b">
        <v>1</v>
      </c>
      <c r="M1011" t="n">
        <v>72</v>
      </c>
      <c r="N1011" t="n">
        <v>30</v>
      </c>
      <c r="O1011" t="n">
        <v>52</v>
      </c>
      <c r="P1011" t="n">
        <v>930</v>
      </c>
      <c r="Q1011" t="n">
        <v>1002</v>
      </c>
      <c r="R1011" t="n">
        <v>1.06</v>
      </c>
      <c r="S1011" t="n">
        <v>32.946</v>
      </c>
      <c r="T1011" t="n">
        <v>31.075</v>
      </c>
      <c r="U1011" t="n">
        <v>0.7778</v>
      </c>
      <c r="V1011" t="b">
        <v>1</v>
      </c>
      <c r="X1011" t="b">
        <v>0</v>
      </c>
      <c r="Y1011" t="inlineStr">
        <is>
          <t>ON</t>
        </is>
      </c>
      <c r="Z1011" t="n">
        <v>935</v>
      </c>
      <c r="AA1011" t="n">
        <v>2.5</v>
      </c>
      <c r="AB1011" t="n">
        <v>9.5</v>
      </c>
    </row>
    <row r="1012">
      <c r="A1012" t="inlineStr">
        <is>
          <t>2026-09-24 15:35:01</t>
        </is>
      </c>
      <c r="B1012" t="inlineStr">
        <is>
          <t>MLLB_000_y1.0.3</t>
        </is>
      </c>
      <c r="C1012" t="inlineStr">
        <is>
          <t>WHITE</t>
        </is>
      </c>
      <c r="D1012" t="inlineStr">
        <is>
          <t>v4_white_MLLB_000_y103_0924</t>
        </is>
      </c>
      <c r="E1012" t="n">
        <v>3.4</v>
      </c>
      <c r="F1012" t="n">
        <v>3.408</v>
      </c>
      <c r="G1012" t="n">
        <v>15</v>
      </c>
      <c r="H1012" t="n">
        <v>80</v>
      </c>
      <c r="I1012" t="n">
        <v>23</v>
      </c>
      <c r="J1012" t="inlineStr">
        <is>
          <t>ince</t>
        </is>
      </c>
      <c r="K1012" t="b">
        <v>1</v>
      </c>
      <c r="M1012" t="n">
        <v>68</v>
      </c>
      <c r="N1012" t="n">
        <v>30</v>
      </c>
      <c r="O1012" t="n">
        <v>48</v>
      </c>
      <c r="P1012" t="n">
        <v>934</v>
      </c>
      <c r="Q1012" t="n">
        <v>1002</v>
      </c>
      <c r="R1012" t="n">
        <v>1.06</v>
      </c>
      <c r="S1012" t="n">
        <v>32.946</v>
      </c>
      <c r="T1012" t="n">
        <v>31.089</v>
      </c>
      <c r="U1012" t="n">
        <v>0.778</v>
      </c>
      <c r="V1012" t="b">
        <v>1</v>
      </c>
      <c r="X1012" t="b">
        <v>0</v>
      </c>
      <c r="Y1012" t="inlineStr">
        <is>
          <t>ON</t>
        </is>
      </c>
      <c r="Z1012" t="n">
        <v>935</v>
      </c>
      <c r="AA1012" t="n">
        <v>2.5</v>
      </c>
      <c r="AB1012" t="n">
        <v>9.5</v>
      </c>
    </row>
    <row r="1013">
      <c r="A1013" t="inlineStr">
        <is>
          <t>2026-09-24 15:35:02</t>
        </is>
      </c>
      <c r="B1013" t="inlineStr">
        <is>
          <t>MLLB_000_y1.0.3</t>
        </is>
      </c>
      <c r="C1013" t="inlineStr">
        <is>
          <t>WHITE</t>
        </is>
      </c>
      <c r="D1013" t="inlineStr">
        <is>
          <t>v4_white_MLLB_000_y103_0924</t>
        </is>
      </c>
      <c r="E1013" t="n">
        <v>3.4</v>
      </c>
      <c r="F1013" t="n">
        <v>3.408</v>
      </c>
      <c r="G1013" t="n">
        <v>15</v>
      </c>
      <c r="H1013" t="n">
        <v>80</v>
      </c>
      <c r="I1013" t="n">
        <v>25</v>
      </c>
      <c r="J1013" t="inlineStr">
        <is>
          <t>ince</t>
        </is>
      </c>
      <c r="K1013" t="b">
        <v>0</v>
      </c>
      <c r="L1013" t="inlineStr">
        <is>
          <t>iki-OK-arasi-monotonluk</t>
        </is>
      </c>
      <c r="X1013" t="b">
        <v>1</v>
      </c>
      <c r="Z1013" t="n">
        <v>935</v>
      </c>
      <c r="AA1013" t="n">
        <v>2.5</v>
      </c>
      <c r="AB1013" t="n">
        <v>9.5</v>
      </c>
    </row>
    <row r="1014">
      <c r="A1014" t="inlineStr">
        <is>
          <t>2026-09-24 15:35:02</t>
        </is>
      </c>
      <c r="B1014" t="inlineStr">
        <is>
          <t>MLLB_000_y1.0.3</t>
        </is>
      </c>
      <c r="C1014" t="inlineStr">
        <is>
          <t>WHITE</t>
        </is>
      </c>
      <c r="D1014" t="inlineStr">
        <is>
          <t>v4_white_MLLB_000_y103_0924</t>
        </is>
      </c>
      <c r="E1014" t="n">
        <v>3.4</v>
      </c>
      <c r="F1014" t="n">
        <v>3.408</v>
      </c>
      <c r="G1014" t="n">
        <v>15</v>
      </c>
      <c r="H1014" t="n">
        <v>80</v>
      </c>
      <c r="I1014" t="n">
        <v>26</v>
      </c>
      <c r="J1014" t="inlineStr">
        <is>
          <t>ince</t>
        </is>
      </c>
      <c r="K1014" t="b">
        <v>0</v>
      </c>
      <c r="L1014" t="inlineStr">
        <is>
          <t>iki-OK-arasi-monotonluk</t>
        </is>
      </c>
      <c r="X1014" t="b">
        <v>1</v>
      </c>
      <c r="Z1014" t="n">
        <v>935</v>
      </c>
      <c r="AA1014" t="n">
        <v>2.5</v>
      </c>
      <c r="AB1014" t="n">
        <v>9.5</v>
      </c>
    </row>
    <row r="1015">
      <c r="A1015" t="inlineStr">
        <is>
          <t>2026-09-24 15:35:02</t>
        </is>
      </c>
      <c r="B1015" t="inlineStr">
        <is>
          <t>MLLB_000_y1.0.3</t>
        </is>
      </c>
      <c r="C1015" t="inlineStr">
        <is>
          <t>WHITE</t>
        </is>
      </c>
      <c r="D1015" t="inlineStr">
        <is>
          <t>v4_white_MLLB_000_y103_0924</t>
        </is>
      </c>
      <c r="E1015" t="n">
        <v>3.4</v>
      </c>
      <c r="F1015" t="n">
        <v>3.408</v>
      </c>
      <c r="G1015" t="n">
        <v>15</v>
      </c>
      <c r="H1015" t="n">
        <v>80</v>
      </c>
      <c r="I1015" t="n">
        <v>27</v>
      </c>
      <c r="J1015" t="inlineStr">
        <is>
          <t>ince</t>
        </is>
      </c>
      <c r="K1015" t="b">
        <v>0</v>
      </c>
      <c r="L1015" t="inlineStr">
        <is>
          <t>iki-OK-arasi-monotonluk</t>
        </is>
      </c>
      <c r="X1015" t="b">
        <v>1</v>
      </c>
      <c r="Z1015" t="n">
        <v>935</v>
      </c>
      <c r="AA1015" t="n">
        <v>2.5</v>
      </c>
      <c r="AB1015" t="n">
        <v>9.5</v>
      </c>
    </row>
    <row r="1016">
      <c r="A1016" t="inlineStr">
        <is>
          <t>2026-09-24 15:35:02</t>
        </is>
      </c>
      <c r="B1016" t="inlineStr">
        <is>
          <t>MLLB_000_y1.0.3</t>
        </is>
      </c>
      <c r="C1016" t="inlineStr">
        <is>
          <t>WHITE</t>
        </is>
      </c>
      <c r="D1016" t="inlineStr">
        <is>
          <t>v4_white_MLLB_000_y103_0924</t>
        </is>
      </c>
      <c r="E1016" t="n">
        <v>3.4</v>
      </c>
      <c r="F1016" t="n">
        <v>3.408</v>
      </c>
      <c r="G1016" t="n">
        <v>15</v>
      </c>
      <c r="H1016" t="n">
        <v>80</v>
      </c>
      <c r="I1016" t="n">
        <v>29</v>
      </c>
      <c r="J1016" t="inlineStr">
        <is>
          <t>ince</t>
        </is>
      </c>
      <c r="K1016" t="b">
        <v>0</v>
      </c>
      <c r="L1016" t="inlineStr">
        <is>
          <t>iki-OK-arasi-monotonluk</t>
        </is>
      </c>
      <c r="X1016" t="b">
        <v>1</v>
      </c>
      <c r="Z1016" t="n">
        <v>935</v>
      </c>
      <c r="AA1016" t="n">
        <v>2.5</v>
      </c>
      <c r="AB1016" t="n">
        <v>9.5</v>
      </c>
    </row>
    <row r="1017">
      <c r="A1017" t="inlineStr">
        <is>
          <t>2026-09-24 15:35:02</t>
        </is>
      </c>
      <c r="B1017" t="inlineStr">
        <is>
          <t>MLLB_000_y1.0.3</t>
        </is>
      </c>
      <c r="C1017" t="inlineStr">
        <is>
          <t>WHITE</t>
        </is>
      </c>
      <c r="D1017" t="inlineStr">
        <is>
          <t>v4_white_MLLB_000_y103_0924</t>
        </is>
      </c>
      <c r="E1017" t="n">
        <v>3.4</v>
      </c>
      <c r="F1017" t="n">
        <v>3.408</v>
      </c>
      <c r="G1017" t="n">
        <v>15</v>
      </c>
      <c r="H1017" t="n">
        <v>80</v>
      </c>
      <c r="I1017" t="n">
        <v>30</v>
      </c>
      <c r="J1017" t="inlineStr">
        <is>
          <t>ince</t>
        </is>
      </c>
      <c r="K1017" t="b">
        <v>0</v>
      </c>
      <c r="L1017" t="inlineStr">
        <is>
          <t>iki-OK-arasi-monotonluk</t>
        </is>
      </c>
      <c r="X1017" t="b">
        <v>1</v>
      </c>
      <c r="Z1017" t="n">
        <v>935</v>
      </c>
      <c r="AA1017" t="n">
        <v>2.5</v>
      </c>
      <c r="AB1017" t="n">
        <v>9.5</v>
      </c>
    </row>
    <row r="1018">
      <c r="A1018" t="inlineStr">
        <is>
          <t>2026-09-24 15:35:02</t>
        </is>
      </c>
      <c r="B1018" t="inlineStr">
        <is>
          <t>MLLB_000_y1.0.3</t>
        </is>
      </c>
      <c r="C1018" t="inlineStr">
        <is>
          <t>WHITE</t>
        </is>
      </c>
      <c r="D1018" t="inlineStr">
        <is>
          <t>v4_white_MLLB_000_y103_0924</t>
        </is>
      </c>
      <c r="E1018" t="n">
        <v>3.4</v>
      </c>
      <c r="F1018" t="n">
        <v>3.408</v>
      </c>
      <c r="G1018" t="n">
        <v>15</v>
      </c>
      <c r="H1018" t="n">
        <v>80</v>
      </c>
      <c r="I1018" t="n">
        <v>31</v>
      </c>
      <c r="J1018" t="inlineStr">
        <is>
          <t>ince</t>
        </is>
      </c>
      <c r="K1018" t="b">
        <v>0</v>
      </c>
      <c r="L1018" t="inlineStr">
        <is>
          <t>iki-OK-arasi-monotonluk</t>
        </is>
      </c>
      <c r="X1018" t="b">
        <v>1</v>
      </c>
      <c r="Z1018" t="n">
        <v>935</v>
      </c>
      <c r="AA1018" t="n">
        <v>2.5</v>
      </c>
      <c r="AB1018" t="n">
        <v>9.5</v>
      </c>
    </row>
    <row r="1019">
      <c r="A1019" t="inlineStr">
        <is>
          <t>2026-09-24 15:35:18</t>
        </is>
      </c>
      <c r="B1019" t="inlineStr">
        <is>
          <t>MLLB_000_y1.0.3</t>
        </is>
      </c>
      <c r="C1019" t="inlineStr">
        <is>
          <t>WHITE</t>
        </is>
      </c>
      <c r="D1019" t="inlineStr">
        <is>
          <t>v4_white_MLLB_000_y103_0924</t>
        </is>
      </c>
      <c r="E1019" t="n">
        <v>3.4</v>
      </c>
      <c r="F1019" t="n">
        <v>3.408</v>
      </c>
      <c r="G1019" t="n">
        <v>15</v>
      </c>
      <c r="H1019" t="n">
        <v>80</v>
      </c>
      <c r="I1019" t="n">
        <v>33</v>
      </c>
      <c r="J1019" t="inlineStr">
        <is>
          <t>ince</t>
        </is>
      </c>
      <c r="K1019" t="b">
        <v>1</v>
      </c>
      <c r="M1019" t="n">
        <v>38</v>
      </c>
      <c r="N1019" t="n">
        <v>28</v>
      </c>
      <c r="O1019" t="n">
        <v>18</v>
      </c>
      <c r="P1019" t="n">
        <v>964</v>
      </c>
      <c r="Q1019" t="n">
        <v>1002</v>
      </c>
      <c r="R1019" t="n">
        <v>1.058</v>
      </c>
      <c r="S1019" t="n">
        <v>32.946</v>
      </c>
      <c r="T1019" t="n">
        <v>31.129</v>
      </c>
      <c r="U1019" t="n">
        <v>0.7786</v>
      </c>
      <c r="V1019" t="b">
        <v>1</v>
      </c>
      <c r="X1019" t="b">
        <v>1</v>
      </c>
      <c r="Z1019" t="n">
        <v>935</v>
      </c>
      <c r="AA1019" t="n">
        <v>2.5</v>
      </c>
      <c r="AB1019" t="n">
        <v>9.5</v>
      </c>
    </row>
    <row r="1020">
      <c r="A1020" t="inlineStr">
        <is>
          <t>2026-09-24 15:35:34</t>
        </is>
      </c>
      <c r="B1020" t="inlineStr">
        <is>
          <t>MLLB_000_y1.0.3</t>
        </is>
      </c>
      <c r="C1020" t="inlineStr">
        <is>
          <t>WHITE</t>
        </is>
      </c>
      <c r="D1020" t="inlineStr">
        <is>
          <t>v4_white_MLLB_000_y103_0924</t>
        </is>
      </c>
      <c r="E1020" t="n">
        <v>3.4</v>
      </c>
      <c r="F1020" t="n">
        <v>3.408</v>
      </c>
      <c r="G1020" t="n">
        <v>15</v>
      </c>
      <c r="H1020" t="n">
        <v>80</v>
      </c>
      <c r="I1020" t="n">
        <v>34</v>
      </c>
      <c r="J1020" t="inlineStr">
        <is>
          <t>ince</t>
        </is>
      </c>
      <c r="K1020" t="b">
        <v>1</v>
      </c>
      <c r="M1020" t="n">
        <v>38</v>
      </c>
      <c r="N1020" t="n">
        <v>28</v>
      </c>
      <c r="O1020" t="n">
        <v>18</v>
      </c>
      <c r="P1020" t="n">
        <v>964</v>
      </c>
      <c r="Q1020" t="n">
        <v>1002</v>
      </c>
      <c r="R1020" t="n">
        <v>1.321</v>
      </c>
      <c r="S1020" t="n">
        <v>41.137</v>
      </c>
      <c r="T1020" t="n">
        <v>31.143</v>
      </c>
      <c r="U1020" t="n">
        <v>0.7783</v>
      </c>
      <c r="V1020" t="b">
        <v>1</v>
      </c>
      <c r="X1020" t="b">
        <v>1</v>
      </c>
      <c r="Z1020" t="n">
        <v>935</v>
      </c>
      <c r="AA1020" t="n">
        <v>2.5</v>
      </c>
      <c r="AB1020" t="n">
        <v>9.5</v>
      </c>
    </row>
    <row r="1021">
      <c r="A1021" t="inlineStr">
        <is>
          <t>2026-09-24 15:35:50</t>
        </is>
      </c>
      <c r="B1021" t="inlineStr">
        <is>
          <t>MLLB_000_y1.0.3</t>
        </is>
      </c>
      <c r="C1021" t="inlineStr">
        <is>
          <t>WHITE</t>
        </is>
      </c>
      <c r="D1021" t="inlineStr">
        <is>
          <t>v4_white_MLLB_000_y103_0924</t>
        </is>
      </c>
      <c r="E1021" t="n">
        <v>3.4</v>
      </c>
      <c r="F1021" t="n">
        <v>3.408</v>
      </c>
      <c r="G1021" t="n">
        <v>15</v>
      </c>
      <c r="H1021" t="n">
        <v>80</v>
      </c>
      <c r="I1021" t="n">
        <v>35</v>
      </c>
      <c r="J1021" t="inlineStr">
        <is>
          <t>ince</t>
        </is>
      </c>
      <c r="K1021" t="b">
        <v>1</v>
      </c>
      <c r="M1021" t="n">
        <v>38</v>
      </c>
      <c r="N1021" t="n">
        <v>28</v>
      </c>
      <c r="O1021" t="n">
        <v>18</v>
      </c>
      <c r="P1021" t="n">
        <v>964</v>
      </c>
      <c r="Q1021" t="n">
        <v>1002</v>
      </c>
      <c r="R1021" t="n">
        <v>2.195</v>
      </c>
      <c r="S1021" t="n">
        <v>78.152</v>
      </c>
      <c r="T1021" t="n">
        <v>35.601</v>
      </c>
      <c r="U1021" t="n">
        <v>0.7785</v>
      </c>
      <c r="V1021" t="b">
        <v>1</v>
      </c>
      <c r="X1021" t="b">
        <v>1</v>
      </c>
      <c r="Z1021" t="n">
        <v>935</v>
      </c>
      <c r="AA1021" t="n">
        <v>2.5</v>
      </c>
      <c r="AB1021" t="n">
        <v>9.5</v>
      </c>
    </row>
    <row r="1022">
      <c r="A1022" t="inlineStr">
        <is>
          <t>2026-09-24 15:35:50</t>
        </is>
      </c>
      <c r="B1022" t="inlineStr">
        <is>
          <t>MLLB_000_y1.0.3</t>
        </is>
      </c>
      <c r="C1022" t="inlineStr">
        <is>
          <t>WHITE</t>
        </is>
      </c>
      <c r="D1022" t="inlineStr">
        <is>
          <t>v4_white_MLLB_000_y103_0924</t>
        </is>
      </c>
      <c r="E1022" t="n">
        <v>3.4</v>
      </c>
      <c r="F1022" t="n">
        <v>3.408</v>
      </c>
      <c r="G1022" t="n">
        <v>15</v>
      </c>
      <c r="H1022" t="n">
        <v>80</v>
      </c>
      <c r="J1022" t="inlineStr">
        <is>
          <t>bitti</t>
        </is>
      </c>
      <c r="K1022" t="b">
        <v>0</v>
      </c>
      <c r="Z1022" t="n">
        <v>935</v>
      </c>
      <c r="AA1022" t="n">
        <v>2.5</v>
      </c>
      <c r="AB1022" t="n">
        <v>9.5</v>
      </c>
    </row>
    <row r="1023">
      <c r="A1023" t="inlineStr">
        <is>
          <t>2026-09-24 15:36:06</t>
        </is>
      </c>
      <c r="B1023" t="inlineStr">
        <is>
          <t>MLLB_000_y1.0.3</t>
        </is>
      </c>
      <c r="C1023" t="inlineStr">
        <is>
          <t>WHITE</t>
        </is>
      </c>
      <c r="D1023" t="inlineStr">
        <is>
          <t>v4_white_MLLB_000_y103_0924</t>
        </is>
      </c>
      <c r="E1023" t="n">
        <v>3.4</v>
      </c>
      <c r="F1023" t="n">
        <v>3.408</v>
      </c>
      <c r="G1023" t="n">
        <v>15</v>
      </c>
      <c r="H1023" t="n">
        <v>60</v>
      </c>
      <c r="I1023" t="n">
        <v>12</v>
      </c>
      <c r="J1023" t="inlineStr">
        <is>
          <t>kaba</t>
        </is>
      </c>
      <c r="K1023" t="b">
        <v>1</v>
      </c>
      <c r="M1023" t="n">
        <v>136</v>
      </c>
      <c r="N1023" t="n">
        <v>30</v>
      </c>
      <c r="O1023" t="n">
        <v>116</v>
      </c>
      <c r="P1023" t="n">
        <v>866</v>
      </c>
      <c r="Q1023" t="n">
        <v>1002</v>
      </c>
      <c r="R1023" t="n">
        <v>1.062</v>
      </c>
      <c r="S1023" t="n">
        <v>32.946</v>
      </c>
      <c r="T1023" t="n">
        <v>31.023</v>
      </c>
      <c r="U1023" t="n">
        <v>0.7778</v>
      </c>
      <c r="V1023" t="b">
        <v>1</v>
      </c>
      <c r="X1023" t="b">
        <v>0</v>
      </c>
      <c r="Y1023" t="inlineStr">
        <is>
          <t>ON</t>
        </is>
      </c>
      <c r="Z1023" t="n">
        <v>935</v>
      </c>
      <c r="AA1023" t="n">
        <v>2.5</v>
      </c>
      <c r="AB1023" t="n">
        <v>9.5</v>
      </c>
    </row>
    <row r="1024">
      <c r="A1024" t="inlineStr">
        <is>
          <t>2026-09-24 15:36:22</t>
        </is>
      </c>
      <c r="B1024" t="inlineStr">
        <is>
          <t>MLLB_000_y1.0.3</t>
        </is>
      </c>
      <c r="C1024" t="inlineStr">
        <is>
          <t>WHITE</t>
        </is>
      </c>
      <c r="D1024" t="inlineStr">
        <is>
          <t>v4_white_MLLB_000_y103_0924</t>
        </is>
      </c>
      <c r="E1024" t="n">
        <v>3.4</v>
      </c>
      <c r="F1024" t="n">
        <v>3.408</v>
      </c>
      <c r="G1024" t="n">
        <v>15</v>
      </c>
      <c r="H1024" t="n">
        <v>60</v>
      </c>
      <c r="I1024" t="n">
        <v>16</v>
      </c>
      <c r="J1024" t="inlineStr">
        <is>
          <t>kaba</t>
        </is>
      </c>
      <c r="K1024" t="b">
        <v>1</v>
      </c>
      <c r="M1024" t="n">
        <v>122</v>
      </c>
      <c r="N1024" t="n">
        <v>32</v>
      </c>
      <c r="O1024" t="n">
        <v>102</v>
      </c>
      <c r="P1024" t="n">
        <v>880</v>
      </c>
      <c r="Q1024" t="n">
        <v>1002</v>
      </c>
      <c r="R1024" t="n">
        <v>1.062</v>
      </c>
      <c r="S1024" t="n">
        <v>32.946</v>
      </c>
      <c r="T1024" t="n">
        <v>31.034</v>
      </c>
      <c r="U1024" t="n">
        <v>0.7785</v>
      </c>
      <c r="V1024" t="b">
        <v>1</v>
      </c>
      <c r="X1024" t="b">
        <v>0</v>
      </c>
      <c r="Y1024" t="inlineStr">
        <is>
          <t>ON</t>
        </is>
      </c>
      <c r="Z1024" t="n">
        <v>935</v>
      </c>
      <c r="AA1024" t="n">
        <v>2.5</v>
      </c>
      <c r="AB1024" t="n">
        <v>9.5</v>
      </c>
    </row>
    <row r="1025">
      <c r="A1025" t="inlineStr">
        <is>
          <t>2026-09-24 15:36:38</t>
        </is>
      </c>
      <c r="B1025" t="inlineStr">
        <is>
          <t>MLLB_000_y1.0.3</t>
        </is>
      </c>
      <c r="C1025" t="inlineStr">
        <is>
          <t>WHITE</t>
        </is>
      </c>
      <c r="D1025" t="inlineStr">
        <is>
          <t>v4_white_MLLB_000_y103_0924</t>
        </is>
      </c>
      <c r="E1025" t="n">
        <v>3.4</v>
      </c>
      <c r="F1025" t="n">
        <v>3.408</v>
      </c>
      <c r="G1025" t="n">
        <v>15</v>
      </c>
      <c r="H1025" t="n">
        <v>60</v>
      </c>
      <c r="I1025" t="n">
        <v>20</v>
      </c>
      <c r="J1025" t="inlineStr">
        <is>
          <t>kaba</t>
        </is>
      </c>
      <c r="K1025" t="b">
        <v>1</v>
      </c>
      <c r="M1025" t="n">
        <v>110</v>
      </c>
      <c r="N1025" t="n">
        <v>34</v>
      </c>
      <c r="O1025" t="n">
        <v>90</v>
      </c>
      <c r="P1025" t="n">
        <v>892</v>
      </c>
      <c r="Q1025" t="n">
        <v>1002</v>
      </c>
      <c r="R1025" t="n">
        <v>1.062</v>
      </c>
      <c r="S1025" t="n">
        <v>32.974</v>
      </c>
      <c r="T1025" t="n">
        <v>31.064</v>
      </c>
      <c r="U1025" t="n">
        <v>0.7778</v>
      </c>
      <c r="V1025" t="b">
        <v>1</v>
      </c>
      <c r="X1025" t="b">
        <v>0</v>
      </c>
      <c r="Y1025" t="inlineStr">
        <is>
          <t>ON</t>
        </is>
      </c>
      <c r="Z1025" t="n">
        <v>935</v>
      </c>
      <c r="AA1025" t="n">
        <v>2.5</v>
      </c>
      <c r="AB1025" t="n">
        <v>9.5</v>
      </c>
    </row>
    <row r="1026">
      <c r="A1026" t="inlineStr">
        <is>
          <t>2026-09-24 15:36:54</t>
        </is>
      </c>
      <c r="B1026" t="inlineStr">
        <is>
          <t>MLLB_000_y1.0.3</t>
        </is>
      </c>
      <c r="C1026" t="inlineStr">
        <is>
          <t>WHITE</t>
        </is>
      </c>
      <c r="D1026" t="inlineStr">
        <is>
          <t>v4_white_MLLB_000_y103_0924</t>
        </is>
      </c>
      <c r="E1026" t="n">
        <v>3.4</v>
      </c>
      <c r="F1026" t="n">
        <v>3.408</v>
      </c>
      <c r="G1026" t="n">
        <v>15</v>
      </c>
      <c r="H1026" t="n">
        <v>60</v>
      </c>
      <c r="I1026" t="n">
        <v>24</v>
      </c>
      <c r="J1026" t="inlineStr">
        <is>
          <t>kaba</t>
        </is>
      </c>
      <c r="K1026" t="b">
        <v>1</v>
      </c>
      <c r="M1026" t="n">
        <v>96</v>
      </c>
      <c r="N1026" t="n">
        <v>30</v>
      </c>
      <c r="O1026" t="n">
        <v>76</v>
      </c>
      <c r="P1026" t="n">
        <v>906</v>
      </c>
      <c r="Q1026" t="n">
        <v>1002</v>
      </c>
      <c r="R1026" t="n">
        <v>1.059</v>
      </c>
      <c r="S1026" t="n">
        <v>32.895</v>
      </c>
      <c r="T1026" t="n">
        <v>31.068</v>
      </c>
      <c r="U1026" t="n">
        <v>0.7785</v>
      </c>
      <c r="V1026" t="b">
        <v>1</v>
      </c>
      <c r="X1026" t="b">
        <v>0</v>
      </c>
      <c r="Y1026" t="inlineStr">
        <is>
          <t>ON</t>
        </is>
      </c>
      <c r="Z1026" t="n">
        <v>935</v>
      </c>
      <c r="AA1026" t="n">
        <v>2.5</v>
      </c>
      <c r="AB1026" t="n">
        <v>9.5</v>
      </c>
    </row>
    <row r="1027">
      <c r="A1027" t="inlineStr">
        <is>
          <t>2026-09-24 15:37:10</t>
        </is>
      </c>
      <c r="B1027" t="inlineStr">
        <is>
          <t>MLLB_000_y1.0.3</t>
        </is>
      </c>
      <c r="C1027" t="inlineStr">
        <is>
          <t>WHITE</t>
        </is>
      </c>
      <c r="D1027" t="inlineStr">
        <is>
          <t>v4_white_MLLB_000_y103_0924</t>
        </is>
      </c>
      <c r="E1027" t="n">
        <v>3.4</v>
      </c>
      <c r="F1027" t="n">
        <v>3.408</v>
      </c>
      <c r="G1027" t="n">
        <v>15</v>
      </c>
      <c r="H1027" t="n">
        <v>60</v>
      </c>
      <c r="I1027" t="n">
        <v>28</v>
      </c>
      <c r="J1027" t="inlineStr">
        <is>
          <t>kaba</t>
        </is>
      </c>
      <c r="K1027" t="b">
        <v>1</v>
      </c>
      <c r="M1027" t="n">
        <v>82</v>
      </c>
      <c r="N1027" t="n">
        <v>32</v>
      </c>
      <c r="O1027" t="n">
        <v>62</v>
      </c>
      <c r="P1027" t="n">
        <v>920</v>
      </c>
      <c r="Q1027" t="n">
        <v>1002</v>
      </c>
      <c r="R1027" t="n">
        <v>1.063</v>
      </c>
      <c r="S1027" t="n">
        <v>33.048</v>
      </c>
      <c r="T1027" t="n">
        <v>31.096</v>
      </c>
      <c r="U1027" t="n">
        <v>0.7784</v>
      </c>
      <c r="V1027" t="b">
        <v>1</v>
      </c>
      <c r="X1027" t="b">
        <v>0</v>
      </c>
      <c r="Y1027" t="inlineStr">
        <is>
          <t>ON</t>
        </is>
      </c>
      <c r="Z1027" t="n">
        <v>935</v>
      </c>
      <c r="AA1027" t="n">
        <v>2.5</v>
      </c>
      <c r="AB1027" t="n">
        <v>9.5</v>
      </c>
    </row>
    <row r="1028">
      <c r="A1028" t="inlineStr">
        <is>
          <t>2026-09-24 15:37:26</t>
        </is>
      </c>
      <c r="B1028" t="inlineStr">
        <is>
          <t>MLLB_000_y1.0.3</t>
        </is>
      </c>
      <c r="C1028" t="inlineStr">
        <is>
          <t>WHITE</t>
        </is>
      </c>
      <c r="D1028" t="inlineStr">
        <is>
          <t>v4_white_MLLB_000_y103_0924</t>
        </is>
      </c>
      <c r="E1028" t="n">
        <v>3.4</v>
      </c>
      <c r="F1028" t="n">
        <v>3.408</v>
      </c>
      <c r="G1028" t="n">
        <v>15</v>
      </c>
      <c r="H1028" t="n">
        <v>60</v>
      </c>
      <c r="I1028" t="n">
        <v>32</v>
      </c>
      <c r="J1028" t="inlineStr">
        <is>
          <t>kaba</t>
        </is>
      </c>
      <c r="K1028" t="b">
        <v>1</v>
      </c>
      <c r="M1028" t="n">
        <v>68</v>
      </c>
      <c r="N1028" t="n">
        <v>30</v>
      </c>
      <c r="O1028" t="n">
        <v>48</v>
      </c>
      <c r="P1028" t="n">
        <v>934</v>
      </c>
      <c r="Q1028" t="n">
        <v>1002</v>
      </c>
      <c r="R1028" t="n">
        <v>1.059</v>
      </c>
      <c r="S1028" t="n">
        <v>32.983</v>
      </c>
      <c r="T1028" t="n">
        <v>31.141</v>
      </c>
      <c r="U1028" t="n">
        <v>0.7786</v>
      </c>
      <c r="V1028" t="b">
        <v>1</v>
      </c>
      <c r="X1028" t="b">
        <v>0</v>
      </c>
      <c r="Y1028" t="inlineStr">
        <is>
          <t>ON</t>
        </is>
      </c>
      <c r="Z1028" t="n">
        <v>935</v>
      </c>
      <c r="AA1028" t="n">
        <v>2.5</v>
      </c>
      <c r="AB1028" t="n">
        <v>9.5</v>
      </c>
    </row>
    <row r="1029">
      <c r="A1029" t="inlineStr">
        <is>
          <t>2026-09-24 15:37:42</t>
        </is>
      </c>
      <c r="B1029" t="inlineStr">
        <is>
          <t>MLLB_000_y1.0.3</t>
        </is>
      </c>
      <c r="C1029" t="inlineStr">
        <is>
          <t>WHITE</t>
        </is>
      </c>
      <c r="D1029" t="inlineStr">
        <is>
          <t>v4_white_MLLB_000_y103_0924</t>
        </is>
      </c>
      <c r="E1029" t="n">
        <v>3.4</v>
      </c>
      <c r="F1029" t="n">
        <v>3.408</v>
      </c>
      <c r="G1029" t="n">
        <v>15</v>
      </c>
      <c r="H1029" t="n">
        <v>60</v>
      </c>
      <c r="I1029" t="n">
        <v>36</v>
      </c>
      <c r="J1029" t="inlineStr">
        <is>
          <t>kaba</t>
        </is>
      </c>
      <c r="K1029" t="b">
        <v>1</v>
      </c>
      <c r="M1029" t="n">
        <v>54</v>
      </c>
      <c r="N1029" t="n">
        <v>32</v>
      </c>
      <c r="O1029" t="n">
        <v>34</v>
      </c>
      <c r="P1029" t="n">
        <v>948</v>
      </c>
      <c r="Q1029" t="n">
        <v>1002</v>
      </c>
      <c r="R1029" t="n">
        <v>1.059</v>
      </c>
      <c r="S1029" t="n">
        <v>32.946</v>
      </c>
      <c r="T1029" t="n">
        <v>31.122</v>
      </c>
      <c r="U1029" t="n">
        <v>0.7783</v>
      </c>
      <c r="V1029" t="b">
        <v>1</v>
      </c>
      <c r="X1029" t="b">
        <v>1</v>
      </c>
      <c r="Z1029" t="n">
        <v>935</v>
      </c>
      <c r="AA1029" t="n">
        <v>2.5</v>
      </c>
      <c r="AB1029" t="n">
        <v>9.5</v>
      </c>
    </row>
    <row r="1030">
      <c r="A1030" t="inlineStr">
        <is>
          <t>2026-09-24 15:37:58</t>
        </is>
      </c>
      <c r="B1030" t="inlineStr">
        <is>
          <t>MLLB_000_y1.0.3</t>
        </is>
      </c>
      <c r="C1030" t="inlineStr">
        <is>
          <t>WHITE</t>
        </is>
      </c>
      <c r="D1030" t="inlineStr">
        <is>
          <t>v4_white_MLLB_000_y103_0924</t>
        </is>
      </c>
      <c r="E1030" t="n">
        <v>3.4</v>
      </c>
      <c r="F1030" t="n">
        <v>3.408</v>
      </c>
      <c r="G1030" t="n">
        <v>15</v>
      </c>
      <c r="H1030" t="n">
        <v>60</v>
      </c>
      <c r="I1030" t="n">
        <v>40</v>
      </c>
      <c r="J1030" t="inlineStr">
        <is>
          <t>kaba</t>
        </is>
      </c>
      <c r="K1030" t="b">
        <v>1</v>
      </c>
      <c r="M1030" t="n">
        <v>46</v>
      </c>
      <c r="N1030" t="n">
        <v>28</v>
      </c>
      <c r="O1030" t="n">
        <v>26</v>
      </c>
      <c r="P1030" t="n">
        <v>956</v>
      </c>
      <c r="Q1030" t="n">
        <v>1002</v>
      </c>
      <c r="R1030" t="n">
        <v>1.061</v>
      </c>
      <c r="S1030" t="n">
        <v>33.048</v>
      </c>
      <c r="T1030" t="n">
        <v>31.135</v>
      </c>
      <c r="U1030" t="n">
        <v>0.7788</v>
      </c>
      <c r="V1030" t="b">
        <v>1</v>
      </c>
      <c r="X1030" t="b">
        <v>1</v>
      </c>
      <c r="Z1030" t="n">
        <v>935</v>
      </c>
      <c r="AA1030" t="n">
        <v>2.5</v>
      </c>
      <c r="AB1030" t="n">
        <v>9.5</v>
      </c>
    </row>
    <row r="1031">
      <c r="A1031" t="inlineStr">
        <is>
          <t>2026-09-24 15:38:14</t>
        </is>
      </c>
      <c r="B1031" t="inlineStr">
        <is>
          <t>MLLB_000_y1.0.3</t>
        </is>
      </c>
      <c r="C1031" t="inlineStr">
        <is>
          <t>WHITE</t>
        </is>
      </c>
      <c r="D1031" t="inlineStr">
        <is>
          <t>v4_white_MLLB_000_y103_0924</t>
        </is>
      </c>
      <c r="E1031" t="n">
        <v>3.4</v>
      </c>
      <c r="F1031" t="n">
        <v>3.408</v>
      </c>
      <c r="G1031" t="n">
        <v>15</v>
      </c>
      <c r="H1031" t="n">
        <v>60</v>
      </c>
      <c r="I1031" t="n">
        <v>44</v>
      </c>
      <c r="J1031" t="inlineStr">
        <is>
          <t>kaba</t>
        </is>
      </c>
      <c r="K1031" t="b">
        <v>1</v>
      </c>
      <c r="M1031" t="n">
        <v>46</v>
      </c>
      <c r="N1031" t="n">
        <v>28</v>
      </c>
      <c r="O1031" t="n">
        <v>26</v>
      </c>
      <c r="P1031" t="n">
        <v>956</v>
      </c>
      <c r="Q1031" t="n">
        <v>1002</v>
      </c>
      <c r="R1031" t="n">
        <v>1.076</v>
      </c>
      <c r="S1031" t="n">
        <v>33.479</v>
      </c>
      <c r="T1031" t="n">
        <v>31.125</v>
      </c>
      <c r="U1031" t="n">
        <v>0.7784</v>
      </c>
      <c r="V1031" t="b">
        <v>1</v>
      </c>
      <c r="X1031" t="b">
        <v>1</v>
      </c>
      <c r="Z1031" t="n">
        <v>935</v>
      </c>
      <c r="AA1031" t="n">
        <v>2.5</v>
      </c>
      <c r="AB1031" t="n">
        <v>9.5</v>
      </c>
    </row>
    <row r="1032">
      <c r="A1032" t="inlineStr">
        <is>
          <t>2026-09-24 15:38:30</t>
        </is>
      </c>
      <c r="B1032" t="inlineStr">
        <is>
          <t>MLLB_000_y1.0.3</t>
        </is>
      </c>
      <c r="C1032" t="inlineStr">
        <is>
          <t>WHITE</t>
        </is>
      </c>
      <c r="D1032" t="inlineStr">
        <is>
          <t>v4_white_MLLB_000_y103_0924</t>
        </is>
      </c>
      <c r="E1032" t="n">
        <v>3.4</v>
      </c>
      <c r="F1032" t="n">
        <v>3.408</v>
      </c>
      <c r="G1032" t="n">
        <v>15</v>
      </c>
      <c r="H1032" t="n">
        <v>60</v>
      </c>
      <c r="I1032" t="n">
        <v>48</v>
      </c>
      <c r="J1032" t="inlineStr">
        <is>
          <t>kaba</t>
        </is>
      </c>
      <c r="K1032" t="b">
        <v>1</v>
      </c>
      <c r="M1032" t="n">
        <v>46</v>
      </c>
      <c r="N1032" t="n">
        <v>28</v>
      </c>
      <c r="O1032" t="n">
        <v>26</v>
      </c>
      <c r="P1032" t="n">
        <v>956</v>
      </c>
      <c r="Q1032" t="n">
        <v>1002</v>
      </c>
      <c r="R1032" t="n">
        <v>3.216</v>
      </c>
      <c r="S1032" t="n">
        <v>115.032</v>
      </c>
      <c r="T1032" t="n">
        <v>35.772</v>
      </c>
      <c r="U1032" t="n">
        <v>0.7781</v>
      </c>
      <c r="V1032" t="b">
        <v>1</v>
      </c>
      <c r="X1032" t="b">
        <v>0</v>
      </c>
      <c r="Y1032" t="inlineStr">
        <is>
          <t>FLAS</t>
        </is>
      </c>
      <c r="Z1032" t="n">
        <v>935</v>
      </c>
      <c r="AA1032" t="n">
        <v>2.5</v>
      </c>
      <c r="AB1032" t="n">
        <v>9.5</v>
      </c>
    </row>
    <row r="1033">
      <c r="A1033" t="inlineStr">
        <is>
          <t>2026-09-24 15:38:46</t>
        </is>
      </c>
      <c r="B1033" t="inlineStr">
        <is>
          <t>MLLB_000_y1.0.3</t>
        </is>
      </c>
      <c r="C1033" t="inlineStr">
        <is>
          <t>WHITE</t>
        </is>
      </c>
      <c r="D1033" t="inlineStr">
        <is>
          <t>v4_white_MLLB_000_y103_0924</t>
        </is>
      </c>
      <c r="E1033" t="n">
        <v>3.4</v>
      </c>
      <c r="F1033" t="n">
        <v>3.408</v>
      </c>
      <c r="G1033" t="n">
        <v>15</v>
      </c>
      <c r="H1033" t="n">
        <v>60</v>
      </c>
      <c r="I1033" t="n">
        <v>52</v>
      </c>
      <c r="J1033" t="inlineStr">
        <is>
          <t>kaba</t>
        </is>
      </c>
      <c r="K1033" t="b">
        <v>1</v>
      </c>
      <c r="M1033" t="n">
        <v>46</v>
      </c>
      <c r="N1033" t="n">
        <v>28</v>
      </c>
      <c r="O1033" t="n">
        <v>26</v>
      </c>
      <c r="P1033" t="n">
        <v>956</v>
      </c>
      <c r="Q1033" t="n">
        <v>1002</v>
      </c>
      <c r="R1033" t="n">
        <v>3.88</v>
      </c>
      <c r="S1033" t="n">
        <v>138.431</v>
      </c>
      <c r="T1033" t="n">
        <v>35.682</v>
      </c>
      <c r="U1033" t="n">
        <v>0.7781</v>
      </c>
      <c r="V1033" t="b">
        <v>1</v>
      </c>
      <c r="X1033" t="b">
        <v>0</v>
      </c>
      <c r="Y1033" t="inlineStr">
        <is>
          <t>FLAS</t>
        </is>
      </c>
      <c r="Z1033" t="n">
        <v>935</v>
      </c>
      <c r="AA1033" t="n">
        <v>2.5</v>
      </c>
      <c r="AB1033" t="n">
        <v>9.5</v>
      </c>
    </row>
    <row r="1034">
      <c r="A1034" t="inlineStr">
        <is>
          <t>2026-09-24 15:39:01</t>
        </is>
      </c>
      <c r="B1034" t="inlineStr">
        <is>
          <t>MLLB_000_y1.0.3</t>
        </is>
      </c>
      <c r="C1034" t="inlineStr">
        <is>
          <t>WHITE</t>
        </is>
      </c>
      <c r="D1034" t="inlineStr">
        <is>
          <t>v4_white_MLLB_000_y103_0924</t>
        </is>
      </c>
      <c r="E1034" t="n">
        <v>3.4</v>
      </c>
      <c r="F1034" t="n">
        <v>3.408</v>
      </c>
      <c r="G1034" t="n">
        <v>15</v>
      </c>
      <c r="H1034" t="n">
        <v>60</v>
      </c>
      <c r="I1034" t="n">
        <v>33</v>
      </c>
      <c r="J1034" t="inlineStr">
        <is>
          <t>ince</t>
        </is>
      </c>
      <c r="K1034" t="b">
        <v>1</v>
      </c>
      <c r="M1034" t="n">
        <v>64</v>
      </c>
      <c r="N1034" t="n">
        <v>28</v>
      </c>
      <c r="O1034" t="n">
        <v>46</v>
      </c>
      <c r="P1034" t="n">
        <v>938</v>
      </c>
      <c r="Q1034" t="n">
        <v>1002</v>
      </c>
      <c r="R1034" t="n">
        <v>1.059</v>
      </c>
      <c r="S1034" t="n">
        <v>32.946</v>
      </c>
      <c r="T1034" t="n">
        <v>31.123</v>
      </c>
      <c r="U1034" t="n">
        <v>0.7786999999999999</v>
      </c>
      <c r="V1034" t="b">
        <v>1</v>
      </c>
      <c r="X1034" t="b">
        <v>1</v>
      </c>
      <c r="Z1034" t="n">
        <v>935</v>
      </c>
      <c r="AA1034" t="n">
        <v>2.5</v>
      </c>
      <c r="AB1034" t="n">
        <v>9.5</v>
      </c>
    </row>
    <row r="1035">
      <c r="A1035" t="inlineStr">
        <is>
          <t>2026-09-24 15:39:18</t>
        </is>
      </c>
      <c r="B1035" t="inlineStr">
        <is>
          <t>MLLB_000_y1.0.3</t>
        </is>
      </c>
      <c r="C1035" t="inlineStr">
        <is>
          <t>WHITE</t>
        </is>
      </c>
      <c r="D1035" t="inlineStr">
        <is>
          <t>v4_white_MLLB_000_y103_0924</t>
        </is>
      </c>
      <c r="E1035" t="n">
        <v>3.4</v>
      </c>
      <c r="F1035" t="n">
        <v>3.408</v>
      </c>
      <c r="G1035" t="n">
        <v>15</v>
      </c>
      <c r="H1035" t="n">
        <v>60</v>
      </c>
      <c r="I1035" t="n">
        <v>34</v>
      </c>
      <c r="J1035" t="inlineStr">
        <is>
          <t>ince</t>
        </is>
      </c>
      <c r="K1035" t="b">
        <v>1</v>
      </c>
      <c r="M1035" t="n">
        <v>62</v>
      </c>
      <c r="N1035" t="n">
        <v>32</v>
      </c>
      <c r="O1035" t="n">
        <v>42</v>
      </c>
      <c r="P1035" t="n">
        <v>940</v>
      </c>
      <c r="Q1035" t="n">
        <v>1002</v>
      </c>
      <c r="R1035" t="n">
        <v>1.058</v>
      </c>
      <c r="S1035" t="n">
        <v>32.946</v>
      </c>
      <c r="T1035" t="n">
        <v>31.135</v>
      </c>
      <c r="U1035" t="n">
        <v>0.7784</v>
      </c>
      <c r="V1035" t="b">
        <v>1</v>
      </c>
      <c r="X1035" t="b">
        <v>1</v>
      </c>
      <c r="Z1035" t="n">
        <v>935</v>
      </c>
      <c r="AA1035" t="n">
        <v>2.5</v>
      </c>
      <c r="AB1035" t="n">
        <v>9.5</v>
      </c>
    </row>
    <row r="1036">
      <c r="A1036" t="inlineStr">
        <is>
          <t>2026-09-24 15:39:34</t>
        </is>
      </c>
      <c r="B1036" t="inlineStr">
        <is>
          <t>MLLB_000_y1.0.3</t>
        </is>
      </c>
      <c r="C1036" t="inlineStr">
        <is>
          <t>WHITE</t>
        </is>
      </c>
      <c r="D1036" t="inlineStr">
        <is>
          <t>v4_white_MLLB_000_y103_0924</t>
        </is>
      </c>
      <c r="E1036" t="n">
        <v>3.4</v>
      </c>
      <c r="F1036" t="n">
        <v>3.408</v>
      </c>
      <c r="G1036" t="n">
        <v>15</v>
      </c>
      <c r="H1036" t="n">
        <v>60</v>
      </c>
      <c r="I1036" t="n">
        <v>35</v>
      </c>
      <c r="J1036" t="inlineStr">
        <is>
          <t>ince</t>
        </is>
      </c>
      <c r="K1036" t="b">
        <v>1</v>
      </c>
      <c r="M1036" t="n">
        <v>58</v>
      </c>
      <c r="N1036" t="n">
        <v>32</v>
      </c>
      <c r="O1036" t="n">
        <v>38</v>
      </c>
      <c r="P1036" t="n">
        <v>944</v>
      </c>
      <c r="Q1036" t="n">
        <v>1002</v>
      </c>
      <c r="R1036" t="n">
        <v>1.059</v>
      </c>
      <c r="S1036" t="n">
        <v>32.946</v>
      </c>
      <c r="T1036" t="n">
        <v>31.105</v>
      </c>
      <c r="U1036" t="n">
        <v>0.778</v>
      </c>
      <c r="V1036" t="b">
        <v>1</v>
      </c>
      <c r="X1036" t="b">
        <v>1</v>
      </c>
      <c r="Z1036" t="n">
        <v>935</v>
      </c>
      <c r="AA1036" t="n">
        <v>2.5</v>
      </c>
      <c r="AB1036" t="n">
        <v>9.5</v>
      </c>
    </row>
    <row r="1037">
      <c r="A1037" t="inlineStr">
        <is>
          <t>2026-09-24 15:39:34</t>
        </is>
      </c>
      <c r="B1037" t="inlineStr">
        <is>
          <t>MLLB_000_y1.0.3</t>
        </is>
      </c>
      <c r="C1037" t="inlineStr">
        <is>
          <t>WHITE</t>
        </is>
      </c>
      <c r="D1037" t="inlineStr">
        <is>
          <t>v4_white_MLLB_000_y103_0924</t>
        </is>
      </c>
      <c r="E1037" t="n">
        <v>3.4</v>
      </c>
      <c r="F1037" t="n">
        <v>3.408</v>
      </c>
      <c r="G1037" t="n">
        <v>15</v>
      </c>
      <c r="H1037" t="n">
        <v>60</v>
      </c>
      <c r="I1037" t="n">
        <v>37</v>
      </c>
      <c r="J1037" t="inlineStr">
        <is>
          <t>ince</t>
        </is>
      </c>
      <c r="K1037" t="b">
        <v>0</v>
      </c>
      <c r="L1037" t="inlineStr">
        <is>
          <t>iki-OK-arasi-monotonluk</t>
        </is>
      </c>
      <c r="X1037" t="b">
        <v>1</v>
      </c>
      <c r="Z1037" t="n">
        <v>935</v>
      </c>
      <c r="AA1037" t="n">
        <v>2.5</v>
      </c>
      <c r="AB1037" t="n">
        <v>9.5</v>
      </c>
    </row>
    <row r="1038">
      <c r="A1038" t="inlineStr">
        <is>
          <t>2026-09-24 15:39:34</t>
        </is>
      </c>
      <c r="B1038" t="inlineStr">
        <is>
          <t>MLLB_000_y1.0.3</t>
        </is>
      </c>
      <c r="C1038" t="inlineStr">
        <is>
          <t>WHITE</t>
        </is>
      </c>
      <c r="D1038" t="inlineStr">
        <is>
          <t>v4_white_MLLB_000_y103_0924</t>
        </is>
      </c>
      <c r="E1038" t="n">
        <v>3.4</v>
      </c>
      <c r="F1038" t="n">
        <v>3.408</v>
      </c>
      <c r="G1038" t="n">
        <v>15</v>
      </c>
      <c r="H1038" t="n">
        <v>60</v>
      </c>
      <c r="I1038" t="n">
        <v>38</v>
      </c>
      <c r="J1038" t="inlineStr">
        <is>
          <t>ince</t>
        </is>
      </c>
      <c r="K1038" t="b">
        <v>0</v>
      </c>
      <c r="L1038" t="inlineStr">
        <is>
          <t>iki-OK-arasi-monotonluk</t>
        </is>
      </c>
      <c r="X1038" t="b">
        <v>1</v>
      </c>
      <c r="Z1038" t="n">
        <v>935</v>
      </c>
      <c r="AA1038" t="n">
        <v>2.5</v>
      </c>
      <c r="AB1038" t="n">
        <v>9.5</v>
      </c>
    </row>
    <row r="1039">
      <c r="A1039" t="inlineStr">
        <is>
          <t>2026-09-24 15:39:34</t>
        </is>
      </c>
      <c r="B1039" t="inlineStr">
        <is>
          <t>MLLB_000_y1.0.3</t>
        </is>
      </c>
      <c r="C1039" t="inlineStr">
        <is>
          <t>WHITE</t>
        </is>
      </c>
      <c r="D1039" t="inlineStr">
        <is>
          <t>v4_white_MLLB_000_y103_0924</t>
        </is>
      </c>
      <c r="E1039" t="n">
        <v>3.4</v>
      </c>
      <c r="F1039" t="n">
        <v>3.408</v>
      </c>
      <c r="G1039" t="n">
        <v>15</v>
      </c>
      <c r="H1039" t="n">
        <v>60</v>
      </c>
      <c r="I1039" t="n">
        <v>39</v>
      </c>
      <c r="J1039" t="inlineStr">
        <is>
          <t>ince</t>
        </is>
      </c>
      <c r="K1039" t="b">
        <v>0</v>
      </c>
      <c r="L1039" t="inlineStr">
        <is>
          <t>iki-OK-arasi-monotonluk</t>
        </is>
      </c>
      <c r="X1039" t="b">
        <v>1</v>
      </c>
      <c r="Z1039" t="n">
        <v>935</v>
      </c>
      <c r="AA1039" t="n">
        <v>2.5</v>
      </c>
      <c r="AB1039" t="n">
        <v>9.5</v>
      </c>
    </row>
    <row r="1040">
      <c r="A1040" t="inlineStr">
        <is>
          <t>2026-09-24 15:39:34</t>
        </is>
      </c>
      <c r="B1040" t="inlineStr">
        <is>
          <t>MLLB_000_y1.0.3</t>
        </is>
      </c>
      <c r="C1040" t="inlineStr">
        <is>
          <t>WHITE</t>
        </is>
      </c>
      <c r="D1040" t="inlineStr">
        <is>
          <t>v4_white_MLLB_000_y103_0924</t>
        </is>
      </c>
      <c r="E1040" t="n">
        <v>3.4</v>
      </c>
      <c r="F1040" t="n">
        <v>3.408</v>
      </c>
      <c r="G1040" t="n">
        <v>15</v>
      </c>
      <c r="H1040" t="n">
        <v>60</v>
      </c>
      <c r="I1040" t="n">
        <v>41</v>
      </c>
      <c r="J1040" t="inlineStr">
        <is>
          <t>ince</t>
        </is>
      </c>
      <c r="K1040" t="b">
        <v>0</v>
      </c>
      <c r="L1040" t="inlineStr">
        <is>
          <t>iki-OK-arasi-monotonluk</t>
        </is>
      </c>
      <c r="X1040" t="b">
        <v>1</v>
      </c>
      <c r="Z1040" t="n">
        <v>935</v>
      </c>
      <c r="AA1040" t="n">
        <v>2.5</v>
      </c>
      <c r="AB1040" t="n">
        <v>9.5</v>
      </c>
    </row>
    <row r="1041">
      <c r="A1041" t="inlineStr">
        <is>
          <t>2026-09-24 15:39:34</t>
        </is>
      </c>
      <c r="B1041" t="inlineStr">
        <is>
          <t>MLLB_000_y1.0.3</t>
        </is>
      </c>
      <c r="C1041" t="inlineStr">
        <is>
          <t>WHITE</t>
        </is>
      </c>
      <c r="D1041" t="inlineStr">
        <is>
          <t>v4_white_MLLB_000_y103_0924</t>
        </is>
      </c>
      <c r="E1041" t="n">
        <v>3.4</v>
      </c>
      <c r="F1041" t="n">
        <v>3.408</v>
      </c>
      <c r="G1041" t="n">
        <v>15</v>
      </c>
      <c r="H1041" t="n">
        <v>60</v>
      </c>
      <c r="I1041" t="n">
        <v>42</v>
      </c>
      <c r="J1041" t="inlineStr">
        <is>
          <t>ince</t>
        </is>
      </c>
      <c r="K1041" t="b">
        <v>0</v>
      </c>
      <c r="L1041" t="inlineStr">
        <is>
          <t>iki-OK-arasi-monotonluk</t>
        </is>
      </c>
      <c r="X1041" t="b">
        <v>1</v>
      </c>
      <c r="Z1041" t="n">
        <v>935</v>
      </c>
      <c r="AA1041" t="n">
        <v>2.5</v>
      </c>
      <c r="AB1041" t="n">
        <v>9.5</v>
      </c>
    </row>
    <row r="1042">
      <c r="A1042" t="inlineStr">
        <is>
          <t>2026-09-24 15:39:34</t>
        </is>
      </c>
      <c r="B1042" t="inlineStr">
        <is>
          <t>MLLB_000_y1.0.3</t>
        </is>
      </c>
      <c r="C1042" t="inlineStr">
        <is>
          <t>WHITE</t>
        </is>
      </c>
      <c r="D1042" t="inlineStr">
        <is>
          <t>v4_white_MLLB_000_y103_0924</t>
        </is>
      </c>
      <c r="E1042" t="n">
        <v>3.4</v>
      </c>
      <c r="F1042" t="n">
        <v>3.408</v>
      </c>
      <c r="G1042" t="n">
        <v>15</v>
      </c>
      <c r="H1042" t="n">
        <v>60</v>
      </c>
      <c r="I1042" t="n">
        <v>43</v>
      </c>
      <c r="J1042" t="inlineStr">
        <is>
          <t>ince</t>
        </is>
      </c>
      <c r="K1042" t="b">
        <v>0</v>
      </c>
      <c r="L1042" t="inlineStr">
        <is>
          <t>iki-OK-arasi-monotonluk</t>
        </is>
      </c>
      <c r="X1042" t="b">
        <v>1</v>
      </c>
      <c r="Z1042" t="n">
        <v>935</v>
      </c>
      <c r="AA1042" t="n">
        <v>2.5</v>
      </c>
      <c r="AB1042" t="n">
        <v>9.5</v>
      </c>
    </row>
    <row r="1043">
      <c r="A1043" t="inlineStr">
        <is>
          <t>2026-09-24 15:39:50</t>
        </is>
      </c>
      <c r="B1043" t="inlineStr">
        <is>
          <t>MLLB_000_y1.0.3</t>
        </is>
      </c>
      <c r="C1043" t="inlineStr">
        <is>
          <t>WHITE</t>
        </is>
      </c>
      <c r="D1043" t="inlineStr">
        <is>
          <t>v4_white_MLLB_000_y103_0924</t>
        </is>
      </c>
      <c r="E1043" t="n">
        <v>3.4</v>
      </c>
      <c r="F1043" t="n">
        <v>3.408</v>
      </c>
      <c r="G1043" t="n">
        <v>15</v>
      </c>
      <c r="H1043" t="n">
        <v>60</v>
      </c>
      <c r="I1043" t="n">
        <v>45</v>
      </c>
      <c r="J1043" t="inlineStr">
        <is>
          <t>ince</t>
        </is>
      </c>
      <c r="K1043" t="b">
        <v>1</v>
      </c>
      <c r="M1043" t="n">
        <v>46</v>
      </c>
      <c r="N1043" t="n">
        <v>28</v>
      </c>
      <c r="O1043" t="n">
        <v>26</v>
      </c>
      <c r="P1043" t="n">
        <v>956</v>
      </c>
      <c r="Q1043" t="n">
        <v>1002</v>
      </c>
      <c r="R1043" t="n">
        <v>1.261</v>
      </c>
      <c r="S1043" t="n">
        <v>39.198</v>
      </c>
      <c r="T1043" t="n">
        <v>31.093</v>
      </c>
      <c r="U1043" t="n">
        <v>0.7783</v>
      </c>
      <c r="V1043" t="b">
        <v>1</v>
      </c>
      <c r="X1043" t="b">
        <v>1</v>
      </c>
      <c r="Z1043" t="n">
        <v>935</v>
      </c>
      <c r="AA1043" t="n">
        <v>2.5</v>
      </c>
      <c r="AB1043" t="n">
        <v>9.5</v>
      </c>
    </row>
    <row r="1044">
      <c r="A1044" t="inlineStr">
        <is>
          <t>2026-09-24 15:40:06</t>
        </is>
      </c>
      <c r="B1044" t="inlineStr">
        <is>
          <t>MLLB_000_y1.0.3</t>
        </is>
      </c>
      <c r="C1044" t="inlineStr">
        <is>
          <t>WHITE</t>
        </is>
      </c>
      <c r="D1044" t="inlineStr">
        <is>
          <t>v4_white_MLLB_000_y103_0924</t>
        </is>
      </c>
      <c r="E1044" t="n">
        <v>3.4</v>
      </c>
      <c r="F1044" t="n">
        <v>3.408</v>
      </c>
      <c r="G1044" t="n">
        <v>15</v>
      </c>
      <c r="H1044" t="n">
        <v>60</v>
      </c>
      <c r="I1044" t="n">
        <v>46</v>
      </c>
      <c r="J1044" t="inlineStr">
        <is>
          <t>ince</t>
        </is>
      </c>
      <c r="K1044" t="b">
        <v>1</v>
      </c>
      <c r="M1044" t="n">
        <v>46</v>
      </c>
      <c r="N1044" t="n">
        <v>28</v>
      </c>
      <c r="O1044" t="n">
        <v>26</v>
      </c>
      <c r="P1044" t="n">
        <v>956</v>
      </c>
      <c r="Q1044" t="n">
        <v>1002</v>
      </c>
      <c r="R1044" t="n">
        <v>1.611</v>
      </c>
      <c r="S1044" t="n">
        <v>50.1</v>
      </c>
      <c r="T1044" t="n">
        <v>31.097</v>
      </c>
      <c r="U1044" t="n">
        <v>0.7781</v>
      </c>
      <c r="V1044" t="b">
        <v>1</v>
      </c>
      <c r="X1044" t="b">
        <v>1</v>
      </c>
      <c r="Z1044" t="n">
        <v>935</v>
      </c>
      <c r="AA1044" t="n">
        <v>2.5</v>
      </c>
      <c r="AB1044" t="n">
        <v>9.5</v>
      </c>
    </row>
    <row r="1045">
      <c r="A1045" t="inlineStr">
        <is>
          <t>2026-09-24 15:40:22</t>
        </is>
      </c>
      <c r="B1045" t="inlineStr">
        <is>
          <t>MLLB_000_y1.0.3</t>
        </is>
      </c>
      <c r="C1045" t="inlineStr">
        <is>
          <t>WHITE</t>
        </is>
      </c>
      <c r="D1045" t="inlineStr">
        <is>
          <t>v4_white_MLLB_000_y103_0924</t>
        </is>
      </c>
      <c r="E1045" t="n">
        <v>3.4</v>
      </c>
      <c r="F1045" t="n">
        <v>3.408</v>
      </c>
      <c r="G1045" t="n">
        <v>15</v>
      </c>
      <c r="H1045" t="n">
        <v>60</v>
      </c>
      <c r="I1045" t="n">
        <v>47</v>
      </c>
      <c r="J1045" t="inlineStr">
        <is>
          <t>ince</t>
        </is>
      </c>
      <c r="K1045" t="b">
        <v>1</v>
      </c>
      <c r="M1045" t="n">
        <v>46</v>
      </c>
      <c r="N1045" t="n">
        <v>28</v>
      </c>
      <c r="O1045" t="n">
        <v>26</v>
      </c>
      <c r="P1045" t="n">
        <v>956</v>
      </c>
      <c r="Q1045" t="n">
        <v>1002</v>
      </c>
      <c r="R1045" t="n">
        <v>2.401</v>
      </c>
      <c r="S1045" t="n">
        <v>85.65300000000001</v>
      </c>
      <c r="T1045" t="n">
        <v>35.671</v>
      </c>
      <c r="U1045" t="n">
        <v>0.7781</v>
      </c>
      <c r="V1045" t="b">
        <v>1</v>
      </c>
      <c r="X1045" t="b">
        <v>1</v>
      </c>
      <c r="Z1045" t="n">
        <v>935</v>
      </c>
      <c r="AA1045" t="n">
        <v>2.5</v>
      </c>
      <c r="AB1045" t="n">
        <v>9.5</v>
      </c>
    </row>
    <row r="1046">
      <c r="A1046" t="inlineStr">
        <is>
          <t>2026-09-24 15:40:22</t>
        </is>
      </c>
      <c r="B1046" t="inlineStr">
        <is>
          <t>MLLB_000_y1.0.3</t>
        </is>
      </c>
      <c r="C1046" t="inlineStr">
        <is>
          <t>WHITE</t>
        </is>
      </c>
      <c r="D1046" t="inlineStr">
        <is>
          <t>v4_white_MLLB_000_y103_0924</t>
        </is>
      </c>
      <c r="E1046" t="n">
        <v>3.4</v>
      </c>
      <c r="F1046" t="n">
        <v>3.408</v>
      </c>
      <c r="G1046" t="n">
        <v>15</v>
      </c>
      <c r="H1046" t="n">
        <v>60</v>
      </c>
      <c r="J1046" t="inlineStr">
        <is>
          <t>bitti</t>
        </is>
      </c>
      <c r="K1046" t="b">
        <v>0</v>
      </c>
      <c r="Z1046" t="n">
        <v>935</v>
      </c>
      <c r="AA1046" t="n">
        <v>2.5</v>
      </c>
      <c r="AB1046" t="n">
        <v>9.5</v>
      </c>
    </row>
    <row r="1047">
      <c r="A1047" t="inlineStr">
        <is>
          <t>2026-09-24 15:40:43</t>
        </is>
      </c>
      <c r="B1047" t="inlineStr">
        <is>
          <t>MLLB_000_y1.0.3</t>
        </is>
      </c>
      <c r="C1047" t="inlineStr">
        <is>
          <t>WHITE</t>
        </is>
      </c>
      <c r="D1047" t="inlineStr">
        <is>
          <t>v4_white_MLLB_000_y103_0924</t>
        </is>
      </c>
      <c r="E1047" t="n">
        <v>3.4</v>
      </c>
      <c r="F1047" t="n">
        <v>3.408</v>
      </c>
      <c r="G1047" t="n">
        <v>100</v>
      </c>
      <c r="H1047" t="n">
        <v>100</v>
      </c>
      <c r="I1047" t="n">
        <v>12</v>
      </c>
      <c r="J1047" t="inlineStr">
        <is>
          <t>kaba</t>
        </is>
      </c>
      <c r="K1047" t="b">
        <v>1</v>
      </c>
      <c r="M1047" t="n">
        <v>34</v>
      </c>
      <c r="N1047" t="n">
        <v>28</v>
      </c>
      <c r="O1047" t="n">
        <v>14</v>
      </c>
      <c r="P1047" t="n">
        <v>968</v>
      </c>
      <c r="Q1047" t="n">
        <v>1002</v>
      </c>
      <c r="R1047" t="n">
        <v>1.066</v>
      </c>
      <c r="S1047" t="n">
        <v>243.929</v>
      </c>
      <c r="T1047" t="n">
        <v>228.771</v>
      </c>
      <c r="U1047" t="n">
        <v>0.778</v>
      </c>
      <c r="V1047" t="b">
        <v>1</v>
      </c>
      <c r="X1047" t="b">
        <v>1</v>
      </c>
      <c r="Z1047" t="n">
        <v>935</v>
      </c>
      <c r="AA1047" t="n">
        <v>2.5</v>
      </c>
      <c r="AB1047" t="n">
        <v>9.5</v>
      </c>
    </row>
    <row r="1048">
      <c r="A1048" t="inlineStr">
        <is>
          <t>2026-09-24 15:41:00</t>
        </is>
      </c>
      <c r="B1048" t="inlineStr">
        <is>
          <t>MLLB_000_y1.0.3</t>
        </is>
      </c>
      <c r="C1048" t="inlineStr">
        <is>
          <t>WHITE</t>
        </is>
      </c>
      <c r="D1048" t="inlineStr">
        <is>
          <t>v4_white_MLLB_000_y103_0924</t>
        </is>
      </c>
      <c r="E1048" t="n">
        <v>3.4</v>
      </c>
      <c r="F1048" t="n">
        <v>3.408</v>
      </c>
      <c r="G1048" t="n">
        <v>100</v>
      </c>
      <c r="H1048" t="n">
        <v>100</v>
      </c>
      <c r="I1048" t="n">
        <v>16</v>
      </c>
      <c r="J1048" t="inlineStr">
        <is>
          <t>kaba</t>
        </is>
      </c>
      <c r="K1048" t="b">
        <v>1</v>
      </c>
      <c r="M1048" t="n">
        <v>34</v>
      </c>
      <c r="N1048" t="n">
        <v>28</v>
      </c>
      <c r="O1048" t="n">
        <v>14</v>
      </c>
      <c r="P1048" t="n">
        <v>968</v>
      </c>
      <c r="Q1048" t="n">
        <v>1002</v>
      </c>
      <c r="R1048" t="n">
        <v>1.066</v>
      </c>
      <c r="S1048" t="n">
        <v>243.979</v>
      </c>
      <c r="T1048" t="n">
        <v>228.808</v>
      </c>
      <c r="U1048" t="n">
        <v>0.7786</v>
      </c>
      <c r="V1048" t="b">
        <v>1</v>
      </c>
      <c r="X1048" t="b">
        <v>1</v>
      </c>
      <c r="Z1048" t="n">
        <v>935</v>
      </c>
      <c r="AA1048" t="n">
        <v>2.5</v>
      </c>
      <c r="AB1048" t="n">
        <v>9.5</v>
      </c>
    </row>
    <row r="1049">
      <c r="A1049" t="inlineStr">
        <is>
          <t>2026-09-24 15:41:15</t>
        </is>
      </c>
      <c r="B1049" t="inlineStr">
        <is>
          <t>MLLB_000_y1.0.3</t>
        </is>
      </c>
      <c r="C1049" t="inlineStr">
        <is>
          <t>WHITE</t>
        </is>
      </c>
      <c r="D1049" t="inlineStr">
        <is>
          <t>v4_white_MLLB_000_y103_0924</t>
        </is>
      </c>
      <c r="E1049" t="n">
        <v>3.4</v>
      </c>
      <c r="F1049" t="n">
        <v>3.408</v>
      </c>
      <c r="G1049" t="n">
        <v>100</v>
      </c>
      <c r="H1049" t="n">
        <v>100</v>
      </c>
      <c r="I1049" t="n">
        <v>20</v>
      </c>
      <c r="J1049" t="inlineStr">
        <is>
          <t>kaba</t>
        </is>
      </c>
      <c r="K1049" t="b">
        <v>1</v>
      </c>
      <c r="M1049" t="n">
        <v>34</v>
      </c>
      <c r="N1049" t="n">
        <v>28</v>
      </c>
      <c r="O1049" t="n">
        <v>14</v>
      </c>
      <c r="P1049" t="n">
        <v>968</v>
      </c>
      <c r="Q1049" t="n">
        <v>1002</v>
      </c>
      <c r="R1049" t="n">
        <v>1.066</v>
      </c>
      <c r="S1049" t="n">
        <v>243.864</v>
      </c>
      <c r="T1049" t="n">
        <v>228.778</v>
      </c>
      <c r="U1049" t="n">
        <v>0.7782</v>
      </c>
      <c r="V1049" t="b">
        <v>1</v>
      </c>
      <c r="X1049" t="b">
        <v>1</v>
      </c>
      <c r="Z1049" t="n">
        <v>935</v>
      </c>
      <c r="AA1049" t="n">
        <v>2.5</v>
      </c>
      <c r="AB1049" t="n">
        <v>9.5</v>
      </c>
    </row>
    <row r="1050">
      <c r="A1050" t="inlineStr">
        <is>
          <t>2026-09-24 15:41:32</t>
        </is>
      </c>
      <c r="B1050" t="inlineStr">
        <is>
          <t>MLLB_000_y1.0.3</t>
        </is>
      </c>
      <c r="C1050" t="inlineStr">
        <is>
          <t>WHITE</t>
        </is>
      </c>
      <c r="D1050" t="inlineStr">
        <is>
          <t>v4_white_MLLB_000_y103_0924</t>
        </is>
      </c>
      <c r="E1050" t="n">
        <v>3.4</v>
      </c>
      <c r="F1050" t="n">
        <v>3.408</v>
      </c>
      <c r="G1050" t="n">
        <v>100</v>
      </c>
      <c r="H1050" t="n">
        <v>100</v>
      </c>
      <c r="I1050" t="n">
        <v>24</v>
      </c>
      <c r="J1050" t="inlineStr">
        <is>
          <t>kaba</t>
        </is>
      </c>
      <c r="K1050" t="b">
        <v>1</v>
      </c>
      <c r="M1050" t="n">
        <v>34</v>
      </c>
      <c r="N1050" t="n">
        <v>28</v>
      </c>
      <c r="O1050" t="n">
        <v>14</v>
      </c>
      <c r="P1050" t="n">
        <v>968</v>
      </c>
      <c r="Q1050" t="n">
        <v>1002</v>
      </c>
      <c r="R1050" t="n">
        <v>1.069</v>
      </c>
      <c r="S1050" t="n">
        <v>244.635</v>
      </c>
      <c r="T1050" t="n">
        <v>228.899</v>
      </c>
      <c r="U1050" t="n">
        <v>0.7786999999999999</v>
      </c>
      <c r="V1050" t="b">
        <v>1</v>
      </c>
      <c r="X1050" t="b">
        <v>1</v>
      </c>
      <c r="Z1050" t="n">
        <v>935</v>
      </c>
      <c r="AA1050" t="n">
        <v>2.5</v>
      </c>
      <c r="AB1050" t="n">
        <v>9.5</v>
      </c>
    </row>
    <row r="1051">
      <c r="A1051" t="inlineStr">
        <is>
          <t>2026-09-24 15:41:48</t>
        </is>
      </c>
      <c r="B1051" t="inlineStr">
        <is>
          <t>MLLB_000_y1.0.3</t>
        </is>
      </c>
      <c r="C1051" t="inlineStr">
        <is>
          <t>WHITE</t>
        </is>
      </c>
      <c r="D1051" t="inlineStr">
        <is>
          <t>v4_white_MLLB_000_y103_0924</t>
        </is>
      </c>
      <c r="E1051" t="n">
        <v>3.4</v>
      </c>
      <c r="F1051" t="n">
        <v>3.408</v>
      </c>
      <c r="G1051" t="n">
        <v>100</v>
      </c>
      <c r="H1051" t="n">
        <v>100</v>
      </c>
      <c r="I1051" t="n">
        <v>28</v>
      </c>
      <c r="J1051" t="inlineStr">
        <is>
          <t>kaba</t>
        </is>
      </c>
      <c r="K1051" t="b">
        <v>1</v>
      </c>
      <c r="M1051" t="n">
        <v>34</v>
      </c>
      <c r="N1051" t="n">
        <v>28</v>
      </c>
      <c r="O1051" t="n">
        <v>14</v>
      </c>
      <c r="P1051" t="n">
        <v>968</v>
      </c>
      <c r="Q1051" t="n">
        <v>1002</v>
      </c>
      <c r="R1051" t="n">
        <v>1.069</v>
      </c>
      <c r="S1051" t="n">
        <v>244.635</v>
      </c>
      <c r="T1051" t="n">
        <v>228.808</v>
      </c>
      <c r="U1051" t="n">
        <v>0.7784</v>
      </c>
      <c r="V1051" t="b">
        <v>1</v>
      </c>
      <c r="X1051" t="b">
        <v>1</v>
      </c>
      <c r="Z1051" t="n">
        <v>935</v>
      </c>
      <c r="AA1051" t="n">
        <v>2.5</v>
      </c>
      <c r="AB1051" t="n">
        <v>9.5</v>
      </c>
    </row>
    <row r="1052">
      <c r="A1052" t="inlineStr">
        <is>
          <t>2026-09-24 15:42:03</t>
        </is>
      </c>
      <c r="B1052" t="inlineStr">
        <is>
          <t>MLLB_000_y1.0.3</t>
        </is>
      </c>
      <c r="C1052" t="inlineStr">
        <is>
          <t>WHITE</t>
        </is>
      </c>
      <c r="D1052" t="inlineStr">
        <is>
          <t>v4_white_MLLB_000_y103_0924</t>
        </is>
      </c>
      <c r="E1052" t="n">
        <v>3.4</v>
      </c>
      <c r="F1052" t="n">
        <v>3.408</v>
      </c>
      <c r="G1052" t="n">
        <v>100</v>
      </c>
      <c r="H1052" t="n">
        <v>100</v>
      </c>
      <c r="I1052" t="n">
        <v>32</v>
      </c>
      <c r="J1052" t="inlineStr">
        <is>
          <t>kaba</t>
        </is>
      </c>
      <c r="K1052" t="b">
        <v>1</v>
      </c>
      <c r="M1052" t="n">
        <v>34</v>
      </c>
      <c r="N1052" t="n">
        <v>28</v>
      </c>
      <c r="O1052" t="n">
        <v>14</v>
      </c>
      <c r="P1052" t="n">
        <v>968</v>
      </c>
      <c r="Q1052" t="n">
        <v>1002</v>
      </c>
      <c r="R1052" t="n">
        <v>1.07</v>
      </c>
      <c r="S1052" t="n">
        <v>244.789</v>
      </c>
      <c r="T1052" t="n">
        <v>228.803</v>
      </c>
      <c r="U1052" t="n">
        <v>0.7783</v>
      </c>
      <c r="V1052" t="b">
        <v>1</v>
      </c>
      <c r="X1052" t="b">
        <v>1</v>
      </c>
      <c r="Z1052" t="n">
        <v>935</v>
      </c>
      <c r="AA1052" t="n">
        <v>2.5</v>
      </c>
      <c r="AB1052" t="n">
        <v>9.5</v>
      </c>
    </row>
    <row r="1053">
      <c r="A1053" t="inlineStr">
        <is>
          <t>2026-09-24 15:42:20</t>
        </is>
      </c>
      <c r="B1053" t="inlineStr">
        <is>
          <t>MLLB_000_y1.0.3</t>
        </is>
      </c>
      <c r="C1053" t="inlineStr">
        <is>
          <t>WHITE</t>
        </is>
      </c>
      <c r="D1053" t="inlineStr">
        <is>
          <t>v4_white_MLLB_000_y103_0924</t>
        </is>
      </c>
      <c r="E1053" t="n">
        <v>3.4</v>
      </c>
      <c r="F1053" t="n">
        <v>3.408</v>
      </c>
      <c r="G1053" t="n">
        <v>100</v>
      </c>
      <c r="H1053" t="n">
        <v>100</v>
      </c>
      <c r="I1053" t="n">
        <v>36</v>
      </c>
      <c r="J1053" t="inlineStr">
        <is>
          <t>kaba</t>
        </is>
      </c>
      <c r="K1053" t="b">
        <v>1</v>
      </c>
      <c r="M1053" t="n">
        <v>34</v>
      </c>
      <c r="N1053" t="n">
        <v>28</v>
      </c>
      <c r="O1053" t="n">
        <v>14</v>
      </c>
      <c r="P1053" t="n">
        <v>968</v>
      </c>
      <c r="Q1053" t="n">
        <v>1002</v>
      </c>
      <c r="R1053" t="n">
        <v>1.066</v>
      </c>
      <c r="S1053" t="n">
        <v>243.953</v>
      </c>
      <c r="T1053" t="n">
        <v>228.746</v>
      </c>
      <c r="U1053" t="n">
        <v>0.7791</v>
      </c>
      <c r="V1053" t="b">
        <v>1</v>
      </c>
      <c r="X1053" t="b">
        <v>1</v>
      </c>
      <c r="Z1053" t="n">
        <v>935</v>
      </c>
      <c r="AA1053" t="n">
        <v>2.5</v>
      </c>
      <c r="AB1053" t="n">
        <v>9.5</v>
      </c>
    </row>
    <row r="1054">
      <c r="A1054" t="inlineStr">
        <is>
          <t>2026-09-24 15:42:36</t>
        </is>
      </c>
      <c r="B1054" t="inlineStr">
        <is>
          <t>MLLB_000_y1.0.3</t>
        </is>
      </c>
      <c r="C1054" t="inlineStr">
        <is>
          <t>WHITE</t>
        </is>
      </c>
      <c r="D1054" t="inlineStr">
        <is>
          <t>v4_white_MLLB_000_y103_0924</t>
        </is>
      </c>
      <c r="E1054" t="n">
        <v>3.4</v>
      </c>
      <c r="F1054" t="n">
        <v>3.408</v>
      </c>
      <c r="G1054" t="n">
        <v>100</v>
      </c>
      <c r="H1054" t="n">
        <v>100</v>
      </c>
      <c r="I1054" t="n">
        <v>40</v>
      </c>
      <c r="J1054" t="inlineStr">
        <is>
          <t>kaba</t>
        </is>
      </c>
      <c r="K1054" t="b">
        <v>1</v>
      </c>
      <c r="M1054" t="n">
        <v>34</v>
      </c>
      <c r="N1054" t="n">
        <v>28</v>
      </c>
      <c r="O1054" t="n">
        <v>14</v>
      </c>
      <c r="P1054" t="n">
        <v>968</v>
      </c>
      <c r="Q1054" t="n">
        <v>1002</v>
      </c>
      <c r="R1054" t="n">
        <v>1.068</v>
      </c>
      <c r="S1054" t="n">
        <v>244.635</v>
      </c>
      <c r="T1054" t="n">
        <v>228.986</v>
      </c>
      <c r="U1054" t="n">
        <v>0.7781</v>
      </c>
      <c r="V1054" t="b">
        <v>1</v>
      </c>
      <c r="X1054" t="b">
        <v>1</v>
      </c>
      <c r="Z1054" t="n">
        <v>935</v>
      </c>
      <c r="AA1054" t="n">
        <v>2.5</v>
      </c>
      <c r="AB1054" t="n">
        <v>9.5</v>
      </c>
    </row>
    <row r="1055">
      <c r="A1055" t="inlineStr">
        <is>
          <t>2026-09-24 15:42:51</t>
        </is>
      </c>
      <c r="B1055" t="inlineStr">
        <is>
          <t>MLLB_000_y1.0.3</t>
        </is>
      </c>
      <c r="C1055" t="inlineStr">
        <is>
          <t>WHITE</t>
        </is>
      </c>
      <c r="D1055" t="inlineStr">
        <is>
          <t>v4_white_MLLB_000_y103_0924</t>
        </is>
      </c>
      <c r="E1055" t="n">
        <v>3.4</v>
      </c>
      <c r="F1055" t="n">
        <v>3.408</v>
      </c>
      <c r="G1055" t="n">
        <v>100</v>
      </c>
      <c r="H1055" t="n">
        <v>100</v>
      </c>
      <c r="I1055" t="n">
        <v>44</v>
      </c>
      <c r="J1055" t="inlineStr">
        <is>
          <t>kaba</t>
        </is>
      </c>
      <c r="K1055" t="b">
        <v>1</v>
      </c>
      <c r="M1055" t="n">
        <v>34</v>
      </c>
      <c r="N1055" t="n">
        <v>28</v>
      </c>
      <c r="O1055" t="n">
        <v>14</v>
      </c>
      <c r="P1055" t="n">
        <v>968</v>
      </c>
      <c r="Q1055" t="n">
        <v>1002</v>
      </c>
      <c r="R1055" t="n">
        <v>1.066</v>
      </c>
      <c r="S1055" t="n">
        <v>243.864</v>
      </c>
      <c r="T1055" t="n">
        <v>228.835</v>
      </c>
      <c r="U1055" t="n">
        <v>0.7781</v>
      </c>
      <c r="V1055" t="b">
        <v>1</v>
      </c>
      <c r="X1055" t="b">
        <v>1</v>
      </c>
      <c r="Z1055" t="n">
        <v>935</v>
      </c>
      <c r="AA1055" t="n">
        <v>2.5</v>
      </c>
      <c r="AB1055" t="n">
        <v>9.5</v>
      </c>
    </row>
    <row r="1056">
      <c r="A1056" t="inlineStr">
        <is>
          <t>2026-09-24 15:43:08</t>
        </is>
      </c>
      <c r="B1056" t="inlineStr">
        <is>
          <t>MLLB_000_y1.0.3</t>
        </is>
      </c>
      <c r="C1056" t="inlineStr">
        <is>
          <t>WHITE</t>
        </is>
      </c>
      <c r="D1056" t="inlineStr">
        <is>
          <t>v4_white_MLLB_000_y103_0924</t>
        </is>
      </c>
      <c r="E1056" t="n">
        <v>3.4</v>
      </c>
      <c r="F1056" t="n">
        <v>3.408</v>
      </c>
      <c r="G1056" t="n">
        <v>100</v>
      </c>
      <c r="H1056" t="n">
        <v>100</v>
      </c>
      <c r="I1056" t="n">
        <v>48</v>
      </c>
      <c r="J1056" t="inlineStr">
        <is>
          <t>kaba</t>
        </is>
      </c>
      <c r="K1056" t="b">
        <v>1</v>
      </c>
      <c r="M1056" t="n">
        <v>34</v>
      </c>
      <c r="N1056" t="n">
        <v>28</v>
      </c>
      <c r="O1056" t="n">
        <v>14</v>
      </c>
      <c r="P1056" t="n">
        <v>968</v>
      </c>
      <c r="Q1056" t="n">
        <v>1002</v>
      </c>
      <c r="R1056" t="n">
        <v>1.072</v>
      </c>
      <c r="S1056" t="n">
        <v>245.66</v>
      </c>
      <c r="T1056" t="n">
        <v>229.155</v>
      </c>
      <c r="U1056" t="n">
        <v>0.7781</v>
      </c>
      <c r="V1056" t="b">
        <v>1</v>
      </c>
      <c r="X1056" t="b">
        <v>1</v>
      </c>
      <c r="Z1056" t="n">
        <v>935</v>
      </c>
      <c r="AA1056" t="n">
        <v>2.5</v>
      </c>
      <c r="AB1056" t="n">
        <v>9.5</v>
      </c>
    </row>
    <row r="1057">
      <c r="A1057" t="inlineStr">
        <is>
          <t>2026-09-24 15:43:23</t>
        </is>
      </c>
      <c r="B1057" t="inlineStr">
        <is>
          <t>MLLB_000_y1.0.3</t>
        </is>
      </c>
      <c r="C1057" t="inlineStr">
        <is>
          <t>WHITE</t>
        </is>
      </c>
      <c r="D1057" t="inlineStr">
        <is>
          <t>v4_white_MLLB_000_y103_0924</t>
        </is>
      </c>
      <c r="E1057" t="n">
        <v>3.4</v>
      </c>
      <c r="F1057" t="n">
        <v>3.408</v>
      </c>
      <c r="G1057" t="n">
        <v>100</v>
      </c>
      <c r="H1057" t="n">
        <v>100</v>
      </c>
      <c r="I1057" t="n">
        <v>52</v>
      </c>
      <c r="J1057" t="inlineStr">
        <is>
          <t>kaba</t>
        </is>
      </c>
      <c r="K1057" t="b">
        <v>1</v>
      </c>
      <c r="M1057" t="n">
        <v>34</v>
      </c>
      <c r="N1057" t="n">
        <v>28</v>
      </c>
      <c r="O1057" t="n">
        <v>14</v>
      </c>
      <c r="P1057" t="n">
        <v>968</v>
      </c>
      <c r="Q1057" t="n">
        <v>1002</v>
      </c>
      <c r="R1057" t="n">
        <v>1.072</v>
      </c>
      <c r="S1057" t="n">
        <v>245.405</v>
      </c>
      <c r="T1057" t="n">
        <v>228.842</v>
      </c>
      <c r="U1057" t="n">
        <v>0.7778</v>
      </c>
      <c r="V1057" t="b">
        <v>1</v>
      </c>
      <c r="X1057" t="b">
        <v>1</v>
      </c>
      <c r="Z1057" t="n">
        <v>935</v>
      </c>
      <c r="AA1057" t="n">
        <v>2.5</v>
      </c>
      <c r="AB1057" t="n">
        <v>9.5</v>
      </c>
    </row>
    <row r="1058">
      <c r="A1058" t="inlineStr">
        <is>
          <t>2026-09-24 15:43:40</t>
        </is>
      </c>
      <c r="B1058" t="inlineStr">
        <is>
          <t>MLLB_000_y1.0.3</t>
        </is>
      </c>
      <c r="C1058" t="inlineStr">
        <is>
          <t>WHITE</t>
        </is>
      </c>
      <c r="D1058" t="inlineStr">
        <is>
          <t>v4_white_MLLB_000_y103_0924</t>
        </is>
      </c>
      <c r="E1058" t="n">
        <v>3.4</v>
      </c>
      <c r="F1058" t="n">
        <v>3.408</v>
      </c>
      <c r="G1058" t="n">
        <v>100</v>
      </c>
      <c r="H1058" t="n">
        <v>100</v>
      </c>
      <c r="I1058" t="n">
        <v>56</v>
      </c>
      <c r="J1058" t="inlineStr">
        <is>
          <t>kaba</t>
        </is>
      </c>
      <c r="K1058" t="b">
        <v>1</v>
      </c>
      <c r="M1058" t="n">
        <v>34</v>
      </c>
      <c r="N1058" t="n">
        <v>28</v>
      </c>
      <c r="O1058" t="n">
        <v>14</v>
      </c>
      <c r="P1058" t="n">
        <v>968</v>
      </c>
      <c r="Q1058" t="n">
        <v>1002</v>
      </c>
      <c r="R1058" t="n">
        <v>1.069</v>
      </c>
      <c r="S1058" t="n">
        <v>244.779</v>
      </c>
      <c r="T1058" t="n">
        <v>229.078</v>
      </c>
      <c r="U1058" t="n">
        <v>0.7783</v>
      </c>
      <c r="V1058" t="b">
        <v>1</v>
      </c>
      <c r="X1058" t="b">
        <v>1</v>
      </c>
      <c r="Z1058" t="n">
        <v>935</v>
      </c>
      <c r="AA1058" t="n">
        <v>2.5</v>
      </c>
      <c r="AB1058" t="n">
        <v>9.5</v>
      </c>
    </row>
    <row r="1059">
      <c r="A1059" t="inlineStr">
        <is>
          <t>2026-09-24 15:43:56</t>
        </is>
      </c>
      <c r="B1059" t="inlineStr">
        <is>
          <t>MLLB_000_y1.0.3</t>
        </is>
      </c>
      <c r="C1059" t="inlineStr">
        <is>
          <t>WHITE</t>
        </is>
      </c>
      <c r="D1059" t="inlineStr">
        <is>
          <t>v4_white_MLLB_000_y103_0924</t>
        </is>
      </c>
      <c r="E1059" t="n">
        <v>3.4</v>
      </c>
      <c r="F1059" t="n">
        <v>3.408</v>
      </c>
      <c r="G1059" t="n">
        <v>100</v>
      </c>
      <c r="H1059" t="n">
        <v>100</v>
      </c>
      <c r="I1059" t="n">
        <v>58</v>
      </c>
      <c r="J1059" t="inlineStr">
        <is>
          <t>kaba</t>
        </is>
      </c>
      <c r="K1059" t="b">
        <v>1</v>
      </c>
      <c r="M1059" t="n">
        <v>34</v>
      </c>
      <c r="N1059" t="n">
        <v>28</v>
      </c>
      <c r="O1059" t="n">
        <v>14</v>
      </c>
      <c r="P1059" t="n">
        <v>968</v>
      </c>
      <c r="Q1059" t="n">
        <v>1002</v>
      </c>
      <c r="R1059" t="n">
        <v>1.065</v>
      </c>
      <c r="S1059" t="n">
        <v>243.864</v>
      </c>
      <c r="T1059" t="n">
        <v>228.885</v>
      </c>
      <c r="U1059" t="n">
        <v>0.7785</v>
      </c>
      <c r="V1059" t="b">
        <v>1</v>
      </c>
      <c r="X1059" t="b">
        <v>1</v>
      </c>
      <c r="Z1059" t="n">
        <v>935</v>
      </c>
      <c r="AA1059" t="n">
        <v>2.5</v>
      </c>
      <c r="AB1059" t="n">
        <v>9.5</v>
      </c>
    </row>
    <row r="1060">
      <c r="A1060" t="inlineStr">
        <is>
          <t>2026-09-24 15:43:56</t>
        </is>
      </c>
      <c r="B1060" t="inlineStr">
        <is>
          <t>MLLB_000_y1.0.3</t>
        </is>
      </c>
      <c r="C1060" t="inlineStr">
        <is>
          <t>WHITE</t>
        </is>
      </c>
      <c r="D1060" t="inlineStr">
        <is>
          <t>v4_white_MLLB_000_y103_0924</t>
        </is>
      </c>
      <c r="E1060" t="n">
        <v>3.4</v>
      </c>
      <c r="F1060" t="n">
        <v>3.408</v>
      </c>
      <c r="G1060" t="n">
        <v>100</v>
      </c>
      <c r="H1060" t="n">
        <v>100</v>
      </c>
      <c r="I1060" t="n">
        <v>13</v>
      </c>
      <c r="J1060" t="inlineStr">
        <is>
          <t>ince</t>
        </is>
      </c>
      <c r="K1060" t="b">
        <v>0</v>
      </c>
      <c r="L1060" t="inlineStr">
        <is>
          <t>iki-OK-arasi-monotonluk</t>
        </is>
      </c>
      <c r="X1060" t="b">
        <v>1</v>
      </c>
      <c r="Z1060" t="n">
        <v>935</v>
      </c>
      <c r="AA1060" t="n">
        <v>2.5</v>
      </c>
      <c r="AB1060" t="n">
        <v>9.5</v>
      </c>
    </row>
    <row r="1061">
      <c r="A1061" t="inlineStr">
        <is>
          <t>2026-09-24 15:43:56</t>
        </is>
      </c>
      <c r="B1061" t="inlineStr">
        <is>
          <t>MLLB_000_y1.0.3</t>
        </is>
      </c>
      <c r="C1061" t="inlineStr">
        <is>
          <t>WHITE</t>
        </is>
      </c>
      <c r="D1061" t="inlineStr">
        <is>
          <t>v4_white_MLLB_000_y103_0924</t>
        </is>
      </c>
      <c r="E1061" t="n">
        <v>3.4</v>
      </c>
      <c r="F1061" t="n">
        <v>3.408</v>
      </c>
      <c r="G1061" t="n">
        <v>100</v>
      </c>
      <c r="H1061" t="n">
        <v>100</v>
      </c>
      <c r="I1061" t="n">
        <v>14</v>
      </c>
      <c r="J1061" t="inlineStr">
        <is>
          <t>ince</t>
        </is>
      </c>
      <c r="K1061" t="b">
        <v>0</v>
      </c>
      <c r="L1061" t="inlineStr">
        <is>
          <t>iki-OK-arasi-monotonluk</t>
        </is>
      </c>
      <c r="X1061" t="b">
        <v>1</v>
      </c>
      <c r="Z1061" t="n">
        <v>935</v>
      </c>
      <c r="AA1061" t="n">
        <v>2.5</v>
      </c>
      <c r="AB1061" t="n">
        <v>9.5</v>
      </c>
    </row>
    <row r="1062">
      <c r="A1062" t="inlineStr">
        <is>
          <t>2026-09-24 15:43:56</t>
        </is>
      </c>
      <c r="B1062" t="inlineStr">
        <is>
          <t>MLLB_000_y1.0.3</t>
        </is>
      </c>
      <c r="C1062" t="inlineStr">
        <is>
          <t>WHITE</t>
        </is>
      </c>
      <c r="D1062" t="inlineStr">
        <is>
          <t>v4_white_MLLB_000_y103_0924</t>
        </is>
      </c>
      <c r="E1062" t="n">
        <v>3.4</v>
      </c>
      <c r="F1062" t="n">
        <v>3.408</v>
      </c>
      <c r="G1062" t="n">
        <v>100</v>
      </c>
      <c r="H1062" t="n">
        <v>100</v>
      </c>
      <c r="I1062" t="n">
        <v>15</v>
      </c>
      <c r="J1062" t="inlineStr">
        <is>
          <t>ince</t>
        </is>
      </c>
      <c r="K1062" t="b">
        <v>0</v>
      </c>
      <c r="L1062" t="inlineStr">
        <is>
          <t>iki-OK-arasi-monotonluk</t>
        </is>
      </c>
      <c r="X1062" t="b">
        <v>1</v>
      </c>
      <c r="Z1062" t="n">
        <v>935</v>
      </c>
      <c r="AA1062" t="n">
        <v>2.5</v>
      </c>
      <c r="AB1062" t="n">
        <v>9.5</v>
      </c>
    </row>
    <row r="1063">
      <c r="A1063" t="inlineStr">
        <is>
          <t>2026-09-24 15:43:56</t>
        </is>
      </c>
      <c r="B1063" t="inlineStr">
        <is>
          <t>MLLB_000_y1.0.3</t>
        </is>
      </c>
      <c r="C1063" t="inlineStr">
        <is>
          <t>WHITE</t>
        </is>
      </c>
      <c r="D1063" t="inlineStr">
        <is>
          <t>v4_white_MLLB_000_y103_0924</t>
        </is>
      </c>
      <c r="E1063" t="n">
        <v>3.4</v>
      </c>
      <c r="F1063" t="n">
        <v>3.408</v>
      </c>
      <c r="G1063" t="n">
        <v>100</v>
      </c>
      <c r="H1063" t="n">
        <v>100</v>
      </c>
      <c r="I1063" t="n">
        <v>17</v>
      </c>
      <c r="J1063" t="inlineStr">
        <is>
          <t>ince</t>
        </is>
      </c>
      <c r="K1063" t="b">
        <v>0</v>
      </c>
      <c r="L1063" t="inlineStr">
        <is>
          <t>iki-OK-arasi-monotonluk</t>
        </is>
      </c>
      <c r="X1063" t="b">
        <v>1</v>
      </c>
      <c r="Z1063" t="n">
        <v>935</v>
      </c>
      <c r="AA1063" t="n">
        <v>2.5</v>
      </c>
      <c r="AB1063" t="n">
        <v>9.5</v>
      </c>
    </row>
    <row r="1064">
      <c r="A1064" t="inlineStr">
        <is>
          <t>2026-09-24 15:43:56</t>
        </is>
      </c>
      <c r="B1064" t="inlineStr">
        <is>
          <t>MLLB_000_y1.0.3</t>
        </is>
      </c>
      <c r="C1064" t="inlineStr">
        <is>
          <t>WHITE</t>
        </is>
      </c>
      <c r="D1064" t="inlineStr">
        <is>
          <t>v4_white_MLLB_000_y103_0924</t>
        </is>
      </c>
      <c r="E1064" t="n">
        <v>3.4</v>
      </c>
      <c r="F1064" t="n">
        <v>3.408</v>
      </c>
      <c r="G1064" t="n">
        <v>100</v>
      </c>
      <c r="H1064" t="n">
        <v>100</v>
      </c>
      <c r="I1064" t="n">
        <v>18</v>
      </c>
      <c r="J1064" t="inlineStr">
        <is>
          <t>ince</t>
        </is>
      </c>
      <c r="K1064" t="b">
        <v>0</v>
      </c>
      <c r="L1064" t="inlineStr">
        <is>
          <t>iki-OK-arasi-monotonluk</t>
        </is>
      </c>
      <c r="X1064" t="b">
        <v>1</v>
      </c>
      <c r="Z1064" t="n">
        <v>935</v>
      </c>
      <c r="AA1064" t="n">
        <v>2.5</v>
      </c>
      <c r="AB1064" t="n">
        <v>9.5</v>
      </c>
    </row>
    <row r="1065">
      <c r="A1065" t="inlineStr">
        <is>
          <t>2026-09-24 15:43:56</t>
        </is>
      </c>
      <c r="B1065" t="inlineStr">
        <is>
          <t>MLLB_000_y1.0.3</t>
        </is>
      </c>
      <c r="C1065" t="inlineStr">
        <is>
          <t>WHITE</t>
        </is>
      </c>
      <c r="D1065" t="inlineStr">
        <is>
          <t>v4_white_MLLB_000_y103_0924</t>
        </is>
      </c>
      <c r="E1065" t="n">
        <v>3.4</v>
      </c>
      <c r="F1065" t="n">
        <v>3.408</v>
      </c>
      <c r="G1065" t="n">
        <v>100</v>
      </c>
      <c r="H1065" t="n">
        <v>100</v>
      </c>
      <c r="I1065" t="n">
        <v>19</v>
      </c>
      <c r="J1065" t="inlineStr">
        <is>
          <t>ince</t>
        </is>
      </c>
      <c r="K1065" t="b">
        <v>0</v>
      </c>
      <c r="L1065" t="inlineStr">
        <is>
          <t>iki-OK-arasi-monotonluk</t>
        </is>
      </c>
      <c r="X1065" t="b">
        <v>1</v>
      </c>
      <c r="Z1065" t="n">
        <v>935</v>
      </c>
      <c r="AA1065" t="n">
        <v>2.5</v>
      </c>
      <c r="AB1065" t="n">
        <v>9.5</v>
      </c>
    </row>
    <row r="1066">
      <c r="A1066" t="inlineStr">
        <is>
          <t>2026-09-24 15:43:56</t>
        </is>
      </c>
      <c r="B1066" t="inlineStr">
        <is>
          <t>MLLB_000_y1.0.3</t>
        </is>
      </c>
      <c r="C1066" t="inlineStr">
        <is>
          <t>WHITE</t>
        </is>
      </c>
      <c r="D1066" t="inlineStr">
        <is>
          <t>v4_white_MLLB_000_y103_0924</t>
        </is>
      </c>
      <c r="E1066" t="n">
        <v>3.4</v>
      </c>
      <c r="F1066" t="n">
        <v>3.408</v>
      </c>
      <c r="G1066" t="n">
        <v>100</v>
      </c>
      <c r="H1066" t="n">
        <v>100</v>
      </c>
      <c r="I1066" t="n">
        <v>21</v>
      </c>
      <c r="J1066" t="inlineStr">
        <is>
          <t>ince</t>
        </is>
      </c>
      <c r="K1066" t="b">
        <v>0</v>
      </c>
      <c r="L1066" t="inlineStr">
        <is>
          <t>iki-OK-arasi-monotonluk</t>
        </is>
      </c>
      <c r="X1066" t="b">
        <v>1</v>
      </c>
      <c r="Z1066" t="n">
        <v>935</v>
      </c>
      <c r="AA1066" t="n">
        <v>2.5</v>
      </c>
      <c r="AB1066" t="n">
        <v>9.5</v>
      </c>
    </row>
    <row r="1067">
      <c r="A1067" t="inlineStr">
        <is>
          <t>2026-09-24 15:43:56</t>
        </is>
      </c>
      <c r="B1067" t="inlineStr">
        <is>
          <t>MLLB_000_y1.0.3</t>
        </is>
      </c>
      <c r="C1067" t="inlineStr">
        <is>
          <t>WHITE</t>
        </is>
      </c>
      <c r="D1067" t="inlineStr">
        <is>
          <t>v4_white_MLLB_000_y103_0924</t>
        </is>
      </c>
      <c r="E1067" t="n">
        <v>3.4</v>
      </c>
      <c r="F1067" t="n">
        <v>3.408</v>
      </c>
      <c r="G1067" t="n">
        <v>100</v>
      </c>
      <c r="H1067" t="n">
        <v>100</v>
      </c>
      <c r="I1067" t="n">
        <v>22</v>
      </c>
      <c r="J1067" t="inlineStr">
        <is>
          <t>ince</t>
        </is>
      </c>
      <c r="K1067" t="b">
        <v>0</v>
      </c>
      <c r="L1067" t="inlineStr">
        <is>
          <t>iki-OK-arasi-monotonluk</t>
        </is>
      </c>
      <c r="X1067" t="b">
        <v>1</v>
      </c>
      <c r="Z1067" t="n">
        <v>935</v>
      </c>
      <c r="AA1067" t="n">
        <v>2.5</v>
      </c>
      <c r="AB1067" t="n">
        <v>9.5</v>
      </c>
    </row>
    <row r="1068">
      <c r="A1068" t="inlineStr">
        <is>
          <t>2026-09-24 15:43:56</t>
        </is>
      </c>
      <c r="B1068" t="inlineStr">
        <is>
          <t>MLLB_000_y1.0.3</t>
        </is>
      </c>
      <c r="C1068" t="inlineStr">
        <is>
          <t>WHITE</t>
        </is>
      </c>
      <c r="D1068" t="inlineStr">
        <is>
          <t>v4_white_MLLB_000_y103_0924</t>
        </is>
      </c>
      <c r="E1068" t="n">
        <v>3.4</v>
      </c>
      <c r="F1068" t="n">
        <v>3.408</v>
      </c>
      <c r="G1068" t="n">
        <v>100</v>
      </c>
      <c r="H1068" t="n">
        <v>100</v>
      </c>
      <c r="I1068" t="n">
        <v>23</v>
      </c>
      <c r="J1068" t="inlineStr">
        <is>
          <t>ince</t>
        </is>
      </c>
      <c r="K1068" t="b">
        <v>0</v>
      </c>
      <c r="L1068" t="inlineStr">
        <is>
          <t>iki-OK-arasi-monotonluk</t>
        </is>
      </c>
      <c r="X1068" t="b">
        <v>1</v>
      </c>
      <c r="Z1068" t="n">
        <v>935</v>
      </c>
      <c r="AA1068" t="n">
        <v>2.5</v>
      </c>
      <c r="AB1068" t="n">
        <v>9.5</v>
      </c>
    </row>
    <row r="1069">
      <c r="A1069" t="inlineStr">
        <is>
          <t>2026-09-24 15:43:56</t>
        </is>
      </c>
      <c r="B1069" t="inlineStr">
        <is>
          <t>MLLB_000_y1.0.3</t>
        </is>
      </c>
      <c r="C1069" t="inlineStr">
        <is>
          <t>WHITE</t>
        </is>
      </c>
      <c r="D1069" t="inlineStr">
        <is>
          <t>v4_white_MLLB_000_y103_0924</t>
        </is>
      </c>
      <c r="E1069" t="n">
        <v>3.4</v>
      </c>
      <c r="F1069" t="n">
        <v>3.408</v>
      </c>
      <c r="G1069" t="n">
        <v>100</v>
      </c>
      <c r="H1069" t="n">
        <v>100</v>
      </c>
      <c r="I1069" t="n">
        <v>25</v>
      </c>
      <c r="J1069" t="inlineStr">
        <is>
          <t>ince</t>
        </is>
      </c>
      <c r="K1069" t="b">
        <v>0</v>
      </c>
      <c r="L1069" t="inlineStr">
        <is>
          <t>iki-OK-arasi-monotonluk</t>
        </is>
      </c>
      <c r="X1069" t="b">
        <v>1</v>
      </c>
      <c r="Z1069" t="n">
        <v>935</v>
      </c>
      <c r="AA1069" t="n">
        <v>2.5</v>
      </c>
      <c r="AB1069" t="n">
        <v>9.5</v>
      </c>
    </row>
    <row r="1070">
      <c r="A1070" t="inlineStr">
        <is>
          <t>2026-09-24 15:43:56</t>
        </is>
      </c>
      <c r="B1070" t="inlineStr">
        <is>
          <t>MLLB_000_y1.0.3</t>
        </is>
      </c>
      <c r="C1070" t="inlineStr">
        <is>
          <t>WHITE</t>
        </is>
      </c>
      <c r="D1070" t="inlineStr">
        <is>
          <t>v4_white_MLLB_000_y103_0924</t>
        </is>
      </c>
      <c r="E1070" t="n">
        <v>3.4</v>
      </c>
      <c r="F1070" t="n">
        <v>3.408</v>
      </c>
      <c r="G1070" t="n">
        <v>100</v>
      </c>
      <c r="H1070" t="n">
        <v>100</v>
      </c>
      <c r="I1070" t="n">
        <v>26</v>
      </c>
      <c r="J1070" t="inlineStr">
        <is>
          <t>ince</t>
        </is>
      </c>
      <c r="K1070" t="b">
        <v>0</v>
      </c>
      <c r="L1070" t="inlineStr">
        <is>
          <t>iki-OK-arasi-monotonluk</t>
        </is>
      </c>
      <c r="X1070" t="b">
        <v>1</v>
      </c>
      <c r="Z1070" t="n">
        <v>935</v>
      </c>
      <c r="AA1070" t="n">
        <v>2.5</v>
      </c>
      <c r="AB1070" t="n">
        <v>9.5</v>
      </c>
    </row>
    <row r="1071">
      <c r="A1071" t="inlineStr">
        <is>
          <t>2026-09-24 15:43:56</t>
        </is>
      </c>
      <c r="B1071" t="inlineStr">
        <is>
          <t>MLLB_000_y1.0.3</t>
        </is>
      </c>
      <c r="C1071" t="inlineStr">
        <is>
          <t>WHITE</t>
        </is>
      </c>
      <c r="D1071" t="inlineStr">
        <is>
          <t>v4_white_MLLB_000_y103_0924</t>
        </is>
      </c>
      <c r="E1071" t="n">
        <v>3.4</v>
      </c>
      <c r="F1071" t="n">
        <v>3.408</v>
      </c>
      <c r="G1071" t="n">
        <v>100</v>
      </c>
      <c r="H1071" t="n">
        <v>100</v>
      </c>
      <c r="I1071" t="n">
        <v>27</v>
      </c>
      <c r="J1071" t="inlineStr">
        <is>
          <t>ince</t>
        </is>
      </c>
      <c r="K1071" t="b">
        <v>0</v>
      </c>
      <c r="L1071" t="inlineStr">
        <is>
          <t>iki-OK-arasi-monotonluk</t>
        </is>
      </c>
      <c r="X1071" t="b">
        <v>1</v>
      </c>
      <c r="Z1071" t="n">
        <v>935</v>
      </c>
      <c r="AA1071" t="n">
        <v>2.5</v>
      </c>
      <c r="AB1071" t="n">
        <v>9.5</v>
      </c>
    </row>
    <row r="1072">
      <c r="A1072" t="inlineStr">
        <is>
          <t>2026-09-24 15:43:56</t>
        </is>
      </c>
      <c r="B1072" t="inlineStr">
        <is>
          <t>MLLB_000_y1.0.3</t>
        </is>
      </c>
      <c r="C1072" t="inlineStr">
        <is>
          <t>WHITE</t>
        </is>
      </c>
      <c r="D1072" t="inlineStr">
        <is>
          <t>v4_white_MLLB_000_y103_0924</t>
        </is>
      </c>
      <c r="E1072" t="n">
        <v>3.4</v>
      </c>
      <c r="F1072" t="n">
        <v>3.408</v>
      </c>
      <c r="G1072" t="n">
        <v>100</v>
      </c>
      <c r="H1072" t="n">
        <v>100</v>
      </c>
      <c r="I1072" t="n">
        <v>29</v>
      </c>
      <c r="J1072" t="inlineStr">
        <is>
          <t>ince</t>
        </is>
      </c>
      <c r="K1072" t="b">
        <v>0</v>
      </c>
      <c r="L1072" t="inlineStr">
        <is>
          <t>iki-OK-arasi-monotonluk</t>
        </is>
      </c>
      <c r="X1072" t="b">
        <v>1</v>
      </c>
      <c r="Z1072" t="n">
        <v>935</v>
      </c>
      <c r="AA1072" t="n">
        <v>2.5</v>
      </c>
      <c r="AB1072" t="n">
        <v>9.5</v>
      </c>
    </row>
    <row r="1073">
      <c r="A1073" t="inlineStr">
        <is>
          <t>2026-09-24 15:43:56</t>
        </is>
      </c>
      <c r="B1073" t="inlineStr">
        <is>
          <t>MLLB_000_y1.0.3</t>
        </is>
      </c>
      <c r="C1073" t="inlineStr">
        <is>
          <t>WHITE</t>
        </is>
      </c>
      <c r="D1073" t="inlineStr">
        <is>
          <t>v4_white_MLLB_000_y103_0924</t>
        </is>
      </c>
      <c r="E1073" t="n">
        <v>3.4</v>
      </c>
      <c r="F1073" t="n">
        <v>3.408</v>
      </c>
      <c r="G1073" t="n">
        <v>100</v>
      </c>
      <c r="H1073" t="n">
        <v>100</v>
      </c>
      <c r="I1073" t="n">
        <v>30</v>
      </c>
      <c r="J1073" t="inlineStr">
        <is>
          <t>ince</t>
        </is>
      </c>
      <c r="K1073" t="b">
        <v>0</v>
      </c>
      <c r="L1073" t="inlineStr">
        <is>
          <t>iki-OK-arasi-monotonluk</t>
        </is>
      </c>
      <c r="X1073" t="b">
        <v>1</v>
      </c>
      <c r="Z1073" t="n">
        <v>935</v>
      </c>
      <c r="AA1073" t="n">
        <v>2.5</v>
      </c>
      <c r="AB1073" t="n">
        <v>9.5</v>
      </c>
    </row>
    <row r="1074">
      <c r="A1074" t="inlineStr">
        <is>
          <t>2026-09-24 15:43:56</t>
        </is>
      </c>
      <c r="B1074" t="inlineStr">
        <is>
          <t>MLLB_000_y1.0.3</t>
        </is>
      </c>
      <c r="C1074" t="inlineStr">
        <is>
          <t>WHITE</t>
        </is>
      </c>
      <c r="D1074" t="inlineStr">
        <is>
          <t>v4_white_MLLB_000_y103_0924</t>
        </is>
      </c>
      <c r="E1074" t="n">
        <v>3.4</v>
      </c>
      <c r="F1074" t="n">
        <v>3.408</v>
      </c>
      <c r="G1074" t="n">
        <v>100</v>
      </c>
      <c r="H1074" t="n">
        <v>100</v>
      </c>
      <c r="I1074" t="n">
        <v>31</v>
      </c>
      <c r="J1074" t="inlineStr">
        <is>
          <t>ince</t>
        </is>
      </c>
      <c r="K1074" t="b">
        <v>0</v>
      </c>
      <c r="L1074" t="inlineStr">
        <is>
          <t>iki-OK-arasi-monotonluk</t>
        </is>
      </c>
      <c r="X1074" t="b">
        <v>1</v>
      </c>
      <c r="Z1074" t="n">
        <v>935</v>
      </c>
      <c r="AA1074" t="n">
        <v>2.5</v>
      </c>
      <c r="AB1074" t="n">
        <v>9.5</v>
      </c>
    </row>
    <row r="1075">
      <c r="A1075" t="inlineStr">
        <is>
          <t>2026-09-24 15:43:56</t>
        </is>
      </c>
      <c r="B1075" t="inlineStr">
        <is>
          <t>MLLB_000_y1.0.3</t>
        </is>
      </c>
      <c r="C1075" t="inlineStr">
        <is>
          <t>WHITE</t>
        </is>
      </c>
      <c r="D1075" t="inlineStr">
        <is>
          <t>v4_white_MLLB_000_y103_0924</t>
        </is>
      </c>
      <c r="E1075" t="n">
        <v>3.4</v>
      </c>
      <c r="F1075" t="n">
        <v>3.408</v>
      </c>
      <c r="G1075" t="n">
        <v>100</v>
      </c>
      <c r="H1075" t="n">
        <v>100</v>
      </c>
      <c r="I1075" t="n">
        <v>33</v>
      </c>
      <c r="J1075" t="inlineStr">
        <is>
          <t>ince</t>
        </is>
      </c>
      <c r="K1075" t="b">
        <v>0</v>
      </c>
      <c r="L1075" t="inlineStr">
        <is>
          <t>iki-OK-arasi-monotonluk</t>
        </is>
      </c>
      <c r="X1075" t="b">
        <v>1</v>
      </c>
      <c r="Z1075" t="n">
        <v>935</v>
      </c>
      <c r="AA1075" t="n">
        <v>2.5</v>
      </c>
      <c r="AB1075" t="n">
        <v>9.5</v>
      </c>
    </row>
    <row r="1076">
      <c r="A1076" t="inlineStr">
        <is>
          <t>2026-09-24 15:43:56</t>
        </is>
      </c>
      <c r="B1076" t="inlineStr">
        <is>
          <t>MLLB_000_y1.0.3</t>
        </is>
      </c>
      <c r="C1076" t="inlineStr">
        <is>
          <t>WHITE</t>
        </is>
      </c>
      <c r="D1076" t="inlineStr">
        <is>
          <t>v4_white_MLLB_000_y103_0924</t>
        </is>
      </c>
      <c r="E1076" t="n">
        <v>3.4</v>
      </c>
      <c r="F1076" t="n">
        <v>3.408</v>
      </c>
      <c r="G1076" t="n">
        <v>100</v>
      </c>
      <c r="H1076" t="n">
        <v>100</v>
      </c>
      <c r="I1076" t="n">
        <v>34</v>
      </c>
      <c r="J1076" t="inlineStr">
        <is>
          <t>ince</t>
        </is>
      </c>
      <c r="K1076" t="b">
        <v>0</v>
      </c>
      <c r="L1076" t="inlineStr">
        <is>
          <t>iki-OK-arasi-monotonluk</t>
        </is>
      </c>
      <c r="X1076" t="b">
        <v>1</v>
      </c>
      <c r="Z1076" t="n">
        <v>935</v>
      </c>
      <c r="AA1076" t="n">
        <v>2.5</v>
      </c>
      <c r="AB1076" t="n">
        <v>9.5</v>
      </c>
    </row>
    <row r="1077">
      <c r="A1077" t="inlineStr">
        <is>
          <t>2026-09-24 15:43:56</t>
        </is>
      </c>
      <c r="B1077" t="inlineStr">
        <is>
          <t>MLLB_000_y1.0.3</t>
        </is>
      </c>
      <c r="C1077" t="inlineStr">
        <is>
          <t>WHITE</t>
        </is>
      </c>
      <c r="D1077" t="inlineStr">
        <is>
          <t>v4_white_MLLB_000_y103_0924</t>
        </is>
      </c>
      <c r="E1077" t="n">
        <v>3.4</v>
      </c>
      <c r="F1077" t="n">
        <v>3.408</v>
      </c>
      <c r="G1077" t="n">
        <v>100</v>
      </c>
      <c r="H1077" t="n">
        <v>100</v>
      </c>
      <c r="I1077" t="n">
        <v>35</v>
      </c>
      <c r="J1077" t="inlineStr">
        <is>
          <t>ince</t>
        </is>
      </c>
      <c r="K1077" t="b">
        <v>0</v>
      </c>
      <c r="L1077" t="inlineStr">
        <is>
          <t>iki-OK-arasi-monotonluk</t>
        </is>
      </c>
      <c r="X1077" t="b">
        <v>1</v>
      </c>
      <c r="Z1077" t="n">
        <v>935</v>
      </c>
      <c r="AA1077" t="n">
        <v>2.5</v>
      </c>
      <c r="AB1077" t="n">
        <v>9.5</v>
      </c>
    </row>
    <row r="1078">
      <c r="A1078" t="inlineStr">
        <is>
          <t>2026-09-24 15:43:56</t>
        </is>
      </c>
      <c r="B1078" t="inlineStr">
        <is>
          <t>MLLB_000_y1.0.3</t>
        </is>
      </c>
      <c r="C1078" t="inlineStr">
        <is>
          <t>WHITE</t>
        </is>
      </c>
      <c r="D1078" t="inlineStr">
        <is>
          <t>v4_white_MLLB_000_y103_0924</t>
        </is>
      </c>
      <c r="E1078" t="n">
        <v>3.4</v>
      </c>
      <c r="F1078" t="n">
        <v>3.408</v>
      </c>
      <c r="G1078" t="n">
        <v>100</v>
      </c>
      <c r="H1078" t="n">
        <v>100</v>
      </c>
      <c r="I1078" t="n">
        <v>37</v>
      </c>
      <c r="J1078" t="inlineStr">
        <is>
          <t>ince</t>
        </is>
      </c>
      <c r="K1078" t="b">
        <v>0</v>
      </c>
      <c r="L1078" t="inlineStr">
        <is>
          <t>iki-OK-arasi-monotonluk</t>
        </is>
      </c>
      <c r="X1078" t="b">
        <v>1</v>
      </c>
      <c r="Z1078" t="n">
        <v>935</v>
      </c>
      <c r="AA1078" t="n">
        <v>2.5</v>
      </c>
      <c r="AB1078" t="n">
        <v>9.5</v>
      </c>
    </row>
    <row r="1079">
      <c r="A1079" t="inlineStr">
        <is>
          <t>2026-09-24 15:43:56</t>
        </is>
      </c>
      <c r="B1079" t="inlineStr">
        <is>
          <t>MLLB_000_y1.0.3</t>
        </is>
      </c>
      <c r="C1079" t="inlineStr">
        <is>
          <t>WHITE</t>
        </is>
      </c>
      <c r="D1079" t="inlineStr">
        <is>
          <t>v4_white_MLLB_000_y103_0924</t>
        </is>
      </c>
      <c r="E1079" t="n">
        <v>3.4</v>
      </c>
      <c r="F1079" t="n">
        <v>3.408</v>
      </c>
      <c r="G1079" t="n">
        <v>100</v>
      </c>
      <c r="H1079" t="n">
        <v>100</v>
      </c>
      <c r="I1079" t="n">
        <v>38</v>
      </c>
      <c r="J1079" t="inlineStr">
        <is>
          <t>ince</t>
        </is>
      </c>
      <c r="K1079" t="b">
        <v>0</v>
      </c>
      <c r="L1079" t="inlineStr">
        <is>
          <t>iki-OK-arasi-monotonluk</t>
        </is>
      </c>
      <c r="X1079" t="b">
        <v>1</v>
      </c>
      <c r="Z1079" t="n">
        <v>935</v>
      </c>
      <c r="AA1079" t="n">
        <v>2.5</v>
      </c>
      <c r="AB1079" t="n">
        <v>9.5</v>
      </c>
    </row>
    <row r="1080">
      <c r="A1080" t="inlineStr">
        <is>
          <t>2026-09-24 15:43:56</t>
        </is>
      </c>
      <c r="B1080" t="inlineStr">
        <is>
          <t>MLLB_000_y1.0.3</t>
        </is>
      </c>
      <c r="C1080" t="inlineStr">
        <is>
          <t>WHITE</t>
        </is>
      </c>
      <c r="D1080" t="inlineStr">
        <is>
          <t>v4_white_MLLB_000_y103_0924</t>
        </is>
      </c>
      <c r="E1080" t="n">
        <v>3.4</v>
      </c>
      <c r="F1080" t="n">
        <v>3.408</v>
      </c>
      <c r="G1080" t="n">
        <v>100</v>
      </c>
      <c r="H1080" t="n">
        <v>100</v>
      </c>
      <c r="I1080" t="n">
        <v>39</v>
      </c>
      <c r="J1080" t="inlineStr">
        <is>
          <t>ince</t>
        </is>
      </c>
      <c r="K1080" t="b">
        <v>0</v>
      </c>
      <c r="L1080" t="inlineStr">
        <is>
          <t>iki-OK-arasi-monotonluk</t>
        </is>
      </c>
      <c r="X1080" t="b">
        <v>1</v>
      </c>
      <c r="Z1080" t="n">
        <v>935</v>
      </c>
      <c r="AA1080" t="n">
        <v>2.5</v>
      </c>
      <c r="AB1080" t="n">
        <v>9.5</v>
      </c>
    </row>
    <row r="1081">
      <c r="A1081" t="inlineStr">
        <is>
          <t>2026-09-24 15:43:56</t>
        </is>
      </c>
      <c r="B1081" t="inlineStr">
        <is>
          <t>MLLB_000_y1.0.3</t>
        </is>
      </c>
      <c r="C1081" t="inlineStr">
        <is>
          <t>WHITE</t>
        </is>
      </c>
      <c r="D1081" t="inlineStr">
        <is>
          <t>v4_white_MLLB_000_y103_0924</t>
        </is>
      </c>
      <c r="E1081" t="n">
        <v>3.4</v>
      </c>
      <c r="F1081" t="n">
        <v>3.408</v>
      </c>
      <c r="G1081" t="n">
        <v>100</v>
      </c>
      <c r="H1081" t="n">
        <v>100</v>
      </c>
      <c r="I1081" t="n">
        <v>41</v>
      </c>
      <c r="J1081" t="inlineStr">
        <is>
          <t>ince</t>
        </is>
      </c>
      <c r="K1081" t="b">
        <v>0</v>
      </c>
      <c r="L1081" t="inlineStr">
        <is>
          <t>iki-OK-arasi-monotonluk</t>
        </is>
      </c>
      <c r="X1081" t="b">
        <v>1</v>
      </c>
      <c r="Z1081" t="n">
        <v>935</v>
      </c>
      <c r="AA1081" t="n">
        <v>2.5</v>
      </c>
      <c r="AB1081" t="n">
        <v>9.5</v>
      </c>
    </row>
    <row r="1082">
      <c r="A1082" t="inlineStr">
        <is>
          <t>2026-09-24 15:43:56</t>
        </is>
      </c>
      <c r="B1082" t="inlineStr">
        <is>
          <t>MLLB_000_y1.0.3</t>
        </is>
      </c>
      <c r="C1082" t="inlineStr">
        <is>
          <t>WHITE</t>
        </is>
      </c>
      <c r="D1082" t="inlineStr">
        <is>
          <t>v4_white_MLLB_000_y103_0924</t>
        </is>
      </c>
      <c r="E1082" t="n">
        <v>3.4</v>
      </c>
      <c r="F1082" t="n">
        <v>3.408</v>
      </c>
      <c r="G1082" t="n">
        <v>100</v>
      </c>
      <c r="H1082" t="n">
        <v>100</v>
      </c>
      <c r="I1082" t="n">
        <v>42</v>
      </c>
      <c r="J1082" t="inlineStr">
        <is>
          <t>ince</t>
        </is>
      </c>
      <c r="K1082" t="b">
        <v>0</v>
      </c>
      <c r="L1082" t="inlineStr">
        <is>
          <t>iki-OK-arasi-monotonluk</t>
        </is>
      </c>
      <c r="X1082" t="b">
        <v>1</v>
      </c>
      <c r="Z1082" t="n">
        <v>935</v>
      </c>
      <c r="AA1082" t="n">
        <v>2.5</v>
      </c>
      <c r="AB1082" t="n">
        <v>9.5</v>
      </c>
    </row>
    <row r="1083">
      <c r="A1083" t="inlineStr">
        <is>
          <t>2026-09-24 15:43:56</t>
        </is>
      </c>
      <c r="B1083" t="inlineStr">
        <is>
          <t>MLLB_000_y1.0.3</t>
        </is>
      </c>
      <c r="C1083" t="inlineStr">
        <is>
          <t>WHITE</t>
        </is>
      </c>
      <c r="D1083" t="inlineStr">
        <is>
          <t>v4_white_MLLB_000_y103_0924</t>
        </is>
      </c>
      <c r="E1083" t="n">
        <v>3.4</v>
      </c>
      <c r="F1083" t="n">
        <v>3.408</v>
      </c>
      <c r="G1083" t="n">
        <v>100</v>
      </c>
      <c r="H1083" t="n">
        <v>100</v>
      </c>
      <c r="I1083" t="n">
        <v>43</v>
      </c>
      <c r="J1083" t="inlineStr">
        <is>
          <t>ince</t>
        </is>
      </c>
      <c r="K1083" t="b">
        <v>0</v>
      </c>
      <c r="L1083" t="inlineStr">
        <is>
          <t>iki-OK-arasi-monotonluk</t>
        </is>
      </c>
      <c r="X1083" t="b">
        <v>1</v>
      </c>
      <c r="Z1083" t="n">
        <v>935</v>
      </c>
      <c r="AA1083" t="n">
        <v>2.5</v>
      </c>
      <c r="AB1083" t="n">
        <v>9.5</v>
      </c>
    </row>
    <row r="1084">
      <c r="A1084" t="inlineStr">
        <is>
          <t>2026-09-24 15:43:56</t>
        </is>
      </c>
      <c r="B1084" t="inlineStr">
        <is>
          <t>MLLB_000_y1.0.3</t>
        </is>
      </c>
      <c r="C1084" t="inlineStr">
        <is>
          <t>WHITE</t>
        </is>
      </c>
      <c r="D1084" t="inlineStr">
        <is>
          <t>v4_white_MLLB_000_y103_0924</t>
        </is>
      </c>
      <c r="E1084" t="n">
        <v>3.4</v>
      </c>
      <c r="F1084" t="n">
        <v>3.408</v>
      </c>
      <c r="G1084" t="n">
        <v>100</v>
      </c>
      <c r="H1084" t="n">
        <v>100</v>
      </c>
      <c r="I1084" t="n">
        <v>45</v>
      </c>
      <c r="J1084" t="inlineStr">
        <is>
          <t>ince</t>
        </is>
      </c>
      <c r="K1084" t="b">
        <v>0</v>
      </c>
      <c r="L1084" t="inlineStr">
        <is>
          <t>iki-OK-arasi-monotonluk</t>
        </is>
      </c>
      <c r="X1084" t="b">
        <v>1</v>
      </c>
      <c r="Z1084" t="n">
        <v>935</v>
      </c>
      <c r="AA1084" t="n">
        <v>2.5</v>
      </c>
      <c r="AB1084" t="n">
        <v>9.5</v>
      </c>
    </row>
    <row r="1085">
      <c r="A1085" t="inlineStr">
        <is>
          <t>2026-09-24 15:43:56</t>
        </is>
      </c>
      <c r="B1085" t="inlineStr">
        <is>
          <t>MLLB_000_y1.0.3</t>
        </is>
      </c>
      <c r="C1085" t="inlineStr">
        <is>
          <t>WHITE</t>
        </is>
      </c>
      <c r="D1085" t="inlineStr">
        <is>
          <t>v4_white_MLLB_000_y103_0924</t>
        </is>
      </c>
      <c r="E1085" t="n">
        <v>3.4</v>
      </c>
      <c r="F1085" t="n">
        <v>3.408</v>
      </c>
      <c r="G1085" t="n">
        <v>100</v>
      </c>
      <c r="H1085" t="n">
        <v>100</v>
      </c>
      <c r="I1085" t="n">
        <v>46</v>
      </c>
      <c r="J1085" t="inlineStr">
        <is>
          <t>ince</t>
        </is>
      </c>
      <c r="K1085" t="b">
        <v>0</v>
      </c>
      <c r="L1085" t="inlineStr">
        <is>
          <t>iki-OK-arasi-monotonluk</t>
        </is>
      </c>
      <c r="X1085" t="b">
        <v>1</v>
      </c>
      <c r="Z1085" t="n">
        <v>935</v>
      </c>
      <c r="AA1085" t="n">
        <v>2.5</v>
      </c>
      <c r="AB1085" t="n">
        <v>9.5</v>
      </c>
    </row>
    <row r="1086">
      <c r="A1086" t="inlineStr">
        <is>
          <t>2026-09-24 15:43:56</t>
        </is>
      </c>
      <c r="B1086" t="inlineStr">
        <is>
          <t>MLLB_000_y1.0.3</t>
        </is>
      </c>
      <c r="C1086" t="inlineStr">
        <is>
          <t>WHITE</t>
        </is>
      </c>
      <c r="D1086" t="inlineStr">
        <is>
          <t>v4_white_MLLB_000_y103_0924</t>
        </is>
      </c>
      <c r="E1086" t="n">
        <v>3.4</v>
      </c>
      <c r="F1086" t="n">
        <v>3.408</v>
      </c>
      <c r="G1086" t="n">
        <v>100</v>
      </c>
      <c r="H1086" t="n">
        <v>100</v>
      </c>
      <c r="I1086" t="n">
        <v>47</v>
      </c>
      <c r="J1086" t="inlineStr">
        <is>
          <t>ince</t>
        </is>
      </c>
      <c r="K1086" t="b">
        <v>0</v>
      </c>
      <c r="L1086" t="inlineStr">
        <is>
          <t>iki-OK-arasi-monotonluk</t>
        </is>
      </c>
      <c r="X1086" t="b">
        <v>1</v>
      </c>
      <c r="Z1086" t="n">
        <v>935</v>
      </c>
      <c r="AA1086" t="n">
        <v>2.5</v>
      </c>
      <c r="AB1086" t="n">
        <v>9.5</v>
      </c>
    </row>
    <row r="1087">
      <c r="A1087" t="inlineStr">
        <is>
          <t>2026-09-24 15:43:56</t>
        </is>
      </c>
      <c r="B1087" t="inlineStr">
        <is>
          <t>MLLB_000_y1.0.3</t>
        </is>
      </c>
      <c r="C1087" t="inlineStr">
        <is>
          <t>WHITE</t>
        </is>
      </c>
      <c r="D1087" t="inlineStr">
        <is>
          <t>v4_white_MLLB_000_y103_0924</t>
        </is>
      </c>
      <c r="E1087" t="n">
        <v>3.4</v>
      </c>
      <c r="F1087" t="n">
        <v>3.408</v>
      </c>
      <c r="G1087" t="n">
        <v>100</v>
      </c>
      <c r="H1087" t="n">
        <v>100</v>
      </c>
      <c r="I1087" t="n">
        <v>49</v>
      </c>
      <c r="J1087" t="inlineStr">
        <is>
          <t>ince</t>
        </is>
      </c>
      <c r="K1087" t="b">
        <v>0</v>
      </c>
      <c r="L1087" t="inlineStr">
        <is>
          <t>iki-OK-arasi-monotonluk</t>
        </is>
      </c>
      <c r="X1087" t="b">
        <v>1</v>
      </c>
      <c r="Z1087" t="n">
        <v>935</v>
      </c>
      <c r="AA1087" t="n">
        <v>2.5</v>
      </c>
      <c r="AB1087" t="n">
        <v>9.5</v>
      </c>
    </row>
    <row r="1088">
      <c r="A1088" t="inlineStr">
        <is>
          <t>2026-09-24 15:43:56</t>
        </is>
      </c>
      <c r="B1088" t="inlineStr">
        <is>
          <t>MLLB_000_y1.0.3</t>
        </is>
      </c>
      <c r="C1088" t="inlineStr">
        <is>
          <t>WHITE</t>
        </is>
      </c>
      <c r="D1088" t="inlineStr">
        <is>
          <t>v4_white_MLLB_000_y103_0924</t>
        </is>
      </c>
      <c r="E1088" t="n">
        <v>3.4</v>
      </c>
      <c r="F1088" t="n">
        <v>3.408</v>
      </c>
      <c r="G1088" t="n">
        <v>100</v>
      </c>
      <c r="H1088" t="n">
        <v>100</v>
      </c>
      <c r="I1088" t="n">
        <v>50</v>
      </c>
      <c r="J1088" t="inlineStr">
        <is>
          <t>ince</t>
        </is>
      </c>
      <c r="K1088" t="b">
        <v>0</v>
      </c>
      <c r="L1088" t="inlineStr">
        <is>
          <t>iki-OK-arasi-monotonluk</t>
        </is>
      </c>
      <c r="X1088" t="b">
        <v>1</v>
      </c>
      <c r="Z1088" t="n">
        <v>935</v>
      </c>
      <c r="AA1088" t="n">
        <v>2.5</v>
      </c>
      <c r="AB1088" t="n">
        <v>9.5</v>
      </c>
    </row>
    <row r="1089">
      <c r="A1089" t="inlineStr">
        <is>
          <t>2026-09-24 15:43:56</t>
        </is>
      </c>
      <c r="B1089" t="inlineStr">
        <is>
          <t>MLLB_000_y1.0.3</t>
        </is>
      </c>
      <c r="C1089" t="inlineStr">
        <is>
          <t>WHITE</t>
        </is>
      </c>
      <c r="D1089" t="inlineStr">
        <is>
          <t>v4_white_MLLB_000_y103_0924</t>
        </is>
      </c>
      <c r="E1089" t="n">
        <v>3.4</v>
      </c>
      <c r="F1089" t="n">
        <v>3.408</v>
      </c>
      <c r="G1089" t="n">
        <v>100</v>
      </c>
      <c r="H1089" t="n">
        <v>100</v>
      </c>
      <c r="I1089" t="n">
        <v>51</v>
      </c>
      <c r="J1089" t="inlineStr">
        <is>
          <t>ince</t>
        </is>
      </c>
      <c r="K1089" t="b">
        <v>0</v>
      </c>
      <c r="L1089" t="inlineStr">
        <is>
          <t>iki-OK-arasi-monotonluk</t>
        </is>
      </c>
      <c r="X1089" t="b">
        <v>1</v>
      </c>
      <c r="Z1089" t="n">
        <v>935</v>
      </c>
      <c r="AA1089" t="n">
        <v>2.5</v>
      </c>
      <c r="AB1089" t="n">
        <v>9.5</v>
      </c>
    </row>
    <row r="1090">
      <c r="A1090" t="inlineStr">
        <is>
          <t>2026-09-24 15:43:56</t>
        </is>
      </c>
      <c r="B1090" t="inlineStr">
        <is>
          <t>MLLB_000_y1.0.3</t>
        </is>
      </c>
      <c r="C1090" t="inlineStr">
        <is>
          <t>WHITE</t>
        </is>
      </c>
      <c r="D1090" t="inlineStr">
        <is>
          <t>v4_white_MLLB_000_y103_0924</t>
        </is>
      </c>
      <c r="E1090" t="n">
        <v>3.4</v>
      </c>
      <c r="F1090" t="n">
        <v>3.408</v>
      </c>
      <c r="G1090" t="n">
        <v>100</v>
      </c>
      <c r="H1090" t="n">
        <v>100</v>
      </c>
      <c r="I1090" t="n">
        <v>53</v>
      </c>
      <c r="J1090" t="inlineStr">
        <is>
          <t>ince</t>
        </is>
      </c>
      <c r="K1090" t="b">
        <v>0</v>
      </c>
      <c r="L1090" t="inlineStr">
        <is>
          <t>iki-OK-arasi-monotonluk</t>
        </is>
      </c>
      <c r="X1090" t="b">
        <v>1</v>
      </c>
      <c r="Z1090" t="n">
        <v>935</v>
      </c>
      <c r="AA1090" t="n">
        <v>2.5</v>
      </c>
      <c r="AB1090" t="n">
        <v>9.5</v>
      </c>
    </row>
    <row r="1091">
      <c r="A1091" t="inlineStr">
        <is>
          <t>2026-09-24 15:43:56</t>
        </is>
      </c>
      <c r="B1091" t="inlineStr">
        <is>
          <t>MLLB_000_y1.0.3</t>
        </is>
      </c>
      <c r="C1091" t="inlineStr">
        <is>
          <t>WHITE</t>
        </is>
      </c>
      <c r="D1091" t="inlineStr">
        <is>
          <t>v4_white_MLLB_000_y103_0924</t>
        </is>
      </c>
      <c r="E1091" t="n">
        <v>3.4</v>
      </c>
      <c r="F1091" t="n">
        <v>3.408</v>
      </c>
      <c r="G1091" t="n">
        <v>100</v>
      </c>
      <c r="H1091" t="n">
        <v>100</v>
      </c>
      <c r="I1091" t="n">
        <v>54</v>
      </c>
      <c r="J1091" t="inlineStr">
        <is>
          <t>ince</t>
        </is>
      </c>
      <c r="K1091" t="b">
        <v>0</v>
      </c>
      <c r="L1091" t="inlineStr">
        <is>
          <t>iki-OK-arasi-monotonluk</t>
        </is>
      </c>
      <c r="X1091" t="b">
        <v>1</v>
      </c>
      <c r="Z1091" t="n">
        <v>935</v>
      </c>
      <c r="AA1091" t="n">
        <v>2.5</v>
      </c>
      <c r="AB1091" t="n">
        <v>9.5</v>
      </c>
    </row>
    <row r="1092">
      <c r="A1092" t="inlineStr">
        <is>
          <t>2026-09-24 15:43:56</t>
        </is>
      </c>
      <c r="B1092" t="inlineStr">
        <is>
          <t>MLLB_000_y1.0.3</t>
        </is>
      </c>
      <c r="C1092" t="inlineStr">
        <is>
          <t>WHITE</t>
        </is>
      </c>
      <c r="D1092" t="inlineStr">
        <is>
          <t>v4_white_MLLB_000_y103_0924</t>
        </is>
      </c>
      <c r="E1092" t="n">
        <v>3.4</v>
      </c>
      <c r="F1092" t="n">
        <v>3.408</v>
      </c>
      <c r="G1092" t="n">
        <v>100</v>
      </c>
      <c r="H1092" t="n">
        <v>100</v>
      </c>
      <c r="I1092" t="n">
        <v>55</v>
      </c>
      <c r="J1092" t="inlineStr">
        <is>
          <t>ince</t>
        </is>
      </c>
      <c r="K1092" t="b">
        <v>0</v>
      </c>
      <c r="L1092" t="inlineStr">
        <is>
          <t>iki-OK-arasi-monotonluk</t>
        </is>
      </c>
      <c r="X1092" t="b">
        <v>1</v>
      </c>
      <c r="Z1092" t="n">
        <v>935</v>
      </c>
      <c r="AA1092" t="n">
        <v>2.5</v>
      </c>
      <c r="AB1092" t="n">
        <v>9.5</v>
      </c>
    </row>
    <row r="1093">
      <c r="A1093" t="inlineStr">
        <is>
          <t>2026-09-24 15:43:56</t>
        </is>
      </c>
      <c r="B1093" t="inlineStr">
        <is>
          <t>MLLB_000_y1.0.3</t>
        </is>
      </c>
      <c r="C1093" t="inlineStr">
        <is>
          <t>WHITE</t>
        </is>
      </c>
      <c r="D1093" t="inlineStr">
        <is>
          <t>v4_white_MLLB_000_y103_0924</t>
        </is>
      </c>
      <c r="E1093" t="n">
        <v>3.4</v>
      </c>
      <c r="F1093" t="n">
        <v>3.408</v>
      </c>
      <c r="G1093" t="n">
        <v>100</v>
      </c>
      <c r="H1093" t="n">
        <v>100</v>
      </c>
      <c r="I1093" t="n">
        <v>57</v>
      </c>
      <c r="J1093" t="inlineStr">
        <is>
          <t>ince</t>
        </is>
      </c>
      <c r="K1093" t="b">
        <v>0</v>
      </c>
      <c r="L1093" t="inlineStr">
        <is>
          <t>iki-OK-arasi-monotonluk</t>
        </is>
      </c>
      <c r="X1093" t="b">
        <v>1</v>
      </c>
      <c r="Z1093" t="n">
        <v>935</v>
      </c>
      <c r="AA1093" t="n">
        <v>2.5</v>
      </c>
      <c r="AB1093" t="n">
        <v>9.5</v>
      </c>
    </row>
    <row r="1094">
      <c r="A1094" t="inlineStr">
        <is>
          <t>2026-09-24 15:43:56</t>
        </is>
      </c>
      <c r="B1094" t="inlineStr">
        <is>
          <t>MLLB_000_y1.0.3</t>
        </is>
      </c>
      <c r="C1094" t="inlineStr">
        <is>
          <t>WHITE</t>
        </is>
      </c>
      <c r="D1094" t="inlineStr">
        <is>
          <t>v4_white_MLLB_000_y103_0924</t>
        </is>
      </c>
      <c r="E1094" t="n">
        <v>3.4</v>
      </c>
      <c r="F1094" t="n">
        <v>3.408</v>
      </c>
      <c r="G1094" t="n">
        <v>100</v>
      </c>
      <c r="H1094" t="n">
        <v>100</v>
      </c>
      <c r="J1094" t="inlineStr">
        <is>
          <t>bitti</t>
        </is>
      </c>
      <c r="K1094" t="b">
        <v>0</v>
      </c>
      <c r="Z1094" t="n">
        <v>935</v>
      </c>
      <c r="AA1094" t="n">
        <v>2.5</v>
      </c>
      <c r="AB1094" t="n">
        <v>9.5</v>
      </c>
    </row>
    <row r="1095">
      <c r="A1095" t="inlineStr">
        <is>
          <t>2026-09-24 15:44:12</t>
        </is>
      </c>
      <c r="B1095" t="inlineStr">
        <is>
          <t>MLLB_000_y1.0.3</t>
        </is>
      </c>
      <c r="C1095" t="inlineStr">
        <is>
          <t>WHITE</t>
        </is>
      </c>
      <c r="D1095" t="inlineStr">
        <is>
          <t>v4_white_MLLB_000_y103_0924</t>
        </is>
      </c>
      <c r="E1095" t="n">
        <v>3.4</v>
      </c>
      <c r="F1095" t="n">
        <v>3.408</v>
      </c>
      <c r="G1095" t="n">
        <v>100</v>
      </c>
      <c r="H1095" t="n">
        <v>80</v>
      </c>
      <c r="I1095" t="n">
        <v>12</v>
      </c>
      <c r="J1095" t="inlineStr">
        <is>
          <t>kaba</t>
        </is>
      </c>
      <c r="K1095" t="b">
        <v>1</v>
      </c>
      <c r="M1095" t="n">
        <v>34</v>
      </c>
      <c r="N1095" t="n">
        <v>28</v>
      </c>
      <c r="O1095" t="n">
        <v>14</v>
      </c>
      <c r="P1095" t="n">
        <v>968</v>
      </c>
      <c r="Q1095" t="n">
        <v>1002</v>
      </c>
      <c r="R1095" t="n">
        <v>1.065</v>
      </c>
      <c r="S1095" t="n">
        <v>243.903</v>
      </c>
      <c r="T1095" t="n">
        <v>228.937</v>
      </c>
      <c r="U1095" t="n">
        <v>0.7776999999999999</v>
      </c>
      <c r="V1095" t="b">
        <v>1</v>
      </c>
      <c r="X1095" t="b">
        <v>1</v>
      </c>
      <c r="Z1095" t="n">
        <v>935</v>
      </c>
      <c r="AA1095" t="n">
        <v>2.5</v>
      </c>
      <c r="AB1095" t="n">
        <v>9.5</v>
      </c>
    </row>
    <row r="1096">
      <c r="A1096" t="inlineStr">
        <is>
          <t>2026-09-24 15:44:27</t>
        </is>
      </c>
      <c r="B1096" t="inlineStr">
        <is>
          <t>MLLB_000_y1.0.3</t>
        </is>
      </c>
      <c r="C1096" t="inlineStr">
        <is>
          <t>WHITE</t>
        </is>
      </c>
      <c r="D1096" t="inlineStr">
        <is>
          <t>v4_white_MLLB_000_y103_0924</t>
        </is>
      </c>
      <c r="E1096" t="n">
        <v>3.4</v>
      </c>
      <c r="F1096" t="n">
        <v>3.408</v>
      </c>
      <c r="G1096" t="n">
        <v>100</v>
      </c>
      <c r="H1096" t="n">
        <v>80</v>
      </c>
      <c r="I1096" t="n">
        <v>16</v>
      </c>
      <c r="J1096" t="inlineStr">
        <is>
          <t>kaba</t>
        </is>
      </c>
      <c r="K1096" t="b">
        <v>1</v>
      </c>
      <c r="M1096" t="n">
        <v>34</v>
      </c>
      <c r="N1096" t="n">
        <v>28</v>
      </c>
      <c r="O1096" t="n">
        <v>14</v>
      </c>
      <c r="P1096" t="n">
        <v>968</v>
      </c>
      <c r="Q1096" t="n">
        <v>1002</v>
      </c>
      <c r="R1096" t="n">
        <v>1.065</v>
      </c>
      <c r="S1096" t="n">
        <v>243.864</v>
      </c>
      <c r="T1096" t="n">
        <v>228.886</v>
      </c>
      <c r="U1096" t="n">
        <v>0.7775</v>
      </c>
      <c r="V1096" t="b">
        <v>1</v>
      </c>
      <c r="X1096" t="b">
        <v>1</v>
      </c>
      <c r="Z1096" t="n">
        <v>935</v>
      </c>
      <c r="AA1096" t="n">
        <v>2.5</v>
      </c>
      <c r="AB1096" t="n">
        <v>9.5</v>
      </c>
    </row>
    <row r="1097">
      <c r="A1097" t="inlineStr">
        <is>
          <t>2026-09-24 15:44:44</t>
        </is>
      </c>
      <c r="B1097" t="inlineStr">
        <is>
          <t>MLLB_000_y1.0.3</t>
        </is>
      </c>
      <c r="C1097" t="inlineStr">
        <is>
          <t>WHITE</t>
        </is>
      </c>
      <c r="D1097" t="inlineStr">
        <is>
          <t>v4_white_MLLB_000_y103_0924</t>
        </is>
      </c>
      <c r="E1097" t="n">
        <v>3.4</v>
      </c>
      <c r="F1097" t="n">
        <v>3.408</v>
      </c>
      <c r="G1097" t="n">
        <v>100</v>
      </c>
      <c r="H1097" t="n">
        <v>80</v>
      </c>
      <c r="I1097" t="n">
        <v>20</v>
      </c>
      <c r="J1097" t="inlineStr">
        <is>
          <t>kaba</t>
        </is>
      </c>
      <c r="K1097" t="b">
        <v>1</v>
      </c>
      <c r="M1097" t="n">
        <v>34</v>
      </c>
      <c r="N1097" t="n">
        <v>28</v>
      </c>
      <c r="O1097" t="n">
        <v>14</v>
      </c>
      <c r="P1097" t="n">
        <v>968</v>
      </c>
      <c r="Q1097" t="n">
        <v>1002</v>
      </c>
      <c r="R1097" t="n">
        <v>1.066</v>
      </c>
      <c r="S1097" t="n">
        <v>243.962</v>
      </c>
      <c r="T1097" t="n">
        <v>228.841</v>
      </c>
      <c r="U1097" t="n">
        <v>0.7784</v>
      </c>
      <c r="V1097" t="b">
        <v>1</v>
      </c>
      <c r="X1097" t="b">
        <v>1</v>
      </c>
      <c r="Z1097" t="n">
        <v>935</v>
      </c>
      <c r="AA1097" t="n">
        <v>2.5</v>
      </c>
      <c r="AB1097" t="n">
        <v>9.5</v>
      </c>
    </row>
    <row r="1098">
      <c r="A1098" t="inlineStr">
        <is>
          <t>2026-09-24 15:44:59</t>
        </is>
      </c>
      <c r="B1098" t="inlineStr">
        <is>
          <t>MLLB_000_y1.0.3</t>
        </is>
      </c>
      <c r="C1098" t="inlineStr">
        <is>
          <t>WHITE</t>
        </is>
      </c>
      <c r="D1098" t="inlineStr">
        <is>
          <t>v4_white_MLLB_000_y103_0924</t>
        </is>
      </c>
      <c r="E1098" t="n">
        <v>3.4</v>
      </c>
      <c r="F1098" t="n">
        <v>3.408</v>
      </c>
      <c r="G1098" t="n">
        <v>100</v>
      </c>
      <c r="H1098" t="n">
        <v>80</v>
      </c>
      <c r="I1098" t="n">
        <v>24</v>
      </c>
      <c r="J1098" t="inlineStr">
        <is>
          <t>kaba</t>
        </is>
      </c>
      <c r="K1098" t="b">
        <v>1</v>
      </c>
      <c r="M1098" t="n">
        <v>34</v>
      </c>
      <c r="N1098" t="n">
        <v>28</v>
      </c>
      <c r="O1098" t="n">
        <v>14</v>
      </c>
      <c r="P1098" t="n">
        <v>968</v>
      </c>
      <c r="Q1098" t="n">
        <v>1002</v>
      </c>
      <c r="R1098" t="n">
        <v>1.065</v>
      </c>
      <c r="S1098" t="n">
        <v>243.864</v>
      </c>
      <c r="T1098" t="n">
        <v>229.087</v>
      </c>
      <c r="U1098" t="n">
        <v>0.7783</v>
      </c>
      <c r="V1098" t="b">
        <v>1</v>
      </c>
      <c r="X1098" t="b">
        <v>1</v>
      </c>
      <c r="Z1098" t="n">
        <v>935</v>
      </c>
      <c r="AA1098" t="n">
        <v>2.5</v>
      </c>
      <c r="AB1098" t="n">
        <v>9.5</v>
      </c>
    </row>
    <row r="1099">
      <c r="A1099" t="inlineStr">
        <is>
          <t>2026-09-24 15:45:16</t>
        </is>
      </c>
      <c r="B1099" t="inlineStr">
        <is>
          <t>MLLB_000_y1.0.3</t>
        </is>
      </c>
      <c r="C1099" t="inlineStr">
        <is>
          <t>WHITE</t>
        </is>
      </c>
      <c r="D1099" t="inlineStr">
        <is>
          <t>v4_white_MLLB_000_y103_0924</t>
        </is>
      </c>
      <c r="E1099" t="n">
        <v>3.4</v>
      </c>
      <c r="F1099" t="n">
        <v>3.408</v>
      </c>
      <c r="G1099" t="n">
        <v>100</v>
      </c>
      <c r="H1099" t="n">
        <v>80</v>
      </c>
      <c r="I1099" t="n">
        <v>28</v>
      </c>
      <c r="J1099" t="inlineStr">
        <is>
          <t>kaba</t>
        </is>
      </c>
      <c r="K1099" t="b">
        <v>1</v>
      </c>
      <c r="M1099" t="n">
        <v>34</v>
      </c>
      <c r="N1099" t="n">
        <v>28</v>
      </c>
      <c r="O1099" t="n">
        <v>14</v>
      </c>
      <c r="P1099" t="n">
        <v>968</v>
      </c>
      <c r="Q1099" t="n">
        <v>1002</v>
      </c>
      <c r="R1099" t="n">
        <v>1.07</v>
      </c>
      <c r="S1099" t="n">
        <v>244.635</v>
      </c>
      <c r="T1099" t="n">
        <v>228.733</v>
      </c>
      <c r="U1099" t="n">
        <v>0.7782</v>
      </c>
      <c r="V1099" t="b">
        <v>1</v>
      </c>
      <c r="X1099" t="b">
        <v>1</v>
      </c>
      <c r="Z1099" t="n">
        <v>935</v>
      </c>
      <c r="AA1099" t="n">
        <v>2.5</v>
      </c>
      <c r="AB1099" t="n">
        <v>9.5</v>
      </c>
    </row>
    <row r="1100">
      <c r="A1100" t="inlineStr">
        <is>
          <t>2026-09-24 15:45:31</t>
        </is>
      </c>
      <c r="B1100" t="inlineStr">
        <is>
          <t>MLLB_000_y1.0.3</t>
        </is>
      </c>
      <c r="C1100" t="inlineStr">
        <is>
          <t>WHITE</t>
        </is>
      </c>
      <c r="D1100" t="inlineStr">
        <is>
          <t>v4_white_MLLB_000_y103_0924</t>
        </is>
      </c>
      <c r="E1100" t="n">
        <v>3.4</v>
      </c>
      <c r="F1100" t="n">
        <v>3.408</v>
      </c>
      <c r="G1100" t="n">
        <v>100</v>
      </c>
      <c r="H1100" t="n">
        <v>80</v>
      </c>
      <c r="I1100" t="n">
        <v>32</v>
      </c>
      <c r="J1100" t="inlineStr">
        <is>
          <t>kaba</t>
        </is>
      </c>
      <c r="K1100" t="b">
        <v>1</v>
      </c>
      <c r="M1100" t="n">
        <v>34</v>
      </c>
      <c r="N1100" t="n">
        <v>28</v>
      </c>
      <c r="O1100" t="n">
        <v>14</v>
      </c>
      <c r="P1100" t="n">
        <v>968</v>
      </c>
      <c r="Q1100" t="n">
        <v>1002</v>
      </c>
      <c r="R1100" t="n">
        <v>1.066</v>
      </c>
      <c r="S1100" t="n">
        <v>243.864</v>
      </c>
      <c r="T1100" t="n">
        <v>228.756</v>
      </c>
      <c r="U1100" t="n">
        <v>0.7776</v>
      </c>
      <c r="V1100" t="b">
        <v>1</v>
      </c>
      <c r="X1100" t="b">
        <v>1</v>
      </c>
      <c r="Z1100" t="n">
        <v>935</v>
      </c>
      <c r="AA1100" t="n">
        <v>2.5</v>
      </c>
      <c r="AB1100" t="n">
        <v>9.5</v>
      </c>
    </row>
    <row r="1101">
      <c r="A1101" t="inlineStr">
        <is>
          <t>2026-09-24 15:45:48</t>
        </is>
      </c>
      <c r="B1101" t="inlineStr">
        <is>
          <t>MLLB_000_y1.0.3</t>
        </is>
      </c>
      <c r="C1101" t="inlineStr">
        <is>
          <t>WHITE</t>
        </is>
      </c>
      <c r="D1101" t="inlineStr">
        <is>
          <t>v4_white_MLLB_000_y103_0924</t>
        </is>
      </c>
      <c r="E1101" t="n">
        <v>3.4</v>
      </c>
      <c r="F1101" t="n">
        <v>3.408</v>
      </c>
      <c r="G1101" t="n">
        <v>100</v>
      </c>
      <c r="H1101" t="n">
        <v>80</v>
      </c>
      <c r="I1101" t="n">
        <v>36</v>
      </c>
      <c r="J1101" t="inlineStr">
        <is>
          <t>kaba</t>
        </is>
      </c>
      <c r="K1101" t="b">
        <v>1</v>
      </c>
      <c r="M1101" t="n">
        <v>34</v>
      </c>
      <c r="N1101" t="n">
        <v>28</v>
      </c>
      <c r="O1101" t="n">
        <v>14</v>
      </c>
      <c r="P1101" t="n">
        <v>968</v>
      </c>
      <c r="Q1101" t="n">
        <v>1002</v>
      </c>
      <c r="R1101" t="n">
        <v>1.066</v>
      </c>
      <c r="S1101" t="n">
        <v>243.864</v>
      </c>
      <c r="T1101" t="n">
        <v>228.721</v>
      </c>
      <c r="U1101" t="n">
        <v>0.7782</v>
      </c>
      <c r="V1101" t="b">
        <v>1</v>
      </c>
      <c r="X1101" t="b">
        <v>1</v>
      </c>
      <c r="Z1101" t="n">
        <v>935</v>
      </c>
      <c r="AA1101" t="n">
        <v>2.5</v>
      </c>
      <c r="AB1101" t="n">
        <v>9.5</v>
      </c>
    </row>
    <row r="1102">
      <c r="A1102" t="inlineStr">
        <is>
          <t>2026-09-24 15:46:04</t>
        </is>
      </c>
      <c r="B1102" t="inlineStr">
        <is>
          <t>MLLB_000_y1.0.3</t>
        </is>
      </c>
      <c r="C1102" t="inlineStr">
        <is>
          <t>WHITE</t>
        </is>
      </c>
      <c r="D1102" t="inlineStr">
        <is>
          <t>v4_white_MLLB_000_y103_0924</t>
        </is>
      </c>
      <c r="E1102" t="n">
        <v>3.4</v>
      </c>
      <c r="F1102" t="n">
        <v>3.408</v>
      </c>
      <c r="G1102" t="n">
        <v>100</v>
      </c>
      <c r="H1102" t="n">
        <v>80</v>
      </c>
      <c r="I1102" t="n">
        <v>40</v>
      </c>
      <c r="J1102" t="inlineStr">
        <is>
          <t>kaba</t>
        </is>
      </c>
      <c r="K1102" t="b">
        <v>1</v>
      </c>
      <c r="M1102" t="n">
        <v>34</v>
      </c>
      <c r="N1102" t="n">
        <v>28</v>
      </c>
      <c r="O1102" t="n">
        <v>14</v>
      </c>
      <c r="P1102" t="n">
        <v>968</v>
      </c>
      <c r="Q1102" t="n">
        <v>1002</v>
      </c>
      <c r="R1102" t="n">
        <v>1.067</v>
      </c>
      <c r="S1102" t="n">
        <v>243.949</v>
      </c>
      <c r="T1102" t="n">
        <v>228.606</v>
      </c>
      <c r="U1102" t="n">
        <v>0.7789</v>
      </c>
      <c r="V1102" t="b">
        <v>1</v>
      </c>
      <c r="X1102" t="b">
        <v>1</v>
      </c>
      <c r="Z1102" t="n">
        <v>935</v>
      </c>
      <c r="AA1102" t="n">
        <v>2.5</v>
      </c>
      <c r="AB1102" t="n">
        <v>9.5</v>
      </c>
    </row>
    <row r="1103">
      <c r="A1103" t="inlineStr">
        <is>
          <t>2026-09-24 15:46:20</t>
        </is>
      </c>
      <c r="B1103" t="inlineStr">
        <is>
          <t>MLLB_000_y1.0.3</t>
        </is>
      </c>
      <c r="C1103" t="inlineStr">
        <is>
          <t>WHITE</t>
        </is>
      </c>
      <c r="D1103" t="inlineStr">
        <is>
          <t>v4_white_MLLB_000_y103_0924</t>
        </is>
      </c>
      <c r="E1103" t="n">
        <v>3.4</v>
      </c>
      <c r="F1103" t="n">
        <v>3.408</v>
      </c>
      <c r="G1103" t="n">
        <v>100</v>
      </c>
      <c r="H1103" t="n">
        <v>80</v>
      </c>
      <c r="I1103" t="n">
        <v>44</v>
      </c>
      <c r="J1103" t="inlineStr">
        <is>
          <t>kaba</t>
        </is>
      </c>
      <c r="K1103" t="b">
        <v>1</v>
      </c>
      <c r="M1103" t="n">
        <v>34</v>
      </c>
      <c r="N1103" t="n">
        <v>28</v>
      </c>
      <c r="O1103" t="n">
        <v>14</v>
      </c>
      <c r="P1103" t="n">
        <v>968</v>
      </c>
      <c r="Q1103" t="n">
        <v>1002</v>
      </c>
      <c r="R1103" t="n">
        <v>1.066</v>
      </c>
      <c r="S1103" t="n">
        <v>243.864</v>
      </c>
      <c r="T1103" t="n">
        <v>228.795</v>
      </c>
      <c r="U1103" t="n">
        <v>0.7779</v>
      </c>
      <c r="V1103" t="b">
        <v>1</v>
      </c>
      <c r="X1103" t="b">
        <v>1</v>
      </c>
      <c r="Z1103" t="n">
        <v>935</v>
      </c>
      <c r="AA1103" t="n">
        <v>2.5</v>
      </c>
      <c r="AB1103" t="n">
        <v>9.5</v>
      </c>
    </row>
    <row r="1104">
      <c r="A1104" t="inlineStr">
        <is>
          <t>2026-09-24 15:46:36</t>
        </is>
      </c>
      <c r="B1104" t="inlineStr">
        <is>
          <t>MLLB_000_y1.0.3</t>
        </is>
      </c>
      <c r="C1104" t="inlineStr">
        <is>
          <t>WHITE</t>
        </is>
      </c>
      <c r="D1104" t="inlineStr">
        <is>
          <t>v4_white_MLLB_000_y103_0924</t>
        </is>
      </c>
      <c r="E1104" t="n">
        <v>3.4</v>
      </c>
      <c r="F1104" t="n">
        <v>3.408</v>
      </c>
      <c r="G1104" t="n">
        <v>100</v>
      </c>
      <c r="H1104" t="n">
        <v>80</v>
      </c>
      <c r="I1104" t="n">
        <v>48</v>
      </c>
      <c r="J1104" t="inlineStr">
        <is>
          <t>kaba</t>
        </is>
      </c>
      <c r="K1104" t="b">
        <v>1</v>
      </c>
      <c r="M1104" t="n">
        <v>34</v>
      </c>
      <c r="N1104" t="n">
        <v>28</v>
      </c>
      <c r="O1104" t="n">
        <v>14</v>
      </c>
      <c r="P1104" t="n">
        <v>968</v>
      </c>
      <c r="Q1104" t="n">
        <v>1002</v>
      </c>
      <c r="R1104" t="n">
        <v>1.066</v>
      </c>
      <c r="S1104" t="n">
        <v>243.864</v>
      </c>
      <c r="T1104" t="n">
        <v>228.784</v>
      </c>
      <c r="U1104" t="n">
        <v>0.7778</v>
      </c>
      <c r="V1104" t="b">
        <v>1</v>
      </c>
      <c r="X1104" t="b">
        <v>1</v>
      </c>
      <c r="Z1104" t="n">
        <v>935</v>
      </c>
      <c r="AA1104" t="n">
        <v>2.5</v>
      </c>
      <c r="AB1104" t="n">
        <v>9.5</v>
      </c>
    </row>
    <row r="1105">
      <c r="A1105" t="inlineStr">
        <is>
          <t>2026-09-24 15:46:52</t>
        </is>
      </c>
      <c r="B1105" t="inlineStr">
        <is>
          <t>MLLB_000_y1.0.3</t>
        </is>
      </c>
      <c r="C1105" t="inlineStr">
        <is>
          <t>WHITE</t>
        </is>
      </c>
      <c r="D1105" t="inlineStr">
        <is>
          <t>v4_white_MLLB_000_y103_0924</t>
        </is>
      </c>
      <c r="E1105" t="n">
        <v>3.4</v>
      </c>
      <c r="F1105" t="n">
        <v>3.408</v>
      </c>
      <c r="G1105" t="n">
        <v>100</v>
      </c>
      <c r="H1105" t="n">
        <v>80</v>
      </c>
      <c r="I1105" t="n">
        <v>52</v>
      </c>
      <c r="J1105" t="inlineStr">
        <is>
          <t>kaba</t>
        </is>
      </c>
      <c r="K1105" t="b">
        <v>1</v>
      </c>
      <c r="M1105" t="n">
        <v>34</v>
      </c>
      <c r="N1105" t="n">
        <v>28</v>
      </c>
      <c r="O1105" t="n">
        <v>14</v>
      </c>
      <c r="P1105" t="n">
        <v>968</v>
      </c>
      <c r="Q1105" t="n">
        <v>1002</v>
      </c>
      <c r="R1105" t="n">
        <v>1.066</v>
      </c>
      <c r="S1105" t="n">
        <v>243.864</v>
      </c>
      <c r="T1105" t="n">
        <v>228.765</v>
      </c>
      <c r="U1105" t="n">
        <v>0.7781</v>
      </c>
      <c r="V1105" t="b">
        <v>1</v>
      </c>
      <c r="X1105" t="b">
        <v>1</v>
      </c>
      <c r="Z1105" t="n">
        <v>935</v>
      </c>
      <c r="AA1105" t="n">
        <v>2.5</v>
      </c>
      <c r="AB1105" t="n">
        <v>9.5</v>
      </c>
    </row>
    <row r="1106">
      <c r="A1106" t="inlineStr">
        <is>
          <t>2026-09-24 15:47:08</t>
        </is>
      </c>
      <c r="B1106" t="inlineStr">
        <is>
          <t>MLLB_000_y1.0.3</t>
        </is>
      </c>
      <c r="C1106" t="inlineStr">
        <is>
          <t>WHITE</t>
        </is>
      </c>
      <c r="D1106" t="inlineStr">
        <is>
          <t>v4_white_MLLB_000_y103_0924</t>
        </is>
      </c>
      <c r="E1106" t="n">
        <v>3.4</v>
      </c>
      <c r="F1106" t="n">
        <v>3.408</v>
      </c>
      <c r="G1106" t="n">
        <v>100</v>
      </c>
      <c r="H1106" t="n">
        <v>80</v>
      </c>
      <c r="I1106" t="n">
        <v>56</v>
      </c>
      <c r="J1106" t="inlineStr">
        <is>
          <t>kaba</t>
        </is>
      </c>
      <c r="K1106" t="b">
        <v>1</v>
      </c>
      <c r="M1106" t="n">
        <v>34</v>
      </c>
      <c r="N1106" t="n">
        <v>28</v>
      </c>
      <c r="O1106" t="n">
        <v>14</v>
      </c>
      <c r="P1106" t="n">
        <v>968</v>
      </c>
      <c r="Q1106" t="n">
        <v>1002</v>
      </c>
      <c r="R1106" t="n">
        <v>1.067</v>
      </c>
      <c r="S1106" t="n">
        <v>243.864</v>
      </c>
      <c r="T1106" t="n">
        <v>228.629</v>
      </c>
      <c r="U1106" t="n">
        <v>0.7779</v>
      </c>
      <c r="V1106" t="b">
        <v>1</v>
      </c>
      <c r="X1106" t="b">
        <v>1</v>
      </c>
      <c r="Z1106" t="n">
        <v>935</v>
      </c>
      <c r="AA1106" t="n">
        <v>2.5</v>
      </c>
      <c r="AB1106" t="n">
        <v>9.5</v>
      </c>
    </row>
    <row r="1107">
      <c r="A1107" t="inlineStr">
        <is>
          <t>2026-09-24 15:47:23</t>
        </is>
      </c>
      <c r="B1107" t="inlineStr">
        <is>
          <t>MLLB_000_y1.0.3</t>
        </is>
      </c>
      <c r="C1107" t="inlineStr">
        <is>
          <t>WHITE</t>
        </is>
      </c>
      <c r="D1107" t="inlineStr">
        <is>
          <t>v4_white_MLLB_000_y103_0924</t>
        </is>
      </c>
      <c r="E1107" t="n">
        <v>3.4</v>
      </c>
      <c r="F1107" t="n">
        <v>3.408</v>
      </c>
      <c r="G1107" t="n">
        <v>100</v>
      </c>
      <c r="H1107" t="n">
        <v>80</v>
      </c>
      <c r="I1107" t="n">
        <v>58</v>
      </c>
      <c r="J1107" t="inlineStr">
        <is>
          <t>kaba</t>
        </is>
      </c>
      <c r="K1107" t="b">
        <v>1</v>
      </c>
      <c r="M1107" t="n">
        <v>34</v>
      </c>
      <c r="N1107" t="n">
        <v>28</v>
      </c>
      <c r="O1107" t="n">
        <v>14</v>
      </c>
      <c r="P1107" t="n">
        <v>968</v>
      </c>
      <c r="Q1107" t="n">
        <v>1002</v>
      </c>
      <c r="R1107" t="n">
        <v>1.066</v>
      </c>
      <c r="S1107" t="n">
        <v>243.864</v>
      </c>
      <c r="T1107" t="n">
        <v>228.827</v>
      </c>
      <c r="U1107" t="n">
        <v>0.7782</v>
      </c>
      <c r="V1107" t="b">
        <v>1</v>
      </c>
      <c r="X1107" t="b">
        <v>1</v>
      </c>
      <c r="Z1107" t="n">
        <v>935</v>
      </c>
      <c r="AA1107" t="n">
        <v>2.5</v>
      </c>
      <c r="AB1107" t="n">
        <v>9.5</v>
      </c>
    </row>
    <row r="1108">
      <c r="A1108" t="inlineStr">
        <is>
          <t>2026-09-24 15:47:24</t>
        </is>
      </c>
      <c r="B1108" t="inlineStr">
        <is>
          <t>MLLB_000_y1.0.3</t>
        </is>
      </c>
      <c r="C1108" t="inlineStr">
        <is>
          <t>WHITE</t>
        </is>
      </c>
      <c r="D1108" t="inlineStr">
        <is>
          <t>v4_white_MLLB_000_y103_0924</t>
        </is>
      </c>
      <c r="E1108" t="n">
        <v>3.4</v>
      </c>
      <c r="F1108" t="n">
        <v>3.408</v>
      </c>
      <c r="G1108" t="n">
        <v>100</v>
      </c>
      <c r="H1108" t="n">
        <v>80</v>
      </c>
      <c r="I1108" t="n">
        <v>13</v>
      </c>
      <c r="J1108" t="inlineStr">
        <is>
          <t>ince</t>
        </is>
      </c>
      <c r="K1108" t="b">
        <v>0</v>
      </c>
      <c r="L1108" t="inlineStr">
        <is>
          <t>iki-OK-arasi-monotonluk</t>
        </is>
      </c>
      <c r="X1108" t="b">
        <v>1</v>
      </c>
      <c r="Z1108" t="n">
        <v>935</v>
      </c>
      <c r="AA1108" t="n">
        <v>2.5</v>
      </c>
      <c r="AB1108" t="n">
        <v>9.5</v>
      </c>
    </row>
    <row r="1109">
      <c r="A1109" t="inlineStr">
        <is>
          <t>2026-09-24 15:47:24</t>
        </is>
      </c>
      <c r="B1109" t="inlineStr">
        <is>
          <t>MLLB_000_y1.0.3</t>
        </is>
      </c>
      <c r="C1109" t="inlineStr">
        <is>
          <t>WHITE</t>
        </is>
      </c>
      <c r="D1109" t="inlineStr">
        <is>
          <t>v4_white_MLLB_000_y103_0924</t>
        </is>
      </c>
      <c r="E1109" t="n">
        <v>3.4</v>
      </c>
      <c r="F1109" t="n">
        <v>3.408</v>
      </c>
      <c r="G1109" t="n">
        <v>100</v>
      </c>
      <c r="H1109" t="n">
        <v>80</v>
      </c>
      <c r="I1109" t="n">
        <v>14</v>
      </c>
      <c r="J1109" t="inlineStr">
        <is>
          <t>ince</t>
        </is>
      </c>
      <c r="K1109" t="b">
        <v>0</v>
      </c>
      <c r="L1109" t="inlineStr">
        <is>
          <t>iki-OK-arasi-monotonluk</t>
        </is>
      </c>
      <c r="X1109" t="b">
        <v>1</v>
      </c>
      <c r="Z1109" t="n">
        <v>935</v>
      </c>
      <c r="AA1109" t="n">
        <v>2.5</v>
      </c>
      <c r="AB1109" t="n">
        <v>9.5</v>
      </c>
    </row>
    <row r="1110">
      <c r="A1110" t="inlineStr">
        <is>
          <t>2026-09-24 15:47:24</t>
        </is>
      </c>
      <c r="B1110" t="inlineStr">
        <is>
          <t>MLLB_000_y1.0.3</t>
        </is>
      </c>
      <c r="C1110" t="inlineStr">
        <is>
          <t>WHITE</t>
        </is>
      </c>
      <c r="D1110" t="inlineStr">
        <is>
          <t>v4_white_MLLB_000_y103_0924</t>
        </is>
      </c>
      <c r="E1110" t="n">
        <v>3.4</v>
      </c>
      <c r="F1110" t="n">
        <v>3.408</v>
      </c>
      <c r="G1110" t="n">
        <v>100</v>
      </c>
      <c r="H1110" t="n">
        <v>80</v>
      </c>
      <c r="I1110" t="n">
        <v>15</v>
      </c>
      <c r="J1110" t="inlineStr">
        <is>
          <t>ince</t>
        </is>
      </c>
      <c r="K1110" t="b">
        <v>0</v>
      </c>
      <c r="L1110" t="inlineStr">
        <is>
          <t>iki-OK-arasi-monotonluk</t>
        </is>
      </c>
      <c r="X1110" t="b">
        <v>1</v>
      </c>
      <c r="Z1110" t="n">
        <v>935</v>
      </c>
      <c r="AA1110" t="n">
        <v>2.5</v>
      </c>
      <c r="AB1110" t="n">
        <v>9.5</v>
      </c>
    </row>
    <row r="1111">
      <c r="A1111" t="inlineStr">
        <is>
          <t>2026-09-24 15:47:24</t>
        </is>
      </c>
      <c r="B1111" t="inlineStr">
        <is>
          <t>MLLB_000_y1.0.3</t>
        </is>
      </c>
      <c r="C1111" t="inlineStr">
        <is>
          <t>WHITE</t>
        </is>
      </c>
      <c r="D1111" t="inlineStr">
        <is>
          <t>v4_white_MLLB_000_y103_0924</t>
        </is>
      </c>
      <c r="E1111" t="n">
        <v>3.4</v>
      </c>
      <c r="F1111" t="n">
        <v>3.408</v>
      </c>
      <c r="G1111" t="n">
        <v>100</v>
      </c>
      <c r="H1111" t="n">
        <v>80</v>
      </c>
      <c r="I1111" t="n">
        <v>17</v>
      </c>
      <c r="J1111" t="inlineStr">
        <is>
          <t>ince</t>
        </is>
      </c>
      <c r="K1111" t="b">
        <v>0</v>
      </c>
      <c r="L1111" t="inlineStr">
        <is>
          <t>iki-OK-arasi-monotonluk</t>
        </is>
      </c>
      <c r="X1111" t="b">
        <v>1</v>
      </c>
      <c r="Z1111" t="n">
        <v>935</v>
      </c>
      <c r="AA1111" t="n">
        <v>2.5</v>
      </c>
      <c r="AB1111" t="n">
        <v>9.5</v>
      </c>
    </row>
    <row r="1112">
      <c r="A1112" t="inlineStr">
        <is>
          <t>2026-09-24 15:47:24</t>
        </is>
      </c>
      <c r="B1112" t="inlineStr">
        <is>
          <t>MLLB_000_y1.0.3</t>
        </is>
      </c>
      <c r="C1112" t="inlineStr">
        <is>
          <t>WHITE</t>
        </is>
      </c>
      <c r="D1112" t="inlineStr">
        <is>
          <t>v4_white_MLLB_000_y103_0924</t>
        </is>
      </c>
      <c r="E1112" t="n">
        <v>3.4</v>
      </c>
      <c r="F1112" t="n">
        <v>3.408</v>
      </c>
      <c r="G1112" t="n">
        <v>100</v>
      </c>
      <c r="H1112" t="n">
        <v>80</v>
      </c>
      <c r="I1112" t="n">
        <v>18</v>
      </c>
      <c r="J1112" t="inlineStr">
        <is>
          <t>ince</t>
        </is>
      </c>
      <c r="K1112" t="b">
        <v>0</v>
      </c>
      <c r="L1112" t="inlineStr">
        <is>
          <t>iki-OK-arasi-monotonluk</t>
        </is>
      </c>
      <c r="X1112" t="b">
        <v>1</v>
      </c>
      <c r="Z1112" t="n">
        <v>935</v>
      </c>
      <c r="AA1112" t="n">
        <v>2.5</v>
      </c>
      <c r="AB1112" t="n">
        <v>9.5</v>
      </c>
    </row>
    <row r="1113">
      <c r="A1113" t="inlineStr">
        <is>
          <t>2026-09-24 15:47:24</t>
        </is>
      </c>
      <c r="B1113" t="inlineStr">
        <is>
          <t>MLLB_000_y1.0.3</t>
        </is>
      </c>
      <c r="C1113" t="inlineStr">
        <is>
          <t>WHITE</t>
        </is>
      </c>
      <c r="D1113" t="inlineStr">
        <is>
          <t>v4_white_MLLB_000_y103_0924</t>
        </is>
      </c>
      <c r="E1113" t="n">
        <v>3.4</v>
      </c>
      <c r="F1113" t="n">
        <v>3.408</v>
      </c>
      <c r="G1113" t="n">
        <v>100</v>
      </c>
      <c r="H1113" t="n">
        <v>80</v>
      </c>
      <c r="I1113" t="n">
        <v>19</v>
      </c>
      <c r="J1113" t="inlineStr">
        <is>
          <t>ince</t>
        </is>
      </c>
      <c r="K1113" t="b">
        <v>0</v>
      </c>
      <c r="L1113" t="inlineStr">
        <is>
          <t>iki-OK-arasi-monotonluk</t>
        </is>
      </c>
      <c r="X1113" t="b">
        <v>1</v>
      </c>
      <c r="Z1113" t="n">
        <v>935</v>
      </c>
      <c r="AA1113" t="n">
        <v>2.5</v>
      </c>
      <c r="AB1113" t="n">
        <v>9.5</v>
      </c>
    </row>
    <row r="1114">
      <c r="A1114" t="inlineStr">
        <is>
          <t>2026-09-24 15:47:24</t>
        </is>
      </c>
      <c r="B1114" t="inlineStr">
        <is>
          <t>MLLB_000_y1.0.3</t>
        </is>
      </c>
      <c r="C1114" t="inlineStr">
        <is>
          <t>WHITE</t>
        </is>
      </c>
      <c r="D1114" t="inlineStr">
        <is>
          <t>v4_white_MLLB_000_y103_0924</t>
        </is>
      </c>
      <c r="E1114" t="n">
        <v>3.4</v>
      </c>
      <c r="F1114" t="n">
        <v>3.408</v>
      </c>
      <c r="G1114" t="n">
        <v>100</v>
      </c>
      <c r="H1114" t="n">
        <v>80</v>
      </c>
      <c r="I1114" t="n">
        <v>21</v>
      </c>
      <c r="J1114" t="inlineStr">
        <is>
          <t>ince</t>
        </is>
      </c>
      <c r="K1114" t="b">
        <v>0</v>
      </c>
      <c r="L1114" t="inlineStr">
        <is>
          <t>iki-OK-arasi-monotonluk</t>
        </is>
      </c>
      <c r="X1114" t="b">
        <v>1</v>
      </c>
      <c r="Z1114" t="n">
        <v>935</v>
      </c>
      <c r="AA1114" t="n">
        <v>2.5</v>
      </c>
      <c r="AB1114" t="n">
        <v>9.5</v>
      </c>
    </row>
    <row r="1115">
      <c r="A1115" t="inlineStr">
        <is>
          <t>2026-09-24 15:47:24</t>
        </is>
      </c>
      <c r="B1115" t="inlineStr">
        <is>
          <t>MLLB_000_y1.0.3</t>
        </is>
      </c>
      <c r="C1115" t="inlineStr">
        <is>
          <t>WHITE</t>
        </is>
      </c>
      <c r="D1115" t="inlineStr">
        <is>
          <t>v4_white_MLLB_000_y103_0924</t>
        </is>
      </c>
      <c r="E1115" t="n">
        <v>3.4</v>
      </c>
      <c r="F1115" t="n">
        <v>3.408</v>
      </c>
      <c r="G1115" t="n">
        <v>100</v>
      </c>
      <c r="H1115" t="n">
        <v>80</v>
      </c>
      <c r="I1115" t="n">
        <v>22</v>
      </c>
      <c r="J1115" t="inlineStr">
        <is>
          <t>ince</t>
        </is>
      </c>
      <c r="K1115" t="b">
        <v>0</v>
      </c>
      <c r="L1115" t="inlineStr">
        <is>
          <t>iki-OK-arasi-monotonluk</t>
        </is>
      </c>
      <c r="X1115" t="b">
        <v>1</v>
      </c>
      <c r="Z1115" t="n">
        <v>935</v>
      </c>
      <c r="AA1115" t="n">
        <v>2.5</v>
      </c>
      <c r="AB1115" t="n">
        <v>9.5</v>
      </c>
    </row>
    <row r="1116">
      <c r="A1116" t="inlineStr">
        <is>
          <t>2026-09-24 15:47:24</t>
        </is>
      </c>
      <c r="B1116" t="inlineStr">
        <is>
          <t>MLLB_000_y1.0.3</t>
        </is>
      </c>
      <c r="C1116" t="inlineStr">
        <is>
          <t>WHITE</t>
        </is>
      </c>
      <c r="D1116" t="inlineStr">
        <is>
          <t>v4_white_MLLB_000_y103_0924</t>
        </is>
      </c>
      <c r="E1116" t="n">
        <v>3.4</v>
      </c>
      <c r="F1116" t="n">
        <v>3.408</v>
      </c>
      <c r="G1116" t="n">
        <v>100</v>
      </c>
      <c r="H1116" t="n">
        <v>80</v>
      </c>
      <c r="I1116" t="n">
        <v>23</v>
      </c>
      <c r="J1116" t="inlineStr">
        <is>
          <t>ince</t>
        </is>
      </c>
      <c r="K1116" t="b">
        <v>0</v>
      </c>
      <c r="L1116" t="inlineStr">
        <is>
          <t>iki-OK-arasi-monotonluk</t>
        </is>
      </c>
      <c r="X1116" t="b">
        <v>1</v>
      </c>
      <c r="Z1116" t="n">
        <v>935</v>
      </c>
      <c r="AA1116" t="n">
        <v>2.5</v>
      </c>
      <c r="AB1116" t="n">
        <v>9.5</v>
      </c>
    </row>
    <row r="1117">
      <c r="A1117" t="inlineStr">
        <is>
          <t>2026-09-24 15:47:24</t>
        </is>
      </c>
      <c r="B1117" t="inlineStr">
        <is>
          <t>MLLB_000_y1.0.3</t>
        </is>
      </c>
      <c r="C1117" t="inlineStr">
        <is>
          <t>WHITE</t>
        </is>
      </c>
      <c r="D1117" t="inlineStr">
        <is>
          <t>v4_white_MLLB_000_y103_0924</t>
        </is>
      </c>
      <c r="E1117" t="n">
        <v>3.4</v>
      </c>
      <c r="F1117" t="n">
        <v>3.408</v>
      </c>
      <c r="G1117" t="n">
        <v>100</v>
      </c>
      <c r="H1117" t="n">
        <v>80</v>
      </c>
      <c r="I1117" t="n">
        <v>25</v>
      </c>
      <c r="J1117" t="inlineStr">
        <is>
          <t>ince</t>
        </is>
      </c>
      <c r="K1117" t="b">
        <v>0</v>
      </c>
      <c r="L1117" t="inlineStr">
        <is>
          <t>iki-OK-arasi-monotonluk</t>
        </is>
      </c>
      <c r="X1117" t="b">
        <v>1</v>
      </c>
      <c r="Z1117" t="n">
        <v>935</v>
      </c>
      <c r="AA1117" t="n">
        <v>2.5</v>
      </c>
      <c r="AB1117" t="n">
        <v>9.5</v>
      </c>
    </row>
    <row r="1118">
      <c r="A1118" t="inlineStr">
        <is>
          <t>2026-09-24 15:47:24</t>
        </is>
      </c>
      <c r="B1118" t="inlineStr">
        <is>
          <t>MLLB_000_y1.0.3</t>
        </is>
      </c>
      <c r="C1118" t="inlineStr">
        <is>
          <t>WHITE</t>
        </is>
      </c>
      <c r="D1118" t="inlineStr">
        <is>
          <t>v4_white_MLLB_000_y103_0924</t>
        </is>
      </c>
      <c r="E1118" t="n">
        <v>3.4</v>
      </c>
      <c r="F1118" t="n">
        <v>3.408</v>
      </c>
      <c r="G1118" t="n">
        <v>100</v>
      </c>
      <c r="H1118" t="n">
        <v>80</v>
      </c>
      <c r="I1118" t="n">
        <v>26</v>
      </c>
      <c r="J1118" t="inlineStr">
        <is>
          <t>ince</t>
        </is>
      </c>
      <c r="K1118" t="b">
        <v>0</v>
      </c>
      <c r="L1118" t="inlineStr">
        <is>
          <t>iki-OK-arasi-monotonluk</t>
        </is>
      </c>
      <c r="X1118" t="b">
        <v>1</v>
      </c>
      <c r="Z1118" t="n">
        <v>935</v>
      </c>
      <c r="AA1118" t="n">
        <v>2.5</v>
      </c>
      <c r="AB1118" t="n">
        <v>9.5</v>
      </c>
    </row>
    <row r="1119">
      <c r="A1119" t="inlineStr">
        <is>
          <t>2026-09-24 15:47:24</t>
        </is>
      </c>
      <c r="B1119" t="inlineStr">
        <is>
          <t>MLLB_000_y1.0.3</t>
        </is>
      </c>
      <c r="C1119" t="inlineStr">
        <is>
          <t>WHITE</t>
        </is>
      </c>
      <c r="D1119" t="inlineStr">
        <is>
          <t>v4_white_MLLB_000_y103_0924</t>
        </is>
      </c>
      <c r="E1119" t="n">
        <v>3.4</v>
      </c>
      <c r="F1119" t="n">
        <v>3.408</v>
      </c>
      <c r="G1119" t="n">
        <v>100</v>
      </c>
      <c r="H1119" t="n">
        <v>80</v>
      </c>
      <c r="I1119" t="n">
        <v>27</v>
      </c>
      <c r="J1119" t="inlineStr">
        <is>
          <t>ince</t>
        </is>
      </c>
      <c r="K1119" t="b">
        <v>0</v>
      </c>
      <c r="L1119" t="inlineStr">
        <is>
          <t>iki-OK-arasi-monotonluk</t>
        </is>
      </c>
      <c r="X1119" t="b">
        <v>1</v>
      </c>
      <c r="Z1119" t="n">
        <v>935</v>
      </c>
      <c r="AA1119" t="n">
        <v>2.5</v>
      </c>
      <c r="AB1119" t="n">
        <v>9.5</v>
      </c>
    </row>
    <row r="1120">
      <c r="A1120" t="inlineStr">
        <is>
          <t>2026-09-24 15:47:24</t>
        </is>
      </c>
      <c r="B1120" t="inlineStr">
        <is>
          <t>MLLB_000_y1.0.3</t>
        </is>
      </c>
      <c r="C1120" t="inlineStr">
        <is>
          <t>WHITE</t>
        </is>
      </c>
      <c r="D1120" t="inlineStr">
        <is>
          <t>v4_white_MLLB_000_y103_0924</t>
        </is>
      </c>
      <c r="E1120" t="n">
        <v>3.4</v>
      </c>
      <c r="F1120" t="n">
        <v>3.408</v>
      </c>
      <c r="G1120" t="n">
        <v>100</v>
      </c>
      <c r="H1120" t="n">
        <v>80</v>
      </c>
      <c r="I1120" t="n">
        <v>29</v>
      </c>
      <c r="J1120" t="inlineStr">
        <is>
          <t>ince</t>
        </is>
      </c>
      <c r="K1120" t="b">
        <v>0</v>
      </c>
      <c r="L1120" t="inlineStr">
        <is>
          <t>iki-OK-arasi-monotonluk</t>
        </is>
      </c>
      <c r="X1120" t="b">
        <v>1</v>
      </c>
      <c r="Z1120" t="n">
        <v>935</v>
      </c>
      <c r="AA1120" t="n">
        <v>2.5</v>
      </c>
      <c r="AB1120" t="n">
        <v>9.5</v>
      </c>
    </row>
    <row r="1121">
      <c r="A1121" t="inlineStr">
        <is>
          <t>2026-09-24 15:47:24</t>
        </is>
      </c>
      <c r="B1121" t="inlineStr">
        <is>
          <t>MLLB_000_y1.0.3</t>
        </is>
      </c>
      <c r="C1121" t="inlineStr">
        <is>
          <t>WHITE</t>
        </is>
      </c>
      <c r="D1121" t="inlineStr">
        <is>
          <t>v4_white_MLLB_000_y103_0924</t>
        </is>
      </c>
      <c r="E1121" t="n">
        <v>3.4</v>
      </c>
      <c r="F1121" t="n">
        <v>3.408</v>
      </c>
      <c r="G1121" t="n">
        <v>100</v>
      </c>
      <c r="H1121" t="n">
        <v>80</v>
      </c>
      <c r="I1121" t="n">
        <v>30</v>
      </c>
      <c r="J1121" t="inlineStr">
        <is>
          <t>ince</t>
        </is>
      </c>
      <c r="K1121" t="b">
        <v>0</v>
      </c>
      <c r="L1121" t="inlineStr">
        <is>
          <t>iki-OK-arasi-monotonluk</t>
        </is>
      </c>
      <c r="X1121" t="b">
        <v>1</v>
      </c>
      <c r="Z1121" t="n">
        <v>935</v>
      </c>
      <c r="AA1121" t="n">
        <v>2.5</v>
      </c>
      <c r="AB1121" t="n">
        <v>9.5</v>
      </c>
    </row>
    <row r="1122">
      <c r="A1122" t="inlineStr">
        <is>
          <t>2026-09-24 15:47:24</t>
        </is>
      </c>
      <c r="B1122" t="inlineStr">
        <is>
          <t>MLLB_000_y1.0.3</t>
        </is>
      </c>
      <c r="C1122" t="inlineStr">
        <is>
          <t>WHITE</t>
        </is>
      </c>
      <c r="D1122" t="inlineStr">
        <is>
          <t>v4_white_MLLB_000_y103_0924</t>
        </is>
      </c>
      <c r="E1122" t="n">
        <v>3.4</v>
      </c>
      <c r="F1122" t="n">
        <v>3.408</v>
      </c>
      <c r="G1122" t="n">
        <v>100</v>
      </c>
      <c r="H1122" t="n">
        <v>80</v>
      </c>
      <c r="I1122" t="n">
        <v>31</v>
      </c>
      <c r="J1122" t="inlineStr">
        <is>
          <t>ince</t>
        </is>
      </c>
      <c r="K1122" t="b">
        <v>0</v>
      </c>
      <c r="L1122" t="inlineStr">
        <is>
          <t>iki-OK-arasi-monotonluk</t>
        </is>
      </c>
      <c r="X1122" t="b">
        <v>1</v>
      </c>
      <c r="Z1122" t="n">
        <v>935</v>
      </c>
      <c r="AA1122" t="n">
        <v>2.5</v>
      </c>
      <c r="AB1122" t="n">
        <v>9.5</v>
      </c>
    </row>
    <row r="1123">
      <c r="A1123" t="inlineStr">
        <is>
          <t>2026-09-24 15:47:24</t>
        </is>
      </c>
      <c r="B1123" t="inlineStr">
        <is>
          <t>MLLB_000_y1.0.3</t>
        </is>
      </c>
      <c r="C1123" t="inlineStr">
        <is>
          <t>WHITE</t>
        </is>
      </c>
      <c r="D1123" t="inlineStr">
        <is>
          <t>v4_white_MLLB_000_y103_0924</t>
        </is>
      </c>
      <c r="E1123" t="n">
        <v>3.4</v>
      </c>
      <c r="F1123" t="n">
        <v>3.408</v>
      </c>
      <c r="G1123" t="n">
        <v>100</v>
      </c>
      <c r="H1123" t="n">
        <v>80</v>
      </c>
      <c r="I1123" t="n">
        <v>33</v>
      </c>
      <c r="J1123" t="inlineStr">
        <is>
          <t>ince</t>
        </is>
      </c>
      <c r="K1123" t="b">
        <v>0</v>
      </c>
      <c r="L1123" t="inlineStr">
        <is>
          <t>iki-OK-arasi-monotonluk</t>
        </is>
      </c>
      <c r="X1123" t="b">
        <v>1</v>
      </c>
      <c r="Z1123" t="n">
        <v>935</v>
      </c>
      <c r="AA1123" t="n">
        <v>2.5</v>
      </c>
      <c r="AB1123" t="n">
        <v>9.5</v>
      </c>
    </row>
    <row r="1124">
      <c r="A1124" t="inlineStr">
        <is>
          <t>2026-09-24 15:47:24</t>
        </is>
      </c>
      <c r="B1124" t="inlineStr">
        <is>
          <t>MLLB_000_y1.0.3</t>
        </is>
      </c>
      <c r="C1124" t="inlineStr">
        <is>
          <t>WHITE</t>
        </is>
      </c>
      <c r="D1124" t="inlineStr">
        <is>
          <t>v4_white_MLLB_000_y103_0924</t>
        </is>
      </c>
      <c r="E1124" t="n">
        <v>3.4</v>
      </c>
      <c r="F1124" t="n">
        <v>3.408</v>
      </c>
      <c r="G1124" t="n">
        <v>100</v>
      </c>
      <c r="H1124" t="n">
        <v>80</v>
      </c>
      <c r="I1124" t="n">
        <v>34</v>
      </c>
      <c r="J1124" t="inlineStr">
        <is>
          <t>ince</t>
        </is>
      </c>
      <c r="K1124" t="b">
        <v>0</v>
      </c>
      <c r="L1124" t="inlineStr">
        <is>
          <t>iki-OK-arasi-monotonluk</t>
        </is>
      </c>
      <c r="X1124" t="b">
        <v>1</v>
      </c>
      <c r="Z1124" t="n">
        <v>935</v>
      </c>
      <c r="AA1124" t="n">
        <v>2.5</v>
      </c>
      <c r="AB1124" t="n">
        <v>9.5</v>
      </c>
    </row>
    <row r="1125">
      <c r="A1125" t="inlineStr">
        <is>
          <t>2026-09-24 15:47:24</t>
        </is>
      </c>
      <c r="B1125" t="inlineStr">
        <is>
          <t>MLLB_000_y1.0.3</t>
        </is>
      </c>
      <c r="C1125" t="inlineStr">
        <is>
          <t>WHITE</t>
        </is>
      </c>
      <c r="D1125" t="inlineStr">
        <is>
          <t>v4_white_MLLB_000_y103_0924</t>
        </is>
      </c>
      <c r="E1125" t="n">
        <v>3.4</v>
      </c>
      <c r="F1125" t="n">
        <v>3.408</v>
      </c>
      <c r="G1125" t="n">
        <v>100</v>
      </c>
      <c r="H1125" t="n">
        <v>80</v>
      </c>
      <c r="I1125" t="n">
        <v>35</v>
      </c>
      <c r="J1125" t="inlineStr">
        <is>
          <t>ince</t>
        </is>
      </c>
      <c r="K1125" t="b">
        <v>0</v>
      </c>
      <c r="L1125" t="inlineStr">
        <is>
          <t>iki-OK-arasi-monotonluk</t>
        </is>
      </c>
      <c r="X1125" t="b">
        <v>1</v>
      </c>
      <c r="Z1125" t="n">
        <v>935</v>
      </c>
      <c r="AA1125" t="n">
        <v>2.5</v>
      </c>
      <c r="AB1125" t="n">
        <v>9.5</v>
      </c>
    </row>
    <row r="1126">
      <c r="A1126" t="inlineStr">
        <is>
          <t>2026-09-24 15:47:24</t>
        </is>
      </c>
      <c r="B1126" t="inlineStr">
        <is>
          <t>MLLB_000_y1.0.3</t>
        </is>
      </c>
      <c r="C1126" t="inlineStr">
        <is>
          <t>WHITE</t>
        </is>
      </c>
      <c r="D1126" t="inlineStr">
        <is>
          <t>v4_white_MLLB_000_y103_0924</t>
        </is>
      </c>
      <c r="E1126" t="n">
        <v>3.4</v>
      </c>
      <c r="F1126" t="n">
        <v>3.408</v>
      </c>
      <c r="G1126" t="n">
        <v>100</v>
      </c>
      <c r="H1126" t="n">
        <v>80</v>
      </c>
      <c r="I1126" t="n">
        <v>37</v>
      </c>
      <c r="J1126" t="inlineStr">
        <is>
          <t>ince</t>
        </is>
      </c>
      <c r="K1126" t="b">
        <v>0</v>
      </c>
      <c r="L1126" t="inlineStr">
        <is>
          <t>iki-OK-arasi-monotonluk</t>
        </is>
      </c>
      <c r="X1126" t="b">
        <v>1</v>
      </c>
      <c r="Z1126" t="n">
        <v>935</v>
      </c>
      <c r="AA1126" t="n">
        <v>2.5</v>
      </c>
      <c r="AB1126" t="n">
        <v>9.5</v>
      </c>
    </row>
    <row r="1127">
      <c r="A1127" t="inlineStr">
        <is>
          <t>2026-09-24 15:47:24</t>
        </is>
      </c>
      <c r="B1127" t="inlineStr">
        <is>
          <t>MLLB_000_y1.0.3</t>
        </is>
      </c>
      <c r="C1127" t="inlineStr">
        <is>
          <t>WHITE</t>
        </is>
      </c>
      <c r="D1127" t="inlineStr">
        <is>
          <t>v4_white_MLLB_000_y103_0924</t>
        </is>
      </c>
      <c r="E1127" t="n">
        <v>3.4</v>
      </c>
      <c r="F1127" t="n">
        <v>3.408</v>
      </c>
      <c r="G1127" t="n">
        <v>100</v>
      </c>
      <c r="H1127" t="n">
        <v>80</v>
      </c>
      <c r="I1127" t="n">
        <v>38</v>
      </c>
      <c r="J1127" t="inlineStr">
        <is>
          <t>ince</t>
        </is>
      </c>
      <c r="K1127" t="b">
        <v>0</v>
      </c>
      <c r="L1127" t="inlineStr">
        <is>
          <t>iki-OK-arasi-monotonluk</t>
        </is>
      </c>
      <c r="X1127" t="b">
        <v>1</v>
      </c>
      <c r="Z1127" t="n">
        <v>935</v>
      </c>
      <c r="AA1127" t="n">
        <v>2.5</v>
      </c>
      <c r="AB1127" t="n">
        <v>9.5</v>
      </c>
    </row>
    <row r="1128">
      <c r="A1128" t="inlineStr">
        <is>
          <t>2026-09-24 15:47:24</t>
        </is>
      </c>
      <c r="B1128" t="inlineStr">
        <is>
          <t>MLLB_000_y1.0.3</t>
        </is>
      </c>
      <c r="C1128" t="inlineStr">
        <is>
          <t>WHITE</t>
        </is>
      </c>
      <c r="D1128" t="inlineStr">
        <is>
          <t>v4_white_MLLB_000_y103_0924</t>
        </is>
      </c>
      <c r="E1128" t="n">
        <v>3.4</v>
      </c>
      <c r="F1128" t="n">
        <v>3.408</v>
      </c>
      <c r="G1128" t="n">
        <v>100</v>
      </c>
      <c r="H1128" t="n">
        <v>80</v>
      </c>
      <c r="I1128" t="n">
        <v>39</v>
      </c>
      <c r="J1128" t="inlineStr">
        <is>
          <t>ince</t>
        </is>
      </c>
      <c r="K1128" t="b">
        <v>0</v>
      </c>
      <c r="L1128" t="inlineStr">
        <is>
          <t>iki-OK-arasi-monotonluk</t>
        </is>
      </c>
      <c r="X1128" t="b">
        <v>1</v>
      </c>
      <c r="Z1128" t="n">
        <v>935</v>
      </c>
      <c r="AA1128" t="n">
        <v>2.5</v>
      </c>
      <c r="AB1128" t="n">
        <v>9.5</v>
      </c>
    </row>
    <row r="1129">
      <c r="A1129" t="inlineStr">
        <is>
          <t>2026-09-24 15:47:24</t>
        </is>
      </c>
      <c r="B1129" t="inlineStr">
        <is>
          <t>MLLB_000_y1.0.3</t>
        </is>
      </c>
      <c r="C1129" t="inlineStr">
        <is>
          <t>WHITE</t>
        </is>
      </c>
      <c r="D1129" t="inlineStr">
        <is>
          <t>v4_white_MLLB_000_y103_0924</t>
        </is>
      </c>
      <c r="E1129" t="n">
        <v>3.4</v>
      </c>
      <c r="F1129" t="n">
        <v>3.408</v>
      </c>
      <c r="G1129" t="n">
        <v>100</v>
      </c>
      <c r="H1129" t="n">
        <v>80</v>
      </c>
      <c r="I1129" t="n">
        <v>41</v>
      </c>
      <c r="J1129" t="inlineStr">
        <is>
          <t>ince</t>
        </is>
      </c>
      <c r="K1129" t="b">
        <v>0</v>
      </c>
      <c r="L1129" t="inlineStr">
        <is>
          <t>iki-OK-arasi-monotonluk</t>
        </is>
      </c>
      <c r="X1129" t="b">
        <v>1</v>
      </c>
      <c r="Z1129" t="n">
        <v>935</v>
      </c>
      <c r="AA1129" t="n">
        <v>2.5</v>
      </c>
      <c r="AB1129" t="n">
        <v>9.5</v>
      </c>
    </row>
    <row r="1130">
      <c r="A1130" t="inlineStr">
        <is>
          <t>2026-09-24 15:47:24</t>
        </is>
      </c>
      <c r="B1130" t="inlineStr">
        <is>
          <t>MLLB_000_y1.0.3</t>
        </is>
      </c>
      <c r="C1130" t="inlineStr">
        <is>
          <t>WHITE</t>
        </is>
      </c>
      <c r="D1130" t="inlineStr">
        <is>
          <t>v4_white_MLLB_000_y103_0924</t>
        </is>
      </c>
      <c r="E1130" t="n">
        <v>3.4</v>
      </c>
      <c r="F1130" t="n">
        <v>3.408</v>
      </c>
      <c r="G1130" t="n">
        <v>100</v>
      </c>
      <c r="H1130" t="n">
        <v>80</v>
      </c>
      <c r="I1130" t="n">
        <v>42</v>
      </c>
      <c r="J1130" t="inlineStr">
        <is>
          <t>ince</t>
        </is>
      </c>
      <c r="K1130" t="b">
        <v>0</v>
      </c>
      <c r="L1130" t="inlineStr">
        <is>
          <t>iki-OK-arasi-monotonluk</t>
        </is>
      </c>
      <c r="X1130" t="b">
        <v>1</v>
      </c>
      <c r="Z1130" t="n">
        <v>935</v>
      </c>
      <c r="AA1130" t="n">
        <v>2.5</v>
      </c>
      <c r="AB1130" t="n">
        <v>9.5</v>
      </c>
    </row>
    <row r="1131">
      <c r="A1131" t="inlineStr">
        <is>
          <t>2026-09-24 15:47:24</t>
        </is>
      </c>
      <c r="B1131" t="inlineStr">
        <is>
          <t>MLLB_000_y1.0.3</t>
        </is>
      </c>
      <c r="C1131" t="inlineStr">
        <is>
          <t>WHITE</t>
        </is>
      </c>
      <c r="D1131" t="inlineStr">
        <is>
          <t>v4_white_MLLB_000_y103_0924</t>
        </is>
      </c>
      <c r="E1131" t="n">
        <v>3.4</v>
      </c>
      <c r="F1131" t="n">
        <v>3.408</v>
      </c>
      <c r="G1131" t="n">
        <v>100</v>
      </c>
      <c r="H1131" t="n">
        <v>80</v>
      </c>
      <c r="I1131" t="n">
        <v>43</v>
      </c>
      <c r="J1131" t="inlineStr">
        <is>
          <t>ince</t>
        </is>
      </c>
      <c r="K1131" t="b">
        <v>0</v>
      </c>
      <c r="L1131" t="inlineStr">
        <is>
          <t>iki-OK-arasi-monotonluk</t>
        </is>
      </c>
      <c r="X1131" t="b">
        <v>1</v>
      </c>
      <c r="Z1131" t="n">
        <v>935</v>
      </c>
      <c r="AA1131" t="n">
        <v>2.5</v>
      </c>
      <c r="AB1131" t="n">
        <v>9.5</v>
      </c>
    </row>
    <row r="1132">
      <c r="A1132" t="inlineStr">
        <is>
          <t>2026-09-24 15:47:24</t>
        </is>
      </c>
      <c r="B1132" t="inlineStr">
        <is>
          <t>MLLB_000_y1.0.3</t>
        </is>
      </c>
      <c r="C1132" t="inlineStr">
        <is>
          <t>WHITE</t>
        </is>
      </c>
      <c r="D1132" t="inlineStr">
        <is>
          <t>v4_white_MLLB_000_y103_0924</t>
        </is>
      </c>
      <c r="E1132" t="n">
        <v>3.4</v>
      </c>
      <c r="F1132" t="n">
        <v>3.408</v>
      </c>
      <c r="G1132" t="n">
        <v>100</v>
      </c>
      <c r="H1132" t="n">
        <v>80</v>
      </c>
      <c r="I1132" t="n">
        <v>45</v>
      </c>
      <c r="J1132" t="inlineStr">
        <is>
          <t>ince</t>
        </is>
      </c>
      <c r="K1132" t="b">
        <v>0</v>
      </c>
      <c r="L1132" t="inlineStr">
        <is>
          <t>iki-OK-arasi-monotonluk</t>
        </is>
      </c>
      <c r="X1132" t="b">
        <v>1</v>
      </c>
      <c r="Z1132" t="n">
        <v>935</v>
      </c>
      <c r="AA1132" t="n">
        <v>2.5</v>
      </c>
      <c r="AB1132" t="n">
        <v>9.5</v>
      </c>
    </row>
    <row r="1133">
      <c r="A1133" t="inlineStr">
        <is>
          <t>2026-09-24 15:47:24</t>
        </is>
      </c>
      <c r="B1133" t="inlineStr">
        <is>
          <t>MLLB_000_y1.0.3</t>
        </is>
      </c>
      <c r="C1133" t="inlineStr">
        <is>
          <t>WHITE</t>
        </is>
      </c>
      <c r="D1133" t="inlineStr">
        <is>
          <t>v4_white_MLLB_000_y103_0924</t>
        </is>
      </c>
      <c r="E1133" t="n">
        <v>3.4</v>
      </c>
      <c r="F1133" t="n">
        <v>3.408</v>
      </c>
      <c r="G1133" t="n">
        <v>100</v>
      </c>
      <c r="H1133" t="n">
        <v>80</v>
      </c>
      <c r="I1133" t="n">
        <v>46</v>
      </c>
      <c r="J1133" t="inlineStr">
        <is>
          <t>ince</t>
        </is>
      </c>
      <c r="K1133" t="b">
        <v>0</v>
      </c>
      <c r="L1133" t="inlineStr">
        <is>
          <t>iki-OK-arasi-monotonluk</t>
        </is>
      </c>
      <c r="X1133" t="b">
        <v>1</v>
      </c>
      <c r="Z1133" t="n">
        <v>935</v>
      </c>
      <c r="AA1133" t="n">
        <v>2.5</v>
      </c>
      <c r="AB1133" t="n">
        <v>9.5</v>
      </c>
    </row>
    <row r="1134">
      <c r="A1134" t="inlineStr">
        <is>
          <t>2026-09-24 15:47:24</t>
        </is>
      </c>
      <c r="B1134" t="inlineStr">
        <is>
          <t>MLLB_000_y1.0.3</t>
        </is>
      </c>
      <c r="C1134" t="inlineStr">
        <is>
          <t>WHITE</t>
        </is>
      </c>
      <c r="D1134" t="inlineStr">
        <is>
          <t>v4_white_MLLB_000_y103_0924</t>
        </is>
      </c>
      <c r="E1134" t="n">
        <v>3.4</v>
      </c>
      <c r="F1134" t="n">
        <v>3.408</v>
      </c>
      <c r="G1134" t="n">
        <v>100</v>
      </c>
      <c r="H1134" t="n">
        <v>80</v>
      </c>
      <c r="I1134" t="n">
        <v>47</v>
      </c>
      <c r="J1134" t="inlineStr">
        <is>
          <t>ince</t>
        </is>
      </c>
      <c r="K1134" t="b">
        <v>0</v>
      </c>
      <c r="L1134" t="inlineStr">
        <is>
          <t>iki-OK-arasi-monotonluk</t>
        </is>
      </c>
      <c r="X1134" t="b">
        <v>1</v>
      </c>
      <c r="Z1134" t="n">
        <v>935</v>
      </c>
      <c r="AA1134" t="n">
        <v>2.5</v>
      </c>
      <c r="AB1134" t="n">
        <v>9.5</v>
      </c>
    </row>
    <row r="1135">
      <c r="A1135" t="inlineStr">
        <is>
          <t>2026-09-24 15:47:24</t>
        </is>
      </c>
      <c r="B1135" t="inlineStr">
        <is>
          <t>MLLB_000_y1.0.3</t>
        </is>
      </c>
      <c r="C1135" t="inlineStr">
        <is>
          <t>WHITE</t>
        </is>
      </c>
      <c r="D1135" t="inlineStr">
        <is>
          <t>v4_white_MLLB_000_y103_0924</t>
        </is>
      </c>
      <c r="E1135" t="n">
        <v>3.4</v>
      </c>
      <c r="F1135" t="n">
        <v>3.408</v>
      </c>
      <c r="G1135" t="n">
        <v>100</v>
      </c>
      <c r="H1135" t="n">
        <v>80</v>
      </c>
      <c r="I1135" t="n">
        <v>49</v>
      </c>
      <c r="J1135" t="inlineStr">
        <is>
          <t>ince</t>
        </is>
      </c>
      <c r="K1135" t="b">
        <v>0</v>
      </c>
      <c r="L1135" t="inlineStr">
        <is>
          <t>iki-OK-arasi-monotonluk</t>
        </is>
      </c>
      <c r="X1135" t="b">
        <v>1</v>
      </c>
      <c r="Z1135" t="n">
        <v>935</v>
      </c>
      <c r="AA1135" t="n">
        <v>2.5</v>
      </c>
      <c r="AB1135" t="n">
        <v>9.5</v>
      </c>
    </row>
    <row r="1136">
      <c r="A1136" t="inlineStr">
        <is>
          <t>2026-09-24 15:47:24</t>
        </is>
      </c>
      <c r="B1136" t="inlineStr">
        <is>
          <t>MLLB_000_y1.0.3</t>
        </is>
      </c>
      <c r="C1136" t="inlineStr">
        <is>
          <t>WHITE</t>
        </is>
      </c>
      <c r="D1136" t="inlineStr">
        <is>
          <t>v4_white_MLLB_000_y103_0924</t>
        </is>
      </c>
      <c r="E1136" t="n">
        <v>3.4</v>
      </c>
      <c r="F1136" t="n">
        <v>3.408</v>
      </c>
      <c r="G1136" t="n">
        <v>100</v>
      </c>
      <c r="H1136" t="n">
        <v>80</v>
      </c>
      <c r="I1136" t="n">
        <v>50</v>
      </c>
      <c r="J1136" t="inlineStr">
        <is>
          <t>ince</t>
        </is>
      </c>
      <c r="K1136" t="b">
        <v>0</v>
      </c>
      <c r="L1136" t="inlineStr">
        <is>
          <t>iki-OK-arasi-monotonluk</t>
        </is>
      </c>
      <c r="X1136" t="b">
        <v>1</v>
      </c>
      <c r="Z1136" t="n">
        <v>935</v>
      </c>
      <c r="AA1136" t="n">
        <v>2.5</v>
      </c>
      <c r="AB1136" t="n">
        <v>9.5</v>
      </c>
    </row>
    <row r="1137">
      <c r="A1137" t="inlineStr">
        <is>
          <t>2026-09-24 15:47:24</t>
        </is>
      </c>
      <c r="B1137" t="inlineStr">
        <is>
          <t>MLLB_000_y1.0.3</t>
        </is>
      </c>
      <c r="C1137" t="inlineStr">
        <is>
          <t>WHITE</t>
        </is>
      </c>
      <c r="D1137" t="inlineStr">
        <is>
          <t>v4_white_MLLB_000_y103_0924</t>
        </is>
      </c>
      <c r="E1137" t="n">
        <v>3.4</v>
      </c>
      <c r="F1137" t="n">
        <v>3.408</v>
      </c>
      <c r="G1137" t="n">
        <v>100</v>
      </c>
      <c r="H1137" t="n">
        <v>80</v>
      </c>
      <c r="I1137" t="n">
        <v>51</v>
      </c>
      <c r="J1137" t="inlineStr">
        <is>
          <t>ince</t>
        </is>
      </c>
      <c r="K1137" t="b">
        <v>0</v>
      </c>
      <c r="L1137" t="inlineStr">
        <is>
          <t>iki-OK-arasi-monotonluk</t>
        </is>
      </c>
      <c r="X1137" t="b">
        <v>1</v>
      </c>
      <c r="Z1137" t="n">
        <v>935</v>
      </c>
      <c r="AA1137" t="n">
        <v>2.5</v>
      </c>
      <c r="AB1137" t="n">
        <v>9.5</v>
      </c>
    </row>
    <row r="1138">
      <c r="A1138" t="inlineStr">
        <is>
          <t>2026-09-24 15:47:24</t>
        </is>
      </c>
      <c r="B1138" t="inlineStr">
        <is>
          <t>MLLB_000_y1.0.3</t>
        </is>
      </c>
      <c r="C1138" t="inlineStr">
        <is>
          <t>WHITE</t>
        </is>
      </c>
      <c r="D1138" t="inlineStr">
        <is>
          <t>v4_white_MLLB_000_y103_0924</t>
        </is>
      </c>
      <c r="E1138" t="n">
        <v>3.4</v>
      </c>
      <c r="F1138" t="n">
        <v>3.408</v>
      </c>
      <c r="G1138" t="n">
        <v>100</v>
      </c>
      <c r="H1138" t="n">
        <v>80</v>
      </c>
      <c r="I1138" t="n">
        <v>53</v>
      </c>
      <c r="J1138" t="inlineStr">
        <is>
          <t>ince</t>
        </is>
      </c>
      <c r="K1138" t="b">
        <v>0</v>
      </c>
      <c r="L1138" t="inlineStr">
        <is>
          <t>iki-OK-arasi-monotonluk</t>
        </is>
      </c>
      <c r="X1138" t="b">
        <v>1</v>
      </c>
      <c r="Z1138" t="n">
        <v>935</v>
      </c>
      <c r="AA1138" t="n">
        <v>2.5</v>
      </c>
      <c r="AB1138" t="n">
        <v>9.5</v>
      </c>
    </row>
    <row r="1139">
      <c r="A1139" t="inlineStr">
        <is>
          <t>2026-09-24 15:47:24</t>
        </is>
      </c>
      <c r="B1139" t="inlineStr">
        <is>
          <t>MLLB_000_y1.0.3</t>
        </is>
      </c>
      <c r="C1139" t="inlineStr">
        <is>
          <t>WHITE</t>
        </is>
      </c>
      <c r="D1139" t="inlineStr">
        <is>
          <t>v4_white_MLLB_000_y103_0924</t>
        </is>
      </c>
      <c r="E1139" t="n">
        <v>3.4</v>
      </c>
      <c r="F1139" t="n">
        <v>3.408</v>
      </c>
      <c r="G1139" t="n">
        <v>100</v>
      </c>
      <c r="H1139" t="n">
        <v>80</v>
      </c>
      <c r="I1139" t="n">
        <v>54</v>
      </c>
      <c r="J1139" t="inlineStr">
        <is>
          <t>ince</t>
        </is>
      </c>
      <c r="K1139" t="b">
        <v>0</v>
      </c>
      <c r="L1139" t="inlineStr">
        <is>
          <t>iki-OK-arasi-monotonluk</t>
        </is>
      </c>
      <c r="X1139" t="b">
        <v>1</v>
      </c>
      <c r="Z1139" t="n">
        <v>935</v>
      </c>
      <c r="AA1139" t="n">
        <v>2.5</v>
      </c>
      <c r="AB1139" t="n">
        <v>9.5</v>
      </c>
    </row>
    <row r="1140">
      <c r="A1140" t="inlineStr">
        <is>
          <t>2026-09-24 15:47:24</t>
        </is>
      </c>
      <c r="B1140" t="inlineStr">
        <is>
          <t>MLLB_000_y1.0.3</t>
        </is>
      </c>
      <c r="C1140" t="inlineStr">
        <is>
          <t>WHITE</t>
        </is>
      </c>
      <c r="D1140" t="inlineStr">
        <is>
          <t>v4_white_MLLB_000_y103_0924</t>
        </is>
      </c>
      <c r="E1140" t="n">
        <v>3.4</v>
      </c>
      <c r="F1140" t="n">
        <v>3.408</v>
      </c>
      <c r="G1140" t="n">
        <v>100</v>
      </c>
      <c r="H1140" t="n">
        <v>80</v>
      </c>
      <c r="I1140" t="n">
        <v>55</v>
      </c>
      <c r="J1140" t="inlineStr">
        <is>
          <t>ince</t>
        </is>
      </c>
      <c r="K1140" t="b">
        <v>0</v>
      </c>
      <c r="L1140" t="inlineStr">
        <is>
          <t>iki-OK-arasi-monotonluk</t>
        </is>
      </c>
      <c r="X1140" t="b">
        <v>1</v>
      </c>
      <c r="Z1140" t="n">
        <v>935</v>
      </c>
      <c r="AA1140" t="n">
        <v>2.5</v>
      </c>
      <c r="AB1140" t="n">
        <v>9.5</v>
      </c>
    </row>
    <row r="1141">
      <c r="A1141" t="inlineStr">
        <is>
          <t>2026-09-24 15:47:24</t>
        </is>
      </c>
      <c r="B1141" t="inlineStr">
        <is>
          <t>MLLB_000_y1.0.3</t>
        </is>
      </c>
      <c r="C1141" t="inlineStr">
        <is>
          <t>WHITE</t>
        </is>
      </c>
      <c r="D1141" t="inlineStr">
        <is>
          <t>v4_white_MLLB_000_y103_0924</t>
        </is>
      </c>
      <c r="E1141" t="n">
        <v>3.4</v>
      </c>
      <c r="F1141" t="n">
        <v>3.408</v>
      </c>
      <c r="G1141" t="n">
        <v>100</v>
      </c>
      <c r="H1141" t="n">
        <v>80</v>
      </c>
      <c r="I1141" t="n">
        <v>57</v>
      </c>
      <c r="J1141" t="inlineStr">
        <is>
          <t>ince</t>
        </is>
      </c>
      <c r="K1141" t="b">
        <v>0</v>
      </c>
      <c r="L1141" t="inlineStr">
        <is>
          <t>iki-OK-arasi-monotonluk</t>
        </is>
      </c>
      <c r="X1141" t="b">
        <v>1</v>
      </c>
      <c r="Z1141" t="n">
        <v>935</v>
      </c>
      <c r="AA1141" t="n">
        <v>2.5</v>
      </c>
      <c r="AB1141" t="n">
        <v>9.5</v>
      </c>
    </row>
    <row r="1142">
      <c r="A1142" t="inlineStr">
        <is>
          <t>2026-09-24 15:47:24</t>
        </is>
      </c>
      <c r="B1142" t="inlineStr">
        <is>
          <t>MLLB_000_y1.0.3</t>
        </is>
      </c>
      <c r="C1142" t="inlineStr">
        <is>
          <t>WHITE</t>
        </is>
      </c>
      <c r="D1142" t="inlineStr">
        <is>
          <t>v4_white_MLLB_000_y103_0924</t>
        </is>
      </c>
      <c r="E1142" t="n">
        <v>3.4</v>
      </c>
      <c r="F1142" t="n">
        <v>3.408</v>
      </c>
      <c r="G1142" t="n">
        <v>100</v>
      </c>
      <c r="H1142" t="n">
        <v>80</v>
      </c>
      <c r="J1142" t="inlineStr">
        <is>
          <t>bitti</t>
        </is>
      </c>
      <c r="K1142" t="b">
        <v>0</v>
      </c>
      <c r="Z1142" t="n">
        <v>935</v>
      </c>
      <c r="AA1142" t="n">
        <v>2.5</v>
      </c>
      <c r="AB1142" t="n">
        <v>9.5</v>
      </c>
    </row>
    <row r="1143">
      <c r="A1143" t="inlineStr">
        <is>
          <t>2026-09-24 15:47:40</t>
        </is>
      </c>
      <c r="B1143" t="inlineStr">
        <is>
          <t>MLLB_000_y1.0.3</t>
        </is>
      </c>
      <c r="C1143" t="inlineStr">
        <is>
          <t>WHITE</t>
        </is>
      </c>
      <c r="D1143" t="inlineStr">
        <is>
          <t>v4_white_MLLB_000_y103_0924</t>
        </is>
      </c>
      <c r="E1143" t="n">
        <v>3.4</v>
      </c>
      <c r="F1143" t="n">
        <v>3.408</v>
      </c>
      <c r="G1143" t="n">
        <v>100</v>
      </c>
      <c r="H1143" t="n">
        <v>60</v>
      </c>
      <c r="I1143" t="n">
        <v>12</v>
      </c>
      <c r="J1143" t="inlineStr">
        <is>
          <t>kaba</t>
        </is>
      </c>
      <c r="K1143" t="b">
        <v>1</v>
      </c>
      <c r="M1143" t="n">
        <v>34</v>
      </c>
      <c r="N1143" t="n">
        <v>28</v>
      </c>
      <c r="O1143" t="n">
        <v>14</v>
      </c>
      <c r="P1143" t="n">
        <v>968</v>
      </c>
      <c r="Q1143" t="n">
        <v>1002</v>
      </c>
      <c r="R1143" t="n">
        <v>1.066</v>
      </c>
      <c r="S1143" t="n">
        <v>243.864</v>
      </c>
      <c r="T1143" t="n">
        <v>228.733</v>
      </c>
      <c r="U1143" t="n">
        <v>0.7783</v>
      </c>
      <c r="V1143" t="b">
        <v>1</v>
      </c>
      <c r="X1143" t="b">
        <v>1</v>
      </c>
      <c r="Z1143" t="n">
        <v>935</v>
      </c>
      <c r="AA1143" t="n">
        <v>2.5</v>
      </c>
      <c r="AB1143" t="n">
        <v>9.5</v>
      </c>
    </row>
    <row r="1144">
      <c r="A1144" t="inlineStr">
        <is>
          <t>2026-09-24 15:47:56</t>
        </is>
      </c>
      <c r="B1144" t="inlineStr">
        <is>
          <t>MLLB_000_y1.0.3</t>
        </is>
      </c>
      <c r="C1144" t="inlineStr">
        <is>
          <t>WHITE</t>
        </is>
      </c>
      <c r="D1144" t="inlineStr">
        <is>
          <t>v4_white_MLLB_000_y103_0924</t>
        </is>
      </c>
      <c r="E1144" t="n">
        <v>3.4</v>
      </c>
      <c r="F1144" t="n">
        <v>3.408</v>
      </c>
      <c r="G1144" t="n">
        <v>100</v>
      </c>
      <c r="H1144" t="n">
        <v>60</v>
      </c>
      <c r="I1144" t="n">
        <v>16</v>
      </c>
      <c r="J1144" t="inlineStr">
        <is>
          <t>kaba</t>
        </is>
      </c>
      <c r="K1144" t="b">
        <v>1</v>
      </c>
      <c r="M1144" t="n">
        <v>34</v>
      </c>
      <c r="N1144" t="n">
        <v>28</v>
      </c>
      <c r="O1144" t="n">
        <v>14</v>
      </c>
      <c r="P1144" t="n">
        <v>968</v>
      </c>
      <c r="Q1144" t="n">
        <v>1002</v>
      </c>
      <c r="R1144" t="n">
        <v>1.07</v>
      </c>
      <c r="S1144" t="n">
        <v>244.635</v>
      </c>
      <c r="T1144" t="n">
        <v>228.614</v>
      </c>
      <c r="U1144" t="n">
        <v>0.778</v>
      </c>
      <c r="V1144" t="b">
        <v>1</v>
      </c>
      <c r="X1144" t="b">
        <v>1</v>
      </c>
      <c r="Z1144" t="n">
        <v>935</v>
      </c>
      <c r="AA1144" t="n">
        <v>2.5</v>
      </c>
      <c r="AB1144" t="n">
        <v>9.5</v>
      </c>
    </row>
    <row r="1145">
      <c r="A1145" t="inlineStr">
        <is>
          <t>2026-09-24 15:48:11</t>
        </is>
      </c>
      <c r="B1145" t="inlineStr">
        <is>
          <t>MLLB_000_y1.0.3</t>
        </is>
      </c>
      <c r="C1145" t="inlineStr">
        <is>
          <t>WHITE</t>
        </is>
      </c>
      <c r="D1145" t="inlineStr">
        <is>
          <t>v4_white_MLLB_000_y103_0924</t>
        </is>
      </c>
      <c r="E1145" t="n">
        <v>3.4</v>
      </c>
      <c r="F1145" t="n">
        <v>3.408</v>
      </c>
      <c r="G1145" t="n">
        <v>100</v>
      </c>
      <c r="H1145" t="n">
        <v>60</v>
      </c>
      <c r="I1145" t="n">
        <v>20</v>
      </c>
      <c r="J1145" t="inlineStr">
        <is>
          <t>kaba</t>
        </is>
      </c>
      <c r="K1145" t="b">
        <v>1</v>
      </c>
      <c r="M1145" t="n">
        <v>34</v>
      </c>
      <c r="N1145" t="n">
        <v>28</v>
      </c>
      <c r="O1145" t="n">
        <v>14</v>
      </c>
      <c r="P1145" t="n">
        <v>968</v>
      </c>
      <c r="Q1145" t="n">
        <v>1002</v>
      </c>
      <c r="R1145" t="n">
        <v>1.066</v>
      </c>
      <c r="S1145" t="n">
        <v>243.864</v>
      </c>
      <c r="T1145" t="n">
        <v>228.674</v>
      </c>
      <c r="U1145" t="n">
        <v>0.7783</v>
      </c>
      <c r="V1145" t="b">
        <v>1</v>
      </c>
      <c r="X1145" t="b">
        <v>1</v>
      </c>
      <c r="Z1145" t="n">
        <v>935</v>
      </c>
      <c r="AA1145" t="n">
        <v>2.5</v>
      </c>
      <c r="AB1145" t="n">
        <v>9.5</v>
      </c>
    </row>
    <row r="1146">
      <c r="A1146" t="inlineStr">
        <is>
          <t>2026-09-24 15:48:28</t>
        </is>
      </c>
      <c r="B1146" t="inlineStr">
        <is>
          <t>MLLB_000_y1.0.3</t>
        </is>
      </c>
      <c r="C1146" t="inlineStr">
        <is>
          <t>WHITE</t>
        </is>
      </c>
      <c r="D1146" t="inlineStr">
        <is>
          <t>v4_white_MLLB_000_y103_0924</t>
        </is>
      </c>
      <c r="E1146" t="n">
        <v>3.4</v>
      </c>
      <c r="F1146" t="n">
        <v>3.408</v>
      </c>
      <c r="G1146" t="n">
        <v>100</v>
      </c>
      <c r="H1146" t="n">
        <v>60</v>
      </c>
      <c r="I1146" t="n">
        <v>24</v>
      </c>
      <c r="J1146" t="inlineStr">
        <is>
          <t>kaba</t>
        </is>
      </c>
      <c r="K1146" t="b">
        <v>1</v>
      </c>
      <c r="M1146" t="n">
        <v>34</v>
      </c>
      <c r="N1146" t="n">
        <v>28</v>
      </c>
      <c r="O1146" t="n">
        <v>14</v>
      </c>
      <c r="P1146" t="n">
        <v>968</v>
      </c>
      <c r="Q1146" t="n">
        <v>1002</v>
      </c>
      <c r="R1146" t="n">
        <v>1.07</v>
      </c>
      <c r="S1146" t="n">
        <v>244.635</v>
      </c>
      <c r="T1146" t="n">
        <v>228.609</v>
      </c>
      <c r="U1146" t="n">
        <v>0.7782</v>
      </c>
      <c r="V1146" t="b">
        <v>1</v>
      </c>
      <c r="X1146" t="b">
        <v>1</v>
      </c>
      <c r="Z1146" t="n">
        <v>935</v>
      </c>
      <c r="AA1146" t="n">
        <v>2.5</v>
      </c>
      <c r="AB1146" t="n">
        <v>9.5</v>
      </c>
    </row>
    <row r="1147">
      <c r="A1147" t="inlineStr">
        <is>
          <t>2026-09-24 15:48:44</t>
        </is>
      </c>
      <c r="B1147" t="inlineStr">
        <is>
          <t>MLLB_000_y1.0.3</t>
        </is>
      </c>
      <c r="C1147" t="inlineStr">
        <is>
          <t>WHITE</t>
        </is>
      </c>
      <c r="D1147" t="inlineStr">
        <is>
          <t>v4_white_MLLB_000_y103_0924</t>
        </is>
      </c>
      <c r="E1147" t="n">
        <v>3.4</v>
      </c>
      <c r="F1147" t="n">
        <v>3.408</v>
      </c>
      <c r="G1147" t="n">
        <v>100</v>
      </c>
      <c r="H1147" t="n">
        <v>60</v>
      </c>
      <c r="I1147" t="n">
        <v>28</v>
      </c>
      <c r="J1147" t="inlineStr">
        <is>
          <t>kaba</t>
        </is>
      </c>
      <c r="K1147" t="b">
        <v>1</v>
      </c>
      <c r="M1147" t="n">
        <v>34</v>
      </c>
      <c r="N1147" t="n">
        <v>28</v>
      </c>
      <c r="O1147" t="n">
        <v>14</v>
      </c>
      <c r="P1147" t="n">
        <v>968</v>
      </c>
      <c r="Q1147" t="n">
        <v>1002</v>
      </c>
      <c r="R1147" t="n">
        <v>1.08</v>
      </c>
      <c r="S1147" t="n">
        <v>246.947</v>
      </c>
      <c r="T1147" t="n">
        <v>228.714</v>
      </c>
      <c r="U1147" t="n">
        <v>0.7783</v>
      </c>
      <c r="V1147" t="b">
        <v>1</v>
      </c>
      <c r="X1147" t="b">
        <v>1</v>
      </c>
      <c r="Z1147" t="n">
        <v>935</v>
      </c>
      <c r="AA1147" t="n">
        <v>2.5</v>
      </c>
      <c r="AB1147" t="n">
        <v>9.5</v>
      </c>
    </row>
    <row r="1148">
      <c r="A1148" t="inlineStr">
        <is>
          <t>2026-09-24 15:48:59</t>
        </is>
      </c>
      <c r="B1148" t="inlineStr">
        <is>
          <t>MLLB_000_y1.0.3</t>
        </is>
      </c>
      <c r="C1148" t="inlineStr">
        <is>
          <t>WHITE</t>
        </is>
      </c>
      <c r="D1148" t="inlineStr">
        <is>
          <t>v4_white_MLLB_000_y103_0924</t>
        </is>
      </c>
      <c r="E1148" t="n">
        <v>3.4</v>
      </c>
      <c r="F1148" t="n">
        <v>3.408</v>
      </c>
      <c r="G1148" t="n">
        <v>100</v>
      </c>
      <c r="H1148" t="n">
        <v>60</v>
      </c>
      <c r="I1148" t="n">
        <v>32</v>
      </c>
      <c r="J1148" t="inlineStr">
        <is>
          <t>kaba</t>
        </is>
      </c>
      <c r="K1148" t="b">
        <v>1</v>
      </c>
      <c r="M1148" t="n">
        <v>34</v>
      </c>
      <c r="N1148" t="n">
        <v>28</v>
      </c>
      <c r="O1148" t="n">
        <v>14</v>
      </c>
      <c r="P1148" t="n">
        <v>968</v>
      </c>
      <c r="Q1148" t="n">
        <v>1002</v>
      </c>
      <c r="R1148" t="n">
        <v>1.072</v>
      </c>
      <c r="S1148" t="n">
        <v>245.405</v>
      </c>
      <c r="T1148" t="n">
        <v>228.835</v>
      </c>
      <c r="U1148" t="n">
        <v>0.7784</v>
      </c>
      <c r="V1148" t="b">
        <v>1</v>
      </c>
      <c r="X1148" t="b">
        <v>1</v>
      </c>
      <c r="Z1148" t="n">
        <v>935</v>
      </c>
      <c r="AA1148" t="n">
        <v>2.5</v>
      </c>
      <c r="AB1148" t="n">
        <v>9.5</v>
      </c>
    </row>
    <row r="1149">
      <c r="A1149" t="inlineStr">
        <is>
          <t>2026-09-24 15:49:16</t>
        </is>
      </c>
      <c r="B1149" t="inlineStr">
        <is>
          <t>MLLB_000_y1.0.3</t>
        </is>
      </c>
      <c r="C1149" t="inlineStr">
        <is>
          <t>WHITE</t>
        </is>
      </c>
      <c r="D1149" t="inlineStr">
        <is>
          <t>v4_white_MLLB_000_y103_0924</t>
        </is>
      </c>
      <c r="E1149" t="n">
        <v>3.4</v>
      </c>
      <c r="F1149" t="n">
        <v>3.408</v>
      </c>
      <c r="G1149" t="n">
        <v>100</v>
      </c>
      <c r="H1149" t="n">
        <v>60</v>
      </c>
      <c r="I1149" t="n">
        <v>36</v>
      </c>
      <c r="J1149" t="inlineStr">
        <is>
          <t>kaba</t>
        </is>
      </c>
      <c r="K1149" t="b">
        <v>1</v>
      </c>
      <c r="M1149" t="n">
        <v>34</v>
      </c>
      <c r="N1149" t="n">
        <v>28</v>
      </c>
      <c r="O1149" t="n">
        <v>14</v>
      </c>
      <c r="P1149" t="n">
        <v>968</v>
      </c>
      <c r="Q1149" t="n">
        <v>1002</v>
      </c>
      <c r="R1149" t="n">
        <v>1.069</v>
      </c>
      <c r="S1149" t="n">
        <v>244.773</v>
      </c>
      <c r="T1149" t="n">
        <v>228.888</v>
      </c>
      <c r="U1149" t="n">
        <v>0.778</v>
      </c>
      <c r="V1149" t="b">
        <v>1</v>
      </c>
      <c r="X1149" t="b">
        <v>1</v>
      </c>
      <c r="Z1149" t="n">
        <v>935</v>
      </c>
      <c r="AA1149" t="n">
        <v>2.5</v>
      </c>
      <c r="AB1149" t="n">
        <v>9.5</v>
      </c>
    </row>
    <row r="1150">
      <c r="A1150" t="inlineStr">
        <is>
          <t>2026-09-24 15:49:32</t>
        </is>
      </c>
      <c r="B1150" t="inlineStr">
        <is>
          <t>MLLB_000_y1.0.3</t>
        </is>
      </c>
      <c r="C1150" t="inlineStr">
        <is>
          <t>WHITE</t>
        </is>
      </c>
      <c r="D1150" t="inlineStr">
        <is>
          <t>v4_white_MLLB_000_y103_0924</t>
        </is>
      </c>
      <c r="E1150" t="n">
        <v>3.4</v>
      </c>
      <c r="F1150" t="n">
        <v>3.408</v>
      </c>
      <c r="G1150" t="n">
        <v>100</v>
      </c>
      <c r="H1150" t="n">
        <v>60</v>
      </c>
      <c r="I1150" t="n">
        <v>40</v>
      </c>
      <c r="J1150" t="inlineStr">
        <is>
          <t>kaba</t>
        </is>
      </c>
      <c r="K1150" t="b">
        <v>1</v>
      </c>
      <c r="M1150" t="n">
        <v>34</v>
      </c>
      <c r="N1150" t="n">
        <v>28</v>
      </c>
      <c r="O1150" t="n">
        <v>14</v>
      </c>
      <c r="P1150" t="n">
        <v>968</v>
      </c>
      <c r="Q1150" t="n">
        <v>1002</v>
      </c>
      <c r="R1150" t="n">
        <v>1.069</v>
      </c>
      <c r="S1150" t="n">
        <v>244.635</v>
      </c>
      <c r="T1150" t="n">
        <v>228.804</v>
      </c>
      <c r="U1150" t="n">
        <v>0.7781</v>
      </c>
      <c r="V1150" t="b">
        <v>1</v>
      </c>
      <c r="X1150" t="b">
        <v>1</v>
      </c>
      <c r="Z1150" t="n">
        <v>935</v>
      </c>
      <c r="AA1150" t="n">
        <v>2.5</v>
      </c>
      <c r="AB1150" t="n">
        <v>9.5</v>
      </c>
    </row>
    <row r="1151">
      <c r="A1151" t="inlineStr">
        <is>
          <t>2026-09-24 15:49:48</t>
        </is>
      </c>
      <c r="B1151" t="inlineStr">
        <is>
          <t>MLLB_000_y1.0.3</t>
        </is>
      </c>
      <c r="C1151" t="inlineStr">
        <is>
          <t>WHITE</t>
        </is>
      </c>
      <c r="D1151" t="inlineStr">
        <is>
          <t>v4_white_MLLB_000_y103_0924</t>
        </is>
      </c>
      <c r="E1151" t="n">
        <v>3.4</v>
      </c>
      <c r="F1151" t="n">
        <v>3.408</v>
      </c>
      <c r="G1151" t="n">
        <v>100</v>
      </c>
      <c r="H1151" t="n">
        <v>60</v>
      </c>
      <c r="I1151" t="n">
        <v>44</v>
      </c>
      <c r="J1151" t="inlineStr">
        <is>
          <t>kaba</t>
        </is>
      </c>
      <c r="K1151" t="b">
        <v>1</v>
      </c>
      <c r="M1151" t="n">
        <v>34</v>
      </c>
      <c r="N1151" t="n">
        <v>28</v>
      </c>
      <c r="O1151" t="n">
        <v>14</v>
      </c>
      <c r="P1151" t="n">
        <v>968</v>
      </c>
      <c r="Q1151" t="n">
        <v>1002</v>
      </c>
      <c r="R1151" t="n">
        <v>1.072</v>
      </c>
      <c r="S1151" t="n">
        <v>245.405</v>
      </c>
      <c r="T1151" t="n">
        <v>228.937</v>
      </c>
      <c r="U1151" t="n">
        <v>0.7781</v>
      </c>
      <c r="V1151" t="b">
        <v>1</v>
      </c>
      <c r="X1151" t="b">
        <v>1</v>
      </c>
      <c r="Z1151" t="n">
        <v>935</v>
      </c>
      <c r="AA1151" t="n">
        <v>2.5</v>
      </c>
      <c r="AB1151" t="n">
        <v>9.5</v>
      </c>
    </row>
    <row r="1152">
      <c r="A1152" t="inlineStr">
        <is>
          <t>2026-09-24 15:50:04</t>
        </is>
      </c>
      <c r="B1152" t="inlineStr">
        <is>
          <t>MLLB_000_y1.0.3</t>
        </is>
      </c>
      <c r="C1152" t="inlineStr">
        <is>
          <t>WHITE</t>
        </is>
      </c>
      <c r="D1152" t="inlineStr">
        <is>
          <t>v4_white_MLLB_000_y103_0924</t>
        </is>
      </c>
      <c r="E1152" t="n">
        <v>3.4</v>
      </c>
      <c r="F1152" t="n">
        <v>3.408</v>
      </c>
      <c r="G1152" t="n">
        <v>100</v>
      </c>
      <c r="H1152" t="n">
        <v>60</v>
      </c>
      <c r="I1152" t="n">
        <v>48</v>
      </c>
      <c r="J1152" t="inlineStr">
        <is>
          <t>kaba</t>
        </is>
      </c>
      <c r="K1152" t="b">
        <v>1</v>
      </c>
      <c r="M1152" t="n">
        <v>34</v>
      </c>
      <c r="N1152" t="n">
        <v>28</v>
      </c>
      <c r="O1152" t="n">
        <v>14</v>
      </c>
      <c r="P1152" t="n">
        <v>968</v>
      </c>
      <c r="Q1152" t="n">
        <v>1002</v>
      </c>
      <c r="R1152" t="n">
        <v>1.069</v>
      </c>
      <c r="S1152" t="n">
        <v>244.635</v>
      </c>
      <c r="T1152" t="n">
        <v>228.842</v>
      </c>
      <c r="U1152" t="n">
        <v>0.7782</v>
      </c>
      <c r="V1152" t="b">
        <v>1</v>
      </c>
      <c r="X1152" t="b">
        <v>1</v>
      </c>
      <c r="Z1152" t="n">
        <v>935</v>
      </c>
      <c r="AA1152" t="n">
        <v>2.5</v>
      </c>
      <c r="AB1152" t="n">
        <v>9.5</v>
      </c>
    </row>
    <row r="1153">
      <c r="A1153" t="inlineStr">
        <is>
          <t>2026-09-24 15:50:20</t>
        </is>
      </c>
      <c r="B1153" t="inlineStr">
        <is>
          <t>MLLB_000_y1.0.3</t>
        </is>
      </c>
      <c r="C1153" t="inlineStr">
        <is>
          <t>WHITE</t>
        </is>
      </c>
      <c r="D1153" t="inlineStr">
        <is>
          <t>v4_white_MLLB_000_y103_0924</t>
        </is>
      </c>
      <c r="E1153" t="n">
        <v>3.4</v>
      </c>
      <c r="F1153" t="n">
        <v>3.408</v>
      </c>
      <c r="G1153" t="n">
        <v>100</v>
      </c>
      <c r="H1153" t="n">
        <v>60</v>
      </c>
      <c r="I1153" t="n">
        <v>52</v>
      </c>
      <c r="J1153" t="inlineStr">
        <is>
          <t>kaba</t>
        </is>
      </c>
      <c r="K1153" t="b">
        <v>1</v>
      </c>
      <c r="M1153" t="n">
        <v>34</v>
      </c>
      <c r="N1153" t="n">
        <v>28</v>
      </c>
      <c r="O1153" t="n">
        <v>14</v>
      </c>
      <c r="P1153" t="n">
        <v>968</v>
      </c>
      <c r="Q1153" t="n">
        <v>1002</v>
      </c>
      <c r="R1153" t="n">
        <v>1.066</v>
      </c>
      <c r="S1153" t="n">
        <v>243.864</v>
      </c>
      <c r="T1153" t="n">
        <v>228.74</v>
      </c>
      <c r="U1153" t="n">
        <v>0.7778</v>
      </c>
      <c r="V1153" t="b">
        <v>1</v>
      </c>
      <c r="X1153" t="b">
        <v>1</v>
      </c>
      <c r="Z1153" t="n">
        <v>935</v>
      </c>
      <c r="AA1153" t="n">
        <v>2.5</v>
      </c>
      <c r="AB1153" t="n">
        <v>9.5</v>
      </c>
    </row>
    <row r="1154">
      <c r="A1154" t="inlineStr">
        <is>
          <t>2026-09-24 15:50:36</t>
        </is>
      </c>
      <c r="B1154" t="inlineStr">
        <is>
          <t>MLLB_000_y1.0.3</t>
        </is>
      </c>
      <c r="C1154" t="inlineStr">
        <is>
          <t>WHITE</t>
        </is>
      </c>
      <c r="D1154" t="inlineStr">
        <is>
          <t>v4_white_MLLB_000_y103_0924</t>
        </is>
      </c>
      <c r="E1154" t="n">
        <v>3.4</v>
      </c>
      <c r="F1154" t="n">
        <v>3.408</v>
      </c>
      <c r="G1154" t="n">
        <v>100</v>
      </c>
      <c r="H1154" t="n">
        <v>60</v>
      </c>
      <c r="I1154" t="n">
        <v>56</v>
      </c>
      <c r="J1154" t="inlineStr">
        <is>
          <t>kaba</t>
        </is>
      </c>
      <c r="K1154" t="b">
        <v>1</v>
      </c>
      <c r="M1154" t="n">
        <v>34</v>
      </c>
      <c r="N1154" t="n">
        <v>28</v>
      </c>
      <c r="O1154" t="n">
        <v>14</v>
      </c>
      <c r="P1154" t="n">
        <v>968</v>
      </c>
      <c r="Q1154" t="n">
        <v>1002</v>
      </c>
      <c r="R1154" t="n">
        <v>1.066</v>
      </c>
      <c r="S1154" t="n">
        <v>243.864</v>
      </c>
      <c r="T1154" t="n">
        <v>228.805</v>
      </c>
      <c r="U1154" t="n">
        <v>0.7783</v>
      </c>
      <c r="V1154" t="b">
        <v>1</v>
      </c>
      <c r="X1154" t="b">
        <v>1</v>
      </c>
      <c r="Z1154" t="n">
        <v>935</v>
      </c>
      <c r="AA1154" t="n">
        <v>2.5</v>
      </c>
      <c r="AB1154" t="n">
        <v>9.5</v>
      </c>
    </row>
    <row r="1155">
      <c r="A1155" t="inlineStr">
        <is>
          <t>2026-09-24 15:50:51</t>
        </is>
      </c>
      <c r="B1155" t="inlineStr">
        <is>
          <t>MLLB_000_y1.0.3</t>
        </is>
      </c>
      <c r="C1155" t="inlineStr">
        <is>
          <t>WHITE</t>
        </is>
      </c>
      <c r="D1155" t="inlineStr">
        <is>
          <t>v4_white_MLLB_000_y103_0924</t>
        </is>
      </c>
      <c r="E1155" t="n">
        <v>3.4</v>
      </c>
      <c r="F1155" t="n">
        <v>3.408</v>
      </c>
      <c r="G1155" t="n">
        <v>100</v>
      </c>
      <c r="H1155" t="n">
        <v>60</v>
      </c>
      <c r="I1155" t="n">
        <v>58</v>
      </c>
      <c r="J1155" t="inlineStr">
        <is>
          <t>kaba</t>
        </is>
      </c>
      <c r="K1155" t="b">
        <v>1</v>
      </c>
      <c r="M1155" t="n">
        <v>34</v>
      </c>
      <c r="N1155" t="n">
        <v>28</v>
      </c>
      <c r="O1155" t="n">
        <v>14</v>
      </c>
      <c r="P1155" t="n">
        <v>968</v>
      </c>
      <c r="Q1155" t="n">
        <v>1002</v>
      </c>
      <c r="R1155" t="n">
        <v>1.072</v>
      </c>
      <c r="S1155" t="n">
        <v>245.405</v>
      </c>
      <c r="T1155" t="n">
        <v>228.887</v>
      </c>
      <c r="U1155" t="n">
        <v>0.7781</v>
      </c>
      <c r="V1155" t="b">
        <v>1</v>
      </c>
      <c r="X1155" t="b">
        <v>1</v>
      </c>
      <c r="Z1155" t="n">
        <v>935</v>
      </c>
      <c r="AA1155" t="n">
        <v>2.5</v>
      </c>
      <c r="AB1155" t="n">
        <v>9.5</v>
      </c>
    </row>
    <row r="1156">
      <c r="A1156" t="inlineStr">
        <is>
          <t>2026-09-24 15:50:52</t>
        </is>
      </c>
      <c r="B1156" t="inlineStr">
        <is>
          <t>MLLB_000_y1.0.3</t>
        </is>
      </c>
      <c r="C1156" t="inlineStr">
        <is>
          <t>WHITE</t>
        </is>
      </c>
      <c r="D1156" t="inlineStr">
        <is>
          <t>v4_white_MLLB_000_y103_0924</t>
        </is>
      </c>
      <c r="E1156" t="n">
        <v>3.4</v>
      </c>
      <c r="F1156" t="n">
        <v>3.408</v>
      </c>
      <c r="G1156" t="n">
        <v>100</v>
      </c>
      <c r="H1156" t="n">
        <v>60</v>
      </c>
      <c r="I1156" t="n">
        <v>13</v>
      </c>
      <c r="J1156" t="inlineStr">
        <is>
          <t>ince</t>
        </is>
      </c>
      <c r="K1156" t="b">
        <v>0</v>
      </c>
      <c r="L1156" t="inlineStr">
        <is>
          <t>iki-OK-arasi-monotonluk</t>
        </is>
      </c>
      <c r="X1156" t="b">
        <v>1</v>
      </c>
      <c r="Z1156" t="n">
        <v>935</v>
      </c>
      <c r="AA1156" t="n">
        <v>2.5</v>
      </c>
      <c r="AB1156" t="n">
        <v>9.5</v>
      </c>
    </row>
    <row r="1157">
      <c r="A1157" t="inlineStr">
        <is>
          <t>2026-09-24 15:50:52</t>
        </is>
      </c>
      <c r="B1157" t="inlineStr">
        <is>
          <t>MLLB_000_y1.0.3</t>
        </is>
      </c>
      <c r="C1157" t="inlineStr">
        <is>
          <t>WHITE</t>
        </is>
      </c>
      <c r="D1157" t="inlineStr">
        <is>
          <t>v4_white_MLLB_000_y103_0924</t>
        </is>
      </c>
      <c r="E1157" t="n">
        <v>3.4</v>
      </c>
      <c r="F1157" t="n">
        <v>3.408</v>
      </c>
      <c r="G1157" t="n">
        <v>100</v>
      </c>
      <c r="H1157" t="n">
        <v>60</v>
      </c>
      <c r="I1157" t="n">
        <v>14</v>
      </c>
      <c r="J1157" t="inlineStr">
        <is>
          <t>ince</t>
        </is>
      </c>
      <c r="K1157" t="b">
        <v>0</v>
      </c>
      <c r="L1157" t="inlineStr">
        <is>
          <t>iki-OK-arasi-monotonluk</t>
        </is>
      </c>
      <c r="X1157" t="b">
        <v>1</v>
      </c>
      <c r="Z1157" t="n">
        <v>935</v>
      </c>
      <c r="AA1157" t="n">
        <v>2.5</v>
      </c>
      <c r="AB1157" t="n">
        <v>9.5</v>
      </c>
    </row>
    <row r="1158">
      <c r="A1158" t="inlineStr">
        <is>
          <t>2026-09-24 15:50:52</t>
        </is>
      </c>
      <c r="B1158" t="inlineStr">
        <is>
          <t>MLLB_000_y1.0.3</t>
        </is>
      </c>
      <c r="C1158" t="inlineStr">
        <is>
          <t>WHITE</t>
        </is>
      </c>
      <c r="D1158" t="inlineStr">
        <is>
          <t>v4_white_MLLB_000_y103_0924</t>
        </is>
      </c>
      <c r="E1158" t="n">
        <v>3.4</v>
      </c>
      <c r="F1158" t="n">
        <v>3.408</v>
      </c>
      <c r="G1158" t="n">
        <v>100</v>
      </c>
      <c r="H1158" t="n">
        <v>60</v>
      </c>
      <c r="I1158" t="n">
        <v>15</v>
      </c>
      <c r="J1158" t="inlineStr">
        <is>
          <t>ince</t>
        </is>
      </c>
      <c r="K1158" t="b">
        <v>0</v>
      </c>
      <c r="L1158" t="inlineStr">
        <is>
          <t>iki-OK-arasi-monotonluk</t>
        </is>
      </c>
      <c r="X1158" t="b">
        <v>1</v>
      </c>
      <c r="Z1158" t="n">
        <v>935</v>
      </c>
      <c r="AA1158" t="n">
        <v>2.5</v>
      </c>
      <c r="AB1158" t="n">
        <v>9.5</v>
      </c>
    </row>
    <row r="1159">
      <c r="A1159" t="inlineStr">
        <is>
          <t>2026-09-24 15:50:52</t>
        </is>
      </c>
      <c r="B1159" t="inlineStr">
        <is>
          <t>MLLB_000_y1.0.3</t>
        </is>
      </c>
      <c r="C1159" t="inlineStr">
        <is>
          <t>WHITE</t>
        </is>
      </c>
      <c r="D1159" t="inlineStr">
        <is>
          <t>v4_white_MLLB_000_y103_0924</t>
        </is>
      </c>
      <c r="E1159" t="n">
        <v>3.4</v>
      </c>
      <c r="F1159" t="n">
        <v>3.408</v>
      </c>
      <c r="G1159" t="n">
        <v>100</v>
      </c>
      <c r="H1159" t="n">
        <v>60</v>
      </c>
      <c r="I1159" t="n">
        <v>17</v>
      </c>
      <c r="J1159" t="inlineStr">
        <is>
          <t>ince</t>
        </is>
      </c>
      <c r="K1159" t="b">
        <v>0</v>
      </c>
      <c r="L1159" t="inlineStr">
        <is>
          <t>iki-OK-arasi-monotonluk</t>
        </is>
      </c>
      <c r="X1159" t="b">
        <v>1</v>
      </c>
      <c r="Z1159" t="n">
        <v>935</v>
      </c>
      <c r="AA1159" t="n">
        <v>2.5</v>
      </c>
      <c r="AB1159" t="n">
        <v>9.5</v>
      </c>
    </row>
    <row r="1160">
      <c r="A1160" t="inlineStr">
        <is>
          <t>2026-09-24 15:50:52</t>
        </is>
      </c>
      <c r="B1160" t="inlineStr">
        <is>
          <t>MLLB_000_y1.0.3</t>
        </is>
      </c>
      <c r="C1160" t="inlineStr">
        <is>
          <t>WHITE</t>
        </is>
      </c>
      <c r="D1160" t="inlineStr">
        <is>
          <t>v4_white_MLLB_000_y103_0924</t>
        </is>
      </c>
      <c r="E1160" t="n">
        <v>3.4</v>
      </c>
      <c r="F1160" t="n">
        <v>3.408</v>
      </c>
      <c r="G1160" t="n">
        <v>100</v>
      </c>
      <c r="H1160" t="n">
        <v>60</v>
      </c>
      <c r="I1160" t="n">
        <v>18</v>
      </c>
      <c r="J1160" t="inlineStr">
        <is>
          <t>ince</t>
        </is>
      </c>
      <c r="K1160" t="b">
        <v>0</v>
      </c>
      <c r="L1160" t="inlineStr">
        <is>
          <t>iki-OK-arasi-monotonluk</t>
        </is>
      </c>
      <c r="X1160" t="b">
        <v>1</v>
      </c>
      <c r="Z1160" t="n">
        <v>935</v>
      </c>
      <c r="AA1160" t="n">
        <v>2.5</v>
      </c>
      <c r="AB1160" t="n">
        <v>9.5</v>
      </c>
    </row>
    <row r="1161">
      <c r="A1161" t="inlineStr">
        <is>
          <t>2026-09-24 15:50:52</t>
        </is>
      </c>
      <c r="B1161" t="inlineStr">
        <is>
          <t>MLLB_000_y1.0.3</t>
        </is>
      </c>
      <c r="C1161" t="inlineStr">
        <is>
          <t>WHITE</t>
        </is>
      </c>
      <c r="D1161" t="inlineStr">
        <is>
          <t>v4_white_MLLB_000_y103_0924</t>
        </is>
      </c>
      <c r="E1161" t="n">
        <v>3.4</v>
      </c>
      <c r="F1161" t="n">
        <v>3.408</v>
      </c>
      <c r="G1161" t="n">
        <v>100</v>
      </c>
      <c r="H1161" t="n">
        <v>60</v>
      </c>
      <c r="I1161" t="n">
        <v>19</v>
      </c>
      <c r="J1161" t="inlineStr">
        <is>
          <t>ince</t>
        </is>
      </c>
      <c r="K1161" t="b">
        <v>0</v>
      </c>
      <c r="L1161" t="inlineStr">
        <is>
          <t>iki-OK-arasi-monotonluk</t>
        </is>
      </c>
      <c r="X1161" t="b">
        <v>1</v>
      </c>
      <c r="Z1161" t="n">
        <v>935</v>
      </c>
      <c r="AA1161" t="n">
        <v>2.5</v>
      </c>
      <c r="AB1161" t="n">
        <v>9.5</v>
      </c>
    </row>
    <row r="1162">
      <c r="A1162" t="inlineStr">
        <is>
          <t>2026-09-24 15:50:52</t>
        </is>
      </c>
      <c r="B1162" t="inlineStr">
        <is>
          <t>MLLB_000_y1.0.3</t>
        </is>
      </c>
      <c r="C1162" t="inlineStr">
        <is>
          <t>WHITE</t>
        </is>
      </c>
      <c r="D1162" t="inlineStr">
        <is>
          <t>v4_white_MLLB_000_y103_0924</t>
        </is>
      </c>
      <c r="E1162" t="n">
        <v>3.4</v>
      </c>
      <c r="F1162" t="n">
        <v>3.408</v>
      </c>
      <c r="G1162" t="n">
        <v>100</v>
      </c>
      <c r="H1162" t="n">
        <v>60</v>
      </c>
      <c r="I1162" t="n">
        <v>21</v>
      </c>
      <c r="J1162" t="inlineStr">
        <is>
          <t>ince</t>
        </is>
      </c>
      <c r="K1162" t="b">
        <v>0</v>
      </c>
      <c r="L1162" t="inlineStr">
        <is>
          <t>iki-OK-arasi-monotonluk</t>
        </is>
      </c>
      <c r="X1162" t="b">
        <v>1</v>
      </c>
      <c r="Z1162" t="n">
        <v>935</v>
      </c>
      <c r="AA1162" t="n">
        <v>2.5</v>
      </c>
      <c r="AB1162" t="n">
        <v>9.5</v>
      </c>
    </row>
    <row r="1163">
      <c r="A1163" t="inlineStr">
        <is>
          <t>2026-09-24 15:50:52</t>
        </is>
      </c>
      <c r="B1163" t="inlineStr">
        <is>
          <t>MLLB_000_y1.0.3</t>
        </is>
      </c>
      <c r="C1163" t="inlineStr">
        <is>
          <t>WHITE</t>
        </is>
      </c>
      <c r="D1163" t="inlineStr">
        <is>
          <t>v4_white_MLLB_000_y103_0924</t>
        </is>
      </c>
      <c r="E1163" t="n">
        <v>3.4</v>
      </c>
      <c r="F1163" t="n">
        <v>3.408</v>
      </c>
      <c r="G1163" t="n">
        <v>100</v>
      </c>
      <c r="H1163" t="n">
        <v>60</v>
      </c>
      <c r="I1163" t="n">
        <v>22</v>
      </c>
      <c r="J1163" t="inlineStr">
        <is>
          <t>ince</t>
        </is>
      </c>
      <c r="K1163" t="b">
        <v>0</v>
      </c>
      <c r="L1163" t="inlineStr">
        <is>
          <t>iki-OK-arasi-monotonluk</t>
        </is>
      </c>
      <c r="X1163" t="b">
        <v>1</v>
      </c>
      <c r="Z1163" t="n">
        <v>935</v>
      </c>
      <c r="AA1163" t="n">
        <v>2.5</v>
      </c>
      <c r="AB1163" t="n">
        <v>9.5</v>
      </c>
    </row>
    <row r="1164">
      <c r="A1164" t="inlineStr">
        <is>
          <t>2026-09-24 15:50:52</t>
        </is>
      </c>
      <c r="B1164" t="inlineStr">
        <is>
          <t>MLLB_000_y1.0.3</t>
        </is>
      </c>
      <c r="C1164" t="inlineStr">
        <is>
          <t>WHITE</t>
        </is>
      </c>
      <c r="D1164" t="inlineStr">
        <is>
          <t>v4_white_MLLB_000_y103_0924</t>
        </is>
      </c>
      <c r="E1164" t="n">
        <v>3.4</v>
      </c>
      <c r="F1164" t="n">
        <v>3.408</v>
      </c>
      <c r="G1164" t="n">
        <v>100</v>
      </c>
      <c r="H1164" t="n">
        <v>60</v>
      </c>
      <c r="I1164" t="n">
        <v>23</v>
      </c>
      <c r="J1164" t="inlineStr">
        <is>
          <t>ince</t>
        </is>
      </c>
      <c r="K1164" t="b">
        <v>0</v>
      </c>
      <c r="L1164" t="inlineStr">
        <is>
          <t>iki-OK-arasi-monotonluk</t>
        </is>
      </c>
      <c r="X1164" t="b">
        <v>1</v>
      </c>
      <c r="Z1164" t="n">
        <v>935</v>
      </c>
      <c r="AA1164" t="n">
        <v>2.5</v>
      </c>
      <c r="AB1164" t="n">
        <v>9.5</v>
      </c>
    </row>
    <row r="1165">
      <c r="A1165" t="inlineStr">
        <is>
          <t>2026-09-24 15:50:52</t>
        </is>
      </c>
      <c r="B1165" t="inlineStr">
        <is>
          <t>MLLB_000_y1.0.3</t>
        </is>
      </c>
      <c r="C1165" t="inlineStr">
        <is>
          <t>WHITE</t>
        </is>
      </c>
      <c r="D1165" t="inlineStr">
        <is>
          <t>v4_white_MLLB_000_y103_0924</t>
        </is>
      </c>
      <c r="E1165" t="n">
        <v>3.4</v>
      </c>
      <c r="F1165" t="n">
        <v>3.408</v>
      </c>
      <c r="G1165" t="n">
        <v>100</v>
      </c>
      <c r="H1165" t="n">
        <v>60</v>
      </c>
      <c r="I1165" t="n">
        <v>25</v>
      </c>
      <c r="J1165" t="inlineStr">
        <is>
          <t>ince</t>
        </is>
      </c>
      <c r="K1165" t="b">
        <v>0</v>
      </c>
      <c r="L1165" t="inlineStr">
        <is>
          <t>iki-OK-arasi-monotonluk</t>
        </is>
      </c>
      <c r="X1165" t="b">
        <v>1</v>
      </c>
      <c r="Z1165" t="n">
        <v>935</v>
      </c>
      <c r="AA1165" t="n">
        <v>2.5</v>
      </c>
      <c r="AB1165" t="n">
        <v>9.5</v>
      </c>
    </row>
    <row r="1166">
      <c r="A1166" t="inlineStr">
        <is>
          <t>2026-09-24 15:50:52</t>
        </is>
      </c>
      <c r="B1166" t="inlineStr">
        <is>
          <t>MLLB_000_y1.0.3</t>
        </is>
      </c>
      <c r="C1166" t="inlineStr">
        <is>
          <t>WHITE</t>
        </is>
      </c>
      <c r="D1166" t="inlineStr">
        <is>
          <t>v4_white_MLLB_000_y103_0924</t>
        </is>
      </c>
      <c r="E1166" t="n">
        <v>3.4</v>
      </c>
      <c r="F1166" t="n">
        <v>3.408</v>
      </c>
      <c r="G1166" t="n">
        <v>100</v>
      </c>
      <c r="H1166" t="n">
        <v>60</v>
      </c>
      <c r="I1166" t="n">
        <v>26</v>
      </c>
      <c r="J1166" t="inlineStr">
        <is>
          <t>ince</t>
        </is>
      </c>
      <c r="K1166" t="b">
        <v>0</v>
      </c>
      <c r="L1166" t="inlineStr">
        <is>
          <t>iki-OK-arasi-monotonluk</t>
        </is>
      </c>
      <c r="X1166" t="b">
        <v>1</v>
      </c>
      <c r="Z1166" t="n">
        <v>935</v>
      </c>
      <c r="AA1166" t="n">
        <v>2.5</v>
      </c>
      <c r="AB1166" t="n">
        <v>9.5</v>
      </c>
    </row>
    <row r="1167">
      <c r="A1167" t="inlineStr">
        <is>
          <t>2026-09-24 15:50:52</t>
        </is>
      </c>
      <c r="B1167" t="inlineStr">
        <is>
          <t>MLLB_000_y1.0.3</t>
        </is>
      </c>
      <c r="C1167" t="inlineStr">
        <is>
          <t>WHITE</t>
        </is>
      </c>
      <c r="D1167" t="inlineStr">
        <is>
          <t>v4_white_MLLB_000_y103_0924</t>
        </is>
      </c>
      <c r="E1167" t="n">
        <v>3.4</v>
      </c>
      <c r="F1167" t="n">
        <v>3.408</v>
      </c>
      <c r="G1167" t="n">
        <v>100</v>
      </c>
      <c r="H1167" t="n">
        <v>60</v>
      </c>
      <c r="I1167" t="n">
        <v>27</v>
      </c>
      <c r="J1167" t="inlineStr">
        <is>
          <t>ince</t>
        </is>
      </c>
      <c r="K1167" t="b">
        <v>0</v>
      </c>
      <c r="L1167" t="inlineStr">
        <is>
          <t>iki-OK-arasi-monotonluk</t>
        </is>
      </c>
      <c r="X1167" t="b">
        <v>1</v>
      </c>
      <c r="Z1167" t="n">
        <v>935</v>
      </c>
      <c r="AA1167" t="n">
        <v>2.5</v>
      </c>
      <c r="AB1167" t="n">
        <v>9.5</v>
      </c>
    </row>
    <row r="1168">
      <c r="A1168" t="inlineStr">
        <is>
          <t>2026-09-24 15:50:52</t>
        </is>
      </c>
      <c r="B1168" t="inlineStr">
        <is>
          <t>MLLB_000_y1.0.3</t>
        </is>
      </c>
      <c r="C1168" t="inlineStr">
        <is>
          <t>WHITE</t>
        </is>
      </c>
      <c r="D1168" t="inlineStr">
        <is>
          <t>v4_white_MLLB_000_y103_0924</t>
        </is>
      </c>
      <c r="E1168" t="n">
        <v>3.4</v>
      </c>
      <c r="F1168" t="n">
        <v>3.408</v>
      </c>
      <c r="G1168" t="n">
        <v>100</v>
      </c>
      <c r="H1168" t="n">
        <v>60</v>
      </c>
      <c r="I1168" t="n">
        <v>29</v>
      </c>
      <c r="J1168" t="inlineStr">
        <is>
          <t>ince</t>
        </is>
      </c>
      <c r="K1168" t="b">
        <v>0</v>
      </c>
      <c r="L1168" t="inlineStr">
        <is>
          <t>iki-OK-arasi-monotonluk</t>
        </is>
      </c>
      <c r="X1168" t="b">
        <v>1</v>
      </c>
      <c r="Z1168" t="n">
        <v>935</v>
      </c>
      <c r="AA1168" t="n">
        <v>2.5</v>
      </c>
      <c r="AB1168" t="n">
        <v>9.5</v>
      </c>
    </row>
    <row r="1169">
      <c r="A1169" t="inlineStr">
        <is>
          <t>2026-09-24 15:50:52</t>
        </is>
      </c>
      <c r="B1169" t="inlineStr">
        <is>
          <t>MLLB_000_y1.0.3</t>
        </is>
      </c>
      <c r="C1169" t="inlineStr">
        <is>
          <t>WHITE</t>
        </is>
      </c>
      <c r="D1169" t="inlineStr">
        <is>
          <t>v4_white_MLLB_000_y103_0924</t>
        </is>
      </c>
      <c r="E1169" t="n">
        <v>3.4</v>
      </c>
      <c r="F1169" t="n">
        <v>3.408</v>
      </c>
      <c r="G1169" t="n">
        <v>100</v>
      </c>
      <c r="H1169" t="n">
        <v>60</v>
      </c>
      <c r="I1169" t="n">
        <v>30</v>
      </c>
      <c r="J1169" t="inlineStr">
        <is>
          <t>ince</t>
        </is>
      </c>
      <c r="K1169" t="b">
        <v>0</v>
      </c>
      <c r="L1169" t="inlineStr">
        <is>
          <t>iki-OK-arasi-monotonluk</t>
        </is>
      </c>
      <c r="X1169" t="b">
        <v>1</v>
      </c>
      <c r="Z1169" t="n">
        <v>935</v>
      </c>
      <c r="AA1169" t="n">
        <v>2.5</v>
      </c>
      <c r="AB1169" t="n">
        <v>9.5</v>
      </c>
    </row>
    <row r="1170">
      <c r="A1170" t="inlineStr">
        <is>
          <t>2026-09-24 15:50:52</t>
        </is>
      </c>
      <c r="B1170" t="inlineStr">
        <is>
          <t>MLLB_000_y1.0.3</t>
        </is>
      </c>
      <c r="C1170" t="inlineStr">
        <is>
          <t>WHITE</t>
        </is>
      </c>
      <c r="D1170" t="inlineStr">
        <is>
          <t>v4_white_MLLB_000_y103_0924</t>
        </is>
      </c>
      <c r="E1170" t="n">
        <v>3.4</v>
      </c>
      <c r="F1170" t="n">
        <v>3.408</v>
      </c>
      <c r="G1170" t="n">
        <v>100</v>
      </c>
      <c r="H1170" t="n">
        <v>60</v>
      </c>
      <c r="I1170" t="n">
        <v>31</v>
      </c>
      <c r="J1170" t="inlineStr">
        <is>
          <t>ince</t>
        </is>
      </c>
      <c r="K1170" t="b">
        <v>0</v>
      </c>
      <c r="L1170" t="inlineStr">
        <is>
          <t>iki-OK-arasi-monotonluk</t>
        </is>
      </c>
      <c r="X1170" t="b">
        <v>1</v>
      </c>
      <c r="Z1170" t="n">
        <v>935</v>
      </c>
      <c r="AA1170" t="n">
        <v>2.5</v>
      </c>
      <c r="AB1170" t="n">
        <v>9.5</v>
      </c>
    </row>
    <row r="1171">
      <c r="A1171" t="inlineStr">
        <is>
          <t>2026-09-24 15:50:52</t>
        </is>
      </c>
      <c r="B1171" t="inlineStr">
        <is>
          <t>MLLB_000_y1.0.3</t>
        </is>
      </c>
      <c r="C1171" t="inlineStr">
        <is>
          <t>WHITE</t>
        </is>
      </c>
      <c r="D1171" t="inlineStr">
        <is>
          <t>v4_white_MLLB_000_y103_0924</t>
        </is>
      </c>
      <c r="E1171" t="n">
        <v>3.4</v>
      </c>
      <c r="F1171" t="n">
        <v>3.408</v>
      </c>
      <c r="G1171" t="n">
        <v>100</v>
      </c>
      <c r="H1171" t="n">
        <v>60</v>
      </c>
      <c r="I1171" t="n">
        <v>33</v>
      </c>
      <c r="J1171" t="inlineStr">
        <is>
          <t>ince</t>
        </is>
      </c>
      <c r="K1171" t="b">
        <v>0</v>
      </c>
      <c r="L1171" t="inlineStr">
        <is>
          <t>iki-OK-arasi-monotonluk</t>
        </is>
      </c>
      <c r="X1171" t="b">
        <v>1</v>
      </c>
      <c r="Z1171" t="n">
        <v>935</v>
      </c>
      <c r="AA1171" t="n">
        <v>2.5</v>
      </c>
      <c r="AB1171" t="n">
        <v>9.5</v>
      </c>
    </row>
    <row r="1172">
      <c r="A1172" t="inlineStr">
        <is>
          <t>2026-09-24 15:50:52</t>
        </is>
      </c>
      <c r="B1172" t="inlineStr">
        <is>
          <t>MLLB_000_y1.0.3</t>
        </is>
      </c>
      <c r="C1172" t="inlineStr">
        <is>
          <t>WHITE</t>
        </is>
      </c>
      <c r="D1172" t="inlineStr">
        <is>
          <t>v4_white_MLLB_000_y103_0924</t>
        </is>
      </c>
      <c r="E1172" t="n">
        <v>3.4</v>
      </c>
      <c r="F1172" t="n">
        <v>3.408</v>
      </c>
      <c r="G1172" t="n">
        <v>100</v>
      </c>
      <c r="H1172" t="n">
        <v>60</v>
      </c>
      <c r="I1172" t="n">
        <v>34</v>
      </c>
      <c r="J1172" t="inlineStr">
        <is>
          <t>ince</t>
        </is>
      </c>
      <c r="K1172" t="b">
        <v>0</v>
      </c>
      <c r="L1172" t="inlineStr">
        <is>
          <t>iki-OK-arasi-monotonluk</t>
        </is>
      </c>
      <c r="X1172" t="b">
        <v>1</v>
      </c>
      <c r="Z1172" t="n">
        <v>935</v>
      </c>
      <c r="AA1172" t="n">
        <v>2.5</v>
      </c>
      <c r="AB1172" t="n">
        <v>9.5</v>
      </c>
    </row>
    <row r="1173">
      <c r="A1173" t="inlineStr">
        <is>
          <t>2026-09-24 15:50:52</t>
        </is>
      </c>
      <c r="B1173" t="inlineStr">
        <is>
          <t>MLLB_000_y1.0.3</t>
        </is>
      </c>
      <c r="C1173" t="inlineStr">
        <is>
          <t>WHITE</t>
        </is>
      </c>
      <c r="D1173" t="inlineStr">
        <is>
          <t>v4_white_MLLB_000_y103_0924</t>
        </is>
      </c>
      <c r="E1173" t="n">
        <v>3.4</v>
      </c>
      <c r="F1173" t="n">
        <v>3.408</v>
      </c>
      <c r="G1173" t="n">
        <v>100</v>
      </c>
      <c r="H1173" t="n">
        <v>60</v>
      </c>
      <c r="I1173" t="n">
        <v>35</v>
      </c>
      <c r="J1173" t="inlineStr">
        <is>
          <t>ince</t>
        </is>
      </c>
      <c r="K1173" t="b">
        <v>0</v>
      </c>
      <c r="L1173" t="inlineStr">
        <is>
          <t>iki-OK-arasi-monotonluk</t>
        </is>
      </c>
      <c r="X1173" t="b">
        <v>1</v>
      </c>
      <c r="Z1173" t="n">
        <v>935</v>
      </c>
      <c r="AA1173" t="n">
        <v>2.5</v>
      </c>
      <c r="AB1173" t="n">
        <v>9.5</v>
      </c>
    </row>
    <row r="1174">
      <c r="A1174" t="inlineStr">
        <is>
          <t>2026-09-24 15:50:52</t>
        </is>
      </c>
      <c r="B1174" t="inlineStr">
        <is>
          <t>MLLB_000_y1.0.3</t>
        </is>
      </c>
      <c r="C1174" t="inlineStr">
        <is>
          <t>WHITE</t>
        </is>
      </c>
      <c r="D1174" t="inlineStr">
        <is>
          <t>v4_white_MLLB_000_y103_0924</t>
        </is>
      </c>
      <c r="E1174" t="n">
        <v>3.4</v>
      </c>
      <c r="F1174" t="n">
        <v>3.408</v>
      </c>
      <c r="G1174" t="n">
        <v>100</v>
      </c>
      <c r="H1174" t="n">
        <v>60</v>
      </c>
      <c r="I1174" t="n">
        <v>37</v>
      </c>
      <c r="J1174" t="inlineStr">
        <is>
          <t>ince</t>
        </is>
      </c>
      <c r="K1174" t="b">
        <v>0</v>
      </c>
      <c r="L1174" t="inlineStr">
        <is>
          <t>iki-OK-arasi-monotonluk</t>
        </is>
      </c>
      <c r="X1174" t="b">
        <v>1</v>
      </c>
      <c r="Z1174" t="n">
        <v>935</v>
      </c>
      <c r="AA1174" t="n">
        <v>2.5</v>
      </c>
      <c r="AB1174" t="n">
        <v>9.5</v>
      </c>
    </row>
    <row r="1175">
      <c r="A1175" t="inlineStr">
        <is>
          <t>2026-09-24 15:50:52</t>
        </is>
      </c>
      <c r="B1175" t="inlineStr">
        <is>
          <t>MLLB_000_y1.0.3</t>
        </is>
      </c>
      <c r="C1175" t="inlineStr">
        <is>
          <t>WHITE</t>
        </is>
      </c>
      <c r="D1175" t="inlineStr">
        <is>
          <t>v4_white_MLLB_000_y103_0924</t>
        </is>
      </c>
      <c r="E1175" t="n">
        <v>3.4</v>
      </c>
      <c r="F1175" t="n">
        <v>3.408</v>
      </c>
      <c r="G1175" t="n">
        <v>100</v>
      </c>
      <c r="H1175" t="n">
        <v>60</v>
      </c>
      <c r="I1175" t="n">
        <v>38</v>
      </c>
      <c r="J1175" t="inlineStr">
        <is>
          <t>ince</t>
        </is>
      </c>
      <c r="K1175" t="b">
        <v>0</v>
      </c>
      <c r="L1175" t="inlineStr">
        <is>
          <t>iki-OK-arasi-monotonluk</t>
        </is>
      </c>
      <c r="X1175" t="b">
        <v>1</v>
      </c>
      <c r="Z1175" t="n">
        <v>935</v>
      </c>
      <c r="AA1175" t="n">
        <v>2.5</v>
      </c>
      <c r="AB1175" t="n">
        <v>9.5</v>
      </c>
    </row>
    <row r="1176">
      <c r="A1176" t="inlineStr">
        <is>
          <t>2026-09-24 15:50:52</t>
        </is>
      </c>
      <c r="B1176" t="inlineStr">
        <is>
          <t>MLLB_000_y1.0.3</t>
        </is>
      </c>
      <c r="C1176" t="inlineStr">
        <is>
          <t>WHITE</t>
        </is>
      </c>
      <c r="D1176" t="inlineStr">
        <is>
          <t>v4_white_MLLB_000_y103_0924</t>
        </is>
      </c>
      <c r="E1176" t="n">
        <v>3.4</v>
      </c>
      <c r="F1176" t="n">
        <v>3.408</v>
      </c>
      <c r="G1176" t="n">
        <v>100</v>
      </c>
      <c r="H1176" t="n">
        <v>60</v>
      </c>
      <c r="I1176" t="n">
        <v>39</v>
      </c>
      <c r="J1176" t="inlineStr">
        <is>
          <t>ince</t>
        </is>
      </c>
      <c r="K1176" t="b">
        <v>0</v>
      </c>
      <c r="L1176" t="inlineStr">
        <is>
          <t>iki-OK-arasi-monotonluk</t>
        </is>
      </c>
      <c r="X1176" t="b">
        <v>1</v>
      </c>
      <c r="Z1176" t="n">
        <v>935</v>
      </c>
      <c r="AA1176" t="n">
        <v>2.5</v>
      </c>
      <c r="AB1176" t="n">
        <v>9.5</v>
      </c>
    </row>
    <row r="1177">
      <c r="A1177" t="inlineStr">
        <is>
          <t>2026-09-24 15:50:52</t>
        </is>
      </c>
      <c r="B1177" t="inlineStr">
        <is>
          <t>MLLB_000_y1.0.3</t>
        </is>
      </c>
      <c r="C1177" t="inlineStr">
        <is>
          <t>WHITE</t>
        </is>
      </c>
      <c r="D1177" t="inlineStr">
        <is>
          <t>v4_white_MLLB_000_y103_0924</t>
        </is>
      </c>
      <c r="E1177" t="n">
        <v>3.4</v>
      </c>
      <c r="F1177" t="n">
        <v>3.408</v>
      </c>
      <c r="G1177" t="n">
        <v>100</v>
      </c>
      <c r="H1177" t="n">
        <v>60</v>
      </c>
      <c r="I1177" t="n">
        <v>41</v>
      </c>
      <c r="J1177" t="inlineStr">
        <is>
          <t>ince</t>
        </is>
      </c>
      <c r="K1177" t="b">
        <v>0</v>
      </c>
      <c r="L1177" t="inlineStr">
        <is>
          <t>iki-OK-arasi-monotonluk</t>
        </is>
      </c>
      <c r="X1177" t="b">
        <v>1</v>
      </c>
      <c r="Z1177" t="n">
        <v>935</v>
      </c>
      <c r="AA1177" t="n">
        <v>2.5</v>
      </c>
      <c r="AB1177" t="n">
        <v>9.5</v>
      </c>
    </row>
    <row r="1178">
      <c r="A1178" t="inlineStr">
        <is>
          <t>2026-09-24 15:50:52</t>
        </is>
      </c>
      <c r="B1178" t="inlineStr">
        <is>
          <t>MLLB_000_y1.0.3</t>
        </is>
      </c>
      <c r="C1178" t="inlineStr">
        <is>
          <t>WHITE</t>
        </is>
      </c>
      <c r="D1178" t="inlineStr">
        <is>
          <t>v4_white_MLLB_000_y103_0924</t>
        </is>
      </c>
      <c r="E1178" t="n">
        <v>3.4</v>
      </c>
      <c r="F1178" t="n">
        <v>3.408</v>
      </c>
      <c r="G1178" t="n">
        <v>100</v>
      </c>
      <c r="H1178" t="n">
        <v>60</v>
      </c>
      <c r="I1178" t="n">
        <v>42</v>
      </c>
      <c r="J1178" t="inlineStr">
        <is>
          <t>ince</t>
        </is>
      </c>
      <c r="K1178" t="b">
        <v>0</v>
      </c>
      <c r="L1178" t="inlineStr">
        <is>
          <t>iki-OK-arasi-monotonluk</t>
        </is>
      </c>
      <c r="X1178" t="b">
        <v>1</v>
      </c>
      <c r="Z1178" t="n">
        <v>935</v>
      </c>
      <c r="AA1178" t="n">
        <v>2.5</v>
      </c>
      <c r="AB1178" t="n">
        <v>9.5</v>
      </c>
    </row>
    <row r="1179">
      <c r="A1179" t="inlineStr">
        <is>
          <t>2026-09-24 15:50:52</t>
        </is>
      </c>
      <c r="B1179" t="inlineStr">
        <is>
          <t>MLLB_000_y1.0.3</t>
        </is>
      </c>
      <c r="C1179" t="inlineStr">
        <is>
          <t>WHITE</t>
        </is>
      </c>
      <c r="D1179" t="inlineStr">
        <is>
          <t>v4_white_MLLB_000_y103_0924</t>
        </is>
      </c>
      <c r="E1179" t="n">
        <v>3.4</v>
      </c>
      <c r="F1179" t="n">
        <v>3.408</v>
      </c>
      <c r="G1179" t="n">
        <v>100</v>
      </c>
      <c r="H1179" t="n">
        <v>60</v>
      </c>
      <c r="I1179" t="n">
        <v>43</v>
      </c>
      <c r="J1179" t="inlineStr">
        <is>
          <t>ince</t>
        </is>
      </c>
      <c r="K1179" t="b">
        <v>0</v>
      </c>
      <c r="L1179" t="inlineStr">
        <is>
          <t>iki-OK-arasi-monotonluk</t>
        </is>
      </c>
      <c r="X1179" t="b">
        <v>1</v>
      </c>
      <c r="Z1179" t="n">
        <v>935</v>
      </c>
      <c r="AA1179" t="n">
        <v>2.5</v>
      </c>
      <c r="AB1179" t="n">
        <v>9.5</v>
      </c>
    </row>
    <row r="1180">
      <c r="A1180" t="inlineStr">
        <is>
          <t>2026-09-24 15:50:52</t>
        </is>
      </c>
      <c r="B1180" t="inlineStr">
        <is>
          <t>MLLB_000_y1.0.3</t>
        </is>
      </c>
      <c r="C1180" t="inlineStr">
        <is>
          <t>WHITE</t>
        </is>
      </c>
      <c r="D1180" t="inlineStr">
        <is>
          <t>v4_white_MLLB_000_y103_0924</t>
        </is>
      </c>
      <c r="E1180" t="n">
        <v>3.4</v>
      </c>
      <c r="F1180" t="n">
        <v>3.408</v>
      </c>
      <c r="G1180" t="n">
        <v>100</v>
      </c>
      <c r="H1180" t="n">
        <v>60</v>
      </c>
      <c r="I1180" t="n">
        <v>45</v>
      </c>
      <c r="J1180" t="inlineStr">
        <is>
          <t>ince</t>
        </is>
      </c>
      <c r="K1180" t="b">
        <v>0</v>
      </c>
      <c r="L1180" t="inlineStr">
        <is>
          <t>iki-OK-arasi-monotonluk</t>
        </is>
      </c>
      <c r="X1180" t="b">
        <v>1</v>
      </c>
      <c r="Z1180" t="n">
        <v>935</v>
      </c>
      <c r="AA1180" t="n">
        <v>2.5</v>
      </c>
      <c r="AB1180" t="n">
        <v>9.5</v>
      </c>
    </row>
    <row r="1181">
      <c r="A1181" t="inlineStr">
        <is>
          <t>2026-09-24 15:50:52</t>
        </is>
      </c>
      <c r="B1181" t="inlineStr">
        <is>
          <t>MLLB_000_y1.0.3</t>
        </is>
      </c>
      <c r="C1181" t="inlineStr">
        <is>
          <t>WHITE</t>
        </is>
      </c>
      <c r="D1181" t="inlineStr">
        <is>
          <t>v4_white_MLLB_000_y103_0924</t>
        </is>
      </c>
      <c r="E1181" t="n">
        <v>3.4</v>
      </c>
      <c r="F1181" t="n">
        <v>3.408</v>
      </c>
      <c r="G1181" t="n">
        <v>100</v>
      </c>
      <c r="H1181" t="n">
        <v>60</v>
      </c>
      <c r="I1181" t="n">
        <v>46</v>
      </c>
      <c r="J1181" t="inlineStr">
        <is>
          <t>ince</t>
        </is>
      </c>
      <c r="K1181" t="b">
        <v>0</v>
      </c>
      <c r="L1181" t="inlineStr">
        <is>
          <t>iki-OK-arasi-monotonluk</t>
        </is>
      </c>
      <c r="X1181" t="b">
        <v>1</v>
      </c>
      <c r="Z1181" t="n">
        <v>935</v>
      </c>
      <c r="AA1181" t="n">
        <v>2.5</v>
      </c>
      <c r="AB1181" t="n">
        <v>9.5</v>
      </c>
    </row>
    <row r="1182">
      <c r="A1182" t="inlineStr">
        <is>
          <t>2026-09-24 15:50:52</t>
        </is>
      </c>
      <c r="B1182" t="inlineStr">
        <is>
          <t>MLLB_000_y1.0.3</t>
        </is>
      </c>
      <c r="C1182" t="inlineStr">
        <is>
          <t>WHITE</t>
        </is>
      </c>
      <c r="D1182" t="inlineStr">
        <is>
          <t>v4_white_MLLB_000_y103_0924</t>
        </is>
      </c>
      <c r="E1182" t="n">
        <v>3.4</v>
      </c>
      <c r="F1182" t="n">
        <v>3.408</v>
      </c>
      <c r="G1182" t="n">
        <v>100</v>
      </c>
      <c r="H1182" t="n">
        <v>60</v>
      </c>
      <c r="I1182" t="n">
        <v>47</v>
      </c>
      <c r="J1182" t="inlineStr">
        <is>
          <t>ince</t>
        </is>
      </c>
      <c r="K1182" t="b">
        <v>0</v>
      </c>
      <c r="L1182" t="inlineStr">
        <is>
          <t>iki-OK-arasi-monotonluk</t>
        </is>
      </c>
      <c r="X1182" t="b">
        <v>1</v>
      </c>
      <c r="Z1182" t="n">
        <v>935</v>
      </c>
      <c r="AA1182" t="n">
        <v>2.5</v>
      </c>
      <c r="AB1182" t="n">
        <v>9.5</v>
      </c>
    </row>
    <row r="1183">
      <c r="A1183" t="inlineStr">
        <is>
          <t>2026-09-24 15:50:52</t>
        </is>
      </c>
      <c r="B1183" t="inlineStr">
        <is>
          <t>MLLB_000_y1.0.3</t>
        </is>
      </c>
      <c r="C1183" t="inlineStr">
        <is>
          <t>WHITE</t>
        </is>
      </c>
      <c r="D1183" t="inlineStr">
        <is>
          <t>v4_white_MLLB_000_y103_0924</t>
        </is>
      </c>
      <c r="E1183" t="n">
        <v>3.4</v>
      </c>
      <c r="F1183" t="n">
        <v>3.408</v>
      </c>
      <c r="G1183" t="n">
        <v>100</v>
      </c>
      <c r="H1183" t="n">
        <v>60</v>
      </c>
      <c r="I1183" t="n">
        <v>49</v>
      </c>
      <c r="J1183" t="inlineStr">
        <is>
          <t>ince</t>
        </is>
      </c>
      <c r="K1183" t="b">
        <v>0</v>
      </c>
      <c r="L1183" t="inlineStr">
        <is>
          <t>iki-OK-arasi-monotonluk</t>
        </is>
      </c>
      <c r="X1183" t="b">
        <v>1</v>
      </c>
      <c r="Z1183" t="n">
        <v>935</v>
      </c>
      <c r="AA1183" t="n">
        <v>2.5</v>
      </c>
      <c r="AB1183" t="n">
        <v>9.5</v>
      </c>
    </row>
    <row r="1184">
      <c r="A1184" t="inlineStr">
        <is>
          <t>2026-09-24 15:50:52</t>
        </is>
      </c>
      <c r="B1184" t="inlineStr">
        <is>
          <t>MLLB_000_y1.0.3</t>
        </is>
      </c>
      <c r="C1184" t="inlineStr">
        <is>
          <t>WHITE</t>
        </is>
      </c>
      <c r="D1184" t="inlineStr">
        <is>
          <t>v4_white_MLLB_000_y103_0924</t>
        </is>
      </c>
      <c r="E1184" t="n">
        <v>3.4</v>
      </c>
      <c r="F1184" t="n">
        <v>3.408</v>
      </c>
      <c r="G1184" t="n">
        <v>100</v>
      </c>
      <c r="H1184" t="n">
        <v>60</v>
      </c>
      <c r="I1184" t="n">
        <v>50</v>
      </c>
      <c r="J1184" t="inlineStr">
        <is>
          <t>ince</t>
        </is>
      </c>
      <c r="K1184" t="b">
        <v>0</v>
      </c>
      <c r="L1184" t="inlineStr">
        <is>
          <t>iki-OK-arasi-monotonluk</t>
        </is>
      </c>
      <c r="X1184" t="b">
        <v>1</v>
      </c>
      <c r="Z1184" t="n">
        <v>935</v>
      </c>
      <c r="AA1184" t="n">
        <v>2.5</v>
      </c>
      <c r="AB1184" t="n">
        <v>9.5</v>
      </c>
    </row>
    <row r="1185">
      <c r="A1185" t="inlineStr">
        <is>
          <t>2026-09-24 15:50:52</t>
        </is>
      </c>
      <c r="B1185" t="inlineStr">
        <is>
          <t>MLLB_000_y1.0.3</t>
        </is>
      </c>
      <c r="C1185" t="inlineStr">
        <is>
          <t>WHITE</t>
        </is>
      </c>
      <c r="D1185" t="inlineStr">
        <is>
          <t>v4_white_MLLB_000_y103_0924</t>
        </is>
      </c>
      <c r="E1185" t="n">
        <v>3.4</v>
      </c>
      <c r="F1185" t="n">
        <v>3.408</v>
      </c>
      <c r="G1185" t="n">
        <v>100</v>
      </c>
      <c r="H1185" t="n">
        <v>60</v>
      </c>
      <c r="I1185" t="n">
        <v>51</v>
      </c>
      <c r="J1185" t="inlineStr">
        <is>
          <t>ince</t>
        </is>
      </c>
      <c r="K1185" t="b">
        <v>0</v>
      </c>
      <c r="L1185" t="inlineStr">
        <is>
          <t>iki-OK-arasi-monotonluk</t>
        </is>
      </c>
      <c r="X1185" t="b">
        <v>1</v>
      </c>
      <c r="Z1185" t="n">
        <v>935</v>
      </c>
      <c r="AA1185" t="n">
        <v>2.5</v>
      </c>
      <c r="AB1185" t="n">
        <v>9.5</v>
      </c>
    </row>
    <row r="1186">
      <c r="A1186" t="inlineStr">
        <is>
          <t>2026-09-24 15:50:52</t>
        </is>
      </c>
      <c r="B1186" t="inlineStr">
        <is>
          <t>MLLB_000_y1.0.3</t>
        </is>
      </c>
      <c r="C1186" t="inlineStr">
        <is>
          <t>WHITE</t>
        </is>
      </c>
      <c r="D1186" t="inlineStr">
        <is>
          <t>v4_white_MLLB_000_y103_0924</t>
        </is>
      </c>
      <c r="E1186" t="n">
        <v>3.4</v>
      </c>
      <c r="F1186" t="n">
        <v>3.408</v>
      </c>
      <c r="G1186" t="n">
        <v>100</v>
      </c>
      <c r="H1186" t="n">
        <v>60</v>
      </c>
      <c r="I1186" t="n">
        <v>53</v>
      </c>
      <c r="J1186" t="inlineStr">
        <is>
          <t>ince</t>
        </is>
      </c>
      <c r="K1186" t="b">
        <v>0</v>
      </c>
      <c r="L1186" t="inlineStr">
        <is>
          <t>iki-OK-arasi-monotonluk</t>
        </is>
      </c>
      <c r="X1186" t="b">
        <v>1</v>
      </c>
      <c r="Z1186" t="n">
        <v>935</v>
      </c>
      <c r="AA1186" t="n">
        <v>2.5</v>
      </c>
      <c r="AB1186" t="n">
        <v>9.5</v>
      </c>
    </row>
    <row r="1187">
      <c r="A1187" t="inlineStr">
        <is>
          <t>2026-09-24 15:50:52</t>
        </is>
      </c>
      <c r="B1187" t="inlineStr">
        <is>
          <t>MLLB_000_y1.0.3</t>
        </is>
      </c>
      <c r="C1187" t="inlineStr">
        <is>
          <t>WHITE</t>
        </is>
      </c>
      <c r="D1187" t="inlineStr">
        <is>
          <t>v4_white_MLLB_000_y103_0924</t>
        </is>
      </c>
      <c r="E1187" t="n">
        <v>3.4</v>
      </c>
      <c r="F1187" t="n">
        <v>3.408</v>
      </c>
      <c r="G1187" t="n">
        <v>100</v>
      </c>
      <c r="H1187" t="n">
        <v>60</v>
      </c>
      <c r="I1187" t="n">
        <v>54</v>
      </c>
      <c r="J1187" t="inlineStr">
        <is>
          <t>ince</t>
        </is>
      </c>
      <c r="K1187" t="b">
        <v>0</v>
      </c>
      <c r="L1187" t="inlineStr">
        <is>
          <t>iki-OK-arasi-monotonluk</t>
        </is>
      </c>
      <c r="X1187" t="b">
        <v>1</v>
      </c>
      <c r="Z1187" t="n">
        <v>935</v>
      </c>
      <c r="AA1187" t="n">
        <v>2.5</v>
      </c>
      <c r="AB1187" t="n">
        <v>9.5</v>
      </c>
    </row>
    <row r="1188">
      <c r="A1188" t="inlineStr">
        <is>
          <t>2026-09-24 15:50:52</t>
        </is>
      </c>
      <c r="B1188" t="inlineStr">
        <is>
          <t>MLLB_000_y1.0.3</t>
        </is>
      </c>
      <c r="C1188" t="inlineStr">
        <is>
          <t>WHITE</t>
        </is>
      </c>
      <c r="D1188" t="inlineStr">
        <is>
          <t>v4_white_MLLB_000_y103_0924</t>
        </is>
      </c>
      <c r="E1188" t="n">
        <v>3.4</v>
      </c>
      <c r="F1188" t="n">
        <v>3.408</v>
      </c>
      <c r="G1188" t="n">
        <v>100</v>
      </c>
      <c r="H1188" t="n">
        <v>60</v>
      </c>
      <c r="I1188" t="n">
        <v>55</v>
      </c>
      <c r="J1188" t="inlineStr">
        <is>
          <t>ince</t>
        </is>
      </c>
      <c r="K1188" t="b">
        <v>0</v>
      </c>
      <c r="L1188" t="inlineStr">
        <is>
          <t>iki-OK-arasi-monotonluk</t>
        </is>
      </c>
      <c r="X1188" t="b">
        <v>1</v>
      </c>
      <c r="Z1188" t="n">
        <v>935</v>
      </c>
      <c r="AA1188" t="n">
        <v>2.5</v>
      </c>
      <c r="AB1188" t="n">
        <v>9.5</v>
      </c>
    </row>
    <row r="1189">
      <c r="A1189" t="inlineStr">
        <is>
          <t>2026-09-24 15:50:52</t>
        </is>
      </c>
      <c r="B1189" t="inlineStr">
        <is>
          <t>MLLB_000_y1.0.3</t>
        </is>
      </c>
      <c r="C1189" t="inlineStr">
        <is>
          <t>WHITE</t>
        </is>
      </c>
      <c r="D1189" t="inlineStr">
        <is>
          <t>v4_white_MLLB_000_y103_0924</t>
        </is>
      </c>
      <c r="E1189" t="n">
        <v>3.4</v>
      </c>
      <c r="F1189" t="n">
        <v>3.408</v>
      </c>
      <c r="G1189" t="n">
        <v>100</v>
      </c>
      <c r="H1189" t="n">
        <v>60</v>
      </c>
      <c r="I1189" t="n">
        <v>57</v>
      </c>
      <c r="J1189" t="inlineStr">
        <is>
          <t>ince</t>
        </is>
      </c>
      <c r="K1189" t="b">
        <v>0</v>
      </c>
      <c r="L1189" t="inlineStr">
        <is>
          <t>iki-OK-arasi-monotonluk</t>
        </is>
      </c>
      <c r="X1189" t="b">
        <v>1</v>
      </c>
      <c r="Z1189" t="n">
        <v>935</v>
      </c>
      <c r="AA1189" t="n">
        <v>2.5</v>
      </c>
      <c r="AB1189" t="n">
        <v>9.5</v>
      </c>
    </row>
    <row r="1190">
      <c r="A1190" t="inlineStr">
        <is>
          <t>2026-09-24 15:50:52</t>
        </is>
      </c>
      <c r="B1190" t="inlineStr">
        <is>
          <t>MLLB_000_y1.0.3</t>
        </is>
      </c>
      <c r="C1190" t="inlineStr">
        <is>
          <t>WHITE</t>
        </is>
      </c>
      <c r="D1190" t="inlineStr">
        <is>
          <t>v4_white_MLLB_000_y103_0924</t>
        </is>
      </c>
      <c r="E1190" t="n">
        <v>3.4</v>
      </c>
      <c r="F1190" t="n">
        <v>3.408</v>
      </c>
      <c r="G1190" t="n">
        <v>100</v>
      </c>
      <c r="H1190" t="n">
        <v>60</v>
      </c>
      <c r="J1190" t="inlineStr">
        <is>
          <t>bitti</t>
        </is>
      </c>
      <c r="K1190" t="b">
        <v>0</v>
      </c>
      <c r="Z1190" t="n">
        <v>935</v>
      </c>
      <c r="AA1190" t="n">
        <v>2.5</v>
      </c>
      <c r="AB1190" t="n">
        <v>9.5</v>
      </c>
    </row>
    <row r="1191">
      <c r="A1191" t="inlineStr">
        <is>
          <t>2026-09-24 15:51:22</t>
        </is>
      </c>
      <c r="B1191" t="inlineStr">
        <is>
          <t>MLLB_000_y1.0.3</t>
        </is>
      </c>
      <c r="C1191" t="inlineStr">
        <is>
          <t>WHITE</t>
        </is>
      </c>
      <c r="D1191" t="inlineStr">
        <is>
          <t>v4_white_MLLB_000_y103_0924</t>
        </is>
      </c>
      <c r="E1191" t="n">
        <v>3.2</v>
      </c>
      <c r="F1191" t="n">
        <v>3.208</v>
      </c>
      <c r="G1191" t="n">
        <v>6</v>
      </c>
      <c r="H1191" t="n">
        <v>100</v>
      </c>
      <c r="I1191" t="n">
        <v>12</v>
      </c>
      <c r="J1191" t="inlineStr">
        <is>
          <t>kaba</t>
        </is>
      </c>
      <c r="K1191" t="b">
        <v>1</v>
      </c>
      <c r="M1191" t="n">
        <v>332</v>
      </c>
      <c r="N1191" t="n">
        <v>48</v>
      </c>
      <c r="O1191" t="n">
        <v>304</v>
      </c>
      <c r="P1191" t="n">
        <v>670</v>
      </c>
      <c r="Q1191" t="n">
        <v>1002</v>
      </c>
      <c r="R1191" t="n">
        <v>1.105</v>
      </c>
      <c r="S1191" t="n">
        <v>10.417</v>
      </c>
      <c r="T1191" t="n">
        <v>9.423</v>
      </c>
      <c r="U1191" t="n">
        <v>0.7781</v>
      </c>
      <c r="V1191" t="b">
        <v>1</v>
      </c>
      <c r="X1191" t="b">
        <v>0</v>
      </c>
      <c r="Y1191" t="inlineStr">
        <is>
          <t>AKIM</t>
        </is>
      </c>
      <c r="Z1191" t="n">
        <v>935</v>
      </c>
      <c r="AA1191" t="n">
        <v>2.5</v>
      </c>
      <c r="AB1191" t="n">
        <v>9.5</v>
      </c>
    </row>
    <row r="1192">
      <c r="A1192" t="inlineStr">
        <is>
          <t>2026-09-24 15:51:38</t>
        </is>
      </c>
      <c r="B1192" t="inlineStr">
        <is>
          <t>MLLB_000_y1.0.3</t>
        </is>
      </c>
      <c r="C1192" t="inlineStr">
        <is>
          <t>WHITE</t>
        </is>
      </c>
      <c r="D1192" t="inlineStr">
        <is>
          <t>v4_white_MLLB_000_y103_0924</t>
        </is>
      </c>
      <c r="E1192" t="n">
        <v>3.2</v>
      </c>
      <c r="F1192" t="n">
        <v>3.208</v>
      </c>
      <c r="G1192" t="n">
        <v>6</v>
      </c>
      <c r="H1192" t="n">
        <v>100</v>
      </c>
      <c r="I1192" t="n">
        <v>16</v>
      </c>
      <c r="J1192" t="inlineStr">
        <is>
          <t>kaba</t>
        </is>
      </c>
      <c r="K1192" t="b">
        <v>1</v>
      </c>
      <c r="M1192" t="n">
        <v>246</v>
      </c>
      <c r="N1192" t="n">
        <v>44</v>
      </c>
      <c r="O1192" t="n">
        <v>218</v>
      </c>
      <c r="P1192" t="n">
        <v>756</v>
      </c>
      <c r="Q1192" t="n">
        <v>1002</v>
      </c>
      <c r="R1192" t="n">
        <v>1.099</v>
      </c>
      <c r="S1192" t="n">
        <v>10.433</v>
      </c>
      <c r="T1192" t="n">
        <v>9.491</v>
      </c>
      <c r="U1192" t="n">
        <v>0.7785</v>
      </c>
      <c r="V1192" t="b">
        <v>1</v>
      </c>
      <c r="X1192" t="b">
        <v>0</v>
      </c>
      <c r="Y1192" t="inlineStr">
        <is>
          <t>AKIM</t>
        </is>
      </c>
      <c r="Z1192" t="n">
        <v>935</v>
      </c>
      <c r="AA1192" t="n">
        <v>2.5</v>
      </c>
      <c r="AB1192" t="n">
        <v>9.5</v>
      </c>
    </row>
    <row r="1193">
      <c r="A1193" t="inlineStr">
        <is>
          <t>2026-09-24 15:51:54</t>
        </is>
      </c>
      <c r="B1193" t="inlineStr">
        <is>
          <t>MLLB_000_y1.0.3</t>
        </is>
      </c>
      <c r="C1193" t="inlineStr">
        <is>
          <t>WHITE</t>
        </is>
      </c>
      <c r="D1193" t="inlineStr">
        <is>
          <t>v4_white_MLLB_000_y103_0924</t>
        </is>
      </c>
      <c r="E1193" t="n">
        <v>3.2</v>
      </c>
      <c r="F1193" t="n">
        <v>3.208</v>
      </c>
      <c r="G1193" t="n">
        <v>6</v>
      </c>
      <c r="H1193" t="n">
        <v>100</v>
      </c>
      <c r="I1193" t="n">
        <v>20</v>
      </c>
      <c r="J1193" t="inlineStr">
        <is>
          <t>kaba</t>
        </is>
      </c>
      <c r="K1193" t="b">
        <v>1</v>
      </c>
      <c r="M1193" t="n">
        <v>162</v>
      </c>
      <c r="N1193" t="n">
        <v>46</v>
      </c>
      <c r="O1193" t="n">
        <v>132</v>
      </c>
      <c r="P1193" t="n">
        <v>840</v>
      </c>
      <c r="Q1193" t="n">
        <v>1002</v>
      </c>
      <c r="R1193" t="n">
        <v>1.095</v>
      </c>
      <c r="S1193" t="n">
        <v>10.417</v>
      </c>
      <c r="T1193" t="n">
        <v>9.510999999999999</v>
      </c>
      <c r="U1193" t="n">
        <v>0.7778</v>
      </c>
      <c r="V1193" t="b">
        <v>1</v>
      </c>
      <c r="X1193" t="b">
        <v>0</v>
      </c>
      <c r="Y1193" t="inlineStr">
        <is>
          <t>ON</t>
        </is>
      </c>
      <c r="Z1193" t="n">
        <v>935</v>
      </c>
      <c r="AA1193" t="n">
        <v>2.5</v>
      </c>
      <c r="AB1193" t="n">
        <v>9.5</v>
      </c>
    </row>
    <row r="1194">
      <c r="A1194" t="inlineStr">
        <is>
          <t>2026-09-24 15:52:10</t>
        </is>
      </c>
      <c r="B1194" t="inlineStr">
        <is>
          <t>MLLB_000_y1.0.3</t>
        </is>
      </c>
      <c r="C1194" t="inlineStr">
        <is>
          <t>WHITE</t>
        </is>
      </c>
      <c r="D1194" t="inlineStr">
        <is>
          <t>v4_white_MLLB_000_y103_0924</t>
        </is>
      </c>
      <c r="E1194" t="n">
        <v>3.2</v>
      </c>
      <c r="F1194" t="n">
        <v>3.208</v>
      </c>
      <c r="G1194" t="n">
        <v>6</v>
      </c>
      <c r="H1194" t="n">
        <v>100</v>
      </c>
      <c r="I1194" t="n">
        <v>24</v>
      </c>
      <c r="J1194" t="inlineStr">
        <is>
          <t>kaba</t>
        </is>
      </c>
      <c r="K1194" t="b">
        <v>1</v>
      </c>
      <c r="M1194" t="n">
        <v>72</v>
      </c>
      <c r="N1194" t="n">
        <v>48</v>
      </c>
      <c r="O1194" t="n">
        <v>42</v>
      </c>
      <c r="P1194" t="n">
        <v>930</v>
      </c>
      <c r="Q1194" t="n">
        <v>1002</v>
      </c>
      <c r="R1194" t="n">
        <v>1.091</v>
      </c>
      <c r="S1194" t="n">
        <v>10.417</v>
      </c>
      <c r="T1194" t="n">
        <v>9.547000000000001</v>
      </c>
      <c r="U1194" t="n">
        <v>0.7775</v>
      </c>
      <c r="V1194" t="b">
        <v>1</v>
      </c>
      <c r="X1194" t="b">
        <v>0</v>
      </c>
      <c r="Y1194" t="inlineStr">
        <is>
          <t>ON</t>
        </is>
      </c>
      <c r="Z1194" t="n">
        <v>935</v>
      </c>
      <c r="AA1194" t="n">
        <v>2.5</v>
      </c>
      <c r="AB1194" t="n">
        <v>9.5</v>
      </c>
    </row>
    <row r="1195">
      <c r="A1195" t="inlineStr">
        <is>
          <t>2026-09-24 15:52:26</t>
        </is>
      </c>
      <c r="B1195" t="inlineStr">
        <is>
          <t>MLLB_000_y1.0.3</t>
        </is>
      </c>
      <c r="C1195" t="inlineStr">
        <is>
          <t>WHITE</t>
        </is>
      </c>
      <c r="D1195" t="inlineStr">
        <is>
          <t>v4_white_MLLB_000_y103_0924</t>
        </is>
      </c>
      <c r="E1195" t="n">
        <v>3.2</v>
      </c>
      <c r="F1195" t="n">
        <v>3.208</v>
      </c>
      <c r="G1195" t="n">
        <v>6</v>
      </c>
      <c r="H1195" t="n">
        <v>100</v>
      </c>
      <c r="I1195" t="n">
        <v>28</v>
      </c>
      <c r="J1195" t="inlineStr">
        <is>
          <t>kaba</t>
        </is>
      </c>
      <c r="K1195" t="b">
        <v>1</v>
      </c>
      <c r="M1195" t="n">
        <v>34</v>
      </c>
      <c r="N1195" t="n">
        <v>28</v>
      </c>
      <c r="O1195" t="n">
        <v>14</v>
      </c>
      <c r="P1195" t="n">
        <v>968</v>
      </c>
      <c r="Q1195" t="n">
        <v>1002</v>
      </c>
      <c r="R1195" t="n">
        <v>2.139</v>
      </c>
      <c r="S1195" t="n">
        <v>20.412</v>
      </c>
      <c r="T1195" t="n">
        <v>9.544</v>
      </c>
      <c r="U1195" t="n">
        <v>0.7783</v>
      </c>
      <c r="V1195" t="b">
        <v>1</v>
      </c>
      <c r="X1195" t="b">
        <v>1</v>
      </c>
      <c r="Z1195" t="n">
        <v>935</v>
      </c>
      <c r="AA1195" t="n">
        <v>2.5</v>
      </c>
      <c r="AB1195" t="n">
        <v>9.5</v>
      </c>
    </row>
    <row r="1196">
      <c r="A1196" t="inlineStr">
        <is>
          <t>2026-09-24 15:52:42</t>
        </is>
      </c>
      <c r="B1196" t="inlineStr">
        <is>
          <t>MLLB_000_y1.0.3</t>
        </is>
      </c>
      <c r="C1196" t="inlineStr">
        <is>
          <t>WHITE</t>
        </is>
      </c>
      <c r="D1196" t="inlineStr">
        <is>
          <t>v4_white_MLLB_000_y103_0924</t>
        </is>
      </c>
      <c r="E1196" t="n">
        <v>3.2</v>
      </c>
      <c r="F1196" t="n">
        <v>3.208</v>
      </c>
      <c r="G1196" t="n">
        <v>6</v>
      </c>
      <c r="H1196" t="n">
        <v>100</v>
      </c>
      <c r="I1196" t="n">
        <v>32</v>
      </c>
      <c r="J1196" t="inlineStr">
        <is>
          <t>kaba</t>
        </is>
      </c>
      <c r="K1196" t="b">
        <v>1</v>
      </c>
      <c r="M1196" t="n">
        <v>34</v>
      </c>
      <c r="N1196" t="n">
        <v>28</v>
      </c>
      <c r="O1196" t="n">
        <v>14</v>
      </c>
      <c r="P1196" t="n">
        <v>968</v>
      </c>
      <c r="Q1196" t="n">
        <v>1002</v>
      </c>
      <c r="R1196" t="n">
        <v>19.444</v>
      </c>
      <c r="S1196" t="n">
        <v>185.572</v>
      </c>
      <c r="T1196" t="n">
        <v>9.544</v>
      </c>
      <c r="U1196" t="n">
        <v>0.7778</v>
      </c>
      <c r="V1196" t="b">
        <v>1</v>
      </c>
      <c r="X1196" t="b">
        <v>0</v>
      </c>
      <c r="Y1196" t="inlineStr">
        <is>
          <t>FLAS</t>
        </is>
      </c>
      <c r="Z1196" t="n">
        <v>935</v>
      </c>
      <c r="AA1196" t="n">
        <v>2.5</v>
      </c>
      <c r="AB1196" t="n">
        <v>9.5</v>
      </c>
    </row>
    <row r="1197">
      <c r="A1197" t="inlineStr">
        <is>
          <t>2026-09-24 15:52:58</t>
        </is>
      </c>
      <c r="B1197" t="inlineStr">
        <is>
          <t>MLLB_000_y1.0.3</t>
        </is>
      </c>
      <c r="C1197" t="inlineStr">
        <is>
          <t>WHITE</t>
        </is>
      </c>
      <c r="D1197" t="inlineStr">
        <is>
          <t>v4_white_MLLB_000_y103_0924</t>
        </is>
      </c>
      <c r="E1197" t="n">
        <v>3.2</v>
      </c>
      <c r="F1197" t="n">
        <v>3.208</v>
      </c>
      <c r="G1197" t="n">
        <v>6</v>
      </c>
      <c r="H1197" t="n">
        <v>100</v>
      </c>
      <c r="I1197" t="n">
        <v>25</v>
      </c>
      <c r="J1197" t="inlineStr">
        <is>
          <t>ince</t>
        </is>
      </c>
      <c r="K1197" t="b">
        <v>1</v>
      </c>
      <c r="M1197" t="n">
        <v>50</v>
      </c>
      <c r="N1197" t="n">
        <v>46</v>
      </c>
      <c r="O1197" t="n">
        <v>20</v>
      </c>
      <c r="P1197" t="n">
        <v>952</v>
      </c>
      <c r="Q1197" t="n">
        <v>1002</v>
      </c>
      <c r="R1197" t="n">
        <v>1.09</v>
      </c>
      <c r="S1197" t="n">
        <v>10.417</v>
      </c>
      <c r="T1197" t="n">
        <v>9.554</v>
      </c>
      <c r="U1197" t="n">
        <v>0.7774</v>
      </c>
      <c r="V1197" t="b">
        <v>1</v>
      </c>
      <c r="X1197" t="b">
        <v>1</v>
      </c>
      <c r="Z1197" t="n">
        <v>935</v>
      </c>
      <c r="AA1197" t="n">
        <v>2.5</v>
      </c>
      <c r="AB1197" t="n">
        <v>9.5</v>
      </c>
    </row>
    <row r="1198">
      <c r="A1198" t="inlineStr">
        <is>
          <t>2026-09-24 15:53:13</t>
        </is>
      </c>
      <c r="B1198" t="inlineStr">
        <is>
          <t>MLLB_000_y1.0.3</t>
        </is>
      </c>
      <c r="C1198" t="inlineStr">
        <is>
          <t>WHITE</t>
        </is>
      </c>
      <c r="D1198" t="inlineStr">
        <is>
          <t>v4_white_MLLB_000_y103_0924</t>
        </is>
      </c>
      <c r="E1198" t="n">
        <v>3.2</v>
      </c>
      <c r="F1198" t="n">
        <v>3.208</v>
      </c>
      <c r="G1198" t="n">
        <v>6</v>
      </c>
      <c r="H1198" t="n">
        <v>100</v>
      </c>
      <c r="I1198" t="n">
        <v>26</v>
      </c>
      <c r="J1198" t="inlineStr">
        <is>
          <t>ince</t>
        </is>
      </c>
      <c r="K1198" t="b">
        <v>1</v>
      </c>
      <c r="M1198" t="n">
        <v>34</v>
      </c>
      <c r="N1198" t="n">
        <v>28</v>
      </c>
      <c r="O1198" t="n">
        <v>14</v>
      </c>
      <c r="P1198" t="n">
        <v>968</v>
      </c>
      <c r="Q1198" t="n">
        <v>1002</v>
      </c>
      <c r="R1198" t="n">
        <v>1.09</v>
      </c>
      <c r="S1198" t="n">
        <v>10.417</v>
      </c>
      <c r="T1198" t="n">
        <v>9.555</v>
      </c>
      <c r="U1198" t="n">
        <v>0.7778</v>
      </c>
      <c r="V1198" t="b">
        <v>1</v>
      </c>
      <c r="X1198" t="b">
        <v>1</v>
      </c>
      <c r="Z1198" t="n">
        <v>935</v>
      </c>
      <c r="AA1198" t="n">
        <v>2.5</v>
      </c>
      <c r="AB1198" t="n">
        <v>9.5</v>
      </c>
    </row>
    <row r="1199">
      <c r="A1199" t="inlineStr">
        <is>
          <t>2026-09-24 15:53:30</t>
        </is>
      </c>
      <c r="B1199" t="inlineStr">
        <is>
          <t>MLLB_000_y1.0.3</t>
        </is>
      </c>
      <c r="C1199" t="inlineStr">
        <is>
          <t>WHITE</t>
        </is>
      </c>
      <c r="D1199" t="inlineStr">
        <is>
          <t>v4_white_MLLB_000_y103_0924</t>
        </is>
      </c>
      <c r="E1199" t="n">
        <v>3.2</v>
      </c>
      <c r="F1199" t="n">
        <v>3.208</v>
      </c>
      <c r="G1199" t="n">
        <v>6</v>
      </c>
      <c r="H1199" t="n">
        <v>100</v>
      </c>
      <c r="I1199" t="n">
        <v>27</v>
      </c>
      <c r="J1199" t="inlineStr">
        <is>
          <t>ince</t>
        </is>
      </c>
      <c r="K1199" t="b">
        <v>1</v>
      </c>
      <c r="M1199" t="n">
        <v>34</v>
      </c>
      <c r="N1199" t="n">
        <v>28</v>
      </c>
      <c r="O1199" t="n">
        <v>14</v>
      </c>
      <c r="P1199" t="n">
        <v>968</v>
      </c>
      <c r="Q1199" t="n">
        <v>1002</v>
      </c>
      <c r="R1199" t="n">
        <v>1.477</v>
      </c>
      <c r="S1199" t="n">
        <v>14.114</v>
      </c>
      <c r="T1199" t="n">
        <v>9.557</v>
      </c>
      <c r="U1199" t="n">
        <v>0.7778</v>
      </c>
      <c r="V1199" t="b">
        <v>1</v>
      </c>
      <c r="X1199" t="b">
        <v>1</v>
      </c>
      <c r="Z1199" t="n">
        <v>935</v>
      </c>
      <c r="AA1199" t="n">
        <v>2.5</v>
      </c>
      <c r="AB1199" t="n">
        <v>9.5</v>
      </c>
    </row>
    <row r="1200">
      <c r="A1200" t="inlineStr">
        <is>
          <t>2026-09-24 15:53:46</t>
        </is>
      </c>
      <c r="B1200" t="inlineStr">
        <is>
          <t>MLLB_000_y1.0.3</t>
        </is>
      </c>
      <c r="C1200" t="inlineStr">
        <is>
          <t>WHITE</t>
        </is>
      </c>
      <c r="D1200" t="inlineStr">
        <is>
          <t>v4_white_MLLB_000_y103_0924</t>
        </is>
      </c>
      <c r="E1200" t="n">
        <v>3.2</v>
      </c>
      <c r="F1200" t="n">
        <v>3.208</v>
      </c>
      <c r="G1200" t="n">
        <v>6</v>
      </c>
      <c r="H1200" t="n">
        <v>100</v>
      </c>
      <c r="I1200" t="n">
        <v>29</v>
      </c>
      <c r="J1200" t="inlineStr">
        <is>
          <t>ince</t>
        </is>
      </c>
      <c r="K1200" t="b">
        <v>1</v>
      </c>
      <c r="M1200" t="n">
        <v>34</v>
      </c>
      <c r="N1200" t="n">
        <v>28</v>
      </c>
      <c r="O1200" t="n">
        <v>14</v>
      </c>
      <c r="P1200" t="n">
        <v>968</v>
      </c>
      <c r="Q1200" t="n">
        <v>1002</v>
      </c>
      <c r="R1200" t="n">
        <v>6.356</v>
      </c>
      <c r="S1200" t="n">
        <v>60.676</v>
      </c>
      <c r="T1200" t="n">
        <v>9.545999999999999</v>
      </c>
      <c r="U1200" t="n">
        <v>0.7783</v>
      </c>
      <c r="V1200" t="b">
        <v>1</v>
      </c>
      <c r="X1200" t="b">
        <v>0</v>
      </c>
      <c r="Y1200" t="inlineStr">
        <is>
          <t>FLAS</t>
        </is>
      </c>
      <c r="Z1200" t="n">
        <v>935</v>
      </c>
      <c r="AA1200" t="n">
        <v>2.5</v>
      </c>
      <c r="AB1200" t="n">
        <v>9.5</v>
      </c>
    </row>
    <row r="1201">
      <c r="A1201" t="inlineStr">
        <is>
          <t>2026-09-24 15:54:02</t>
        </is>
      </c>
      <c r="B1201" t="inlineStr">
        <is>
          <t>MLLB_000_y1.0.3</t>
        </is>
      </c>
      <c r="C1201" t="inlineStr">
        <is>
          <t>WHITE</t>
        </is>
      </c>
      <c r="D1201" t="inlineStr">
        <is>
          <t>v4_white_MLLB_000_y103_0924</t>
        </is>
      </c>
      <c r="E1201" t="n">
        <v>3.2</v>
      </c>
      <c r="F1201" t="n">
        <v>3.208</v>
      </c>
      <c r="G1201" t="n">
        <v>6</v>
      </c>
      <c r="H1201" t="n">
        <v>100</v>
      </c>
      <c r="I1201" t="n">
        <v>30</v>
      </c>
      <c r="J1201" t="inlineStr">
        <is>
          <t>ince</t>
        </is>
      </c>
      <c r="K1201" t="b">
        <v>1</v>
      </c>
      <c r="M1201" t="n">
        <v>34</v>
      </c>
      <c r="N1201" t="n">
        <v>28</v>
      </c>
      <c r="O1201" t="n">
        <v>14</v>
      </c>
      <c r="P1201" t="n">
        <v>968</v>
      </c>
      <c r="Q1201" t="n">
        <v>1002</v>
      </c>
      <c r="R1201" t="n">
        <v>13.212</v>
      </c>
      <c r="S1201" t="n">
        <v>126.325</v>
      </c>
      <c r="T1201" t="n">
        <v>9.561</v>
      </c>
      <c r="U1201" t="n">
        <v>0.7778</v>
      </c>
      <c r="V1201" t="b">
        <v>1</v>
      </c>
      <c r="X1201" t="b">
        <v>0</v>
      </c>
      <c r="Y1201" t="inlineStr">
        <is>
          <t>FLAS</t>
        </is>
      </c>
      <c r="Z1201" t="n">
        <v>935</v>
      </c>
      <c r="AA1201" t="n">
        <v>2.5</v>
      </c>
      <c r="AB1201" t="n">
        <v>9.5</v>
      </c>
    </row>
    <row r="1202">
      <c r="A1202" t="inlineStr">
        <is>
          <t>2026-09-24 15:54:18</t>
        </is>
      </c>
      <c r="B1202" t="inlineStr">
        <is>
          <t>MLLB_000_y1.0.3</t>
        </is>
      </c>
      <c r="C1202" t="inlineStr">
        <is>
          <t>WHITE</t>
        </is>
      </c>
      <c r="D1202" t="inlineStr">
        <is>
          <t>v4_white_MLLB_000_y103_0924</t>
        </is>
      </c>
      <c r="E1202" t="n">
        <v>3.2</v>
      </c>
      <c r="F1202" t="n">
        <v>3.208</v>
      </c>
      <c r="G1202" t="n">
        <v>6</v>
      </c>
      <c r="H1202" t="n">
        <v>100</v>
      </c>
      <c r="I1202" t="n">
        <v>31</v>
      </c>
      <c r="J1202" t="inlineStr">
        <is>
          <t>ince</t>
        </is>
      </c>
      <c r="K1202" t="b">
        <v>1</v>
      </c>
      <c r="M1202" t="n">
        <v>34</v>
      </c>
      <c r="N1202" t="n">
        <v>28</v>
      </c>
      <c r="O1202" t="n">
        <v>14</v>
      </c>
      <c r="P1202" t="n">
        <v>968</v>
      </c>
      <c r="Q1202" t="n">
        <v>1002</v>
      </c>
      <c r="R1202" t="n">
        <v>18.117</v>
      </c>
      <c r="S1202" t="n">
        <v>173.371</v>
      </c>
      <c r="T1202" t="n">
        <v>9.569000000000001</v>
      </c>
      <c r="U1202" t="n">
        <v>0.7779</v>
      </c>
      <c r="V1202" t="b">
        <v>1</v>
      </c>
      <c r="X1202" t="b">
        <v>0</v>
      </c>
      <c r="Y1202" t="inlineStr">
        <is>
          <t>FLAS</t>
        </is>
      </c>
      <c r="Z1202" t="n">
        <v>935</v>
      </c>
      <c r="AA1202" t="n">
        <v>2.5</v>
      </c>
      <c r="AB1202" t="n">
        <v>9.5</v>
      </c>
    </row>
    <row r="1203">
      <c r="A1203" t="inlineStr">
        <is>
          <t>2026-09-24 15:54:18</t>
        </is>
      </c>
      <c r="B1203" t="inlineStr">
        <is>
          <t>MLLB_000_y1.0.3</t>
        </is>
      </c>
      <c r="C1203" t="inlineStr">
        <is>
          <t>WHITE</t>
        </is>
      </c>
      <c r="D1203" t="inlineStr">
        <is>
          <t>v4_white_MLLB_000_y103_0924</t>
        </is>
      </c>
      <c r="E1203" t="n">
        <v>3.2</v>
      </c>
      <c r="F1203" t="n">
        <v>3.208</v>
      </c>
      <c r="G1203" t="n">
        <v>6</v>
      </c>
      <c r="H1203" t="n">
        <v>100</v>
      </c>
      <c r="J1203" t="inlineStr">
        <is>
          <t>bitti</t>
        </is>
      </c>
      <c r="K1203" t="b">
        <v>0</v>
      </c>
      <c r="Z1203" t="n">
        <v>935</v>
      </c>
      <c r="AA1203" t="n">
        <v>2.5</v>
      </c>
      <c r="AB1203" t="n">
        <v>9.5</v>
      </c>
    </row>
    <row r="1204">
      <c r="A1204" t="inlineStr">
        <is>
          <t>2026-09-24 15:54:34</t>
        </is>
      </c>
      <c r="B1204" t="inlineStr">
        <is>
          <t>MLLB_000_y1.0.3</t>
        </is>
      </c>
      <c r="C1204" t="inlineStr">
        <is>
          <t>WHITE</t>
        </is>
      </c>
      <c r="D1204" t="inlineStr">
        <is>
          <t>v4_white_MLLB_000_y103_0924</t>
        </is>
      </c>
      <c r="E1204" t="n">
        <v>3.2</v>
      </c>
      <c r="F1204" t="n">
        <v>3.208</v>
      </c>
      <c r="G1204" t="n">
        <v>6</v>
      </c>
      <c r="H1204" t="n">
        <v>80</v>
      </c>
      <c r="I1204" t="n">
        <v>12</v>
      </c>
      <c r="J1204" t="inlineStr">
        <is>
          <t>kaba</t>
        </is>
      </c>
      <c r="K1204" t="b">
        <v>1</v>
      </c>
      <c r="M1204" t="n">
        <v>374</v>
      </c>
      <c r="N1204" t="n">
        <v>50</v>
      </c>
      <c r="O1204" t="n">
        <v>346</v>
      </c>
      <c r="P1204" t="n">
        <v>628</v>
      </c>
      <c r="Q1204" t="n">
        <v>1002</v>
      </c>
      <c r="R1204" t="n">
        <v>1.108</v>
      </c>
      <c r="S1204" t="n">
        <v>10.417</v>
      </c>
      <c r="T1204" t="n">
        <v>9.404</v>
      </c>
      <c r="U1204" t="n">
        <v>0.7778</v>
      </c>
      <c r="V1204" t="b">
        <v>1</v>
      </c>
      <c r="X1204" t="b">
        <v>0</v>
      </c>
      <c r="Y1204" t="inlineStr">
        <is>
          <t>AKIM</t>
        </is>
      </c>
      <c r="Z1204" t="n">
        <v>935</v>
      </c>
      <c r="AA1204" t="n">
        <v>2.5</v>
      </c>
      <c r="AB1204" t="n">
        <v>9.5</v>
      </c>
    </row>
    <row r="1205">
      <c r="A1205" t="inlineStr">
        <is>
          <t>2026-09-24 15:54:50</t>
        </is>
      </c>
      <c r="B1205" t="inlineStr">
        <is>
          <t>MLLB_000_y1.0.3</t>
        </is>
      </c>
      <c r="C1205" t="inlineStr">
        <is>
          <t>WHITE</t>
        </is>
      </c>
      <c r="D1205" t="inlineStr">
        <is>
          <t>v4_white_MLLB_000_y103_0924</t>
        </is>
      </c>
      <c r="E1205" t="n">
        <v>3.2</v>
      </c>
      <c r="F1205" t="n">
        <v>3.208</v>
      </c>
      <c r="G1205" t="n">
        <v>6</v>
      </c>
      <c r="H1205" t="n">
        <v>80</v>
      </c>
      <c r="I1205" t="n">
        <v>16</v>
      </c>
      <c r="J1205" t="inlineStr">
        <is>
          <t>kaba</t>
        </is>
      </c>
      <c r="K1205" t="b">
        <v>1</v>
      </c>
      <c r="M1205" t="n">
        <v>306</v>
      </c>
      <c r="N1205" t="n">
        <v>48</v>
      </c>
      <c r="O1205" t="n">
        <v>278</v>
      </c>
      <c r="P1205" t="n">
        <v>696</v>
      </c>
      <c r="Q1205" t="n">
        <v>1002</v>
      </c>
      <c r="R1205" t="n">
        <v>1.104</v>
      </c>
      <c r="S1205" t="n">
        <v>10.417</v>
      </c>
      <c r="T1205" t="n">
        <v>9.438000000000001</v>
      </c>
      <c r="U1205" t="n">
        <v>0.7783</v>
      </c>
      <c r="V1205" t="b">
        <v>1</v>
      </c>
      <c r="X1205" t="b">
        <v>0</v>
      </c>
      <c r="Y1205" t="inlineStr">
        <is>
          <t>AKIM</t>
        </is>
      </c>
      <c r="Z1205" t="n">
        <v>935</v>
      </c>
      <c r="AA1205" t="n">
        <v>2.5</v>
      </c>
      <c r="AB1205" t="n">
        <v>9.5</v>
      </c>
    </row>
    <row r="1206">
      <c r="A1206" t="inlineStr">
        <is>
          <t>2026-09-24 15:55:06</t>
        </is>
      </c>
      <c r="B1206" t="inlineStr">
        <is>
          <t>MLLB_000_y1.0.3</t>
        </is>
      </c>
      <c r="C1206" t="inlineStr">
        <is>
          <t>WHITE</t>
        </is>
      </c>
      <c r="D1206" t="inlineStr">
        <is>
          <t>v4_white_MLLB_000_y103_0924</t>
        </is>
      </c>
      <c r="E1206" t="n">
        <v>3.2</v>
      </c>
      <c r="F1206" t="n">
        <v>3.208</v>
      </c>
      <c r="G1206" t="n">
        <v>6</v>
      </c>
      <c r="H1206" t="n">
        <v>80</v>
      </c>
      <c r="I1206" t="n">
        <v>20</v>
      </c>
      <c r="J1206" t="inlineStr">
        <is>
          <t>kaba</t>
        </is>
      </c>
      <c r="K1206" t="b">
        <v>1</v>
      </c>
      <c r="M1206" t="n">
        <v>236</v>
      </c>
      <c r="N1206" t="n">
        <v>48</v>
      </c>
      <c r="O1206" t="n">
        <v>206</v>
      </c>
      <c r="P1206" t="n">
        <v>766</v>
      </c>
      <c r="Q1206" t="n">
        <v>1002</v>
      </c>
      <c r="R1206" t="n">
        <v>1.097</v>
      </c>
      <c r="S1206" t="n">
        <v>10.417</v>
      </c>
      <c r="T1206" t="n">
        <v>9.496</v>
      </c>
      <c r="U1206" t="n">
        <v>0.7783</v>
      </c>
      <c r="V1206" t="b">
        <v>1</v>
      </c>
      <c r="X1206" t="b">
        <v>0</v>
      </c>
      <c r="Y1206" t="inlineStr">
        <is>
          <t>AKIM</t>
        </is>
      </c>
      <c r="Z1206" t="n">
        <v>935</v>
      </c>
      <c r="AA1206" t="n">
        <v>2.5</v>
      </c>
      <c r="AB1206" t="n">
        <v>9.5</v>
      </c>
    </row>
    <row r="1207">
      <c r="A1207" t="inlineStr">
        <is>
          <t>2026-09-24 15:55:22</t>
        </is>
      </c>
      <c r="B1207" t="inlineStr">
        <is>
          <t>MLLB_000_y1.0.3</t>
        </is>
      </c>
      <c r="C1207" t="inlineStr">
        <is>
          <t>WHITE</t>
        </is>
      </c>
      <c r="D1207" t="inlineStr">
        <is>
          <t>v4_white_MLLB_000_y103_0924</t>
        </is>
      </c>
      <c r="E1207" t="n">
        <v>3.2</v>
      </c>
      <c r="F1207" t="n">
        <v>3.208</v>
      </c>
      <c r="G1207" t="n">
        <v>6</v>
      </c>
      <c r="H1207" t="n">
        <v>80</v>
      </c>
      <c r="I1207" t="n">
        <v>24</v>
      </c>
      <c r="J1207" t="inlineStr">
        <is>
          <t>kaba</t>
        </is>
      </c>
      <c r="K1207" t="b">
        <v>1</v>
      </c>
      <c r="M1207" t="n">
        <v>166</v>
      </c>
      <c r="N1207" t="n">
        <v>44</v>
      </c>
      <c r="O1207" t="n">
        <v>138</v>
      </c>
      <c r="P1207" t="n">
        <v>836</v>
      </c>
      <c r="Q1207" t="n">
        <v>1002</v>
      </c>
      <c r="R1207" t="n">
        <v>1.095</v>
      </c>
      <c r="S1207" t="n">
        <v>10.417</v>
      </c>
      <c r="T1207" t="n">
        <v>9.516</v>
      </c>
      <c r="U1207" t="n">
        <v>0.7782</v>
      </c>
      <c r="V1207" t="b">
        <v>1</v>
      </c>
      <c r="X1207" t="b">
        <v>0</v>
      </c>
      <c r="Y1207" t="inlineStr">
        <is>
          <t>ON</t>
        </is>
      </c>
      <c r="Z1207" t="n">
        <v>935</v>
      </c>
      <c r="AA1207" t="n">
        <v>2.5</v>
      </c>
      <c r="AB1207" t="n">
        <v>9.5</v>
      </c>
    </row>
    <row r="1208">
      <c r="A1208" t="inlineStr">
        <is>
          <t>2026-09-24 15:55:38</t>
        </is>
      </c>
      <c r="B1208" t="inlineStr">
        <is>
          <t>MLLB_000_y1.0.3</t>
        </is>
      </c>
      <c r="C1208" t="inlineStr">
        <is>
          <t>WHITE</t>
        </is>
      </c>
      <c r="D1208" t="inlineStr">
        <is>
          <t>v4_white_MLLB_000_y103_0924</t>
        </is>
      </c>
      <c r="E1208" t="n">
        <v>3.2</v>
      </c>
      <c r="F1208" t="n">
        <v>3.208</v>
      </c>
      <c r="G1208" t="n">
        <v>6</v>
      </c>
      <c r="H1208" t="n">
        <v>80</v>
      </c>
      <c r="I1208" t="n">
        <v>28</v>
      </c>
      <c r="J1208" t="inlineStr">
        <is>
          <t>kaba</t>
        </is>
      </c>
      <c r="K1208" t="b">
        <v>1</v>
      </c>
      <c r="M1208" t="n">
        <v>94</v>
      </c>
      <c r="N1208" t="n">
        <v>50</v>
      </c>
      <c r="O1208" t="n">
        <v>66</v>
      </c>
      <c r="P1208" t="n">
        <v>908</v>
      </c>
      <c r="Q1208" t="n">
        <v>1002</v>
      </c>
      <c r="R1208" t="n">
        <v>1.09</v>
      </c>
      <c r="S1208" t="n">
        <v>10.373</v>
      </c>
      <c r="T1208" t="n">
        <v>9.518000000000001</v>
      </c>
      <c r="U1208" t="n">
        <v>0.7779</v>
      </c>
      <c r="V1208" t="b">
        <v>1</v>
      </c>
      <c r="X1208" t="b">
        <v>0</v>
      </c>
      <c r="Y1208" t="inlineStr">
        <is>
          <t>ON</t>
        </is>
      </c>
      <c r="Z1208" t="n">
        <v>935</v>
      </c>
      <c r="AA1208" t="n">
        <v>2.5</v>
      </c>
      <c r="AB1208" t="n">
        <v>9.5</v>
      </c>
    </row>
    <row r="1209">
      <c r="A1209" t="inlineStr">
        <is>
          <t>2026-09-24 15:55:54</t>
        </is>
      </c>
      <c r="B1209" t="inlineStr">
        <is>
          <t>MLLB_000_y1.0.3</t>
        </is>
      </c>
      <c r="C1209" t="inlineStr">
        <is>
          <t>WHITE</t>
        </is>
      </c>
      <c r="D1209" t="inlineStr">
        <is>
          <t>v4_white_MLLB_000_y103_0924</t>
        </is>
      </c>
      <c r="E1209" t="n">
        <v>3.2</v>
      </c>
      <c r="F1209" t="n">
        <v>3.208</v>
      </c>
      <c r="G1209" t="n">
        <v>6</v>
      </c>
      <c r="H1209" t="n">
        <v>80</v>
      </c>
      <c r="I1209" t="n">
        <v>32</v>
      </c>
      <c r="J1209" t="inlineStr">
        <is>
          <t>kaba</t>
        </is>
      </c>
      <c r="K1209" t="b">
        <v>1</v>
      </c>
      <c r="M1209" t="n">
        <v>38</v>
      </c>
      <c r="N1209" t="n">
        <v>28</v>
      </c>
      <c r="O1209" t="n">
        <v>18</v>
      </c>
      <c r="P1209" t="n">
        <v>964</v>
      </c>
      <c r="Q1209" t="n">
        <v>1002</v>
      </c>
      <c r="R1209" t="n">
        <v>1.092</v>
      </c>
      <c r="S1209" t="n">
        <v>10.417</v>
      </c>
      <c r="T1209" t="n">
        <v>9.539</v>
      </c>
      <c r="U1209" t="n">
        <v>0.7779</v>
      </c>
      <c r="V1209" t="b">
        <v>1</v>
      </c>
      <c r="X1209" t="b">
        <v>1</v>
      </c>
      <c r="Z1209" t="n">
        <v>935</v>
      </c>
      <c r="AA1209" t="n">
        <v>2.5</v>
      </c>
      <c r="AB1209" t="n">
        <v>9.5</v>
      </c>
    </row>
    <row r="1210">
      <c r="A1210" t="inlineStr">
        <is>
          <t>2026-09-24 15:56:09</t>
        </is>
      </c>
      <c r="B1210" t="inlineStr">
        <is>
          <t>MLLB_000_y1.0.3</t>
        </is>
      </c>
      <c r="C1210" t="inlineStr">
        <is>
          <t>WHITE</t>
        </is>
      </c>
      <c r="D1210" t="inlineStr">
        <is>
          <t>v4_white_MLLB_000_y103_0924</t>
        </is>
      </c>
      <c r="E1210" t="n">
        <v>3.2</v>
      </c>
      <c r="F1210" t="n">
        <v>3.208</v>
      </c>
      <c r="G1210" t="n">
        <v>6</v>
      </c>
      <c r="H1210" t="n">
        <v>80</v>
      </c>
      <c r="I1210" t="n">
        <v>36</v>
      </c>
      <c r="J1210" t="inlineStr">
        <is>
          <t>kaba</t>
        </is>
      </c>
      <c r="K1210" t="b">
        <v>1</v>
      </c>
      <c r="M1210" t="n">
        <v>38</v>
      </c>
      <c r="N1210" t="n">
        <v>28</v>
      </c>
      <c r="O1210" t="n">
        <v>18</v>
      </c>
      <c r="P1210" t="n">
        <v>964</v>
      </c>
      <c r="Q1210" t="n">
        <v>1002</v>
      </c>
      <c r="R1210" t="n">
        <v>11.26</v>
      </c>
      <c r="S1210" t="n">
        <v>107.461</v>
      </c>
      <c r="T1210" t="n">
        <v>9.544</v>
      </c>
      <c r="U1210" t="n">
        <v>0.778</v>
      </c>
      <c r="V1210" t="b">
        <v>1</v>
      </c>
      <c r="X1210" t="b">
        <v>0</v>
      </c>
      <c r="Y1210" t="inlineStr">
        <is>
          <t>FLAS</t>
        </is>
      </c>
      <c r="Z1210" t="n">
        <v>935</v>
      </c>
      <c r="AA1210" t="n">
        <v>2.5</v>
      </c>
      <c r="AB1210" t="n">
        <v>9.5</v>
      </c>
    </row>
    <row r="1211">
      <c r="A1211" t="inlineStr">
        <is>
          <t>2026-09-24 15:56:26</t>
        </is>
      </c>
      <c r="B1211" t="inlineStr">
        <is>
          <t>MLLB_000_y1.0.3</t>
        </is>
      </c>
      <c r="C1211" t="inlineStr">
        <is>
          <t>WHITE</t>
        </is>
      </c>
      <c r="D1211" t="inlineStr">
        <is>
          <t>v4_white_MLLB_000_y103_0924</t>
        </is>
      </c>
      <c r="E1211" t="n">
        <v>3.2</v>
      </c>
      <c r="F1211" t="n">
        <v>3.208</v>
      </c>
      <c r="G1211" t="n">
        <v>6</v>
      </c>
      <c r="H1211" t="n">
        <v>80</v>
      </c>
      <c r="I1211" t="n">
        <v>29</v>
      </c>
      <c r="J1211" t="inlineStr">
        <is>
          <t>ince</t>
        </is>
      </c>
      <c r="K1211" t="b">
        <v>1</v>
      </c>
      <c r="M1211" t="n">
        <v>78</v>
      </c>
      <c r="N1211" t="n">
        <v>48</v>
      </c>
      <c r="O1211" t="n">
        <v>46</v>
      </c>
      <c r="P1211" t="n">
        <v>924</v>
      </c>
      <c r="Q1211" t="n">
        <v>1002</v>
      </c>
      <c r="R1211" t="n">
        <v>1.092</v>
      </c>
      <c r="S1211" t="n">
        <v>10.417</v>
      </c>
      <c r="T1211" t="n">
        <v>9.537000000000001</v>
      </c>
      <c r="U1211" t="n">
        <v>0.7781</v>
      </c>
      <c r="V1211" t="b">
        <v>1</v>
      </c>
      <c r="X1211" t="b">
        <v>0</v>
      </c>
      <c r="Y1211" t="inlineStr">
        <is>
          <t>ON</t>
        </is>
      </c>
      <c r="Z1211" t="n">
        <v>935</v>
      </c>
      <c r="AA1211" t="n">
        <v>2.5</v>
      </c>
      <c r="AB1211" t="n">
        <v>9.5</v>
      </c>
    </row>
    <row r="1212">
      <c r="A1212" t="inlineStr">
        <is>
          <t>2026-09-24 15:56:42</t>
        </is>
      </c>
      <c r="B1212" t="inlineStr">
        <is>
          <t>MLLB_000_y1.0.3</t>
        </is>
      </c>
      <c r="C1212" t="inlineStr">
        <is>
          <t>WHITE</t>
        </is>
      </c>
      <c r="D1212" t="inlineStr">
        <is>
          <t>v4_white_MLLB_000_y103_0924</t>
        </is>
      </c>
      <c r="E1212" t="n">
        <v>3.2</v>
      </c>
      <c r="F1212" t="n">
        <v>3.208</v>
      </c>
      <c r="G1212" t="n">
        <v>6</v>
      </c>
      <c r="H1212" t="n">
        <v>80</v>
      </c>
      <c r="I1212" t="n">
        <v>30</v>
      </c>
      <c r="J1212" t="inlineStr">
        <is>
          <t>ince</t>
        </is>
      </c>
      <c r="K1212" t="b">
        <v>1</v>
      </c>
      <c r="M1212" t="n">
        <v>58</v>
      </c>
      <c r="N1212" t="n">
        <v>48</v>
      </c>
      <c r="O1212" t="n">
        <v>26</v>
      </c>
      <c r="P1212" t="n">
        <v>944</v>
      </c>
      <c r="Q1212" t="n">
        <v>1002</v>
      </c>
      <c r="R1212" t="n">
        <v>1.091</v>
      </c>
      <c r="S1212" t="n">
        <v>10.417</v>
      </c>
      <c r="T1212" t="n">
        <v>9.545</v>
      </c>
      <c r="U1212" t="n">
        <v>0.7779</v>
      </c>
      <c r="V1212" t="b">
        <v>1</v>
      </c>
      <c r="X1212" t="b">
        <v>1</v>
      </c>
      <c r="Z1212" t="n">
        <v>935</v>
      </c>
      <c r="AA1212" t="n">
        <v>2.5</v>
      </c>
      <c r="AB1212" t="n">
        <v>9.5</v>
      </c>
    </row>
    <row r="1213">
      <c r="A1213" t="inlineStr">
        <is>
          <t>2026-09-24 15:56:58</t>
        </is>
      </c>
      <c r="B1213" t="inlineStr">
        <is>
          <t>MLLB_000_y1.0.3</t>
        </is>
      </c>
      <c r="C1213" t="inlineStr">
        <is>
          <t>WHITE</t>
        </is>
      </c>
      <c r="D1213" t="inlineStr">
        <is>
          <t>v4_white_MLLB_000_y103_0924</t>
        </is>
      </c>
      <c r="E1213" t="n">
        <v>3.2</v>
      </c>
      <c r="F1213" t="n">
        <v>3.208</v>
      </c>
      <c r="G1213" t="n">
        <v>6</v>
      </c>
      <c r="H1213" t="n">
        <v>80</v>
      </c>
      <c r="I1213" t="n">
        <v>31</v>
      </c>
      <c r="J1213" t="inlineStr">
        <is>
          <t>ince</t>
        </is>
      </c>
      <c r="K1213" t="b">
        <v>1</v>
      </c>
      <c r="M1213" t="n">
        <v>38</v>
      </c>
      <c r="N1213" t="n">
        <v>38</v>
      </c>
      <c r="O1213" t="n">
        <v>18</v>
      </c>
      <c r="P1213" t="n">
        <v>964</v>
      </c>
      <c r="Q1213" t="n">
        <v>1002</v>
      </c>
      <c r="R1213" t="n">
        <v>1.092</v>
      </c>
      <c r="S1213" t="n">
        <v>10.417</v>
      </c>
      <c r="T1213" t="n">
        <v>9.542999999999999</v>
      </c>
      <c r="U1213" t="n">
        <v>0.778</v>
      </c>
      <c r="V1213" t="b">
        <v>1</v>
      </c>
      <c r="X1213" t="b">
        <v>1</v>
      </c>
      <c r="Z1213" t="n">
        <v>935</v>
      </c>
      <c r="AA1213" t="n">
        <v>2.5</v>
      </c>
      <c r="AB1213" t="n">
        <v>9.5</v>
      </c>
    </row>
    <row r="1214">
      <c r="A1214" t="inlineStr">
        <is>
          <t>2026-09-24 15:57:14</t>
        </is>
      </c>
      <c r="B1214" t="inlineStr">
        <is>
          <t>MLLB_000_y1.0.3</t>
        </is>
      </c>
      <c r="C1214" t="inlineStr">
        <is>
          <t>WHITE</t>
        </is>
      </c>
      <c r="D1214" t="inlineStr">
        <is>
          <t>v4_white_MLLB_000_y103_0924</t>
        </is>
      </c>
      <c r="E1214" t="n">
        <v>3.2</v>
      </c>
      <c r="F1214" t="n">
        <v>3.208</v>
      </c>
      <c r="G1214" t="n">
        <v>6</v>
      </c>
      <c r="H1214" t="n">
        <v>80</v>
      </c>
      <c r="I1214" t="n">
        <v>33</v>
      </c>
      <c r="J1214" t="inlineStr">
        <is>
          <t>ince</t>
        </is>
      </c>
      <c r="K1214" t="b">
        <v>1</v>
      </c>
      <c r="M1214" t="n">
        <v>38</v>
      </c>
      <c r="N1214" t="n">
        <v>28</v>
      </c>
      <c r="O1214" t="n">
        <v>18</v>
      </c>
      <c r="P1214" t="n">
        <v>964</v>
      </c>
      <c r="Q1214" t="n">
        <v>1002</v>
      </c>
      <c r="R1214" t="n">
        <v>1.633</v>
      </c>
      <c r="S1214" t="n">
        <v>15.609</v>
      </c>
      <c r="T1214" t="n">
        <v>9.558</v>
      </c>
      <c r="U1214" t="n">
        <v>0.7778</v>
      </c>
      <c r="V1214" t="b">
        <v>1</v>
      </c>
      <c r="X1214" t="b">
        <v>1</v>
      </c>
      <c r="Z1214" t="n">
        <v>935</v>
      </c>
      <c r="AA1214" t="n">
        <v>2.5</v>
      </c>
      <c r="AB1214" t="n">
        <v>9.5</v>
      </c>
    </row>
    <row r="1215">
      <c r="A1215" t="inlineStr">
        <is>
          <t>2026-09-24 15:57:30</t>
        </is>
      </c>
      <c r="B1215" t="inlineStr">
        <is>
          <t>MLLB_000_y1.0.3</t>
        </is>
      </c>
      <c r="C1215" t="inlineStr">
        <is>
          <t>WHITE</t>
        </is>
      </c>
      <c r="D1215" t="inlineStr">
        <is>
          <t>v4_white_MLLB_000_y103_0924</t>
        </is>
      </c>
      <c r="E1215" t="n">
        <v>3.2</v>
      </c>
      <c r="F1215" t="n">
        <v>3.208</v>
      </c>
      <c r="G1215" t="n">
        <v>6</v>
      </c>
      <c r="H1215" t="n">
        <v>80</v>
      </c>
      <c r="I1215" t="n">
        <v>34</v>
      </c>
      <c r="J1215" t="inlineStr">
        <is>
          <t>ince</t>
        </is>
      </c>
      <c r="K1215" t="b">
        <v>1</v>
      </c>
      <c r="M1215" t="n">
        <v>38</v>
      </c>
      <c r="N1215" t="n">
        <v>28</v>
      </c>
      <c r="O1215" t="n">
        <v>18</v>
      </c>
      <c r="P1215" t="n">
        <v>964</v>
      </c>
      <c r="Q1215" t="n">
        <v>1002</v>
      </c>
      <c r="R1215" t="n">
        <v>2.239</v>
      </c>
      <c r="S1215" t="n">
        <v>21.329</v>
      </c>
      <c r="T1215" t="n">
        <v>9.528</v>
      </c>
      <c r="U1215" t="n">
        <v>0.7782</v>
      </c>
      <c r="V1215" t="b">
        <v>1</v>
      </c>
      <c r="X1215" t="b">
        <v>1</v>
      </c>
      <c r="Z1215" t="n">
        <v>935</v>
      </c>
      <c r="AA1215" t="n">
        <v>2.5</v>
      </c>
      <c r="AB1215" t="n">
        <v>9.5</v>
      </c>
    </row>
    <row r="1216">
      <c r="A1216" t="inlineStr">
        <is>
          <t>2026-09-24 15:57:45</t>
        </is>
      </c>
      <c r="B1216" t="inlineStr">
        <is>
          <t>MLLB_000_y1.0.3</t>
        </is>
      </c>
      <c r="C1216" t="inlineStr">
        <is>
          <t>WHITE</t>
        </is>
      </c>
      <c r="D1216" t="inlineStr">
        <is>
          <t>v4_white_MLLB_000_y103_0924</t>
        </is>
      </c>
      <c r="E1216" t="n">
        <v>3.2</v>
      </c>
      <c r="F1216" t="n">
        <v>3.208</v>
      </c>
      <c r="G1216" t="n">
        <v>6</v>
      </c>
      <c r="H1216" t="n">
        <v>80</v>
      </c>
      <c r="I1216" t="n">
        <v>35</v>
      </c>
      <c r="J1216" t="inlineStr">
        <is>
          <t>ince</t>
        </is>
      </c>
      <c r="K1216" t="b">
        <v>1</v>
      </c>
      <c r="M1216" t="n">
        <v>38</v>
      </c>
      <c r="N1216" t="n">
        <v>28</v>
      </c>
      <c r="O1216" t="n">
        <v>18</v>
      </c>
      <c r="P1216" t="n">
        <v>964</v>
      </c>
      <c r="Q1216" t="n">
        <v>1002</v>
      </c>
      <c r="R1216" t="n">
        <v>5.868</v>
      </c>
      <c r="S1216" t="n">
        <v>56.062</v>
      </c>
      <c r="T1216" t="n">
        <v>9.553000000000001</v>
      </c>
      <c r="U1216" t="n">
        <v>0.7778</v>
      </c>
      <c r="V1216" t="b">
        <v>1</v>
      </c>
      <c r="X1216" t="b">
        <v>0</v>
      </c>
      <c r="Y1216" t="inlineStr">
        <is>
          <t>FLAS</t>
        </is>
      </c>
      <c r="Z1216" t="n">
        <v>935</v>
      </c>
      <c r="AA1216" t="n">
        <v>2.5</v>
      </c>
      <c r="AB1216" t="n">
        <v>9.5</v>
      </c>
    </row>
    <row r="1217">
      <c r="A1217" t="inlineStr">
        <is>
          <t>2026-09-24 15:57:46</t>
        </is>
      </c>
      <c r="B1217" t="inlineStr">
        <is>
          <t>MLLB_000_y1.0.3</t>
        </is>
      </c>
      <c r="C1217" t="inlineStr">
        <is>
          <t>WHITE</t>
        </is>
      </c>
      <c r="D1217" t="inlineStr">
        <is>
          <t>v4_white_MLLB_000_y103_0924</t>
        </is>
      </c>
      <c r="E1217" t="n">
        <v>3.2</v>
      </c>
      <c r="F1217" t="n">
        <v>3.208</v>
      </c>
      <c r="G1217" t="n">
        <v>6</v>
      </c>
      <c r="H1217" t="n">
        <v>80</v>
      </c>
      <c r="J1217" t="inlineStr">
        <is>
          <t>bitti</t>
        </is>
      </c>
      <c r="K1217" t="b">
        <v>0</v>
      </c>
      <c r="Z1217" t="n">
        <v>935</v>
      </c>
      <c r="AA1217" t="n">
        <v>2.5</v>
      </c>
      <c r="AB1217" t="n">
        <v>9.5</v>
      </c>
    </row>
    <row r="1218">
      <c r="A1218" t="inlineStr">
        <is>
          <t>2026-09-24 15:58:02</t>
        </is>
      </c>
      <c r="B1218" t="inlineStr">
        <is>
          <t>MLLB_000_y1.0.3</t>
        </is>
      </c>
      <c r="C1218" t="inlineStr">
        <is>
          <t>WHITE</t>
        </is>
      </c>
      <c r="D1218" t="inlineStr">
        <is>
          <t>v4_white_MLLB_000_y103_0924</t>
        </is>
      </c>
      <c r="E1218" t="n">
        <v>3.2</v>
      </c>
      <c r="F1218" t="n">
        <v>3.208</v>
      </c>
      <c r="G1218" t="n">
        <v>6</v>
      </c>
      <c r="H1218" t="n">
        <v>60</v>
      </c>
      <c r="I1218" t="n">
        <v>12</v>
      </c>
      <c r="J1218" t="inlineStr">
        <is>
          <t>kaba</t>
        </is>
      </c>
      <c r="K1218" t="b">
        <v>1</v>
      </c>
      <c r="M1218" t="n">
        <v>420</v>
      </c>
      <c r="N1218" t="n">
        <v>50</v>
      </c>
      <c r="O1218" t="n">
        <v>390</v>
      </c>
      <c r="P1218" t="n">
        <v>582</v>
      </c>
      <c r="Q1218" t="n">
        <v>1002</v>
      </c>
      <c r="R1218" t="n">
        <v>1.075</v>
      </c>
      <c r="S1218" t="n">
        <v>10.347</v>
      </c>
      <c r="T1218" t="n">
        <v>9.622999999999999</v>
      </c>
      <c r="U1218" t="n">
        <v>0.7776999999999999</v>
      </c>
      <c r="V1218" t="b">
        <v>1</v>
      </c>
      <c r="X1218" t="b">
        <v>0</v>
      </c>
      <c r="Y1218" t="inlineStr">
        <is>
          <t>ON</t>
        </is>
      </c>
      <c r="Z1218" t="n">
        <v>935</v>
      </c>
      <c r="AA1218" t="n">
        <v>2.5</v>
      </c>
      <c r="AB1218" t="n">
        <v>9.5</v>
      </c>
    </row>
    <row r="1219">
      <c r="A1219" t="inlineStr">
        <is>
          <t>2026-09-24 15:58:18</t>
        </is>
      </c>
      <c r="B1219" t="inlineStr">
        <is>
          <t>MLLB_000_y1.0.3</t>
        </is>
      </c>
      <c r="C1219" t="inlineStr">
        <is>
          <t>WHITE</t>
        </is>
      </c>
      <c r="D1219" t="inlineStr">
        <is>
          <t>v4_white_MLLB_000_y103_0924</t>
        </is>
      </c>
      <c r="E1219" t="n">
        <v>3.2</v>
      </c>
      <c r="F1219" t="n">
        <v>3.208</v>
      </c>
      <c r="G1219" t="n">
        <v>6</v>
      </c>
      <c r="H1219" t="n">
        <v>60</v>
      </c>
      <c r="I1219" t="n">
        <v>16</v>
      </c>
      <c r="J1219" t="inlineStr">
        <is>
          <t>kaba</t>
        </is>
      </c>
      <c r="K1219" t="b">
        <v>1</v>
      </c>
      <c r="M1219" t="n">
        <v>372</v>
      </c>
      <c r="N1219" t="n">
        <v>50</v>
      </c>
      <c r="O1219" t="n">
        <v>342</v>
      </c>
      <c r="P1219" t="n">
        <v>630</v>
      </c>
      <c r="Q1219" t="n">
        <v>1002</v>
      </c>
      <c r="R1219" t="n">
        <v>1.106</v>
      </c>
      <c r="S1219" t="n">
        <v>10.417</v>
      </c>
      <c r="T1219" t="n">
        <v>9.42</v>
      </c>
      <c r="U1219" t="n">
        <v>0.7783</v>
      </c>
      <c r="V1219" t="b">
        <v>1</v>
      </c>
      <c r="X1219" t="b">
        <v>0</v>
      </c>
      <c r="Y1219" t="inlineStr">
        <is>
          <t>AKIM</t>
        </is>
      </c>
      <c r="Z1219" t="n">
        <v>935</v>
      </c>
      <c r="AA1219" t="n">
        <v>2.5</v>
      </c>
      <c r="AB1219" t="n">
        <v>9.5</v>
      </c>
    </row>
    <row r="1220">
      <c r="A1220" t="inlineStr">
        <is>
          <t>2026-09-24 15:58:34</t>
        </is>
      </c>
      <c r="B1220" t="inlineStr">
        <is>
          <t>MLLB_000_y1.0.3</t>
        </is>
      </c>
      <c r="C1220" t="inlineStr">
        <is>
          <t>WHITE</t>
        </is>
      </c>
      <c r="D1220" t="inlineStr">
        <is>
          <t>v4_white_MLLB_000_y103_0924</t>
        </is>
      </c>
      <c r="E1220" t="n">
        <v>3.2</v>
      </c>
      <c r="F1220" t="n">
        <v>3.208</v>
      </c>
      <c r="G1220" t="n">
        <v>6</v>
      </c>
      <c r="H1220" t="n">
        <v>60</v>
      </c>
      <c r="I1220" t="n">
        <v>20</v>
      </c>
      <c r="J1220" t="inlineStr">
        <is>
          <t>kaba</t>
        </is>
      </c>
      <c r="K1220" t="b">
        <v>1</v>
      </c>
      <c r="M1220" t="n">
        <v>320</v>
      </c>
      <c r="N1220" t="n">
        <v>50</v>
      </c>
      <c r="O1220" t="n">
        <v>290</v>
      </c>
      <c r="P1220" t="n">
        <v>682</v>
      </c>
      <c r="Q1220" t="n">
        <v>1002</v>
      </c>
      <c r="R1220" t="n">
        <v>1.096</v>
      </c>
      <c r="S1220" t="n">
        <v>10.325</v>
      </c>
      <c r="T1220" t="n">
        <v>9.42</v>
      </c>
      <c r="U1220" t="n">
        <v>0.7784</v>
      </c>
      <c r="V1220" t="b">
        <v>1</v>
      </c>
      <c r="X1220" t="b">
        <v>0</v>
      </c>
      <c r="Y1220" t="inlineStr">
        <is>
          <t>AKIM</t>
        </is>
      </c>
      <c r="Z1220" t="n">
        <v>935</v>
      </c>
      <c r="AA1220" t="n">
        <v>2.5</v>
      </c>
      <c r="AB1220" t="n">
        <v>9.5</v>
      </c>
    </row>
    <row r="1221">
      <c r="A1221" t="inlineStr">
        <is>
          <t>2026-09-24 15:58:50</t>
        </is>
      </c>
      <c r="B1221" t="inlineStr">
        <is>
          <t>MLLB_000_y1.0.3</t>
        </is>
      </c>
      <c r="C1221" t="inlineStr">
        <is>
          <t>WHITE</t>
        </is>
      </c>
      <c r="D1221" t="inlineStr">
        <is>
          <t>v4_white_MLLB_000_y103_0924</t>
        </is>
      </c>
      <c r="E1221" t="n">
        <v>3.2</v>
      </c>
      <c r="F1221" t="n">
        <v>3.208</v>
      </c>
      <c r="G1221" t="n">
        <v>6</v>
      </c>
      <c r="H1221" t="n">
        <v>60</v>
      </c>
      <c r="I1221" t="n">
        <v>24</v>
      </c>
      <c r="J1221" t="inlineStr">
        <is>
          <t>kaba</t>
        </is>
      </c>
      <c r="K1221" t="b">
        <v>1</v>
      </c>
      <c r="M1221" t="n">
        <v>268</v>
      </c>
      <c r="N1221" t="n">
        <v>46</v>
      </c>
      <c r="O1221" t="n">
        <v>240</v>
      </c>
      <c r="P1221" t="n">
        <v>734</v>
      </c>
      <c r="Q1221" t="n">
        <v>1002</v>
      </c>
      <c r="R1221" t="n">
        <v>1.099</v>
      </c>
      <c r="S1221" t="n">
        <v>10.417</v>
      </c>
      <c r="T1221" t="n">
        <v>9.481</v>
      </c>
      <c r="U1221" t="n">
        <v>0.7776999999999999</v>
      </c>
      <c r="V1221" t="b">
        <v>1</v>
      </c>
      <c r="X1221" t="b">
        <v>0</v>
      </c>
      <c r="Y1221" t="inlineStr">
        <is>
          <t>AKIM</t>
        </is>
      </c>
      <c r="Z1221" t="n">
        <v>935</v>
      </c>
      <c r="AA1221" t="n">
        <v>2.5</v>
      </c>
      <c r="AB1221" t="n">
        <v>9.5</v>
      </c>
    </row>
    <row r="1222">
      <c r="A1222" t="inlineStr">
        <is>
          <t>2026-09-24 15:59:06</t>
        </is>
      </c>
      <c r="B1222" t="inlineStr">
        <is>
          <t>MLLB_000_y1.0.3</t>
        </is>
      </c>
      <c r="C1222" t="inlineStr">
        <is>
          <t>WHITE</t>
        </is>
      </c>
      <c r="D1222" t="inlineStr">
        <is>
          <t>v4_white_MLLB_000_y103_0924</t>
        </is>
      </c>
      <c r="E1222" t="n">
        <v>3.2</v>
      </c>
      <c r="F1222" t="n">
        <v>3.208</v>
      </c>
      <c r="G1222" t="n">
        <v>6</v>
      </c>
      <c r="H1222" t="n">
        <v>60</v>
      </c>
      <c r="I1222" t="n">
        <v>28</v>
      </c>
      <c r="J1222" t="inlineStr">
        <is>
          <t>kaba</t>
        </is>
      </c>
      <c r="K1222" t="b">
        <v>1</v>
      </c>
      <c r="M1222" t="n">
        <v>218</v>
      </c>
      <c r="N1222" t="n">
        <v>50</v>
      </c>
      <c r="O1222" t="n">
        <v>190</v>
      </c>
      <c r="P1222" t="n">
        <v>784</v>
      </c>
      <c r="Q1222" t="n">
        <v>1002</v>
      </c>
      <c r="R1222" t="n">
        <v>1.098</v>
      </c>
      <c r="S1222" t="n">
        <v>10.417</v>
      </c>
      <c r="T1222" t="n">
        <v>9.486000000000001</v>
      </c>
      <c r="U1222" t="n">
        <v>0.778</v>
      </c>
      <c r="V1222" t="b">
        <v>1</v>
      </c>
      <c r="X1222" t="b">
        <v>0</v>
      </c>
      <c r="Y1222" t="inlineStr">
        <is>
          <t>AKIM</t>
        </is>
      </c>
      <c r="Z1222" t="n">
        <v>935</v>
      </c>
      <c r="AA1222" t="n">
        <v>2.5</v>
      </c>
      <c r="AB1222" t="n">
        <v>9.5</v>
      </c>
    </row>
    <row r="1223">
      <c r="A1223" t="inlineStr">
        <is>
          <t>2026-09-24 15:59:22</t>
        </is>
      </c>
      <c r="B1223" t="inlineStr">
        <is>
          <t>MLLB_000_y1.0.3</t>
        </is>
      </c>
      <c r="C1223" t="inlineStr">
        <is>
          <t>WHITE</t>
        </is>
      </c>
      <c r="D1223" t="inlineStr">
        <is>
          <t>v4_white_MLLB_000_y103_0924</t>
        </is>
      </c>
      <c r="E1223" t="n">
        <v>3.2</v>
      </c>
      <c r="F1223" t="n">
        <v>3.208</v>
      </c>
      <c r="G1223" t="n">
        <v>6</v>
      </c>
      <c r="H1223" t="n">
        <v>60</v>
      </c>
      <c r="I1223" t="n">
        <v>32</v>
      </c>
      <c r="J1223" t="inlineStr">
        <is>
          <t>kaba</t>
        </is>
      </c>
      <c r="K1223" t="b">
        <v>1</v>
      </c>
      <c r="M1223" t="n">
        <v>168</v>
      </c>
      <c r="N1223" t="n">
        <v>50</v>
      </c>
      <c r="O1223" t="n">
        <v>138</v>
      </c>
      <c r="P1223" t="n">
        <v>834</v>
      </c>
      <c r="Q1223" t="n">
        <v>1002</v>
      </c>
      <c r="R1223" t="n">
        <v>1.099</v>
      </c>
      <c r="S1223" t="n">
        <v>10.417</v>
      </c>
      <c r="T1223" t="n">
        <v>9.478</v>
      </c>
      <c r="U1223" t="n">
        <v>0.778</v>
      </c>
      <c r="V1223" t="b">
        <v>1</v>
      </c>
      <c r="X1223" t="b">
        <v>0</v>
      </c>
      <c r="Y1223" t="inlineStr">
        <is>
          <t>AKIM</t>
        </is>
      </c>
      <c r="Z1223" t="n">
        <v>935</v>
      </c>
      <c r="AA1223" t="n">
        <v>2.5</v>
      </c>
      <c r="AB1223" t="n">
        <v>9.5</v>
      </c>
    </row>
    <row r="1224">
      <c r="A1224" t="inlineStr">
        <is>
          <t>2026-09-24 15:59:38</t>
        </is>
      </c>
      <c r="B1224" t="inlineStr">
        <is>
          <t>MLLB_000_y1.0.3</t>
        </is>
      </c>
      <c r="C1224" t="inlineStr">
        <is>
          <t>WHITE</t>
        </is>
      </c>
      <c r="D1224" t="inlineStr">
        <is>
          <t>v4_white_MLLB_000_y103_0924</t>
        </is>
      </c>
      <c r="E1224" t="n">
        <v>3.2</v>
      </c>
      <c r="F1224" t="n">
        <v>3.208</v>
      </c>
      <c r="G1224" t="n">
        <v>6</v>
      </c>
      <c r="H1224" t="n">
        <v>60</v>
      </c>
      <c r="I1224" t="n">
        <v>36</v>
      </c>
      <c r="J1224" t="inlineStr">
        <is>
          <t>kaba</t>
        </is>
      </c>
      <c r="K1224" t="b">
        <v>1</v>
      </c>
      <c r="M1224" t="n">
        <v>114</v>
      </c>
      <c r="N1224" t="n">
        <v>44</v>
      </c>
      <c r="O1224" t="n">
        <v>86</v>
      </c>
      <c r="P1224" t="n">
        <v>888</v>
      </c>
      <c r="Q1224" t="n">
        <v>1002</v>
      </c>
      <c r="R1224" t="n">
        <v>1.093</v>
      </c>
      <c r="S1224" t="n">
        <v>10.417</v>
      </c>
      <c r="T1224" t="n">
        <v>9.532</v>
      </c>
      <c r="U1224" t="n">
        <v>0.7781</v>
      </c>
      <c r="V1224" t="b">
        <v>1</v>
      </c>
      <c r="X1224" t="b">
        <v>0</v>
      </c>
      <c r="Y1224" t="inlineStr">
        <is>
          <t>ON</t>
        </is>
      </c>
      <c r="Z1224" t="n">
        <v>935</v>
      </c>
      <c r="AA1224" t="n">
        <v>2.5</v>
      </c>
      <c r="AB1224" t="n">
        <v>9.5</v>
      </c>
    </row>
    <row r="1225">
      <c r="A1225" t="inlineStr">
        <is>
          <t>2026-09-24 15:59:53</t>
        </is>
      </c>
      <c r="B1225" t="inlineStr">
        <is>
          <t>MLLB_000_y1.0.3</t>
        </is>
      </c>
      <c r="C1225" t="inlineStr">
        <is>
          <t>WHITE</t>
        </is>
      </c>
      <c r="D1225" t="inlineStr">
        <is>
          <t>v4_white_MLLB_000_y103_0924</t>
        </is>
      </c>
      <c r="E1225" t="n">
        <v>3.2</v>
      </c>
      <c r="F1225" t="n">
        <v>3.208</v>
      </c>
      <c r="G1225" t="n">
        <v>6</v>
      </c>
      <c r="H1225" t="n">
        <v>60</v>
      </c>
      <c r="I1225" t="n">
        <v>40</v>
      </c>
      <c r="J1225" t="inlineStr">
        <is>
          <t>kaba</t>
        </is>
      </c>
      <c r="K1225" t="b">
        <v>1</v>
      </c>
      <c r="M1225" t="n">
        <v>58</v>
      </c>
      <c r="N1225" t="n">
        <v>46</v>
      </c>
      <c r="O1225" t="n">
        <v>34</v>
      </c>
      <c r="P1225" t="n">
        <v>944</v>
      </c>
      <c r="Q1225" t="n">
        <v>1002</v>
      </c>
      <c r="R1225" t="n">
        <v>1.085</v>
      </c>
      <c r="S1225" t="n">
        <v>10.34</v>
      </c>
      <c r="T1225" t="n">
        <v>9.532999999999999</v>
      </c>
      <c r="U1225" t="n">
        <v>0.7779</v>
      </c>
      <c r="V1225" t="b">
        <v>1</v>
      </c>
      <c r="X1225" t="b">
        <v>1</v>
      </c>
      <c r="Z1225" t="n">
        <v>935</v>
      </c>
      <c r="AA1225" t="n">
        <v>2.5</v>
      </c>
      <c r="AB1225" t="n">
        <v>9.5</v>
      </c>
    </row>
    <row r="1226">
      <c r="A1226" t="inlineStr">
        <is>
          <t>2026-09-24 16:00:10</t>
        </is>
      </c>
      <c r="B1226" t="inlineStr">
        <is>
          <t>MLLB_000_y1.0.3</t>
        </is>
      </c>
      <c r="C1226" t="inlineStr">
        <is>
          <t>WHITE</t>
        </is>
      </c>
      <c r="D1226" t="inlineStr">
        <is>
          <t>v4_white_MLLB_000_y103_0924</t>
        </is>
      </c>
      <c r="E1226" t="n">
        <v>3.2</v>
      </c>
      <c r="F1226" t="n">
        <v>3.208</v>
      </c>
      <c r="G1226" t="n">
        <v>6</v>
      </c>
      <c r="H1226" t="n">
        <v>60</v>
      </c>
      <c r="I1226" t="n">
        <v>44</v>
      </c>
      <c r="J1226" t="inlineStr">
        <is>
          <t>kaba</t>
        </is>
      </c>
      <c r="K1226" t="b">
        <v>1</v>
      </c>
      <c r="M1226" t="n">
        <v>50</v>
      </c>
      <c r="N1226" t="n">
        <v>28</v>
      </c>
      <c r="O1226" t="n">
        <v>30</v>
      </c>
      <c r="P1226" t="n">
        <v>952</v>
      </c>
      <c r="Q1226" t="n">
        <v>1002</v>
      </c>
      <c r="R1226" t="n">
        <v>1.729</v>
      </c>
      <c r="S1226" t="n">
        <v>16.504</v>
      </c>
      <c r="T1226" t="n">
        <v>9.548</v>
      </c>
      <c r="U1226" t="n">
        <v>0.7783</v>
      </c>
      <c r="V1226" t="b">
        <v>1</v>
      </c>
      <c r="X1226" t="b">
        <v>1</v>
      </c>
      <c r="Z1226" t="n">
        <v>935</v>
      </c>
      <c r="AA1226" t="n">
        <v>2.5</v>
      </c>
      <c r="AB1226" t="n">
        <v>9.5</v>
      </c>
    </row>
    <row r="1227">
      <c r="A1227" t="inlineStr">
        <is>
          <t>2026-09-24 16:00:26</t>
        </is>
      </c>
      <c r="B1227" t="inlineStr">
        <is>
          <t>MLLB_000_y1.0.3</t>
        </is>
      </c>
      <c r="C1227" t="inlineStr">
        <is>
          <t>WHITE</t>
        </is>
      </c>
      <c r="D1227" t="inlineStr">
        <is>
          <t>v4_white_MLLB_000_y103_0924</t>
        </is>
      </c>
      <c r="E1227" t="n">
        <v>3.2</v>
      </c>
      <c r="F1227" t="n">
        <v>3.208</v>
      </c>
      <c r="G1227" t="n">
        <v>6</v>
      </c>
      <c r="H1227" t="n">
        <v>60</v>
      </c>
      <c r="I1227" t="n">
        <v>48</v>
      </c>
      <c r="J1227" t="inlineStr">
        <is>
          <t>kaba</t>
        </is>
      </c>
      <c r="K1227" t="b">
        <v>1</v>
      </c>
      <c r="M1227" t="n">
        <v>50</v>
      </c>
      <c r="N1227" t="n">
        <v>28</v>
      </c>
      <c r="O1227" t="n">
        <v>30</v>
      </c>
      <c r="P1227" t="n">
        <v>952</v>
      </c>
      <c r="Q1227" t="n">
        <v>1002</v>
      </c>
      <c r="R1227" t="n">
        <v>10.429</v>
      </c>
      <c r="S1227" t="n">
        <v>99.349</v>
      </c>
      <c r="T1227" t="n">
        <v>9.526999999999999</v>
      </c>
      <c r="U1227" t="n">
        <v>0.7781</v>
      </c>
      <c r="V1227" t="b">
        <v>1</v>
      </c>
      <c r="X1227" t="b">
        <v>0</v>
      </c>
      <c r="Y1227" t="inlineStr">
        <is>
          <t>FLAS</t>
        </is>
      </c>
      <c r="Z1227" t="n">
        <v>935</v>
      </c>
      <c r="AA1227" t="n">
        <v>2.5</v>
      </c>
      <c r="AB1227" t="n">
        <v>9.5</v>
      </c>
    </row>
    <row r="1228">
      <c r="A1228" t="inlineStr">
        <is>
          <t>2026-09-24 16:00:42</t>
        </is>
      </c>
      <c r="B1228" t="inlineStr">
        <is>
          <t>MLLB_000_y1.0.3</t>
        </is>
      </c>
      <c r="C1228" t="inlineStr">
        <is>
          <t>WHITE</t>
        </is>
      </c>
      <c r="D1228" t="inlineStr">
        <is>
          <t>v4_white_MLLB_000_y103_0924</t>
        </is>
      </c>
      <c r="E1228" t="n">
        <v>3.2</v>
      </c>
      <c r="F1228" t="n">
        <v>3.208</v>
      </c>
      <c r="G1228" t="n">
        <v>6</v>
      </c>
      <c r="H1228" t="n">
        <v>60</v>
      </c>
      <c r="I1228" t="n">
        <v>37</v>
      </c>
      <c r="J1228" t="inlineStr">
        <is>
          <t>ince</t>
        </is>
      </c>
      <c r="K1228" t="b">
        <v>1</v>
      </c>
      <c r="M1228" t="n">
        <v>102</v>
      </c>
      <c r="N1228" t="n">
        <v>46</v>
      </c>
      <c r="O1228" t="n">
        <v>72</v>
      </c>
      <c r="P1228" t="n">
        <v>900</v>
      </c>
      <c r="Q1228" t="n">
        <v>1002</v>
      </c>
      <c r="R1228" t="n">
        <v>1.094</v>
      </c>
      <c r="S1228" t="n">
        <v>10.417</v>
      </c>
      <c r="T1228" t="n">
        <v>9.523999999999999</v>
      </c>
      <c r="U1228" t="n">
        <v>0.7778</v>
      </c>
      <c r="V1228" t="b">
        <v>1</v>
      </c>
      <c r="X1228" t="b">
        <v>0</v>
      </c>
      <c r="Y1228" t="inlineStr">
        <is>
          <t>ON</t>
        </is>
      </c>
      <c r="Z1228" t="n">
        <v>935</v>
      </c>
      <c r="AA1228" t="n">
        <v>2.5</v>
      </c>
      <c r="AB1228" t="n">
        <v>9.5</v>
      </c>
    </row>
    <row r="1229">
      <c r="A1229" t="inlineStr">
        <is>
          <t>2026-09-24 16:00:57</t>
        </is>
      </c>
      <c r="B1229" t="inlineStr">
        <is>
          <t>MLLB_000_y1.0.3</t>
        </is>
      </c>
      <c r="C1229" t="inlineStr">
        <is>
          <t>WHITE</t>
        </is>
      </c>
      <c r="D1229" t="inlineStr">
        <is>
          <t>v4_white_MLLB_000_y103_0924</t>
        </is>
      </c>
      <c r="E1229" t="n">
        <v>3.2</v>
      </c>
      <c r="F1229" t="n">
        <v>3.208</v>
      </c>
      <c r="G1229" t="n">
        <v>6</v>
      </c>
      <c r="H1229" t="n">
        <v>60</v>
      </c>
      <c r="I1229" t="n">
        <v>38</v>
      </c>
      <c r="J1229" t="inlineStr">
        <is>
          <t>ince</t>
        </is>
      </c>
      <c r="K1229" t="b">
        <v>1</v>
      </c>
      <c r="M1229" t="n">
        <v>88</v>
      </c>
      <c r="N1229" t="n">
        <v>48</v>
      </c>
      <c r="O1229" t="n">
        <v>58</v>
      </c>
      <c r="P1229" t="n">
        <v>914</v>
      </c>
      <c r="Q1229" t="n">
        <v>1002</v>
      </c>
      <c r="R1229" t="n">
        <v>1.09</v>
      </c>
      <c r="S1229" t="n">
        <v>10.389</v>
      </c>
      <c r="T1229" t="n">
        <v>9.529999999999999</v>
      </c>
      <c r="U1229" t="n">
        <v>0.7785</v>
      </c>
      <c r="V1229" t="b">
        <v>1</v>
      </c>
      <c r="X1229" t="b">
        <v>0</v>
      </c>
      <c r="Y1229" t="inlineStr">
        <is>
          <t>ON</t>
        </is>
      </c>
      <c r="Z1229" t="n">
        <v>935</v>
      </c>
      <c r="AA1229" t="n">
        <v>2.5</v>
      </c>
      <c r="AB1229" t="n">
        <v>9.5</v>
      </c>
    </row>
    <row r="1230">
      <c r="A1230" t="inlineStr">
        <is>
          <t>2026-09-24 16:01:14</t>
        </is>
      </c>
      <c r="B1230" t="inlineStr">
        <is>
          <t>MLLB_000_y1.0.3</t>
        </is>
      </c>
      <c r="C1230" t="inlineStr">
        <is>
          <t>WHITE</t>
        </is>
      </c>
      <c r="D1230" t="inlineStr">
        <is>
          <t>v4_white_MLLB_000_y103_0924</t>
        </is>
      </c>
      <c r="E1230" t="n">
        <v>3.2</v>
      </c>
      <c r="F1230" t="n">
        <v>3.208</v>
      </c>
      <c r="G1230" t="n">
        <v>6</v>
      </c>
      <c r="H1230" t="n">
        <v>60</v>
      </c>
      <c r="I1230" t="n">
        <v>39</v>
      </c>
      <c r="J1230" t="inlineStr">
        <is>
          <t>ince</t>
        </is>
      </c>
      <c r="K1230" t="b">
        <v>1</v>
      </c>
      <c r="M1230" t="n">
        <v>74</v>
      </c>
      <c r="N1230" t="n">
        <v>52</v>
      </c>
      <c r="O1230" t="n">
        <v>44</v>
      </c>
      <c r="P1230" t="n">
        <v>928</v>
      </c>
      <c r="Q1230" t="n">
        <v>1002</v>
      </c>
      <c r="R1230" t="n">
        <v>1.093</v>
      </c>
      <c r="S1230" t="n">
        <v>10.417</v>
      </c>
      <c r="T1230" t="n">
        <v>9.529</v>
      </c>
      <c r="U1230" t="n">
        <v>0.7779</v>
      </c>
      <c r="V1230" t="b">
        <v>1</v>
      </c>
      <c r="X1230" t="b">
        <v>0</v>
      </c>
      <c r="Y1230" t="inlineStr">
        <is>
          <t>ON</t>
        </is>
      </c>
      <c r="Z1230" t="n">
        <v>935</v>
      </c>
      <c r="AA1230" t="n">
        <v>2.5</v>
      </c>
      <c r="AB1230" t="n">
        <v>9.5</v>
      </c>
    </row>
    <row r="1231">
      <c r="A1231" t="inlineStr">
        <is>
          <t>2026-09-24 16:01:14</t>
        </is>
      </c>
      <c r="B1231" t="inlineStr">
        <is>
          <t>MLLB_000_y1.0.3</t>
        </is>
      </c>
      <c r="C1231" t="inlineStr">
        <is>
          <t>WHITE</t>
        </is>
      </c>
      <c r="D1231" t="inlineStr">
        <is>
          <t>v4_white_MLLB_000_y103_0924</t>
        </is>
      </c>
      <c r="E1231" t="n">
        <v>3.2</v>
      </c>
      <c r="F1231" t="n">
        <v>3.208</v>
      </c>
      <c r="G1231" t="n">
        <v>6</v>
      </c>
      <c r="H1231" t="n">
        <v>60</v>
      </c>
      <c r="I1231" t="n">
        <v>41</v>
      </c>
      <c r="J1231" t="inlineStr">
        <is>
          <t>ince</t>
        </is>
      </c>
      <c r="K1231" t="b">
        <v>0</v>
      </c>
      <c r="L1231" t="inlineStr">
        <is>
          <t>iki-OK-arasi-monotonluk</t>
        </is>
      </c>
      <c r="X1231" t="b">
        <v>1</v>
      </c>
      <c r="Z1231" t="n">
        <v>935</v>
      </c>
      <c r="AA1231" t="n">
        <v>2.5</v>
      </c>
      <c r="AB1231" t="n">
        <v>9.5</v>
      </c>
    </row>
    <row r="1232">
      <c r="A1232" t="inlineStr">
        <is>
          <t>2026-09-24 16:01:14</t>
        </is>
      </c>
      <c r="B1232" t="inlineStr">
        <is>
          <t>MLLB_000_y1.0.3</t>
        </is>
      </c>
      <c r="C1232" t="inlineStr">
        <is>
          <t>WHITE</t>
        </is>
      </c>
      <c r="D1232" t="inlineStr">
        <is>
          <t>v4_white_MLLB_000_y103_0924</t>
        </is>
      </c>
      <c r="E1232" t="n">
        <v>3.2</v>
      </c>
      <c r="F1232" t="n">
        <v>3.208</v>
      </c>
      <c r="G1232" t="n">
        <v>6</v>
      </c>
      <c r="H1232" t="n">
        <v>60</v>
      </c>
      <c r="I1232" t="n">
        <v>42</v>
      </c>
      <c r="J1232" t="inlineStr">
        <is>
          <t>ince</t>
        </is>
      </c>
      <c r="K1232" t="b">
        <v>0</v>
      </c>
      <c r="L1232" t="inlineStr">
        <is>
          <t>iki-OK-arasi-monotonluk</t>
        </is>
      </c>
      <c r="X1232" t="b">
        <v>1</v>
      </c>
      <c r="Z1232" t="n">
        <v>935</v>
      </c>
      <c r="AA1232" t="n">
        <v>2.5</v>
      </c>
      <c r="AB1232" t="n">
        <v>9.5</v>
      </c>
    </row>
    <row r="1233">
      <c r="A1233" t="inlineStr">
        <is>
          <t>2026-09-24 16:01:14</t>
        </is>
      </c>
      <c r="B1233" t="inlineStr">
        <is>
          <t>MLLB_000_y1.0.3</t>
        </is>
      </c>
      <c r="C1233" t="inlineStr">
        <is>
          <t>WHITE</t>
        </is>
      </c>
      <c r="D1233" t="inlineStr">
        <is>
          <t>v4_white_MLLB_000_y103_0924</t>
        </is>
      </c>
      <c r="E1233" t="n">
        <v>3.2</v>
      </c>
      <c r="F1233" t="n">
        <v>3.208</v>
      </c>
      <c r="G1233" t="n">
        <v>6</v>
      </c>
      <c r="H1233" t="n">
        <v>60</v>
      </c>
      <c r="I1233" t="n">
        <v>43</v>
      </c>
      <c r="J1233" t="inlineStr">
        <is>
          <t>ince</t>
        </is>
      </c>
      <c r="K1233" t="b">
        <v>0</v>
      </c>
      <c r="L1233" t="inlineStr">
        <is>
          <t>iki-OK-arasi-monotonluk</t>
        </is>
      </c>
      <c r="X1233" t="b">
        <v>1</v>
      </c>
      <c r="Z1233" t="n">
        <v>935</v>
      </c>
      <c r="AA1233" t="n">
        <v>2.5</v>
      </c>
      <c r="AB1233" t="n">
        <v>9.5</v>
      </c>
    </row>
    <row r="1234">
      <c r="A1234" t="inlineStr">
        <is>
          <t>2026-09-24 16:01:29</t>
        </is>
      </c>
      <c r="B1234" t="inlineStr">
        <is>
          <t>MLLB_000_y1.0.3</t>
        </is>
      </c>
      <c r="C1234" t="inlineStr">
        <is>
          <t>WHITE</t>
        </is>
      </c>
      <c r="D1234" t="inlineStr">
        <is>
          <t>v4_white_MLLB_000_y103_0924</t>
        </is>
      </c>
      <c r="E1234" t="n">
        <v>3.2</v>
      </c>
      <c r="F1234" t="n">
        <v>3.208</v>
      </c>
      <c r="G1234" t="n">
        <v>6</v>
      </c>
      <c r="H1234" t="n">
        <v>60</v>
      </c>
      <c r="I1234" t="n">
        <v>45</v>
      </c>
      <c r="J1234" t="inlineStr">
        <is>
          <t>ince</t>
        </is>
      </c>
      <c r="K1234" t="b">
        <v>1</v>
      </c>
      <c r="M1234" t="n">
        <v>52</v>
      </c>
      <c r="N1234" t="n">
        <v>28</v>
      </c>
      <c r="O1234" t="n">
        <v>32</v>
      </c>
      <c r="P1234" t="n">
        <v>952</v>
      </c>
      <c r="Q1234" t="n">
        <v>1004</v>
      </c>
      <c r="R1234" t="n">
        <v>2.248</v>
      </c>
      <c r="S1234" t="n">
        <v>21.46</v>
      </c>
      <c r="T1234" t="n">
        <v>9.547000000000001</v>
      </c>
      <c r="U1234" t="n">
        <v>0.7778</v>
      </c>
      <c r="V1234" t="b">
        <v>1</v>
      </c>
      <c r="X1234" t="b">
        <v>1</v>
      </c>
      <c r="Z1234" t="n">
        <v>935</v>
      </c>
      <c r="AA1234" t="n">
        <v>2.5</v>
      </c>
      <c r="AB1234" t="n">
        <v>9.5</v>
      </c>
    </row>
    <row r="1235">
      <c r="A1235" t="inlineStr">
        <is>
          <t>2026-09-24 16:01:46</t>
        </is>
      </c>
      <c r="B1235" t="inlineStr">
        <is>
          <t>MLLB_000_y1.0.3</t>
        </is>
      </c>
      <c r="C1235" t="inlineStr">
        <is>
          <t>WHITE</t>
        </is>
      </c>
      <c r="D1235" t="inlineStr">
        <is>
          <t>v4_white_MLLB_000_y103_0924</t>
        </is>
      </c>
      <c r="E1235" t="n">
        <v>3.2</v>
      </c>
      <c r="F1235" t="n">
        <v>3.208</v>
      </c>
      <c r="G1235" t="n">
        <v>6</v>
      </c>
      <c r="H1235" t="n">
        <v>60</v>
      </c>
      <c r="I1235" t="n">
        <v>46</v>
      </c>
      <c r="J1235" t="inlineStr">
        <is>
          <t>ince</t>
        </is>
      </c>
      <c r="K1235" t="b">
        <v>1</v>
      </c>
      <c r="M1235" t="n">
        <v>50</v>
      </c>
      <c r="N1235" t="n">
        <v>28</v>
      </c>
      <c r="O1235" t="n">
        <v>30</v>
      </c>
      <c r="P1235" t="n">
        <v>952</v>
      </c>
      <c r="Q1235" t="n">
        <v>1002</v>
      </c>
      <c r="R1235" t="n">
        <v>4.045</v>
      </c>
      <c r="S1235" t="n">
        <v>38.576</v>
      </c>
      <c r="T1235" t="n">
        <v>9.537000000000001</v>
      </c>
      <c r="U1235" t="n">
        <v>0.7782</v>
      </c>
      <c r="V1235" t="b">
        <v>1</v>
      </c>
      <c r="X1235" t="b">
        <v>0</v>
      </c>
      <c r="Y1235" t="inlineStr">
        <is>
          <t>FLAS</t>
        </is>
      </c>
      <c r="Z1235" t="n">
        <v>935</v>
      </c>
      <c r="AA1235" t="n">
        <v>2.5</v>
      </c>
      <c r="AB1235" t="n">
        <v>9.5</v>
      </c>
    </row>
    <row r="1236">
      <c r="A1236" t="inlineStr">
        <is>
          <t>2026-09-24 16:02:02</t>
        </is>
      </c>
      <c r="B1236" t="inlineStr">
        <is>
          <t>MLLB_000_y1.0.3</t>
        </is>
      </c>
      <c r="C1236" t="inlineStr">
        <is>
          <t>WHITE</t>
        </is>
      </c>
      <c r="D1236" t="inlineStr">
        <is>
          <t>v4_white_MLLB_000_y103_0924</t>
        </is>
      </c>
      <c r="E1236" t="n">
        <v>3.2</v>
      </c>
      <c r="F1236" t="n">
        <v>3.208</v>
      </c>
      <c r="G1236" t="n">
        <v>6</v>
      </c>
      <c r="H1236" t="n">
        <v>60</v>
      </c>
      <c r="I1236" t="n">
        <v>47</v>
      </c>
      <c r="J1236" t="inlineStr">
        <is>
          <t>ince</t>
        </is>
      </c>
      <c r="K1236" t="b">
        <v>1</v>
      </c>
      <c r="M1236" t="n">
        <v>50</v>
      </c>
      <c r="N1236" t="n">
        <v>28</v>
      </c>
      <c r="O1236" t="n">
        <v>30</v>
      </c>
      <c r="P1236" t="n">
        <v>952</v>
      </c>
      <c r="Q1236" t="n">
        <v>1002</v>
      </c>
      <c r="R1236" t="n">
        <v>8.516999999999999</v>
      </c>
      <c r="S1236" t="n">
        <v>81.152</v>
      </c>
      <c r="T1236" t="n">
        <v>9.528</v>
      </c>
      <c r="U1236" t="n">
        <v>0.7778</v>
      </c>
      <c r="V1236" t="b">
        <v>1</v>
      </c>
      <c r="X1236" t="b">
        <v>0</v>
      </c>
      <c r="Y1236" t="inlineStr">
        <is>
          <t>FLAS</t>
        </is>
      </c>
      <c r="Z1236" t="n">
        <v>935</v>
      </c>
      <c r="AA1236" t="n">
        <v>2.5</v>
      </c>
      <c r="AB1236" t="n">
        <v>9.5</v>
      </c>
    </row>
    <row r="1237">
      <c r="A1237" t="inlineStr">
        <is>
          <t>2026-09-24 16:02:02</t>
        </is>
      </c>
      <c r="B1237" t="inlineStr">
        <is>
          <t>MLLB_000_y1.0.3</t>
        </is>
      </c>
      <c r="C1237" t="inlineStr">
        <is>
          <t>WHITE</t>
        </is>
      </c>
      <c r="D1237" t="inlineStr">
        <is>
          <t>v4_white_MLLB_000_y103_0924</t>
        </is>
      </c>
      <c r="E1237" t="n">
        <v>3.2</v>
      </c>
      <c r="F1237" t="n">
        <v>3.208</v>
      </c>
      <c r="G1237" t="n">
        <v>6</v>
      </c>
      <c r="H1237" t="n">
        <v>60</v>
      </c>
      <c r="J1237" t="inlineStr">
        <is>
          <t>bitti</t>
        </is>
      </c>
      <c r="K1237" t="b">
        <v>0</v>
      </c>
      <c r="Z1237" t="n">
        <v>935</v>
      </c>
      <c r="AA1237" t="n">
        <v>2.5</v>
      </c>
      <c r="AB1237" t="n">
        <v>9.5</v>
      </c>
    </row>
    <row r="1238">
      <c r="A1238" t="inlineStr">
        <is>
          <t>2026-09-24 16:02:24</t>
        </is>
      </c>
      <c r="B1238" t="inlineStr">
        <is>
          <t>MLLB_000_y1.0.3</t>
        </is>
      </c>
      <c r="C1238" t="inlineStr">
        <is>
          <t>WHITE</t>
        </is>
      </c>
      <c r="D1238" t="inlineStr">
        <is>
          <t>v4_white_MLLB_000_y103_0924</t>
        </is>
      </c>
      <c r="E1238" t="n">
        <v>3.2</v>
      </c>
      <c r="F1238" t="n">
        <v>3.208</v>
      </c>
      <c r="G1238" t="n">
        <v>7</v>
      </c>
      <c r="H1238" t="n">
        <v>100</v>
      </c>
      <c r="I1238" t="n">
        <v>12</v>
      </c>
      <c r="J1238" t="inlineStr">
        <is>
          <t>kaba</t>
        </is>
      </c>
      <c r="K1238" t="b">
        <v>1</v>
      </c>
      <c r="M1238" t="n">
        <v>272</v>
      </c>
      <c r="N1238" t="n">
        <v>46</v>
      </c>
      <c r="O1238" t="n">
        <v>246</v>
      </c>
      <c r="P1238" t="n">
        <v>730</v>
      </c>
      <c r="Q1238" t="n">
        <v>1002</v>
      </c>
      <c r="R1238" t="n">
        <v>1.089</v>
      </c>
      <c r="S1238" t="n">
        <v>12.739</v>
      </c>
      <c r="T1238" t="n">
        <v>11.703</v>
      </c>
      <c r="U1238" t="n">
        <v>0.7778</v>
      </c>
      <c r="V1238" t="b">
        <v>1</v>
      </c>
      <c r="X1238" t="b">
        <v>0</v>
      </c>
      <c r="Y1238" t="inlineStr">
        <is>
          <t>ON</t>
        </is>
      </c>
      <c r="Z1238" t="n">
        <v>935</v>
      </c>
      <c r="AA1238" t="n">
        <v>2.5</v>
      </c>
      <c r="AB1238" t="n">
        <v>9.5</v>
      </c>
    </row>
    <row r="1239">
      <c r="A1239" t="inlineStr">
        <is>
          <t>2026-09-24 16:02:40</t>
        </is>
      </c>
      <c r="B1239" t="inlineStr">
        <is>
          <t>MLLB_000_y1.0.3</t>
        </is>
      </c>
      <c r="C1239" t="inlineStr">
        <is>
          <t>WHITE</t>
        </is>
      </c>
      <c r="D1239" t="inlineStr">
        <is>
          <t>v4_white_MLLB_000_y103_0924</t>
        </is>
      </c>
      <c r="E1239" t="n">
        <v>3.2</v>
      </c>
      <c r="F1239" t="n">
        <v>3.208</v>
      </c>
      <c r="G1239" t="n">
        <v>7</v>
      </c>
      <c r="H1239" t="n">
        <v>100</v>
      </c>
      <c r="I1239" t="n">
        <v>16</v>
      </c>
      <c r="J1239" t="inlineStr">
        <is>
          <t>kaba</t>
        </is>
      </c>
      <c r="K1239" t="b">
        <v>1</v>
      </c>
      <c r="M1239" t="n">
        <v>204</v>
      </c>
      <c r="N1239" t="n">
        <v>44</v>
      </c>
      <c r="O1239" t="n">
        <v>180</v>
      </c>
      <c r="P1239" t="n">
        <v>798</v>
      </c>
      <c r="Q1239" t="n">
        <v>1002</v>
      </c>
      <c r="R1239" t="n">
        <v>1.089</v>
      </c>
      <c r="S1239" t="n">
        <v>12.81</v>
      </c>
      <c r="T1239" t="n">
        <v>11.758</v>
      </c>
      <c r="U1239" t="n">
        <v>0.7776</v>
      </c>
      <c r="V1239" t="b">
        <v>1</v>
      </c>
      <c r="X1239" t="b">
        <v>0</v>
      </c>
      <c r="Y1239" t="inlineStr">
        <is>
          <t>ON</t>
        </is>
      </c>
      <c r="Z1239" t="n">
        <v>935</v>
      </c>
      <c r="AA1239" t="n">
        <v>2.5</v>
      </c>
      <c r="AB1239" t="n">
        <v>9.5</v>
      </c>
    </row>
    <row r="1240">
      <c r="A1240" t="inlineStr">
        <is>
          <t>2026-09-24 16:02:56</t>
        </is>
      </c>
      <c r="B1240" t="inlineStr">
        <is>
          <t>MLLB_000_y1.0.3</t>
        </is>
      </c>
      <c r="C1240" t="inlineStr">
        <is>
          <t>WHITE</t>
        </is>
      </c>
      <c r="D1240" t="inlineStr">
        <is>
          <t>v4_white_MLLB_000_y103_0924</t>
        </is>
      </c>
      <c r="E1240" t="n">
        <v>3.2</v>
      </c>
      <c r="F1240" t="n">
        <v>3.208</v>
      </c>
      <c r="G1240" t="n">
        <v>7</v>
      </c>
      <c r="H1240" t="n">
        <v>100</v>
      </c>
      <c r="I1240" t="n">
        <v>20</v>
      </c>
      <c r="J1240" t="inlineStr">
        <is>
          <t>kaba</t>
        </is>
      </c>
      <c r="K1240" t="b">
        <v>1</v>
      </c>
      <c r="M1240" t="n">
        <v>136</v>
      </c>
      <c r="N1240" t="n">
        <v>40</v>
      </c>
      <c r="O1240" t="n">
        <v>110</v>
      </c>
      <c r="P1240" t="n">
        <v>866</v>
      </c>
      <c r="Q1240" t="n">
        <v>1002</v>
      </c>
      <c r="R1240" t="n">
        <v>1.081</v>
      </c>
      <c r="S1240" t="n">
        <v>12.739</v>
      </c>
      <c r="T1240" t="n">
        <v>11.785</v>
      </c>
      <c r="U1240" t="n">
        <v>0.7786</v>
      </c>
      <c r="V1240" t="b">
        <v>1</v>
      </c>
      <c r="X1240" t="b">
        <v>0</v>
      </c>
      <c r="Y1240" t="inlineStr">
        <is>
          <t>ON</t>
        </is>
      </c>
      <c r="Z1240" t="n">
        <v>935</v>
      </c>
      <c r="AA1240" t="n">
        <v>2.5</v>
      </c>
      <c r="AB1240" t="n">
        <v>9.5</v>
      </c>
    </row>
    <row r="1241">
      <c r="A1241" t="inlineStr">
        <is>
          <t>2026-09-24 16:03:12</t>
        </is>
      </c>
      <c r="B1241" t="inlineStr">
        <is>
          <t>MLLB_000_y1.0.3</t>
        </is>
      </c>
      <c r="C1241" t="inlineStr">
        <is>
          <t>WHITE</t>
        </is>
      </c>
      <c r="D1241" t="inlineStr">
        <is>
          <t>v4_white_MLLB_000_y103_0924</t>
        </is>
      </c>
      <c r="E1241" t="n">
        <v>3.2</v>
      </c>
      <c r="F1241" t="n">
        <v>3.208</v>
      </c>
      <c r="G1241" t="n">
        <v>7</v>
      </c>
      <c r="H1241" t="n">
        <v>100</v>
      </c>
      <c r="I1241" t="n">
        <v>24</v>
      </c>
      <c r="J1241" t="inlineStr">
        <is>
          <t>kaba</t>
        </is>
      </c>
      <c r="K1241" t="b">
        <v>1</v>
      </c>
      <c r="M1241" t="n">
        <v>66</v>
      </c>
      <c r="N1241" t="n">
        <v>46</v>
      </c>
      <c r="O1241" t="n">
        <v>38</v>
      </c>
      <c r="P1241" t="n">
        <v>936</v>
      </c>
      <c r="Q1241" t="n">
        <v>1002</v>
      </c>
      <c r="R1241" t="n">
        <v>1.074</v>
      </c>
      <c r="S1241" t="n">
        <v>12.717</v>
      </c>
      <c r="T1241" t="n">
        <v>11.836</v>
      </c>
      <c r="U1241" t="n">
        <v>0.7782</v>
      </c>
      <c r="V1241" t="b">
        <v>1</v>
      </c>
      <c r="X1241" t="b">
        <v>1</v>
      </c>
      <c r="Z1241" t="n">
        <v>935</v>
      </c>
      <c r="AA1241" t="n">
        <v>2.5</v>
      </c>
      <c r="AB1241" t="n">
        <v>9.5</v>
      </c>
    </row>
    <row r="1242">
      <c r="A1242" t="inlineStr">
        <is>
          <t>2026-09-24 16:03:28</t>
        </is>
      </c>
      <c r="B1242" t="inlineStr">
        <is>
          <t>MLLB_000_y1.0.3</t>
        </is>
      </c>
      <c r="C1242" t="inlineStr">
        <is>
          <t>WHITE</t>
        </is>
      </c>
      <c r="D1242" t="inlineStr">
        <is>
          <t>v4_white_MLLB_000_y103_0924</t>
        </is>
      </c>
      <c r="E1242" t="n">
        <v>3.2</v>
      </c>
      <c r="F1242" t="n">
        <v>3.208</v>
      </c>
      <c r="G1242" t="n">
        <v>7</v>
      </c>
      <c r="H1242" t="n">
        <v>100</v>
      </c>
      <c r="I1242" t="n">
        <v>28</v>
      </c>
      <c r="J1242" t="inlineStr">
        <is>
          <t>kaba</t>
        </is>
      </c>
      <c r="K1242" t="b">
        <v>1</v>
      </c>
      <c r="M1242" t="n">
        <v>34</v>
      </c>
      <c r="N1242" t="n">
        <v>28</v>
      </c>
      <c r="O1242" t="n">
        <v>14</v>
      </c>
      <c r="P1242" t="n">
        <v>968</v>
      </c>
      <c r="Q1242" t="n">
        <v>1002</v>
      </c>
      <c r="R1242" t="n">
        <v>1.658</v>
      </c>
      <c r="S1242" t="n">
        <v>19.603</v>
      </c>
      <c r="T1242" t="n">
        <v>11.826</v>
      </c>
      <c r="U1242" t="n">
        <v>0.7782</v>
      </c>
      <c r="V1242" t="b">
        <v>1</v>
      </c>
      <c r="X1242" t="b">
        <v>1</v>
      </c>
      <c r="Z1242" t="n">
        <v>935</v>
      </c>
      <c r="AA1242" t="n">
        <v>2.5</v>
      </c>
      <c r="AB1242" t="n">
        <v>9.5</v>
      </c>
    </row>
    <row r="1243">
      <c r="A1243" t="inlineStr">
        <is>
          <t>2026-09-24 16:03:44</t>
        </is>
      </c>
      <c r="B1243" t="inlineStr">
        <is>
          <t>MLLB_000_y1.0.3</t>
        </is>
      </c>
      <c r="C1243" t="inlineStr">
        <is>
          <t>WHITE</t>
        </is>
      </c>
      <c r="D1243" t="inlineStr">
        <is>
          <t>v4_white_MLLB_000_y103_0924</t>
        </is>
      </c>
      <c r="E1243" t="n">
        <v>3.2</v>
      </c>
      <c r="F1243" t="n">
        <v>3.208</v>
      </c>
      <c r="G1243" t="n">
        <v>7</v>
      </c>
      <c r="H1243" t="n">
        <v>100</v>
      </c>
      <c r="I1243" t="n">
        <v>32</v>
      </c>
      <c r="J1243" t="inlineStr">
        <is>
          <t>kaba</t>
        </is>
      </c>
      <c r="K1243" t="b">
        <v>1</v>
      </c>
      <c r="M1243" t="n">
        <v>34</v>
      </c>
      <c r="N1243" t="n">
        <v>28</v>
      </c>
      <c r="O1243" t="n">
        <v>14</v>
      </c>
      <c r="P1243" t="n">
        <v>968</v>
      </c>
      <c r="Q1243" t="n">
        <v>1002</v>
      </c>
      <c r="R1243" t="n">
        <v>15.788</v>
      </c>
      <c r="S1243" t="n">
        <v>186.347</v>
      </c>
      <c r="T1243" t="n">
        <v>11.803</v>
      </c>
      <c r="U1243" t="n">
        <v>0.7774</v>
      </c>
      <c r="V1243" t="b">
        <v>1</v>
      </c>
      <c r="X1243" t="b">
        <v>0</v>
      </c>
      <c r="Y1243" t="inlineStr">
        <is>
          <t>FLAS</t>
        </is>
      </c>
      <c r="Z1243" t="n">
        <v>935</v>
      </c>
      <c r="AA1243" t="n">
        <v>2.5</v>
      </c>
      <c r="AB1243" t="n">
        <v>9.5</v>
      </c>
    </row>
    <row r="1244">
      <c r="A1244" t="inlineStr">
        <is>
          <t>2026-09-24 16:04:00</t>
        </is>
      </c>
      <c r="B1244" t="inlineStr">
        <is>
          <t>MLLB_000_y1.0.3</t>
        </is>
      </c>
      <c r="C1244" t="inlineStr">
        <is>
          <t>WHITE</t>
        </is>
      </c>
      <c r="D1244" t="inlineStr">
        <is>
          <t>v4_white_MLLB_000_y103_0924</t>
        </is>
      </c>
      <c r="E1244" t="n">
        <v>3.2</v>
      </c>
      <c r="F1244" t="n">
        <v>3.208</v>
      </c>
      <c r="G1244" t="n">
        <v>7</v>
      </c>
      <c r="H1244" t="n">
        <v>100</v>
      </c>
      <c r="I1244" t="n">
        <v>21</v>
      </c>
      <c r="J1244" t="inlineStr">
        <is>
          <t>ince</t>
        </is>
      </c>
      <c r="K1244" t="b">
        <v>1</v>
      </c>
      <c r="M1244" t="n">
        <v>118</v>
      </c>
      <c r="N1244" t="n">
        <v>40</v>
      </c>
      <c r="O1244" t="n">
        <v>94</v>
      </c>
      <c r="P1244" t="n">
        <v>884</v>
      </c>
      <c r="Q1244" t="n">
        <v>1002</v>
      </c>
      <c r="R1244" t="n">
        <v>1.085</v>
      </c>
      <c r="S1244" t="n">
        <v>12.81</v>
      </c>
      <c r="T1244" t="n">
        <v>11.808</v>
      </c>
      <c r="U1244" t="n">
        <v>0.778</v>
      </c>
      <c r="V1244" t="b">
        <v>1</v>
      </c>
      <c r="X1244" t="b">
        <v>0</v>
      </c>
      <c r="Y1244" t="inlineStr">
        <is>
          <t>ON</t>
        </is>
      </c>
      <c r="Z1244" t="n">
        <v>935</v>
      </c>
      <c r="AA1244" t="n">
        <v>2.5</v>
      </c>
      <c r="AB1244" t="n">
        <v>9.5</v>
      </c>
    </row>
    <row r="1245">
      <c r="A1245" t="inlineStr">
        <is>
          <t>2026-09-24 16:04:16</t>
        </is>
      </c>
      <c r="B1245" t="inlineStr">
        <is>
          <t>MLLB_000_y1.0.3</t>
        </is>
      </c>
      <c r="C1245" t="inlineStr">
        <is>
          <t>WHITE</t>
        </is>
      </c>
      <c r="D1245" t="inlineStr">
        <is>
          <t>v4_white_MLLB_000_y103_0924</t>
        </is>
      </c>
      <c r="E1245" t="n">
        <v>3.2</v>
      </c>
      <c r="F1245" t="n">
        <v>3.208</v>
      </c>
      <c r="G1245" t="n">
        <v>7</v>
      </c>
      <c r="H1245" t="n">
        <v>100</v>
      </c>
      <c r="I1245" t="n">
        <v>22</v>
      </c>
      <c r="J1245" t="inlineStr">
        <is>
          <t>ince</t>
        </is>
      </c>
      <c r="K1245" t="b">
        <v>1</v>
      </c>
      <c r="M1245" t="n">
        <v>102</v>
      </c>
      <c r="N1245" t="n">
        <v>44</v>
      </c>
      <c r="O1245" t="n">
        <v>76</v>
      </c>
      <c r="P1245" t="n">
        <v>900</v>
      </c>
      <c r="Q1245" t="n">
        <v>1002</v>
      </c>
      <c r="R1245" t="n">
        <v>1.076</v>
      </c>
      <c r="S1245" t="n">
        <v>12.717</v>
      </c>
      <c r="T1245" t="n">
        <v>11.814</v>
      </c>
      <c r="U1245" t="n">
        <v>0.7782</v>
      </c>
      <c r="V1245" t="b">
        <v>1</v>
      </c>
      <c r="X1245" t="b">
        <v>0</v>
      </c>
      <c r="Y1245" t="inlineStr">
        <is>
          <t>ON</t>
        </is>
      </c>
      <c r="Z1245" t="n">
        <v>935</v>
      </c>
      <c r="AA1245" t="n">
        <v>2.5</v>
      </c>
      <c r="AB1245" t="n">
        <v>9.5</v>
      </c>
    </row>
    <row r="1246">
      <c r="A1246" t="inlineStr">
        <is>
          <t>2026-09-24 16:04:32</t>
        </is>
      </c>
      <c r="B1246" t="inlineStr">
        <is>
          <t>MLLB_000_y1.0.3</t>
        </is>
      </c>
      <c r="C1246" t="inlineStr">
        <is>
          <t>WHITE</t>
        </is>
      </c>
      <c r="D1246" t="inlineStr">
        <is>
          <t>v4_white_MLLB_000_y103_0924</t>
        </is>
      </c>
      <c r="E1246" t="n">
        <v>3.2</v>
      </c>
      <c r="F1246" t="n">
        <v>3.208</v>
      </c>
      <c r="G1246" t="n">
        <v>7</v>
      </c>
      <c r="H1246" t="n">
        <v>100</v>
      </c>
      <c r="I1246" t="n">
        <v>23</v>
      </c>
      <c r="J1246" t="inlineStr">
        <is>
          <t>ince</t>
        </is>
      </c>
      <c r="K1246" t="b">
        <v>1</v>
      </c>
      <c r="M1246" t="n">
        <v>82</v>
      </c>
      <c r="N1246" t="n">
        <v>40</v>
      </c>
      <c r="O1246" t="n">
        <v>58</v>
      </c>
      <c r="P1246" t="n">
        <v>920</v>
      </c>
      <c r="Q1246" t="n">
        <v>1002</v>
      </c>
      <c r="R1246" t="n">
        <v>1.077</v>
      </c>
      <c r="S1246" t="n">
        <v>12.764</v>
      </c>
      <c r="T1246" t="n">
        <v>11.848</v>
      </c>
      <c r="U1246" t="n">
        <v>0.7783</v>
      </c>
      <c r="V1246" t="b">
        <v>1</v>
      </c>
      <c r="X1246" t="b">
        <v>0</v>
      </c>
      <c r="Y1246" t="inlineStr">
        <is>
          <t>ON</t>
        </is>
      </c>
      <c r="Z1246" t="n">
        <v>935</v>
      </c>
      <c r="AA1246" t="n">
        <v>2.5</v>
      </c>
      <c r="AB1246" t="n">
        <v>9.5</v>
      </c>
    </row>
    <row r="1247">
      <c r="A1247" t="inlineStr">
        <is>
          <t>2026-09-24 16:04:32</t>
        </is>
      </c>
      <c r="B1247" t="inlineStr">
        <is>
          <t>MLLB_000_y1.0.3</t>
        </is>
      </c>
      <c r="C1247" t="inlineStr">
        <is>
          <t>WHITE</t>
        </is>
      </c>
      <c r="D1247" t="inlineStr">
        <is>
          <t>v4_white_MLLB_000_y103_0924</t>
        </is>
      </c>
      <c r="E1247" t="n">
        <v>3.2</v>
      </c>
      <c r="F1247" t="n">
        <v>3.208</v>
      </c>
      <c r="G1247" t="n">
        <v>7</v>
      </c>
      <c r="H1247" t="n">
        <v>100</v>
      </c>
      <c r="I1247" t="n">
        <v>25</v>
      </c>
      <c r="J1247" t="inlineStr">
        <is>
          <t>ince</t>
        </is>
      </c>
      <c r="K1247" t="b">
        <v>0</v>
      </c>
      <c r="L1247" t="inlineStr">
        <is>
          <t>iki-OK-arasi-monotonluk</t>
        </is>
      </c>
      <c r="X1247" t="b">
        <v>1</v>
      </c>
      <c r="Z1247" t="n">
        <v>935</v>
      </c>
      <c r="AA1247" t="n">
        <v>2.5</v>
      </c>
      <c r="AB1247" t="n">
        <v>9.5</v>
      </c>
    </row>
    <row r="1248">
      <c r="A1248" t="inlineStr">
        <is>
          <t>2026-09-24 16:04:32</t>
        </is>
      </c>
      <c r="B1248" t="inlineStr">
        <is>
          <t>MLLB_000_y1.0.3</t>
        </is>
      </c>
      <c r="C1248" t="inlineStr">
        <is>
          <t>WHITE</t>
        </is>
      </c>
      <c r="D1248" t="inlineStr">
        <is>
          <t>v4_white_MLLB_000_y103_0924</t>
        </is>
      </c>
      <c r="E1248" t="n">
        <v>3.2</v>
      </c>
      <c r="F1248" t="n">
        <v>3.208</v>
      </c>
      <c r="G1248" t="n">
        <v>7</v>
      </c>
      <c r="H1248" t="n">
        <v>100</v>
      </c>
      <c r="I1248" t="n">
        <v>26</v>
      </c>
      <c r="J1248" t="inlineStr">
        <is>
          <t>ince</t>
        </is>
      </c>
      <c r="K1248" t="b">
        <v>0</v>
      </c>
      <c r="L1248" t="inlineStr">
        <is>
          <t>iki-OK-arasi-monotonluk</t>
        </is>
      </c>
      <c r="X1248" t="b">
        <v>1</v>
      </c>
      <c r="Z1248" t="n">
        <v>935</v>
      </c>
      <c r="AA1248" t="n">
        <v>2.5</v>
      </c>
      <c r="AB1248" t="n">
        <v>9.5</v>
      </c>
    </row>
    <row r="1249">
      <c r="A1249" t="inlineStr">
        <is>
          <t>2026-09-24 16:04:32</t>
        </is>
      </c>
      <c r="B1249" t="inlineStr">
        <is>
          <t>MLLB_000_y1.0.3</t>
        </is>
      </c>
      <c r="C1249" t="inlineStr">
        <is>
          <t>WHITE</t>
        </is>
      </c>
      <c r="D1249" t="inlineStr">
        <is>
          <t>v4_white_MLLB_000_y103_0924</t>
        </is>
      </c>
      <c r="E1249" t="n">
        <v>3.2</v>
      </c>
      <c r="F1249" t="n">
        <v>3.208</v>
      </c>
      <c r="G1249" t="n">
        <v>7</v>
      </c>
      <c r="H1249" t="n">
        <v>100</v>
      </c>
      <c r="I1249" t="n">
        <v>27</v>
      </c>
      <c r="J1249" t="inlineStr">
        <is>
          <t>ince</t>
        </is>
      </c>
      <c r="K1249" t="b">
        <v>0</v>
      </c>
      <c r="L1249" t="inlineStr">
        <is>
          <t>iki-OK-arasi-monotonluk</t>
        </is>
      </c>
      <c r="X1249" t="b">
        <v>1</v>
      </c>
      <c r="Z1249" t="n">
        <v>935</v>
      </c>
      <c r="AA1249" t="n">
        <v>2.5</v>
      </c>
      <c r="AB1249" t="n">
        <v>9.5</v>
      </c>
    </row>
    <row r="1250">
      <c r="A1250" t="inlineStr">
        <is>
          <t>2026-09-24 16:04:48</t>
        </is>
      </c>
      <c r="B1250" t="inlineStr">
        <is>
          <t>MLLB_000_y1.0.3</t>
        </is>
      </c>
      <c r="C1250" t="inlineStr">
        <is>
          <t>WHITE</t>
        </is>
      </c>
      <c r="D1250" t="inlineStr">
        <is>
          <t>v4_white_MLLB_000_y103_0924</t>
        </is>
      </c>
      <c r="E1250" t="n">
        <v>3.2</v>
      </c>
      <c r="F1250" t="n">
        <v>3.208</v>
      </c>
      <c r="G1250" t="n">
        <v>7</v>
      </c>
      <c r="H1250" t="n">
        <v>100</v>
      </c>
      <c r="I1250" t="n">
        <v>29</v>
      </c>
      <c r="J1250" t="inlineStr">
        <is>
          <t>ince</t>
        </is>
      </c>
      <c r="K1250" t="b">
        <v>1</v>
      </c>
      <c r="M1250" t="n">
        <v>34</v>
      </c>
      <c r="N1250" t="n">
        <v>28</v>
      </c>
      <c r="O1250" t="n">
        <v>14</v>
      </c>
      <c r="P1250" t="n">
        <v>968</v>
      </c>
      <c r="Q1250" t="n">
        <v>1002</v>
      </c>
      <c r="R1250" t="n">
        <v>4.85</v>
      </c>
      <c r="S1250" t="n">
        <v>57.326</v>
      </c>
      <c r="T1250" t="n">
        <v>11.821</v>
      </c>
      <c r="U1250" t="n">
        <v>0.7776999999999999</v>
      </c>
      <c r="V1250" t="b">
        <v>1</v>
      </c>
      <c r="X1250" t="b">
        <v>0</v>
      </c>
      <c r="Y1250" t="inlineStr">
        <is>
          <t>FLAS</t>
        </is>
      </c>
      <c r="Z1250" t="n">
        <v>935</v>
      </c>
      <c r="AA1250" t="n">
        <v>2.5</v>
      </c>
      <c r="AB1250" t="n">
        <v>9.5</v>
      </c>
    </row>
    <row r="1251">
      <c r="A1251" t="inlineStr">
        <is>
          <t>2026-09-24 16:05:04</t>
        </is>
      </c>
      <c r="B1251" t="inlineStr">
        <is>
          <t>MLLB_000_y1.0.3</t>
        </is>
      </c>
      <c r="C1251" t="inlineStr">
        <is>
          <t>WHITE</t>
        </is>
      </c>
      <c r="D1251" t="inlineStr">
        <is>
          <t>v4_white_MLLB_000_y103_0924</t>
        </is>
      </c>
      <c r="E1251" t="n">
        <v>3.2</v>
      </c>
      <c r="F1251" t="n">
        <v>3.208</v>
      </c>
      <c r="G1251" t="n">
        <v>7</v>
      </c>
      <c r="H1251" t="n">
        <v>100</v>
      </c>
      <c r="I1251" t="n">
        <v>30</v>
      </c>
      <c r="J1251" t="inlineStr">
        <is>
          <t>ince</t>
        </is>
      </c>
      <c r="K1251" t="b">
        <v>1</v>
      </c>
      <c r="M1251" t="n">
        <v>34</v>
      </c>
      <c r="N1251" t="n">
        <v>28</v>
      </c>
      <c r="O1251" t="n">
        <v>14</v>
      </c>
      <c r="P1251" t="n">
        <v>968</v>
      </c>
      <c r="Q1251" t="n">
        <v>1002</v>
      </c>
      <c r="R1251" t="n">
        <v>10.519</v>
      </c>
      <c r="S1251" t="n">
        <v>124.059</v>
      </c>
      <c r="T1251" t="n">
        <v>11.794</v>
      </c>
      <c r="U1251" t="n">
        <v>0.7782</v>
      </c>
      <c r="V1251" t="b">
        <v>1</v>
      </c>
      <c r="X1251" t="b">
        <v>0</v>
      </c>
      <c r="Y1251" t="inlineStr">
        <is>
          <t>FLAS</t>
        </is>
      </c>
      <c r="Z1251" t="n">
        <v>935</v>
      </c>
      <c r="AA1251" t="n">
        <v>2.5</v>
      </c>
      <c r="AB1251" t="n">
        <v>9.5</v>
      </c>
    </row>
    <row r="1252">
      <c r="A1252" t="inlineStr">
        <is>
          <t>2026-09-24 16:05:20</t>
        </is>
      </c>
      <c r="B1252" t="inlineStr">
        <is>
          <t>MLLB_000_y1.0.3</t>
        </is>
      </c>
      <c r="C1252" t="inlineStr">
        <is>
          <t>WHITE</t>
        </is>
      </c>
      <c r="D1252" t="inlineStr">
        <is>
          <t>v4_white_MLLB_000_y103_0924</t>
        </is>
      </c>
      <c r="E1252" t="n">
        <v>3.2</v>
      </c>
      <c r="F1252" t="n">
        <v>3.208</v>
      </c>
      <c r="G1252" t="n">
        <v>7</v>
      </c>
      <c r="H1252" t="n">
        <v>100</v>
      </c>
      <c r="I1252" t="n">
        <v>31</v>
      </c>
      <c r="J1252" t="inlineStr">
        <is>
          <t>ince</t>
        </is>
      </c>
      <c r="K1252" t="b">
        <v>1</v>
      </c>
      <c r="M1252" t="n">
        <v>34</v>
      </c>
      <c r="N1252" t="n">
        <v>28</v>
      </c>
      <c r="O1252" t="n">
        <v>14</v>
      </c>
      <c r="P1252" t="n">
        <v>968</v>
      </c>
      <c r="Q1252" t="n">
        <v>1002</v>
      </c>
      <c r="R1252" t="n">
        <v>14.428</v>
      </c>
      <c r="S1252" t="n">
        <v>170.324</v>
      </c>
      <c r="T1252" t="n">
        <v>11.805</v>
      </c>
      <c r="U1252" t="n">
        <v>0.7782</v>
      </c>
      <c r="V1252" t="b">
        <v>1</v>
      </c>
      <c r="X1252" t="b">
        <v>0</v>
      </c>
      <c r="Y1252" t="inlineStr">
        <is>
          <t>FLAS</t>
        </is>
      </c>
      <c r="Z1252" t="n">
        <v>935</v>
      </c>
      <c r="AA1252" t="n">
        <v>2.5</v>
      </c>
      <c r="AB1252" t="n">
        <v>9.5</v>
      </c>
    </row>
    <row r="1253">
      <c r="A1253" t="inlineStr">
        <is>
          <t>2026-09-24 16:05:20</t>
        </is>
      </c>
      <c r="B1253" t="inlineStr">
        <is>
          <t>MLLB_000_y1.0.3</t>
        </is>
      </c>
      <c r="C1253" t="inlineStr">
        <is>
          <t>WHITE</t>
        </is>
      </c>
      <c r="D1253" t="inlineStr">
        <is>
          <t>v4_white_MLLB_000_y103_0924</t>
        </is>
      </c>
      <c r="E1253" t="n">
        <v>3.2</v>
      </c>
      <c r="F1253" t="n">
        <v>3.208</v>
      </c>
      <c r="G1253" t="n">
        <v>7</v>
      </c>
      <c r="H1253" t="n">
        <v>100</v>
      </c>
      <c r="J1253" t="inlineStr">
        <is>
          <t>bitti</t>
        </is>
      </c>
      <c r="K1253" t="b">
        <v>0</v>
      </c>
      <c r="Z1253" t="n">
        <v>935</v>
      </c>
      <c r="AA1253" t="n">
        <v>2.5</v>
      </c>
      <c r="AB1253" t="n">
        <v>9.5</v>
      </c>
    </row>
    <row r="1254">
      <c r="A1254" t="inlineStr">
        <is>
          <t>2026-09-24 16:05:36</t>
        </is>
      </c>
      <c r="B1254" t="inlineStr">
        <is>
          <t>MLLB_000_y1.0.3</t>
        </is>
      </c>
      <c r="C1254" t="inlineStr">
        <is>
          <t>WHITE</t>
        </is>
      </c>
      <c r="D1254" t="inlineStr">
        <is>
          <t>v4_white_MLLB_000_y103_0924</t>
        </is>
      </c>
      <c r="E1254" t="n">
        <v>3.2</v>
      </c>
      <c r="F1254" t="n">
        <v>3.208</v>
      </c>
      <c r="G1254" t="n">
        <v>7</v>
      </c>
      <c r="H1254" t="n">
        <v>80</v>
      </c>
      <c r="I1254" t="n">
        <v>12</v>
      </c>
      <c r="J1254" t="inlineStr">
        <is>
          <t>kaba</t>
        </is>
      </c>
      <c r="K1254" t="b">
        <v>1</v>
      </c>
      <c r="M1254" t="n">
        <v>308</v>
      </c>
      <c r="N1254" t="n">
        <v>40</v>
      </c>
      <c r="O1254" t="n">
        <v>282</v>
      </c>
      <c r="P1254" t="n">
        <v>694</v>
      </c>
      <c r="Q1254" t="n">
        <v>1002</v>
      </c>
      <c r="R1254" t="n">
        <v>1.088</v>
      </c>
      <c r="S1254" t="n">
        <v>12.693</v>
      </c>
      <c r="T1254" t="n">
        <v>11.668</v>
      </c>
      <c r="U1254" t="n">
        <v>0.7776999999999999</v>
      </c>
      <c r="V1254" t="b">
        <v>1</v>
      </c>
      <c r="X1254" t="b">
        <v>0</v>
      </c>
      <c r="Y1254" t="inlineStr">
        <is>
          <t>ON</t>
        </is>
      </c>
      <c r="Z1254" t="n">
        <v>935</v>
      </c>
      <c r="AA1254" t="n">
        <v>2.5</v>
      </c>
      <c r="AB1254" t="n">
        <v>9.5</v>
      </c>
    </row>
    <row r="1255">
      <c r="A1255" t="inlineStr">
        <is>
          <t>2026-09-24 16:05:52</t>
        </is>
      </c>
      <c r="B1255" t="inlineStr">
        <is>
          <t>MLLB_000_y1.0.3</t>
        </is>
      </c>
      <c r="C1255" t="inlineStr">
        <is>
          <t>WHITE</t>
        </is>
      </c>
      <c r="D1255" t="inlineStr">
        <is>
          <t>v4_white_MLLB_000_y103_0924</t>
        </is>
      </c>
      <c r="E1255" t="n">
        <v>3.2</v>
      </c>
      <c r="F1255" t="n">
        <v>3.208</v>
      </c>
      <c r="G1255" t="n">
        <v>7</v>
      </c>
      <c r="H1255" t="n">
        <v>80</v>
      </c>
      <c r="I1255" t="n">
        <v>16</v>
      </c>
      <c r="J1255" t="inlineStr">
        <is>
          <t>kaba</t>
        </is>
      </c>
      <c r="K1255" t="b">
        <v>1</v>
      </c>
      <c r="M1255" t="n">
        <v>252</v>
      </c>
      <c r="N1255" t="n">
        <v>40</v>
      </c>
      <c r="O1255" t="n">
        <v>226</v>
      </c>
      <c r="P1255" t="n">
        <v>750</v>
      </c>
      <c r="Q1255" t="n">
        <v>1002</v>
      </c>
      <c r="R1255" t="n">
        <v>1.094</v>
      </c>
      <c r="S1255" t="n">
        <v>12.81</v>
      </c>
      <c r="T1255" t="n">
        <v>11.712</v>
      </c>
      <c r="U1255" t="n">
        <v>0.7774</v>
      </c>
      <c r="V1255" t="b">
        <v>1</v>
      </c>
      <c r="X1255" t="b">
        <v>0</v>
      </c>
      <c r="Y1255" t="inlineStr">
        <is>
          <t>ON</t>
        </is>
      </c>
      <c r="Z1255" t="n">
        <v>935</v>
      </c>
      <c r="AA1255" t="n">
        <v>2.5</v>
      </c>
      <c r="AB1255" t="n">
        <v>9.5</v>
      </c>
    </row>
    <row r="1256">
      <c r="A1256" t="inlineStr">
        <is>
          <t>2026-09-24 16:06:08</t>
        </is>
      </c>
      <c r="B1256" t="inlineStr">
        <is>
          <t>MLLB_000_y1.0.3</t>
        </is>
      </c>
      <c r="C1256" t="inlineStr">
        <is>
          <t>WHITE</t>
        </is>
      </c>
      <c r="D1256" t="inlineStr">
        <is>
          <t>v4_white_MLLB_000_y103_0924</t>
        </is>
      </c>
      <c r="E1256" t="n">
        <v>3.2</v>
      </c>
      <c r="F1256" t="n">
        <v>3.208</v>
      </c>
      <c r="G1256" t="n">
        <v>7</v>
      </c>
      <c r="H1256" t="n">
        <v>80</v>
      </c>
      <c r="I1256" t="n">
        <v>20</v>
      </c>
      <c r="J1256" t="inlineStr">
        <is>
          <t>kaba</t>
        </is>
      </c>
      <c r="K1256" t="b">
        <v>1</v>
      </c>
      <c r="M1256" t="n">
        <v>196</v>
      </c>
      <c r="N1256" t="n">
        <v>40</v>
      </c>
      <c r="O1256" t="n">
        <v>170</v>
      </c>
      <c r="P1256" t="n">
        <v>806</v>
      </c>
      <c r="Q1256" t="n">
        <v>1002</v>
      </c>
      <c r="R1256" t="n">
        <v>1.081</v>
      </c>
      <c r="S1256" t="n">
        <v>12.717</v>
      </c>
      <c r="T1256" t="n">
        <v>11.762</v>
      </c>
      <c r="U1256" t="n">
        <v>0.778</v>
      </c>
      <c r="V1256" t="b">
        <v>1</v>
      </c>
      <c r="X1256" t="b">
        <v>0</v>
      </c>
      <c r="Y1256" t="inlineStr">
        <is>
          <t>ON</t>
        </is>
      </c>
      <c r="Z1256" t="n">
        <v>935</v>
      </c>
      <c r="AA1256" t="n">
        <v>2.5</v>
      </c>
      <c r="AB1256" t="n">
        <v>9.5</v>
      </c>
    </row>
    <row r="1257">
      <c r="A1257" t="inlineStr">
        <is>
          <t>2026-09-24 16:06:24</t>
        </is>
      </c>
      <c r="B1257" t="inlineStr">
        <is>
          <t>MLLB_000_y1.0.3</t>
        </is>
      </c>
      <c r="C1257" t="inlineStr">
        <is>
          <t>WHITE</t>
        </is>
      </c>
      <c r="D1257" t="inlineStr">
        <is>
          <t>v4_white_MLLB_000_y103_0924</t>
        </is>
      </c>
      <c r="E1257" t="n">
        <v>3.2</v>
      </c>
      <c r="F1257" t="n">
        <v>3.208</v>
      </c>
      <c r="G1257" t="n">
        <v>7</v>
      </c>
      <c r="H1257" t="n">
        <v>80</v>
      </c>
      <c r="I1257" t="n">
        <v>24</v>
      </c>
      <c r="J1257" t="inlineStr">
        <is>
          <t>kaba</t>
        </is>
      </c>
      <c r="K1257" t="b">
        <v>1</v>
      </c>
      <c r="M1257" t="n">
        <v>140</v>
      </c>
      <c r="N1257" t="n">
        <v>46</v>
      </c>
      <c r="O1257" t="n">
        <v>114</v>
      </c>
      <c r="P1257" t="n">
        <v>862</v>
      </c>
      <c r="Q1257" t="n">
        <v>1002</v>
      </c>
      <c r="R1257" t="n">
        <v>1.085</v>
      </c>
      <c r="S1257" t="n">
        <v>12.81</v>
      </c>
      <c r="T1257" t="n">
        <v>11.809</v>
      </c>
      <c r="U1257" t="n">
        <v>0.7774</v>
      </c>
      <c r="V1257" t="b">
        <v>1</v>
      </c>
      <c r="X1257" t="b">
        <v>0</v>
      </c>
      <c r="Y1257" t="inlineStr">
        <is>
          <t>ON</t>
        </is>
      </c>
      <c r="Z1257" t="n">
        <v>935</v>
      </c>
      <c r="AA1257" t="n">
        <v>2.5</v>
      </c>
      <c r="AB1257" t="n">
        <v>9.5</v>
      </c>
    </row>
    <row r="1258">
      <c r="A1258" t="inlineStr">
        <is>
          <t>2026-09-24 16:06:39</t>
        </is>
      </c>
      <c r="B1258" t="inlineStr">
        <is>
          <t>MLLB_000_y1.0.3</t>
        </is>
      </c>
      <c r="C1258" t="inlineStr">
        <is>
          <t>WHITE</t>
        </is>
      </c>
      <c r="D1258" t="inlineStr">
        <is>
          <t>v4_white_MLLB_000_y103_0924</t>
        </is>
      </c>
      <c r="E1258" t="n">
        <v>3.2</v>
      </c>
      <c r="F1258" t="n">
        <v>3.208</v>
      </c>
      <c r="G1258" t="n">
        <v>7</v>
      </c>
      <c r="H1258" t="n">
        <v>80</v>
      </c>
      <c r="I1258" t="n">
        <v>28</v>
      </c>
      <c r="J1258" t="inlineStr">
        <is>
          <t>kaba</t>
        </is>
      </c>
      <c r="K1258" t="b">
        <v>1</v>
      </c>
      <c r="M1258" t="n">
        <v>84</v>
      </c>
      <c r="N1258" t="n">
        <v>40</v>
      </c>
      <c r="O1258" t="n">
        <v>58</v>
      </c>
      <c r="P1258" t="n">
        <v>918</v>
      </c>
      <c r="Q1258" t="n">
        <v>1002</v>
      </c>
      <c r="R1258" t="n">
        <v>1.081</v>
      </c>
      <c r="S1258" t="n">
        <v>12.81</v>
      </c>
      <c r="T1258" t="n">
        <v>11.846</v>
      </c>
      <c r="U1258" t="n">
        <v>0.7776999999999999</v>
      </c>
      <c r="V1258" t="b">
        <v>1</v>
      </c>
      <c r="X1258" t="b">
        <v>0</v>
      </c>
      <c r="Y1258" t="inlineStr">
        <is>
          <t>ON</t>
        </is>
      </c>
      <c r="Z1258" t="n">
        <v>935</v>
      </c>
      <c r="AA1258" t="n">
        <v>2.5</v>
      </c>
      <c r="AB1258" t="n">
        <v>9.5</v>
      </c>
    </row>
    <row r="1259">
      <c r="A1259" t="inlineStr">
        <is>
          <t>2026-09-24 16:06:56</t>
        </is>
      </c>
      <c r="B1259" t="inlineStr">
        <is>
          <t>MLLB_000_y1.0.3</t>
        </is>
      </c>
      <c r="C1259" t="inlineStr">
        <is>
          <t>WHITE</t>
        </is>
      </c>
      <c r="D1259" t="inlineStr">
        <is>
          <t>v4_white_MLLB_000_y103_0924</t>
        </is>
      </c>
      <c r="E1259" t="n">
        <v>3.2</v>
      </c>
      <c r="F1259" t="n">
        <v>3.208</v>
      </c>
      <c r="G1259" t="n">
        <v>7</v>
      </c>
      <c r="H1259" t="n">
        <v>80</v>
      </c>
      <c r="I1259" t="n">
        <v>32</v>
      </c>
      <c r="J1259" t="inlineStr">
        <is>
          <t>kaba</t>
        </is>
      </c>
      <c r="K1259" t="b">
        <v>1</v>
      </c>
      <c r="M1259" t="n">
        <v>38</v>
      </c>
      <c r="N1259" t="n">
        <v>28</v>
      </c>
      <c r="O1259" t="n">
        <v>18</v>
      </c>
      <c r="P1259" t="n">
        <v>964</v>
      </c>
      <c r="Q1259" t="n">
        <v>1002</v>
      </c>
      <c r="R1259" t="n">
        <v>1.08</v>
      </c>
      <c r="S1259" t="n">
        <v>12.764</v>
      </c>
      <c r="T1259" t="n">
        <v>11.823</v>
      </c>
      <c r="U1259" t="n">
        <v>0.7778</v>
      </c>
      <c r="V1259" t="b">
        <v>1</v>
      </c>
      <c r="X1259" t="b">
        <v>1</v>
      </c>
      <c r="Z1259" t="n">
        <v>935</v>
      </c>
      <c r="AA1259" t="n">
        <v>2.5</v>
      </c>
      <c r="AB1259" t="n">
        <v>9.5</v>
      </c>
    </row>
    <row r="1260">
      <c r="A1260" t="inlineStr">
        <is>
          <t>2026-09-24 16:07:12</t>
        </is>
      </c>
      <c r="B1260" t="inlineStr">
        <is>
          <t>MLLB_000_y1.0.3</t>
        </is>
      </c>
      <c r="C1260" t="inlineStr">
        <is>
          <t>WHITE</t>
        </is>
      </c>
      <c r="D1260" t="inlineStr">
        <is>
          <t>v4_white_MLLB_000_y103_0924</t>
        </is>
      </c>
      <c r="E1260" t="n">
        <v>3.2</v>
      </c>
      <c r="F1260" t="n">
        <v>3.208</v>
      </c>
      <c r="G1260" t="n">
        <v>7</v>
      </c>
      <c r="H1260" t="n">
        <v>80</v>
      </c>
      <c r="I1260" t="n">
        <v>36</v>
      </c>
      <c r="J1260" t="inlineStr">
        <is>
          <t>kaba</t>
        </is>
      </c>
      <c r="K1260" t="b">
        <v>1</v>
      </c>
      <c r="M1260" t="n">
        <v>38</v>
      </c>
      <c r="N1260" t="n">
        <v>28</v>
      </c>
      <c r="O1260" t="n">
        <v>18</v>
      </c>
      <c r="P1260" t="n">
        <v>964</v>
      </c>
      <c r="Q1260" t="n">
        <v>1002</v>
      </c>
      <c r="R1260" t="n">
        <v>8.654999999999999</v>
      </c>
      <c r="S1260" t="n">
        <v>102.189</v>
      </c>
      <c r="T1260" t="n">
        <v>11.807</v>
      </c>
      <c r="U1260" t="n">
        <v>0.7778</v>
      </c>
      <c r="V1260" t="b">
        <v>1</v>
      </c>
      <c r="X1260" t="b">
        <v>0</v>
      </c>
      <c r="Y1260" t="inlineStr">
        <is>
          <t>FLAS</t>
        </is>
      </c>
      <c r="Z1260" t="n">
        <v>935</v>
      </c>
      <c r="AA1260" t="n">
        <v>2.5</v>
      </c>
      <c r="AB1260" t="n">
        <v>9.5</v>
      </c>
    </row>
    <row r="1261">
      <c r="A1261" t="inlineStr">
        <is>
          <t>2026-09-24 16:07:28</t>
        </is>
      </c>
      <c r="B1261" t="inlineStr">
        <is>
          <t>MLLB_000_y1.0.3</t>
        </is>
      </c>
      <c r="C1261" t="inlineStr">
        <is>
          <t>WHITE</t>
        </is>
      </c>
      <c r="D1261" t="inlineStr">
        <is>
          <t>v4_white_MLLB_000_y103_0924</t>
        </is>
      </c>
      <c r="E1261" t="n">
        <v>3.2</v>
      </c>
      <c r="F1261" t="n">
        <v>3.208</v>
      </c>
      <c r="G1261" t="n">
        <v>7</v>
      </c>
      <c r="H1261" t="n">
        <v>80</v>
      </c>
      <c r="I1261" t="n">
        <v>29</v>
      </c>
      <c r="J1261" t="inlineStr">
        <is>
          <t>ince</t>
        </is>
      </c>
      <c r="K1261" t="b">
        <v>1</v>
      </c>
      <c r="M1261" t="n">
        <v>68</v>
      </c>
      <c r="N1261" t="n">
        <v>46</v>
      </c>
      <c r="O1261" t="n">
        <v>42</v>
      </c>
      <c r="P1261" t="n">
        <v>934</v>
      </c>
      <c r="Q1261" t="n">
        <v>1002</v>
      </c>
      <c r="R1261" t="n">
        <v>1.076</v>
      </c>
      <c r="S1261" t="n">
        <v>12.72</v>
      </c>
      <c r="T1261" t="n">
        <v>11.823</v>
      </c>
      <c r="U1261" t="n">
        <v>0.7776999999999999</v>
      </c>
      <c r="V1261" t="b">
        <v>1</v>
      </c>
      <c r="X1261" t="b">
        <v>0</v>
      </c>
      <c r="Y1261" t="inlineStr">
        <is>
          <t>ON</t>
        </is>
      </c>
      <c r="Z1261" t="n">
        <v>935</v>
      </c>
      <c r="AA1261" t="n">
        <v>2.5</v>
      </c>
      <c r="AB1261" t="n">
        <v>9.5</v>
      </c>
    </row>
    <row r="1262">
      <c r="A1262" t="inlineStr">
        <is>
          <t>2026-09-24 16:07:44</t>
        </is>
      </c>
      <c r="B1262" t="inlineStr">
        <is>
          <t>MLLB_000_y1.0.3</t>
        </is>
      </c>
      <c r="C1262" t="inlineStr">
        <is>
          <t>WHITE</t>
        </is>
      </c>
      <c r="D1262" t="inlineStr">
        <is>
          <t>v4_white_MLLB_000_y103_0924</t>
        </is>
      </c>
      <c r="E1262" t="n">
        <v>3.2</v>
      </c>
      <c r="F1262" t="n">
        <v>3.208</v>
      </c>
      <c r="G1262" t="n">
        <v>7</v>
      </c>
      <c r="H1262" t="n">
        <v>80</v>
      </c>
      <c r="I1262" t="n">
        <v>30</v>
      </c>
      <c r="J1262" t="inlineStr">
        <is>
          <t>ince</t>
        </is>
      </c>
      <c r="K1262" t="b">
        <v>1</v>
      </c>
      <c r="M1262" t="n">
        <v>54</v>
      </c>
      <c r="N1262" t="n">
        <v>44</v>
      </c>
      <c r="O1262" t="n">
        <v>28</v>
      </c>
      <c r="P1262" t="n">
        <v>948</v>
      </c>
      <c r="Q1262" t="n">
        <v>1002</v>
      </c>
      <c r="R1262" t="n">
        <v>1.076</v>
      </c>
      <c r="S1262" t="n">
        <v>12.764</v>
      </c>
      <c r="T1262" t="n">
        <v>11.858</v>
      </c>
      <c r="U1262" t="n">
        <v>0.7778</v>
      </c>
      <c r="V1262" t="b">
        <v>1</v>
      </c>
      <c r="X1262" t="b">
        <v>1</v>
      </c>
      <c r="Z1262" t="n">
        <v>935</v>
      </c>
      <c r="AA1262" t="n">
        <v>2.5</v>
      </c>
      <c r="AB1262" t="n">
        <v>9.5</v>
      </c>
    </row>
    <row r="1263">
      <c r="A1263" t="inlineStr">
        <is>
          <t>2026-09-24 16:08:00</t>
        </is>
      </c>
      <c r="B1263" t="inlineStr">
        <is>
          <t>MLLB_000_y1.0.3</t>
        </is>
      </c>
      <c r="C1263" t="inlineStr">
        <is>
          <t>WHITE</t>
        </is>
      </c>
      <c r="D1263" t="inlineStr">
        <is>
          <t>v4_white_MLLB_000_y103_0924</t>
        </is>
      </c>
      <c r="E1263" t="n">
        <v>3.2</v>
      </c>
      <c r="F1263" t="n">
        <v>3.208</v>
      </c>
      <c r="G1263" t="n">
        <v>7</v>
      </c>
      <c r="H1263" t="n">
        <v>80</v>
      </c>
      <c r="I1263" t="n">
        <v>31</v>
      </c>
      <c r="J1263" t="inlineStr">
        <is>
          <t>ince</t>
        </is>
      </c>
      <c r="K1263" t="b">
        <v>1</v>
      </c>
      <c r="M1263" t="n">
        <v>40</v>
      </c>
      <c r="N1263" t="n">
        <v>38</v>
      </c>
      <c r="O1263" t="n">
        <v>18</v>
      </c>
      <c r="P1263" t="n">
        <v>962</v>
      </c>
      <c r="Q1263" t="n">
        <v>1002</v>
      </c>
      <c r="R1263" t="n">
        <v>1.083</v>
      </c>
      <c r="S1263" t="n">
        <v>12.809</v>
      </c>
      <c r="T1263" t="n">
        <v>11.822</v>
      </c>
      <c r="U1263" t="n">
        <v>0.7782</v>
      </c>
      <c r="V1263" t="b">
        <v>1</v>
      </c>
      <c r="X1263" t="b">
        <v>1</v>
      </c>
      <c r="Z1263" t="n">
        <v>935</v>
      </c>
      <c r="AA1263" t="n">
        <v>2.5</v>
      </c>
      <c r="AB1263" t="n">
        <v>9.5</v>
      </c>
    </row>
    <row r="1264">
      <c r="A1264" t="inlineStr">
        <is>
          <t>2026-09-24 16:08:16</t>
        </is>
      </c>
      <c r="B1264" t="inlineStr">
        <is>
          <t>MLLB_000_y1.0.3</t>
        </is>
      </c>
      <c r="C1264" t="inlineStr">
        <is>
          <t>WHITE</t>
        </is>
      </c>
      <c r="D1264" t="inlineStr">
        <is>
          <t>v4_white_MLLB_000_y103_0924</t>
        </is>
      </c>
      <c r="E1264" t="n">
        <v>3.2</v>
      </c>
      <c r="F1264" t="n">
        <v>3.208</v>
      </c>
      <c r="G1264" t="n">
        <v>7</v>
      </c>
      <c r="H1264" t="n">
        <v>80</v>
      </c>
      <c r="I1264" t="n">
        <v>33</v>
      </c>
      <c r="J1264" t="inlineStr">
        <is>
          <t>ince</t>
        </is>
      </c>
      <c r="K1264" t="b">
        <v>1</v>
      </c>
      <c r="M1264" t="n">
        <v>38</v>
      </c>
      <c r="N1264" t="n">
        <v>28</v>
      </c>
      <c r="O1264" t="n">
        <v>18</v>
      </c>
      <c r="P1264" t="n">
        <v>964</v>
      </c>
      <c r="Q1264" t="n">
        <v>1002</v>
      </c>
      <c r="R1264" t="n">
        <v>1.289</v>
      </c>
      <c r="S1264" t="n">
        <v>15.234</v>
      </c>
      <c r="T1264" t="n">
        <v>11.82</v>
      </c>
      <c r="U1264" t="n">
        <v>0.7781</v>
      </c>
      <c r="V1264" t="b">
        <v>1</v>
      </c>
      <c r="X1264" t="b">
        <v>1</v>
      </c>
      <c r="Z1264" t="n">
        <v>935</v>
      </c>
      <c r="AA1264" t="n">
        <v>2.5</v>
      </c>
      <c r="AB1264" t="n">
        <v>9.5</v>
      </c>
    </row>
    <row r="1265">
      <c r="A1265" t="inlineStr">
        <is>
          <t>2026-09-24 16:08:28</t>
        </is>
      </c>
      <c r="B1265" t="inlineStr">
        <is>
          <t>MLLB_000_y1.0.3</t>
        </is>
      </c>
      <c r="C1265" t="inlineStr">
        <is>
          <t>WHITE</t>
        </is>
      </c>
      <c r="D1265" t="inlineStr">
        <is>
          <t>v4_white_MLLB_000_y103_0924</t>
        </is>
      </c>
      <c r="E1265" t="n">
        <v>3.2</v>
      </c>
      <c r="F1265" t="n">
        <v>3.208</v>
      </c>
      <c r="G1265" t="n">
        <v>7</v>
      </c>
      <c r="H1265" t="n">
        <v>80</v>
      </c>
      <c r="I1265" t="n">
        <v>34</v>
      </c>
      <c r="J1265" t="inlineStr">
        <is>
          <t>ince</t>
        </is>
      </c>
      <c r="K1265" t="b">
        <v>1</v>
      </c>
      <c r="M1265" t="n">
        <v>38</v>
      </c>
      <c r="N1265" t="n">
        <v>28</v>
      </c>
      <c r="O1265" t="n">
        <v>18</v>
      </c>
      <c r="P1265" t="n">
        <v>964</v>
      </c>
      <c r="Q1265" t="n">
        <v>1002</v>
      </c>
      <c r="R1265" t="n">
        <v>1.766</v>
      </c>
      <c r="S1265" t="n">
        <v>20.822</v>
      </c>
      <c r="T1265" t="n">
        <v>11.792</v>
      </c>
      <c r="U1265" t="n">
        <v>0.7781</v>
      </c>
      <c r="V1265" t="b">
        <v>1</v>
      </c>
      <c r="X1265" t="b">
        <v>1</v>
      </c>
      <c r="Z1265" t="n">
        <v>935</v>
      </c>
      <c r="AA1265" t="n">
        <v>2.5</v>
      </c>
      <c r="AB1265" t="n">
        <v>9.5</v>
      </c>
    </row>
    <row r="1266">
      <c r="A1266" t="inlineStr">
        <is>
          <t>2026-09-24 16:08:44</t>
        </is>
      </c>
      <c r="B1266" t="inlineStr">
        <is>
          <t>MLLB_000_y1.0.3</t>
        </is>
      </c>
      <c r="C1266" t="inlineStr">
        <is>
          <t>WHITE</t>
        </is>
      </c>
      <c r="D1266" t="inlineStr">
        <is>
          <t>v4_white_MLLB_000_y103_0924</t>
        </is>
      </c>
      <c r="E1266" t="n">
        <v>3.2</v>
      </c>
      <c r="F1266" t="n">
        <v>3.208</v>
      </c>
      <c r="G1266" t="n">
        <v>7</v>
      </c>
      <c r="H1266" t="n">
        <v>80</v>
      </c>
      <c r="I1266" t="n">
        <v>35</v>
      </c>
      <c r="J1266" t="inlineStr">
        <is>
          <t>ince</t>
        </is>
      </c>
      <c r="K1266" t="b">
        <v>1</v>
      </c>
      <c r="M1266" t="n">
        <v>38</v>
      </c>
      <c r="N1266" t="n">
        <v>28</v>
      </c>
      <c r="O1266" t="n">
        <v>18</v>
      </c>
      <c r="P1266" t="n">
        <v>964</v>
      </c>
      <c r="Q1266" t="n">
        <v>1002</v>
      </c>
      <c r="R1266" t="n">
        <v>4.533</v>
      </c>
      <c r="S1266" t="n">
        <v>53.618</v>
      </c>
      <c r="T1266" t="n">
        <v>11.828</v>
      </c>
      <c r="U1266" t="n">
        <v>0.778</v>
      </c>
      <c r="V1266" t="b">
        <v>1</v>
      </c>
      <c r="X1266" t="b">
        <v>0</v>
      </c>
      <c r="Y1266" t="inlineStr">
        <is>
          <t>FLAS</t>
        </is>
      </c>
      <c r="Z1266" t="n">
        <v>935</v>
      </c>
      <c r="AA1266" t="n">
        <v>2.5</v>
      </c>
      <c r="AB1266" t="n">
        <v>9.5</v>
      </c>
    </row>
    <row r="1267">
      <c r="A1267" t="inlineStr">
        <is>
          <t>2026-09-24 16:08:44</t>
        </is>
      </c>
      <c r="B1267" t="inlineStr">
        <is>
          <t>MLLB_000_y1.0.3</t>
        </is>
      </c>
      <c r="C1267" t="inlineStr">
        <is>
          <t>WHITE</t>
        </is>
      </c>
      <c r="D1267" t="inlineStr">
        <is>
          <t>v4_white_MLLB_000_y103_0924</t>
        </is>
      </c>
      <c r="E1267" t="n">
        <v>3.2</v>
      </c>
      <c r="F1267" t="n">
        <v>3.208</v>
      </c>
      <c r="G1267" t="n">
        <v>7</v>
      </c>
      <c r="H1267" t="n">
        <v>80</v>
      </c>
      <c r="J1267" t="inlineStr">
        <is>
          <t>bitti</t>
        </is>
      </c>
      <c r="K1267" t="b">
        <v>0</v>
      </c>
      <c r="Z1267" t="n">
        <v>935</v>
      </c>
      <c r="AA1267" t="n">
        <v>2.5</v>
      </c>
      <c r="AB1267" t="n">
        <v>9.5</v>
      </c>
    </row>
    <row r="1268">
      <c r="A1268" t="inlineStr">
        <is>
          <t>2026-09-24 16:09:00</t>
        </is>
      </c>
      <c r="B1268" t="inlineStr">
        <is>
          <t>MLLB_000_y1.0.3</t>
        </is>
      </c>
      <c r="C1268" t="inlineStr">
        <is>
          <t>WHITE</t>
        </is>
      </c>
      <c r="D1268" t="inlineStr">
        <is>
          <t>v4_white_MLLB_000_y103_0924</t>
        </is>
      </c>
      <c r="E1268" t="n">
        <v>3.2</v>
      </c>
      <c r="F1268" t="n">
        <v>3.208</v>
      </c>
      <c r="G1268" t="n">
        <v>7</v>
      </c>
      <c r="H1268" t="n">
        <v>60</v>
      </c>
      <c r="I1268" t="n">
        <v>12</v>
      </c>
      <c r="J1268" t="inlineStr">
        <is>
          <t>kaba</t>
        </is>
      </c>
      <c r="K1268" t="b">
        <v>1</v>
      </c>
      <c r="M1268" t="n">
        <v>344</v>
      </c>
      <c r="N1268" t="n">
        <v>40</v>
      </c>
      <c r="O1268" t="n">
        <v>318</v>
      </c>
      <c r="P1268" t="n">
        <v>658</v>
      </c>
      <c r="Q1268" t="n">
        <v>1002</v>
      </c>
      <c r="R1268" t="n">
        <v>1.098</v>
      </c>
      <c r="S1268" t="n">
        <v>12.81</v>
      </c>
      <c r="T1268" t="n">
        <v>11.663</v>
      </c>
      <c r="U1268" t="n">
        <v>0.7776999999999999</v>
      </c>
      <c r="V1268" t="b">
        <v>1</v>
      </c>
      <c r="X1268" t="b">
        <v>0</v>
      </c>
      <c r="Y1268" t="inlineStr">
        <is>
          <t>ON</t>
        </is>
      </c>
      <c r="Z1268" t="n">
        <v>935</v>
      </c>
      <c r="AA1268" t="n">
        <v>2.5</v>
      </c>
      <c r="AB1268" t="n">
        <v>9.5</v>
      </c>
    </row>
    <row r="1269">
      <c r="A1269" t="inlineStr">
        <is>
          <t>2026-09-24 16:09:16</t>
        </is>
      </c>
      <c r="B1269" t="inlineStr">
        <is>
          <t>MLLB_000_y1.0.3</t>
        </is>
      </c>
      <c r="C1269" t="inlineStr">
        <is>
          <t>WHITE</t>
        </is>
      </c>
      <c r="D1269" t="inlineStr">
        <is>
          <t>v4_white_MLLB_000_y103_0924</t>
        </is>
      </c>
      <c r="E1269" t="n">
        <v>3.2</v>
      </c>
      <c r="F1269" t="n">
        <v>3.208</v>
      </c>
      <c r="G1269" t="n">
        <v>7</v>
      </c>
      <c r="H1269" t="n">
        <v>60</v>
      </c>
      <c r="I1269" t="n">
        <v>16</v>
      </c>
      <c r="J1269" t="inlineStr">
        <is>
          <t>kaba</t>
        </is>
      </c>
      <c r="K1269" t="b">
        <v>1</v>
      </c>
      <c r="M1269" t="n">
        <v>304</v>
      </c>
      <c r="N1269" t="n">
        <v>40</v>
      </c>
      <c r="O1269" t="n">
        <v>278</v>
      </c>
      <c r="P1269" t="n">
        <v>698</v>
      </c>
      <c r="Q1269" t="n">
        <v>1002</v>
      </c>
      <c r="R1269" t="n">
        <v>1.089</v>
      </c>
      <c r="S1269" t="n">
        <v>12.717</v>
      </c>
      <c r="T1269" t="n">
        <v>11.678</v>
      </c>
      <c r="U1269" t="n">
        <v>0.7785</v>
      </c>
      <c r="V1269" t="b">
        <v>1</v>
      </c>
      <c r="X1269" t="b">
        <v>0</v>
      </c>
      <c r="Y1269" t="inlineStr">
        <is>
          <t>ON</t>
        </is>
      </c>
      <c r="Z1269" t="n">
        <v>935</v>
      </c>
      <c r="AA1269" t="n">
        <v>2.5</v>
      </c>
      <c r="AB1269" t="n">
        <v>9.5</v>
      </c>
    </row>
    <row r="1270">
      <c r="A1270" t="inlineStr">
        <is>
          <t>2026-09-24 16:09:32</t>
        </is>
      </c>
      <c r="B1270" t="inlineStr">
        <is>
          <t>MLLB_000_y1.0.3</t>
        </is>
      </c>
      <c r="C1270" t="inlineStr">
        <is>
          <t>WHITE</t>
        </is>
      </c>
      <c r="D1270" t="inlineStr">
        <is>
          <t>v4_white_MLLB_000_y103_0924</t>
        </is>
      </c>
      <c r="E1270" t="n">
        <v>3.2</v>
      </c>
      <c r="F1270" t="n">
        <v>3.208</v>
      </c>
      <c r="G1270" t="n">
        <v>7</v>
      </c>
      <c r="H1270" t="n">
        <v>60</v>
      </c>
      <c r="I1270" t="n">
        <v>20</v>
      </c>
      <c r="J1270" t="inlineStr">
        <is>
          <t>kaba</t>
        </is>
      </c>
      <c r="K1270" t="b">
        <v>1</v>
      </c>
      <c r="M1270" t="n">
        <v>264</v>
      </c>
      <c r="N1270" t="n">
        <v>38</v>
      </c>
      <c r="O1270" t="n">
        <v>240</v>
      </c>
      <c r="P1270" t="n">
        <v>738</v>
      </c>
      <c r="Q1270" t="n">
        <v>1002</v>
      </c>
      <c r="R1270" t="n">
        <v>1.087</v>
      </c>
      <c r="S1270" t="n">
        <v>12.717</v>
      </c>
      <c r="T1270" t="n">
        <v>11.704</v>
      </c>
      <c r="U1270" t="n">
        <v>0.7778</v>
      </c>
      <c r="V1270" t="b">
        <v>1</v>
      </c>
      <c r="X1270" t="b">
        <v>0</v>
      </c>
      <c r="Y1270" t="inlineStr">
        <is>
          <t>ON</t>
        </is>
      </c>
      <c r="Z1270" t="n">
        <v>935</v>
      </c>
      <c r="AA1270" t="n">
        <v>2.5</v>
      </c>
      <c r="AB1270" t="n">
        <v>9.5</v>
      </c>
    </row>
    <row r="1271">
      <c r="A1271" t="inlineStr">
        <is>
          <t>2026-09-24 16:09:48</t>
        </is>
      </c>
      <c r="B1271" t="inlineStr">
        <is>
          <t>MLLB_000_y1.0.3</t>
        </is>
      </c>
      <c r="C1271" t="inlineStr">
        <is>
          <t>WHITE</t>
        </is>
      </c>
      <c r="D1271" t="inlineStr">
        <is>
          <t>v4_white_MLLB_000_y103_0924</t>
        </is>
      </c>
      <c r="E1271" t="n">
        <v>3.2</v>
      </c>
      <c r="F1271" t="n">
        <v>3.208</v>
      </c>
      <c r="G1271" t="n">
        <v>7</v>
      </c>
      <c r="H1271" t="n">
        <v>60</v>
      </c>
      <c r="I1271" t="n">
        <v>24</v>
      </c>
      <c r="J1271" t="inlineStr">
        <is>
          <t>kaba</t>
        </is>
      </c>
      <c r="K1271" t="b">
        <v>1</v>
      </c>
      <c r="M1271" t="n">
        <v>222</v>
      </c>
      <c r="N1271" t="n">
        <v>40</v>
      </c>
      <c r="O1271" t="n">
        <v>198</v>
      </c>
      <c r="P1271" t="n">
        <v>780</v>
      </c>
      <c r="Q1271" t="n">
        <v>1002</v>
      </c>
      <c r="R1271" t="n">
        <v>1.082</v>
      </c>
      <c r="S1271" t="n">
        <v>12.717</v>
      </c>
      <c r="T1271" t="n">
        <v>11.749</v>
      </c>
      <c r="U1271" t="n">
        <v>0.7786999999999999</v>
      </c>
      <c r="V1271" t="b">
        <v>1</v>
      </c>
      <c r="X1271" t="b">
        <v>0</v>
      </c>
      <c r="Y1271" t="inlineStr">
        <is>
          <t>ON</t>
        </is>
      </c>
      <c r="Z1271" t="n">
        <v>935</v>
      </c>
      <c r="AA1271" t="n">
        <v>2.5</v>
      </c>
      <c r="AB1271" t="n">
        <v>9.5</v>
      </c>
    </row>
    <row r="1272">
      <c r="A1272" t="inlineStr">
        <is>
          <t>2026-09-24 16:10:04</t>
        </is>
      </c>
      <c r="B1272" t="inlineStr">
        <is>
          <t>MLLB_000_y1.0.3</t>
        </is>
      </c>
      <c r="C1272" t="inlineStr">
        <is>
          <t>WHITE</t>
        </is>
      </c>
      <c r="D1272" t="inlineStr">
        <is>
          <t>v4_white_MLLB_000_y103_0924</t>
        </is>
      </c>
      <c r="E1272" t="n">
        <v>3.2</v>
      </c>
      <c r="F1272" t="n">
        <v>3.208</v>
      </c>
      <c r="G1272" t="n">
        <v>7</v>
      </c>
      <c r="H1272" t="n">
        <v>60</v>
      </c>
      <c r="I1272" t="n">
        <v>28</v>
      </c>
      <c r="J1272" t="inlineStr">
        <is>
          <t>kaba</t>
        </is>
      </c>
      <c r="K1272" t="b">
        <v>1</v>
      </c>
      <c r="M1272" t="n">
        <v>182</v>
      </c>
      <c r="N1272" t="n">
        <v>40</v>
      </c>
      <c r="O1272" t="n">
        <v>158</v>
      </c>
      <c r="P1272" t="n">
        <v>820</v>
      </c>
      <c r="Q1272" t="n">
        <v>1002</v>
      </c>
      <c r="R1272" t="n">
        <v>1.084</v>
      </c>
      <c r="S1272" t="n">
        <v>12.736</v>
      </c>
      <c r="T1272" t="n">
        <v>11.755</v>
      </c>
      <c r="U1272" t="n">
        <v>0.7776999999999999</v>
      </c>
      <c r="V1272" t="b">
        <v>1</v>
      </c>
      <c r="X1272" t="b">
        <v>0</v>
      </c>
      <c r="Y1272" t="inlineStr">
        <is>
          <t>ON</t>
        </is>
      </c>
      <c r="Z1272" t="n">
        <v>935</v>
      </c>
      <c r="AA1272" t="n">
        <v>2.5</v>
      </c>
      <c r="AB1272" t="n">
        <v>9.5</v>
      </c>
    </row>
    <row r="1273">
      <c r="A1273" t="inlineStr">
        <is>
          <t>2026-09-24 16:10:20</t>
        </is>
      </c>
      <c r="B1273" t="inlineStr">
        <is>
          <t>MLLB_000_y1.0.3</t>
        </is>
      </c>
      <c r="C1273" t="inlineStr">
        <is>
          <t>WHITE</t>
        </is>
      </c>
      <c r="D1273" t="inlineStr">
        <is>
          <t>v4_white_MLLB_000_y103_0924</t>
        </is>
      </c>
      <c r="E1273" t="n">
        <v>3.2</v>
      </c>
      <c r="F1273" t="n">
        <v>3.208</v>
      </c>
      <c r="G1273" t="n">
        <v>7</v>
      </c>
      <c r="H1273" t="n">
        <v>60</v>
      </c>
      <c r="I1273" t="n">
        <v>32</v>
      </c>
      <c r="J1273" t="inlineStr">
        <is>
          <t>kaba</t>
        </is>
      </c>
      <c r="K1273" t="b">
        <v>1</v>
      </c>
      <c r="M1273" t="n">
        <v>142</v>
      </c>
      <c r="N1273" t="n">
        <v>42</v>
      </c>
      <c r="O1273" t="n">
        <v>116</v>
      </c>
      <c r="P1273" t="n">
        <v>860</v>
      </c>
      <c r="Q1273" t="n">
        <v>1002</v>
      </c>
      <c r="R1273" t="n">
        <v>1.079</v>
      </c>
      <c r="S1273" t="n">
        <v>12.722</v>
      </c>
      <c r="T1273" t="n">
        <v>11.794</v>
      </c>
      <c r="U1273" t="n">
        <v>0.7786</v>
      </c>
      <c r="V1273" t="b">
        <v>1</v>
      </c>
      <c r="X1273" t="b">
        <v>0</v>
      </c>
      <c r="Y1273" t="inlineStr">
        <is>
          <t>ON</t>
        </is>
      </c>
      <c r="Z1273" t="n">
        <v>935</v>
      </c>
      <c r="AA1273" t="n">
        <v>2.5</v>
      </c>
      <c r="AB1273" t="n">
        <v>9.5</v>
      </c>
    </row>
    <row r="1274">
      <c r="A1274" t="inlineStr">
        <is>
          <t>2026-09-24 16:10:36</t>
        </is>
      </c>
      <c r="B1274" t="inlineStr">
        <is>
          <t>MLLB_000_y1.0.3</t>
        </is>
      </c>
      <c r="C1274" t="inlineStr">
        <is>
          <t>WHITE</t>
        </is>
      </c>
      <c r="D1274" t="inlineStr">
        <is>
          <t>v4_white_MLLB_000_y103_0924</t>
        </is>
      </c>
      <c r="E1274" t="n">
        <v>3.2</v>
      </c>
      <c r="F1274" t="n">
        <v>3.208</v>
      </c>
      <c r="G1274" t="n">
        <v>7</v>
      </c>
      <c r="H1274" t="n">
        <v>60</v>
      </c>
      <c r="I1274" t="n">
        <v>36</v>
      </c>
      <c r="J1274" t="inlineStr">
        <is>
          <t>kaba</t>
        </is>
      </c>
      <c r="K1274" t="b">
        <v>1</v>
      </c>
      <c r="M1274" t="n">
        <v>100</v>
      </c>
      <c r="N1274" t="n">
        <v>46</v>
      </c>
      <c r="O1274" t="n">
        <v>74</v>
      </c>
      <c r="P1274" t="n">
        <v>902</v>
      </c>
      <c r="Q1274" t="n">
        <v>1002</v>
      </c>
      <c r="R1274" t="n">
        <v>1.077</v>
      </c>
      <c r="S1274" t="n">
        <v>12.728</v>
      </c>
      <c r="T1274" t="n">
        <v>11.812</v>
      </c>
      <c r="U1274" t="n">
        <v>0.7784</v>
      </c>
      <c r="V1274" t="b">
        <v>1</v>
      </c>
      <c r="X1274" t="b">
        <v>0</v>
      </c>
      <c r="Y1274" t="inlineStr">
        <is>
          <t>ON</t>
        </is>
      </c>
      <c r="Z1274" t="n">
        <v>935</v>
      </c>
      <c r="AA1274" t="n">
        <v>2.5</v>
      </c>
      <c r="AB1274" t="n">
        <v>9.5</v>
      </c>
    </row>
    <row r="1275">
      <c r="A1275" t="inlineStr">
        <is>
          <t>2026-09-24 16:10:51</t>
        </is>
      </c>
      <c r="B1275" t="inlineStr">
        <is>
          <t>MLLB_000_y1.0.3</t>
        </is>
      </c>
      <c r="C1275" t="inlineStr">
        <is>
          <t>WHITE</t>
        </is>
      </c>
      <c r="D1275" t="inlineStr">
        <is>
          <t>v4_white_MLLB_000_y103_0924</t>
        </is>
      </c>
      <c r="E1275" t="n">
        <v>3.2</v>
      </c>
      <c r="F1275" t="n">
        <v>3.208</v>
      </c>
      <c r="G1275" t="n">
        <v>7</v>
      </c>
      <c r="H1275" t="n">
        <v>60</v>
      </c>
      <c r="I1275" t="n">
        <v>40</v>
      </c>
      <c r="J1275" t="inlineStr">
        <is>
          <t>kaba</t>
        </is>
      </c>
      <c r="K1275" t="b">
        <v>1</v>
      </c>
      <c r="M1275" t="n">
        <v>58</v>
      </c>
      <c r="N1275" t="n">
        <v>40</v>
      </c>
      <c r="O1275" t="n">
        <v>34</v>
      </c>
      <c r="P1275" t="n">
        <v>944</v>
      </c>
      <c r="Q1275" t="n">
        <v>1002</v>
      </c>
      <c r="R1275" t="n">
        <v>1.082</v>
      </c>
      <c r="S1275" t="n">
        <v>12.81</v>
      </c>
      <c r="T1275" t="n">
        <v>11.843</v>
      </c>
      <c r="U1275" t="n">
        <v>0.7779</v>
      </c>
      <c r="V1275" t="b">
        <v>1</v>
      </c>
      <c r="X1275" t="b">
        <v>1</v>
      </c>
      <c r="Z1275" t="n">
        <v>935</v>
      </c>
      <c r="AA1275" t="n">
        <v>2.5</v>
      </c>
      <c r="AB1275" t="n">
        <v>9.5</v>
      </c>
    </row>
    <row r="1276">
      <c r="A1276" t="inlineStr">
        <is>
          <t>2026-09-24 16:11:08</t>
        </is>
      </c>
      <c r="B1276" t="inlineStr">
        <is>
          <t>MLLB_000_y1.0.3</t>
        </is>
      </c>
      <c r="C1276" t="inlineStr">
        <is>
          <t>WHITE</t>
        </is>
      </c>
      <c r="D1276" t="inlineStr">
        <is>
          <t>v4_white_MLLB_000_y103_0924</t>
        </is>
      </c>
      <c r="E1276" t="n">
        <v>3.2</v>
      </c>
      <c r="F1276" t="n">
        <v>3.208</v>
      </c>
      <c r="G1276" t="n">
        <v>7</v>
      </c>
      <c r="H1276" t="n">
        <v>60</v>
      </c>
      <c r="I1276" t="n">
        <v>44</v>
      </c>
      <c r="J1276" t="inlineStr">
        <is>
          <t>kaba</t>
        </is>
      </c>
      <c r="K1276" t="b">
        <v>1</v>
      </c>
      <c r="M1276" t="n">
        <v>50</v>
      </c>
      <c r="N1276" t="n">
        <v>28</v>
      </c>
      <c r="O1276" t="n">
        <v>30</v>
      </c>
      <c r="P1276" t="n">
        <v>952</v>
      </c>
      <c r="Q1276" t="n">
        <v>1002</v>
      </c>
      <c r="R1276" t="n">
        <v>1.386</v>
      </c>
      <c r="S1276" t="n">
        <v>16.362</v>
      </c>
      <c r="T1276" t="n">
        <v>11.809</v>
      </c>
      <c r="U1276" t="n">
        <v>0.7776999999999999</v>
      </c>
      <c r="V1276" t="b">
        <v>1</v>
      </c>
      <c r="X1276" t="b">
        <v>1</v>
      </c>
      <c r="Z1276" t="n">
        <v>935</v>
      </c>
      <c r="AA1276" t="n">
        <v>2.5</v>
      </c>
      <c r="AB1276" t="n">
        <v>9.5</v>
      </c>
    </row>
    <row r="1277">
      <c r="A1277" t="inlineStr">
        <is>
          <t>2026-09-24 16:11:24</t>
        </is>
      </c>
      <c r="B1277" t="inlineStr">
        <is>
          <t>MLLB_000_y1.0.3</t>
        </is>
      </c>
      <c r="C1277" t="inlineStr">
        <is>
          <t>WHITE</t>
        </is>
      </c>
      <c r="D1277" t="inlineStr">
        <is>
          <t>v4_white_MLLB_000_y103_0924</t>
        </is>
      </c>
      <c r="E1277" t="n">
        <v>3.2</v>
      </c>
      <c r="F1277" t="n">
        <v>3.208</v>
      </c>
      <c r="G1277" t="n">
        <v>7</v>
      </c>
      <c r="H1277" t="n">
        <v>60</v>
      </c>
      <c r="I1277" t="n">
        <v>48</v>
      </c>
      <c r="J1277" t="inlineStr">
        <is>
          <t>kaba</t>
        </is>
      </c>
      <c r="K1277" t="b">
        <v>1</v>
      </c>
      <c r="M1277" t="n">
        <v>50</v>
      </c>
      <c r="N1277" t="n">
        <v>28</v>
      </c>
      <c r="O1277" t="n">
        <v>30</v>
      </c>
      <c r="P1277" t="n">
        <v>952</v>
      </c>
      <c r="Q1277" t="n">
        <v>1002</v>
      </c>
      <c r="R1277" t="n">
        <v>8.407</v>
      </c>
      <c r="S1277" t="n">
        <v>99.373</v>
      </c>
      <c r="T1277" t="n">
        <v>11.82</v>
      </c>
      <c r="U1277" t="n">
        <v>0.7788</v>
      </c>
      <c r="V1277" t="b">
        <v>1</v>
      </c>
      <c r="X1277" t="b">
        <v>0</v>
      </c>
      <c r="Y1277" t="inlineStr">
        <is>
          <t>FLAS</t>
        </is>
      </c>
      <c r="Z1277" t="n">
        <v>935</v>
      </c>
      <c r="AA1277" t="n">
        <v>2.5</v>
      </c>
      <c r="AB1277" t="n">
        <v>9.5</v>
      </c>
    </row>
    <row r="1278">
      <c r="A1278" t="inlineStr">
        <is>
          <t>2026-09-24 16:11:40</t>
        </is>
      </c>
      <c r="B1278" t="inlineStr">
        <is>
          <t>MLLB_000_y1.0.3</t>
        </is>
      </c>
      <c r="C1278" t="inlineStr">
        <is>
          <t>WHITE</t>
        </is>
      </c>
      <c r="D1278" t="inlineStr">
        <is>
          <t>v4_white_MLLB_000_y103_0924</t>
        </is>
      </c>
      <c r="E1278" t="n">
        <v>3.2</v>
      </c>
      <c r="F1278" t="n">
        <v>3.208</v>
      </c>
      <c r="G1278" t="n">
        <v>7</v>
      </c>
      <c r="H1278" t="n">
        <v>60</v>
      </c>
      <c r="I1278" t="n">
        <v>37</v>
      </c>
      <c r="J1278" t="inlineStr">
        <is>
          <t>ince</t>
        </is>
      </c>
      <c r="K1278" t="b">
        <v>1</v>
      </c>
      <c r="M1278" t="n">
        <v>90</v>
      </c>
      <c r="N1278" t="n">
        <v>42</v>
      </c>
      <c r="O1278" t="n">
        <v>64</v>
      </c>
      <c r="P1278" t="n">
        <v>912</v>
      </c>
      <c r="Q1278" t="n">
        <v>1002</v>
      </c>
      <c r="R1278" t="n">
        <v>1.084</v>
      </c>
      <c r="S1278" t="n">
        <v>12.81</v>
      </c>
      <c r="T1278" t="n">
        <v>11.812</v>
      </c>
      <c r="U1278" t="n">
        <v>0.7776</v>
      </c>
      <c r="V1278" t="b">
        <v>1</v>
      </c>
      <c r="X1278" t="b">
        <v>0</v>
      </c>
      <c r="Y1278" t="inlineStr">
        <is>
          <t>ON</t>
        </is>
      </c>
      <c r="Z1278" t="n">
        <v>935</v>
      </c>
      <c r="AA1278" t="n">
        <v>2.5</v>
      </c>
      <c r="AB1278" t="n">
        <v>9.5</v>
      </c>
    </row>
    <row r="1279">
      <c r="A1279" t="inlineStr">
        <is>
          <t>2026-09-24 16:11:55</t>
        </is>
      </c>
      <c r="B1279" t="inlineStr">
        <is>
          <t>MLLB_000_y1.0.3</t>
        </is>
      </c>
      <c r="C1279" t="inlineStr">
        <is>
          <t>WHITE</t>
        </is>
      </c>
      <c r="D1279" t="inlineStr">
        <is>
          <t>v4_white_MLLB_000_y103_0924</t>
        </is>
      </c>
      <c r="E1279" t="n">
        <v>3.2</v>
      </c>
      <c r="F1279" t="n">
        <v>3.208</v>
      </c>
      <c r="G1279" t="n">
        <v>7</v>
      </c>
      <c r="H1279" t="n">
        <v>60</v>
      </c>
      <c r="I1279" t="n">
        <v>38</v>
      </c>
      <c r="J1279" t="inlineStr">
        <is>
          <t>ince</t>
        </is>
      </c>
      <c r="K1279" t="b">
        <v>1</v>
      </c>
      <c r="M1279" t="n">
        <v>80</v>
      </c>
      <c r="N1279" t="n">
        <v>40</v>
      </c>
      <c r="O1279" t="n">
        <v>54</v>
      </c>
      <c r="P1279" t="n">
        <v>922</v>
      </c>
      <c r="Q1279" t="n">
        <v>1002</v>
      </c>
      <c r="R1279" t="n">
        <v>1.077</v>
      </c>
      <c r="S1279" t="n">
        <v>12.717</v>
      </c>
      <c r="T1279" t="n">
        <v>11.81</v>
      </c>
      <c r="U1279" t="n">
        <v>0.778</v>
      </c>
      <c r="V1279" t="b">
        <v>1</v>
      </c>
      <c r="X1279" t="b">
        <v>0</v>
      </c>
      <c r="Y1279" t="inlineStr">
        <is>
          <t>ON</t>
        </is>
      </c>
      <c r="Z1279" t="n">
        <v>935</v>
      </c>
      <c r="AA1279" t="n">
        <v>2.5</v>
      </c>
      <c r="AB1279" t="n">
        <v>9.5</v>
      </c>
    </row>
    <row r="1280">
      <c r="A1280" t="inlineStr">
        <is>
          <t>2026-09-24 16:12:12</t>
        </is>
      </c>
      <c r="B1280" t="inlineStr">
        <is>
          <t>MLLB_000_y1.0.3</t>
        </is>
      </c>
      <c r="C1280" t="inlineStr">
        <is>
          <t>WHITE</t>
        </is>
      </c>
      <c r="D1280" t="inlineStr">
        <is>
          <t>v4_white_MLLB_000_y103_0924</t>
        </is>
      </c>
      <c r="E1280" t="n">
        <v>3.2</v>
      </c>
      <c r="F1280" t="n">
        <v>3.208</v>
      </c>
      <c r="G1280" t="n">
        <v>7</v>
      </c>
      <c r="H1280" t="n">
        <v>60</v>
      </c>
      <c r="I1280" t="n">
        <v>39</v>
      </c>
      <c r="J1280" t="inlineStr">
        <is>
          <t>ince</t>
        </is>
      </c>
      <c r="K1280" t="b">
        <v>1</v>
      </c>
      <c r="M1280" t="n">
        <v>68</v>
      </c>
      <c r="N1280" t="n">
        <v>46</v>
      </c>
      <c r="O1280" t="n">
        <v>42</v>
      </c>
      <c r="P1280" t="n">
        <v>934</v>
      </c>
      <c r="Q1280" t="n">
        <v>1002</v>
      </c>
      <c r="R1280" t="n">
        <v>1.078</v>
      </c>
      <c r="S1280" t="n">
        <v>12.736</v>
      </c>
      <c r="T1280" t="n">
        <v>11.81</v>
      </c>
      <c r="U1280" t="n">
        <v>0.7782</v>
      </c>
      <c r="V1280" t="b">
        <v>1</v>
      </c>
      <c r="X1280" t="b">
        <v>0</v>
      </c>
      <c r="Y1280" t="inlineStr">
        <is>
          <t>ON</t>
        </is>
      </c>
      <c r="Z1280" t="n">
        <v>935</v>
      </c>
      <c r="AA1280" t="n">
        <v>2.5</v>
      </c>
      <c r="AB1280" t="n">
        <v>9.5</v>
      </c>
    </row>
    <row r="1281">
      <c r="A1281" t="inlineStr">
        <is>
          <t>2026-09-24 16:12:12</t>
        </is>
      </c>
      <c r="B1281" t="inlineStr">
        <is>
          <t>MLLB_000_y1.0.3</t>
        </is>
      </c>
      <c r="C1281" t="inlineStr">
        <is>
          <t>WHITE</t>
        </is>
      </c>
      <c r="D1281" t="inlineStr">
        <is>
          <t>v4_white_MLLB_000_y103_0924</t>
        </is>
      </c>
      <c r="E1281" t="n">
        <v>3.2</v>
      </c>
      <c r="F1281" t="n">
        <v>3.208</v>
      </c>
      <c r="G1281" t="n">
        <v>7</v>
      </c>
      <c r="H1281" t="n">
        <v>60</v>
      </c>
      <c r="I1281" t="n">
        <v>41</v>
      </c>
      <c r="J1281" t="inlineStr">
        <is>
          <t>ince</t>
        </is>
      </c>
      <c r="K1281" t="b">
        <v>0</v>
      </c>
      <c r="L1281" t="inlineStr">
        <is>
          <t>iki-OK-arasi-monotonluk</t>
        </is>
      </c>
      <c r="X1281" t="b">
        <v>1</v>
      </c>
      <c r="Z1281" t="n">
        <v>935</v>
      </c>
      <c r="AA1281" t="n">
        <v>2.5</v>
      </c>
      <c r="AB1281" t="n">
        <v>9.5</v>
      </c>
    </row>
    <row r="1282">
      <c r="A1282" t="inlineStr">
        <is>
          <t>2026-09-24 16:12:12</t>
        </is>
      </c>
      <c r="B1282" t="inlineStr">
        <is>
          <t>MLLB_000_y1.0.3</t>
        </is>
      </c>
      <c r="C1282" t="inlineStr">
        <is>
          <t>WHITE</t>
        </is>
      </c>
      <c r="D1282" t="inlineStr">
        <is>
          <t>v4_white_MLLB_000_y103_0924</t>
        </is>
      </c>
      <c r="E1282" t="n">
        <v>3.2</v>
      </c>
      <c r="F1282" t="n">
        <v>3.208</v>
      </c>
      <c r="G1282" t="n">
        <v>7</v>
      </c>
      <c r="H1282" t="n">
        <v>60</v>
      </c>
      <c r="I1282" t="n">
        <v>42</v>
      </c>
      <c r="J1282" t="inlineStr">
        <is>
          <t>ince</t>
        </is>
      </c>
      <c r="K1282" t="b">
        <v>0</v>
      </c>
      <c r="L1282" t="inlineStr">
        <is>
          <t>iki-OK-arasi-monotonluk</t>
        </is>
      </c>
      <c r="X1282" t="b">
        <v>1</v>
      </c>
      <c r="Z1282" t="n">
        <v>935</v>
      </c>
      <c r="AA1282" t="n">
        <v>2.5</v>
      </c>
      <c r="AB1282" t="n">
        <v>9.5</v>
      </c>
    </row>
    <row r="1283">
      <c r="A1283" t="inlineStr">
        <is>
          <t>2026-09-24 16:12:12</t>
        </is>
      </c>
      <c r="B1283" t="inlineStr">
        <is>
          <t>MLLB_000_y1.0.3</t>
        </is>
      </c>
      <c r="C1283" t="inlineStr">
        <is>
          <t>WHITE</t>
        </is>
      </c>
      <c r="D1283" t="inlineStr">
        <is>
          <t>v4_white_MLLB_000_y103_0924</t>
        </is>
      </c>
      <c r="E1283" t="n">
        <v>3.2</v>
      </c>
      <c r="F1283" t="n">
        <v>3.208</v>
      </c>
      <c r="G1283" t="n">
        <v>7</v>
      </c>
      <c r="H1283" t="n">
        <v>60</v>
      </c>
      <c r="I1283" t="n">
        <v>43</v>
      </c>
      <c r="J1283" t="inlineStr">
        <is>
          <t>ince</t>
        </is>
      </c>
      <c r="K1283" t="b">
        <v>0</v>
      </c>
      <c r="L1283" t="inlineStr">
        <is>
          <t>iki-OK-arasi-monotonluk</t>
        </is>
      </c>
      <c r="X1283" t="b">
        <v>1</v>
      </c>
      <c r="Z1283" t="n">
        <v>935</v>
      </c>
      <c r="AA1283" t="n">
        <v>2.5</v>
      </c>
      <c r="AB1283" t="n">
        <v>9.5</v>
      </c>
    </row>
    <row r="1284">
      <c r="A1284" t="inlineStr">
        <is>
          <t>2026-09-24 16:12:28</t>
        </is>
      </c>
      <c r="B1284" t="inlineStr">
        <is>
          <t>MLLB_000_y1.0.3</t>
        </is>
      </c>
      <c r="C1284" t="inlineStr">
        <is>
          <t>WHITE</t>
        </is>
      </c>
      <c r="D1284" t="inlineStr">
        <is>
          <t>v4_white_MLLB_000_y103_0924</t>
        </is>
      </c>
      <c r="E1284" t="n">
        <v>3.2</v>
      </c>
      <c r="F1284" t="n">
        <v>3.208</v>
      </c>
      <c r="G1284" t="n">
        <v>7</v>
      </c>
      <c r="H1284" t="n">
        <v>60</v>
      </c>
      <c r="I1284" t="n">
        <v>45</v>
      </c>
      <c r="J1284" t="inlineStr">
        <is>
          <t>ince</t>
        </is>
      </c>
      <c r="K1284" t="b">
        <v>1</v>
      </c>
      <c r="M1284" t="n">
        <v>50</v>
      </c>
      <c r="N1284" t="n">
        <v>28</v>
      </c>
      <c r="O1284" t="n">
        <v>30</v>
      </c>
      <c r="P1284" t="n">
        <v>952</v>
      </c>
      <c r="Q1284" t="n">
        <v>1002</v>
      </c>
      <c r="R1284" t="n">
        <v>1.758</v>
      </c>
      <c r="S1284" t="n">
        <v>20.749</v>
      </c>
      <c r="T1284" t="n">
        <v>11.803</v>
      </c>
      <c r="U1284" t="n">
        <v>0.7773</v>
      </c>
      <c r="V1284" t="b">
        <v>1</v>
      </c>
      <c r="X1284" t="b">
        <v>1</v>
      </c>
      <c r="Z1284" t="n">
        <v>935</v>
      </c>
      <c r="AA1284" t="n">
        <v>2.5</v>
      </c>
      <c r="AB1284" t="n">
        <v>9.5</v>
      </c>
    </row>
    <row r="1285">
      <c r="A1285" t="inlineStr">
        <is>
          <t>2026-09-24 16:12:44</t>
        </is>
      </c>
      <c r="B1285" t="inlineStr">
        <is>
          <t>MLLB_000_y1.0.3</t>
        </is>
      </c>
      <c r="C1285" t="inlineStr">
        <is>
          <t>WHITE</t>
        </is>
      </c>
      <c r="D1285" t="inlineStr">
        <is>
          <t>v4_white_MLLB_000_y103_0924</t>
        </is>
      </c>
      <c r="E1285" t="n">
        <v>3.2</v>
      </c>
      <c r="F1285" t="n">
        <v>3.208</v>
      </c>
      <c r="G1285" t="n">
        <v>7</v>
      </c>
      <c r="H1285" t="n">
        <v>60</v>
      </c>
      <c r="I1285" t="n">
        <v>46</v>
      </c>
      <c r="J1285" t="inlineStr">
        <is>
          <t>ince</t>
        </is>
      </c>
      <c r="K1285" t="b">
        <v>1</v>
      </c>
      <c r="M1285" t="n">
        <v>50</v>
      </c>
      <c r="N1285" t="n">
        <v>28</v>
      </c>
      <c r="O1285" t="n">
        <v>30</v>
      </c>
      <c r="P1285" t="n">
        <v>952</v>
      </c>
      <c r="Q1285" t="n">
        <v>1002</v>
      </c>
      <c r="R1285" t="n">
        <v>3.121</v>
      </c>
      <c r="S1285" t="n">
        <v>36.903</v>
      </c>
      <c r="T1285" t="n">
        <v>11.825</v>
      </c>
      <c r="U1285" t="n">
        <v>0.778</v>
      </c>
      <c r="V1285" t="b">
        <v>1</v>
      </c>
      <c r="X1285" t="b">
        <v>0</v>
      </c>
      <c r="Y1285" t="inlineStr">
        <is>
          <t>FLAS</t>
        </is>
      </c>
      <c r="Z1285" t="n">
        <v>935</v>
      </c>
      <c r="AA1285" t="n">
        <v>2.5</v>
      </c>
      <c r="AB1285" t="n">
        <v>9.5</v>
      </c>
    </row>
    <row r="1286">
      <c r="A1286" t="inlineStr">
        <is>
          <t>2026-09-24 16:13:00</t>
        </is>
      </c>
      <c r="B1286" t="inlineStr">
        <is>
          <t>MLLB_000_y1.0.3</t>
        </is>
      </c>
      <c r="C1286" t="inlineStr">
        <is>
          <t>WHITE</t>
        </is>
      </c>
      <c r="D1286" t="inlineStr">
        <is>
          <t>v4_white_MLLB_000_y103_0924</t>
        </is>
      </c>
      <c r="E1286" t="n">
        <v>3.2</v>
      </c>
      <c r="F1286" t="n">
        <v>3.208</v>
      </c>
      <c r="G1286" t="n">
        <v>7</v>
      </c>
      <c r="H1286" t="n">
        <v>60</v>
      </c>
      <c r="I1286" t="n">
        <v>47</v>
      </c>
      <c r="J1286" t="inlineStr">
        <is>
          <t>ince</t>
        </is>
      </c>
      <c r="K1286" t="b">
        <v>1</v>
      </c>
      <c r="M1286" t="n">
        <v>50</v>
      </c>
      <c r="N1286" t="n">
        <v>28</v>
      </c>
      <c r="O1286" t="n">
        <v>30</v>
      </c>
      <c r="P1286" t="n">
        <v>952</v>
      </c>
      <c r="Q1286" t="n">
        <v>1002</v>
      </c>
      <c r="R1286" t="n">
        <v>6.746</v>
      </c>
      <c r="S1286" t="n">
        <v>79.81999999999999</v>
      </c>
      <c r="T1286" t="n">
        <v>11.832</v>
      </c>
      <c r="U1286" t="n">
        <v>0.7783</v>
      </c>
      <c r="V1286" t="b">
        <v>1</v>
      </c>
      <c r="X1286" t="b">
        <v>0</v>
      </c>
      <c r="Y1286" t="inlineStr">
        <is>
          <t>FLAS</t>
        </is>
      </c>
      <c r="Z1286" t="n">
        <v>935</v>
      </c>
      <c r="AA1286" t="n">
        <v>2.5</v>
      </c>
      <c r="AB1286" t="n">
        <v>9.5</v>
      </c>
    </row>
    <row r="1287">
      <c r="A1287" t="inlineStr">
        <is>
          <t>2026-09-24 16:13:00</t>
        </is>
      </c>
      <c r="B1287" t="inlineStr">
        <is>
          <t>MLLB_000_y1.0.3</t>
        </is>
      </c>
      <c r="C1287" t="inlineStr">
        <is>
          <t>WHITE</t>
        </is>
      </c>
      <c r="D1287" t="inlineStr">
        <is>
          <t>v4_white_MLLB_000_y103_0924</t>
        </is>
      </c>
      <c r="E1287" t="n">
        <v>3.2</v>
      </c>
      <c r="F1287" t="n">
        <v>3.208</v>
      </c>
      <c r="G1287" t="n">
        <v>7</v>
      </c>
      <c r="H1287" t="n">
        <v>60</v>
      </c>
      <c r="J1287" t="inlineStr">
        <is>
          <t>bitti</t>
        </is>
      </c>
      <c r="K1287" t="b">
        <v>0</v>
      </c>
      <c r="Z1287" t="n">
        <v>935</v>
      </c>
      <c r="AA1287" t="n">
        <v>2.5</v>
      </c>
      <c r="AB1287" t="n">
        <v>9.5</v>
      </c>
    </row>
    <row r="1288">
      <c r="A1288" t="inlineStr">
        <is>
          <t>2026-09-24 16:13:22</t>
        </is>
      </c>
      <c r="B1288" t="inlineStr">
        <is>
          <t>MLLB_000_y1.0.3</t>
        </is>
      </c>
      <c r="C1288" t="inlineStr">
        <is>
          <t>WHITE</t>
        </is>
      </c>
      <c r="D1288" t="inlineStr">
        <is>
          <t>v4_white_MLLB_000_y103_0924</t>
        </is>
      </c>
      <c r="E1288" t="n">
        <v>3.2</v>
      </c>
      <c r="F1288" t="n">
        <v>3.208</v>
      </c>
      <c r="G1288" t="n">
        <v>8</v>
      </c>
      <c r="H1288" t="n">
        <v>100</v>
      </c>
      <c r="I1288" t="n">
        <v>12</v>
      </c>
      <c r="J1288" t="inlineStr">
        <is>
          <t>kaba</t>
        </is>
      </c>
      <c r="K1288" t="b">
        <v>1</v>
      </c>
      <c r="M1288" t="n">
        <v>232</v>
      </c>
      <c r="N1288" t="n">
        <v>38</v>
      </c>
      <c r="O1288" t="n">
        <v>208</v>
      </c>
      <c r="P1288" t="n">
        <v>770</v>
      </c>
      <c r="Q1288" t="n">
        <v>1002</v>
      </c>
      <c r="R1288" t="n">
        <v>1.08</v>
      </c>
      <c r="S1288" t="n">
        <v>15.234</v>
      </c>
      <c r="T1288" t="n">
        <v>14.099</v>
      </c>
      <c r="U1288" t="n">
        <v>0.7782</v>
      </c>
      <c r="V1288" t="b">
        <v>1</v>
      </c>
      <c r="X1288" t="b">
        <v>0</v>
      </c>
      <c r="Y1288" t="inlineStr">
        <is>
          <t>ON</t>
        </is>
      </c>
      <c r="Z1288" t="n">
        <v>935</v>
      </c>
      <c r="AA1288" t="n">
        <v>2.5</v>
      </c>
      <c r="AB1288" t="n">
        <v>9.5</v>
      </c>
    </row>
    <row r="1289">
      <c r="A1289" t="inlineStr">
        <is>
          <t>2026-09-24 16:13:38</t>
        </is>
      </c>
      <c r="B1289" t="inlineStr">
        <is>
          <t>MLLB_000_y1.0.3</t>
        </is>
      </c>
      <c r="C1289" t="inlineStr">
        <is>
          <t>WHITE</t>
        </is>
      </c>
      <c r="D1289" t="inlineStr">
        <is>
          <t>v4_white_MLLB_000_y103_0924</t>
        </is>
      </c>
      <c r="E1289" t="n">
        <v>3.2</v>
      </c>
      <c r="F1289" t="n">
        <v>3.208</v>
      </c>
      <c r="G1289" t="n">
        <v>8</v>
      </c>
      <c r="H1289" t="n">
        <v>100</v>
      </c>
      <c r="I1289" t="n">
        <v>16</v>
      </c>
      <c r="J1289" t="inlineStr">
        <is>
          <t>kaba</t>
        </is>
      </c>
      <c r="K1289" t="b">
        <v>1</v>
      </c>
      <c r="M1289" t="n">
        <v>174</v>
      </c>
      <c r="N1289" t="n">
        <v>40</v>
      </c>
      <c r="O1289" t="n">
        <v>150</v>
      </c>
      <c r="P1289" t="n">
        <v>828</v>
      </c>
      <c r="Q1289" t="n">
        <v>1002</v>
      </c>
      <c r="R1289" t="n">
        <v>1.079</v>
      </c>
      <c r="S1289" t="n">
        <v>15.234</v>
      </c>
      <c r="T1289" t="n">
        <v>14.123</v>
      </c>
      <c r="U1289" t="n">
        <v>0.7781</v>
      </c>
      <c r="V1289" t="b">
        <v>1</v>
      </c>
      <c r="X1289" t="b">
        <v>0</v>
      </c>
      <c r="Y1289" t="inlineStr">
        <is>
          <t>ON</t>
        </is>
      </c>
      <c r="Z1289" t="n">
        <v>935</v>
      </c>
      <c r="AA1289" t="n">
        <v>2.5</v>
      </c>
      <c r="AB1289" t="n">
        <v>9.5</v>
      </c>
    </row>
    <row r="1290">
      <c r="A1290" t="inlineStr">
        <is>
          <t>2026-09-24 16:13:54</t>
        </is>
      </c>
      <c r="B1290" t="inlineStr">
        <is>
          <t>MLLB_000_y1.0.3</t>
        </is>
      </c>
      <c r="C1290" t="inlineStr">
        <is>
          <t>WHITE</t>
        </is>
      </c>
      <c r="D1290" t="inlineStr">
        <is>
          <t>v4_white_MLLB_000_y103_0924</t>
        </is>
      </c>
      <c r="E1290" t="n">
        <v>3.2</v>
      </c>
      <c r="F1290" t="n">
        <v>3.208</v>
      </c>
      <c r="G1290" t="n">
        <v>8</v>
      </c>
      <c r="H1290" t="n">
        <v>100</v>
      </c>
      <c r="I1290" t="n">
        <v>20</v>
      </c>
      <c r="J1290" t="inlineStr">
        <is>
          <t>kaba</t>
        </is>
      </c>
      <c r="K1290" t="b">
        <v>1</v>
      </c>
      <c r="M1290" t="n">
        <v>118</v>
      </c>
      <c r="N1290" t="n">
        <v>42</v>
      </c>
      <c r="O1290" t="n">
        <v>94</v>
      </c>
      <c r="P1290" t="n">
        <v>884</v>
      </c>
      <c r="Q1290" t="n">
        <v>1002</v>
      </c>
      <c r="R1290" t="n">
        <v>1.075</v>
      </c>
      <c r="S1290" t="n">
        <v>15.234</v>
      </c>
      <c r="T1290" t="n">
        <v>14.17</v>
      </c>
      <c r="U1290" t="n">
        <v>0.7778</v>
      </c>
      <c r="V1290" t="b">
        <v>1</v>
      </c>
      <c r="X1290" t="b">
        <v>0</v>
      </c>
      <c r="Y1290" t="inlineStr">
        <is>
          <t>ON</t>
        </is>
      </c>
      <c r="Z1290" t="n">
        <v>935</v>
      </c>
      <c r="AA1290" t="n">
        <v>2.5</v>
      </c>
      <c r="AB1290" t="n">
        <v>9.5</v>
      </c>
    </row>
    <row r="1291">
      <c r="A1291" t="inlineStr">
        <is>
          <t>2026-09-24 16:14:06</t>
        </is>
      </c>
      <c r="B1291" t="inlineStr">
        <is>
          <t>MLLB_000_y1.0.3</t>
        </is>
      </c>
      <c r="C1291" t="inlineStr">
        <is>
          <t>WHITE</t>
        </is>
      </c>
      <c r="D1291" t="inlineStr">
        <is>
          <t>v4_white_MLLB_000_y103_0924</t>
        </is>
      </c>
      <c r="E1291" t="n">
        <v>3.2</v>
      </c>
      <c r="F1291" t="n">
        <v>3.208</v>
      </c>
      <c r="G1291" t="n">
        <v>8</v>
      </c>
      <c r="H1291" t="n">
        <v>100</v>
      </c>
      <c r="I1291" t="n">
        <v>24</v>
      </c>
      <c r="J1291" t="inlineStr">
        <is>
          <t>kaba</t>
        </is>
      </c>
      <c r="K1291" t="b">
        <v>1</v>
      </c>
      <c r="M1291" t="n">
        <v>60</v>
      </c>
      <c r="N1291" t="n">
        <v>38</v>
      </c>
      <c r="O1291" t="n">
        <v>36</v>
      </c>
      <c r="P1291" t="n">
        <v>942</v>
      </c>
      <c r="Q1291" t="n">
        <v>1002</v>
      </c>
      <c r="R1291" t="n">
        <v>1.074</v>
      </c>
      <c r="S1291" t="n">
        <v>15.234</v>
      </c>
      <c r="T1291" t="n">
        <v>14.183</v>
      </c>
      <c r="U1291" t="n">
        <v>0.7783</v>
      </c>
      <c r="V1291" t="b">
        <v>1</v>
      </c>
      <c r="X1291" t="b">
        <v>1</v>
      </c>
      <c r="Z1291" t="n">
        <v>935</v>
      </c>
      <c r="AA1291" t="n">
        <v>2.5</v>
      </c>
      <c r="AB1291" t="n">
        <v>9.5</v>
      </c>
    </row>
    <row r="1292">
      <c r="A1292" t="inlineStr">
        <is>
          <t>2026-09-24 16:14:22</t>
        </is>
      </c>
      <c r="B1292" t="inlineStr">
        <is>
          <t>MLLB_000_y1.0.3</t>
        </is>
      </c>
      <c r="C1292" t="inlineStr">
        <is>
          <t>WHITE</t>
        </is>
      </c>
      <c r="D1292" t="inlineStr">
        <is>
          <t>v4_white_MLLB_000_y103_0924</t>
        </is>
      </c>
      <c r="E1292" t="n">
        <v>3.2</v>
      </c>
      <c r="F1292" t="n">
        <v>3.208</v>
      </c>
      <c r="G1292" t="n">
        <v>8</v>
      </c>
      <c r="H1292" t="n">
        <v>100</v>
      </c>
      <c r="I1292" t="n">
        <v>28</v>
      </c>
      <c r="J1292" t="inlineStr">
        <is>
          <t>kaba</t>
        </is>
      </c>
      <c r="K1292" t="b">
        <v>1</v>
      </c>
      <c r="M1292" t="n">
        <v>34</v>
      </c>
      <c r="N1292" t="n">
        <v>28</v>
      </c>
      <c r="O1292" t="n">
        <v>14</v>
      </c>
      <c r="P1292" t="n">
        <v>968</v>
      </c>
      <c r="Q1292" t="n">
        <v>1002</v>
      </c>
      <c r="R1292" t="n">
        <v>1.355</v>
      </c>
      <c r="S1292" t="n">
        <v>19.213</v>
      </c>
      <c r="T1292" t="n">
        <v>14.184</v>
      </c>
      <c r="U1292" t="n">
        <v>0.7781</v>
      </c>
      <c r="V1292" t="b">
        <v>1</v>
      </c>
      <c r="X1292" t="b">
        <v>1</v>
      </c>
      <c r="Z1292" t="n">
        <v>935</v>
      </c>
      <c r="AA1292" t="n">
        <v>2.5</v>
      </c>
      <c r="AB1292" t="n">
        <v>9.5</v>
      </c>
    </row>
    <row r="1293">
      <c r="A1293" t="inlineStr">
        <is>
          <t>2026-09-24 16:14:38</t>
        </is>
      </c>
      <c r="B1293" t="inlineStr">
        <is>
          <t>MLLB_000_y1.0.3</t>
        </is>
      </c>
      <c r="C1293" t="inlineStr">
        <is>
          <t>WHITE</t>
        </is>
      </c>
      <c r="D1293" t="inlineStr">
        <is>
          <t>v4_white_MLLB_000_y103_0924</t>
        </is>
      </c>
      <c r="E1293" t="n">
        <v>3.2</v>
      </c>
      <c r="F1293" t="n">
        <v>3.208</v>
      </c>
      <c r="G1293" t="n">
        <v>8</v>
      </c>
      <c r="H1293" t="n">
        <v>100</v>
      </c>
      <c r="I1293" t="n">
        <v>32</v>
      </c>
      <c r="J1293" t="inlineStr">
        <is>
          <t>kaba</t>
        </is>
      </c>
      <c r="K1293" t="b">
        <v>1</v>
      </c>
      <c r="M1293" t="n">
        <v>34</v>
      </c>
      <c r="N1293" t="n">
        <v>28</v>
      </c>
      <c r="O1293" t="n">
        <v>14</v>
      </c>
      <c r="P1293" t="n">
        <v>968</v>
      </c>
      <c r="Q1293" t="n">
        <v>1002</v>
      </c>
      <c r="R1293" t="n">
        <v>13.087</v>
      </c>
      <c r="S1293" t="n">
        <v>185.711</v>
      </c>
      <c r="T1293" t="n">
        <v>14.191</v>
      </c>
      <c r="U1293" t="n">
        <v>0.7781</v>
      </c>
      <c r="V1293" t="b">
        <v>1</v>
      </c>
      <c r="X1293" t="b">
        <v>0</v>
      </c>
      <c r="Y1293" t="inlineStr">
        <is>
          <t>FLAS</t>
        </is>
      </c>
      <c r="Z1293" t="n">
        <v>935</v>
      </c>
      <c r="AA1293" t="n">
        <v>2.5</v>
      </c>
      <c r="AB1293" t="n">
        <v>9.5</v>
      </c>
    </row>
    <row r="1294">
      <c r="A1294" t="inlineStr">
        <is>
          <t>2026-09-24 16:14:54</t>
        </is>
      </c>
      <c r="B1294" t="inlineStr">
        <is>
          <t>MLLB_000_y1.0.3</t>
        </is>
      </c>
      <c r="C1294" t="inlineStr">
        <is>
          <t>WHITE</t>
        </is>
      </c>
      <c r="D1294" t="inlineStr">
        <is>
          <t>v4_white_MLLB_000_y103_0924</t>
        </is>
      </c>
      <c r="E1294" t="n">
        <v>3.2</v>
      </c>
      <c r="F1294" t="n">
        <v>3.208</v>
      </c>
      <c r="G1294" t="n">
        <v>8</v>
      </c>
      <c r="H1294" t="n">
        <v>100</v>
      </c>
      <c r="I1294" t="n">
        <v>21</v>
      </c>
      <c r="J1294" t="inlineStr">
        <is>
          <t>ince</t>
        </is>
      </c>
      <c r="K1294" t="b">
        <v>1</v>
      </c>
      <c r="M1294" t="n">
        <v>104</v>
      </c>
      <c r="N1294" t="n">
        <v>40</v>
      </c>
      <c r="O1294" t="n">
        <v>78</v>
      </c>
      <c r="P1294" t="n">
        <v>898</v>
      </c>
      <c r="Q1294" t="n">
        <v>1002</v>
      </c>
      <c r="R1294" t="n">
        <v>1.076</v>
      </c>
      <c r="S1294" t="n">
        <v>15.234</v>
      </c>
      <c r="T1294" t="n">
        <v>14.157</v>
      </c>
      <c r="U1294" t="n">
        <v>0.7782</v>
      </c>
      <c r="V1294" t="b">
        <v>1</v>
      </c>
      <c r="X1294" t="b">
        <v>0</v>
      </c>
      <c r="Y1294" t="inlineStr">
        <is>
          <t>ON</t>
        </is>
      </c>
      <c r="Z1294" t="n">
        <v>935</v>
      </c>
      <c r="AA1294" t="n">
        <v>2.5</v>
      </c>
      <c r="AB1294" t="n">
        <v>9.5</v>
      </c>
    </row>
    <row r="1295">
      <c r="A1295" t="inlineStr">
        <is>
          <t>2026-09-24 16:15:09</t>
        </is>
      </c>
      <c r="B1295" t="inlineStr">
        <is>
          <t>MLLB_000_y1.0.3</t>
        </is>
      </c>
      <c r="C1295" t="inlineStr">
        <is>
          <t>WHITE</t>
        </is>
      </c>
      <c r="D1295" t="inlineStr">
        <is>
          <t>v4_white_MLLB_000_y103_0924</t>
        </is>
      </c>
      <c r="E1295" t="n">
        <v>3.2</v>
      </c>
      <c r="F1295" t="n">
        <v>3.208</v>
      </c>
      <c r="G1295" t="n">
        <v>8</v>
      </c>
      <c r="H1295" t="n">
        <v>100</v>
      </c>
      <c r="I1295" t="n">
        <v>22</v>
      </c>
      <c r="J1295" t="inlineStr">
        <is>
          <t>ince</t>
        </is>
      </c>
      <c r="K1295" t="b">
        <v>1</v>
      </c>
      <c r="M1295" t="n">
        <v>88</v>
      </c>
      <c r="N1295" t="n">
        <v>36</v>
      </c>
      <c r="O1295" t="n">
        <v>66</v>
      </c>
      <c r="P1295" t="n">
        <v>914</v>
      </c>
      <c r="Q1295" t="n">
        <v>1002</v>
      </c>
      <c r="R1295" t="n">
        <v>1.073</v>
      </c>
      <c r="S1295" t="n">
        <v>15.234</v>
      </c>
      <c r="T1295" t="n">
        <v>14.202</v>
      </c>
      <c r="U1295" t="n">
        <v>0.7782</v>
      </c>
      <c r="V1295" t="b">
        <v>1</v>
      </c>
      <c r="X1295" t="b">
        <v>0</v>
      </c>
      <c r="Y1295" t="inlineStr">
        <is>
          <t>ON</t>
        </is>
      </c>
      <c r="Z1295" t="n">
        <v>935</v>
      </c>
      <c r="AA1295" t="n">
        <v>2.5</v>
      </c>
      <c r="AB1295" t="n">
        <v>9.5</v>
      </c>
    </row>
    <row r="1296">
      <c r="A1296" t="inlineStr">
        <is>
          <t>2026-09-24 16:15:26</t>
        </is>
      </c>
      <c r="B1296" t="inlineStr">
        <is>
          <t>MLLB_000_y1.0.3</t>
        </is>
      </c>
      <c r="C1296" t="inlineStr">
        <is>
          <t>WHITE</t>
        </is>
      </c>
      <c r="D1296" t="inlineStr">
        <is>
          <t>v4_white_MLLB_000_y103_0924</t>
        </is>
      </c>
      <c r="E1296" t="n">
        <v>3.2</v>
      </c>
      <c r="F1296" t="n">
        <v>3.208</v>
      </c>
      <c r="G1296" t="n">
        <v>8</v>
      </c>
      <c r="H1296" t="n">
        <v>100</v>
      </c>
      <c r="I1296" t="n">
        <v>23</v>
      </c>
      <c r="J1296" t="inlineStr">
        <is>
          <t>ince</t>
        </is>
      </c>
      <c r="K1296" t="b">
        <v>1</v>
      </c>
      <c r="M1296" t="n">
        <v>74</v>
      </c>
      <c r="N1296" t="n">
        <v>42</v>
      </c>
      <c r="O1296" t="n">
        <v>50</v>
      </c>
      <c r="P1296" t="n">
        <v>928</v>
      </c>
      <c r="Q1296" t="n">
        <v>1002</v>
      </c>
      <c r="R1296" t="n">
        <v>1.075</v>
      </c>
      <c r="S1296" t="n">
        <v>15.234</v>
      </c>
      <c r="T1296" t="n">
        <v>14.172</v>
      </c>
      <c r="U1296" t="n">
        <v>0.7786999999999999</v>
      </c>
      <c r="V1296" t="b">
        <v>1</v>
      </c>
      <c r="X1296" t="b">
        <v>0</v>
      </c>
      <c r="Y1296" t="inlineStr">
        <is>
          <t>ON</t>
        </is>
      </c>
      <c r="Z1296" t="n">
        <v>935</v>
      </c>
      <c r="AA1296" t="n">
        <v>2.5</v>
      </c>
      <c r="AB1296" t="n">
        <v>9.5</v>
      </c>
    </row>
    <row r="1297">
      <c r="A1297" t="inlineStr">
        <is>
          <t>2026-09-24 16:15:26</t>
        </is>
      </c>
      <c r="B1297" t="inlineStr">
        <is>
          <t>MLLB_000_y1.0.3</t>
        </is>
      </c>
      <c r="C1297" t="inlineStr">
        <is>
          <t>WHITE</t>
        </is>
      </c>
      <c r="D1297" t="inlineStr">
        <is>
          <t>v4_white_MLLB_000_y103_0924</t>
        </is>
      </c>
      <c r="E1297" t="n">
        <v>3.2</v>
      </c>
      <c r="F1297" t="n">
        <v>3.208</v>
      </c>
      <c r="G1297" t="n">
        <v>8</v>
      </c>
      <c r="H1297" t="n">
        <v>100</v>
      </c>
      <c r="I1297" t="n">
        <v>25</v>
      </c>
      <c r="J1297" t="inlineStr">
        <is>
          <t>ince</t>
        </is>
      </c>
      <c r="K1297" t="b">
        <v>0</v>
      </c>
      <c r="L1297" t="inlineStr">
        <is>
          <t>iki-OK-arasi-monotonluk</t>
        </is>
      </c>
      <c r="X1297" t="b">
        <v>1</v>
      </c>
      <c r="Z1297" t="n">
        <v>935</v>
      </c>
      <c r="AA1297" t="n">
        <v>2.5</v>
      </c>
      <c r="AB1297" t="n">
        <v>9.5</v>
      </c>
    </row>
    <row r="1298">
      <c r="A1298" t="inlineStr">
        <is>
          <t>2026-09-24 16:15:26</t>
        </is>
      </c>
      <c r="B1298" t="inlineStr">
        <is>
          <t>MLLB_000_y1.0.3</t>
        </is>
      </c>
      <c r="C1298" t="inlineStr">
        <is>
          <t>WHITE</t>
        </is>
      </c>
      <c r="D1298" t="inlineStr">
        <is>
          <t>v4_white_MLLB_000_y103_0924</t>
        </is>
      </c>
      <c r="E1298" t="n">
        <v>3.2</v>
      </c>
      <c r="F1298" t="n">
        <v>3.208</v>
      </c>
      <c r="G1298" t="n">
        <v>8</v>
      </c>
      <c r="H1298" t="n">
        <v>100</v>
      </c>
      <c r="I1298" t="n">
        <v>26</v>
      </c>
      <c r="J1298" t="inlineStr">
        <is>
          <t>ince</t>
        </is>
      </c>
      <c r="K1298" t="b">
        <v>0</v>
      </c>
      <c r="L1298" t="inlineStr">
        <is>
          <t>iki-OK-arasi-monotonluk</t>
        </is>
      </c>
      <c r="X1298" t="b">
        <v>1</v>
      </c>
      <c r="Z1298" t="n">
        <v>935</v>
      </c>
      <c r="AA1298" t="n">
        <v>2.5</v>
      </c>
      <c r="AB1298" t="n">
        <v>9.5</v>
      </c>
    </row>
    <row r="1299">
      <c r="A1299" t="inlineStr">
        <is>
          <t>2026-09-24 16:15:26</t>
        </is>
      </c>
      <c r="B1299" t="inlineStr">
        <is>
          <t>MLLB_000_y1.0.3</t>
        </is>
      </c>
      <c r="C1299" t="inlineStr">
        <is>
          <t>WHITE</t>
        </is>
      </c>
      <c r="D1299" t="inlineStr">
        <is>
          <t>v4_white_MLLB_000_y103_0924</t>
        </is>
      </c>
      <c r="E1299" t="n">
        <v>3.2</v>
      </c>
      <c r="F1299" t="n">
        <v>3.208</v>
      </c>
      <c r="G1299" t="n">
        <v>8</v>
      </c>
      <c r="H1299" t="n">
        <v>100</v>
      </c>
      <c r="I1299" t="n">
        <v>27</v>
      </c>
      <c r="J1299" t="inlineStr">
        <is>
          <t>ince</t>
        </is>
      </c>
      <c r="K1299" t="b">
        <v>0</v>
      </c>
      <c r="L1299" t="inlineStr">
        <is>
          <t>iki-OK-arasi-monotonluk</t>
        </is>
      </c>
      <c r="X1299" t="b">
        <v>1</v>
      </c>
      <c r="Z1299" t="n">
        <v>935</v>
      </c>
      <c r="AA1299" t="n">
        <v>2.5</v>
      </c>
      <c r="AB1299" t="n">
        <v>9.5</v>
      </c>
    </row>
    <row r="1300">
      <c r="A1300" t="inlineStr">
        <is>
          <t>2026-09-24 16:15:42</t>
        </is>
      </c>
      <c r="B1300" t="inlineStr">
        <is>
          <t>MLLB_000_y1.0.3</t>
        </is>
      </c>
      <c r="C1300" t="inlineStr">
        <is>
          <t>WHITE</t>
        </is>
      </c>
      <c r="D1300" t="inlineStr">
        <is>
          <t>v4_white_MLLB_000_y103_0924</t>
        </is>
      </c>
      <c r="E1300" t="n">
        <v>3.2</v>
      </c>
      <c r="F1300" t="n">
        <v>3.208</v>
      </c>
      <c r="G1300" t="n">
        <v>8</v>
      </c>
      <c r="H1300" t="n">
        <v>100</v>
      </c>
      <c r="I1300" t="n">
        <v>29</v>
      </c>
      <c r="J1300" t="inlineStr">
        <is>
          <t>ince</t>
        </is>
      </c>
      <c r="K1300" t="b">
        <v>1</v>
      </c>
      <c r="M1300" t="n">
        <v>34</v>
      </c>
      <c r="N1300" t="n">
        <v>28</v>
      </c>
      <c r="O1300" t="n">
        <v>14</v>
      </c>
      <c r="P1300" t="n">
        <v>968</v>
      </c>
      <c r="Q1300" t="n">
        <v>1002</v>
      </c>
      <c r="R1300" t="n">
        <v>3.944</v>
      </c>
      <c r="S1300" t="n">
        <v>55.917</v>
      </c>
      <c r="T1300" t="n">
        <v>14.179</v>
      </c>
      <c r="U1300" t="n">
        <v>0.7774</v>
      </c>
      <c r="V1300" t="b">
        <v>1</v>
      </c>
      <c r="X1300" t="b">
        <v>0</v>
      </c>
      <c r="Y1300" t="inlineStr">
        <is>
          <t>FLAS</t>
        </is>
      </c>
      <c r="Z1300" t="n">
        <v>935</v>
      </c>
      <c r="AA1300" t="n">
        <v>2.5</v>
      </c>
      <c r="AB1300" t="n">
        <v>9.5</v>
      </c>
    </row>
    <row r="1301">
      <c r="A1301" t="inlineStr">
        <is>
          <t>2026-09-24 16:15:58</t>
        </is>
      </c>
      <c r="B1301" t="inlineStr">
        <is>
          <t>MLLB_000_y1.0.3</t>
        </is>
      </c>
      <c r="C1301" t="inlineStr">
        <is>
          <t>WHITE</t>
        </is>
      </c>
      <c r="D1301" t="inlineStr">
        <is>
          <t>v4_white_MLLB_000_y103_0924</t>
        </is>
      </c>
      <c r="E1301" t="n">
        <v>3.2</v>
      </c>
      <c r="F1301" t="n">
        <v>3.208</v>
      </c>
      <c r="G1301" t="n">
        <v>8</v>
      </c>
      <c r="H1301" t="n">
        <v>100</v>
      </c>
      <c r="I1301" t="n">
        <v>30</v>
      </c>
      <c r="J1301" t="inlineStr">
        <is>
          <t>ince</t>
        </is>
      </c>
      <c r="K1301" t="b">
        <v>1</v>
      </c>
      <c r="M1301" t="n">
        <v>34</v>
      </c>
      <c r="N1301" t="n">
        <v>28</v>
      </c>
      <c r="O1301" t="n">
        <v>14</v>
      </c>
      <c r="P1301" t="n">
        <v>968</v>
      </c>
      <c r="Q1301" t="n">
        <v>1002</v>
      </c>
      <c r="R1301" t="n">
        <v>8.733000000000001</v>
      </c>
      <c r="S1301" t="n">
        <v>124.168</v>
      </c>
      <c r="T1301" t="n">
        <v>14.219</v>
      </c>
      <c r="U1301" t="n">
        <v>0.7776</v>
      </c>
      <c r="V1301" t="b">
        <v>1</v>
      </c>
      <c r="X1301" t="b">
        <v>0</v>
      </c>
      <c r="Y1301" t="inlineStr">
        <is>
          <t>FLAS</t>
        </is>
      </c>
      <c r="Z1301" t="n">
        <v>935</v>
      </c>
      <c r="AA1301" t="n">
        <v>2.5</v>
      </c>
      <c r="AB1301" t="n">
        <v>9.5</v>
      </c>
    </row>
    <row r="1302">
      <c r="A1302" t="inlineStr">
        <is>
          <t>2026-09-24 16:16:14</t>
        </is>
      </c>
      <c r="B1302" t="inlineStr">
        <is>
          <t>MLLB_000_y1.0.3</t>
        </is>
      </c>
      <c r="C1302" t="inlineStr">
        <is>
          <t>WHITE</t>
        </is>
      </c>
      <c r="D1302" t="inlineStr">
        <is>
          <t>v4_white_MLLB_000_y103_0924</t>
        </is>
      </c>
      <c r="E1302" t="n">
        <v>3.2</v>
      </c>
      <c r="F1302" t="n">
        <v>3.208</v>
      </c>
      <c r="G1302" t="n">
        <v>8</v>
      </c>
      <c r="H1302" t="n">
        <v>100</v>
      </c>
      <c r="I1302" t="n">
        <v>31</v>
      </c>
      <c r="J1302" t="inlineStr">
        <is>
          <t>ince</t>
        </is>
      </c>
      <c r="K1302" t="b">
        <v>1</v>
      </c>
      <c r="M1302" t="n">
        <v>34</v>
      </c>
      <c r="N1302" t="n">
        <v>28</v>
      </c>
      <c r="O1302" t="n">
        <v>14</v>
      </c>
      <c r="P1302" t="n">
        <v>968</v>
      </c>
      <c r="Q1302" t="n">
        <v>1002</v>
      </c>
      <c r="R1302" t="n">
        <v>12.011</v>
      </c>
      <c r="S1302" t="n">
        <v>170.324</v>
      </c>
      <c r="T1302" t="n">
        <v>14.181</v>
      </c>
      <c r="U1302" t="n">
        <v>0.7782</v>
      </c>
      <c r="V1302" t="b">
        <v>1</v>
      </c>
      <c r="X1302" t="b">
        <v>0</v>
      </c>
      <c r="Y1302" t="inlineStr">
        <is>
          <t>FLAS</t>
        </is>
      </c>
      <c r="Z1302" t="n">
        <v>935</v>
      </c>
      <c r="AA1302" t="n">
        <v>2.5</v>
      </c>
      <c r="AB1302" t="n">
        <v>9.5</v>
      </c>
    </row>
    <row r="1303">
      <c r="A1303" t="inlineStr">
        <is>
          <t>2026-09-24 16:16:14</t>
        </is>
      </c>
      <c r="B1303" t="inlineStr">
        <is>
          <t>MLLB_000_y1.0.3</t>
        </is>
      </c>
      <c r="C1303" t="inlineStr">
        <is>
          <t>WHITE</t>
        </is>
      </c>
      <c r="D1303" t="inlineStr">
        <is>
          <t>v4_white_MLLB_000_y103_0924</t>
        </is>
      </c>
      <c r="E1303" t="n">
        <v>3.2</v>
      </c>
      <c r="F1303" t="n">
        <v>3.208</v>
      </c>
      <c r="G1303" t="n">
        <v>8</v>
      </c>
      <c r="H1303" t="n">
        <v>100</v>
      </c>
      <c r="J1303" t="inlineStr">
        <is>
          <t>bitti</t>
        </is>
      </c>
      <c r="K1303" t="b">
        <v>0</v>
      </c>
      <c r="Z1303" t="n">
        <v>935</v>
      </c>
      <c r="AA1303" t="n">
        <v>2.5</v>
      </c>
      <c r="AB1303" t="n">
        <v>9.5</v>
      </c>
    </row>
    <row r="1304">
      <c r="A1304" t="inlineStr">
        <is>
          <t>2026-09-24 16:16:30</t>
        </is>
      </c>
      <c r="B1304" t="inlineStr">
        <is>
          <t>MLLB_000_y1.0.3</t>
        </is>
      </c>
      <c r="C1304" t="inlineStr">
        <is>
          <t>WHITE</t>
        </is>
      </c>
      <c r="D1304" t="inlineStr">
        <is>
          <t>v4_white_MLLB_000_y103_0924</t>
        </is>
      </c>
      <c r="E1304" t="n">
        <v>3.2</v>
      </c>
      <c r="F1304" t="n">
        <v>3.208</v>
      </c>
      <c r="G1304" t="n">
        <v>8</v>
      </c>
      <c r="H1304" t="n">
        <v>80</v>
      </c>
      <c r="I1304" t="n">
        <v>12</v>
      </c>
      <c r="J1304" t="inlineStr">
        <is>
          <t>kaba</t>
        </is>
      </c>
      <c r="K1304" t="b">
        <v>1</v>
      </c>
      <c r="M1304" t="n">
        <v>260</v>
      </c>
      <c r="N1304" t="n">
        <v>38</v>
      </c>
      <c r="O1304" t="n">
        <v>236</v>
      </c>
      <c r="P1304" t="n">
        <v>742</v>
      </c>
      <c r="Q1304" t="n">
        <v>1002</v>
      </c>
      <c r="R1304" t="n">
        <v>1.085</v>
      </c>
      <c r="S1304" t="n">
        <v>15.234</v>
      </c>
      <c r="T1304" t="n">
        <v>14.034</v>
      </c>
      <c r="U1304" t="n">
        <v>0.7782</v>
      </c>
      <c r="V1304" t="b">
        <v>1</v>
      </c>
      <c r="X1304" t="b">
        <v>0</v>
      </c>
      <c r="Y1304" t="inlineStr">
        <is>
          <t>ON</t>
        </is>
      </c>
      <c r="Z1304" t="n">
        <v>935</v>
      </c>
      <c r="AA1304" t="n">
        <v>2.5</v>
      </c>
      <c r="AB1304" t="n">
        <v>9.5</v>
      </c>
    </row>
    <row r="1305">
      <c r="A1305" t="inlineStr">
        <is>
          <t>2026-09-24 16:16:46</t>
        </is>
      </c>
      <c r="B1305" t="inlineStr">
        <is>
          <t>MLLB_000_y1.0.3</t>
        </is>
      </c>
      <c r="C1305" t="inlineStr">
        <is>
          <t>WHITE</t>
        </is>
      </c>
      <c r="D1305" t="inlineStr">
        <is>
          <t>v4_white_MLLB_000_y103_0924</t>
        </is>
      </c>
      <c r="E1305" t="n">
        <v>3.2</v>
      </c>
      <c r="F1305" t="n">
        <v>3.208</v>
      </c>
      <c r="G1305" t="n">
        <v>8</v>
      </c>
      <c r="H1305" t="n">
        <v>80</v>
      </c>
      <c r="I1305" t="n">
        <v>16</v>
      </c>
      <c r="J1305" t="inlineStr">
        <is>
          <t>kaba</t>
        </is>
      </c>
      <c r="K1305" t="b">
        <v>1</v>
      </c>
      <c r="M1305" t="n">
        <v>214</v>
      </c>
      <c r="N1305" t="n">
        <v>42</v>
      </c>
      <c r="O1305" t="n">
        <v>190</v>
      </c>
      <c r="P1305" t="n">
        <v>788</v>
      </c>
      <c r="Q1305" t="n">
        <v>1002</v>
      </c>
      <c r="R1305" t="n">
        <v>1.08</v>
      </c>
      <c r="S1305" t="n">
        <v>15.234</v>
      </c>
      <c r="T1305" t="n">
        <v>14.1</v>
      </c>
      <c r="U1305" t="n">
        <v>0.7781</v>
      </c>
      <c r="V1305" t="b">
        <v>1</v>
      </c>
      <c r="X1305" t="b">
        <v>0</v>
      </c>
      <c r="Y1305" t="inlineStr">
        <is>
          <t>ON</t>
        </is>
      </c>
      <c r="Z1305" t="n">
        <v>935</v>
      </c>
      <c r="AA1305" t="n">
        <v>2.5</v>
      </c>
      <c r="AB1305" t="n">
        <v>9.5</v>
      </c>
    </row>
    <row r="1306">
      <c r="A1306" t="inlineStr">
        <is>
          <t>2026-09-24 16:17:01</t>
        </is>
      </c>
      <c r="B1306" t="inlineStr">
        <is>
          <t>MLLB_000_y1.0.3</t>
        </is>
      </c>
      <c r="C1306" t="inlineStr">
        <is>
          <t>WHITE</t>
        </is>
      </c>
      <c r="D1306" t="inlineStr">
        <is>
          <t>v4_white_MLLB_000_y103_0924</t>
        </is>
      </c>
      <c r="E1306" t="n">
        <v>3.2</v>
      </c>
      <c r="F1306" t="n">
        <v>3.208</v>
      </c>
      <c r="G1306" t="n">
        <v>8</v>
      </c>
      <c r="H1306" t="n">
        <v>80</v>
      </c>
      <c r="I1306" t="n">
        <v>20</v>
      </c>
      <c r="J1306" t="inlineStr">
        <is>
          <t>kaba</t>
        </is>
      </c>
      <c r="K1306" t="b">
        <v>1</v>
      </c>
      <c r="M1306" t="n">
        <v>168</v>
      </c>
      <c r="N1306" t="n">
        <v>36</v>
      </c>
      <c r="O1306" t="n">
        <v>146</v>
      </c>
      <c r="P1306" t="n">
        <v>834</v>
      </c>
      <c r="Q1306" t="n">
        <v>1002</v>
      </c>
      <c r="R1306" t="n">
        <v>1.074</v>
      </c>
      <c r="S1306" t="n">
        <v>15.149</v>
      </c>
      <c r="T1306" t="n">
        <v>14.107</v>
      </c>
      <c r="U1306" t="n">
        <v>0.7778</v>
      </c>
      <c r="V1306" t="b">
        <v>1</v>
      </c>
      <c r="X1306" t="b">
        <v>0</v>
      </c>
      <c r="Y1306" t="inlineStr">
        <is>
          <t>ON</t>
        </is>
      </c>
      <c r="Z1306" t="n">
        <v>935</v>
      </c>
      <c r="AA1306" t="n">
        <v>2.5</v>
      </c>
      <c r="AB1306" t="n">
        <v>9.5</v>
      </c>
    </row>
    <row r="1307">
      <c r="A1307" t="inlineStr">
        <is>
          <t>2026-09-24 16:17:18</t>
        </is>
      </c>
      <c r="B1307" t="inlineStr">
        <is>
          <t>MLLB_000_y1.0.3</t>
        </is>
      </c>
      <c r="C1307" t="inlineStr">
        <is>
          <t>WHITE</t>
        </is>
      </c>
      <c r="D1307" t="inlineStr">
        <is>
          <t>v4_white_MLLB_000_y103_0924</t>
        </is>
      </c>
      <c r="E1307" t="n">
        <v>3.2</v>
      </c>
      <c r="F1307" t="n">
        <v>3.208</v>
      </c>
      <c r="G1307" t="n">
        <v>8</v>
      </c>
      <c r="H1307" t="n">
        <v>80</v>
      </c>
      <c r="I1307" t="n">
        <v>24</v>
      </c>
      <c r="J1307" t="inlineStr">
        <is>
          <t>kaba</t>
        </is>
      </c>
      <c r="K1307" t="b">
        <v>1</v>
      </c>
      <c r="M1307" t="n">
        <v>122</v>
      </c>
      <c r="N1307" t="n">
        <v>42</v>
      </c>
      <c r="O1307" t="n">
        <v>98</v>
      </c>
      <c r="P1307" t="n">
        <v>880</v>
      </c>
      <c r="Q1307" t="n">
        <v>1002</v>
      </c>
      <c r="R1307" t="n">
        <v>1.076</v>
      </c>
      <c r="S1307" t="n">
        <v>15.234</v>
      </c>
      <c r="T1307" t="n">
        <v>14.151</v>
      </c>
      <c r="U1307" t="n">
        <v>0.7775</v>
      </c>
      <c r="V1307" t="b">
        <v>1</v>
      </c>
      <c r="X1307" t="b">
        <v>0</v>
      </c>
      <c r="Y1307" t="inlineStr">
        <is>
          <t>ON</t>
        </is>
      </c>
      <c r="Z1307" t="n">
        <v>935</v>
      </c>
      <c r="AA1307" t="n">
        <v>2.5</v>
      </c>
      <c r="AB1307" t="n">
        <v>9.5</v>
      </c>
    </row>
    <row r="1308">
      <c r="A1308" t="inlineStr">
        <is>
          <t>2026-09-24 16:17:34</t>
        </is>
      </c>
      <c r="B1308" t="inlineStr">
        <is>
          <t>MLLB_000_y1.0.3</t>
        </is>
      </c>
      <c r="C1308" t="inlineStr">
        <is>
          <t>WHITE</t>
        </is>
      </c>
      <c r="D1308" t="inlineStr">
        <is>
          <t>v4_white_MLLB_000_y103_0924</t>
        </is>
      </c>
      <c r="E1308" t="n">
        <v>3.2</v>
      </c>
      <c r="F1308" t="n">
        <v>3.208</v>
      </c>
      <c r="G1308" t="n">
        <v>8</v>
      </c>
      <c r="H1308" t="n">
        <v>80</v>
      </c>
      <c r="I1308" t="n">
        <v>28</v>
      </c>
      <c r="J1308" t="inlineStr">
        <is>
          <t>kaba</t>
        </is>
      </c>
      <c r="K1308" t="b">
        <v>1</v>
      </c>
      <c r="M1308" t="n">
        <v>76</v>
      </c>
      <c r="N1308" t="n">
        <v>38</v>
      </c>
      <c r="O1308" t="n">
        <v>52</v>
      </c>
      <c r="P1308" t="n">
        <v>926</v>
      </c>
      <c r="Q1308" t="n">
        <v>1002</v>
      </c>
      <c r="R1308" t="n">
        <v>1.074</v>
      </c>
      <c r="S1308" t="n">
        <v>15.234</v>
      </c>
      <c r="T1308" t="n">
        <v>14.18</v>
      </c>
      <c r="U1308" t="n">
        <v>0.7778</v>
      </c>
      <c r="V1308" t="b">
        <v>1</v>
      </c>
      <c r="X1308" t="b">
        <v>0</v>
      </c>
      <c r="Y1308" t="inlineStr">
        <is>
          <t>ON</t>
        </is>
      </c>
      <c r="Z1308" t="n">
        <v>935</v>
      </c>
      <c r="AA1308" t="n">
        <v>2.5</v>
      </c>
      <c r="AB1308" t="n">
        <v>9.5</v>
      </c>
    </row>
    <row r="1309">
      <c r="A1309" t="inlineStr">
        <is>
          <t>2026-09-24 16:17:50</t>
        </is>
      </c>
      <c r="B1309" t="inlineStr">
        <is>
          <t>MLLB_000_y1.0.3</t>
        </is>
      </c>
      <c r="C1309" t="inlineStr">
        <is>
          <t>WHITE</t>
        </is>
      </c>
      <c r="D1309" t="inlineStr">
        <is>
          <t>v4_white_MLLB_000_y103_0924</t>
        </is>
      </c>
      <c r="E1309" t="n">
        <v>3.2</v>
      </c>
      <c r="F1309" t="n">
        <v>3.208</v>
      </c>
      <c r="G1309" t="n">
        <v>8</v>
      </c>
      <c r="H1309" t="n">
        <v>80</v>
      </c>
      <c r="I1309" t="n">
        <v>32</v>
      </c>
      <c r="J1309" t="inlineStr">
        <is>
          <t>kaba</t>
        </is>
      </c>
      <c r="K1309" t="b">
        <v>1</v>
      </c>
      <c r="M1309" t="n">
        <v>38</v>
      </c>
      <c r="N1309" t="n">
        <v>28</v>
      </c>
      <c r="O1309" t="n">
        <v>18</v>
      </c>
      <c r="P1309" t="n">
        <v>964</v>
      </c>
      <c r="Q1309" t="n">
        <v>1002</v>
      </c>
      <c r="R1309" t="n">
        <v>1.074</v>
      </c>
      <c r="S1309" t="n">
        <v>15.234</v>
      </c>
      <c r="T1309" t="n">
        <v>14.185</v>
      </c>
      <c r="U1309" t="n">
        <v>0.7785</v>
      </c>
      <c r="V1309" t="b">
        <v>1</v>
      </c>
      <c r="X1309" t="b">
        <v>1</v>
      </c>
      <c r="Z1309" t="n">
        <v>935</v>
      </c>
      <c r="AA1309" t="n">
        <v>2.5</v>
      </c>
      <c r="AB1309" t="n">
        <v>9.5</v>
      </c>
    </row>
    <row r="1310">
      <c r="A1310" t="inlineStr">
        <is>
          <t>2026-09-24 16:18:06</t>
        </is>
      </c>
      <c r="B1310" t="inlineStr">
        <is>
          <t>MLLB_000_y1.0.3</t>
        </is>
      </c>
      <c r="C1310" t="inlineStr">
        <is>
          <t>WHITE</t>
        </is>
      </c>
      <c r="D1310" t="inlineStr">
        <is>
          <t>v4_white_MLLB_000_y103_0924</t>
        </is>
      </c>
      <c r="E1310" t="n">
        <v>3.2</v>
      </c>
      <c r="F1310" t="n">
        <v>3.208</v>
      </c>
      <c r="G1310" t="n">
        <v>8</v>
      </c>
      <c r="H1310" t="n">
        <v>80</v>
      </c>
      <c r="I1310" t="n">
        <v>36</v>
      </c>
      <c r="J1310" t="inlineStr">
        <is>
          <t>kaba</t>
        </is>
      </c>
      <c r="K1310" t="b">
        <v>1</v>
      </c>
      <c r="M1310" t="n">
        <v>38</v>
      </c>
      <c r="N1310" t="n">
        <v>28</v>
      </c>
      <c r="O1310" t="n">
        <v>18</v>
      </c>
      <c r="P1310" t="n">
        <v>964</v>
      </c>
      <c r="Q1310" t="n">
        <v>1002</v>
      </c>
      <c r="R1310" t="n">
        <v>6.94</v>
      </c>
      <c r="S1310" t="n">
        <v>98.486</v>
      </c>
      <c r="T1310" t="n">
        <v>14.191</v>
      </c>
      <c r="U1310" t="n">
        <v>0.778</v>
      </c>
      <c r="V1310" t="b">
        <v>1</v>
      </c>
      <c r="X1310" t="b">
        <v>0</v>
      </c>
      <c r="Y1310" t="inlineStr">
        <is>
          <t>FLAS</t>
        </is>
      </c>
      <c r="Z1310" t="n">
        <v>935</v>
      </c>
      <c r="AA1310" t="n">
        <v>2.5</v>
      </c>
      <c r="AB1310" t="n">
        <v>9.5</v>
      </c>
    </row>
    <row r="1311">
      <c r="A1311" t="inlineStr">
        <is>
          <t>2026-09-24 16:18:22</t>
        </is>
      </c>
      <c r="B1311" t="inlineStr">
        <is>
          <t>MLLB_000_y1.0.3</t>
        </is>
      </c>
      <c r="C1311" t="inlineStr">
        <is>
          <t>WHITE</t>
        </is>
      </c>
      <c r="D1311" t="inlineStr">
        <is>
          <t>v4_white_MLLB_000_y103_0924</t>
        </is>
      </c>
      <c r="E1311" t="n">
        <v>3.2</v>
      </c>
      <c r="F1311" t="n">
        <v>3.208</v>
      </c>
      <c r="G1311" t="n">
        <v>8</v>
      </c>
      <c r="H1311" t="n">
        <v>80</v>
      </c>
      <c r="I1311" t="n">
        <v>29</v>
      </c>
      <c r="J1311" t="inlineStr">
        <is>
          <t>ince</t>
        </is>
      </c>
      <c r="K1311" t="b">
        <v>1</v>
      </c>
      <c r="M1311" t="n">
        <v>64</v>
      </c>
      <c r="N1311" t="n">
        <v>38</v>
      </c>
      <c r="O1311" t="n">
        <v>40</v>
      </c>
      <c r="P1311" t="n">
        <v>938</v>
      </c>
      <c r="Q1311" t="n">
        <v>1002</v>
      </c>
      <c r="R1311" t="n">
        <v>1.072</v>
      </c>
      <c r="S1311" t="n">
        <v>15.208</v>
      </c>
      <c r="T1311" t="n">
        <v>14.193</v>
      </c>
      <c r="U1311" t="n">
        <v>0.7775</v>
      </c>
      <c r="V1311" t="b">
        <v>1</v>
      </c>
      <c r="X1311" t="b">
        <v>1</v>
      </c>
      <c r="Z1311" t="n">
        <v>935</v>
      </c>
      <c r="AA1311" t="n">
        <v>2.5</v>
      </c>
      <c r="AB1311" t="n">
        <v>9.5</v>
      </c>
    </row>
    <row r="1312">
      <c r="A1312" t="inlineStr">
        <is>
          <t>2026-09-24 16:18:38</t>
        </is>
      </c>
      <c r="B1312" t="inlineStr">
        <is>
          <t>MLLB_000_y1.0.3</t>
        </is>
      </c>
      <c r="C1312" t="inlineStr">
        <is>
          <t>WHITE</t>
        </is>
      </c>
      <c r="D1312" t="inlineStr">
        <is>
          <t>v4_white_MLLB_000_y103_0924</t>
        </is>
      </c>
      <c r="E1312" t="n">
        <v>3.2</v>
      </c>
      <c r="F1312" t="n">
        <v>3.208</v>
      </c>
      <c r="G1312" t="n">
        <v>8</v>
      </c>
      <c r="H1312" t="n">
        <v>80</v>
      </c>
      <c r="I1312" t="n">
        <v>30</v>
      </c>
      <c r="J1312" t="inlineStr">
        <is>
          <t>ince</t>
        </is>
      </c>
      <c r="K1312" t="b">
        <v>1</v>
      </c>
      <c r="M1312" t="n">
        <v>50</v>
      </c>
      <c r="N1312" t="n">
        <v>40</v>
      </c>
      <c r="O1312" t="n">
        <v>26</v>
      </c>
      <c r="P1312" t="n">
        <v>952</v>
      </c>
      <c r="Q1312" t="n">
        <v>1002</v>
      </c>
      <c r="R1312" t="n">
        <v>1.074</v>
      </c>
      <c r="S1312" t="n">
        <v>15.234</v>
      </c>
      <c r="T1312" t="n">
        <v>14.186</v>
      </c>
      <c r="U1312" t="n">
        <v>0.7782</v>
      </c>
      <c r="V1312" t="b">
        <v>1</v>
      </c>
      <c r="X1312" t="b">
        <v>1</v>
      </c>
      <c r="Z1312" t="n">
        <v>935</v>
      </c>
      <c r="AA1312" t="n">
        <v>2.5</v>
      </c>
      <c r="AB1312" t="n">
        <v>9.5</v>
      </c>
    </row>
    <row r="1313">
      <c r="A1313" t="inlineStr">
        <is>
          <t>2026-09-24 16:18:54</t>
        </is>
      </c>
      <c r="B1313" t="inlineStr">
        <is>
          <t>MLLB_000_y1.0.3</t>
        </is>
      </c>
      <c r="C1313" t="inlineStr">
        <is>
          <t>WHITE</t>
        </is>
      </c>
      <c r="D1313" t="inlineStr">
        <is>
          <t>v4_white_MLLB_000_y103_0924</t>
        </is>
      </c>
      <c r="E1313" t="n">
        <v>3.2</v>
      </c>
      <c r="F1313" t="n">
        <v>3.208</v>
      </c>
      <c r="G1313" t="n">
        <v>8</v>
      </c>
      <c r="H1313" t="n">
        <v>80</v>
      </c>
      <c r="I1313" t="n">
        <v>31</v>
      </c>
      <c r="J1313" t="inlineStr">
        <is>
          <t>ince</t>
        </is>
      </c>
      <c r="K1313" t="b">
        <v>1</v>
      </c>
      <c r="M1313" t="n">
        <v>40</v>
      </c>
      <c r="N1313" t="n">
        <v>38</v>
      </c>
      <c r="O1313" t="n">
        <v>18</v>
      </c>
      <c r="P1313" t="n">
        <v>962</v>
      </c>
      <c r="Q1313" t="n">
        <v>1002</v>
      </c>
      <c r="R1313" t="n">
        <v>1.074</v>
      </c>
      <c r="S1313" t="n">
        <v>15.234</v>
      </c>
      <c r="T1313" t="n">
        <v>14.188</v>
      </c>
      <c r="U1313" t="n">
        <v>0.778</v>
      </c>
      <c r="V1313" t="b">
        <v>1</v>
      </c>
      <c r="X1313" t="b">
        <v>1</v>
      </c>
      <c r="Z1313" t="n">
        <v>935</v>
      </c>
      <c r="AA1313" t="n">
        <v>2.5</v>
      </c>
      <c r="AB1313" t="n">
        <v>9.5</v>
      </c>
    </row>
    <row r="1314">
      <c r="A1314" t="inlineStr">
        <is>
          <t>2026-09-24 16:19:10</t>
        </is>
      </c>
      <c r="B1314" t="inlineStr">
        <is>
          <t>MLLB_000_y1.0.3</t>
        </is>
      </c>
      <c r="C1314" t="inlineStr">
        <is>
          <t>WHITE</t>
        </is>
      </c>
      <c r="D1314" t="inlineStr">
        <is>
          <t>v4_white_MLLB_000_y103_0924</t>
        </is>
      </c>
      <c r="E1314" t="n">
        <v>3.2</v>
      </c>
      <c r="F1314" t="n">
        <v>3.208</v>
      </c>
      <c r="G1314" t="n">
        <v>8</v>
      </c>
      <c r="H1314" t="n">
        <v>80</v>
      </c>
      <c r="I1314" t="n">
        <v>33</v>
      </c>
      <c r="J1314" t="inlineStr">
        <is>
          <t>ince</t>
        </is>
      </c>
      <c r="K1314" t="b">
        <v>1</v>
      </c>
      <c r="M1314" t="n">
        <v>38</v>
      </c>
      <c r="N1314" t="n">
        <v>28</v>
      </c>
      <c r="O1314" t="n">
        <v>18</v>
      </c>
      <c r="P1314" t="n">
        <v>964</v>
      </c>
      <c r="Q1314" t="n">
        <v>1002</v>
      </c>
      <c r="R1314" t="n">
        <v>1.074</v>
      </c>
      <c r="S1314" t="n">
        <v>15.234</v>
      </c>
      <c r="T1314" t="n">
        <v>14.183</v>
      </c>
      <c r="U1314" t="n">
        <v>0.7776</v>
      </c>
      <c r="V1314" t="b">
        <v>1</v>
      </c>
      <c r="X1314" t="b">
        <v>1</v>
      </c>
      <c r="Z1314" t="n">
        <v>935</v>
      </c>
      <c r="AA1314" t="n">
        <v>2.5</v>
      </c>
      <c r="AB1314" t="n">
        <v>9.5</v>
      </c>
    </row>
    <row r="1315">
      <c r="A1315" t="inlineStr">
        <is>
          <t>2026-09-24 16:19:25</t>
        </is>
      </c>
      <c r="B1315" t="inlineStr">
        <is>
          <t>MLLB_000_y1.0.3</t>
        </is>
      </c>
      <c r="C1315" t="inlineStr">
        <is>
          <t>WHITE</t>
        </is>
      </c>
      <c r="D1315" t="inlineStr">
        <is>
          <t>v4_white_MLLB_000_y103_0924</t>
        </is>
      </c>
      <c r="E1315" t="n">
        <v>3.2</v>
      </c>
      <c r="F1315" t="n">
        <v>3.208</v>
      </c>
      <c r="G1315" t="n">
        <v>8</v>
      </c>
      <c r="H1315" t="n">
        <v>80</v>
      </c>
      <c r="I1315" t="n">
        <v>34</v>
      </c>
      <c r="J1315" t="inlineStr">
        <is>
          <t>ince</t>
        </is>
      </c>
      <c r="K1315" t="b">
        <v>1</v>
      </c>
      <c r="M1315" t="n">
        <v>38</v>
      </c>
      <c r="N1315" t="n">
        <v>28</v>
      </c>
      <c r="O1315" t="n">
        <v>18</v>
      </c>
      <c r="P1315" t="n">
        <v>964</v>
      </c>
      <c r="Q1315" t="n">
        <v>1002</v>
      </c>
      <c r="R1315" t="n">
        <v>1.432</v>
      </c>
      <c r="S1315" t="n">
        <v>20.316</v>
      </c>
      <c r="T1315" t="n">
        <v>14.187</v>
      </c>
      <c r="U1315" t="n">
        <v>0.778</v>
      </c>
      <c r="V1315" t="b">
        <v>1</v>
      </c>
      <c r="X1315" t="b">
        <v>1</v>
      </c>
      <c r="Z1315" t="n">
        <v>935</v>
      </c>
      <c r="AA1315" t="n">
        <v>2.5</v>
      </c>
      <c r="AB1315" t="n">
        <v>9.5</v>
      </c>
    </row>
    <row r="1316">
      <c r="A1316" t="inlineStr">
        <is>
          <t>2026-09-24 16:19:42</t>
        </is>
      </c>
      <c r="B1316" t="inlineStr">
        <is>
          <t>MLLB_000_y1.0.3</t>
        </is>
      </c>
      <c r="C1316" t="inlineStr">
        <is>
          <t>WHITE</t>
        </is>
      </c>
      <c r="D1316" t="inlineStr">
        <is>
          <t>v4_white_MLLB_000_y103_0924</t>
        </is>
      </c>
      <c r="E1316" t="n">
        <v>3.2</v>
      </c>
      <c r="F1316" t="n">
        <v>3.208</v>
      </c>
      <c r="G1316" t="n">
        <v>8</v>
      </c>
      <c r="H1316" t="n">
        <v>80</v>
      </c>
      <c r="I1316" t="n">
        <v>35</v>
      </c>
      <c r="J1316" t="inlineStr">
        <is>
          <t>ince</t>
        </is>
      </c>
      <c r="K1316" t="b">
        <v>1</v>
      </c>
      <c r="M1316" t="n">
        <v>38</v>
      </c>
      <c r="N1316" t="n">
        <v>28</v>
      </c>
      <c r="O1316" t="n">
        <v>18</v>
      </c>
      <c r="P1316" t="n">
        <v>964</v>
      </c>
      <c r="Q1316" t="n">
        <v>1002</v>
      </c>
      <c r="R1316" t="n">
        <v>3.625</v>
      </c>
      <c r="S1316" t="n">
        <v>51.413</v>
      </c>
      <c r="T1316" t="n">
        <v>14.184</v>
      </c>
      <c r="U1316" t="n">
        <v>0.7779</v>
      </c>
      <c r="V1316" t="b">
        <v>1</v>
      </c>
      <c r="X1316" t="b">
        <v>0</v>
      </c>
      <c r="Y1316" t="inlineStr">
        <is>
          <t>FLAS</t>
        </is>
      </c>
      <c r="Z1316" t="n">
        <v>935</v>
      </c>
      <c r="AA1316" t="n">
        <v>2.5</v>
      </c>
      <c r="AB1316" t="n">
        <v>9.5</v>
      </c>
    </row>
    <row r="1317">
      <c r="A1317" t="inlineStr">
        <is>
          <t>2026-09-24 16:19:42</t>
        </is>
      </c>
      <c r="B1317" t="inlineStr">
        <is>
          <t>MLLB_000_y1.0.3</t>
        </is>
      </c>
      <c r="C1317" t="inlineStr">
        <is>
          <t>WHITE</t>
        </is>
      </c>
      <c r="D1317" t="inlineStr">
        <is>
          <t>v4_white_MLLB_000_y103_0924</t>
        </is>
      </c>
      <c r="E1317" t="n">
        <v>3.2</v>
      </c>
      <c r="F1317" t="n">
        <v>3.208</v>
      </c>
      <c r="G1317" t="n">
        <v>8</v>
      </c>
      <c r="H1317" t="n">
        <v>80</v>
      </c>
      <c r="J1317" t="inlineStr">
        <is>
          <t>bitti</t>
        </is>
      </c>
      <c r="K1317" t="b">
        <v>0</v>
      </c>
      <c r="Z1317" t="n">
        <v>935</v>
      </c>
      <c r="AA1317" t="n">
        <v>2.5</v>
      </c>
      <c r="AB1317" t="n">
        <v>9.5</v>
      </c>
    </row>
    <row r="1318">
      <c r="A1318" t="inlineStr">
        <is>
          <t>2026-09-24 16:19:58</t>
        </is>
      </c>
      <c r="B1318" t="inlineStr">
        <is>
          <t>MLLB_000_y1.0.3</t>
        </is>
      </c>
      <c r="C1318" t="inlineStr">
        <is>
          <t>WHITE</t>
        </is>
      </c>
      <c r="D1318" t="inlineStr">
        <is>
          <t>v4_white_MLLB_000_y103_0924</t>
        </is>
      </c>
      <c r="E1318" t="n">
        <v>3.2</v>
      </c>
      <c r="F1318" t="n">
        <v>3.208</v>
      </c>
      <c r="G1318" t="n">
        <v>8</v>
      </c>
      <c r="H1318" t="n">
        <v>60</v>
      </c>
      <c r="I1318" t="n">
        <v>12</v>
      </c>
      <c r="J1318" t="inlineStr">
        <is>
          <t>kaba</t>
        </is>
      </c>
      <c r="K1318" t="b">
        <v>1</v>
      </c>
      <c r="M1318" t="n">
        <v>290</v>
      </c>
      <c r="N1318" t="n">
        <v>42</v>
      </c>
      <c r="O1318" t="n">
        <v>266</v>
      </c>
      <c r="P1318" t="n">
        <v>712</v>
      </c>
      <c r="Q1318" t="n">
        <v>1002</v>
      </c>
      <c r="R1318" t="n">
        <v>1.084</v>
      </c>
      <c r="S1318" t="n">
        <v>15.234</v>
      </c>
      <c r="T1318" t="n">
        <v>14.054</v>
      </c>
      <c r="U1318" t="n">
        <v>0.7776</v>
      </c>
      <c r="V1318" t="b">
        <v>1</v>
      </c>
      <c r="X1318" t="b">
        <v>0</v>
      </c>
      <c r="Y1318" t="inlineStr">
        <is>
          <t>ON</t>
        </is>
      </c>
      <c r="Z1318" t="n">
        <v>935</v>
      </c>
      <c r="AA1318" t="n">
        <v>2.5</v>
      </c>
      <c r="AB1318" t="n">
        <v>9.5</v>
      </c>
    </row>
    <row r="1319">
      <c r="A1319" t="inlineStr">
        <is>
          <t>2026-09-24 16:20:14</t>
        </is>
      </c>
      <c r="B1319" t="inlineStr">
        <is>
          <t>MLLB_000_y1.0.3</t>
        </is>
      </c>
      <c r="C1319" t="inlineStr">
        <is>
          <t>WHITE</t>
        </is>
      </c>
      <c r="D1319" t="inlineStr">
        <is>
          <t>v4_white_MLLB_000_y103_0924</t>
        </is>
      </c>
      <c r="E1319" t="n">
        <v>3.2</v>
      </c>
      <c r="F1319" t="n">
        <v>3.208</v>
      </c>
      <c r="G1319" t="n">
        <v>8</v>
      </c>
      <c r="H1319" t="n">
        <v>60</v>
      </c>
      <c r="I1319" t="n">
        <v>16</v>
      </c>
      <c r="J1319" t="inlineStr">
        <is>
          <t>kaba</t>
        </is>
      </c>
      <c r="K1319" t="b">
        <v>1</v>
      </c>
      <c r="M1319" t="n">
        <v>258</v>
      </c>
      <c r="N1319" t="n">
        <v>42</v>
      </c>
      <c r="O1319" t="n">
        <v>234</v>
      </c>
      <c r="P1319" t="n">
        <v>744</v>
      </c>
      <c r="Q1319" t="n">
        <v>1002</v>
      </c>
      <c r="R1319" t="n">
        <v>1.084</v>
      </c>
      <c r="S1319" t="n">
        <v>15.258</v>
      </c>
      <c r="T1319" t="n">
        <v>14.072</v>
      </c>
      <c r="U1319" t="n">
        <v>0.7778</v>
      </c>
      <c r="V1319" t="b">
        <v>1</v>
      </c>
      <c r="X1319" t="b">
        <v>0</v>
      </c>
      <c r="Y1319" t="inlineStr">
        <is>
          <t>ON</t>
        </is>
      </c>
      <c r="Z1319" t="n">
        <v>935</v>
      </c>
      <c r="AA1319" t="n">
        <v>2.5</v>
      </c>
      <c r="AB1319" t="n">
        <v>9.5</v>
      </c>
    </row>
    <row r="1320">
      <c r="A1320" t="inlineStr">
        <is>
          <t>2026-09-24 16:20:30</t>
        </is>
      </c>
      <c r="B1320" t="inlineStr">
        <is>
          <t>MLLB_000_y1.0.3</t>
        </is>
      </c>
      <c r="C1320" t="inlineStr">
        <is>
          <t>WHITE</t>
        </is>
      </c>
      <c r="D1320" t="inlineStr">
        <is>
          <t>v4_white_MLLB_000_y103_0924</t>
        </is>
      </c>
      <c r="E1320" t="n">
        <v>3.2</v>
      </c>
      <c r="F1320" t="n">
        <v>3.208</v>
      </c>
      <c r="G1320" t="n">
        <v>8</v>
      </c>
      <c r="H1320" t="n">
        <v>60</v>
      </c>
      <c r="I1320" t="n">
        <v>20</v>
      </c>
      <c r="J1320" t="inlineStr">
        <is>
          <t>kaba</t>
        </is>
      </c>
      <c r="K1320" t="b">
        <v>1</v>
      </c>
      <c r="M1320" t="n">
        <v>226</v>
      </c>
      <c r="N1320" t="n">
        <v>36</v>
      </c>
      <c r="O1320" t="n">
        <v>202</v>
      </c>
      <c r="P1320" t="n">
        <v>776</v>
      </c>
      <c r="Q1320" t="n">
        <v>1002</v>
      </c>
      <c r="R1320" t="n">
        <v>1.083</v>
      </c>
      <c r="S1320" t="n">
        <v>15.234</v>
      </c>
      <c r="T1320" t="n">
        <v>14.072</v>
      </c>
      <c r="U1320" t="n">
        <v>0.7783</v>
      </c>
      <c r="V1320" t="b">
        <v>1</v>
      </c>
      <c r="X1320" t="b">
        <v>0</v>
      </c>
      <c r="Y1320" t="inlineStr">
        <is>
          <t>ON</t>
        </is>
      </c>
      <c r="Z1320" t="n">
        <v>935</v>
      </c>
      <c r="AA1320" t="n">
        <v>2.5</v>
      </c>
      <c r="AB1320" t="n">
        <v>9.5</v>
      </c>
    </row>
    <row r="1321">
      <c r="A1321" t="inlineStr">
        <is>
          <t>2026-09-24 16:20:46</t>
        </is>
      </c>
      <c r="B1321" t="inlineStr">
        <is>
          <t>MLLB_000_y1.0.3</t>
        </is>
      </c>
      <c r="C1321" t="inlineStr">
        <is>
          <t>WHITE</t>
        </is>
      </c>
      <c r="D1321" t="inlineStr">
        <is>
          <t>v4_white_MLLB_000_y103_0924</t>
        </is>
      </c>
      <c r="E1321" t="n">
        <v>3.2</v>
      </c>
      <c r="F1321" t="n">
        <v>3.208</v>
      </c>
      <c r="G1321" t="n">
        <v>8</v>
      </c>
      <c r="H1321" t="n">
        <v>60</v>
      </c>
      <c r="I1321" t="n">
        <v>24</v>
      </c>
      <c r="J1321" t="inlineStr">
        <is>
          <t>kaba</t>
        </is>
      </c>
      <c r="K1321" t="b">
        <v>1</v>
      </c>
      <c r="M1321" t="n">
        <v>192</v>
      </c>
      <c r="N1321" t="n">
        <v>38</v>
      </c>
      <c r="O1321" t="n">
        <v>168</v>
      </c>
      <c r="P1321" t="n">
        <v>810</v>
      </c>
      <c r="Q1321" t="n">
        <v>1002</v>
      </c>
      <c r="R1321" t="n">
        <v>1.08</v>
      </c>
      <c r="S1321" t="n">
        <v>15.234</v>
      </c>
      <c r="T1321" t="n">
        <v>14.108</v>
      </c>
      <c r="U1321" t="n">
        <v>0.7779</v>
      </c>
      <c r="V1321" t="b">
        <v>1</v>
      </c>
      <c r="X1321" t="b">
        <v>0</v>
      </c>
      <c r="Y1321" t="inlineStr">
        <is>
          <t>ON</t>
        </is>
      </c>
      <c r="Z1321" t="n">
        <v>935</v>
      </c>
      <c r="AA1321" t="n">
        <v>2.5</v>
      </c>
      <c r="AB1321" t="n">
        <v>9.5</v>
      </c>
    </row>
    <row r="1322">
      <c r="A1322" t="inlineStr">
        <is>
          <t>2026-09-24 16:21:02</t>
        </is>
      </c>
      <c r="B1322" t="inlineStr">
        <is>
          <t>MLLB_000_y1.0.3</t>
        </is>
      </c>
      <c r="C1322" t="inlineStr">
        <is>
          <t>WHITE</t>
        </is>
      </c>
      <c r="D1322" t="inlineStr">
        <is>
          <t>v4_white_MLLB_000_y103_0924</t>
        </is>
      </c>
      <c r="E1322" t="n">
        <v>3.2</v>
      </c>
      <c r="F1322" t="n">
        <v>3.208</v>
      </c>
      <c r="G1322" t="n">
        <v>8</v>
      </c>
      <c r="H1322" t="n">
        <v>60</v>
      </c>
      <c r="I1322" t="n">
        <v>28</v>
      </c>
      <c r="J1322" t="inlineStr">
        <is>
          <t>kaba</t>
        </is>
      </c>
      <c r="K1322" t="b">
        <v>1</v>
      </c>
      <c r="M1322" t="n">
        <v>158</v>
      </c>
      <c r="N1322" t="n">
        <v>42</v>
      </c>
      <c r="O1322" t="n">
        <v>134</v>
      </c>
      <c r="P1322" t="n">
        <v>844</v>
      </c>
      <c r="Q1322" t="n">
        <v>1002</v>
      </c>
      <c r="R1322" t="n">
        <v>1.078</v>
      </c>
      <c r="S1322" t="n">
        <v>15.234</v>
      </c>
      <c r="T1322" t="n">
        <v>14.137</v>
      </c>
      <c r="U1322" t="n">
        <v>0.778</v>
      </c>
      <c r="V1322" t="b">
        <v>1</v>
      </c>
      <c r="X1322" t="b">
        <v>0</v>
      </c>
      <c r="Y1322" t="inlineStr">
        <is>
          <t>ON</t>
        </is>
      </c>
      <c r="Z1322" t="n">
        <v>935</v>
      </c>
      <c r="AA1322" t="n">
        <v>2.5</v>
      </c>
      <c r="AB1322" t="n">
        <v>9.5</v>
      </c>
    </row>
    <row r="1323">
      <c r="A1323" t="inlineStr">
        <is>
          <t>2026-09-24 16:21:18</t>
        </is>
      </c>
      <c r="B1323" t="inlineStr">
        <is>
          <t>MLLB_000_y1.0.3</t>
        </is>
      </c>
      <c r="C1323" t="inlineStr">
        <is>
          <t>WHITE</t>
        </is>
      </c>
      <c r="D1323" t="inlineStr">
        <is>
          <t>v4_white_MLLB_000_y103_0924</t>
        </is>
      </c>
      <c r="E1323" t="n">
        <v>3.2</v>
      </c>
      <c r="F1323" t="n">
        <v>3.208</v>
      </c>
      <c r="G1323" t="n">
        <v>8</v>
      </c>
      <c r="H1323" t="n">
        <v>60</v>
      </c>
      <c r="I1323" t="n">
        <v>32</v>
      </c>
      <c r="J1323" t="inlineStr">
        <is>
          <t>kaba</t>
        </is>
      </c>
      <c r="K1323" t="b">
        <v>1</v>
      </c>
      <c r="M1323" t="n">
        <v>124</v>
      </c>
      <c r="N1323" t="n">
        <v>36</v>
      </c>
      <c r="O1323" t="n">
        <v>102</v>
      </c>
      <c r="P1323" t="n">
        <v>878</v>
      </c>
      <c r="Q1323" t="n">
        <v>1002</v>
      </c>
      <c r="R1323" t="n">
        <v>1.076</v>
      </c>
      <c r="S1323" t="n">
        <v>15.234</v>
      </c>
      <c r="T1323" t="n">
        <v>14.155</v>
      </c>
      <c r="U1323" t="n">
        <v>0.7779</v>
      </c>
      <c r="V1323" t="b">
        <v>1</v>
      </c>
      <c r="X1323" t="b">
        <v>0</v>
      </c>
      <c r="Y1323" t="inlineStr">
        <is>
          <t>ON</t>
        </is>
      </c>
      <c r="Z1323" t="n">
        <v>935</v>
      </c>
      <c r="AA1323" t="n">
        <v>2.5</v>
      </c>
      <c r="AB1323" t="n">
        <v>9.5</v>
      </c>
    </row>
    <row r="1324">
      <c r="A1324" t="inlineStr">
        <is>
          <t>2026-09-24 16:21:34</t>
        </is>
      </c>
      <c r="B1324" t="inlineStr">
        <is>
          <t>MLLB_000_y1.0.3</t>
        </is>
      </c>
      <c r="C1324" t="inlineStr">
        <is>
          <t>WHITE</t>
        </is>
      </c>
      <c r="D1324" t="inlineStr">
        <is>
          <t>v4_white_MLLB_000_y103_0924</t>
        </is>
      </c>
      <c r="E1324" t="n">
        <v>3.2</v>
      </c>
      <c r="F1324" t="n">
        <v>3.208</v>
      </c>
      <c r="G1324" t="n">
        <v>8</v>
      </c>
      <c r="H1324" t="n">
        <v>60</v>
      </c>
      <c r="I1324" t="n">
        <v>36</v>
      </c>
      <c r="J1324" t="inlineStr">
        <is>
          <t>kaba</t>
        </is>
      </c>
      <c r="K1324" t="b">
        <v>1</v>
      </c>
      <c r="M1324" t="n">
        <v>90</v>
      </c>
      <c r="N1324" t="n">
        <v>38</v>
      </c>
      <c r="O1324" t="n">
        <v>68</v>
      </c>
      <c r="P1324" t="n">
        <v>912</v>
      </c>
      <c r="Q1324" t="n">
        <v>1002</v>
      </c>
      <c r="R1324" t="n">
        <v>1.074</v>
      </c>
      <c r="S1324" t="n">
        <v>15.234</v>
      </c>
      <c r="T1324" t="n">
        <v>14.189</v>
      </c>
      <c r="U1324" t="n">
        <v>0.7785</v>
      </c>
      <c r="V1324" t="b">
        <v>1</v>
      </c>
      <c r="X1324" t="b">
        <v>0</v>
      </c>
      <c r="Y1324" t="inlineStr">
        <is>
          <t>ON</t>
        </is>
      </c>
      <c r="Z1324" t="n">
        <v>935</v>
      </c>
      <c r="AA1324" t="n">
        <v>2.5</v>
      </c>
      <c r="AB1324" t="n">
        <v>9.5</v>
      </c>
    </row>
    <row r="1325">
      <c r="A1325" t="inlineStr">
        <is>
          <t>2026-09-24 16:21:50</t>
        </is>
      </c>
      <c r="B1325" t="inlineStr">
        <is>
          <t>MLLB_000_y1.0.3</t>
        </is>
      </c>
      <c r="C1325" t="inlineStr">
        <is>
          <t>WHITE</t>
        </is>
      </c>
      <c r="D1325" t="inlineStr">
        <is>
          <t>v4_white_MLLB_000_y103_0924</t>
        </is>
      </c>
      <c r="E1325" t="n">
        <v>3.2</v>
      </c>
      <c r="F1325" t="n">
        <v>3.208</v>
      </c>
      <c r="G1325" t="n">
        <v>8</v>
      </c>
      <c r="H1325" t="n">
        <v>60</v>
      </c>
      <c r="I1325" t="n">
        <v>40</v>
      </c>
      <c r="J1325" t="inlineStr">
        <is>
          <t>kaba</t>
        </is>
      </c>
      <c r="K1325" t="b">
        <v>1</v>
      </c>
      <c r="M1325" t="n">
        <v>56</v>
      </c>
      <c r="N1325" t="n">
        <v>36</v>
      </c>
      <c r="O1325" t="n">
        <v>34</v>
      </c>
      <c r="P1325" t="n">
        <v>946</v>
      </c>
      <c r="Q1325" t="n">
        <v>1002</v>
      </c>
      <c r="R1325" t="n">
        <v>1.072</v>
      </c>
      <c r="S1325" t="n">
        <v>15.234</v>
      </c>
      <c r="T1325" t="n">
        <v>14.21</v>
      </c>
      <c r="U1325" t="n">
        <v>0.7779</v>
      </c>
      <c r="V1325" t="b">
        <v>1</v>
      </c>
      <c r="X1325" t="b">
        <v>1</v>
      </c>
      <c r="Z1325" t="n">
        <v>935</v>
      </c>
      <c r="AA1325" t="n">
        <v>2.5</v>
      </c>
      <c r="AB1325" t="n">
        <v>9.5</v>
      </c>
    </row>
    <row r="1326">
      <c r="A1326" t="inlineStr">
        <is>
          <t>2026-09-24 16:22:06</t>
        </is>
      </c>
      <c r="B1326" t="inlineStr">
        <is>
          <t>MLLB_000_y1.0.3</t>
        </is>
      </c>
      <c r="C1326" t="inlineStr">
        <is>
          <t>WHITE</t>
        </is>
      </c>
      <c r="D1326" t="inlineStr">
        <is>
          <t>v4_white_MLLB_000_y103_0924</t>
        </is>
      </c>
      <c r="E1326" t="n">
        <v>3.2</v>
      </c>
      <c r="F1326" t="n">
        <v>3.208</v>
      </c>
      <c r="G1326" t="n">
        <v>8</v>
      </c>
      <c r="H1326" t="n">
        <v>60</v>
      </c>
      <c r="I1326" t="n">
        <v>44</v>
      </c>
      <c r="J1326" t="inlineStr">
        <is>
          <t>kaba</t>
        </is>
      </c>
      <c r="K1326" t="b">
        <v>1</v>
      </c>
      <c r="M1326" t="n">
        <v>50</v>
      </c>
      <c r="N1326" t="n">
        <v>28</v>
      </c>
      <c r="O1326" t="n">
        <v>30</v>
      </c>
      <c r="P1326" t="n">
        <v>952</v>
      </c>
      <c r="Q1326" t="n">
        <v>1002</v>
      </c>
      <c r="R1326" t="n">
        <v>1.134</v>
      </c>
      <c r="S1326" t="n">
        <v>16.08</v>
      </c>
      <c r="T1326" t="n">
        <v>14.183</v>
      </c>
      <c r="U1326" t="n">
        <v>0.7775</v>
      </c>
      <c r="V1326" t="b">
        <v>1</v>
      </c>
      <c r="X1326" t="b">
        <v>1</v>
      </c>
      <c r="Z1326" t="n">
        <v>935</v>
      </c>
      <c r="AA1326" t="n">
        <v>2.5</v>
      </c>
      <c r="AB1326" t="n">
        <v>9.5</v>
      </c>
    </row>
    <row r="1327">
      <c r="A1327" t="inlineStr">
        <is>
          <t>2026-09-24 16:22:22</t>
        </is>
      </c>
      <c r="B1327" t="inlineStr">
        <is>
          <t>MLLB_000_y1.0.3</t>
        </is>
      </c>
      <c r="C1327" t="inlineStr">
        <is>
          <t>WHITE</t>
        </is>
      </c>
      <c r="D1327" t="inlineStr">
        <is>
          <t>v4_white_MLLB_000_y103_0924</t>
        </is>
      </c>
      <c r="E1327" t="n">
        <v>3.2</v>
      </c>
      <c r="F1327" t="n">
        <v>3.208</v>
      </c>
      <c r="G1327" t="n">
        <v>8</v>
      </c>
      <c r="H1327" t="n">
        <v>60</v>
      </c>
      <c r="I1327" t="n">
        <v>48</v>
      </c>
      <c r="J1327" t="inlineStr">
        <is>
          <t>kaba</t>
        </is>
      </c>
      <c r="K1327" t="b">
        <v>1</v>
      </c>
      <c r="M1327" t="n">
        <v>50</v>
      </c>
      <c r="N1327" t="n">
        <v>28</v>
      </c>
      <c r="O1327" t="n">
        <v>30</v>
      </c>
      <c r="P1327" t="n">
        <v>952</v>
      </c>
      <c r="Q1327" t="n">
        <v>1002</v>
      </c>
      <c r="R1327" t="n">
        <v>6.887</v>
      </c>
      <c r="S1327" t="n">
        <v>97.675</v>
      </c>
      <c r="T1327" t="n">
        <v>14.183</v>
      </c>
      <c r="U1327" t="n">
        <v>0.7781</v>
      </c>
      <c r="V1327" t="b">
        <v>1</v>
      </c>
      <c r="X1327" t="b">
        <v>0</v>
      </c>
      <c r="Y1327" t="inlineStr">
        <is>
          <t>FLAS</t>
        </is>
      </c>
      <c r="Z1327" t="n">
        <v>935</v>
      </c>
      <c r="AA1327" t="n">
        <v>2.5</v>
      </c>
      <c r="AB1327" t="n">
        <v>9.5</v>
      </c>
    </row>
    <row r="1328">
      <c r="A1328" t="inlineStr">
        <is>
          <t>2026-09-24 16:22:38</t>
        </is>
      </c>
      <c r="B1328" t="inlineStr">
        <is>
          <t>MLLB_000_y1.0.3</t>
        </is>
      </c>
      <c r="C1328" t="inlineStr">
        <is>
          <t>WHITE</t>
        </is>
      </c>
      <c r="D1328" t="inlineStr">
        <is>
          <t>v4_white_MLLB_000_y103_0924</t>
        </is>
      </c>
      <c r="E1328" t="n">
        <v>3.2</v>
      </c>
      <c r="F1328" t="n">
        <v>3.208</v>
      </c>
      <c r="G1328" t="n">
        <v>8</v>
      </c>
      <c r="H1328" t="n">
        <v>60</v>
      </c>
      <c r="I1328" t="n">
        <v>37</v>
      </c>
      <c r="J1328" t="inlineStr">
        <is>
          <t>ince</t>
        </is>
      </c>
      <c r="K1328" t="b">
        <v>1</v>
      </c>
      <c r="M1328" t="n">
        <v>82</v>
      </c>
      <c r="N1328" t="n">
        <v>42</v>
      </c>
      <c r="O1328" t="n">
        <v>58</v>
      </c>
      <c r="P1328" t="n">
        <v>920</v>
      </c>
      <c r="Q1328" t="n">
        <v>1002</v>
      </c>
      <c r="R1328" t="n">
        <v>1.075</v>
      </c>
      <c r="S1328" t="n">
        <v>15.234</v>
      </c>
      <c r="T1328" t="n">
        <v>14.174</v>
      </c>
      <c r="U1328" t="n">
        <v>0.778</v>
      </c>
      <c r="V1328" t="b">
        <v>1</v>
      </c>
      <c r="X1328" t="b">
        <v>0</v>
      </c>
      <c r="Y1328" t="inlineStr">
        <is>
          <t>ON</t>
        </is>
      </c>
      <c r="Z1328" t="n">
        <v>935</v>
      </c>
      <c r="AA1328" t="n">
        <v>2.5</v>
      </c>
      <c r="AB1328" t="n">
        <v>9.5</v>
      </c>
    </row>
    <row r="1329">
      <c r="A1329" t="inlineStr">
        <is>
          <t>2026-09-24 16:22:54</t>
        </is>
      </c>
      <c r="B1329" t="inlineStr">
        <is>
          <t>MLLB_000_y1.0.3</t>
        </is>
      </c>
      <c r="C1329" t="inlineStr">
        <is>
          <t>WHITE</t>
        </is>
      </c>
      <c r="D1329" t="inlineStr">
        <is>
          <t>v4_white_MLLB_000_y103_0924</t>
        </is>
      </c>
      <c r="E1329" t="n">
        <v>3.2</v>
      </c>
      <c r="F1329" t="n">
        <v>3.208</v>
      </c>
      <c r="G1329" t="n">
        <v>8</v>
      </c>
      <c r="H1329" t="n">
        <v>60</v>
      </c>
      <c r="I1329" t="n">
        <v>38</v>
      </c>
      <c r="J1329" t="inlineStr">
        <is>
          <t>ince</t>
        </is>
      </c>
      <c r="K1329" t="b">
        <v>1</v>
      </c>
      <c r="M1329" t="n">
        <v>74</v>
      </c>
      <c r="N1329" t="n">
        <v>36</v>
      </c>
      <c r="O1329" t="n">
        <v>50</v>
      </c>
      <c r="P1329" t="n">
        <v>928</v>
      </c>
      <c r="Q1329" t="n">
        <v>1002</v>
      </c>
      <c r="R1329" t="n">
        <v>1.072</v>
      </c>
      <c r="S1329" t="n">
        <v>15.234</v>
      </c>
      <c r="T1329" t="n">
        <v>14.213</v>
      </c>
      <c r="U1329" t="n">
        <v>0.7784</v>
      </c>
      <c r="V1329" t="b">
        <v>1</v>
      </c>
      <c r="X1329" t="b">
        <v>0</v>
      </c>
      <c r="Y1329" t="inlineStr">
        <is>
          <t>ON</t>
        </is>
      </c>
      <c r="Z1329" t="n">
        <v>935</v>
      </c>
      <c r="AA1329" t="n">
        <v>2.5</v>
      </c>
      <c r="AB1329" t="n">
        <v>9.5</v>
      </c>
    </row>
    <row r="1330">
      <c r="A1330" t="inlineStr">
        <is>
          <t>2026-09-24 16:23:10</t>
        </is>
      </c>
      <c r="B1330" t="inlineStr">
        <is>
          <t>MLLB_000_y1.0.3</t>
        </is>
      </c>
      <c r="C1330" t="inlineStr">
        <is>
          <t>WHITE</t>
        </is>
      </c>
      <c r="D1330" t="inlineStr">
        <is>
          <t>v4_white_MLLB_000_y103_0924</t>
        </is>
      </c>
      <c r="E1330" t="n">
        <v>3.2</v>
      </c>
      <c r="F1330" t="n">
        <v>3.208</v>
      </c>
      <c r="G1330" t="n">
        <v>8</v>
      </c>
      <c r="H1330" t="n">
        <v>60</v>
      </c>
      <c r="I1330" t="n">
        <v>39</v>
      </c>
      <c r="J1330" t="inlineStr">
        <is>
          <t>ince</t>
        </is>
      </c>
      <c r="K1330" t="b">
        <v>1</v>
      </c>
      <c r="M1330" t="n">
        <v>66</v>
      </c>
      <c r="N1330" t="n">
        <v>36</v>
      </c>
      <c r="O1330" t="n">
        <v>42</v>
      </c>
      <c r="P1330" t="n">
        <v>936</v>
      </c>
      <c r="Q1330" t="n">
        <v>1002</v>
      </c>
      <c r="R1330" t="n">
        <v>1.077</v>
      </c>
      <c r="S1330" t="n">
        <v>15.25</v>
      </c>
      <c r="T1330" t="n">
        <v>14.165</v>
      </c>
      <c r="U1330" t="n">
        <v>0.7784</v>
      </c>
      <c r="V1330" t="b">
        <v>1</v>
      </c>
      <c r="X1330" t="b">
        <v>1</v>
      </c>
      <c r="Z1330" t="n">
        <v>935</v>
      </c>
      <c r="AA1330" t="n">
        <v>2.5</v>
      </c>
      <c r="AB1330" t="n">
        <v>9.5</v>
      </c>
    </row>
    <row r="1331">
      <c r="A1331" t="inlineStr">
        <is>
          <t>2026-09-24 16:23:10</t>
        </is>
      </c>
      <c r="B1331" t="inlineStr">
        <is>
          <t>MLLB_000_y1.0.3</t>
        </is>
      </c>
      <c r="C1331" t="inlineStr">
        <is>
          <t>WHITE</t>
        </is>
      </c>
      <c r="D1331" t="inlineStr">
        <is>
          <t>v4_white_MLLB_000_y103_0924</t>
        </is>
      </c>
      <c r="E1331" t="n">
        <v>3.2</v>
      </c>
      <c r="F1331" t="n">
        <v>3.208</v>
      </c>
      <c r="G1331" t="n">
        <v>8</v>
      </c>
      <c r="H1331" t="n">
        <v>60</v>
      </c>
      <c r="I1331" t="n">
        <v>41</v>
      </c>
      <c r="J1331" t="inlineStr">
        <is>
          <t>ince</t>
        </is>
      </c>
      <c r="K1331" t="b">
        <v>0</v>
      </c>
      <c r="L1331" t="inlineStr">
        <is>
          <t>iki-OK-arasi-monotonluk</t>
        </is>
      </c>
      <c r="X1331" t="b">
        <v>1</v>
      </c>
      <c r="Z1331" t="n">
        <v>935</v>
      </c>
      <c r="AA1331" t="n">
        <v>2.5</v>
      </c>
      <c r="AB1331" t="n">
        <v>9.5</v>
      </c>
    </row>
    <row r="1332">
      <c r="A1332" t="inlineStr">
        <is>
          <t>2026-09-24 16:23:10</t>
        </is>
      </c>
      <c r="B1332" t="inlineStr">
        <is>
          <t>MLLB_000_y1.0.3</t>
        </is>
      </c>
      <c r="C1332" t="inlineStr">
        <is>
          <t>WHITE</t>
        </is>
      </c>
      <c r="D1332" t="inlineStr">
        <is>
          <t>v4_white_MLLB_000_y103_0924</t>
        </is>
      </c>
      <c r="E1332" t="n">
        <v>3.2</v>
      </c>
      <c r="F1332" t="n">
        <v>3.208</v>
      </c>
      <c r="G1332" t="n">
        <v>8</v>
      </c>
      <c r="H1332" t="n">
        <v>60</v>
      </c>
      <c r="I1332" t="n">
        <v>42</v>
      </c>
      <c r="J1332" t="inlineStr">
        <is>
          <t>ince</t>
        </is>
      </c>
      <c r="K1332" t="b">
        <v>0</v>
      </c>
      <c r="L1332" t="inlineStr">
        <is>
          <t>iki-OK-arasi-monotonluk</t>
        </is>
      </c>
      <c r="X1332" t="b">
        <v>1</v>
      </c>
      <c r="Z1332" t="n">
        <v>935</v>
      </c>
      <c r="AA1332" t="n">
        <v>2.5</v>
      </c>
      <c r="AB1332" t="n">
        <v>9.5</v>
      </c>
    </row>
    <row r="1333">
      <c r="A1333" t="inlineStr">
        <is>
          <t>2026-09-24 16:23:10</t>
        </is>
      </c>
      <c r="B1333" t="inlineStr">
        <is>
          <t>MLLB_000_y1.0.3</t>
        </is>
      </c>
      <c r="C1333" t="inlineStr">
        <is>
          <t>WHITE</t>
        </is>
      </c>
      <c r="D1333" t="inlineStr">
        <is>
          <t>v4_white_MLLB_000_y103_0924</t>
        </is>
      </c>
      <c r="E1333" t="n">
        <v>3.2</v>
      </c>
      <c r="F1333" t="n">
        <v>3.208</v>
      </c>
      <c r="G1333" t="n">
        <v>8</v>
      </c>
      <c r="H1333" t="n">
        <v>60</v>
      </c>
      <c r="I1333" t="n">
        <v>43</v>
      </c>
      <c r="J1333" t="inlineStr">
        <is>
          <t>ince</t>
        </is>
      </c>
      <c r="K1333" t="b">
        <v>0</v>
      </c>
      <c r="L1333" t="inlineStr">
        <is>
          <t>iki-OK-arasi-monotonluk</t>
        </is>
      </c>
      <c r="X1333" t="b">
        <v>1</v>
      </c>
      <c r="Z1333" t="n">
        <v>935</v>
      </c>
      <c r="AA1333" t="n">
        <v>2.5</v>
      </c>
      <c r="AB1333" t="n">
        <v>9.5</v>
      </c>
    </row>
    <row r="1334">
      <c r="A1334" t="inlineStr">
        <is>
          <t>2026-09-24 16:23:25</t>
        </is>
      </c>
      <c r="B1334" t="inlineStr">
        <is>
          <t>MLLB_000_y1.0.3</t>
        </is>
      </c>
      <c r="C1334" t="inlineStr">
        <is>
          <t>WHITE</t>
        </is>
      </c>
      <c r="D1334" t="inlineStr">
        <is>
          <t>v4_white_MLLB_000_y103_0924</t>
        </is>
      </c>
      <c r="E1334" t="n">
        <v>3.2</v>
      </c>
      <c r="F1334" t="n">
        <v>3.208</v>
      </c>
      <c r="G1334" t="n">
        <v>8</v>
      </c>
      <c r="H1334" t="n">
        <v>60</v>
      </c>
      <c r="I1334" t="n">
        <v>45</v>
      </c>
      <c r="J1334" t="inlineStr">
        <is>
          <t>ince</t>
        </is>
      </c>
      <c r="K1334" t="b">
        <v>1</v>
      </c>
      <c r="M1334" t="n">
        <v>50</v>
      </c>
      <c r="N1334" t="n">
        <v>28</v>
      </c>
      <c r="O1334" t="n">
        <v>30</v>
      </c>
      <c r="P1334" t="n">
        <v>952</v>
      </c>
      <c r="Q1334" t="n">
        <v>1002</v>
      </c>
      <c r="R1334" t="n">
        <v>1.46</v>
      </c>
      <c r="S1334" t="n">
        <v>20.685</v>
      </c>
      <c r="T1334" t="n">
        <v>14.17</v>
      </c>
      <c r="U1334" t="n">
        <v>0.7781</v>
      </c>
      <c r="V1334" t="b">
        <v>1</v>
      </c>
      <c r="X1334" t="b">
        <v>1</v>
      </c>
      <c r="Z1334" t="n">
        <v>935</v>
      </c>
      <c r="AA1334" t="n">
        <v>2.5</v>
      </c>
      <c r="AB1334" t="n">
        <v>9.5</v>
      </c>
    </row>
    <row r="1335">
      <c r="A1335" t="inlineStr">
        <is>
          <t>2026-09-24 16:23:42</t>
        </is>
      </c>
      <c r="B1335" t="inlineStr">
        <is>
          <t>MLLB_000_y1.0.3</t>
        </is>
      </c>
      <c r="C1335" t="inlineStr">
        <is>
          <t>WHITE</t>
        </is>
      </c>
      <c r="D1335" t="inlineStr">
        <is>
          <t>v4_white_MLLB_000_y103_0924</t>
        </is>
      </c>
      <c r="E1335" t="n">
        <v>3.2</v>
      </c>
      <c r="F1335" t="n">
        <v>3.208</v>
      </c>
      <c r="G1335" t="n">
        <v>8</v>
      </c>
      <c r="H1335" t="n">
        <v>60</v>
      </c>
      <c r="I1335" t="n">
        <v>46</v>
      </c>
      <c r="J1335" t="inlineStr">
        <is>
          <t>ince</t>
        </is>
      </c>
      <c r="K1335" t="b">
        <v>1</v>
      </c>
      <c r="M1335" t="n">
        <v>50</v>
      </c>
      <c r="N1335" t="n">
        <v>28</v>
      </c>
      <c r="O1335" t="n">
        <v>30</v>
      </c>
      <c r="P1335" t="n">
        <v>952</v>
      </c>
      <c r="Q1335" t="n">
        <v>1002</v>
      </c>
      <c r="R1335" t="n">
        <v>2.499</v>
      </c>
      <c r="S1335" t="n">
        <v>35.456</v>
      </c>
      <c r="T1335" t="n">
        <v>14.187</v>
      </c>
      <c r="U1335" t="n">
        <v>0.778</v>
      </c>
      <c r="V1335" t="b">
        <v>1</v>
      </c>
      <c r="X1335" t="b">
        <v>1</v>
      </c>
      <c r="Z1335" t="n">
        <v>935</v>
      </c>
      <c r="AA1335" t="n">
        <v>2.5</v>
      </c>
      <c r="AB1335" t="n">
        <v>9.5</v>
      </c>
    </row>
    <row r="1336">
      <c r="A1336" t="inlineStr">
        <is>
          <t>2026-09-24 16:23:58</t>
        </is>
      </c>
      <c r="B1336" t="inlineStr">
        <is>
          <t>MLLB_000_y1.0.3</t>
        </is>
      </c>
      <c r="C1336" t="inlineStr">
        <is>
          <t>WHITE</t>
        </is>
      </c>
      <c r="D1336" t="inlineStr">
        <is>
          <t>v4_white_MLLB_000_y103_0924</t>
        </is>
      </c>
      <c r="E1336" t="n">
        <v>3.2</v>
      </c>
      <c r="F1336" t="n">
        <v>3.208</v>
      </c>
      <c r="G1336" t="n">
        <v>8</v>
      </c>
      <c r="H1336" t="n">
        <v>60</v>
      </c>
      <c r="I1336" t="n">
        <v>47</v>
      </c>
      <c r="J1336" t="inlineStr">
        <is>
          <t>ince</t>
        </is>
      </c>
      <c r="K1336" t="b">
        <v>1</v>
      </c>
      <c r="M1336" t="n">
        <v>50</v>
      </c>
      <c r="N1336" t="n">
        <v>28</v>
      </c>
      <c r="O1336" t="n">
        <v>30</v>
      </c>
      <c r="P1336" t="n">
        <v>952</v>
      </c>
      <c r="Q1336" t="n">
        <v>1002</v>
      </c>
      <c r="R1336" t="n">
        <v>5.573</v>
      </c>
      <c r="S1336" t="n">
        <v>79.062</v>
      </c>
      <c r="T1336" t="n">
        <v>14.187</v>
      </c>
      <c r="U1336" t="n">
        <v>0.7776</v>
      </c>
      <c r="V1336" t="b">
        <v>1</v>
      </c>
      <c r="X1336" t="b">
        <v>0</v>
      </c>
      <c r="Y1336" t="inlineStr">
        <is>
          <t>FLAS</t>
        </is>
      </c>
      <c r="Z1336" t="n">
        <v>935</v>
      </c>
      <c r="AA1336" t="n">
        <v>2.5</v>
      </c>
      <c r="AB1336" t="n">
        <v>9.5</v>
      </c>
    </row>
    <row r="1337">
      <c r="A1337" t="inlineStr">
        <is>
          <t>2026-09-24 16:23:58</t>
        </is>
      </c>
      <c r="B1337" t="inlineStr">
        <is>
          <t>MLLB_000_y1.0.3</t>
        </is>
      </c>
      <c r="C1337" t="inlineStr">
        <is>
          <t>WHITE</t>
        </is>
      </c>
      <c r="D1337" t="inlineStr">
        <is>
          <t>v4_white_MLLB_000_y103_0924</t>
        </is>
      </c>
      <c r="E1337" t="n">
        <v>3.2</v>
      </c>
      <c r="F1337" t="n">
        <v>3.208</v>
      </c>
      <c r="G1337" t="n">
        <v>8</v>
      </c>
      <c r="H1337" t="n">
        <v>60</v>
      </c>
      <c r="J1337" t="inlineStr">
        <is>
          <t>bitti</t>
        </is>
      </c>
      <c r="K1337" t="b">
        <v>0</v>
      </c>
      <c r="Z1337" t="n">
        <v>935</v>
      </c>
      <c r="AA1337" t="n">
        <v>2.5</v>
      </c>
      <c r="AB1337" t="n">
        <v>9.5</v>
      </c>
    </row>
    <row r="1338">
      <c r="A1338" t="inlineStr">
        <is>
          <t>2026-09-24 16:24:19</t>
        </is>
      </c>
      <c r="B1338" t="inlineStr">
        <is>
          <t>MLLB_000_y1.0.3</t>
        </is>
      </c>
      <c r="C1338" t="inlineStr">
        <is>
          <t>WHITE</t>
        </is>
      </c>
      <c r="D1338" t="inlineStr">
        <is>
          <t>v4_white_MLLB_000_y103_0924</t>
        </is>
      </c>
      <c r="E1338" t="n">
        <v>3.2</v>
      </c>
      <c r="F1338" t="n">
        <v>3.208</v>
      </c>
      <c r="G1338" t="n">
        <v>10</v>
      </c>
      <c r="H1338" t="n">
        <v>100</v>
      </c>
      <c r="I1338" t="n">
        <v>12</v>
      </c>
      <c r="J1338" t="inlineStr">
        <is>
          <t>kaba</t>
        </is>
      </c>
      <c r="K1338" t="b">
        <v>1</v>
      </c>
      <c r="M1338" t="n">
        <v>180</v>
      </c>
      <c r="N1338" t="n">
        <v>38</v>
      </c>
      <c r="O1338" t="n">
        <v>158</v>
      </c>
      <c r="P1338" t="n">
        <v>822</v>
      </c>
      <c r="Q1338" t="n">
        <v>1002</v>
      </c>
      <c r="R1338" t="n">
        <v>1.075</v>
      </c>
      <c r="S1338" t="n">
        <v>20.364</v>
      </c>
      <c r="T1338" t="n">
        <v>18.948</v>
      </c>
      <c r="U1338" t="n">
        <v>0.7779</v>
      </c>
      <c r="V1338" t="b">
        <v>1</v>
      </c>
      <c r="X1338" t="b">
        <v>0</v>
      </c>
      <c r="Y1338" t="inlineStr">
        <is>
          <t>ON</t>
        </is>
      </c>
      <c r="Z1338" t="n">
        <v>935</v>
      </c>
      <c r="AA1338" t="n">
        <v>2.5</v>
      </c>
      <c r="AB1338" t="n">
        <v>9.5</v>
      </c>
    </row>
    <row r="1339">
      <c r="A1339" t="inlineStr">
        <is>
          <t>2026-09-24 16:24:36</t>
        </is>
      </c>
      <c r="B1339" t="inlineStr">
        <is>
          <t>MLLB_000_y1.0.3</t>
        </is>
      </c>
      <c r="C1339" t="inlineStr">
        <is>
          <t>WHITE</t>
        </is>
      </c>
      <c r="D1339" t="inlineStr">
        <is>
          <t>v4_white_MLLB_000_y103_0924</t>
        </is>
      </c>
      <c r="E1339" t="n">
        <v>3.2</v>
      </c>
      <c r="F1339" t="n">
        <v>3.208</v>
      </c>
      <c r="G1339" t="n">
        <v>10</v>
      </c>
      <c r="H1339" t="n">
        <v>100</v>
      </c>
      <c r="I1339" t="n">
        <v>16</v>
      </c>
      <c r="J1339" t="inlineStr">
        <is>
          <t>kaba</t>
        </is>
      </c>
      <c r="K1339" t="b">
        <v>1</v>
      </c>
      <c r="M1339" t="n">
        <v>138</v>
      </c>
      <c r="N1339" t="n">
        <v>34</v>
      </c>
      <c r="O1339" t="n">
        <v>116</v>
      </c>
      <c r="P1339" t="n">
        <v>864</v>
      </c>
      <c r="Q1339" t="n">
        <v>1002</v>
      </c>
      <c r="R1339" t="n">
        <v>1.07</v>
      </c>
      <c r="S1339" t="n">
        <v>20.268</v>
      </c>
      <c r="T1339" t="n">
        <v>18.935</v>
      </c>
      <c r="U1339" t="n">
        <v>0.778</v>
      </c>
      <c r="V1339" t="b">
        <v>1</v>
      </c>
      <c r="X1339" t="b">
        <v>0</v>
      </c>
      <c r="Y1339" t="inlineStr">
        <is>
          <t>ON</t>
        </is>
      </c>
      <c r="Z1339" t="n">
        <v>935</v>
      </c>
      <c r="AA1339" t="n">
        <v>2.5</v>
      </c>
      <c r="AB1339" t="n">
        <v>9.5</v>
      </c>
    </row>
    <row r="1340">
      <c r="A1340" t="inlineStr">
        <is>
          <t>2026-09-24 16:24:52</t>
        </is>
      </c>
      <c r="B1340" t="inlineStr">
        <is>
          <t>MLLB_000_y1.0.3</t>
        </is>
      </c>
      <c r="C1340" t="inlineStr">
        <is>
          <t>WHITE</t>
        </is>
      </c>
      <c r="D1340" t="inlineStr">
        <is>
          <t>v4_white_MLLB_000_y103_0924</t>
        </is>
      </c>
      <c r="E1340" t="n">
        <v>3.2</v>
      </c>
      <c r="F1340" t="n">
        <v>3.208</v>
      </c>
      <c r="G1340" t="n">
        <v>10</v>
      </c>
      <c r="H1340" t="n">
        <v>100</v>
      </c>
      <c r="I1340" t="n">
        <v>20</v>
      </c>
      <c r="J1340" t="inlineStr">
        <is>
          <t>kaba</t>
        </is>
      </c>
      <c r="K1340" t="b">
        <v>1</v>
      </c>
      <c r="M1340" t="n">
        <v>96</v>
      </c>
      <c r="N1340" t="n">
        <v>38</v>
      </c>
      <c r="O1340" t="n">
        <v>74</v>
      </c>
      <c r="P1340" t="n">
        <v>906</v>
      </c>
      <c r="Q1340" t="n">
        <v>1002</v>
      </c>
      <c r="R1340" t="n">
        <v>1.066</v>
      </c>
      <c r="S1340" t="n">
        <v>20.271</v>
      </c>
      <c r="T1340" t="n">
        <v>19.021</v>
      </c>
      <c r="U1340" t="n">
        <v>0.7779</v>
      </c>
      <c r="V1340" t="b">
        <v>1</v>
      </c>
      <c r="X1340" t="b">
        <v>0</v>
      </c>
      <c r="Y1340" t="inlineStr">
        <is>
          <t>ON</t>
        </is>
      </c>
      <c r="Z1340" t="n">
        <v>935</v>
      </c>
      <c r="AA1340" t="n">
        <v>2.5</v>
      </c>
      <c r="AB1340" t="n">
        <v>9.5</v>
      </c>
    </row>
    <row r="1341">
      <c r="A1341" t="inlineStr">
        <is>
          <t>2026-09-24 16:25:08</t>
        </is>
      </c>
      <c r="B1341" t="inlineStr">
        <is>
          <t>MLLB_000_y1.0.3</t>
        </is>
      </c>
      <c r="C1341" t="inlineStr">
        <is>
          <t>WHITE</t>
        </is>
      </c>
      <c r="D1341" t="inlineStr">
        <is>
          <t>v4_white_MLLB_000_y103_0924</t>
        </is>
      </c>
      <c r="E1341" t="n">
        <v>3.2</v>
      </c>
      <c r="F1341" t="n">
        <v>3.208</v>
      </c>
      <c r="G1341" t="n">
        <v>10</v>
      </c>
      <c r="H1341" t="n">
        <v>100</v>
      </c>
      <c r="I1341" t="n">
        <v>24</v>
      </c>
      <c r="J1341" t="inlineStr">
        <is>
          <t>kaba</t>
        </is>
      </c>
      <c r="K1341" t="b">
        <v>1</v>
      </c>
      <c r="M1341" t="n">
        <v>52</v>
      </c>
      <c r="N1341" t="n">
        <v>36</v>
      </c>
      <c r="O1341" t="n">
        <v>30</v>
      </c>
      <c r="P1341" t="n">
        <v>950</v>
      </c>
      <c r="Q1341" t="n">
        <v>1002</v>
      </c>
      <c r="R1341" t="n">
        <v>1.069</v>
      </c>
      <c r="S1341" t="n">
        <v>20.364</v>
      </c>
      <c r="T1341" t="n">
        <v>19.056</v>
      </c>
      <c r="U1341" t="n">
        <v>0.7786</v>
      </c>
      <c r="V1341" t="b">
        <v>1</v>
      </c>
      <c r="X1341" t="b">
        <v>1</v>
      </c>
      <c r="Z1341" t="n">
        <v>935</v>
      </c>
      <c r="AA1341" t="n">
        <v>2.5</v>
      </c>
      <c r="AB1341" t="n">
        <v>9.5</v>
      </c>
    </row>
    <row r="1342">
      <c r="A1342" t="inlineStr">
        <is>
          <t>2026-09-24 16:25:24</t>
        </is>
      </c>
      <c r="B1342" t="inlineStr">
        <is>
          <t>MLLB_000_y1.0.3</t>
        </is>
      </c>
      <c r="C1342" t="inlineStr">
        <is>
          <t>WHITE</t>
        </is>
      </c>
      <c r="D1342" t="inlineStr">
        <is>
          <t>v4_white_MLLB_000_y103_0924</t>
        </is>
      </c>
      <c r="E1342" t="n">
        <v>3.2</v>
      </c>
      <c r="F1342" t="n">
        <v>3.208</v>
      </c>
      <c r="G1342" t="n">
        <v>10</v>
      </c>
      <c r="H1342" t="n">
        <v>100</v>
      </c>
      <c r="I1342" t="n">
        <v>28</v>
      </c>
      <c r="J1342" t="inlineStr">
        <is>
          <t>kaba</t>
        </is>
      </c>
      <c r="K1342" t="b">
        <v>1</v>
      </c>
      <c r="M1342" t="n">
        <v>34</v>
      </c>
      <c r="N1342" t="n">
        <v>28</v>
      </c>
      <c r="O1342" t="n">
        <v>14</v>
      </c>
      <c r="P1342" t="n">
        <v>968</v>
      </c>
      <c r="Q1342" t="n">
        <v>1002</v>
      </c>
      <c r="R1342" t="n">
        <v>1.066</v>
      </c>
      <c r="S1342" t="n">
        <v>20.285</v>
      </c>
      <c r="T1342" t="n">
        <v>19.034</v>
      </c>
      <c r="U1342" t="n">
        <v>0.7782</v>
      </c>
      <c r="V1342" t="b">
        <v>1</v>
      </c>
      <c r="X1342" t="b">
        <v>1</v>
      </c>
      <c r="Z1342" t="n">
        <v>935</v>
      </c>
      <c r="AA1342" t="n">
        <v>2.5</v>
      </c>
      <c r="AB1342" t="n">
        <v>9.5</v>
      </c>
    </row>
    <row r="1343">
      <c r="A1343" t="inlineStr">
        <is>
          <t>2026-09-24 16:25:40</t>
        </is>
      </c>
      <c r="B1343" t="inlineStr">
        <is>
          <t>MLLB_000_y1.0.3</t>
        </is>
      </c>
      <c r="C1343" t="inlineStr">
        <is>
          <t>WHITE</t>
        </is>
      </c>
      <c r="D1343" t="inlineStr">
        <is>
          <t>v4_white_MLLB_000_y103_0924</t>
        </is>
      </c>
      <c r="E1343" t="n">
        <v>3.2</v>
      </c>
      <c r="F1343" t="n">
        <v>3.208</v>
      </c>
      <c r="G1343" t="n">
        <v>10</v>
      </c>
      <c r="H1343" t="n">
        <v>100</v>
      </c>
      <c r="I1343" t="n">
        <v>32</v>
      </c>
      <c r="J1343" t="inlineStr">
        <is>
          <t>kaba</t>
        </is>
      </c>
      <c r="K1343" t="b">
        <v>1</v>
      </c>
      <c r="M1343" t="n">
        <v>34</v>
      </c>
      <c r="N1343" t="n">
        <v>28</v>
      </c>
      <c r="O1343" t="n">
        <v>14</v>
      </c>
      <c r="P1343" t="n">
        <v>968</v>
      </c>
      <c r="Q1343" t="n">
        <v>1002</v>
      </c>
      <c r="R1343" t="n">
        <v>9.75</v>
      </c>
      <c r="S1343" t="n">
        <v>185.572</v>
      </c>
      <c r="T1343" t="n">
        <v>19.032</v>
      </c>
      <c r="U1343" t="n">
        <v>0.7781</v>
      </c>
      <c r="V1343" t="b">
        <v>1</v>
      </c>
      <c r="X1343" t="b">
        <v>0</v>
      </c>
      <c r="Y1343" t="inlineStr">
        <is>
          <t>FLAS</t>
        </is>
      </c>
      <c r="Z1343" t="n">
        <v>935</v>
      </c>
      <c r="AA1343" t="n">
        <v>2.5</v>
      </c>
      <c r="AB1343" t="n">
        <v>9.5</v>
      </c>
    </row>
    <row r="1344">
      <c r="A1344" t="inlineStr">
        <is>
          <t>2026-09-24 16:25:56</t>
        </is>
      </c>
      <c r="B1344" t="inlineStr">
        <is>
          <t>MLLB_000_y1.0.3</t>
        </is>
      </c>
      <c r="C1344" t="inlineStr">
        <is>
          <t>WHITE</t>
        </is>
      </c>
      <c r="D1344" t="inlineStr">
        <is>
          <t>v4_white_MLLB_000_y103_0924</t>
        </is>
      </c>
      <c r="E1344" t="n">
        <v>3.2</v>
      </c>
      <c r="F1344" t="n">
        <v>3.208</v>
      </c>
      <c r="G1344" t="n">
        <v>10</v>
      </c>
      <c r="H1344" t="n">
        <v>100</v>
      </c>
      <c r="I1344" t="n">
        <v>21</v>
      </c>
      <c r="J1344" t="inlineStr">
        <is>
          <t>ince</t>
        </is>
      </c>
      <c r="K1344" t="b">
        <v>1</v>
      </c>
      <c r="M1344" t="n">
        <v>84</v>
      </c>
      <c r="N1344" t="n">
        <v>36</v>
      </c>
      <c r="O1344" t="n">
        <v>62</v>
      </c>
      <c r="P1344" t="n">
        <v>918</v>
      </c>
      <c r="Q1344" t="n">
        <v>1002</v>
      </c>
      <c r="R1344" t="n">
        <v>1.067</v>
      </c>
      <c r="S1344" t="n">
        <v>20.268</v>
      </c>
      <c r="T1344" t="n">
        <v>19.001</v>
      </c>
      <c r="U1344" t="n">
        <v>0.7776999999999999</v>
      </c>
      <c r="V1344" t="b">
        <v>1</v>
      </c>
      <c r="X1344" t="b">
        <v>0</v>
      </c>
      <c r="Y1344" t="inlineStr">
        <is>
          <t>ON</t>
        </is>
      </c>
      <c r="Z1344" t="n">
        <v>935</v>
      </c>
      <c r="AA1344" t="n">
        <v>2.5</v>
      </c>
      <c r="AB1344" t="n">
        <v>9.5</v>
      </c>
    </row>
    <row r="1345">
      <c r="A1345" t="inlineStr">
        <is>
          <t>2026-09-24 16:26:12</t>
        </is>
      </c>
      <c r="B1345" t="inlineStr">
        <is>
          <t>MLLB_000_y1.0.3</t>
        </is>
      </c>
      <c r="C1345" t="inlineStr">
        <is>
          <t>WHITE</t>
        </is>
      </c>
      <c r="D1345" t="inlineStr">
        <is>
          <t>v4_white_MLLB_000_y103_0924</t>
        </is>
      </c>
      <c r="E1345" t="n">
        <v>3.2</v>
      </c>
      <c r="F1345" t="n">
        <v>3.208</v>
      </c>
      <c r="G1345" t="n">
        <v>10</v>
      </c>
      <c r="H1345" t="n">
        <v>100</v>
      </c>
      <c r="I1345" t="n">
        <v>22</v>
      </c>
      <c r="J1345" t="inlineStr">
        <is>
          <t>ince</t>
        </is>
      </c>
      <c r="K1345" t="b">
        <v>1</v>
      </c>
      <c r="M1345" t="n">
        <v>74</v>
      </c>
      <c r="N1345" t="n">
        <v>32</v>
      </c>
      <c r="O1345" t="n">
        <v>54</v>
      </c>
      <c r="P1345" t="n">
        <v>928</v>
      </c>
      <c r="Q1345" t="n">
        <v>1002</v>
      </c>
      <c r="R1345" t="n">
        <v>1.07</v>
      </c>
      <c r="S1345" t="n">
        <v>20.364</v>
      </c>
      <c r="T1345" t="n">
        <v>19.036</v>
      </c>
      <c r="U1345" t="n">
        <v>0.7785</v>
      </c>
      <c r="V1345" t="b">
        <v>1</v>
      </c>
      <c r="X1345" t="b">
        <v>0</v>
      </c>
      <c r="Y1345" t="inlineStr">
        <is>
          <t>ON</t>
        </is>
      </c>
      <c r="Z1345" t="n">
        <v>935</v>
      </c>
      <c r="AA1345" t="n">
        <v>2.5</v>
      </c>
      <c r="AB1345" t="n">
        <v>9.5</v>
      </c>
    </row>
    <row r="1346">
      <c r="A1346" t="inlineStr">
        <is>
          <t>2026-09-24 16:26:28</t>
        </is>
      </c>
      <c r="B1346" t="inlineStr">
        <is>
          <t>MLLB_000_y1.0.3</t>
        </is>
      </c>
      <c r="C1346" t="inlineStr">
        <is>
          <t>WHITE</t>
        </is>
      </c>
      <c r="D1346" t="inlineStr">
        <is>
          <t>v4_white_MLLB_000_y103_0924</t>
        </is>
      </c>
      <c r="E1346" t="n">
        <v>3.2</v>
      </c>
      <c r="F1346" t="n">
        <v>3.208</v>
      </c>
      <c r="G1346" t="n">
        <v>10</v>
      </c>
      <c r="H1346" t="n">
        <v>100</v>
      </c>
      <c r="I1346" t="n">
        <v>23</v>
      </c>
      <c r="J1346" t="inlineStr">
        <is>
          <t>ince</t>
        </is>
      </c>
      <c r="K1346" t="b">
        <v>1</v>
      </c>
      <c r="M1346" t="n">
        <v>64</v>
      </c>
      <c r="N1346" t="n">
        <v>32</v>
      </c>
      <c r="O1346" t="n">
        <v>42</v>
      </c>
      <c r="P1346" t="n">
        <v>938</v>
      </c>
      <c r="Q1346" t="n">
        <v>1002</v>
      </c>
      <c r="R1346" t="n">
        <v>1.065</v>
      </c>
      <c r="S1346" t="n">
        <v>20.268</v>
      </c>
      <c r="T1346" t="n">
        <v>19.031</v>
      </c>
      <c r="U1346" t="n">
        <v>0.7786</v>
      </c>
      <c r="V1346" t="b">
        <v>1</v>
      </c>
      <c r="X1346" t="b">
        <v>1</v>
      </c>
      <c r="Z1346" t="n">
        <v>935</v>
      </c>
      <c r="AA1346" t="n">
        <v>2.5</v>
      </c>
      <c r="AB1346" t="n">
        <v>9.5</v>
      </c>
    </row>
    <row r="1347">
      <c r="A1347" t="inlineStr">
        <is>
          <t>2026-09-24 16:26:28</t>
        </is>
      </c>
      <c r="B1347" t="inlineStr">
        <is>
          <t>MLLB_000_y1.0.3</t>
        </is>
      </c>
      <c r="C1347" t="inlineStr">
        <is>
          <t>WHITE</t>
        </is>
      </c>
      <c r="D1347" t="inlineStr">
        <is>
          <t>v4_white_MLLB_000_y103_0924</t>
        </is>
      </c>
      <c r="E1347" t="n">
        <v>3.2</v>
      </c>
      <c r="F1347" t="n">
        <v>3.208</v>
      </c>
      <c r="G1347" t="n">
        <v>10</v>
      </c>
      <c r="H1347" t="n">
        <v>100</v>
      </c>
      <c r="I1347" t="n">
        <v>25</v>
      </c>
      <c r="J1347" t="inlineStr">
        <is>
          <t>ince</t>
        </is>
      </c>
      <c r="K1347" t="b">
        <v>0</v>
      </c>
      <c r="L1347" t="inlineStr">
        <is>
          <t>iki-OK-arasi-monotonluk</t>
        </is>
      </c>
      <c r="X1347" t="b">
        <v>1</v>
      </c>
      <c r="Z1347" t="n">
        <v>935</v>
      </c>
      <c r="AA1347" t="n">
        <v>2.5</v>
      </c>
      <c r="AB1347" t="n">
        <v>9.5</v>
      </c>
    </row>
    <row r="1348">
      <c r="A1348" t="inlineStr">
        <is>
          <t>2026-09-24 16:26:28</t>
        </is>
      </c>
      <c r="B1348" t="inlineStr">
        <is>
          <t>MLLB_000_y1.0.3</t>
        </is>
      </c>
      <c r="C1348" t="inlineStr">
        <is>
          <t>WHITE</t>
        </is>
      </c>
      <c r="D1348" t="inlineStr">
        <is>
          <t>v4_white_MLLB_000_y103_0924</t>
        </is>
      </c>
      <c r="E1348" t="n">
        <v>3.2</v>
      </c>
      <c r="F1348" t="n">
        <v>3.208</v>
      </c>
      <c r="G1348" t="n">
        <v>10</v>
      </c>
      <c r="H1348" t="n">
        <v>100</v>
      </c>
      <c r="I1348" t="n">
        <v>26</v>
      </c>
      <c r="J1348" t="inlineStr">
        <is>
          <t>ince</t>
        </is>
      </c>
      <c r="K1348" t="b">
        <v>0</v>
      </c>
      <c r="L1348" t="inlineStr">
        <is>
          <t>iki-OK-arasi-monotonluk</t>
        </is>
      </c>
      <c r="X1348" t="b">
        <v>1</v>
      </c>
      <c r="Z1348" t="n">
        <v>935</v>
      </c>
      <c r="AA1348" t="n">
        <v>2.5</v>
      </c>
      <c r="AB1348" t="n">
        <v>9.5</v>
      </c>
    </row>
    <row r="1349">
      <c r="A1349" t="inlineStr">
        <is>
          <t>2026-09-24 16:26:28</t>
        </is>
      </c>
      <c r="B1349" t="inlineStr">
        <is>
          <t>MLLB_000_y1.0.3</t>
        </is>
      </c>
      <c r="C1349" t="inlineStr">
        <is>
          <t>WHITE</t>
        </is>
      </c>
      <c r="D1349" t="inlineStr">
        <is>
          <t>v4_white_MLLB_000_y103_0924</t>
        </is>
      </c>
      <c r="E1349" t="n">
        <v>3.2</v>
      </c>
      <c r="F1349" t="n">
        <v>3.208</v>
      </c>
      <c r="G1349" t="n">
        <v>10</v>
      </c>
      <c r="H1349" t="n">
        <v>100</v>
      </c>
      <c r="I1349" t="n">
        <v>27</v>
      </c>
      <c r="J1349" t="inlineStr">
        <is>
          <t>ince</t>
        </is>
      </c>
      <c r="K1349" t="b">
        <v>0</v>
      </c>
      <c r="L1349" t="inlineStr">
        <is>
          <t>iki-OK-arasi-monotonluk</t>
        </is>
      </c>
      <c r="X1349" t="b">
        <v>1</v>
      </c>
      <c r="Z1349" t="n">
        <v>935</v>
      </c>
      <c r="AA1349" t="n">
        <v>2.5</v>
      </c>
      <c r="AB1349" t="n">
        <v>9.5</v>
      </c>
    </row>
    <row r="1350">
      <c r="A1350" t="inlineStr">
        <is>
          <t>2026-09-24 16:26:44</t>
        </is>
      </c>
      <c r="B1350" t="inlineStr">
        <is>
          <t>MLLB_000_y1.0.3</t>
        </is>
      </c>
      <c r="C1350" t="inlineStr">
        <is>
          <t>WHITE</t>
        </is>
      </c>
      <c r="D1350" t="inlineStr">
        <is>
          <t>v4_white_MLLB_000_y103_0924</t>
        </is>
      </c>
      <c r="E1350" t="n">
        <v>3.2</v>
      </c>
      <c r="F1350" t="n">
        <v>3.208</v>
      </c>
      <c r="G1350" t="n">
        <v>10</v>
      </c>
      <c r="H1350" t="n">
        <v>100</v>
      </c>
      <c r="I1350" t="n">
        <v>29</v>
      </c>
      <c r="J1350" t="inlineStr">
        <is>
          <t>ince</t>
        </is>
      </c>
      <c r="K1350" t="b">
        <v>1</v>
      </c>
      <c r="M1350" t="n">
        <v>34</v>
      </c>
      <c r="N1350" t="n">
        <v>28</v>
      </c>
      <c r="O1350" t="n">
        <v>14</v>
      </c>
      <c r="P1350" t="n">
        <v>968</v>
      </c>
      <c r="Q1350" t="n">
        <v>1002</v>
      </c>
      <c r="R1350" t="n">
        <v>2.921</v>
      </c>
      <c r="S1350" t="n">
        <v>55.697</v>
      </c>
      <c r="T1350" t="n">
        <v>19.069</v>
      </c>
      <c r="U1350" t="n">
        <v>0.7781</v>
      </c>
      <c r="V1350" t="b">
        <v>1</v>
      </c>
      <c r="X1350" t="b">
        <v>0</v>
      </c>
      <c r="Y1350" t="inlineStr">
        <is>
          <t>FLAS</t>
        </is>
      </c>
      <c r="Z1350" t="n">
        <v>935</v>
      </c>
      <c r="AA1350" t="n">
        <v>2.5</v>
      </c>
      <c r="AB1350" t="n">
        <v>9.5</v>
      </c>
    </row>
    <row r="1351">
      <c r="A1351" t="inlineStr">
        <is>
          <t>2026-09-24 16:26:59</t>
        </is>
      </c>
      <c r="B1351" t="inlineStr">
        <is>
          <t>MLLB_000_y1.0.3</t>
        </is>
      </c>
      <c r="C1351" t="inlineStr">
        <is>
          <t>WHITE</t>
        </is>
      </c>
      <c r="D1351" t="inlineStr">
        <is>
          <t>v4_white_MLLB_000_y103_0924</t>
        </is>
      </c>
      <c r="E1351" t="n">
        <v>3.2</v>
      </c>
      <c r="F1351" t="n">
        <v>3.208</v>
      </c>
      <c r="G1351" t="n">
        <v>10</v>
      </c>
      <c r="H1351" t="n">
        <v>100</v>
      </c>
      <c r="I1351" t="n">
        <v>30</v>
      </c>
      <c r="J1351" t="inlineStr">
        <is>
          <t>ince</t>
        </is>
      </c>
      <c r="K1351" t="b">
        <v>1</v>
      </c>
      <c r="M1351" t="n">
        <v>34</v>
      </c>
      <c r="N1351" t="n">
        <v>28</v>
      </c>
      <c r="O1351" t="n">
        <v>14</v>
      </c>
      <c r="P1351" t="n">
        <v>968</v>
      </c>
      <c r="Q1351" t="n">
        <v>1002</v>
      </c>
      <c r="R1351" t="n">
        <v>6.398</v>
      </c>
      <c r="S1351" t="n">
        <v>121.82</v>
      </c>
      <c r="T1351" t="n">
        <v>19.039</v>
      </c>
      <c r="U1351" t="n">
        <v>0.7776999999999999</v>
      </c>
      <c r="V1351" t="b">
        <v>1</v>
      </c>
      <c r="X1351" t="b">
        <v>0</v>
      </c>
      <c r="Y1351" t="inlineStr">
        <is>
          <t>FLAS</t>
        </is>
      </c>
      <c r="Z1351" t="n">
        <v>935</v>
      </c>
      <c r="AA1351" t="n">
        <v>2.5</v>
      </c>
      <c r="AB1351" t="n">
        <v>9.5</v>
      </c>
    </row>
    <row r="1352">
      <c r="A1352" t="inlineStr">
        <is>
          <t>2026-09-24 16:27:16</t>
        </is>
      </c>
      <c r="B1352" t="inlineStr">
        <is>
          <t>MLLB_000_y1.0.3</t>
        </is>
      </c>
      <c r="C1352" t="inlineStr">
        <is>
          <t>WHITE</t>
        </is>
      </c>
      <c r="D1352" t="inlineStr">
        <is>
          <t>v4_white_MLLB_000_y103_0924</t>
        </is>
      </c>
      <c r="E1352" t="n">
        <v>3.2</v>
      </c>
      <c r="F1352" t="n">
        <v>3.208</v>
      </c>
      <c r="G1352" t="n">
        <v>10</v>
      </c>
      <c r="H1352" t="n">
        <v>100</v>
      </c>
      <c r="I1352" t="n">
        <v>31</v>
      </c>
      <c r="J1352" t="inlineStr">
        <is>
          <t>ince</t>
        </is>
      </c>
      <c r="K1352" t="b">
        <v>1</v>
      </c>
      <c r="M1352" t="n">
        <v>34</v>
      </c>
      <c r="N1352" t="n">
        <v>28</v>
      </c>
      <c r="O1352" t="n">
        <v>14</v>
      </c>
      <c r="P1352" t="n">
        <v>968</v>
      </c>
      <c r="Q1352" t="n">
        <v>1002</v>
      </c>
      <c r="R1352" t="n">
        <v>8.829000000000001</v>
      </c>
      <c r="S1352" t="n">
        <v>168.04</v>
      </c>
      <c r="T1352" t="n">
        <v>19.033</v>
      </c>
      <c r="U1352" t="n">
        <v>0.7783</v>
      </c>
      <c r="V1352" t="b">
        <v>1</v>
      </c>
      <c r="X1352" t="b">
        <v>0</v>
      </c>
      <c r="Y1352" t="inlineStr">
        <is>
          <t>FLAS</t>
        </is>
      </c>
      <c r="Z1352" t="n">
        <v>935</v>
      </c>
      <c r="AA1352" t="n">
        <v>2.5</v>
      </c>
      <c r="AB1352" t="n">
        <v>9.5</v>
      </c>
    </row>
    <row r="1353">
      <c r="A1353" t="inlineStr">
        <is>
          <t>2026-09-24 16:27:16</t>
        </is>
      </c>
      <c r="B1353" t="inlineStr">
        <is>
          <t>MLLB_000_y1.0.3</t>
        </is>
      </c>
      <c r="C1353" t="inlineStr">
        <is>
          <t>WHITE</t>
        </is>
      </c>
      <c r="D1353" t="inlineStr">
        <is>
          <t>v4_white_MLLB_000_y103_0924</t>
        </is>
      </c>
      <c r="E1353" t="n">
        <v>3.2</v>
      </c>
      <c r="F1353" t="n">
        <v>3.208</v>
      </c>
      <c r="G1353" t="n">
        <v>10</v>
      </c>
      <c r="H1353" t="n">
        <v>100</v>
      </c>
      <c r="J1353" t="inlineStr">
        <is>
          <t>bitti</t>
        </is>
      </c>
      <c r="K1353" t="b">
        <v>0</v>
      </c>
      <c r="Z1353" t="n">
        <v>935</v>
      </c>
      <c r="AA1353" t="n">
        <v>2.5</v>
      </c>
      <c r="AB1353" t="n">
        <v>9.5</v>
      </c>
    </row>
    <row r="1354">
      <c r="A1354" t="inlineStr">
        <is>
          <t>2026-09-24 16:27:31</t>
        </is>
      </c>
      <c r="B1354" t="inlineStr">
        <is>
          <t>MLLB_000_y1.0.3</t>
        </is>
      </c>
      <c r="C1354" t="inlineStr">
        <is>
          <t>WHITE</t>
        </is>
      </c>
      <c r="D1354" t="inlineStr">
        <is>
          <t>v4_white_MLLB_000_y103_0924</t>
        </is>
      </c>
      <c r="E1354" t="n">
        <v>3.2</v>
      </c>
      <c r="F1354" t="n">
        <v>3.208</v>
      </c>
      <c r="G1354" t="n">
        <v>10</v>
      </c>
      <c r="H1354" t="n">
        <v>80</v>
      </c>
      <c r="I1354" t="n">
        <v>12</v>
      </c>
      <c r="J1354" t="inlineStr">
        <is>
          <t>kaba</t>
        </is>
      </c>
      <c r="K1354" t="b">
        <v>1</v>
      </c>
      <c r="M1354" t="n">
        <v>202</v>
      </c>
      <c r="N1354" t="n">
        <v>36</v>
      </c>
      <c r="O1354" t="n">
        <v>178</v>
      </c>
      <c r="P1354" t="n">
        <v>800</v>
      </c>
      <c r="Q1354" t="n">
        <v>1002</v>
      </c>
      <c r="R1354" t="n">
        <v>1.075</v>
      </c>
      <c r="S1354" t="n">
        <v>20.316</v>
      </c>
      <c r="T1354" t="n">
        <v>18.898</v>
      </c>
      <c r="U1354" t="n">
        <v>0.7778</v>
      </c>
      <c r="V1354" t="b">
        <v>1</v>
      </c>
      <c r="X1354" t="b">
        <v>0</v>
      </c>
      <c r="Y1354" t="inlineStr">
        <is>
          <t>ON</t>
        </is>
      </c>
      <c r="Z1354" t="n">
        <v>935</v>
      </c>
      <c r="AA1354" t="n">
        <v>2.5</v>
      </c>
      <c r="AB1354" t="n">
        <v>9.5</v>
      </c>
    </row>
    <row r="1355">
      <c r="A1355" t="inlineStr">
        <is>
          <t>2026-09-24 16:27:48</t>
        </is>
      </c>
      <c r="B1355" t="inlineStr">
        <is>
          <t>MLLB_000_y1.0.3</t>
        </is>
      </c>
      <c r="C1355" t="inlineStr">
        <is>
          <t>WHITE</t>
        </is>
      </c>
      <c r="D1355" t="inlineStr">
        <is>
          <t>v4_white_MLLB_000_y103_0924</t>
        </is>
      </c>
      <c r="E1355" t="n">
        <v>3.2</v>
      </c>
      <c r="F1355" t="n">
        <v>3.208</v>
      </c>
      <c r="G1355" t="n">
        <v>10</v>
      </c>
      <c r="H1355" t="n">
        <v>80</v>
      </c>
      <c r="I1355" t="n">
        <v>16</v>
      </c>
      <c r="J1355" t="inlineStr">
        <is>
          <t>kaba</t>
        </is>
      </c>
      <c r="K1355" t="b">
        <v>1</v>
      </c>
      <c r="M1355" t="n">
        <v>168</v>
      </c>
      <c r="N1355" t="n">
        <v>38</v>
      </c>
      <c r="O1355" t="n">
        <v>146</v>
      </c>
      <c r="P1355" t="n">
        <v>834</v>
      </c>
      <c r="Q1355" t="n">
        <v>1002</v>
      </c>
      <c r="R1355" t="n">
        <v>1.077</v>
      </c>
      <c r="S1355" t="n">
        <v>20.401</v>
      </c>
      <c r="T1355" t="n">
        <v>18.944</v>
      </c>
      <c r="U1355" t="n">
        <v>0.7776999999999999</v>
      </c>
      <c r="V1355" t="b">
        <v>1</v>
      </c>
      <c r="X1355" t="b">
        <v>0</v>
      </c>
      <c r="Y1355" t="inlineStr">
        <is>
          <t>ON</t>
        </is>
      </c>
      <c r="Z1355" t="n">
        <v>935</v>
      </c>
      <c r="AA1355" t="n">
        <v>2.5</v>
      </c>
      <c r="AB1355" t="n">
        <v>9.5</v>
      </c>
    </row>
    <row r="1356">
      <c r="A1356" t="inlineStr">
        <is>
          <t>2026-09-24 16:28:03</t>
        </is>
      </c>
      <c r="B1356" t="inlineStr">
        <is>
          <t>MLLB_000_y1.0.3</t>
        </is>
      </c>
      <c r="C1356" t="inlineStr">
        <is>
          <t>WHITE</t>
        </is>
      </c>
      <c r="D1356" t="inlineStr">
        <is>
          <t>v4_white_MLLB_000_y103_0924</t>
        </is>
      </c>
      <c r="E1356" t="n">
        <v>3.2</v>
      </c>
      <c r="F1356" t="n">
        <v>3.208</v>
      </c>
      <c r="G1356" t="n">
        <v>10</v>
      </c>
      <c r="H1356" t="n">
        <v>80</v>
      </c>
      <c r="I1356" t="n">
        <v>20</v>
      </c>
      <c r="J1356" t="inlineStr">
        <is>
          <t>kaba</t>
        </is>
      </c>
      <c r="K1356" t="b">
        <v>1</v>
      </c>
      <c r="M1356" t="n">
        <v>134</v>
      </c>
      <c r="N1356" t="n">
        <v>34</v>
      </c>
      <c r="O1356" t="n">
        <v>112</v>
      </c>
      <c r="P1356" t="n">
        <v>868</v>
      </c>
      <c r="Q1356" t="n">
        <v>1002</v>
      </c>
      <c r="R1356" t="n">
        <v>1.077</v>
      </c>
      <c r="S1356" t="n">
        <v>20.446</v>
      </c>
      <c r="T1356" t="n">
        <v>18.986</v>
      </c>
      <c r="U1356" t="n">
        <v>0.7784</v>
      </c>
      <c r="V1356" t="b">
        <v>1</v>
      </c>
      <c r="X1356" t="b">
        <v>0</v>
      </c>
      <c r="Y1356" t="inlineStr">
        <is>
          <t>ON</t>
        </is>
      </c>
      <c r="Z1356" t="n">
        <v>935</v>
      </c>
      <c r="AA1356" t="n">
        <v>2.5</v>
      </c>
      <c r="AB1356" t="n">
        <v>9.5</v>
      </c>
    </row>
    <row r="1357">
      <c r="A1357" t="inlineStr">
        <is>
          <t>2026-09-24 16:28:20</t>
        </is>
      </c>
      <c r="B1357" t="inlineStr">
        <is>
          <t>MLLB_000_y1.0.3</t>
        </is>
      </c>
      <c r="C1357" t="inlineStr">
        <is>
          <t>WHITE</t>
        </is>
      </c>
      <c r="D1357" t="inlineStr">
        <is>
          <t>v4_white_MLLB_000_y103_0924</t>
        </is>
      </c>
      <c r="E1357" t="n">
        <v>3.2</v>
      </c>
      <c r="F1357" t="n">
        <v>3.208</v>
      </c>
      <c r="G1357" t="n">
        <v>10</v>
      </c>
      <c r="H1357" t="n">
        <v>80</v>
      </c>
      <c r="I1357" t="n">
        <v>24</v>
      </c>
      <c r="J1357" t="inlineStr">
        <is>
          <t>kaba</t>
        </is>
      </c>
      <c r="K1357" t="b">
        <v>1</v>
      </c>
      <c r="M1357" t="n">
        <v>100</v>
      </c>
      <c r="N1357" t="n">
        <v>36</v>
      </c>
      <c r="O1357" t="n">
        <v>78</v>
      </c>
      <c r="P1357" t="n">
        <v>902</v>
      </c>
      <c r="Q1357" t="n">
        <v>1002</v>
      </c>
      <c r="R1357" t="n">
        <v>1.068</v>
      </c>
      <c r="S1357" t="n">
        <v>20.268</v>
      </c>
      <c r="T1357" t="n">
        <v>18.974</v>
      </c>
      <c r="U1357" t="n">
        <v>0.7782</v>
      </c>
      <c r="V1357" t="b">
        <v>1</v>
      </c>
      <c r="X1357" t="b">
        <v>0</v>
      </c>
      <c r="Y1357" t="inlineStr">
        <is>
          <t>ON</t>
        </is>
      </c>
      <c r="Z1357" t="n">
        <v>935</v>
      </c>
      <c r="AA1357" t="n">
        <v>2.5</v>
      </c>
      <c r="AB1357" t="n">
        <v>9.5</v>
      </c>
    </row>
    <row r="1358">
      <c r="A1358" t="inlineStr">
        <is>
          <t>2026-09-24 16:28:36</t>
        </is>
      </c>
      <c r="B1358" t="inlineStr">
        <is>
          <t>MLLB_000_y1.0.3</t>
        </is>
      </c>
      <c r="C1358" t="inlineStr">
        <is>
          <t>WHITE</t>
        </is>
      </c>
      <c r="D1358" t="inlineStr">
        <is>
          <t>v4_white_MLLB_000_y103_0924</t>
        </is>
      </c>
      <c r="E1358" t="n">
        <v>3.2</v>
      </c>
      <c r="F1358" t="n">
        <v>3.208</v>
      </c>
      <c r="G1358" t="n">
        <v>10</v>
      </c>
      <c r="H1358" t="n">
        <v>80</v>
      </c>
      <c r="I1358" t="n">
        <v>28</v>
      </c>
      <c r="J1358" t="inlineStr">
        <is>
          <t>kaba</t>
        </is>
      </c>
      <c r="K1358" t="b">
        <v>1</v>
      </c>
      <c r="M1358" t="n">
        <v>66</v>
      </c>
      <c r="N1358" t="n">
        <v>34</v>
      </c>
      <c r="O1358" t="n">
        <v>44</v>
      </c>
      <c r="P1358" t="n">
        <v>936</v>
      </c>
      <c r="Q1358" t="n">
        <v>1002</v>
      </c>
      <c r="R1358" t="n">
        <v>1.067</v>
      </c>
      <c r="S1358" t="n">
        <v>20.316</v>
      </c>
      <c r="T1358" t="n">
        <v>19.038</v>
      </c>
      <c r="U1358" t="n">
        <v>0.7781</v>
      </c>
      <c r="V1358" t="b">
        <v>1</v>
      </c>
      <c r="X1358" t="b">
        <v>1</v>
      </c>
      <c r="Z1358" t="n">
        <v>935</v>
      </c>
      <c r="AA1358" t="n">
        <v>2.5</v>
      </c>
      <c r="AB1358" t="n">
        <v>9.5</v>
      </c>
    </row>
    <row r="1359">
      <c r="A1359" t="inlineStr">
        <is>
          <t>2026-09-24 16:28:52</t>
        </is>
      </c>
      <c r="B1359" t="inlineStr">
        <is>
          <t>MLLB_000_y1.0.3</t>
        </is>
      </c>
      <c r="C1359" t="inlineStr">
        <is>
          <t>WHITE</t>
        </is>
      </c>
      <c r="D1359" t="inlineStr">
        <is>
          <t>v4_white_MLLB_000_y103_0924</t>
        </is>
      </c>
      <c r="E1359" t="n">
        <v>3.2</v>
      </c>
      <c r="F1359" t="n">
        <v>3.208</v>
      </c>
      <c r="G1359" t="n">
        <v>10</v>
      </c>
      <c r="H1359" t="n">
        <v>80</v>
      </c>
      <c r="I1359" t="n">
        <v>32</v>
      </c>
      <c r="J1359" t="inlineStr">
        <is>
          <t>kaba</t>
        </is>
      </c>
      <c r="K1359" t="b">
        <v>1</v>
      </c>
      <c r="M1359" t="n">
        <v>38</v>
      </c>
      <c r="N1359" t="n">
        <v>28</v>
      </c>
      <c r="O1359" t="n">
        <v>18</v>
      </c>
      <c r="P1359" t="n">
        <v>964</v>
      </c>
      <c r="Q1359" t="n">
        <v>1002</v>
      </c>
      <c r="R1359" t="n">
        <v>1.069</v>
      </c>
      <c r="S1359" t="n">
        <v>20.364</v>
      </c>
      <c r="T1359" t="n">
        <v>19.049</v>
      </c>
      <c r="U1359" t="n">
        <v>0.7781</v>
      </c>
      <c r="V1359" t="b">
        <v>1</v>
      </c>
      <c r="X1359" t="b">
        <v>1</v>
      </c>
      <c r="Z1359" t="n">
        <v>935</v>
      </c>
      <c r="AA1359" t="n">
        <v>2.5</v>
      </c>
      <c r="AB1359" t="n">
        <v>9.5</v>
      </c>
    </row>
    <row r="1360">
      <c r="A1360" t="inlineStr">
        <is>
          <t>2026-09-24 16:29:08</t>
        </is>
      </c>
      <c r="B1360" t="inlineStr">
        <is>
          <t>MLLB_000_y1.0.3</t>
        </is>
      </c>
      <c r="C1360" t="inlineStr">
        <is>
          <t>WHITE</t>
        </is>
      </c>
      <c r="D1360" t="inlineStr">
        <is>
          <t>v4_white_MLLB_000_y103_0924</t>
        </is>
      </c>
      <c r="E1360" t="n">
        <v>3.2</v>
      </c>
      <c r="F1360" t="n">
        <v>3.208</v>
      </c>
      <c r="G1360" t="n">
        <v>10</v>
      </c>
      <c r="H1360" t="n">
        <v>80</v>
      </c>
      <c r="I1360" t="n">
        <v>36</v>
      </c>
      <c r="J1360" t="inlineStr">
        <is>
          <t>kaba</t>
        </is>
      </c>
      <c r="K1360" t="b">
        <v>1</v>
      </c>
      <c r="M1360" t="n">
        <v>38</v>
      </c>
      <c r="N1360" t="n">
        <v>28</v>
      </c>
      <c r="O1360" t="n">
        <v>18</v>
      </c>
      <c r="P1360" t="n">
        <v>964</v>
      </c>
      <c r="Q1360" t="n">
        <v>1002</v>
      </c>
      <c r="R1360" t="n">
        <v>5.256</v>
      </c>
      <c r="S1360" t="n">
        <v>100.201</v>
      </c>
      <c r="T1360" t="n">
        <v>19.065</v>
      </c>
      <c r="U1360" t="n">
        <v>0.778</v>
      </c>
      <c r="V1360" t="b">
        <v>1</v>
      </c>
      <c r="X1360" t="b">
        <v>0</v>
      </c>
      <c r="Y1360" t="inlineStr">
        <is>
          <t>FLAS</t>
        </is>
      </c>
      <c r="Z1360" t="n">
        <v>935</v>
      </c>
      <c r="AA1360" t="n">
        <v>2.5</v>
      </c>
      <c r="AB1360" t="n">
        <v>9.5</v>
      </c>
    </row>
    <row r="1361">
      <c r="A1361" t="inlineStr">
        <is>
          <t>2026-09-24 16:29:20</t>
        </is>
      </c>
      <c r="B1361" t="inlineStr">
        <is>
          <t>MLLB_000_y1.0.3</t>
        </is>
      </c>
      <c r="C1361" t="inlineStr">
        <is>
          <t>WHITE</t>
        </is>
      </c>
      <c r="D1361" t="inlineStr">
        <is>
          <t>v4_white_MLLB_000_y103_0924</t>
        </is>
      </c>
      <c r="E1361" t="n">
        <v>3.2</v>
      </c>
      <c r="F1361" t="n">
        <v>3.208</v>
      </c>
      <c r="G1361" t="n">
        <v>10</v>
      </c>
      <c r="H1361" t="n">
        <v>80</v>
      </c>
      <c r="I1361" t="n">
        <v>40</v>
      </c>
      <c r="J1361" t="inlineStr">
        <is>
          <t>kaba</t>
        </is>
      </c>
      <c r="K1361" t="b">
        <v>1</v>
      </c>
      <c r="M1361" t="n">
        <v>38</v>
      </c>
      <c r="N1361" t="n">
        <v>28</v>
      </c>
      <c r="O1361" t="n">
        <v>18</v>
      </c>
      <c r="P1361" t="n">
        <v>964</v>
      </c>
      <c r="Q1361" t="n">
        <v>1002</v>
      </c>
      <c r="R1361" t="n">
        <v>9.343999999999999</v>
      </c>
      <c r="S1361" t="n">
        <v>177.711</v>
      </c>
      <c r="T1361" t="n">
        <v>19.02</v>
      </c>
      <c r="U1361" t="n">
        <v>0.7781</v>
      </c>
      <c r="V1361" t="b">
        <v>1</v>
      </c>
      <c r="X1361" t="b">
        <v>0</v>
      </c>
      <c r="Y1361" t="inlineStr">
        <is>
          <t>FLAS</t>
        </is>
      </c>
      <c r="Z1361" t="n">
        <v>935</v>
      </c>
      <c r="AA1361" t="n">
        <v>2.5</v>
      </c>
      <c r="AB1361" t="n">
        <v>9.5</v>
      </c>
    </row>
    <row r="1362">
      <c r="A1362" t="inlineStr">
        <is>
          <t>2026-09-24 16:29:36</t>
        </is>
      </c>
      <c r="B1362" t="inlineStr">
        <is>
          <t>MLLB_000_y1.0.3</t>
        </is>
      </c>
      <c r="C1362" t="inlineStr">
        <is>
          <t>WHITE</t>
        </is>
      </c>
      <c r="D1362" t="inlineStr">
        <is>
          <t>v4_white_MLLB_000_y103_0924</t>
        </is>
      </c>
      <c r="E1362" t="n">
        <v>3.2</v>
      </c>
      <c r="F1362" t="n">
        <v>3.208</v>
      </c>
      <c r="G1362" t="n">
        <v>10</v>
      </c>
      <c r="H1362" t="n">
        <v>80</v>
      </c>
      <c r="I1362" t="n">
        <v>25</v>
      </c>
      <c r="J1362" t="inlineStr">
        <is>
          <t>ince</t>
        </is>
      </c>
      <c r="K1362" t="b">
        <v>1</v>
      </c>
      <c r="M1362" t="n">
        <v>92</v>
      </c>
      <c r="N1362" t="n">
        <v>38</v>
      </c>
      <c r="O1362" t="n">
        <v>70</v>
      </c>
      <c r="P1362" t="n">
        <v>910</v>
      </c>
      <c r="Q1362" t="n">
        <v>1002</v>
      </c>
      <c r="R1362" t="n">
        <v>1.066</v>
      </c>
      <c r="S1362" t="n">
        <v>20.268</v>
      </c>
      <c r="T1362" t="n">
        <v>19.014</v>
      </c>
      <c r="U1362" t="n">
        <v>0.7783</v>
      </c>
      <c r="V1362" t="b">
        <v>1</v>
      </c>
      <c r="X1362" t="b">
        <v>0</v>
      </c>
      <c r="Y1362" t="inlineStr">
        <is>
          <t>ON</t>
        </is>
      </c>
      <c r="Z1362" t="n">
        <v>935</v>
      </c>
      <c r="AA1362" t="n">
        <v>2.5</v>
      </c>
      <c r="AB1362" t="n">
        <v>9.5</v>
      </c>
    </row>
    <row r="1363">
      <c r="A1363" t="inlineStr">
        <is>
          <t>2026-09-24 16:29:52</t>
        </is>
      </c>
      <c r="B1363" t="inlineStr">
        <is>
          <t>MLLB_000_y1.0.3</t>
        </is>
      </c>
      <c r="C1363" t="inlineStr">
        <is>
          <t>WHITE</t>
        </is>
      </c>
      <c r="D1363" t="inlineStr">
        <is>
          <t>v4_white_MLLB_000_y103_0924</t>
        </is>
      </c>
      <c r="E1363" t="n">
        <v>3.2</v>
      </c>
      <c r="F1363" t="n">
        <v>3.208</v>
      </c>
      <c r="G1363" t="n">
        <v>10</v>
      </c>
      <c r="H1363" t="n">
        <v>80</v>
      </c>
      <c r="I1363" t="n">
        <v>26</v>
      </c>
      <c r="J1363" t="inlineStr">
        <is>
          <t>ince</t>
        </is>
      </c>
      <c r="K1363" t="b">
        <v>1</v>
      </c>
      <c r="M1363" t="n">
        <v>84</v>
      </c>
      <c r="N1363" t="n">
        <v>32</v>
      </c>
      <c r="O1363" t="n">
        <v>62</v>
      </c>
      <c r="P1363" t="n">
        <v>918</v>
      </c>
      <c r="Q1363" t="n">
        <v>1002</v>
      </c>
      <c r="R1363" t="n">
        <v>1.07</v>
      </c>
      <c r="S1363" t="n">
        <v>20.364</v>
      </c>
      <c r="T1363" t="n">
        <v>19.031</v>
      </c>
      <c r="U1363" t="n">
        <v>0.778</v>
      </c>
      <c r="V1363" t="b">
        <v>1</v>
      </c>
      <c r="X1363" t="b">
        <v>0</v>
      </c>
      <c r="Y1363" t="inlineStr">
        <is>
          <t>ON</t>
        </is>
      </c>
      <c r="Z1363" t="n">
        <v>935</v>
      </c>
      <c r="AA1363" t="n">
        <v>2.5</v>
      </c>
      <c r="AB1363" t="n">
        <v>9.5</v>
      </c>
    </row>
    <row r="1364">
      <c r="A1364" t="inlineStr">
        <is>
          <t>2026-09-24 16:30:07</t>
        </is>
      </c>
      <c r="B1364" t="inlineStr">
        <is>
          <t>MLLB_000_y1.0.3</t>
        </is>
      </c>
      <c r="C1364" t="inlineStr">
        <is>
          <t>WHITE</t>
        </is>
      </c>
      <c r="D1364" t="inlineStr">
        <is>
          <t>v4_white_MLLB_000_y103_0924</t>
        </is>
      </c>
      <c r="E1364" t="n">
        <v>3.2</v>
      </c>
      <c r="F1364" t="n">
        <v>3.208</v>
      </c>
      <c r="G1364" t="n">
        <v>10</v>
      </c>
      <c r="H1364" t="n">
        <v>80</v>
      </c>
      <c r="I1364" t="n">
        <v>27</v>
      </c>
      <c r="J1364" t="inlineStr">
        <is>
          <t>ince</t>
        </is>
      </c>
      <c r="K1364" t="b">
        <v>1</v>
      </c>
      <c r="M1364" t="n">
        <v>74</v>
      </c>
      <c r="N1364" t="n">
        <v>32</v>
      </c>
      <c r="O1364" t="n">
        <v>54</v>
      </c>
      <c r="P1364" t="n">
        <v>928</v>
      </c>
      <c r="Q1364" t="n">
        <v>1002</v>
      </c>
      <c r="R1364" t="n">
        <v>1.07</v>
      </c>
      <c r="S1364" t="n">
        <v>20.364</v>
      </c>
      <c r="T1364" t="n">
        <v>19.029</v>
      </c>
      <c r="U1364" t="n">
        <v>0.7784</v>
      </c>
      <c r="V1364" t="b">
        <v>1</v>
      </c>
      <c r="X1364" t="b">
        <v>0</v>
      </c>
      <c r="Y1364" t="inlineStr">
        <is>
          <t>ON</t>
        </is>
      </c>
      <c r="Z1364" t="n">
        <v>935</v>
      </c>
      <c r="AA1364" t="n">
        <v>2.5</v>
      </c>
      <c r="AB1364" t="n">
        <v>9.5</v>
      </c>
    </row>
    <row r="1365">
      <c r="A1365" t="inlineStr">
        <is>
          <t>2026-09-24 16:30:08</t>
        </is>
      </c>
      <c r="B1365" t="inlineStr">
        <is>
          <t>MLLB_000_y1.0.3</t>
        </is>
      </c>
      <c r="C1365" t="inlineStr">
        <is>
          <t>WHITE</t>
        </is>
      </c>
      <c r="D1365" t="inlineStr">
        <is>
          <t>v4_white_MLLB_000_y103_0924</t>
        </is>
      </c>
      <c r="E1365" t="n">
        <v>3.2</v>
      </c>
      <c r="F1365" t="n">
        <v>3.208</v>
      </c>
      <c r="G1365" t="n">
        <v>10</v>
      </c>
      <c r="H1365" t="n">
        <v>80</v>
      </c>
      <c r="I1365" t="n">
        <v>29</v>
      </c>
      <c r="J1365" t="inlineStr">
        <is>
          <t>ince</t>
        </is>
      </c>
      <c r="K1365" t="b">
        <v>0</v>
      </c>
      <c r="L1365" t="inlineStr">
        <is>
          <t>iki-OK-arasi-monotonluk</t>
        </is>
      </c>
      <c r="X1365" t="b">
        <v>1</v>
      </c>
      <c r="Z1365" t="n">
        <v>935</v>
      </c>
      <c r="AA1365" t="n">
        <v>2.5</v>
      </c>
      <c r="AB1365" t="n">
        <v>9.5</v>
      </c>
    </row>
    <row r="1366">
      <c r="A1366" t="inlineStr">
        <is>
          <t>2026-09-24 16:30:08</t>
        </is>
      </c>
      <c r="B1366" t="inlineStr">
        <is>
          <t>MLLB_000_y1.0.3</t>
        </is>
      </c>
      <c r="C1366" t="inlineStr">
        <is>
          <t>WHITE</t>
        </is>
      </c>
      <c r="D1366" t="inlineStr">
        <is>
          <t>v4_white_MLLB_000_y103_0924</t>
        </is>
      </c>
      <c r="E1366" t="n">
        <v>3.2</v>
      </c>
      <c r="F1366" t="n">
        <v>3.208</v>
      </c>
      <c r="G1366" t="n">
        <v>10</v>
      </c>
      <c r="H1366" t="n">
        <v>80</v>
      </c>
      <c r="I1366" t="n">
        <v>30</v>
      </c>
      <c r="J1366" t="inlineStr">
        <is>
          <t>ince</t>
        </is>
      </c>
      <c r="K1366" t="b">
        <v>0</v>
      </c>
      <c r="L1366" t="inlineStr">
        <is>
          <t>iki-OK-arasi-monotonluk</t>
        </is>
      </c>
      <c r="X1366" t="b">
        <v>1</v>
      </c>
      <c r="Z1366" t="n">
        <v>935</v>
      </c>
      <c r="AA1366" t="n">
        <v>2.5</v>
      </c>
      <c r="AB1366" t="n">
        <v>9.5</v>
      </c>
    </row>
    <row r="1367">
      <c r="A1367" t="inlineStr">
        <is>
          <t>2026-09-24 16:30:08</t>
        </is>
      </c>
      <c r="B1367" t="inlineStr">
        <is>
          <t>MLLB_000_y1.0.3</t>
        </is>
      </c>
      <c r="C1367" t="inlineStr">
        <is>
          <t>WHITE</t>
        </is>
      </c>
      <c r="D1367" t="inlineStr">
        <is>
          <t>v4_white_MLLB_000_y103_0924</t>
        </is>
      </c>
      <c r="E1367" t="n">
        <v>3.2</v>
      </c>
      <c r="F1367" t="n">
        <v>3.208</v>
      </c>
      <c r="G1367" t="n">
        <v>10</v>
      </c>
      <c r="H1367" t="n">
        <v>80</v>
      </c>
      <c r="I1367" t="n">
        <v>31</v>
      </c>
      <c r="J1367" t="inlineStr">
        <is>
          <t>ince</t>
        </is>
      </c>
      <c r="K1367" t="b">
        <v>0</v>
      </c>
      <c r="L1367" t="inlineStr">
        <is>
          <t>iki-OK-arasi-monotonluk</t>
        </is>
      </c>
      <c r="X1367" t="b">
        <v>1</v>
      </c>
      <c r="Z1367" t="n">
        <v>935</v>
      </c>
      <c r="AA1367" t="n">
        <v>2.5</v>
      </c>
      <c r="AB1367" t="n">
        <v>9.5</v>
      </c>
    </row>
    <row r="1368">
      <c r="A1368" t="inlineStr">
        <is>
          <t>2026-09-24 16:30:20</t>
        </is>
      </c>
      <c r="B1368" t="inlineStr">
        <is>
          <t>MLLB_000_y1.0.3</t>
        </is>
      </c>
      <c r="C1368" t="inlineStr">
        <is>
          <t>WHITE</t>
        </is>
      </c>
      <c r="D1368" t="inlineStr">
        <is>
          <t>v4_white_MLLB_000_y103_0924</t>
        </is>
      </c>
      <c r="E1368" t="n">
        <v>3.2</v>
      </c>
      <c r="F1368" t="n">
        <v>3.208</v>
      </c>
      <c r="G1368" t="n">
        <v>10</v>
      </c>
      <c r="H1368" t="n">
        <v>80</v>
      </c>
      <c r="I1368" t="n">
        <v>33</v>
      </c>
      <c r="J1368" t="inlineStr">
        <is>
          <t>ince</t>
        </is>
      </c>
      <c r="K1368" t="b">
        <v>1</v>
      </c>
      <c r="M1368" t="n">
        <v>40</v>
      </c>
      <c r="N1368" t="n">
        <v>28</v>
      </c>
      <c r="O1368" t="n">
        <v>20</v>
      </c>
      <c r="P1368" t="n">
        <v>964</v>
      </c>
      <c r="Q1368" t="n">
        <v>1004</v>
      </c>
      <c r="R1368" t="n">
        <v>1.069</v>
      </c>
      <c r="S1368" t="n">
        <v>20.345</v>
      </c>
      <c r="T1368" t="n">
        <v>19.038</v>
      </c>
      <c r="U1368" t="n">
        <v>0.7785</v>
      </c>
      <c r="V1368" t="b">
        <v>1</v>
      </c>
      <c r="X1368" t="b">
        <v>1</v>
      </c>
      <c r="Z1368" t="n">
        <v>935</v>
      </c>
      <c r="AA1368" t="n">
        <v>2.5</v>
      </c>
      <c r="AB1368" t="n">
        <v>9.5</v>
      </c>
    </row>
    <row r="1369">
      <c r="A1369" t="inlineStr">
        <is>
          <t>2026-09-24 16:30:36</t>
        </is>
      </c>
      <c r="B1369" t="inlineStr">
        <is>
          <t>MLLB_000_y1.0.3</t>
        </is>
      </c>
      <c r="C1369" t="inlineStr">
        <is>
          <t>WHITE</t>
        </is>
      </c>
      <c r="D1369" t="inlineStr">
        <is>
          <t>v4_white_MLLB_000_y103_0924</t>
        </is>
      </c>
      <c r="E1369" t="n">
        <v>3.2</v>
      </c>
      <c r="F1369" t="n">
        <v>3.208</v>
      </c>
      <c r="G1369" t="n">
        <v>10</v>
      </c>
      <c r="H1369" t="n">
        <v>80</v>
      </c>
      <c r="I1369" t="n">
        <v>34</v>
      </c>
      <c r="J1369" t="inlineStr">
        <is>
          <t>ince</t>
        </is>
      </c>
      <c r="K1369" t="b">
        <v>1</v>
      </c>
      <c r="M1369" t="n">
        <v>38</v>
      </c>
      <c r="N1369" t="n">
        <v>28</v>
      </c>
      <c r="O1369" t="n">
        <v>18</v>
      </c>
      <c r="P1369" t="n">
        <v>964</v>
      </c>
      <c r="Q1369" t="n">
        <v>1002</v>
      </c>
      <c r="R1369" t="n">
        <v>1.07</v>
      </c>
      <c r="S1369" t="n">
        <v>20.364</v>
      </c>
      <c r="T1369" t="n">
        <v>19.03</v>
      </c>
      <c r="U1369" t="n">
        <v>0.7788</v>
      </c>
      <c r="V1369" t="b">
        <v>1</v>
      </c>
      <c r="X1369" t="b">
        <v>1</v>
      </c>
      <c r="Z1369" t="n">
        <v>935</v>
      </c>
      <c r="AA1369" t="n">
        <v>2.5</v>
      </c>
      <c r="AB1369" t="n">
        <v>9.5</v>
      </c>
    </row>
    <row r="1370">
      <c r="A1370" t="inlineStr">
        <is>
          <t>2026-09-24 16:30:52</t>
        </is>
      </c>
      <c r="B1370" t="inlineStr">
        <is>
          <t>MLLB_000_y1.0.3</t>
        </is>
      </c>
      <c r="C1370" t="inlineStr">
        <is>
          <t>WHITE</t>
        </is>
      </c>
      <c r="D1370" t="inlineStr">
        <is>
          <t>v4_white_MLLB_000_y103_0924</t>
        </is>
      </c>
      <c r="E1370" t="n">
        <v>3.2</v>
      </c>
      <c r="F1370" t="n">
        <v>3.208</v>
      </c>
      <c r="G1370" t="n">
        <v>10</v>
      </c>
      <c r="H1370" t="n">
        <v>80</v>
      </c>
      <c r="I1370" t="n">
        <v>35</v>
      </c>
      <c r="J1370" t="inlineStr">
        <is>
          <t>ince</t>
        </is>
      </c>
      <c r="K1370" t="b">
        <v>1</v>
      </c>
      <c r="M1370" t="n">
        <v>38</v>
      </c>
      <c r="N1370" t="n">
        <v>28</v>
      </c>
      <c r="O1370" t="n">
        <v>18</v>
      </c>
      <c r="P1370" t="n">
        <v>964</v>
      </c>
      <c r="Q1370" t="n">
        <v>1002</v>
      </c>
      <c r="R1370" t="n">
        <v>2.686</v>
      </c>
      <c r="S1370" t="n">
        <v>51.194</v>
      </c>
      <c r="T1370" t="n">
        <v>19.06</v>
      </c>
      <c r="U1370" t="n">
        <v>0.778</v>
      </c>
      <c r="V1370" t="b">
        <v>1</v>
      </c>
      <c r="X1370" t="b">
        <v>0</v>
      </c>
      <c r="Y1370" t="inlineStr">
        <is>
          <t>FLAS</t>
        </is>
      </c>
      <c r="Z1370" t="n">
        <v>935</v>
      </c>
      <c r="AA1370" t="n">
        <v>2.5</v>
      </c>
      <c r="AB1370" t="n">
        <v>9.5</v>
      </c>
    </row>
    <row r="1371">
      <c r="A1371" t="inlineStr">
        <is>
          <t>2026-09-24 16:30:52</t>
        </is>
      </c>
      <c r="B1371" t="inlineStr">
        <is>
          <t>MLLB_000_y1.0.3</t>
        </is>
      </c>
      <c r="C1371" t="inlineStr">
        <is>
          <t>WHITE</t>
        </is>
      </c>
      <c r="D1371" t="inlineStr">
        <is>
          <t>v4_white_MLLB_000_y103_0924</t>
        </is>
      </c>
      <c r="E1371" t="n">
        <v>3.2</v>
      </c>
      <c r="F1371" t="n">
        <v>3.208</v>
      </c>
      <c r="G1371" t="n">
        <v>10</v>
      </c>
      <c r="H1371" t="n">
        <v>80</v>
      </c>
      <c r="J1371" t="inlineStr">
        <is>
          <t>bitti</t>
        </is>
      </c>
      <c r="K1371" t="b">
        <v>0</v>
      </c>
      <c r="Z1371" t="n">
        <v>935</v>
      </c>
      <c r="AA1371" t="n">
        <v>2.5</v>
      </c>
      <c r="AB1371" t="n">
        <v>9.5</v>
      </c>
    </row>
    <row r="1372">
      <c r="A1372" t="inlineStr">
        <is>
          <t>2026-09-24 16:31:08</t>
        </is>
      </c>
      <c r="B1372" t="inlineStr">
        <is>
          <t>MLLB_000_y1.0.3</t>
        </is>
      </c>
      <c r="C1372" t="inlineStr">
        <is>
          <t>WHITE</t>
        </is>
      </c>
      <c r="D1372" t="inlineStr">
        <is>
          <t>v4_white_MLLB_000_y103_0924</t>
        </is>
      </c>
      <c r="E1372" t="n">
        <v>3.2</v>
      </c>
      <c r="F1372" t="n">
        <v>3.208</v>
      </c>
      <c r="G1372" t="n">
        <v>10</v>
      </c>
      <c r="H1372" t="n">
        <v>60</v>
      </c>
      <c r="I1372" t="n">
        <v>12</v>
      </c>
      <c r="J1372" t="inlineStr">
        <is>
          <t>kaba</t>
        </is>
      </c>
      <c r="K1372" t="b">
        <v>1</v>
      </c>
      <c r="M1372" t="n">
        <v>224</v>
      </c>
      <c r="N1372" t="n">
        <v>36</v>
      </c>
      <c r="O1372" t="n">
        <v>202</v>
      </c>
      <c r="P1372" t="n">
        <v>778</v>
      </c>
      <c r="Q1372" t="n">
        <v>1002</v>
      </c>
      <c r="R1372" t="n">
        <v>1.078</v>
      </c>
      <c r="S1372" t="n">
        <v>20.364</v>
      </c>
      <c r="T1372" t="n">
        <v>18.883</v>
      </c>
      <c r="U1372" t="n">
        <v>0.7781</v>
      </c>
      <c r="V1372" t="b">
        <v>1</v>
      </c>
      <c r="X1372" t="b">
        <v>0</v>
      </c>
      <c r="Y1372" t="inlineStr">
        <is>
          <t>ON</t>
        </is>
      </c>
      <c r="Z1372" t="n">
        <v>935</v>
      </c>
      <c r="AA1372" t="n">
        <v>2.5</v>
      </c>
      <c r="AB1372" t="n">
        <v>9.5</v>
      </c>
    </row>
    <row r="1373">
      <c r="A1373" t="inlineStr">
        <is>
          <t>2026-09-24 16:31:24</t>
        </is>
      </c>
      <c r="B1373" t="inlineStr">
        <is>
          <t>MLLB_000_y1.0.3</t>
        </is>
      </c>
      <c r="C1373" t="inlineStr">
        <is>
          <t>WHITE</t>
        </is>
      </c>
      <c r="D1373" t="inlineStr">
        <is>
          <t>v4_white_MLLB_000_y103_0924</t>
        </is>
      </c>
      <c r="E1373" t="n">
        <v>3.2</v>
      </c>
      <c r="F1373" t="n">
        <v>3.208</v>
      </c>
      <c r="G1373" t="n">
        <v>10</v>
      </c>
      <c r="H1373" t="n">
        <v>60</v>
      </c>
      <c r="I1373" t="n">
        <v>16</v>
      </c>
      <c r="J1373" t="inlineStr">
        <is>
          <t>kaba</t>
        </is>
      </c>
      <c r="K1373" t="b">
        <v>1</v>
      </c>
      <c r="M1373" t="n">
        <v>200</v>
      </c>
      <c r="N1373" t="n">
        <v>36</v>
      </c>
      <c r="O1373" t="n">
        <v>178</v>
      </c>
      <c r="P1373" t="n">
        <v>802</v>
      </c>
      <c r="Q1373" t="n">
        <v>1002</v>
      </c>
      <c r="R1373" t="n">
        <v>1.077</v>
      </c>
      <c r="S1373" t="n">
        <v>20.376</v>
      </c>
      <c r="T1373" t="n">
        <v>18.916</v>
      </c>
      <c r="U1373" t="n">
        <v>0.7783</v>
      </c>
      <c r="V1373" t="b">
        <v>1</v>
      </c>
      <c r="X1373" t="b">
        <v>0</v>
      </c>
      <c r="Y1373" t="inlineStr">
        <is>
          <t>ON</t>
        </is>
      </c>
      <c r="Z1373" t="n">
        <v>935</v>
      </c>
      <c r="AA1373" t="n">
        <v>2.5</v>
      </c>
      <c r="AB1373" t="n">
        <v>9.5</v>
      </c>
    </row>
    <row r="1374">
      <c r="A1374" t="inlineStr">
        <is>
          <t>2026-09-24 16:31:40</t>
        </is>
      </c>
      <c r="B1374" t="inlineStr">
        <is>
          <t>MLLB_000_y1.0.3</t>
        </is>
      </c>
      <c r="C1374" t="inlineStr">
        <is>
          <t>WHITE</t>
        </is>
      </c>
      <c r="D1374" t="inlineStr">
        <is>
          <t>v4_white_MLLB_000_y103_0924</t>
        </is>
      </c>
      <c r="E1374" t="n">
        <v>3.2</v>
      </c>
      <c r="F1374" t="n">
        <v>3.208</v>
      </c>
      <c r="G1374" t="n">
        <v>10</v>
      </c>
      <c r="H1374" t="n">
        <v>60</v>
      </c>
      <c r="I1374" t="n">
        <v>20</v>
      </c>
      <c r="J1374" t="inlineStr">
        <is>
          <t>kaba</t>
        </is>
      </c>
      <c r="K1374" t="b">
        <v>1</v>
      </c>
      <c r="M1374" t="n">
        <v>176</v>
      </c>
      <c r="N1374" t="n">
        <v>36</v>
      </c>
      <c r="O1374" t="n">
        <v>154</v>
      </c>
      <c r="P1374" t="n">
        <v>826</v>
      </c>
      <c r="Q1374" t="n">
        <v>1002</v>
      </c>
      <c r="R1374" t="n">
        <v>1.07</v>
      </c>
      <c r="S1374" t="n">
        <v>20.268</v>
      </c>
      <c r="T1374" t="n">
        <v>18.936</v>
      </c>
      <c r="U1374" t="n">
        <v>0.7781</v>
      </c>
      <c r="V1374" t="b">
        <v>1</v>
      </c>
      <c r="X1374" t="b">
        <v>0</v>
      </c>
      <c r="Y1374" t="inlineStr">
        <is>
          <t>ON</t>
        </is>
      </c>
      <c r="Z1374" t="n">
        <v>935</v>
      </c>
      <c r="AA1374" t="n">
        <v>2.5</v>
      </c>
      <c r="AB1374" t="n">
        <v>9.5</v>
      </c>
    </row>
    <row r="1375">
      <c r="A1375" t="inlineStr">
        <is>
          <t>2026-09-24 16:31:55</t>
        </is>
      </c>
      <c r="B1375" t="inlineStr">
        <is>
          <t>MLLB_000_y1.0.3</t>
        </is>
      </c>
      <c r="C1375" t="inlineStr">
        <is>
          <t>WHITE</t>
        </is>
      </c>
      <c r="D1375" t="inlineStr">
        <is>
          <t>v4_white_MLLB_000_y103_0924</t>
        </is>
      </c>
      <c r="E1375" t="n">
        <v>3.2</v>
      </c>
      <c r="F1375" t="n">
        <v>3.208</v>
      </c>
      <c r="G1375" t="n">
        <v>10</v>
      </c>
      <c r="H1375" t="n">
        <v>60</v>
      </c>
      <c r="I1375" t="n">
        <v>24</v>
      </c>
      <c r="J1375" t="inlineStr">
        <is>
          <t>kaba</t>
        </is>
      </c>
      <c r="K1375" t="b">
        <v>1</v>
      </c>
      <c r="M1375" t="n">
        <v>152</v>
      </c>
      <c r="N1375" t="n">
        <v>36</v>
      </c>
      <c r="O1375" t="n">
        <v>130</v>
      </c>
      <c r="P1375" t="n">
        <v>850</v>
      </c>
      <c r="Q1375" t="n">
        <v>1002</v>
      </c>
      <c r="R1375" t="n">
        <v>1.07</v>
      </c>
      <c r="S1375" t="n">
        <v>20.293</v>
      </c>
      <c r="T1375" t="n">
        <v>18.959</v>
      </c>
      <c r="U1375" t="n">
        <v>0.7782</v>
      </c>
      <c r="V1375" t="b">
        <v>1</v>
      </c>
      <c r="X1375" t="b">
        <v>0</v>
      </c>
      <c r="Y1375" t="inlineStr">
        <is>
          <t>ON</t>
        </is>
      </c>
      <c r="Z1375" t="n">
        <v>935</v>
      </c>
      <c r="AA1375" t="n">
        <v>2.5</v>
      </c>
      <c r="AB1375" t="n">
        <v>9.5</v>
      </c>
    </row>
    <row r="1376">
      <c r="A1376" t="inlineStr">
        <is>
          <t>2026-09-24 16:32:12</t>
        </is>
      </c>
      <c r="B1376" t="inlineStr">
        <is>
          <t>MLLB_000_y1.0.3</t>
        </is>
      </c>
      <c r="C1376" t="inlineStr">
        <is>
          <t>WHITE</t>
        </is>
      </c>
      <c r="D1376" t="inlineStr">
        <is>
          <t>v4_white_MLLB_000_y103_0924</t>
        </is>
      </c>
      <c r="E1376" t="n">
        <v>3.2</v>
      </c>
      <c r="F1376" t="n">
        <v>3.208</v>
      </c>
      <c r="G1376" t="n">
        <v>10</v>
      </c>
      <c r="H1376" t="n">
        <v>60</v>
      </c>
      <c r="I1376" t="n">
        <v>28</v>
      </c>
      <c r="J1376" t="inlineStr">
        <is>
          <t>kaba</t>
        </is>
      </c>
      <c r="K1376" t="b">
        <v>1</v>
      </c>
      <c r="M1376" t="n">
        <v>128</v>
      </c>
      <c r="N1376" t="n">
        <v>36</v>
      </c>
      <c r="O1376" t="n">
        <v>106</v>
      </c>
      <c r="P1376" t="n">
        <v>874</v>
      </c>
      <c r="Q1376" t="n">
        <v>1002</v>
      </c>
      <c r="R1376" t="n">
        <v>1.071</v>
      </c>
      <c r="S1376" t="n">
        <v>20.316</v>
      </c>
      <c r="T1376" t="n">
        <v>18.976</v>
      </c>
      <c r="U1376" t="n">
        <v>0.7782</v>
      </c>
      <c r="V1376" t="b">
        <v>1</v>
      </c>
      <c r="X1376" t="b">
        <v>0</v>
      </c>
      <c r="Y1376" t="inlineStr">
        <is>
          <t>ON</t>
        </is>
      </c>
      <c r="Z1376" t="n">
        <v>935</v>
      </c>
      <c r="AA1376" t="n">
        <v>2.5</v>
      </c>
      <c r="AB1376" t="n">
        <v>9.5</v>
      </c>
    </row>
    <row r="1377">
      <c r="A1377" t="inlineStr">
        <is>
          <t>2026-09-24 16:32:28</t>
        </is>
      </c>
      <c r="B1377" t="inlineStr">
        <is>
          <t>MLLB_000_y1.0.3</t>
        </is>
      </c>
      <c r="C1377" t="inlineStr">
        <is>
          <t>WHITE</t>
        </is>
      </c>
      <c r="D1377" t="inlineStr">
        <is>
          <t>v4_white_MLLB_000_y103_0924</t>
        </is>
      </c>
      <c r="E1377" t="n">
        <v>3.2</v>
      </c>
      <c r="F1377" t="n">
        <v>3.208</v>
      </c>
      <c r="G1377" t="n">
        <v>10</v>
      </c>
      <c r="H1377" t="n">
        <v>60</v>
      </c>
      <c r="I1377" t="n">
        <v>32</v>
      </c>
      <c r="J1377" t="inlineStr">
        <is>
          <t>kaba</t>
        </is>
      </c>
      <c r="K1377" t="b">
        <v>1</v>
      </c>
      <c r="M1377" t="n">
        <v>104</v>
      </c>
      <c r="N1377" t="n">
        <v>38</v>
      </c>
      <c r="O1377" t="n">
        <v>82</v>
      </c>
      <c r="P1377" t="n">
        <v>898</v>
      </c>
      <c r="Q1377" t="n">
        <v>1002</v>
      </c>
      <c r="R1377" t="n">
        <v>1.07</v>
      </c>
      <c r="S1377" t="n">
        <v>20.332</v>
      </c>
      <c r="T1377" t="n">
        <v>19.001</v>
      </c>
      <c r="U1377" t="n">
        <v>0.7782</v>
      </c>
      <c r="V1377" t="b">
        <v>1</v>
      </c>
      <c r="X1377" t="b">
        <v>0</v>
      </c>
      <c r="Y1377" t="inlineStr">
        <is>
          <t>ON</t>
        </is>
      </c>
      <c r="Z1377" t="n">
        <v>935</v>
      </c>
      <c r="AA1377" t="n">
        <v>2.5</v>
      </c>
      <c r="AB1377" t="n">
        <v>9.5</v>
      </c>
    </row>
    <row r="1378">
      <c r="A1378" t="inlineStr">
        <is>
          <t>2026-09-24 16:32:44</t>
        </is>
      </c>
      <c r="B1378" t="inlineStr">
        <is>
          <t>MLLB_000_y1.0.3</t>
        </is>
      </c>
      <c r="C1378" t="inlineStr">
        <is>
          <t>WHITE</t>
        </is>
      </c>
      <c r="D1378" t="inlineStr">
        <is>
          <t>v4_white_MLLB_000_y103_0924</t>
        </is>
      </c>
      <c r="E1378" t="n">
        <v>3.2</v>
      </c>
      <c r="F1378" t="n">
        <v>3.208</v>
      </c>
      <c r="G1378" t="n">
        <v>10</v>
      </c>
      <c r="H1378" t="n">
        <v>60</v>
      </c>
      <c r="I1378" t="n">
        <v>36</v>
      </c>
      <c r="J1378" t="inlineStr">
        <is>
          <t>kaba</t>
        </is>
      </c>
      <c r="K1378" t="b">
        <v>1</v>
      </c>
      <c r="M1378" t="n">
        <v>78</v>
      </c>
      <c r="N1378" t="n">
        <v>32</v>
      </c>
      <c r="O1378" t="n">
        <v>58</v>
      </c>
      <c r="P1378" t="n">
        <v>924</v>
      </c>
      <c r="Q1378" t="n">
        <v>1002</v>
      </c>
      <c r="R1378" t="n">
        <v>1.067</v>
      </c>
      <c r="S1378" t="n">
        <v>20.316</v>
      </c>
      <c r="T1378" t="n">
        <v>19.038</v>
      </c>
      <c r="U1378" t="n">
        <v>0.7776999999999999</v>
      </c>
      <c r="V1378" t="b">
        <v>1</v>
      </c>
      <c r="X1378" t="b">
        <v>0</v>
      </c>
      <c r="Y1378" t="inlineStr">
        <is>
          <t>ON</t>
        </is>
      </c>
      <c r="Z1378" t="n">
        <v>935</v>
      </c>
      <c r="AA1378" t="n">
        <v>2.5</v>
      </c>
      <c r="AB1378" t="n">
        <v>9.5</v>
      </c>
    </row>
    <row r="1379">
      <c r="A1379" t="inlineStr">
        <is>
          <t>2026-09-24 16:33:00</t>
        </is>
      </c>
      <c r="B1379" t="inlineStr">
        <is>
          <t>MLLB_000_y1.0.3</t>
        </is>
      </c>
      <c r="C1379" t="inlineStr">
        <is>
          <t>WHITE</t>
        </is>
      </c>
      <c r="D1379" t="inlineStr">
        <is>
          <t>v4_white_MLLB_000_y103_0924</t>
        </is>
      </c>
      <c r="E1379" t="n">
        <v>3.2</v>
      </c>
      <c r="F1379" t="n">
        <v>3.208</v>
      </c>
      <c r="G1379" t="n">
        <v>10</v>
      </c>
      <c r="H1379" t="n">
        <v>60</v>
      </c>
      <c r="I1379" t="n">
        <v>40</v>
      </c>
      <c r="J1379" t="inlineStr">
        <is>
          <t>kaba</t>
        </is>
      </c>
      <c r="K1379" t="b">
        <v>1</v>
      </c>
      <c r="M1379" t="n">
        <v>54</v>
      </c>
      <c r="N1379" t="n">
        <v>32</v>
      </c>
      <c r="O1379" t="n">
        <v>34</v>
      </c>
      <c r="P1379" t="n">
        <v>948</v>
      </c>
      <c r="Q1379" t="n">
        <v>1002</v>
      </c>
      <c r="R1379" t="n">
        <v>1.071</v>
      </c>
      <c r="S1379" t="n">
        <v>20.364</v>
      </c>
      <c r="T1379" t="n">
        <v>19.017</v>
      </c>
      <c r="U1379" t="n">
        <v>0.7778</v>
      </c>
      <c r="V1379" t="b">
        <v>1</v>
      </c>
      <c r="X1379" t="b">
        <v>1</v>
      </c>
      <c r="Z1379" t="n">
        <v>935</v>
      </c>
      <c r="AA1379" t="n">
        <v>2.5</v>
      </c>
      <c r="AB1379" t="n">
        <v>9.5</v>
      </c>
    </row>
    <row r="1380">
      <c r="A1380" t="inlineStr">
        <is>
          <t>2026-09-24 16:33:16</t>
        </is>
      </c>
      <c r="B1380" t="inlineStr">
        <is>
          <t>MLLB_000_y1.0.3</t>
        </is>
      </c>
      <c r="C1380" t="inlineStr">
        <is>
          <t>WHITE</t>
        </is>
      </c>
      <c r="D1380" t="inlineStr">
        <is>
          <t>v4_white_MLLB_000_y103_0924</t>
        </is>
      </c>
      <c r="E1380" t="n">
        <v>3.2</v>
      </c>
      <c r="F1380" t="n">
        <v>3.208</v>
      </c>
      <c r="G1380" t="n">
        <v>10</v>
      </c>
      <c r="H1380" t="n">
        <v>60</v>
      </c>
      <c r="I1380" t="n">
        <v>44</v>
      </c>
      <c r="J1380" t="inlineStr">
        <is>
          <t>kaba</t>
        </is>
      </c>
      <c r="K1380" t="b">
        <v>1</v>
      </c>
      <c r="M1380" t="n">
        <v>50</v>
      </c>
      <c r="N1380" t="n">
        <v>28</v>
      </c>
      <c r="O1380" t="n">
        <v>30</v>
      </c>
      <c r="P1380" t="n">
        <v>952</v>
      </c>
      <c r="Q1380" t="n">
        <v>1002</v>
      </c>
      <c r="R1380" t="n">
        <v>1.07</v>
      </c>
      <c r="S1380" t="n">
        <v>20.368</v>
      </c>
      <c r="T1380" t="n">
        <v>19.035</v>
      </c>
      <c r="U1380" t="n">
        <v>0.7781</v>
      </c>
      <c r="V1380" t="b">
        <v>1</v>
      </c>
      <c r="X1380" t="b">
        <v>1</v>
      </c>
      <c r="Z1380" t="n">
        <v>935</v>
      </c>
      <c r="AA1380" t="n">
        <v>2.5</v>
      </c>
      <c r="AB1380" t="n">
        <v>9.5</v>
      </c>
    </row>
    <row r="1381">
      <c r="A1381" t="inlineStr">
        <is>
          <t>2026-09-24 16:33:31</t>
        </is>
      </c>
      <c r="B1381" t="inlineStr">
        <is>
          <t>MLLB_000_y1.0.3</t>
        </is>
      </c>
      <c r="C1381" t="inlineStr">
        <is>
          <t>WHITE</t>
        </is>
      </c>
      <c r="D1381" t="inlineStr">
        <is>
          <t>v4_white_MLLB_000_y103_0924</t>
        </is>
      </c>
      <c r="E1381" t="n">
        <v>3.2</v>
      </c>
      <c r="F1381" t="n">
        <v>3.208</v>
      </c>
      <c r="G1381" t="n">
        <v>10</v>
      </c>
      <c r="H1381" t="n">
        <v>60</v>
      </c>
      <c r="I1381" t="n">
        <v>48</v>
      </c>
      <c r="J1381" t="inlineStr">
        <is>
          <t>kaba</t>
        </is>
      </c>
      <c r="K1381" t="b">
        <v>1</v>
      </c>
      <c r="M1381" t="n">
        <v>50</v>
      </c>
      <c r="N1381" t="n">
        <v>28</v>
      </c>
      <c r="O1381" t="n">
        <v>30</v>
      </c>
      <c r="P1381" t="n">
        <v>952</v>
      </c>
      <c r="Q1381" t="n">
        <v>1002</v>
      </c>
      <c r="R1381" t="n">
        <v>5.136</v>
      </c>
      <c r="S1381" t="n">
        <v>97.76900000000001</v>
      </c>
      <c r="T1381" t="n">
        <v>19.037</v>
      </c>
      <c r="U1381" t="n">
        <v>0.7782</v>
      </c>
      <c r="V1381" t="b">
        <v>1</v>
      </c>
      <c r="X1381" t="b">
        <v>0</v>
      </c>
      <c r="Y1381" t="inlineStr">
        <is>
          <t>FLAS</t>
        </is>
      </c>
      <c r="Z1381" t="n">
        <v>935</v>
      </c>
      <c r="AA1381" t="n">
        <v>2.5</v>
      </c>
      <c r="AB1381" t="n">
        <v>9.5</v>
      </c>
    </row>
    <row r="1382">
      <c r="A1382" t="inlineStr">
        <is>
          <t>2026-09-24 16:33:48</t>
        </is>
      </c>
      <c r="B1382" t="inlineStr">
        <is>
          <t>MLLB_000_y1.0.3</t>
        </is>
      </c>
      <c r="C1382" t="inlineStr">
        <is>
          <t>WHITE</t>
        </is>
      </c>
      <c r="D1382" t="inlineStr">
        <is>
          <t>v4_white_MLLB_000_y103_0924</t>
        </is>
      </c>
      <c r="E1382" t="n">
        <v>3.2</v>
      </c>
      <c r="F1382" t="n">
        <v>3.208</v>
      </c>
      <c r="G1382" t="n">
        <v>10</v>
      </c>
      <c r="H1382" t="n">
        <v>60</v>
      </c>
      <c r="I1382" t="n">
        <v>52</v>
      </c>
      <c r="J1382" t="inlineStr">
        <is>
          <t>kaba</t>
        </is>
      </c>
      <c r="K1382" t="b">
        <v>1</v>
      </c>
      <c r="M1382" t="n">
        <v>50</v>
      </c>
      <c r="N1382" t="n">
        <v>28</v>
      </c>
      <c r="O1382" t="n">
        <v>30</v>
      </c>
      <c r="P1382" t="n">
        <v>952</v>
      </c>
      <c r="Q1382" t="n">
        <v>1002</v>
      </c>
      <c r="R1382" t="n">
        <v>7.512</v>
      </c>
      <c r="S1382" t="n">
        <v>142.976</v>
      </c>
      <c r="T1382" t="n">
        <v>19.033</v>
      </c>
      <c r="U1382" t="n">
        <v>0.7776</v>
      </c>
      <c r="V1382" t="b">
        <v>1</v>
      </c>
      <c r="X1382" t="b">
        <v>0</v>
      </c>
      <c r="Y1382" t="inlineStr">
        <is>
          <t>FLAS</t>
        </is>
      </c>
      <c r="Z1382" t="n">
        <v>935</v>
      </c>
      <c r="AA1382" t="n">
        <v>2.5</v>
      </c>
      <c r="AB1382" t="n">
        <v>9.5</v>
      </c>
    </row>
    <row r="1383">
      <c r="A1383" t="inlineStr">
        <is>
          <t>2026-09-24 16:34:04</t>
        </is>
      </c>
      <c r="B1383" t="inlineStr">
        <is>
          <t>MLLB_000_y1.0.3</t>
        </is>
      </c>
      <c r="C1383" t="inlineStr">
        <is>
          <t>WHITE</t>
        </is>
      </c>
      <c r="D1383" t="inlineStr">
        <is>
          <t>v4_white_MLLB_000_y103_0924</t>
        </is>
      </c>
      <c r="E1383" t="n">
        <v>3.2</v>
      </c>
      <c r="F1383" t="n">
        <v>3.208</v>
      </c>
      <c r="G1383" t="n">
        <v>10</v>
      </c>
      <c r="H1383" t="n">
        <v>60</v>
      </c>
      <c r="I1383" t="n">
        <v>37</v>
      </c>
      <c r="J1383" t="inlineStr">
        <is>
          <t>ince</t>
        </is>
      </c>
      <c r="K1383" t="b">
        <v>1</v>
      </c>
      <c r="M1383" t="n">
        <v>72</v>
      </c>
      <c r="N1383" t="n">
        <v>36</v>
      </c>
      <c r="O1383" t="n">
        <v>50</v>
      </c>
      <c r="P1383" t="n">
        <v>930</v>
      </c>
      <c r="Q1383" t="n">
        <v>1002</v>
      </c>
      <c r="R1383" t="n">
        <v>1.066</v>
      </c>
      <c r="S1383" t="n">
        <v>20.268</v>
      </c>
      <c r="T1383" t="n">
        <v>19.019</v>
      </c>
      <c r="U1383" t="n">
        <v>0.7784</v>
      </c>
      <c r="V1383" t="b">
        <v>1</v>
      </c>
      <c r="X1383" t="b">
        <v>0</v>
      </c>
      <c r="Y1383" t="inlineStr">
        <is>
          <t>ON</t>
        </is>
      </c>
      <c r="Z1383" t="n">
        <v>935</v>
      </c>
      <c r="AA1383" t="n">
        <v>2.5</v>
      </c>
      <c r="AB1383" t="n">
        <v>9.5</v>
      </c>
    </row>
    <row r="1384">
      <c r="A1384" t="inlineStr">
        <is>
          <t>2026-09-24 16:34:20</t>
        </is>
      </c>
      <c r="B1384" t="inlineStr">
        <is>
          <t>MLLB_000_y1.0.3</t>
        </is>
      </c>
      <c r="C1384" t="inlineStr">
        <is>
          <t>WHITE</t>
        </is>
      </c>
      <c r="D1384" t="inlineStr">
        <is>
          <t>v4_white_MLLB_000_y103_0924</t>
        </is>
      </c>
      <c r="E1384" t="n">
        <v>3.2</v>
      </c>
      <c r="F1384" t="n">
        <v>3.208</v>
      </c>
      <c r="G1384" t="n">
        <v>10</v>
      </c>
      <c r="H1384" t="n">
        <v>60</v>
      </c>
      <c r="I1384" t="n">
        <v>38</v>
      </c>
      <c r="J1384" t="inlineStr">
        <is>
          <t>ince</t>
        </is>
      </c>
      <c r="K1384" t="b">
        <v>1</v>
      </c>
      <c r="M1384" t="n">
        <v>66</v>
      </c>
      <c r="N1384" t="n">
        <v>32</v>
      </c>
      <c r="O1384" t="n">
        <v>46</v>
      </c>
      <c r="P1384" t="n">
        <v>936</v>
      </c>
      <c r="Q1384" t="n">
        <v>1002</v>
      </c>
      <c r="R1384" t="n">
        <v>1.068</v>
      </c>
      <c r="S1384" t="n">
        <v>20.322</v>
      </c>
      <c r="T1384" t="n">
        <v>19.024</v>
      </c>
      <c r="U1384" t="n">
        <v>0.7782</v>
      </c>
      <c r="V1384" t="b">
        <v>1</v>
      </c>
      <c r="X1384" t="b">
        <v>1</v>
      </c>
      <c r="Z1384" t="n">
        <v>935</v>
      </c>
      <c r="AA1384" t="n">
        <v>2.5</v>
      </c>
      <c r="AB1384" t="n">
        <v>9.5</v>
      </c>
    </row>
    <row r="1385">
      <c r="A1385" t="inlineStr">
        <is>
          <t>2026-09-24 16:34:36</t>
        </is>
      </c>
      <c r="B1385" t="inlineStr">
        <is>
          <t>MLLB_000_y1.0.3</t>
        </is>
      </c>
      <c r="C1385" t="inlineStr">
        <is>
          <t>WHITE</t>
        </is>
      </c>
      <c r="D1385" t="inlineStr">
        <is>
          <t>v4_white_MLLB_000_y103_0924</t>
        </is>
      </c>
      <c r="E1385" t="n">
        <v>3.2</v>
      </c>
      <c r="F1385" t="n">
        <v>3.208</v>
      </c>
      <c r="G1385" t="n">
        <v>10</v>
      </c>
      <c r="H1385" t="n">
        <v>60</v>
      </c>
      <c r="I1385" t="n">
        <v>39</v>
      </c>
      <c r="J1385" t="inlineStr">
        <is>
          <t>ince</t>
        </is>
      </c>
      <c r="K1385" t="b">
        <v>1</v>
      </c>
      <c r="M1385" t="n">
        <v>60</v>
      </c>
      <c r="N1385" t="n">
        <v>36</v>
      </c>
      <c r="O1385" t="n">
        <v>38</v>
      </c>
      <c r="P1385" t="n">
        <v>942</v>
      </c>
      <c r="Q1385" t="n">
        <v>1002</v>
      </c>
      <c r="R1385" t="n">
        <v>1.065</v>
      </c>
      <c r="S1385" t="n">
        <v>20.294</v>
      </c>
      <c r="T1385" t="n">
        <v>19.057</v>
      </c>
      <c r="U1385" t="n">
        <v>0.7779</v>
      </c>
      <c r="V1385" t="b">
        <v>1</v>
      </c>
      <c r="X1385" t="b">
        <v>1</v>
      </c>
      <c r="Z1385" t="n">
        <v>935</v>
      </c>
      <c r="AA1385" t="n">
        <v>2.5</v>
      </c>
      <c r="AB1385" t="n">
        <v>9.5</v>
      </c>
    </row>
    <row r="1386">
      <c r="A1386" t="inlineStr">
        <is>
          <t>2026-09-24 16:34:36</t>
        </is>
      </c>
      <c r="B1386" t="inlineStr">
        <is>
          <t>MLLB_000_y1.0.3</t>
        </is>
      </c>
      <c r="C1386" t="inlineStr">
        <is>
          <t>WHITE</t>
        </is>
      </c>
      <c r="D1386" t="inlineStr">
        <is>
          <t>v4_white_MLLB_000_y103_0924</t>
        </is>
      </c>
      <c r="E1386" t="n">
        <v>3.2</v>
      </c>
      <c r="F1386" t="n">
        <v>3.208</v>
      </c>
      <c r="G1386" t="n">
        <v>10</v>
      </c>
      <c r="H1386" t="n">
        <v>60</v>
      </c>
      <c r="I1386" t="n">
        <v>41</v>
      </c>
      <c r="J1386" t="inlineStr">
        <is>
          <t>ince</t>
        </is>
      </c>
      <c r="K1386" t="b">
        <v>0</v>
      </c>
      <c r="L1386" t="inlineStr">
        <is>
          <t>iki-OK-arasi-monotonluk</t>
        </is>
      </c>
      <c r="X1386" t="b">
        <v>1</v>
      </c>
      <c r="Z1386" t="n">
        <v>935</v>
      </c>
      <c r="AA1386" t="n">
        <v>2.5</v>
      </c>
      <c r="AB1386" t="n">
        <v>9.5</v>
      </c>
    </row>
    <row r="1387">
      <c r="A1387" t="inlineStr">
        <is>
          <t>2026-09-24 16:34:36</t>
        </is>
      </c>
      <c r="B1387" t="inlineStr">
        <is>
          <t>MLLB_000_y1.0.3</t>
        </is>
      </c>
      <c r="C1387" t="inlineStr">
        <is>
          <t>WHITE</t>
        </is>
      </c>
      <c r="D1387" t="inlineStr">
        <is>
          <t>v4_white_MLLB_000_y103_0924</t>
        </is>
      </c>
      <c r="E1387" t="n">
        <v>3.2</v>
      </c>
      <c r="F1387" t="n">
        <v>3.208</v>
      </c>
      <c r="G1387" t="n">
        <v>10</v>
      </c>
      <c r="H1387" t="n">
        <v>60</v>
      </c>
      <c r="I1387" t="n">
        <v>42</v>
      </c>
      <c r="J1387" t="inlineStr">
        <is>
          <t>ince</t>
        </is>
      </c>
      <c r="K1387" t="b">
        <v>0</v>
      </c>
      <c r="L1387" t="inlineStr">
        <is>
          <t>iki-OK-arasi-monotonluk</t>
        </is>
      </c>
      <c r="X1387" t="b">
        <v>1</v>
      </c>
      <c r="Z1387" t="n">
        <v>935</v>
      </c>
      <c r="AA1387" t="n">
        <v>2.5</v>
      </c>
      <c r="AB1387" t="n">
        <v>9.5</v>
      </c>
    </row>
    <row r="1388">
      <c r="A1388" t="inlineStr">
        <is>
          <t>2026-09-24 16:34:36</t>
        </is>
      </c>
      <c r="B1388" t="inlineStr">
        <is>
          <t>MLLB_000_y1.0.3</t>
        </is>
      </c>
      <c r="C1388" t="inlineStr">
        <is>
          <t>WHITE</t>
        </is>
      </c>
      <c r="D1388" t="inlineStr">
        <is>
          <t>v4_white_MLLB_000_y103_0924</t>
        </is>
      </c>
      <c r="E1388" t="n">
        <v>3.2</v>
      </c>
      <c r="F1388" t="n">
        <v>3.208</v>
      </c>
      <c r="G1388" t="n">
        <v>10</v>
      </c>
      <c r="H1388" t="n">
        <v>60</v>
      </c>
      <c r="I1388" t="n">
        <v>43</v>
      </c>
      <c r="J1388" t="inlineStr">
        <is>
          <t>ince</t>
        </is>
      </c>
      <c r="K1388" t="b">
        <v>0</v>
      </c>
      <c r="L1388" t="inlineStr">
        <is>
          <t>iki-OK-arasi-monotonluk</t>
        </is>
      </c>
      <c r="X1388" t="b">
        <v>1</v>
      </c>
      <c r="Z1388" t="n">
        <v>935</v>
      </c>
      <c r="AA1388" t="n">
        <v>2.5</v>
      </c>
      <c r="AB1388" t="n">
        <v>9.5</v>
      </c>
    </row>
    <row r="1389">
      <c r="A1389" t="inlineStr">
        <is>
          <t>2026-09-24 16:34:51</t>
        </is>
      </c>
      <c r="B1389" t="inlineStr">
        <is>
          <t>MLLB_000_y1.0.3</t>
        </is>
      </c>
      <c r="C1389" t="inlineStr">
        <is>
          <t>WHITE</t>
        </is>
      </c>
      <c r="D1389" t="inlineStr">
        <is>
          <t>v4_white_MLLB_000_y103_0924</t>
        </is>
      </c>
      <c r="E1389" t="n">
        <v>3.2</v>
      </c>
      <c r="F1389" t="n">
        <v>3.208</v>
      </c>
      <c r="G1389" t="n">
        <v>10</v>
      </c>
      <c r="H1389" t="n">
        <v>60</v>
      </c>
      <c r="I1389" t="n">
        <v>45</v>
      </c>
      <c r="J1389" t="inlineStr">
        <is>
          <t>ince</t>
        </is>
      </c>
      <c r="K1389" t="b">
        <v>1</v>
      </c>
      <c r="M1389" t="n">
        <v>50</v>
      </c>
      <c r="N1389" t="n">
        <v>28</v>
      </c>
      <c r="O1389" t="n">
        <v>30</v>
      </c>
      <c r="P1389" t="n">
        <v>952</v>
      </c>
      <c r="Q1389" t="n">
        <v>1002</v>
      </c>
      <c r="R1389" t="n">
        <v>1.075</v>
      </c>
      <c r="S1389" t="n">
        <v>20.46</v>
      </c>
      <c r="T1389" t="n">
        <v>19.039</v>
      </c>
      <c r="U1389" t="n">
        <v>0.7779</v>
      </c>
      <c r="V1389" t="b">
        <v>1</v>
      </c>
      <c r="X1389" t="b">
        <v>1</v>
      </c>
      <c r="Z1389" t="n">
        <v>935</v>
      </c>
      <c r="AA1389" t="n">
        <v>2.5</v>
      </c>
      <c r="AB1389" t="n">
        <v>9.5</v>
      </c>
    </row>
    <row r="1390">
      <c r="A1390" t="inlineStr">
        <is>
          <t>2026-09-24 16:35:08</t>
        </is>
      </c>
      <c r="B1390" t="inlineStr">
        <is>
          <t>MLLB_000_y1.0.3</t>
        </is>
      </c>
      <c r="C1390" t="inlineStr">
        <is>
          <t>WHITE</t>
        </is>
      </c>
      <c r="D1390" t="inlineStr">
        <is>
          <t>v4_white_MLLB_000_y103_0924</t>
        </is>
      </c>
      <c r="E1390" t="n">
        <v>3.2</v>
      </c>
      <c r="F1390" t="n">
        <v>3.208</v>
      </c>
      <c r="G1390" t="n">
        <v>10</v>
      </c>
      <c r="H1390" t="n">
        <v>60</v>
      </c>
      <c r="I1390" t="n">
        <v>46</v>
      </c>
      <c r="J1390" t="inlineStr">
        <is>
          <t>ince</t>
        </is>
      </c>
      <c r="K1390" t="b">
        <v>1</v>
      </c>
      <c r="M1390" t="n">
        <v>50</v>
      </c>
      <c r="N1390" t="n">
        <v>28</v>
      </c>
      <c r="O1390" t="n">
        <v>30</v>
      </c>
      <c r="P1390" t="n">
        <v>952</v>
      </c>
      <c r="Q1390" t="n">
        <v>1002</v>
      </c>
      <c r="R1390" t="n">
        <v>1.74</v>
      </c>
      <c r="S1390" t="n">
        <v>33.15</v>
      </c>
      <c r="T1390" t="n">
        <v>19.048</v>
      </c>
      <c r="U1390" t="n">
        <v>0.7781</v>
      </c>
      <c r="V1390" t="b">
        <v>1</v>
      </c>
      <c r="X1390" t="b">
        <v>1</v>
      </c>
      <c r="Z1390" t="n">
        <v>935</v>
      </c>
      <c r="AA1390" t="n">
        <v>2.5</v>
      </c>
      <c r="AB1390" t="n">
        <v>9.5</v>
      </c>
    </row>
    <row r="1391">
      <c r="A1391" t="inlineStr">
        <is>
          <t>2026-09-24 16:35:24</t>
        </is>
      </c>
      <c r="B1391" t="inlineStr">
        <is>
          <t>MLLB_000_y1.0.3</t>
        </is>
      </c>
      <c r="C1391" t="inlineStr">
        <is>
          <t>WHITE</t>
        </is>
      </c>
      <c r="D1391" t="inlineStr">
        <is>
          <t>v4_white_MLLB_000_y103_0924</t>
        </is>
      </c>
      <c r="E1391" t="n">
        <v>3.2</v>
      </c>
      <c r="F1391" t="n">
        <v>3.208</v>
      </c>
      <c r="G1391" t="n">
        <v>10</v>
      </c>
      <c r="H1391" t="n">
        <v>60</v>
      </c>
      <c r="I1391" t="n">
        <v>47</v>
      </c>
      <c r="J1391" t="inlineStr">
        <is>
          <t>ince</t>
        </is>
      </c>
      <c r="K1391" t="b">
        <v>1</v>
      </c>
      <c r="M1391" t="n">
        <v>50</v>
      </c>
      <c r="N1391" t="n">
        <v>28</v>
      </c>
      <c r="O1391" t="n">
        <v>30</v>
      </c>
      <c r="P1391" t="n">
        <v>952</v>
      </c>
      <c r="Q1391" t="n">
        <v>1002</v>
      </c>
      <c r="R1391" t="n">
        <v>4.183</v>
      </c>
      <c r="S1391" t="n">
        <v>79.652</v>
      </c>
      <c r="T1391" t="n">
        <v>19.043</v>
      </c>
      <c r="U1391" t="n">
        <v>0.7778</v>
      </c>
      <c r="V1391" t="b">
        <v>1</v>
      </c>
      <c r="X1391" t="b">
        <v>0</v>
      </c>
      <c r="Y1391" t="inlineStr">
        <is>
          <t>FLAS</t>
        </is>
      </c>
      <c r="Z1391" t="n">
        <v>935</v>
      </c>
      <c r="AA1391" t="n">
        <v>2.5</v>
      </c>
      <c r="AB1391" t="n">
        <v>9.5</v>
      </c>
    </row>
    <row r="1392">
      <c r="A1392" t="inlineStr">
        <is>
          <t>2026-09-24 16:35:24</t>
        </is>
      </c>
      <c r="B1392" t="inlineStr">
        <is>
          <t>MLLB_000_y1.0.3</t>
        </is>
      </c>
      <c r="C1392" t="inlineStr">
        <is>
          <t>WHITE</t>
        </is>
      </c>
      <c r="D1392" t="inlineStr">
        <is>
          <t>v4_white_MLLB_000_y103_0924</t>
        </is>
      </c>
      <c r="E1392" t="n">
        <v>3.2</v>
      </c>
      <c r="F1392" t="n">
        <v>3.208</v>
      </c>
      <c r="G1392" t="n">
        <v>10</v>
      </c>
      <c r="H1392" t="n">
        <v>60</v>
      </c>
      <c r="J1392" t="inlineStr">
        <is>
          <t>bitti</t>
        </is>
      </c>
      <c r="K1392" t="b">
        <v>0</v>
      </c>
      <c r="Z1392" t="n">
        <v>935</v>
      </c>
      <c r="AA1392" t="n">
        <v>2.5</v>
      </c>
      <c r="AB1392" t="n">
        <v>9.5</v>
      </c>
    </row>
    <row r="1393">
      <c r="A1393" t="inlineStr">
        <is>
          <t>2026-09-24 16:35:46</t>
        </is>
      </c>
      <c r="B1393" t="inlineStr">
        <is>
          <t>MLLB_000_y1.0.3</t>
        </is>
      </c>
      <c r="C1393" t="inlineStr">
        <is>
          <t>WHITE</t>
        </is>
      </c>
      <c r="D1393" t="inlineStr">
        <is>
          <t>v4_white_MLLB_000_y103_0924</t>
        </is>
      </c>
      <c r="E1393" t="n">
        <v>3.2</v>
      </c>
      <c r="F1393" t="n">
        <v>3.208</v>
      </c>
      <c r="G1393" t="n">
        <v>15</v>
      </c>
      <c r="H1393" t="n">
        <v>100</v>
      </c>
      <c r="I1393" t="n">
        <v>12</v>
      </c>
      <c r="J1393" t="inlineStr">
        <is>
          <t>kaba</t>
        </is>
      </c>
      <c r="K1393" t="b">
        <v>1</v>
      </c>
      <c r="M1393" t="n">
        <v>118</v>
      </c>
      <c r="N1393" t="n">
        <v>32</v>
      </c>
      <c r="O1393" t="n">
        <v>98</v>
      </c>
      <c r="P1393" t="n">
        <v>884</v>
      </c>
      <c r="Q1393" t="n">
        <v>1002</v>
      </c>
      <c r="R1393" t="n">
        <v>1.12</v>
      </c>
      <c r="S1393" t="n">
        <v>35.418</v>
      </c>
      <c r="T1393" t="n">
        <v>31.612</v>
      </c>
      <c r="U1393" t="n">
        <v>0.7779</v>
      </c>
      <c r="V1393" t="b">
        <v>1</v>
      </c>
      <c r="X1393" t="b">
        <v>0</v>
      </c>
      <c r="Y1393" t="inlineStr">
        <is>
          <t>ON</t>
        </is>
      </c>
      <c r="Z1393" t="n">
        <v>935</v>
      </c>
      <c r="AA1393" t="n">
        <v>2.5</v>
      </c>
      <c r="AB1393" t="n">
        <v>9.5</v>
      </c>
    </row>
    <row r="1394">
      <c r="A1394" t="inlineStr">
        <is>
          <t>2026-09-24 16:36:02</t>
        </is>
      </c>
      <c r="B1394" t="inlineStr">
        <is>
          <t>MLLB_000_y1.0.3</t>
        </is>
      </c>
      <c r="C1394" t="inlineStr">
        <is>
          <t>WHITE</t>
        </is>
      </c>
      <c r="D1394" t="inlineStr">
        <is>
          <t>v4_white_MLLB_000_y103_0924</t>
        </is>
      </c>
      <c r="E1394" t="n">
        <v>3.2</v>
      </c>
      <c r="F1394" t="n">
        <v>3.208</v>
      </c>
      <c r="G1394" t="n">
        <v>15</v>
      </c>
      <c r="H1394" t="n">
        <v>100</v>
      </c>
      <c r="I1394" t="n">
        <v>16</v>
      </c>
      <c r="J1394" t="inlineStr">
        <is>
          <t>kaba</t>
        </is>
      </c>
      <c r="K1394" t="b">
        <v>1</v>
      </c>
      <c r="M1394" t="n">
        <v>94</v>
      </c>
      <c r="N1394" t="n">
        <v>32</v>
      </c>
      <c r="O1394" t="n">
        <v>74</v>
      </c>
      <c r="P1394" t="n">
        <v>908</v>
      </c>
      <c r="Q1394" t="n">
        <v>1002</v>
      </c>
      <c r="R1394" t="n">
        <v>1.128</v>
      </c>
      <c r="S1394" t="n">
        <v>35.67</v>
      </c>
      <c r="T1394" t="n">
        <v>31.611</v>
      </c>
      <c r="U1394" t="n">
        <v>0.7778</v>
      </c>
      <c r="V1394" t="b">
        <v>1</v>
      </c>
      <c r="X1394" t="b">
        <v>0</v>
      </c>
      <c r="Y1394" t="inlineStr">
        <is>
          <t>ON</t>
        </is>
      </c>
      <c r="Z1394" t="n">
        <v>935</v>
      </c>
      <c r="AA1394" t="n">
        <v>2.5</v>
      </c>
      <c r="AB1394" t="n">
        <v>9.5</v>
      </c>
    </row>
    <row r="1395">
      <c r="A1395" t="inlineStr">
        <is>
          <t>2026-09-24 16:36:17</t>
        </is>
      </c>
      <c r="B1395" t="inlineStr">
        <is>
          <t>MLLB_000_y1.0.3</t>
        </is>
      </c>
      <c r="C1395" t="inlineStr">
        <is>
          <t>WHITE</t>
        </is>
      </c>
      <c r="D1395" t="inlineStr">
        <is>
          <t>v4_white_MLLB_000_y103_0924</t>
        </is>
      </c>
      <c r="E1395" t="n">
        <v>3.2</v>
      </c>
      <c r="F1395" t="n">
        <v>3.208</v>
      </c>
      <c r="G1395" t="n">
        <v>15</v>
      </c>
      <c r="H1395" t="n">
        <v>100</v>
      </c>
      <c r="I1395" t="n">
        <v>20</v>
      </c>
      <c r="J1395" t="inlineStr">
        <is>
          <t>kaba</t>
        </is>
      </c>
      <c r="K1395" t="b">
        <v>1</v>
      </c>
      <c r="M1395" t="n">
        <v>70</v>
      </c>
      <c r="N1395" t="n">
        <v>34</v>
      </c>
      <c r="O1395" t="n">
        <v>50</v>
      </c>
      <c r="P1395" t="n">
        <v>932</v>
      </c>
      <c r="Q1395" t="n">
        <v>1002</v>
      </c>
      <c r="R1395" t="n">
        <v>1.124</v>
      </c>
      <c r="S1395" t="n">
        <v>35.568</v>
      </c>
      <c r="T1395" t="n">
        <v>31.639</v>
      </c>
      <c r="U1395" t="n">
        <v>0.778</v>
      </c>
      <c r="V1395" t="b">
        <v>1</v>
      </c>
      <c r="X1395" t="b">
        <v>0</v>
      </c>
      <c r="Y1395" t="inlineStr">
        <is>
          <t>ON</t>
        </is>
      </c>
      <c r="Z1395" t="n">
        <v>935</v>
      </c>
      <c r="AA1395" t="n">
        <v>2.5</v>
      </c>
      <c r="AB1395" t="n">
        <v>9.5</v>
      </c>
    </row>
    <row r="1396">
      <c r="A1396" t="inlineStr">
        <is>
          <t>2026-09-24 16:36:34</t>
        </is>
      </c>
      <c r="B1396" t="inlineStr">
        <is>
          <t>MLLB_000_y1.0.3</t>
        </is>
      </c>
      <c r="C1396" t="inlineStr">
        <is>
          <t>WHITE</t>
        </is>
      </c>
      <c r="D1396" t="inlineStr">
        <is>
          <t>v4_white_MLLB_000_y103_0924</t>
        </is>
      </c>
      <c r="E1396" t="n">
        <v>3.2</v>
      </c>
      <c r="F1396" t="n">
        <v>3.208</v>
      </c>
      <c r="G1396" t="n">
        <v>15</v>
      </c>
      <c r="H1396" t="n">
        <v>100</v>
      </c>
      <c r="I1396" t="n">
        <v>24</v>
      </c>
      <c r="J1396" t="inlineStr">
        <is>
          <t>kaba</t>
        </is>
      </c>
      <c r="K1396" t="b">
        <v>1</v>
      </c>
      <c r="M1396" t="n">
        <v>44</v>
      </c>
      <c r="N1396" t="n">
        <v>30</v>
      </c>
      <c r="O1396" t="n">
        <v>24</v>
      </c>
      <c r="P1396" t="n">
        <v>958</v>
      </c>
      <c r="Q1396" t="n">
        <v>1002</v>
      </c>
      <c r="R1396" t="n">
        <v>1.132</v>
      </c>
      <c r="S1396" t="n">
        <v>35.86</v>
      </c>
      <c r="T1396" t="n">
        <v>31.681</v>
      </c>
      <c r="U1396" t="n">
        <v>0.7778</v>
      </c>
      <c r="V1396" t="b">
        <v>1</v>
      </c>
      <c r="X1396" t="b">
        <v>1</v>
      </c>
      <c r="Z1396" t="n">
        <v>935</v>
      </c>
      <c r="AA1396" t="n">
        <v>2.5</v>
      </c>
      <c r="AB1396" t="n">
        <v>9.5</v>
      </c>
    </row>
    <row r="1397">
      <c r="A1397" t="inlineStr">
        <is>
          <t>2026-09-24 16:36:50</t>
        </is>
      </c>
      <c r="B1397" t="inlineStr">
        <is>
          <t>MLLB_000_y1.0.3</t>
        </is>
      </c>
      <c r="C1397" t="inlineStr">
        <is>
          <t>WHITE</t>
        </is>
      </c>
      <c r="D1397" t="inlineStr">
        <is>
          <t>v4_white_MLLB_000_y103_0924</t>
        </is>
      </c>
      <c r="E1397" t="n">
        <v>3.2</v>
      </c>
      <c r="F1397" t="n">
        <v>3.208</v>
      </c>
      <c r="G1397" t="n">
        <v>15</v>
      </c>
      <c r="H1397" t="n">
        <v>100</v>
      </c>
      <c r="I1397" t="n">
        <v>28</v>
      </c>
      <c r="J1397" t="inlineStr">
        <is>
          <t>kaba</t>
        </is>
      </c>
      <c r="K1397" t="b">
        <v>1</v>
      </c>
      <c r="M1397" t="n">
        <v>34</v>
      </c>
      <c r="N1397" t="n">
        <v>28</v>
      </c>
      <c r="O1397" t="n">
        <v>14</v>
      </c>
      <c r="P1397" t="n">
        <v>968</v>
      </c>
      <c r="Q1397" t="n">
        <v>1002</v>
      </c>
      <c r="R1397" t="n">
        <v>1.123</v>
      </c>
      <c r="S1397" t="n">
        <v>35.611</v>
      </c>
      <c r="T1397" t="n">
        <v>31.697</v>
      </c>
      <c r="U1397" t="n">
        <v>0.7776999999999999</v>
      </c>
      <c r="V1397" t="b">
        <v>1</v>
      </c>
      <c r="X1397" t="b">
        <v>1</v>
      </c>
      <c r="Z1397" t="n">
        <v>935</v>
      </c>
      <c r="AA1397" t="n">
        <v>2.5</v>
      </c>
      <c r="AB1397" t="n">
        <v>9.5</v>
      </c>
    </row>
    <row r="1398">
      <c r="A1398" t="inlineStr">
        <is>
          <t>2026-09-24 16:37:06</t>
        </is>
      </c>
      <c r="B1398" t="inlineStr">
        <is>
          <t>MLLB_000_y1.0.3</t>
        </is>
      </c>
      <c r="C1398" t="inlineStr">
        <is>
          <t>WHITE</t>
        </is>
      </c>
      <c r="D1398" t="inlineStr">
        <is>
          <t>v4_white_MLLB_000_y103_0924</t>
        </is>
      </c>
      <c r="E1398" t="n">
        <v>3.2</v>
      </c>
      <c r="F1398" t="n">
        <v>3.208</v>
      </c>
      <c r="G1398" t="n">
        <v>15</v>
      </c>
      <c r="H1398" t="n">
        <v>100</v>
      </c>
      <c r="I1398" t="n">
        <v>32</v>
      </c>
      <c r="J1398" t="inlineStr">
        <is>
          <t>kaba</t>
        </is>
      </c>
      <c r="K1398" t="b">
        <v>1</v>
      </c>
      <c r="M1398" t="n">
        <v>34</v>
      </c>
      <c r="N1398" t="n">
        <v>28</v>
      </c>
      <c r="O1398" t="n">
        <v>14</v>
      </c>
      <c r="P1398" t="n">
        <v>968</v>
      </c>
      <c r="Q1398" t="n">
        <v>1002</v>
      </c>
      <c r="R1398" t="n">
        <v>5.629</v>
      </c>
      <c r="S1398" t="n">
        <v>185.572</v>
      </c>
      <c r="T1398" t="n">
        <v>32.967</v>
      </c>
      <c r="U1398" t="n">
        <v>0.7785</v>
      </c>
      <c r="V1398" t="b">
        <v>1</v>
      </c>
      <c r="X1398" t="b">
        <v>0</v>
      </c>
      <c r="Y1398" t="inlineStr">
        <is>
          <t>FLAS</t>
        </is>
      </c>
      <c r="Z1398" t="n">
        <v>935</v>
      </c>
      <c r="AA1398" t="n">
        <v>2.5</v>
      </c>
      <c r="AB1398" t="n">
        <v>9.5</v>
      </c>
    </row>
    <row r="1399">
      <c r="A1399" t="inlineStr">
        <is>
          <t>2026-09-24 16:37:22</t>
        </is>
      </c>
      <c r="B1399" t="inlineStr">
        <is>
          <t>MLLB_000_y1.0.3</t>
        </is>
      </c>
      <c r="C1399" t="inlineStr">
        <is>
          <t>WHITE</t>
        </is>
      </c>
      <c r="D1399" t="inlineStr">
        <is>
          <t>v4_white_MLLB_000_y103_0924</t>
        </is>
      </c>
      <c r="E1399" t="n">
        <v>3.2</v>
      </c>
      <c r="F1399" t="n">
        <v>3.208</v>
      </c>
      <c r="G1399" t="n">
        <v>15</v>
      </c>
      <c r="H1399" t="n">
        <v>100</v>
      </c>
      <c r="I1399" t="n">
        <v>36</v>
      </c>
      <c r="J1399" t="inlineStr">
        <is>
          <t>kaba</t>
        </is>
      </c>
      <c r="K1399" t="b">
        <v>1</v>
      </c>
      <c r="M1399" t="n">
        <v>34</v>
      </c>
      <c r="N1399" t="n">
        <v>28</v>
      </c>
      <c r="O1399" t="n">
        <v>14</v>
      </c>
      <c r="P1399" t="n">
        <v>968</v>
      </c>
      <c r="Q1399" t="n">
        <v>1002</v>
      </c>
      <c r="R1399" t="n">
        <v>6.954</v>
      </c>
      <c r="S1399" t="n">
        <v>220.019</v>
      </c>
      <c r="T1399" t="n">
        <v>31.637</v>
      </c>
      <c r="U1399" t="n">
        <v>0.7776</v>
      </c>
      <c r="V1399" t="b">
        <v>1</v>
      </c>
      <c r="X1399" t="b">
        <v>0</v>
      </c>
      <c r="Y1399" t="inlineStr">
        <is>
          <t>FLAS</t>
        </is>
      </c>
      <c r="Z1399" t="n">
        <v>935</v>
      </c>
      <c r="AA1399" t="n">
        <v>2.5</v>
      </c>
      <c r="AB1399" t="n">
        <v>9.5</v>
      </c>
    </row>
    <row r="1400">
      <c r="A1400" t="inlineStr">
        <is>
          <t>2026-09-24 16:37:38</t>
        </is>
      </c>
      <c r="B1400" t="inlineStr">
        <is>
          <t>MLLB_000_y1.0.3</t>
        </is>
      </c>
      <c r="C1400" t="inlineStr">
        <is>
          <t>WHITE</t>
        </is>
      </c>
      <c r="D1400" t="inlineStr">
        <is>
          <t>v4_white_MLLB_000_y103_0924</t>
        </is>
      </c>
      <c r="E1400" t="n">
        <v>3.2</v>
      </c>
      <c r="F1400" t="n">
        <v>3.208</v>
      </c>
      <c r="G1400" t="n">
        <v>15</v>
      </c>
      <c r="H1400" t="n">
        <v>100</v>
      </c>
      <c r="I1400" t="n">
        <v>21</v>
      </c>
      <c r="J1400" t="inlineStr">
        <is>
          <t>ince</t>
        </is>
      </c>
      <c r="K1400" t="b">
        <v>1</v>
      </c>
      <c r="M1400" t="n">
        <v>64</v>
      </c>
      <c r="N1400" t="n">
        <v>32</v>
      </c>
      <c r="O1400" t="n">
        <v>42</v>
      </c>
      <c r="P1400" t="n">
        <v>938</v>
      </c>
      <c r="Q1400" t="n">
        <v>1002</v>
      </c>
      <c r="R1400" t="n">
        <v>1.123</v>
      </c>
      <c r="S1400" t="n">
        <v>35.559</v>
      </c>
      <c r="T1400" t="n">
        <v>31.665</v>
      </c>
      <c r="U1400" t="n">
        <v>0.7785</v>
      </c>
      <c r="V1400" t="b">
        <v>1</v>
      </c>
      <c r="X1400" t="b">
        <v>1</v>
      </c>
      <c r="Z1400" t="n">
        <v>935</v>
      </c>
      <c r="AA1400" t="n">
        <v>2.5</v>
      </c>
      <c r="AB1400" t="n">
        <v>9.5</v>
      </c>
    </row>
    <row r="1401">
      <c r="A1401" t="inlineStr">
        <is>
          <t>2026-09-24 16:37:54</t>
        </is>
      </c>
      <c r="B1401" t="inlineStr">
        <is>
          <t>MLLB_000_y1.0.3</t>
        </is>
      </c>
      <c r="C1401" t="inlineStr">
        <is>
          <t>WHITE</t>
        </is>
      </c>
      <c r="D1401" t="inlineStr">
        <is>
          <t>v4_white_MLLB_000_y103_0924</t>
        </is>
      </c>
      <c r="E1401" t="n">
        <v>3.2</v>
      </c>
      <c r="F1401" t="n">
        <v>3.208</v>
      </c>
      <c r="G1401" t="n">
        <v>15</v>
      </c>
      <c r="H1401" t="n">
        <v>100</v>
      </c>
      <c r="I1401" t="n">
        <v>22</v>
      </c>
      <c r="J1401" t="inlineStr">
        <is>
          <t>ince</t>
        </is>
      </c>
      <c r="K1401" t="b">
        <v>1</v>
      </c>
      <c r="M1401" t="n">
        <v>58</v>
      </c>
      <c r="N1401" t="n">
        <v>28</v>
      </c>
      <c r="O1401" t="n">
        <v>38</v>
      </c>
      <c r="P1401" t="n">
        <v>944</v>
      </c>
      <c r="Q1401" t="n">
        <v>1002</v>
      </c>
      <c r="R1401" t="n">
        <v>1.115</v>
      </c>
      <c r="S1401" t="n">
        <v>35.333</v>
      </c>
      <c r="T1401" t="n">
        <v>31.691</v>
      </c>
      <c r="U1401" t="n">
        <v>0.7776999999999999</v>
      </c>
      <c r="V1401" t="b">
        <v>1</v>
      </c>
      <c r="X1401" t="b">
        <v>1</v>
      </c>
      <c r="Z1401" t="n">
        <v>935</v>
      </c>
      <c r="AA1401" t="n">
        <v>2.5</v>
      </c>
      <c r="AB1401" t="n">
        <v>9.5</v>
      </c>
    </row>
    <row r="1402">
      <c r="A1402" t="inlineStr">
        <is>
          <t>2026-09-24 16:38:10</t>
        </is>
      </c>
      <c r="B1402" t="inlineStr">
        <is>
          <t>MLLB_000_y1.0.3</t>
        </is>
      </c>
      <c r="C1402" t="inlineStr">
        <is>
          <t>WHITE</t>
        </is>
      </c>
      <c r="D1402" t="inlineStr">
        <is>
          <t>v4_white_MLLB_000_y103_0924</t>
        </is>
      </c>
      <c r="E1402" t="n">
        <v>3.2</v>
      </c>
      <c r="F1402" t="n">
        <v>3.208</v>
      </c>
      <c r="G1402" t="n">
        <v>15</v>
      </c>
      <c r="H1402" t="n">
        <v>100</v>
      </c>
      <c r="I1402" t="n">
        <v>23</v>
      </c>
      <c r="J1402" t="inlineStr">
        <is>
          <t>ince</t>
        </is>
      </c>
      <c r="K1402" t="b">
        <v>1</v>
      </c>
      <c r="M1402" t="n">
        <v>52</v>
      </c>
      <c r="N1402" t="n">
        <v>32</v>
      </c>
      <c r="O1402" t="n">
        <v>30</v>
      </c>
      <c r="P1402" t="n">
        <v>950</v>
      </c>
      <c r="Q1402" t="n">
        <v>1002</v>
      </c>
      <c r="R1402" t="n">
        <v>1.123</v>
      </c>
      <c r="S1402" t="n">
        <v>35.559</v>
      </c>
      <c r="T1402" t="n">
        <v>31.668</v>
      </c>
      <c r="U1402" t="n">
        <v>0.7778</v>
      </c>
      <c r="V1402" t="b">
        <v>1</v>
      </c>
      <c r="X1402" t="b">
        <v>1</v>
      </c>
      <c r="Z1402" t="n">
        <v>935</v>
      </c>
      <c r="AA1402" t="n">
        <v>2.5</v>
      </c>
      <c r="AB1402" t="n">
        <v>9.5</v>
      </c>
    </row>
    <row r="1403">
      <c r="A1403" t="inlineStr">
        <is>
          <t>2026-09-24 16:38:10</t>
        </is>
      </c>
      <c r="B1403" t="inlineStr">
        <is>
          <t>MLLB_000_y1.0.3</t>
        </is>
      </c>
      <c r="C1403" t="inlineStr">
        <is>
          <t>WHITE</t>
        </is>
      </c>
      <c r="D1403" t="inlineStr">
        <is>
          <t>v4_white_MLLB_000_y103_0924</t>
        </is>
      </c>
      <c r="E1403" t="n">
        <v>3.2</v>
      </c>
      <c r="F1403" t="n">
        <v>3.208</v>
      </c>
      <c r="G1403" t="n">
        <v>15</v>
      </c>
      <c r="H1403" t="n">
        <v>100</v>
      </c>
      <c r="I1403" t="n">
        <v>25</v>
      </c>
      <c r="J1403" t="inlineStr">
        <is>
          <t>ince</t>
        </is>
      </c>
      <c r="K1403" t="b">
        <v>0</v>
      </c>
      <c r="L1403" t="inlineStr">
        <is>
          <t>iki-OK-arasi-monotonluk</t>
        </is>
      </c>
      <c r="X1403" t="b">
        <v>1</v>
      </c>
      <c r="Z1403" t="n">
        <v>935</v>
      </c>
      <c r="AA1403" t="n">
        <v>2.5</v>
      </c>
      <c r="AB1403" t="n">
        <v>9.5</v>
      </c>
    </row>
    <row r="1404">
      <c r="A1404" t="inlineStr">
        <is>
          <t>2026-09-24 16:38:10</t>
        </is>
      </c>
      <c r="B1404" t="inlineStr">
        <is>
          <t>MLLB_000_y1.0.3</t>
        </is>
      </c>
      <c r="C1404" t="inlineStr">
        <is>
          <t>WHITE</t>
        </is>
      </c>
      <c r="D1404" t="inlineStr">
        <is>
          <t>v4_white_MLLB_000_y103_0924</t>
        </is>
      </c>
      <c r="E1404" t="n">
        <v>3.2</v>
      </c>
      <c r="F1404" t="n">
        <v>3.208</v>
      </c>
      <c r="G1404" t="n">
        <v>15</v>
      </c>
      <c r="H1404" t="n">
        <v>100</v>
      </c>
      <c r="I1404" t="n">
        <v>26</v>
      </c>
      <c r="J1404" t="inlineStr">
        <is>
          <t>ince</t>
        </is>
      </c>
      <c r="K1404" t="b">
        <v>0</v>
      </c>
      <c r="L1404" t="inlineStr">
        <is>
          <t>iki-OK-arasi-monotonluk</t>
        </is>
      </c>
      <c r="X1404" t="b">
        <v>1</v>
      </c>
      <c r="Z1404" t="n">
        <v>935</v>
      </c>
      <c r="AA1404" t="n">
        <v>2.5</v>
      </c>
      <c r="AB1404" t="n">
        <v>9.5</v>
      </c>
    </row>
    <row r="1405">
      <c r="A1405" t="inlineStr">
        <is>
          <t>2026-09-24 16:38:10</t>
        </is>
      </c>
      <c r="B1405" t="inlineStr">
        <is>
          <t>MLLB_000_y1.0.3</t>
        </is>
      </c>
      <c r="C1405" t="inlineStr">
        <is>
          <t>WHITE</t>
        </is>
      </c>
      <c r="D1405" t="inlineStr">
        <is>
          <t>v4_white_MLLB_000_y103_0924</t>
        </is>
      </c>
      <c r="E1405" t="n">
        <v>3.2</v>
      </c>
      <c r="F1405" t="n">
        <v>3.208</v>
      </c>
      <c r="G1405" t="n">
        <v>15</v>
      </c>
      <c r="H1405" t="n">
        <v>100</v>
      </c>
      <c r="I1405" t="n">
        <v>27</v>
      </c>
      <c r="J1405" t="inlineStr">
        <is>
          <t>ince</t>
        </is>
      </c>
      <c r="K1405" t="b">
        <v>0</v>
      </c>
      <c r="L1405" t="inlineStr">
        <is>
          <t>iki-OK-arasi-monotonluk</t>
        </is>
      </c>
      <c r="X1405" t="b">
        <v>1</v>
      </c>
      <c r="Z1405" t="n">
        <v>935</v>
      </c>
      <c r="AA1405" t="n">
        <v>2.5</v>
      </c>
      <c r="AB1405" t="n">
        <v>9.5</v>
      </c>
    </row>
    <row r="1406">
      <c r="A1406" t="inlineStr">
        <is>
          <t>2026-09-24 16:38:25</t>
        </is>
      </c>
      <c r="B1406" t="inlineStr">
        <is>
          <t>MLLB_000_y1.0.3</t>
        </is>
      </c>
      <c r="C1406" t="inlineStr">
        <is>
          <t>WHITE</t>
        </is>
      </c>
      <c r="D1406" t="inlineStr">
        <is>
          <t>v4_white_MLLB_000_y103_0924</t>
        </is>
      </c>
      <c r="E1406" t="n">
        <v>3.2</v>
      </c>
      <c r="F1406" t="n">
        <v>3.208</v>
      </c>
      <c r="G1406" t="n">
        <v>15</v>
      </c>
      <c r="H1406" t="n">
        <v>100</v>
      </c>
      <c r="I1406" t="n">
        <v>29</v>
      </c>
      <c r="J1406" t="inlineStr">
        <is>
          <t>ince</t>
        </is>
      </c>
      <c r="K1406" t="b">
        <v>1</v>
      </c>
      <c r="M1406" t="n">
        <v>34</v>
      </c>
      <c r="N1406" t="n">
        <v>28</v>
      </c>
      <c r="O1406" t="n">
        <v>14</v>
      </c>
      <c r="P1406" t="n">
        <v>968</v>
      </c>
      <c r="Q1406" t="n">
        <v>1002</v>
      </c>
      <c r="R1406" t="n">
        <v>1.676</v>
      </c>
      <c r="S1406" t="n">
        <v>53.091</v>
      </c>
      <c r="T1406" t="n">
        <v>31.68</v>
      </c>
      <c r="U1406" t="n">
        <v>0.7776</v>
      </c>
      <c r="V1406" t="b">
        <v>1</v>
      </c>
      <c r="X1406" t="b">
        <v>1</v>
      </c>
      <c r="Z1406" t="n">
        <v>935</v>
      </c>
      <c r="AA1406" t="n">
        <v>2.5</v>
      </c>
      <c r="AB1406" t="n">
        <v>9.5</v>
      </c>
    </row>
    <row r="1407">
      <c r="A1407" t="inlineStr">
        <is>
          <t>2026-09-24 16:38:42</t>
        </is>
      </c>
      <c r="B1407" t="inlineStr">
        <is>
          <t>MLLB_000_y1.0.3</t>
        </is>
      </c>
      <c r="C1407" t="inlineStr">
        <is>
          <t>WHITE</t>
        </is>
      </c>
      <c r="D1407" t="inlineStr">
        <is>
          <t>v4_white_MLLB_000_y103_0924</t>
        </is>
      </c>
      <c r="E1407" t="n">
        <v>3.2</v>
      </c>
      <c r="F1407" t="n">
        <v>3.208</v>
      </c>
      <c r="G1407" t="n">
        <v>15</v>
      </c>
      <c r="H1407" t="n">
        <v>100</v>
      </c>
      <c r="I1407" t="n">
        <v>30</v>
      </c>
      <c r="J1407" t="inlineStr">
        <is>
          <t>ince</t>
        </is>
      </c>
      <c r="K1407" t="b">
        <v>1</v>
      </c>
      <c r="M1407" t="n">
        <v>34</v>
      </c>
      <c r="N1407" t="n">
        <v>28</v>
      </c>
      <c r="O1407" t="n">
        <v>14</v>
      </c>
      <c r="P1407" t="n">
        <v>968</v>
      </c>
      <c r="Q1407" t="n">
        <v>1002</v>
      </c>
      <c r="R1407" t="n">
        <v>3.752</v>
      </c>
      <c r="S1407" t="n">
        <v>118.772</v>
      </c>
      <c r="T1407" t="n">
        <v>31.66</v>
      </c>
      <c r="U1407" t="n">
        <v>0.7779</v>
      </c>
      <c r="V1407" t="b">
        <v>1</v>
      </c>
      <c r="X1407" t="b">
        <v>0</v>
      </c>
      <c r="Y1407" t="inlineStr">
        <is>
          <t>FLAS</t>
        </is>
      </c>
      <c r="Z1407" t="n">
        <v>935</v>
      </c>
      <c r="AA1407" t="n">
        <v>2.5</v>
      </c>
      <c r="AB1407" t="n">
        <v>9.5</v>
      </c>
    </row>
    <row r="1408">
      <c r="A1408" t="inlineStr">
        <is>
          <t>2026-09-24 16:38:58</t>
        </is>
      </c>
      <c r="B1408" t="inlineStr">
        <is>
          <t>MLLB_000_y1.0.3</t>
        </is>
      </c>
      <c r="C1408" t="inlineStr">
        <is>
          <t>WHITE</t>
        </is>
      </c>
      <c r="D1408" t="inlineStr">
        <is>
          <t>v4_white_MLLB_000_y103_0924</t>
        </is>
      </c>
      <c r="E1408" t="n">
        <v>3.2</v>
      </c>
      <c r="F1408" t="n">
        <v>3.208</v>
      </c>
      <c r="G1408" t="n">
        <v>15</v>
      </c>
      <c r="H1408" t="n">
        <v>100</v>
      </c>
      <c r="I1408" t="n">
        <v>31</v>
      </c>
      <c r="J1408" t="inlineStr">
        <is>
          <t>ince</t>
        </is>
      </c>
      <c r="K1408" t="b">
        <v>1</v>
      </c>
      <c r="M1408" t="n">
        <v>34</v>
      </c>
      <c r="N1408" t="n">
        <v>28</v>
      </c>
      <c r="O1408" t="n">
        <v>14</v>
      </c>
      <c r="P1408" t="n">
        <v>968</v>
      </c>
      <c r="Q1408" t="n">
        <v>1002</v>
      </c>
      <c r="R1408" t="n">
        <v>5.256</v>
      </c>
      <c r="S1408" t="n">
        <v>166.518</v>
      </c>
      <c r="T1408" t="n">
        <v>31.683</v>
      </c>
      <c r="U1408" t="n">
        <v>0.7783</v>
      </c>
      <c r="V1408" t="b">
        <v>1</v>
      </c>
      <c r="X1408" t="b">
        <v>0</v>
      </c>
      <c r="Y1408" t="inlineStr">
        <is>
          <t>FLAS</t>
        </is>
      </c>
      <c r="Z1408" t="n">
        <v>935</v>
      </c>
      <c r="AA1408" t="n">
        <v>2.5</v>
      </c>
      <c r="AB1408" t="n">
        <v>9.5</v>
      </c>
    </row>
    <row r="1409">
      <c r="A1409" t="inlineStr">
        <is>
          <t>2026-09-24 16:38:58</t>
        </is>
      </c>
      <c r="B1409" t="inlineStr">
        <is>
          <t>MLLB_000_y1.0.3</t>
        </is>
      </c>
      <c r="C1409" t="inlineStr">
        <is>
          <t>WHITE</t>
        </is>
      </c>
      <c r="D1409" t="inlineStr">
        <is>
          <t>v4_white_MLLB_000_y103_0924</t>
        </is>
      </c>
      <c r="E1409" t="n">
        <v>3.2</v>
      </c>
      <c r="F1409" t="n">
        <v>3.208</v>
      </c>
      <c r="G1409" t="n">
        <v>15</v>
      </c>
      <c r="H1409" t="n">
        <v>100</v>
      </c>
      <c r="J1409" t="inlineStr">
        <is>
          <t>bitti</t>
        </is>
      </c>
      <c r="K1409" t="b">
        <v>0</v>
      </c>
      <c r="Z1409" t="n">
        <v>935</v>
      </c>
      <c r="AA1409" t="n">
        <v>2.5</v>
      </c>
      <c r="AB1409" t="n">
        <v>9.5</v>
      </c>
    </row>
    <row r="1410">
      <c r="A1410" t="inlineStr">
        <is>
          <t>2026-09-24 16:39:14</t>
        </is>
      </c>
      <c r="B1410" t="inlineStr">
        <is>
          <t>MLLB_000_y1.0.3</t>
        </is>
      </c>
      <c r="C1410" t="inlineStr">
        <is>
          <t>WHITE</t>
        </is>
      </c>
      <c r="D1410" t="inlineStr">
        <is>
          <t>v4_white_MLLB_000_y103_0924</t>
        </is>
      </c>
      <c r="E1410" t="n">
        <v>3.2</v>
      </c>
      <c r="F1410" t="n">
        <v>3.208</v>
      </c>
      <c r="G1410" t="n">
        <v>15</v>
      </c>
      <c r="H1410" t="n">
        <v>80</v>
      </c>
      <c r="I1410" t="n">
        <v>12</v>
      </c>
      <c r="J1410" t="inlineStr">
        <is>
          <t>kaba</t>
        </is>
      </c>
      <c r="K1410" t="b">
        <v>1</v>
      </c>
      <c r="M1410" t="n">
        <v>132</v>
      </c>
      <c r="N1410" t="n">
        <v>30</v>
      </c>
      <c r="O1410" t="n">
        <v>112</v>
      </c>
      <c r="P1410" t="n">
        <v>870</v>
      </c>
      <c r="Q1410" t="n">
        <v>1002</v>
      </c>
      <c r="R1410" t="n">
        <v>1.124</v>
      </c>
      <c r="S1410" t="n">
        <v>35.456</v>
      </c>
      <c r="T1410" t="n">
        <v>31.555</v>
      </c>
      <c r="U1410" t="n">
        <v>0.7775</v>
      </c>
      <c r="V1410" t="b">
        <v>1</v>
      </c>
      <c r="X1410" t="b">
        <v>0</v>
      </c>
      <c r="Y1410" t="inlineStr">
        <is>
          <t>ON</t>
        </is>
      </c>
      <c r="Z1410" t="n">
        <v>935</v>
      </c>
      <c r="AA1410" t="n">
        <v>2.5</v>
      </c>
      <c r="AB1410" t="n">
        <v>9.5</v>
      </c>
    </row>
    <row r="1411">
      <c r="A1411" t="inlineStr">
        <is>
          <t>2026-09-24 16:39:30</t>
        </is>
      </c>
      <c r="B1411" t="inlineStr">
        <is>
          <t>MLLB_000_y1.0.3</t>
        </is>
      </c>
      <c r="C1411" t="inlineStr">
        <is>
          <t>WHITE</t>
        </is>
      </c>
      <c r="D1411" t="inlineStr">
        <is>
          <t>v4_white_MLLB_000_y103_0924</t>
        </is>
      </c>
      <c r="E1411" t="n">
        <v>3.2</v>
      </c>
      <c r="F1411" t="n">
        <v>3.208</v>
      </c>
      <c r="G1411" t="n">
        <v>15</v>
      </c>
      <c r="H1411" t="n">
        <v>80</v>
      </c>
      <c r="I1411" t="n">
        <v>16</v>
      </c>
      <c r="J1411" t="inlineStr">
        <is>
          <t>kaba</t>
        </is>
      </c>
      <c r="K1411" t="b">
        <v>1</v>
      </c>
      <c r="M1411" t="n">
        <v>112</v>
      </c>
      <c r="N1411" t="n">
        <v>28</v>
      </c>
      <c r="O1411" t="n">
        <v>94</v>
      </c>
      <c r="P1411" t="n">
        <v>890</v>
      </c>
      <c r="Q1411" t="n">
        <v>1002</v>
      </c>
      <c r="R1411" t="n">
        <v>1.119</v>
      </c>
      <c r="S1411" t="n">
        <v>35.353</v>
      </c>
      <c r="T1411" t="n">
        <v>31.59</v>
      </c>
      <c r="U1411" t="n">
        <v>0.7784</v>
      </c>
      <c r="V1411" t="b">
        <v>1</v>
      </c>
      <c r="X1411" t="b">
        <v>0</v>
      </c>
      <c r="Y1411" t="inlineStr">
        <is>
          <t>ON</t>
        </is>
      </c>
      <c r="Z1411" t="n">
        <v>935</v>
      </c>
      <c r="AA1411" t="n">
        <v>2.5</v>
      </c>
      <c r="AB1411" t="n">
        <v>9.5</v>
      </c>
    </row>
    <row r="1412">
      <c r="A1412" t="inlineStr">
        <is>
          <t>2026-09-24 16:39:45</t>
        </is>
      </c>
      <c r="B1412" t="inlineStr">
        <is>
          <t>MLLB_000_y1.0.3</t>
        </is>
      </c>
      <c r="C1412" t="inlineStr">
        <is>
          <t>WHITE</t>
        </is>
      </c>
      <c r="D1412" t="inlineStr">
        <is>
          <t>v4_white_MLLB_000_y103_0924</t>
        </is>
      </c>
      <c r="E1412" t="n">
        <v>3.2</v>
      </c>
      <c r="F1412" t="n">
        <v>3.208</v>
      </c>
      <c r="G1412" t="n">
        <v>15</v>
      </c>
      <c r="H1412" t="n">
        <v>80</v>
      </c>
      <c r="I1412" t="n">
        <v>20</v>
      </c>
      <c r="J1412" t="inlineStr">
        <is>
          <t>kaba</t>
        </is>
      </c>
      <c r="K1412" t="b">
        <v>1</v>
      </c>
      <c r="M1412" t="n">
        <v>94</v>
      </c>
      <c r="N1412" t="n">
        <v>28</v>
      </c>
      <c r="O1412" t="n">
        <v>74</v>
      </c>
      <c r="P1412" t="n">
        <v>908</v>
      </c>
      <c r="Q1412" t="n">
        <v>1002</v>
      </c>
      <c r="R1412" t="n">
        <v>1.124</v>
      </c>
      <c r="S1412" t="n">
        <v>35.559</v>
      </c>
      <c r="T1412" t="n">
        <v>31.624</v>
      </c>
      <c r="U1412" t="n">
        <v>0.7778</v>
      </c>
      <c r="V1412" t="b">
        <v>1</v>
      </c>
      <c r="X1412" t="b">
        <v>0</v>
      </c>
      <c r="Y1412" t="inlineStr">
        <is>
          <t>ON</t>
        </is>
      </c>
      <c r="Z1412" t="n">
        <v>935</v>
      </c>
      <c r="AA1412" t="n">
        <v>2.5</v>
      </c>
      <c r="AB1412" t="n">
        <v>9.5</v>
      </c>
    </row>
    <row r="1413">
      <c r="A1413" t="inlineStr">
        <is>
          <t>2026-09-24 16:40:02</t>
        </is>
      </c>
      <c r="B1413" t="inlineStr">
        <is>
          <t>MLLB_000_y1.0.3</t>
        </is>
      </c>
      <c r="C1413" t="inlineStr">
        <is>
          <t>WHITE</t>
        </is>
      </c>
      <c r="D1413" t="inlineStr">
        <is>
          <t>v4_white_MLLB_000_y103_0924</t>
        </is>
      </c>
      <c r="E1413" t="n">
        <v>3.2</v>
      </c>
      <c r="F1413" t="n">
        <v>3.208</v>
      </c>
      <c r="G1413" t="n">
        <v>15</v>
      </c>
      <c r="H1413" t="n">
        <v>80</v>
      </c>
      <c r="I1413" t="n">
        <v>24</v>
      </c>
      <c r="J1413" t="inlineStr">
        <is>
          <t>kaba</t>
        </is>
      </c>
      <c r="K1413" t="b">
        <v>1</v>
      </c>
      <c r="M1413" t="n">
        <v>74</v>
      </c>
      <c r="N1413" t="n">
        <v>32</v>
      </c>
      <c r="O1413" t="n">
        <v>54</v>
      </c>
      <c r="P1413" t="n">
        <v>928</v>
      </c>
      <c r="Q1413" t="n">
        <v>1002</v>
      </c>
      <c r="R1413" t="n">
        <v>1.121</v>
      </c>
      <c r="S1413" t="n">
        <v>35.508</v>
      </c>
      <c r="T1413" t="n">
        <v>31.671</v>
      </c>
      <c r="U1413" t="n">
        <v>0.7776</v>
      </c>
      <c r="V1413" t="b">
        <v>1</v>
      </c>
      <c r="X1413" t="b">
        <v>0</v>
      </c>
      <c r="Y1413" t="inlineStr">
        <is>
          <t>ON</t>
        </is>
      </c>
      <c r="Z1413" t="n">
        <v>935</v>
      </c>
      <c r="AA1413" t="n">
        <v>2.5</v>
      </c>
      <c r="AB1413" t="n">
        <v>9.5</v>
      </c>
    </row>
    <row r="1414">
      <c r="A1414" t="inlineStr">
        <is>
          <t>2026-09-24 16:40:18</t>
        </is>
      </c>
      <c r="B1414" t="inlineStr">
        <is>
          <t>MLLB_000_y1.0.3</t>
        </is>
      </c>
      <c r="C1414" t="inlineStr">
        <is>
          <t>WHITE</t>
        </is>
      </c>
      <c r="D1414" t="inlineStr">
        <is>
          <t>v4_white_MLLB_000_y103_0924</t>
        </is>
      </c>
      <c r="E1414" t="n">
        <v>3.2</v>
      </c>
      <c r="F1414" t="n">
        <v>3.208</v>
      </c>
      <c r="G1414" t="n">
        <v>15</v>
      </c>
      <c r="H1414" t="n">
        <v>80</v>
      </c>
      <c r="I1414" t="n">
        <v>28</v>
      </c>
      <c r="J1414" t="inlineStr">
        <is>
          <t>kaba</t>
        </is>
      </c>
      <c r="K1414" t="b">
        <v>1</v>
      </c>
      <c r="M1414" t="n">
        <v>54</v>
      </c>
      <c r="N1414" t="n">
        <v>32</v>
      </c>
      <c r="O1414" t="n">
        <v>34</v>
      </c>
      <c r="P1414" t="n">
        <v>948</v>
      </c>
      <c r="Q1414" t="n">
        <v>1002</v>
      </c>
      <c r="R1414" t="n">
        <v>1.125</v>
      </c>
      <c r="S1414" t="n">
        <v>35.617</v>
      </c>
      <c r="T1414" t="n">
        <v>31.671</v>
      </c>
      <c r="U1414" t="n">
        <v>0.7781</v>
      </c>
      <c r="V1414" t="b">
        <v>1</v>
      </c>
      <c r="X1414" t="b">
        <v>1</v>
      </c>
      <c r="Z1414" t="n">
        <v>935</v>
      </c>
      <c r="AA1414" t="n">
        <v>2.5</v>
      </c>
      <c r="AB1414" t="n">
        <v>9.5</v>
      </c>
    </row>
    <row r="1415">
      <c r="A1415" t="inlineStr">
        <is>
          <t>2026-09-24 16:40:33</t>
        </is>
      </c>
      <c r="B1415" t="inlineStr">
        <is>
          <t>MLLB_000_y1.0.3</t>
        </is>
      </c>
      <c r="C1415" t="inlineStr">
        <is>
          <t>WHITE</t>
        </is>
      </c>
      <c r="D1415" t="inlineStr">
        <is>
          <t>v4_white_MLLB_000_y103_0924</t>
        </is>
      </c>
      <c r="E1415" t="n">
        <v>3.2</v>
      </c>
      <c r="F1415" t="n">
        <v>3.208</v>
      </c>
      <c r="G1415" t="n">
        <v>15</v>
      </c>
      <c r="H1415" t="n">
        <v>80</v>
      </c>
      <c r="I1415" t="n">
        <v>32</v>
      </c>
      <c r="J1415" t="inlineStr">
        <is>
          <t>kaba</t>
        </is>
      </c>
      <c r="K1415" t="b">
        <v>1</v>
      </c>
      <c r="M1415" t="n">
        <v>38</v>
      </c>
      <c r="N1415" t="n">
        <v>28</v>
      </c>
      <c r="O1415" t="n">
        <v>18</v>
      </c>
      <c r="P1415" t="n">
        <v>964</v>
      </c>
      <c r="Q1415" t="n">
        <v>1002</v>
      </c>
      <c r="R1415" t="n">
        <v>1.125</v>
      </c>
      <c r="S1415" t="n">
        <v>35.62</v>
      </c>
      <c r="T1415" t="n">
        <v>31.651</v>
      </c>
      <c r="U1415" t="n">
        <v>0.7779</v>
      </c>
      <c r="V1415" t="b">
        <v>1</v>
      </c>
      <c r="X1415" t="b">
        <v>1</v>
      </c>
      <c r="Z1415" t="n">
        <v>935</v>
      </c>
      <c r="AA1415" t="n">
        <v>2.5</v>
      </c>
      <c r="AB1415" t="n">
        <v>9.5</v>
      </c>
    </row>
    <row r="1416">
      <c r="A1416" t="inlineStr">
        <is>
          <t>2026-09-24 16:40:50</t>
        </is>
      </c>
      <c r="B1416" t="inlineStr">
        <is>
          <t>MLLB_000_y1.0.3</t>
        </is>
      </c>
      <c r="C1416" t="inlineStr">
        <is>
          <t>WHITE</t>
        </is>
      </c>
      <c r="D1416" t="inlineStr">
        <is>
          <t>v4_white_MLLB_000_y103_0924</t>
        </is>
      </c>
      <c r="E1416" t="n">
        <v>3.2</v>
      </c>
      <c r="F1416" t="n">
        <v>3.208</v>
      </c>
      <c r="G1416" t="n">
        <v>15</v>
      </c>
      <c r="H1416" t="n">
        <v>80</v>
      </c>
      <c r="I1416" t="n">
        <v>36</v>
      </c>
      <c r="J1416" t="inlineStr">
        <is>
          <t>kaba</t>
        </is>
      </c>
      <c r="K1416" t="b">
        <v>1</v>
      </c>
      <c r="M1416" t="n">
        <v>38</v>
      </c>
      <c r="N1416" t="n">
        <v>28</v>
      </c>
      <c r="O1416" t="n">
        <v>18</v>
      </c>
      <c r="P1416" t="n">
        <v>964</v>
      </c>
      <c r="Q1416" t="n">
        <v>1002</v>
      </c>
      <c r="R1416" t="n">
        <v>3.014</v>
      </c>
      <c r="S1416" t="n">
        <v>95.419</v>
      </c>
      <c r="T1416" t="n">
        <v>31.654</v>
      </c>
      <c r="U1416" t="n">
        <v>0.7775</v>
      </c>
      <c r="V1416" t="b">
        <v>1</v>
      </c>
      <c r="X1416" t="b">
        <v>0</v>
      </c>
      <c r="Y1416" t="inlineStr">
        <is>
          <t>FLAS</t>
        </is>
      </c>
      <c r="Z1416" t="n">
        <v>935</v>
      </c>
      <c r="AA1416" t="n">
        <v>2.5</v>
      </c>
      <c r="AB1416" t="n">
        <v>9.5</v>
      </c>
    </row>
    <row r="1417">
      <c r="A1417" t="inlineStr">
        <is>
          <t>2026-09-24 16:41:02</t>
        </is>
      </c>
      <c r="B1417" t="inlineStr">
        <is>
          <t>MLLB_000_y1.0.3</t>
        </is>
      </c>
      <c r="C1417" t="inlineStr">
        <is>
          <t>WHITE</t>
        </is>
      </c>
      <c r="D1417" t="inlineStr">
        <is>
          <t>v4_white_MLLB_000_y103_0924</t>
        </is>
      </c>
      <c r="E1417" t="n">
        <v>3.2</v>
      </c>
      <c r="F1417" t="n">
        <v>3.208</v>
      </c>
      <c r="G1417" t="n">
        <v>15</v>
      </c>
      <c r="H1417" t="n">
        <v>80</v>
      </c>
      <c r="I1417" t="n">
        <v>40</v>
      </c>
      <c r="J1417" t="inlineStr">
        <is>
          <t>kaba</t>
        </is>
      </c>
      <c r="K1417" t="b">
        <v>1</v>
      </c>
      <c r="M1417" t="n">
        <v>38</v>
      </c>
      <c r="N1417" t="n">
        <v>28</v>
      </c>
      <c r="O1417" t="n">
        <v>18</v>
      </c>
      <c r="P1417" t="n">
        <v>964</v>
      </c>
      <c r="Q1417" t="n">
        <v>1002</v>
      </c>
      <c r="R1417" t="n">
        <v>5.523</v>
      </c>
      <c r="S1417" t="n">
        <v>174.894</v>
      </c>
      <c r="T1417" t="n">
        <v>31.667</v>
      </c>
      <c r="U1417" t="n">
        <v>0.778</v>
      </c>
      <c r="V1417" t="b">
        <v>1</v>
      </c>
      <c r="X1417" t="b">
        <v>0</v>
      </c>
      <c r="Y1417" t="inlineStr">
        <is>
          <t>FLAS</t>
        </is>
      </c>
      <c r="Z1417" t="n">
        <v>935</v>
      </c>
      <c r="AA1417" t="n">
        <v>2.5</v>
      </c>
      <c r="AB1417" t="n">
        <v>9.5</v>
      </c>
    </row>
    <row r="1418">
      <c r="A1418" t="inlineStr">
        <is>
          <t>2026-09-24 16:41:18</t>
        </is>
      </c>
      <c r="B1418" t="inlineStr">
        <is>
          <t>MLLB_000_y1.0.3</t>
        </is>
      </c>
      <c r="C1418" t="inlineStr">
        <is>
          <t>WHITE</t>
        </is>
      </c>
      <c r="D1418" t="inlineStr">
        <is>
          <t>v4_white_MLLB_000_y103_0924</t>
        </is>
      </c>
      <c r="E1418" t="n">
        <v>3.2</v>
      </c>
      <c r="F1418" t="n">
        <v>3.208</v>
      </c>
      <c r="G1418" t="n">
        <v>15</v>
      </c>
      <c r="H1418" t="n">
        <v>80</v>
      </c>
      <c r="I1418" t="n">
        <v>25</v>
      </c>
      <c r="J1418" t="inlineStr">
        <is>
          <t>ince</t>
        </is>
      </c>
      <c r="K1418" t="b">
        <v>1</v>
      </c>
      <c r="M1418" t="n">
        <v>68</v>
      </c>
      <c r="N1418" t="n">
        <v>28</v>
      </c>
      <c r="O1418" t="n">
        <v>50</v>
      </c>
      <c r="P1418" t="n">
        <v>934</v>
      </c>
      <c r="Q1418" t="n">
        <v>1002</v>
      </c>
      <c r="R1418" t="n">
        <v>1.119</v>
      </c>
      <c r="S1418" t="n">
        <v>35.439</v>
      </c>
      <c r="T1418" t="n">
        <v>31.659</v>
      </c>
      <c r="U1418" t="n">
        <v>0.7778</v>
      </c>
      <c r="V1418" t="b">
        <v>1</v>
      </c>
      <c r="X1418" t="b">
        <v>0</v>
      </c>
      <c r="Y1418" t="inlineStr">
        <is>
          <t>ON</t>
        </is>
      </c>
      <c r="Z1418" t="n">
        <v>935</v>
      </c>
      <c r="AA1418" t="n">
        <v>2.5</v>
      </c>
      <c r="AB1418" t="n">
        <v>9.5</v>
      </c>
    </row>
    <row r="1419">
      <c r="A1419" t="inlineStr">
        <is>
          <t>2026-09-24 16:41:34</t>
        </is>
      </c>
      <c r="B1419" t="inlineStr">
        <is>
          <t>MLLB_000_y1.0.3</t>
        </is>
      </c>
      <c r="C1419" t="inlineStr">
        <is>
          <t>WHITE</t>
        </is>
      </c>
      <c r="D1419" t="inlineStr">
        <is>
          <t>v4_white_MLLB_000_y103_0924</t>
        </is>
      </c>
      <c r="E1419" t="n">
        <v>3.2</v>
      </c>
      <c r="F1419" t="n">
        <v>3.208</v>
      </c>
      <c r="G1419" t="n">
        <v>15</v>
      </c>
      <c r="H1419" t="n">
        <v>80</v>
      </c>
      <c r="I1419" t="n">
        <v>26</v>
      </c>
      <c r="J1419" t="inlineStr">
        <is>
          <t>ince</t>
        </is>
      </c>
      <c r="K1419" t="b">
        <v>1</v>
      </c>
      <c r="M1419" t="n">
        <v>64</v>
      </c>
      <c r="N1419" t="n">
        <v>30</v>
      </c>
      <c r="O1419" t="n">
        <v>44</v>
      </c>
      <c r="P1419" t="n">
        <v>938</v>
      </c>
      <c r="Q1419" t="n">
        <v>1002</v>
      </c>
      <c r="R1419" t="n">
        <v>1.122</v>
      </c>
      <c r="S1419" t="n">
        <v>35.525</v>
      </c>
      <c r="T1419" t="n">
        <v>31.669</v>
      </c>
      <c r="U1419" t="n">
        <v>0.7784</v>
      </c>
      <c r="V1419" t="b">
        <v>1</v>
      </c>
      <c r="X1419" t="b">
        <v>1</v>
      </c>
      <c r="Z1419" t="n">
        <v>935</v>
      </c>
      <c r="AA1419" t="n">
        <v>2.5</v>
      </c>
      <c r="AB1419" t="n">
        <v>9.5</v>
      </c>
    </row>
    <row r="1420">
      <c r="A1420" t="inlineStr">
        <is>
          <t>2026-09-24 16:41:50</t>
        </is>
      </c>
      <c r="B1420" t="inlineStr">
        <is>
          <t>MLLB_000_y1.0.3</t>
        </is>
      </c>
      <c r="C1420" t="inlineStr">
        <is>
          <t>WHITE</t>
        </is>
      </c>
      <c r="D1420" t="inlineStr">
        <is>
          <t>v4_white_MLLB_000_y103_0924</t>
        </is>
      </c>
      <c r="E1420" t="n">
        <v>3.2</v>
      </c>
      <c r="F1420" t="n">
        <v>3.208</v>
      </c>
      <c r="G1420" t="n">
        <v>15</v>
      </c>
      <c r="H1420" t="n">
        <v>80</v>
      </c>
      <c r="I1420" t="n">
        <v>27</v>
      </c>
      <c r="J1420" t="inlineStr">
        <is>
          <t>ince</t>
        </is>
      </c>
      <c r="K1420" t="b">
        <v>1</v>
      </c>
      <c r="M1420" t="n">
        <v>58</v>
      </c>
      <c r="N1420" t="n">
        <v>32</v>
      </c>
      <c r="O1420" t="n">
        <v>38</v>
      </c>
      <c r="P1420" t="n">
        <v>944</v>
      </c>
      <c r="Q1420" t="n">
        <v>1002</v>
      </c>
      <c r="R1420" t="n">
        <v>1.118</v>
      </c>
      <c r="S1420" t="n">
        <v>35.405</v>
      </c>
      <c r="T1420" t="n">
        <v>31.657</v>
      </c>
      <c r="U1420" t="n">
        <v>0.7778</v>
      </c>
      <c r="V1420" t="b">
        <v>1</v>
      </c>
      <c r="X1420" t="b">
        <v>1</v>
      </c>
      <c r="Z1420" t="n">
        <v>935</v>
      </c>
      <c r="AA1420" t="n">
        <v>2.5</v>
      </c>
      <c r="AB1420" t="n">
        <v>9.5</v>
      </c>
    </row>
    <row r="1421">
      <c r="A1421" t="inlineStr">
        <is>
          <t>2026-09-24 16:41:50</t>
        </is>
      </c>
      <c r="B1421" t="inlineStr">
        <is>
          <t>MLLB_000_y1.0.3</t>
        </is>
      </c>
      <c r="C1421" t="inlineStr">
        <is>
          <t>WHITE</t>
        </is>
      </c>
      <c r="D1421" t="inlineStr">
        <is>
          <t>v4_white_MLLB_000_y103_0924</t>
        </is>
      </c>
      <c r="E1421" t="n">
        <v>3.2</v>
      </c>
      <c r="F1421" t="n">
        <v>3.208</v>
      </c>
      <c r="G1421" t="n">
        <v>15</v>
      </c>
      <c r="H1421" t="n">
        <v>80</v>
      </c>
      <c r="I1421" t="n">
        <v>29</v>
      </c>
      <c r="J1421" t="inlineStr">
        <is>
          <t>ince</t>
        </is>
      </c>
      <c r="K1421" t="b">
        <v>0</v>
      </c>
      <c r="L1421" t="inlineStr">
        <is>
          <t>iki-OK-arasi-monotonluk</t>
        </is>
      </c>
      <c r="X1421" t="b">
        <v>1</v>
      </c>
      <c r="Z1421" t="n">
        <v>935</v>
      </c>
      <c r="AA1421" t="n">
        <v>2.5</v>
      </c>
      <c r="AB1421" t="n">
        <v>9.5</v>
      </c>
    </row>
    <row r="1422">
      <c r="A1422" t="inlineStr">
        <is>
          <t>2026-09-24 16:41:50</t>
        </is>
      </c>
      <c r="B1422" t="inlineStr">
        <is>
          <t>MLLB_000_y1.0.3</t>
        </is>
      </c>
      <c r="C1422" t="inlineStr">
        <is>
          <t>WHITE</t>
        </is>
      </c>
      <c r="D1422" t="inlineStr">
        <is>
          <t>v4_white_MLLB_000_y103_0924</t>
        </is>
      </c>
      <c r="E1422" t="n">
        <v>3.2</v>
      </c>
      <c r="F1422" t="n">
        <v>3.208</v>
      </c>
      <c r="G1422" t="n">
        <v>15</v>
      </c>
      <c r="H1422" t="n">
        <v>80</v>
      </c>
      <c r="I1422" t="n">
        <v>30</v>
      </c>
      <c r="J1422" t="inlineStr">
        <is>
          <t>ince</t>
        </is>
      </c>
      <c r="K1422" t="b">
        <v>0</v>
      </c>
      <c r="L1422" t="inlineStr">
        <is>
          <t>iki-OK-arasi-monotonluk</t>
        </is>
      </c>
      <c r="X1422" t="b">
        <v>1</v>
      </c>
      <c r="Z1422" t="n">
        <v>935</v>
      </c>
      <c r="AA1422" t="n">
        <v>2.5</v>
      </c>
      <c r="AB1422" t="n">
        <v>9.5</v>
      </c>
    </row>
    <row r="1423">
      <c r="A1423" t="inlineStr">
        <is>
          <t>2026-09-24 16:41:50</t>
        </is>
      </c>
      <c r="B1423" t="inlineStr">
        <is>
          <t>MLLB_000_y1.0.3</t>
        </is>
      </c>
      <c r="C1423" t="inlineStr">
        <is>
          <t>WHITE</t>
        </is>
      </c>
      <c r="D1423" t="inlineStr">
        <is>
          <t>v4_white_MLLB_000_y103_0924</t>
        </is>
      </c>
      <c r="E1423" t="n">
        <v>3.2</v>
      </c>
      <c r="F1423" t="n">
        <v>3.208</v>
      </c>
      <c r="G1423" t="n">
        <v>15</v>
      </c>
      <c r="H1423" t="n">
        <v>80</v>
      </c>
      <c r="I1423" t="n">
        <v>31</v>
      </c>
      <c r="J1423" t="inlineStr">
        <is>
          <t>ince</t>
        </is>
      </c>
      <c r="K1423" t="b">
        <v>0</v>
      </c>
      <c r="L1423" t="inlineStr">
        <is>
          <t>iki-OK-arasi-monotonluk</t>
        </is>
      </c>
      <c r="X1423" t="b">
        <v>1</v>
      </c>
      <c r="Z1423" t="n">
        <v>935</v>
      </c>
      <c r="AA1423" t="n">
        <v>2.5</v>
      </c>
      <c r="AB1423" t="n">
        <v>9.5</v>
      </c>
    </row>
    <row r="1424">
      <c r="A1424" t="inlineStr">
        <is>
          <t>2026-09-24 16:42:06</t>
        </is>
      </c>
      <c r="B1424" t="inlineStr">
        <is>
          <t>MLLB_000_y1.0.3</t>
        </is>
      </c>
      <c r="C1424" t="inlineStr">
        <is>
          <t>WHITE</t>
        </is>
      </c>
      <c r="D1424" t="inlineStr">
        <is>
          <t>v4_white_MLLB_000_y103_0924</t>
        </is>
      </c>
      <c r="E1424" t="n">
        <v>3.2</v>
      </c>
      <c r="F1424" t="n">
        <v>3.208</v>
      </c>
      <c r="G1424" t="n">
        <v>15</v>
      </c>
      <c r="H1424" t="n">
        <v>80</v>
      </c>
      <c r="I1424" t="n">
        <v>33</v>
      </c>
      <c r="J1424" t="inlineStr">
        <is>
          <t>ince</t>
        </is>
      </c>
      <c r="K1424" t="b">
        <v>1</v>
      </c>
      <c r="M1424" t="n">
        <v>38</v>
      </c>
      <c r="N1424" t="n">
        <v>28</v>
      </c>
      <c r="O1424" t="n">
        <v>18</v>
      </c>
      <c r="P1424" t="n">
        <v>964</v>
      </c>
      <c r="Q1424" t="n">
        <v>1002</v>
      </c>
      <c r="R1424" t="n">
        <v>1.12</v>
      </c>
      <c r="S1424" t="n">
        <v>35.477</v>
      </c>
      <c r="T1424" t="n">
        <v>31.675</v>
      </c>
      <c r="U1424" t="n">
        <v>0.7783</v>
      </c>
      <c r="V1424" t="b">
        <v>1</v>
      </c>
      <c r="X1424" t="b">
        <v>1</v>
      </c>
      <c r="Z1424" t="n">
        <v>935</v>
      </c>
      <c r="AA1424" t="n">
        <v>2.5</v>
      </c>
      <c r="AB1424" t="n">
        <v>9.5</v>
      </c>
    </row>
    <row r="1425">
      <c r="A1425" t="inlineStr">
        <is>
          <t>2026-09-24 16:42:22</t>
        </is>
      </c>
      <c r="B1425" t="inlineStr">
        <is>
          <t>MLLB_000_y1.0.3</t>
        </is>
      </c>
      <c r="C1425" t="inlineStr">
        <is>
          <t>WHITE</t>
        </is>
      </c>
      <c r="D1425" t="inlineStr">
        <is>
          <t>v4_white_MLLB_000_y103_0924</t>
        </is>
      </c>
      <c r="E1425" t="n">
        <v>3.2</v>
      </c>
      <c r="F1425" t="n">
        <v>3.208</v>
      </c>
      <c r="G1425" t="n">
        <v>15</v>
      </c>
      <c r="H1425" t="n">
        <v>80</v>
      </c>
      <c r="I1425" t="n">
        <v>34</v>
      </c>
      <c r="J1425" t="inlineStr">
        <is>
          <t>ince</t>
        </is>
      </c>
      <c r="K1425" t="b">
        <v>1</v>
      </c>
      <c r="M1425" t="n">
        <v>38</v>
      </c>
      <c r="N1425" t="n">
        <v>28</v>
      </c>
      <c r="O1425" t="n">
        <v>18</v>
      </c>
      <c r="P1425" t="n">
        <v>964</v>
      </c>
      <c r="Q1425" t="n">
        <v>1002</v>
      </c>
      <c r="R1425" t="n">
        <v>1.121</v>
      </c>
      <c r="S1425" t="n">
        <v>35.508</v>
      </c>
      <c r="T1425" t="n">
        <v>31.67</v>
      </c>
      <c r="U1425" t="n">
        <v>0.7783</v>
      </c>
      <c r="V1425" t="b">
        <v>1</v>
      </c>
      <c r="X1425" t="b">
        <v>1</v>
      </c>
      <c r="Z1425" t="n">
        <v>935</v>
      </c>
      <c r="AA1425" t="n">
        <v>2.5</v>
      </c>
      <c r="AB1425" t="n">
        <v>9.5</v>
      </c>
    </row>
    <row r="1426">
      <c r="A1426" t="inlineStr">
        <is>
          <t>2026-09-24 16:42:38</t>
        </is>
      </c>
      <c r="B1426" t="inlineStr">
        <is>
          <t>MLLB_000_y1.0.3</t>
        </is>
      </c>
      <c r="C1426" t="inlineStr">
        <is>
          <t>WHITE</t>
        </is>
      </c>
      <c r="D1426" t="inlineStr">
        <is>
          <t>v4_white_MLLB_000_y103_0924</t>
        </is>
      </c>
      <c r="E1426" t="n">
        <v>3.2</v>
      </c>
      <c r="F1426" t="n">
        <v>3.208</v>
      </c>
      <c r="G1426" t="n">
        <v>15</v>
      </c>
      <c r="H1426" t="n">
        <v>80</v>
      </c>
      <c r="I1426" t="n">
        <v>35</v>
      </c>
      <c r="J1426" t="inlineStr">
        <is>
          <t>ince</t>
        </is>
      </c>
      <c r="K1426" t="b">
        <v>1</v>
      </c>
      <c r="M1426" t="n">
        <v>38</v>
      </c>
      <c r="N1426" t="n">
        <v>28</v>
      </c>
      <c r="O1426" t="n">
        <v>18</v>
      </c>
      <c r="P1426" t="n">
        <v>964</v>
      </c>
      <c r="Q1426" t="n">
        <v>1002</v>
      </c>
      <c r="R1426" t="n">
        <v>1.585</v>
      </c>
      <c r="S1426" t="n">
        <v>50.243</v>
      </c>
      <c r="T1426" t="n">
        <v>31.692</v>
      </c>
      <c r="U1426" t="n">
        <v>0.7778</v>
      </c>
      <c r="V1426" t="b">
        <v>1</v>
      </c>
      <c r="X1426" t="b">
        <v>1</v>
      </c>
      <c r="Z1426" t="n">
        <v>935</v>
      </c>
      <c r="AA1426" t="n">
        <v>2.5</v>
      </c>
      <c r="AB1426" t="n">
        <v>9.5</v>
      </c>
    </row>
    <row r="1427">
      <c r="A1427" t="inlineStr">
        <is>
          <t>2026-09-24 16:42:38</t>
        </is>
      </c>
      <c r="B1427" t="inlineStr">
        <is>
          <t>MLLB_000_y1.0.3</t>
        </is>
      </c>
      <c r="C1427" t="inlineStr">
        <is>
          <t>WHITE</t>
        </is>
      </c>
      <c r="D1427" t="inlineStr">
        <is>
          <t>v4_white_MLLB_000_y103_0924</t>
        </is>
      </c>
      <c r="E1427" t="n">
        <v>3.2</v>
      </c>
      <c r="F1427" t="n">
        <v>3.208</v>
      </c>
      <c r="G1427" t="n">
        <v>15</v>
      </c>
      <c r="H1427" t="n">
        <v>80</v>
      </c>
      <c r="J1427" t="inlineStr">
        <is>
          <t>bitti</t>
        </is>
      </c>
      <c r="K1427" t="b">
        <v>0</v>
      </c>
      <c r="Z1427" t="n">
        <v>935</v>
      </c>
      <c r="AA1427" t="n">
        <v>2.5</v>
      </c>
      <c r="AB1427" t="n">
        <v>9.5</v>
      </c>
    </row>
    <row r="1428">
      <c r="A1428" t="inlineStr">
        <is>
          <t>2026-09-24 16:42:54</t>
        </is>
      </c>
      <c r="B1428" t="inlineStr">
        <is>
          <t>MLLB_000_y1.0.3</t>
        </is>
      </c>
      <c r="C1428" t="inlineStr">
        <is>
          <t>WHITE</t>
        </is>
      </c>
      <c r="D1428" t="inlineStr">
        <is>
          <t>v4_white_MLLB_000_y103_0924</t>
        </is>
      </c>
      <c r="E1428" t="n">
        <v>3.2</v>
      </c>
      <c r="F1428" t="n">
        <v>3.208</v>
      </c>
      <c r="G1428" t="n">
        <v>15</v>
      </c>
      <c r="H1428" t="n">
        <v>60</v>
      </c>
      <c r="I1428" t="n">
        <v>12</v>
      </c>
      <c r="J1428" t="inlineStr">
        <is>
          <t>kaba</t>
        </is>
      </c>
      <c r="K1428" t="b">
        <v>1</v>
      </c>
      <c r="M1428" t="n">
        <v>146</v>
      </c>
      <c r="N1428" t="n">
        <v>32</v>
      </c>
      <c r="O1428" t="n">
        <v>126</v>
      </c>
      <c r="P1428" t="n">
        <v>856</v>
      </c>
      <c r="Q1428" t="n">
        <v>1002</v>
      </c>
      <c r="R1428" t="n">
        <v>1.126</v>
      </c>
      <c r="S1428" t="n">
        <v>35.508</v>
      </c>
      <c r="T1428" t="n">
        <v>31.546</v>
      </c>
      <c r="U1428" t="n">
        <v>0.7783</v>
      </c>
      <c r="V1428" t="b">
        <v>1</v>
      </c>
      <c r="X1428" t="b">
        <v>0</v>
      </c>
      <c r="Y1428" t="inlineStr">
        <is>
          <t>ON</t>
        </is>
      </c>
      <c r="Z1428" t="n">
        <v>935</v>
      </c>
      <c r="AA1428" t="n">
        <v>2.5</v>
      </c>
      <c r="AB1428" t="n">
        <v>9.5</v>
      </c>
    </row>
    <row r="1429">
      <c r="A1429" t="inlineStr">
        <is>
          <t>2026-09-24 16:43:10</t>
        </is>
      </c>
      <c r="B1429" t="inlineStr">
        <is>
          <t>MLLB_000_y1.0.3</t>
        </is>
      </c>
      <c r="C1429" t="inlineStr">
        <is>
          <t>WHITE</t>
        </is>
      </c>
      <c r="D1429" t="inlineStr">
        <is>
          <t>v4_white_MLLB_000_y103_0924</t>
        </is>
      </c>
      <c r="E1429" t="n">
        <v>3.2</v>
      </c>
      <c r="F1429" t="n">
        <v>3.208</v>
      </c>
      <c r="G1429" t="n">
        <v>15</v>
      </c>
      <c r="H1429" t="n">
        <v>60</v>
      </c>
      <c r="I1429" t="n">
        <v>16</v>
      </c>
      <c r="J1429" t="inlineStr">
        <is>
          <t>kaba</t>
        </is>
      </c>
      <c r="K1429" t="b">
        <v>1</v>
      </c>
      <c r="M1429" t="n">
        <v>134</v>
      </c>
      <c r="N1429" t="n">
        <v>34</v>
      </c>
      <c r="O1429" t="n">
        <v>114</v>
      </c>
      <c r="P1429" t="n">
        <v>868</v>
      </c>
      <c r="Q1429" t="n">
        <v>1002</v>
      </c>
      <c r="R1429" t="n">
        <v>1.126</v>
      </c>
      <c r="S1429" t="n">
        <v>35.559</v>
      </c>
      <c r="T1429" t="n">
        <v>31.577</v>
      </c>
      <c r="U1429" t="n">
        <v>0.7782</v>
      </c>
      <c r="V1429" t="b">
        <v>1</v>
      </c>
      <c r="X1429" t="b">
        <v>0</v>
      </c>
      <c r="Y1429" t="inlineStr">
        <is>
          <t>ON</t>
        </is>
      </c>
      <c r="Z1429" t="n">
        <v>935</v>
      </c>
      <c r="AA1429" t="n">
        <v>2.5</v>
      </c>
      <c r="AB1429" t="n">
        <v>9.5</v>
      </c>
    </row>
    <row r="1430">
      <c r="A1430" t="inlineStr">
        <is>
          <t>2026-09-24 16:43:26</t>
        </is>
      </c>
      <c r="B1430" t="inlineStr">
        <is>
          <t>MLLB_000_y1.0.3</t>
        </is>
      </c>
      <c r="C1430" t="inlineStr">
        <is>
          <t>WHITE</t>
        </is>
      </c>
      <c r="D1430" t="inlineStr">
        <is>
          <t>v4_white_MLLB_000_y103_0924</t>
        </is>
      </c>
      <c r="E1430" t="n">
        <v>3.2</v>
      </c>
      <c r="F1430" t="n">
        <v>3.208</v>
      </c>
      <c r="G1430" t="n">
        <v>15</v>
      </c>
      <c r="H1430" t="n">
        <v>60</v>
      </c>
      <c r="I1430" t="n">
        <v>20</v>
      </c>
      <c r="J1430" t="inlineStr">
        <is>
          <t>kaba</t>
        </is>
      </c>
      <c r="K1430" t="b">
        <v>1</v>
      </c>
      <c r="M1430" t="n">
        <v>120</v>
      </c>
      <c r="N1430" t="n">
        <v>30</v>
      </c>
      <c r="O1430" t="n">
        <v>100</v>
      </c>
      <c r="P1430" t="n">
        <v>882</v>
      </c>
      <c r="Q1430" t="n">
        <v>1002</v>
      </c>
      <c r="R1430" t="n">
        <v>1.122</v>
      </c>
      <c r="S1430" t="n">
        <v>35.463</v>
      </c>
      <c r="T1430" t="n">
        <v>31.606</v>
      </c>
      <c r="U1430" t="n">
        <v>0.778</v>
      </c>
      <c r="V1430" t="b">
        <v>1</v>
      </c>
      <c r="X1430" t="b">
        <v>0</v>
      </c>
      <c r="Y1430" t="inlineStr">
        <is>
          <t>ON</t>
        </is>
      </c>
      <c r="Z1430" t="n">
        <v>935</v>
      </c>
      <c r="AA1430" t="n">
        <v>2.5</v>
      </c>
      <c r="AB1430" t="n">
        <v>9.5</v>
      </c>
    </row>
    <row r="1431">
      <c r="A1431" t="inlineStr">
        <is>
          <t>2026-09-24 16:43:42</t>
        </is>
      </c>
      <c r="B1431" t="inlineStr">
        <is>
          <t>MLLB_000_y1.0.3</t>
        </is>
      </c>
      <c r="C1431" t="inlineStr">
        <is>
          <t>WHITE</t>
        </is>
      </c>
      <c r="D1431" t="inlineStr">
        <is>
          <t>v4_white_MLLB_000_y103_0924</t>
        </is>
      </c>
      <c r="E1431" t="n">
        <v>3.2</v>
      </c>
      <c r="F1431" t="n">
        <v>3.208</v>
      </c>
      <c r="G1431" t="n">
        <v>15</v>
      </c>
      <c r="H1431" t="n">
        <v>60</v>
      </c>
      <c r="I1431" t="n">
        <v>24</v>
      </c>
      <c r="J1431" t="inlineStr">
        <is>
          <t>kaba</t>
        </is>
      </c>
      <c r="K1431" t="b">
        <v>1</v>
      </c>
      <c r="M1431" t="n">
        <v>106</v>
      </c>
      <c r="N1431" t="n">
        <v>32</v>
      </c>
      <c r="O1431" t="n">
        <v>86</v>
      </c>
      <c r="P1431" t="n">
        <v>896</v>
      </c>
      <c r="Q1431" t="n">
        <v>1002</v>
      </c>
      <c r="R1431" t="n">
        <v>1.121</v>
      </c>
      <c r="S1431" t="n">
        <v>35.436</v>
      </c>
      <c r="T1431" t="n">
        <v>31.611</v>
      </c>
      <c r="U1431" t="n">
        <v>0.778</v>
      </c>
      <c r="V1431" t="b">
        <v>1</v>
      </c>
      <c r="X1431" t="b">
        <v>0</v>
      </c>
      <c r="Y1431" t="inlineStr">
        <is>
          <t>ON</t>
        </is>
      </c>
      <c r="Z1431" t="n">
        <v>935</v>
      </c>
      <c r="AA1431" t="n">
        <v>2.5</v>
      </c>
      <c r="AB1431" t="n">
        <v>9.5</v>
      </c>
    </row>
    <row r="1432">
      <c r="A1432" t="inlineStr">
        <is>
          <t>2026-09-24 16:43:58</t>
        </is>
      </c>
      <c r="B1432" t="inlineStr">
        <is>
          <t>MLLB_000_y1.0.3</t>
        </is>
      </c>
      <c r="C1432" t="inlineStr">
        <is>
          <t>WHITE</t>
        </is>
      </c>
      <c r="D1432" t="inlineStr">
        <is>
          <t>v4_white_MLLB_000_y103_0924</t>
        </is>
      </c>
      <c r="E1432" t="n">
        <v>3.2</v>
      </c>
      <c r="F1432" t="n">
        <v>3.208</v>
      </c>
      <c r="G1432" t="n">
        <v>15</v>
      </c>
      <c r="H1432" t="n">
        <v>60</v>
      </c>
      <c r="I1432" t="n">
        <v>28</v>
      </c>
      <c r="J1432" t="inlineStr">
        <is>
          <t>kaba</t>
        </is>
      </c>
      <c r="K1432" t="b">
        <v>1</v>
      </c>
      <c r="M1432" t="n">
        <v>92</v>
      </c>
      <c r="N1432" t="n">
        <v>28</v>
      </c>
      <c r="O1432" t="n">
        <v>74</v>
      </c>
      <c r="P1432" t="n">
        <v>910</v>
      </c>
      <c r="Q1432" t="n">
        <v>1002</v>
      </c>
      <c r="R1432" t="n">
        <v>1.121</v>
      </c>
      <c r="S1432" t="n">
        <v>35.47</v>
      </c>
      <c r="T1432" t="n">
        <v>31.641</v>
      </c>
      <c r="U1432" t="n">
        <v>0.7781</v>
      </c>
      <c r="V1432" t="b">
        <v>1</v>
      </c>
      <c r="X1432" t="b">
        <v>0</v>
      </c>
      <c r="Y1432" t="inlineStr">
        <is>
          <t>ON</t>
        </is>
      </c>
      <c r="Z1432" t="n">
        <v>935</v>
      </c>
      <c r="AA1432" t="n">
        <v>2.5</v>
      </c>
      <c r="AB1432" t="n">
        <v>9.5</v>
      </c>
    </row>
    <row r="1433">
      <c r="A1433" t="inlineStr">
        <is>
          <t>2026-09-24 16:44:14</t>
        </is>
      </c>
      <c r="B1433" t="inlineStr">
        <is>
          <t>MLLB_000_y1.0.3</t>
        </is>
      </c>
      <c r="C1433" t="inlineStr">
        <is>
          <t>WHITE</t>
        </is>
      </c>
      <c r="D1433" t="inlineStr">
        <is>
          <t>v4_white_MLLB_000_y103_0924</t>
        </is>
      </c>
      <c r="E1433" t="n">
        <v>3.2</v>
      </c>
      <c r="F1433" t="n">
        <v>3.208</v>
      </c>
      <c r="G1433" t="n">
        <v>15</v>
      </c>
      <c r="H1433" t="n">
        <v>60</v>
      </c>
      <c r="I1433" t="n">
        <v>32</v>
      </c>
      <c r="J1433" t="inlineStr">
        <is>
          <t>kaba</t>
        </is>
      </c>
      <c r="K1433" t="b">
        <v>1</v>
      </c>
      <c r="M1433" t="n">
        <v>80</v>
      </c>
      <c r="N1433" t="n">
        <v>32</v>
      </c>
      <c r="O1433" t="n">
        <v>58</v>
      </c>
      <c r="P1433" t="n">
        <v>922</v>
      </c>
      <c r="Q1433" t="n">
        <v>1002</v>
      </c>
      <c r="R1433" t="n">
        <v>1.119</v>
      </c>
      <c r="S1433" t="n">
        <v>35.405</v>
      </c>
      <c r="T1433" t="n">
        <v>31.648</v>
      </c>
      <c r="U1433" t="n">
        <v>0.7779</v>
      </c>
      <c r="V1433" t="b">
        <v>1</v>
      </c>
      <c r="X1433" t="b">
        <v>0</v>
      </c>
      <c r="Y1433" t="inlineStr">
        <is>
          <t>ON</t>
        </is>
      </c>
      <c r="Z1433" t="n">
        <v>935</v>
      </c>
      <c r="AA1433" t="n">
        <v>2.5</v>
      </c>
      <c r="AB1433" t="n">
        <v>9.5</v>
      </c>
    </row>
    <row r="1434">
      <c r="A1434" t="inlineStr">
        <is>
          <t>2026-09-24 16:44:29</t>
        </is>
      </c>
      <c r="B1434" t="inlineStr">
        <is>
          <t>MLLB_000_y1.0.3</t>
        </is>
      </c>
      <c r="C1434" t="inlineStr">
        <is>
          <t>WHITE</t>
        </is>
      </c>
      <c r="D1434" t="inlineStr">
        <is>
          <t>v4_white_MLLB_000_y103_0924</t>
        </is>
      </c>
      <c r="E1434" t="n">
        <v>3.2</v>
      </c>
      <c r="F1434" t="n">
        <v>3.208</v>
      </c>
      <c r="G1434" t="n">
        <v>15</v>
      </c>
      <c r="H1434" t="n">
        <v>60</v>
      </c>
      <c r="I1434" t="n">
        <v>36</v>
      </c>
      <c r="J1434" t="inlineStr">
        <is>
          <t>kaba</t>
        </is>
      </c>
      <c r="K1434" t="b">
        <v>1</v>
      </c>
      <c r="M1434" t="n">
        <v>66</v>
      </c>
      <c r="N1434" t="n">
        <v>28</v>
      </c>
      <c r="O1434" t="n">
        <v>46</v>
      </c>
      <c r="P1434" t="n">
        <v>936</v>
      </c>
      <c r="Q1434" t="n">
        <v>1002</v>
      </c>
      <c r="R1434" t="n">
        <v>1.12</v>
      </c>
      <c r="S1434" t="n">
        <v>35.457</v>
      </c>
      <c r="T1434" t="n">
        <v>31.652</v>
      </c>
      <c r="U1434" t="n">
        <v>0.7785</v>
      </c>
      <c r="V1434" t="b">
        <v>1</v>
      </c>
      <c r="X1434" t="b">
        <v>1</v>
      </c>
      <c r="Z1434" t="n">
        <v>935</v>
      </c>
      <c r="AA1434" t="n">
        <v>2.5</v>
      </c>
      <c r="AB1434" t="n">
        <v>9.5</v>
      </c>
    </row>
    <row r="1435">
      <c r="A1435" t="inlineStr">
        <is>
          <t>2026-09-24 16:44:46</t>
        </is>
      </c>
      <c r="B1435" t="inlineStr">
        <is>
          <t>MLLB_000_y1.0.3</t>
        </is>
      </c>
      <c r="C1435" t="inlineStr">
        <is>
          <t>WHITE</t>
        </is>
      </c>
      <c r="D1435" t="inlineStr">
        <is>
          <t>v4_white_MLLB_000_y103_0924</t>
        </is>
      </c>
      <c r="E1435" t="n">
        <v>3.2</v>
      </c>
      <c r="F1435" t="n">
        <v>3.208</v>
      </c>
      <c r="G1435" t="n">
        <v>15</v>
      </c>
      <c r="H1435" t="n">
        <v>60</v>
      </c>
      <c r="I1435" t="n">
        <v>40</v>
      </c>
      <c r="J1435" t="inlineStr">
        <is>
          <t>kaba</t>
        </is>
      </c>
      <c r="K1435" t="b">
        <v>1</v>
      </c>
      <c r="M1435" t="n">
        <v>52</v>
      </c>
      <c r="N1435" t="n">
        <v>30</v>
      </c>
      <c r="O1435" t="n">
        <v>32</v>
      </c>
      <c r="P1435" t="n">
        <v>950</v>
      </c>
      <c r="Q1435" t="n">
        <v>1002</v>
      </c>
      <c r="R1435" t="n">
        <v>1.12</v>
      </c>
      <c r="S1435" t="n">
        <v>35.456</v>
      </c>
      <c r="T1435" t="n">
        <v>31.663</v>
      </c>
      <c r="U1435" t="n">
        <v>0.7776999999999999</v>
      </c>
      <c r="V1435" t="b">
        <v>1</v>
      </c>
      <c r="X1435" t="b">
        <v>1</v>
      </c>
      <c r="Z1435" t="n">
        <v>935</v>
      </c>
      <c r="AA1435" t="n">
        <v>2.5</v>
      </c>
      <c r="AB1435" t="n">
        <v>9.5</v>
      </c>
    </row>
    <row r="1436">
      <c r="A1436" t="inlineStr">
        <is>
          <t>2026-09-24 16:45:01</t>
        </is>
      </c>
      <c r="B1436" t="inlineStr">
        <is>
          <t>MLLB_000_y1.0.3</t>
        </is>
      </c>
      <c r="C1436" t="inlineStr">
        <is>
          <t>WHITE</t>
        </is>
      </c>
      <c r="D1436" t="inlineStr">
        <is>
          <t>v4_white_MLLB_000_y103_0924</t>
        </is>
      </c>
      <c r="E1436" t="n">
        <v>3.2</v>
      </c>
      <c r="F1436" t="n">
        <v>3.208</v>
      </c>
      <c r="G1436" t="n">
        <v>15</v>
      </c>
      <c r="H1436" t="n">
        <v>60</v>
      </c>
      <c r="I1436" t="n">
        <v>44</v>
      </c>
      <c r="J1436" t="inlineStr">
        <is>
          <t>kaba</t>
        </is>
      </c>
      <c r="K1436" t="b">
        <v>1</v>
      </c>
      <c r="M1436" t="n">
        <v>50</v>
      </c>
      <c r="N1436" t="n">
        <v>28</v>
      </c>
      <c r="O1436" t="n">
        <v>30</v>
      </c>
      <c r="P1436" t="n">
        <v>952</v>
      </c>
      <c r="Q1436" t="n">
        <v>1002</v>
      </c>
      <c r="R1436" t="n">
        <v>1.12</v>
      </c>
      <c r="S1436" t="n">
        <v>35.458</v>
      </c>
      <c r="T1436" t="n">
        <v>31.652</v>
      </c>
      <c r="U1436" t="n">
        <v>0.7786999999999999</v>
      </c>
      <c r="V1436" t="b">
        <v>1</v>
      </c>
      <c r="X1436" t="b">
        <v>1</v>
      </c>
      <c r="Z1436" t="n">
        <v>935</v>
      </c>
      <c r="AA1436" t="n">
        <v>2.5</v>
      </c>
      <c r="AB1436" t="n">
        <v>9.5</v>
      </c>
    </row>
    <row r="1437">
      <c r="A1437" t="inlineStr">
        <is>
          <t>2026-09-24 16:45:18</t>
        </is>
      </c>
      <c r="B1437" t="inlineStr">
        <is>
          <t>MLLB_000_y1.0.3</t>
        </is>
      </c>
      <c r="C1437" t="inlineStr">
        <is>
          <t>WHITE</t>
        </is>
      </c>
      <c r="D1437" t="inlineStr">
        <is>
          <t>v4_white_MLLB_000_y103_0924</t>
        </is>
      </c>
      <c r="E1437" t="n">
        <v>3.2</v>
      </c>
      <c r="F1437" t="n">
        <v>3.208</v>
      </c>
      <c r="G1437" t="n">
        <v>15</v>
      </c>
      <c r="H1437" t="n">
        <v>60</v>
      </c>
      <c r="I1437" t="n">
        <v>48</v>
      </c>
      <c r="J1437" t="inlineStr">
        <is>
          <t>kaba</t>
        </is>
      </c>
      <c r="K1437" t="b">
        <v>1</v>
      </c>
      <c r="M1437" t="n">
        <v>50</v>
      </c>
      <c r="N1437" t="n">
        <v>28</v>
      </c>
      <c r="O1437" t="n">
        <v>30</v>
      </c>
      <c r="P1437" t="n">
        <v>952</v>
      </c>
      <c r="Q1437" t="n">
        <v>1002</v>
      </c>
      <c r="R1437" t="n">
        <v>3.037</v>
      </c>
      <c r="S1437" t="n">
        <v>96.17100000000001</v>
      </c>
      <c r="T1437" t="n">
        <v>31.662</v>
      </c>
      <c r="U1437" t="n">
        <v>0.778</v>
      </c>
      <c r="V1437" t="b">
        <v>1</v>
      </c>
      <c r="X1437" t="b">
        <v>0</v>
      </c>
      <c r="Y1437" t="inlineStr">
        <is>
          <t>FLAS</t>
        </is>
      </c>
      <c r="Z1437" t="n">
        <v>935</v>
      </c>
      <c r="AA1437" t="n">
        <v>2.5</v>
      </c>
      <c r="AB1437" t="n">
        <v>9.5</v>
      </c>
    </row>
    <row r="1438">
      <c r="A1438" t="inlineStr">
        <is>
          <t>2026-09-24 16:45:34</t>
        </is>
      </c>
      <c r="B1438" t="inlineStr">
        <is>
          <t>MLLB_000_y1.0.3</t>
        </is>
      </c>
      <c r="C1438" t="inlineStr">
        <is>
          <t>WHITE</t>
        </is>
      </c>
      <c r="D1438" t="inlineStr">
        <is>
          <t>v4_white_MLLB_000_y103_0924</t>
        </is>
      </c>
      <c r="E1438" t="n">
        <v>3.2</v>
      </c>
      <c r="F1438" t="n">
        <v>3.208</v>
      </c>
      <c r="G1438" t="n">
        <v>15</v>
      </c>
      <c r="H1438" t="n">
        <v>60</v>
      </c>
      <c r="I1438" t="n">
        <v>52</v>
      </c>
      <c r="J1438" t="inlineStr">
        <is>
          <t>kaba</t>
        </is>
      </c>
      <c r="K1438" t="b">
        <v>1</v>
      </c>
      <c r="M1438" t="n">
        <v>50</v>
      </c>
      <c r="N1438" t="n">
        <v>28</v>
      </c>
      <c r="O1438" t="n">
        <v>30</v>
      </c>
      <c r="P1438" t="n">
        <v>952</v>
      </c>
      <c r="Q1438" t="n">
        <v>1002</v>
      </c>
      <c r="R1438" t="n">
        <v>3.938</v>
      </c>
      <c r="S1438" t="n">
        <v>142.119</v>
      </c>
      <c r="T1438" t="n">
        <v>36.092</v>
      </c>
      <c r="U1438" t="n">
        <v>0.7783</v>
      </c>
      <c r="V1438" t="b">
        <v>1</v>
      </c>
      <c r="X1438" t="b">
        <v>0</v>
      </c>
      <c r="Y1438" t="inlineStr">
        <is>
          <t>FLAS</t>
        </is>
      </c>
      <c r="Z1438" t="n">
        <v>935</v>
      </c>
      <c r="AA1438" t="n">
        <v>2.5</v>
      </c>
      <c r="AB1438" t="n">
        <v>9.5</v>
      </c>
    </row>
    <row r="1439">
      <c r="A1439" t="inlineStr">
        <is>
          <t>2026-09-24 16:45:50</t>
        </is>
      </c>
      <c r="B1439" t="inlineStr">
        <is>
          <t>MLLB_000_y1.0.3</t>
        </is>
      </c>
      <c r="C1439" t="inlineStr">
        <is>
          <t>WHITE</t>
        </is>
      </c>
      <c r="D1439" t="inlineStr">
        <is>
          <t>v4_white_MLLB_000_y103_0924</t>
        </is>
      </c>
      <c r="E1439" t="n">
        <v>3.2</v>
      </c>
      <c r="F1439" t="n">
        <v>3.208</v>
      </c>
      <c r="G1439" t="n">
        <v>15</v>
      </c>
      <c r="H1439" t="n">
        <v>60</v>
      </c>
      <c r="I1439" t="n">
        <v>33</v>
      </c>
      <c r="J1439" t="inlineStr">
        <is>
          <t>ince</t>
        </is>
      </c>
      <c r="K1439" t="b">
        <v>1</v>
      </c>
      <c r="M1439" t="n">
        <v>76</v>
      </c>
      <c r="N1439" t="n">
        <v>30</v>
      </c>
      <c r="O1439" t="n">
        <v>56</v>
      </c>
      <c r="P1439" t="n">
        <v>926</v>
      </c>
      <c r="Q1439" t="n">
        <v>1002</v>
      </c>
      <c r="R1439" t="n">
        <v>1.117</v>
      </c>
      <c r="S1439" t="n">
        <v>35.353</v>
      </c>
      <c r="T1439" t="n">
        <v>31.661</v>
      </c>
      <c r="U1439" t="n">
        <v>0.7779</v>
      </c>
      <c r="V1439" t="b">
        <v>1</v>
      </c>
      <c r="X1439" t="b">
        <v>0</v>
      </c>
      <c r="Y1439" t="inlineStr">
        <is>
          <t>ON</t>
        </is>
      </c>
      <c r="Z1439" t="n">
        <v>935</v>
      </c>
      <c r="AA1439" t="n">
        <v>2.5</v>
      </c>
      <c r="AB1439" t="n">
        <v>9.5</v>
      </c>
    </row>
    <row r="1440">
      <c r="A1440" t="inlineStr">
        <is>
          <t>2026-09-24 16:46:06</t>
        </is>
      </c>
      <c r="B1440" t="inlineStr">
        <is>
          <t>MLLB_000_y1.0.3</t>
        </is>
      </c>
      <c r="C1440" t="inlineStr">
        <is>
          <t>WHITE</t>
        </is>
      </c>
      <c r="D1440" t="inlineStr">
        <is>
          <t>v4_white_MLLB_000_y103_0924</t>
        </is>
      </c>
      <c r="E1440" t="n">
        <v>3.2</v>
      </c>
      <c r="F1440" t="n">
        <v>3.208</v>
      </c>
      <c r="G1440" t="n">
        <v>15</v>
      </c>
      <c r="H1440" t="n">
        <v>60</v>
      </c>
      <c r="I1440" t="n">
        <v>34</v>
      </c>
      <c r="J1440" t="inlineStr">
        <is>
          <t>ince</t>
        </is>
      </c>
      <c r="K1440" t="b">
        <v>1</v>
      </c>
      <c r="M1440" t="n">
        <v>72</v>
      </c>
      <c r="N1440" t="n">
        <v>30</v>
      </c>
      <c r="O1440" t="n">
        <v>52</v>
      </c>
      <c r="P1440" t="n">
        <v>930</v>
      </c>
      <c r="Q1440" t="n">
        <v>1002</v>
      </c>
      <c r="R1440" t="n">
        <v>1.12</v>
      </c>
      <c r="S1440" t="n">
        <v>35.476</v>
      </c>
      <c r="T1440" t="n">
        <v>31.67</v>
      </c>
      <c r="U1440" t="n">
        <v>0.778</v>
      </c>
      <c r="V1440" t="b">
        <v>1</v>
      </c>
      <c r="X1440" t="b">
        <v>0</v>
      </c>
      <c r="Y1440" t="inlineStr">
        <is>
          <t>ON</t>
        </is>
      </c>
      <c r="Z1440" t="n">
        <v>935</v>
      </c>
      <c r="AA1440" t="n">
        <v>2.5</v>
      </c>
      <c r="AB1440" t="n">
        <v>9.5</v>
      </c>
    </row>
    <row r="1441">
      <c r="A1441" t="inlineStr">
        <is>
          <t>2026-09-24 16:46:22</t>
        </is>
      </c>
      <c r="B1441" t="inlineStr">
        <is>
          <t>MLLB_000_y1.0.3</t>
        </is>
      </c>
      <c r="C1441" t="inlineStr">
        <is>
          <t>WHITE</t>
        </is>
      </c>
      <c r="D1441" t="inlineStr">
        <is>
          <t>v4_white_MLLB_000_y103_0924</t>
        </is>
      </c>
      <c r="E1441" t="n">
        <v>3.2</v>
      </c>
      <c r="F1441" t="n">
        <v>3.208</v>
      </c>
      <c r="G1441" t="n">
        <v>15</v>
      </c>
      <c r="H1441" t="n">
        <v>60</v>
      </c>
      <c r="I1441" t="n">
        <v>35</v>
      </c>
      <c r="J1441" t="inlineStr">
        <is>
          <t>ince</t>
        </is>
      </c>
      <c r="K1441" t="b">
        <v>1</v>
      </c>
      <c r="M1441" t="n">
        <v>68</v>
      </c>
      <c r="N1441" t="n">
        <v>28</v>
      </c>
      <c r="O1441" t="n">
        <v>50</v>
      </c>
      <c r="P1441" t="n">
        <v>934</v>
      </c>
      <c r="Q1441" t="n">
        <v>1002</v>
      </c>
      <c r="R1441" t="n">
        <v>1.12</v>
      </c>
      <c r="S1441" t="n">
        <v>35.508</v>
      </c>
      <c r="T1441" t="n">
        <v>31.693</v>
      </c>
      <c r="U1441" t="n">
        <v>0.7779</v>
      </c>
      <c r="V1441" t="b">
        <v>1</v>
      </c>
      <c r="X1441" t="b">
        <v>0</v>
      </c>
      <c r="Y1441" t="inlineStr">
        <is>
          <t>ON</t>
        </is>
      </c>
      <c r="Z1441" t="n">
        <v>935</v>
      </c>
      <c r="AA1441" t="n">
        <v>2.5</v>
      </c>
      <c r="AB1441" t="n">
        <v>9.5</v>
      </c>
    </row>
    <row r="1442">
      <c r="A1442" t="inlineStr">
        <is>
          <t>2026-09-24 16:46:22</t>
        </is>
      </c>
      <c r="B1442" t="inlineStr">
        <is>
          <t>MLLB_000_y1.0.3</t>
        </is>
      </c>
      <c r="C1442" t="inlineStr">
        <is>
          <t>WHITE</t>
        </is>
      </c>
      <c r="D1442" t="inlineStr">
        <is>
          <t>v4_white_MLLB_000_y103_0924</t>
        </is>
      </c>
      <c r="E1442" t="n">
        <v>3.2</v>
      </c>
      <c r="F1442" t="n">
        <v>3.208</v>
      </c>
      <c r="G1442" t="n">
        <v>15</v>
      </c>
      <c r="H1442" t="n">
        <v>60</v>
      </c>
      <c r="I1442" t="n">
        <v>37</v>
      </c>
      <c r="J1442" t="inlineStr">
        <is>
          <t>ince</t>
        </is>
      </c>
      <c r="K1442" t="b">
        <v>0</v>
      </c>
      <c r="L1442" t="inlineStr">
        <is>
          <t>iki-OK-arasi-monotonluk</t>
        </is>
      </c>
      <c r="X1442" t="b">
        <v>1</v>
      </c>
      <c r="Z1442" t="n">
        <v>935</v>
      </c>
      <c r="AA1442" t="n">
        <v>2.5</v>
      </c>
      <c r="AB1442" t="n">
        <v>9.5</v>
      </c>
    </row>
    <row r="1443">
      <c r="A1443" t="inlineStr">
        <is>
          <t>2026-09-24 16:46:22</t>
        </is>
      </c>
      <c r="B1443" t="inlineStr">
        <is>
          <t>MLLB_000_y1.0.3</t>
        </is>
      </c>
      <c r="C1443" t="inlineStr">
        <is>
          <t>WHITE</t>
        </is>
      </c>
      <c r="D1443" t="inlineStr">
        <is>
          <t>v4_white_MLLB_000_y103_0924</t>
        </is>
      </c>
      <c r="E1443" t="n">
        <v>3.2</v>
      </c>
      <c r="F1443" t="n">
        <v>3.208</v>
      </c>
      <c r="G1443" t="n">
        <v>15</v>
      </c>
      <c r="H1443" t="n">
        <v>60</v>
      </c>
      <c r="I1443" t="n">
        <v>38</v>
      </c>
      <c r="J1443" t="inlineStr">
        <is>
          <t>ince</t>
        </is>
      </c>
      <c r="K1443" t="b">
        <v>0</v>
      </c>
      <c r="L1443" t="inlineStr">
        <is>
          <t>iki-OK-arasi-monotonluk</t>
        </is>
      </c>
      <c r="X1443" t="b">
        <v>1</v>
      </c>
      <c r="Z1443" t="n">
        <v>935</v>
      </c>
      <c r="AA1443" t="n">
        <v>2.5</v>
      </c>
      <c r="AB1443" t="n">
        <v>9.5</v>
      </c>
    </row>
    <row r="1444">
      <c r="A1444" t="inlineStr">
        <is>
          <t>2026-09-24 16:46:22</t>
        </is>
      </c>
      <c r="B1444" t="inlineStr">
        <is>
          <t>MLLB_000_y1.0.3</t>
        </is>
      </c>
      <c r="C1444" t="inlineStr">
        <is>
          <t>WHITE</t>
        </is>
      </c>
      <c r="D1444" t="inlineStr">
        <is>
          <t>v4_white_MLLB_000_y103_0924</t>
        </is>
      </c>
      <c r="E1444" t="n">
        <v>3.2</v>
      </c>
      <c r="F1444" t="n">
        <v>3.208</v>
      </c>
      <c r="G1444" t="n">
        <v>15</v>
      </c>
      <c r="H1444" t="n">
        <v>60</v>
      </c>
      <c r="I1444" t="n">
        <v>39</v>
      </c>
      <c r="J1444" t="inlineStr">
        <is>
          <t>ince</t>
        </is>
      </c>
      <c r="K1444" t="b">
        <v>0</v>
      </c>
      <c r="L1444" t="inlineStr">
        <is>
          <t>iki-OK-arasi-monotonluk</t>
        </is>
      </c>
      <c r="X1444" t="b">
        <v>1</v>
      </c>
      <c r="Z1444" t="n">
        <v>935</v>
      </c>
      <c r="AA1444" t="n">
        <v>2.5</v>
      </c>
      <c r="AB1444" t="n">
        <v>9.5</v>
      </c>
    </row>
    <row r="1445">
      <c r="A1445" t="inlineStr">
        <is>
          <t>2026-09-24 16:46:22</t>
        </is>
      </c>
      <c r="B1445" t="inlineStr">
        <is>
          <t>MLLB_000_y1.0.3</t>
        </is>
      </c>
      <c r="C1445" t="inlineStr">
        <is>
          <t>WHITE</t>
        </is>
      </c>
      <c r="D1445" t="inlineStr">
        <is>
          <t>v4_white_MLLB_000_y103_0924</t>
        </is>
      </c>
      <c r="E1445" t="n">
        <v>3.2</v>
      </c>
      <c r="F1445" t="n">
        <v>3.208</v>
      </c>
      <c r="G1445" t="n">
        <v>15</v>
      </c>
      <c r="H1445" t="n">
        <v>60</v>
      </c>
      <c r="I1445" t="n">
        <v>41</v>
      </c>
      <c r="J1445" t="inlineStr">
        <is>
          <t>ince</t>
        </is>
      </c>
      <c r="K1445" t="b">
        <v>0</v>
      </c>
      <c r="L1445" t="inlineStr">
        <is>
          <t>iki-OK-arasi-monotonluk</t>
        </is>
      </c>
      <c r="X1445" t="b">
        <v>1</v>
      </c>
      <c r="Z1445" t="n">
        <v>935</v>
      </c>
      <c r="AA1445" t="n">
        <v>2.5</v>
      </c>
      <c r="AB1445" t="n">
        <v>9.5</v>
      </c>
    </row>
    <row r="1446">
      <c r="A1446" t="inlineStr">
        <is>
          <t>2026-09-24 16:46:22</t>
        </is>
      </c>
      <c r="B1446" t="inlineStr">
        <is>
          <t>MLLB_000_y1.0.3</t>
        </is>
      </c>
      <c r="C1446" t="inlineStr">
        <is>
          <t>WHITE</t>
        </is>
      </c>
      <c r="D1446" t="inlineStr">
        <is>
          <t>v4_white_MLLB_000_y103_0924</t>
        </is>
      </c>
      <c r="E1446" t="n">
        <v>3.2</v>
      </c>
      <c r="F1446" t="n">
        <v>3.208</v>
      </c>
      <c r="G1446" t="n">
        <v>15</v>
      </c>
      <c r="H1446" t="n">
        <v>60</v>
      </c>
      <c r="I1446" t="n">
        <v>42</v>
      </c>
      <c r="J1446" t="inlineStr">
        <is>
          <t>ince</t>
        </is>
      </c>
      <c r="K1446" t="b">
        <v>0</v>
      </c>
      <c r="L1446" t="inlineStr">
        <is>
          <t>iki-OK-arasi-monotonluk</t>
        </is>
      </c>
      <c r="X1446" t="b">
        <v>1</v>
      </c>
      <c r="Z1446" t="n">
        <v>935</v>
      </c>
      <c r="AA1446" t="n">
        <v>2.5</v>
      </c>
      <c r="AB1446" t="n">
        <v>9.5</v>
      </c>
    </row>
    <row r="1447">
      <c r="A1447" t="inlineStr">
        <is>
          <t>2026-09-24 16:46:22</t>
        </is>
      </c>
      <c r="B1447" t="inlineStr">
        <is>
          <t>MLLB_000_y1.0.3</t>
        </is>
      </c>
      <c r="C1447" t="inlineStr">
        <is>
          <t>WHITE</t>
        </is>
      </c>
      <c r="D1447" t="inlineStr">
        <is>
          <t>v4_white_MLLB_000_y103_0924</t>
        </is>
      </c>
      <c r="E1447" t="n">
        <v>3.2</v>
      </c>
      <c r="F1447" t="n">
        <v>3.208</v>
      </c>
      <c r="G1447" t="n">
        <v>15</v>
      </c>
      <c r="H1447" t="n">
        <v>60</v>
      </c>
      <c r="I1447" t="n">
        <v>43</v>
      </c>
      <c r="J1447" t="inlineStr">
        <is>
          <t>ince</t>
        </is>
      </c>
      <c r="K1447" t="b">
        <v>0</v>
      </c>
      <c r="L1447" t="inlineStr">
        <is>
          <t>iki-OK-arasi-monotonluk</t>
        </is>
      </c>
      <c r="X1447" t="b">
        <v>1</v>
      </c>
      <c r="Z1447" t="n">
        <v>935</v>
      </c>
      <c r="AA1447" t="n">
        <v>2.5</v>
      </c>
      <c r="AB1447" t="n">
        <v>9.5</v>
      </c>
    </row>
    <row r="1448">
      <c r="A1448" t="inlineStr">
        <is>
          <t>2026-09-24 16:46:38</t>
        </is>
      </c>
      <c r="B1448" t="inlineStr">
        <is>
          <t>MLLB_000_y1.0.3</t>
        </is>
      </c>
      <c r="C1448" t="inlineStr">
        <is>
          <t>WHITE</t>
        </is>
      </c>
      <c r="D1448" t="inlineStr">
        <is>
          <t>v4_white_MLLB_000_y103_0924</t>
        </is>
      </c>
      <c r="E1448" t="n">
        <v>3.2</v>
      </c>
      <c r="F1448" t="n">
        <v>3.208</v>
      </c>
      <c r="G1448" t="n">
        <v>15</v>
      </c>
      <c r="H1448" t="n">
        <v>60</v>
      </c>
      <c r="I1448" t="n">
        <v>45</v>
      </c>
      <c r="J1448" t="inlineStr">
        <is>
          <t>ince</t>
        </is>
      </c>
      <c r="K1448" t="b">
        <v>1</v>
      </c>
      <c r="M1448" t="n">
        <v>50</v>
      </c>
      <c r="N1448" t="n">
        <v>28</v>
      </c>
      <c r="O1448" t="n">
        <v>30</v>
      </c>
      <c r="P1448" t="n">
        <v>952</v>
      </c>
      <c r="Q1448" t="n">
        <v>1002</v>
      </c>
      <c r="R1448" t="n">
        <v>1.119</v>
      </c>
      <c r="S1448" t="n">
        <v>35.456</v>
      </c>
      <c r="T1448" t="n">
        <v>31.674</v>
      </c>
      <c r="U1448" t="n">
        <v>0.7786</v>
      </c>
      <c r="V1448" t="b">
        <v>1</v>
      </c>
      <c r="X1448" t="b">
        <v>1</v>
      </c>
      <c r="Z1448" t="n">
        <v>935</v>
      </c>
      <c r="AA1448" t="n">
        <v>2.5</v>
      </c>
      <c r="AB1448" t="n">
        <v>9.5</v>
      </c>
    </row>
    <row r="1449">
      <c r="A1449" t="inlineStr">
        <is>
          <t>2026-09-24 16:46:53</t>
        </is>
      </c>
      <c r="B1449" t="inlineStr">
        <is>
          <t>MLLB_000_y1.0.3</t>
        </is>
      </c>
      <c r="C1449" t="inlineStr">
        <is>
          <t>WHITE</t>
        </is>
      </c>
      <c r="D1449" t="inlineStr">
        <is>
          <t>v4_white_MLLB_000_y103_0924</t>
        </is>
      </c>
      <c r="E1449" t="n">
        <v>3.2</v>
      </c>
      <c r="F1449" t="n">
        <v>3.208</v>
      </c>
      <c r="G1449" t="n">
        <v>15</v>
      </c>
      <c r="H1449" t="n">
        <v>60</v>
      </c>
      <c r="I1449" t="n">
        <v>46</v>
      </c>
      <c r="J1449" t="inlineStr">
        <is>
          <t>ince</t>
        </is>
      </c>
      <c r="K1449" t="b">
        <v>1</v>
      </c>
      <c r="M1449" t="n">
        <v>50</v>
      </c>
      <c r="N1449" t="n">
        <v>28</v>
      </c>
      <c r="O1449" t="n">
        <v>30</v>
      </c>
      <c r="P1449" t="n">
        <v>952</v>
      </c>
      <c r="Q1449" t="n">
        <v>1002</v>
      </c>
      <c r="R1449" t="n">
        <v>1.12</v>
      </c>
      <c r="S1449" t="n">
        <v>35.456</v>
      </c>
      <c r="T1449" t="n">
        <v>31.656</v>
      </c>
      <c r="U1449" t="n">
        <v>0.7781</v>
      </c>
      <c r="V1449" t="b">
        <v>1</v>
      </c>
      <c r="X1449" t="b">
        <v>1</v>
      </c>
      <c r="Z1449" t="n">
        <v>935</v>
      </c>
      <c r="AA1449" t="n">
        <v>2.5</v>
      </c>
      <c r="AB1449" t="n">
        <v>9.5</v>
      </c>
    </row>
    <row r="1450">
      <c r="A1450" t="inlineStr">
        <is>
          <t>2026-09-24 16:47:10</t>
        </is>
      </c>
      <c r="B1450" t="inlineStr">
        <is>
          <t>MLLB_000_y1.0.3</t>
        </is>
      </c>
      <c r="C1450" t="inlineStr">
        <is>
          <t>WHITE</t>
        </is>
      </c>
      <c r="D1450" t="inlineStr">
        <is>
          <t>v4_white_MLLB_000_y103_0924</t>
        </is>
      </c>
      <c r="E1450" t="n">
        <v>3.2</v>
      </c>
      <c r="F1450" t="n">
        <v>3.208</v>
      </c>
      <c r="G1450" t="n">
        <v>15</v>
      </c>
      <c r="H1450" t="n">
        <v>60</v>
      </c>
      <c r="I1450" t="n">
        <v>47</v>
      </c>
      <c r="J1450" t="inlineStr">
        <is>
          <t>ince</t>
        </is>
      </c>
      <c r="K1450" t="b">
        <v>1</v>
      </c>
      <c r="M1450" t="n">
        <v>50</v>
      </c>
      <c r="N1450" t="n">
        <v>28</v>
      </c>
      <c r="O1450" t="n">
        <v>30</v>
      </c>
      <c r="P1450" t="n">
        <v>952</v>
      </c>
      <c r="Q1450" t="n">
        <v>1002</v>
      </c>
      <c r="R1450" t="n">
        <v>2.494</v>
      </c>
      <c r="S1450" t="n">
        <v>78.995</v>
      </c>
      <c r="T1450" t="n">
        <v>31.674</v>
      </c>
      <c r="U1450" t="n">
        <v>0.7781</v>
      </c>
      <c r="V1450" t="b">
        <v>1</v>
      </c>
      <c r="X1450" t="b">
        <v>1</v>
      </c>
      <c r="Z1450" t="n">
        <v>935</v>
      </c>
      <c r="AA1450" t="n">
        <v>2.5</v>
      </c>
      <c r="AB1450" t="n">
        <v>9.5</v>
      </c>
    </row>
    <row r="1451">
      <c r="A1451" t="inlineStr">
        <is>
          <t>2026-09-24 16:47:10</t>
        </is>
      </c>
      <c r="B1451" t="inlineStr">
        <is>
          <t>MLLB_000_y1.0.3</t>
        </is>
      </c>
      <c r="C1451" t="inlineStr">
        <is>
          <t>WHITE</t>
        </is>
      </c>
      <c r="D1451" t="inlineStr">
        <is>
          <t>v4_white_MLLB_000_y103_0924</t>
        </is>
      </c>
      <c r="E1451" t="n">
        <v>3.2</v>
      </c>
      <c r="F1451" t="n">
        <v>3.208</v>
      </c>
      <c r="G1451" t="n">
        <v>15</v>
      </c>
      <c r="H1451" t="n">
        <v>60</v>
      </c>
      <c r="J1451" t="inlineStr">
        <is>
          <t>bitti</t>
        </is>
      </c>
      <c r="K1451" t="b">
        <v>0</v>
      </c>
      <c r="Z1451" t="n">
        <v>935</v>
      </c>
      <c r="AA1451" t="n">
        <v>2.5</v>
      </c>
      <c r="AB1451" t="n">
        <v>9.5</v>
      </c>
    </row>
    <row r="1452">
      <c r="A1452" t="inlineStr">
        <is>
          <t>2026-09-24 16:47:32</t>
        </is>
      </c>
      <c r="B1452" t="inlineStr">
        <is>
          <t>MLLB_000_y1.0.3</t>
        </is>
      </c>
      <c r="C1452" t="inlineStr">
        <is>
          <t>WHITE</t>
        </is>
      </c>
      <c r="D1452" t="inlineStr">
        <is>
          <t>v4_white_MLLB_000_y103_0924</t>
        </is>
      </c>
      <c r="E1452" t="n">
        <v>3.2</v>
      </c>
      <c r="F1452" t="n">
        <v>3.208</v>
      </c>
      <c r="G1452" t="n">
        <v>100</v>
      </c>
      <c r="H1452" t="n">
        <v>100</v>
      </c>
      <c r="I1452" t="n">
        <v>12</v>
      </c>
      <c r="J1452" t="inlineStr">
        <is>
          <t>kaba</t>
        </is>
      </c>
      <c r="K1452" t="b">
        <v>1</v>
      </c>
      <c r="M1452" t="n">
        <v>34</v>
      </c>
      <c r="N1452" t="n">
        <v>28</v>
      </c>
      <c r="O1452" t="n">
        <v>14</v>
      </c>
      <c r="P1452" t="n">
        <v>968</v>
      </c>
      <c r="Q1452" t="n">
        <v>1002</v>
      </c>
      <c r="R1452" t="n">
        <v>1.066</v>
      </c>
      <c r="S1452" t="n">
        <v>243.982</v>
      </c>
      <c r="T1452" t="n">
        <v>228.772</v>
      </c>
      <c r="U1452" t="n">
        <v>0.7776</v>
      </c>
      <c r="V1452" t="b">
        <v>1</v>
      </c>
      <c r="X1452" t="b">
        <v>1</v>
      </c>
      <c r="Z1452" t="n">
        <v>935</v>
      </c>
      <c r="AA1452" t="n">
        <v>2.5</v>
      </c>
      <c r="AB1452" t="n">
        <v>9.5</v>
      </c>
    </row>
    <row r="1453">
      <c r="A1453" t="inlineStr">
        <is>
          <t>2026-09-24 16:47:48</t>
        </is>
      </c>
      <c r="B1453" t="inlineStr">
        <is>
          <t>MLLB_000_y1.0.3</t>
        </is>
      </c>
      <c r="C1453" t="inlineStr">
        <is>
          <t>WHITE</t>
        </is>
      </c>
      <c r="D1453" t="inlineStr">
        <is>
          <t>v4_white_MLLB_000_y103_0924</t>
        </is>
      </c>
      <c r="E1453" t="n">
        <v>3.2</v>
      </c>
      <c r="F1453" t="n">
        <v>3.208</v>
      </c>
      <c r="G1453" t="n">
        <v>100</v>
      </c>
      <c r="H1453" t="n">
        <v>100</v>
      </c>
      <c r="I1453" t="n">
        <v>16</v>
      </c>
      <c r="J1453" t="inlineStr">
        <is>
          <t>kaba</t>
        </is>
      </c>
      <c r="K1453" t="b">
        <v>1</v>
      </c>
      <c r="M1453" t="n">
        <v>34</v>
      </c>
      <c r="N1453" t="n">
        <v>28</v>
      </c>
      <c r="O1453" t="n">
        <v>14</v>
      </c>
      <c r="P1453" t="n">
        <v>968</v>
      </c>
      <c r="Q1453" t="n">
        <v>1002</v>
      </c>
      <c r="R1453" t="n">
        <v>1.066</v>
      </c>
      <c r="S1453" t="n">
        <v>243.864</v>
      </c>
      <c r="T1453" t="n">
        <v>228.856</v>
      </c>
      <c r="U1453" t="n">
        <v>0.7781</v>
      </c>
      <c r="V1453" t="b">
        <v>1</v>
      </c>
      <c r="X1453" t="b">
        <v>1</v>
      </c>
      <c r="Z1453" t="n">
        <v>935</v>
      </c>
      <c r="AA1453" t="n">
        <v>2.5</v>
      </c>
      <c r="AB1453" t="n">
        <v>9.5</v>
      </c>
    </row>
    <row r="1454">
      <c r="A1454" t="inlineStr">
        <is>
          <t>2026-09-24 16:48:04</t>
        </is>
      </c>
      <c r="B1454" t="inlineStr">
        <is>
          <t>MLLB_000_y1.0.3</t>
        </is>
      </c>
      <c r="C1454" t="inlineStr">
        <is>
          <t>WHITE</t>
        </is>
      </c>
      <c r="D1454" t="inlineStr">
        <is>
          <t>v4_white_MLLB_000_y103_0924</t>
        </is>
      </c>
      <c r="E1454" t="n">
        <v>3.2</v>
      </c>
      <c r="F1454" t="n">
        <v>3.208</v>
      </c>
      <c r="G1454" t="n">
        <v>100</v>
      </c>
      <c r="H1454" t="n">
        <v>100</v>
      </c>
      <c r="I1454" t="n">
        <v>20</v>
      </c>
      <c r="J1454" t="inlineStr">
        <is>
          <t>kaba</t>
        </is>
      </c>
      <c r="K1454" t="b">
        <v>1</v>
      </c>
      <c r="M1454" t="n">
        <v>34</v>
      </c>
      <c r="N1454" t="n">
        <v>28</v>
      </c>
      <c r="O1454" t="n">
        <v>14</v>
      </c>
      <c r="P1454" t="n">
        <v>968</v>
      </c>
      <c r="Q1454" t="n">
        <v>1002</v>
      </c>
      <c r="R1454" t="n">
        <v>1.066</v>
      </c>
      <c r="S1454" t="n">
        <v>243.864</v>
      </c>
      <c r="T1454" t="n">
        <v>228.801</v>
      </c>
      <c r="U1454" t="n">
        <v>0.7781</v>
      </c>
      <c r="V1454" t="b">
        <v>1</v>
      </c>
      <c r="X1454" t="b">
        <v>1</v>
      </c>
      <c r="Z1454" t="n">
        <v>935</v>
      </c>
      <c r="AA1454" t="n">
        <v>2.5</v>
      </c>
      <c r="AB1454" t="n">
        <v>9.5</v>
      </c>
    </row>
    <row r="1455">
      <c r="A1455" t="inlineStr">
        <is>
          <t>2026-09-24 16:48:20</t>
        </is>
      </c>
      <c r="B1455" t="inlineStr">
        <is>
          <t>MLLB_000_y1.0.3</t>
        </is>
      </c>
      <c r="C1455" t="inlineStr">
        <is>
          <t>WHITE</t>
        </is>
      </c>
      <c r="D1455" t="inlineStr">
        <is>
          <t>v4_white_MLLB_000_y103_0924</t>
        </is>
      </c>
      <c r="E1455" t="n">
        <v>3.2</v>
      </c>
      <c r="F1455" t="n">
        <v>3.208</v>
      </c>
      <c r="G1455" t="n">
        <v>100</v>
      </c>
      <c r="H1455" t="n">
        <v>100</v>
      </c>
      <c r="I1455" t="n">
        <v>24</v>
      </c>
      <c r="J1455" t="inlineStr">
        <is>
          <t>kaba</t>
        </is>
      </c>
      <c r="K1455" t="b">
        <v>1</v>
      </c>
      <c r="M1455" t="n">
        <v>34</v>
      </c>
      <c r="N1455" t="n">
        <v>28</v>
      </c>
      <c r="O1455" t="n">
        <v>14</v>
      </c>
      <c r="P1455" t="n">
        <v>968</v>
      </c>
      <c r="Q1455" t="n">
        <v>1002</v>
      </c>
      <c r="R1455" t="n">
        <v>1.066</v>
      </c>
      <c r="S1455" t="n">
        <v>243.864</v>
      </c>
      <c r="T1455" t="n">
        <v>228.759</v>
      </c>
      <c r="U1455" t="n">
        <v>0.7776999999999999</v>
      </c>
      <c r="V1455" t="b">
        <v>1</v>
      </c>
      <c r="X1455" t="b">
        <v>1</v>
      </c>
      <c r="Z1455" t="n">
        <v>935</v>
      </c>
      <c r="AA1455" t="n">
        <v>2.5</v>
      </c>
      <c r="AB1455" t="n">
        <v>9.5</v>
      </c>
    </row>
    <row r="1456">
      <c r="A1456" t="inlineStr">
        <is>
          <t>2026-09-24 16:48:36</t>
        </is>
      </c>
      <c r="B1456" t="inlineStr">
        <is>
          <t>MLLB_000_y1.0.3</t>
        </is>
      </c>
      <c r="C1456" t="inlineStr">
        <is>
          <t>WHITE</t>
        </is>
      </c>
      <c r="D1456" t="inlineStr">
        <is>
          <t>v4_white_MLLB_000_y103_0924</t>
        </is>
      </c>
      <c r="E1456" t="n">
        <v>3.2</v>
      </c>
      <c r="F1456" t="n">
        <v>3.208</v>
      </c>
      <c r="G1456" t="n">
        <v>100</v>
      </c>
      <c r="H1456" t="n">
        <v>100</v>
      </c>
      <c r="I1456" t="n">
        <v>28</v>
      </c>
      <c r="J1456" t="inlineStr">
        <is>
          <t>kaba</t>
        </is>
      </c>
      <c r="K1456" t="b">
        <v>1</v>
      </c>
      <c r="M1456" t="n">
        <v>34</v>
      </c>
      <c r="N1456" t="n">
        <v>28</v>
      </c>
      <c r="O1456" t="n">
        <v>14</v>
      </c>
      <c r="P1456" t="n">
        <v>968</v>
      </c>
      <c r="Q1456" t="n">
        <v>1002</v>
      </c>
      <c r="R1456" t="n">
        <v>1.066</v>
      </c>
      <c r="S1456" t="n">
        <v>243.864</v>
      </c>
      <c r="T1456" t="n">
        <v>228.865</v>
      </c>
      <c r="U1456" t="n">
        <v>0.7779</v>
      </c>
      <c r="V1456" t="b">
        <v>1</v>
      </c>
      <c r="X1456" t="b">
        <v>1</v>
      </c>
      <c r="Z1456" t="n">
        <v>935</v>
      </c>
      <c r="AA1456" t="n">
        <v>2.5</v>
      </c>
      <c r="AB1456" t="n">
        <v>9.5</v>
      </c>
    </row>
    <row r="1457">
      <c r="A1457" t="inlineStr">
        <is>
          <t>2026-09-24 16:48:52</t>
        </is>
      </c>
      <c r="B1457" t="inlineStr">
        <is>
          <t>MLLB_000_y1.0.3</t>
        </is>
      </c>
      <c r="C1457" t="inlineStr">
        <is>
          <t>WHITE</t>
        </is>
      </c>
      <c r="D1457" t="inlineStr">
        <is>
          <t>v4_white_MLLB_000_y103_0924</t>
        </is>
      </c>
      <c r="E1457" t="n">
        <v>3.2</v>
      </c>
      <c r="F1457" t="n">
        <v>3.208</v>
      </c>
      <c r="G1457" t="n">
        <v>100</v>
      </c>
      <c r="H1457" t="n">
        <v>100</v>
      </c>
      <c r="I1457" t="n">
        <v>32</v>
      </c>
      <c r="J1457" t="inlineStr">
        <is>
          <t>kaba</t>
        </is>
      </c>
      <c r="K1457" t="b">
        <v>1</v>
      </c>
      <c r="M1457" t="n">
        <v>34</v>
      </c>
      <c r="N1457" t="n">
        <v>28</v>
      </c>
      <c r="O1457" t="n">
        <v>14</v>
      </c>
      <c r="P1457" t="n">
        <v>968</v>
      </c>
      <c r="Q1457" t="n">
        <v>1002</v>
      </c>
      <c r="R1457" t="n">
        <v>1.067</v>
      </c>
      <c r="S1457" t="n">
        <v>243.864</v>
      </c>
      <c r="T1457" t="n">
        <v>228.593</v>
      </c>
      <c r="U1457" t="n">
        <v>0.7781</v>
      </c>
      <c r="V1457" t="b">
        <v>1</v>
      </c>
      <c r="X1457" t="b">
        <v>1</v>
      </c>
      <c r="Z1457" t="n">
        <v>935</v>
      </c>
      <c r="AA1457" t="n">
        <v>2.5</v>
      </c>
      <c r="AB1457" t="n">
        <v>9.5</v>
      </c>
    </row>
    <row r="1458">
      <c r="A1458" t="inlineStr">
        <is>
          <t>2026-09-24 16:49:08</t>
        </is>
      </c>
      <c r="B1458" t="inlineStr">
        <is>
          <t>MLLB_000_y1.0.3</t>
        </is>
      </c>
      <c r="C1458" t="inlineStr">
        <is>
          <t>WHITE</t>
        </is>
      </c>
      <c r="D1458" t="inlineStr">
        <is>
          <t>v4_white_MLLB_000_y103_0924</t>
        </is>
      </c>
      <c r="E1458" t="n">
        <v>3.2</v>
      </c>
      <c r="F1458" t="n">
        <v>3.208</v>
      </c>
      <c r="G1458" t="n">
        <v>100</v>
      </c>
      <c r="H1458" t="n">
        <v>100</v>
      </c>
      <c r="I1458" t="n">
        <v>36</v>
      </c>
      <c r="J1458" t="inlineStr">
        <is>
          <t>kaba</t>
        </is>
      </c>
      <c r="K1458" t="b">
        <v>1</v>
      </c>
      <c r="M1458" t="n">
        <v>34</v>
      </c>
      <c r="N1458" t="n">
        <v>28</v>
      </c>
      <c r="O1458" t="n">
        <v>14</v>
      </c>
      <c r="P1458" t="n">
        <v>968</v>
      </c>
      <c r="Q1458" t="n">
        <v>1002</v>
      </c>
      <c r="R1458" t="n">
        <v>1.066</v>
      </c>
      <c r="S1458" t="n">
        <v>243.864</v>
      </c>
      <c r="T1458" t="n">
        <v>228.686</v>
      </c>
      <c r="U1458" t="n">
        <v>0.7776</v>
      </c>
      <c r="V1458" t="b">
        <v>1</v>
      </c>
      <c r="X1458" t="b">
        <v>1</v>
      </c>
      <c r="Z1458" t="n">
        <v>935</v>
      </c>
      <c r="AA1458" t="n">
        <v>2.5</v>
      </c>
      <c r="AB1458" t="n">
        <v>9.5</v>
      </c>
    </row>
    <row r="1459">
      <c r="A1459" t="inlineStr">
        <is>
          <t>2026-09-24 16:49:20</t>
        </is>
      </c>
      <c r="B1459" t="inlineStr">
        <is>
          <t>MLLB_000_y1.0.3</t>
        </is>
      </c>
      <c r="C1459" t="inlineStr">
        <is>
          <t>WHITE</t>
        </is>
      </c>
      <c r="D1459" t="inlineStr">
        <is>
          <t>v4_white_MLLB_000_y103_0924</t>
        </is>
      </c>
      <c r="E1459" t="n">
        <v>3.2</v>
      </c>
      <c r="F1459" t="n">
        <v>3.208</v>
      </c>
      <c r="G1459" t="n">
        <v>100</v>
      </c>
      <c r="H1459" t="n">
        <v>100</v>
      </c>
      <c r="I1459" t="n">
        <v>40</v>
      </c>
      <c r="J1459" t="inlineStr">
        <is>
          <t>kaba</t>
        </is>
      </c>
      <c r="K1459" t="b">
        <v>1</v>
      </c>
      <c r="M1459" t="n">
        <v>34</v>
      </c>
      <c r="N1459" t="n">
        <v>28</v>
      </c>
      <c r="O1459" t="n">
        <v>14</v>
      </c>
      <c r="P1459" t="n">
        <v>968</v>
      </c>
      <c r="Q1459" t="n">
        <v>1002</v>
      </c>
      <c r="R1459" t="n">
        <v>1.067</v>
      </c>
      <c r="S1459" t="n">
        <v>243.864</v>
      </c>
      <c r="T1459" t="n">
        <v>228.566</v>
      </c>
      <c r="U1459" t="n">
        <v>0.7783</v>
      </c>
      <c r="V1459" t="b">
        <v>1</v>
      </c>
      <c r="X1459" t="b">
        <v>1</v>
      </c>
      <c r="Z1459" t="n">
        <v>935</v>
      </c>
      <c r="AA1459" t="n">
        <v>2.5</v>
      </c>
      <c r="AB1459" t="n">
        <v>9.5</v>
      </c>
    </row>
    <row r="1460">
      <c r="A1460" t="inlineStr">
        <is>
          <t>2026-09-24 16:49:36</t>
        </is>
      </c>
      <c r="B1460" t="inlineStr">
        <is>
          <t>MLLB_000_y1.0.3</t>
        </is>
      </c>
      <c r="C1460" t="inlineStr">
        <is>
          <t>WHITE</t>
        </is>
      </c>
      <c r="D1460" t="inlineStr">
        <is>
          <t>v4_white_MLLB_000_y103_0924</t>
        </is>
      </c>
      <c r="E1460" t="n">
        <v>3.2</v>
      </c>
      <c r="F1460" t="n">
        <v>3.208</v>
      </c>
      <c r="G1460" t="n">
        <v>100</v>
      </c>
      <c r="H1460" t="n">
        <v>100</v>
      </c>
      <c r="I1460" t="n">
        <v>44</v>
      </c>
      <c r="J1460" t="inlineStr">
        <is>
          <t>kaba</t>
        </is>
      </c>
      <c r="K1460" t="b">
        <v>1</v>
      </c>
      <c r="M1460" t="n">
        <v>34</v>
      </c>
      <c r="N1460" t="n">
        <v>28</v>
      </c>
      <c r="O1460" t="n">
        <v>14</v>
      </c>
      <c r="P1460" t="n">
        <v>968</v>
      </c>
      <c r="Q1460" t="n">
        <v>1002</v>
      </c>
      <c r="R1460" t="n">
        <v>1.067</v>
      </c>
      <c r="S1460" t="n">
        <v>243.864</v>
      </c>
      <c r="T1460" t="n">
        <v>228.575</v>
      </c>
      <c r="U1460" t="n">
        <v>0.7786</v>
      </c>
      <c r="V1460" t="b">
        <v>1</v>
      </c>
      <c r="X1460" t="b">
        <v>1</v>
      </c>
      <c r="Z1460" t="n">
        <v>935</v>
      </c>
      <c r="AA1460" t="n">
        <v>2.5</v>
      </c>
      <c r="AB1460" t="n">
        <v>9.5</v>
      </c>
    </row>
    <row r="1461">
      <c r="A1461" t="inlineStr">
        <is>
          <t>2026-09-24 16:49:52</t>
        </is>
      </c>
      <c r="B1461" t="inlineStr">
        <is>
          <t>MLLB_000_y1.0.3</t>
        </is>
      </c>
      <c r="C1461" t="inlineStr">
        <is>
          <t>WHITE</t>
        </is>
      </c>
      <c r="D1461" t="inlineStr">
        <is>
          <t>v4_white_MLLB_000_y103_0924</t>
        </is>
      </c>
      <c r="E1461" t="n">
        <v>3.2</v>
      </c>
      <c r="F1461" t="n">
        <v>3.208</v>
      </c>
      <c r="G1461" t="n">
        <v>100</v>
      </c>
      <c r="H1461" t="n">
        <v>100</v>
      </c>
      <c r="I1461" t="n">
        <v>48</v>
      </c>
      <c r="J1461" t="inlineStr">
        <is>
          <t>kaba</t>
        </is>
      </c>
      <c r="K1461" t="b">
        <v>1</v>
      </c>
      <c r="M1461" t="n">
        <v>34</v>
      </c>
      <c r="N1461" t="n">
        <v>28</v>
      </c>
      <c r="O1461" t="n">
        <v>14</v>
      </c>
      <c r="P1461" t="n">
        <v>968</v>
      </c>
      <c r="Q1461" t="n">
        <v>1002</v>
      </c>
      <c r="R1461" t="n">
        <v>1.067</v>
      </c>
      <c r="S1461" t="n">
        <v>243.864</v>
      </c>
      <c r="T1461" t="n">
        <v>228.5</v>
      </c>
      <c r="U1461" t="n">
        <v>0.7778</v>
      </c>
      <c r="V1461" t="b">
        <v>1</v>
      </c>
      <c r="X1461" t="b">
        <v>1</v>
      </c>
      <c r="Z1461" t="n">
        <v>935</v>
      </c>
      <c r="AA1461" t="n">
        <v>2.5</v>
      </c>
      <c r="AB1461" t="n">
        <v>9.5</v>
      </c>
    </row>
    <row r="1462">
      <c r="A1462" t="inlineStr">
        <is>
          <t>2026-09-24 16:50:07</t>
        </is>
      </c>
      <c r="B1462" t="inlineStr">
        <is>
          <t>MLLB_000_y1.0.3</t>
        </is>
      </c>
      <c r="C1462" t="inlineStr">
        <is>
          <t>WHITE</t>
        </is>
      </c>
      <c r="D1462" t="inlineStr">
        <is>
          <t>v4_white_MLLB_000_y103_0924</t>
        </is>
      </c>
      <c r="E1462" t="n">
        <v>3.2</v>
      </c>
      <c r="F1462" t="n">
        <v>3.208</v>
      </c>
      <c r="G1462" t="n">
        <v>100</v>
      </c>
      <c r="H1462" t="n">
        <v>100</v>
      </c>
      <c r="I1462" t="n">
        <v>52</v>
      </c>
      <c r="J1462" t="inlineStr">
        <is>
          <t>kaba</t>
        </is>
      </c>
      <c r="K1462" t="b">
        <v>1</v>
      </c>
      <c r="M1462" t="n">
        <v>34</v>
      </c>
      <c r="N1462" t="n">
        <v>28</v>
      </c>
      <c r="O1462" t="n">
        <v>14</v>
      </c>
      <c r="P1462" t="n">
        <v>968</v>
      </c>
      <c r="Q1462" t="n">
        <v>1002</v>
      </c>
      <c r="R1462" t="n">
        <v>1.067</v>
      </c>
      <c r="S1462" t="n">
        <v>243.864</v>
      </c>
      <c r="T1462" t="n">
        <v>228.608</v>
      </c>
      <c r="U1462" t="n">
        <v>0.7781</v>
      </c>
      <c r="V1462" t="b">
        <v>1</v>
      </c>
      <c r="X1462" t="b">
        <v>1</v>
      </c>
      <c r="Z1462" t="n">
        <v>935</v>
      </c>
      <c r="AA1462" t="n">
        <v>2.5</v>
      </c>
      <c r="AB1462" t="n">
        <v>9.5</v>
      </c>
    </row>
    <row r="1463">
      <c r="A1463" t="inlineStr">
        <is>
          <t>2026-09-24 16:50:24</t>
        </is>
      </c>
      <c r="B1463" t="inlineStr">
        <is>
          <t>MLLB_000_y1.0.3</t>
        </is>
      </c>
      <c r="C1463" t="inlineStr">
        <is>
          <t>WHITE</t>
        </is>
      </c>
      <c r="D1463" t="inlineStr">
        <is>
          <t>v4_white_MLLB_000_y103_0924</t>
        </is>
      </c>
      <c r="E1463" t="n">
        <v>3.2</v>
      </c>
      <c r="F1463" t="n">
        <v>3.208</v>
      </c>
      <c r="G1463" t="n">
        <v>100</v>
      </c>
      <c r="H1463" t="n">
        <v>100</v>
      </c>
      <c r="I1463" t="n">
        <v>56</v>
      </c>
      <c r="J1463" t="inlineStr">
        <is>
          <t>kaba</t>
        </is>
      </c>
      <c r="K1463" t="b">
        <v>1</v>
      </c>
      <c r="M1463" t="n">
        <v>34</v>
      </c>
      <c r="N1463" t="n">
        <v>28</v>
      </c>
      <c r="O1463" t="n">
        <v>14</v>
      </c>
      <c r="P1463" t="n">
        <v>968</v>
      </c>
      <c r="Q1463" t="n">
        <v>1002</v>
      </c>
      <c r="R1463" t="n">
        <v>1.066</v>
      </c>
      <c r="S1463" t="n">
        <v>243.864</v>
      </c>
      <c r="T1463" t="n">
        <v>228.719</v>
      </c>
      <c r="U1463" t="n">
        <v>0.7784</v>
      </c>
      <c r="V1463" t="b">
        <v>1</v>
      </c>
      <c r="X1463" t="b">
        <v>1</v>
      </c>
      <c r="Z1463" t="n">
        <v>935</v>
      </c>
      <c r="AA1463" t="n">
        <v>2.5</v>
      </c>
      <c r="AB1463" t="n">
        <v>9.5</v>
      </c>
    </row>
    <row r="1464">
      <c r="A1464" t="inlineStr">
        <is>
          <t>2026-09-24 16:50:39</t>
        </is>
      </c>
      <c r="B1464" t="inlineStr">
        <is>
          <t>MLLB_000_y1.0.3</t>
        </is>
      </c>
      <c r="C1464" t="inlineStr">
        <is>
          <t>WHITE</t>
        </is>
      </c>
      <c r="D1464" t="inlineStr">
        <is>
          <t>v4_white_MLLB_000_y103_0924</t>
        </is>
      </c>
      <c r="E1464" t="n">
        <v>3.2</v>
      </c>
      <c r="F1464" t="n">
        <v>3.208</v>
      </c>
      <c r="G1464" t="n">
        <v>100</v>
      </c>
      <c r="H1464" t="n">
        <v>100</v>
      </c>
      <c r="I1464" t="n">
        <v>58</v>
      </c>
      <c r="J1464" t="inlineStr">
        <is>
          <t>kaba</t>
        </is>
      </c>
      <c r="K1464" t="b">
        <v>1</v>
      </c>
      <c r="M1464" t="n">
        <v>34</v>
      </c>
      <c r="N1464" t="n">
        <v>28</v>
      </c>
      <c r="O1464" t="n">
        <v>14</v>
      </c>
      <c r="P1464" t="n">
        <v>968</v>
      </c>
      <c r="Q1464" t="n">
        <v>1002</v>
      </c>
      <c r="R1464" t="n">
        <v>1.067</v>
      </c>
      <c r="S1464" t="n">
        <v>243.864</v>
      </c>
      <c r="T1464" t="n">
        <v>228.619</v>
      </c>
      <c r="U1464" t="n">
        <v>0.7781</v>
      </c>
      <c r="V1464" t="b">
        <v>1</v>
      </c>
      <c r="X1464" t="b">
        <v>1</v>
      </c>
      <c r="Z1464" t="n">
        <v>935</v>
      </c>
      <c r="AA1464" t="n">
        <v>2.5</v>
      </c>
      <c r="AB1464" t="n">
        <v>9.5</v>
      </c>
    </row>
    <row r="1465">
      <c r="A1465" t="inlineStr">
        <is>
          <t>2026-09-24 16:50:40</t>
        </is>
      </c>
      <c r="B1465" t="inlineStr">
        <is>
          <t>MLLB_000_y1.0.3</t>
        </is>
      </c>
      <c r="C1465" t="inlineStr">
        <is>
          <t>WHITE</t>
        </is>
      </c>
      <c r="D1465" t="inlineStr">
        <is>
          <t>v4_white_MLLB_000_y103_0924</t>
        </is>
      </c>
      <c r="E1465" t="n">
        <v>3.2</v>
      </c>
      <c r="F1465" t="n">
        <v>3.208</v>
      </c>
      <c r="G1465" t="n">
        <v>100</v>
      </c>
      <c r="H1465" t="n">
        <v>100</v>
      </c>
      <c r="I1465" t="n">
        <v>13</v>
      </c>
      <c r="J1465" t="inlineStr">
        <is>
          <t>ince</t>
        </is>
      </c>
      <c r="K1465" t="b">
        <v>0</v>
      </c>
      <c r="L1465" t="inlineStr">
        <is>
          <t>iki-OK-arasi-monotonluk</t>
        </is>
      </c>
      <c r="X1465" t="b">
        <v>1</v>
      </c>
      <c r="Z1465" t="n">
        <v>935</v>
      </c>
      <c r="AA1465" t="n">
        <v>2.5</v>
      </c>
      <c r="AB1465" t="n">
        <v>9.5</v>
      </c>
    </row>
    <row r="1466">
      <c r="A1466" t="inlineStr">
        <is>
          <t>2026-09-24 16:50:40</t>
        </is>
      </c>
      <c r="B1466" t="inlineStr">
        <is>
          <t>MLLB_000_y1.0.3</t>
        </is>
      </c>
      <c r="C1466" t="inlineStr">
        <is>
          <t>WHITE</t>
        </is>
      </c>
      <c r="D1466" t="inlineStr">
        <is>
          <t>v4_white_MLLB_000_y103_0924</t>
        </is>
      </c>
      <c r="E1466" t="n">
        <v>3.2</v>
      </c>
      <c r="F1466" t="n">
        <v>3.208</v>
      </c>
      <c r="G1466" t="n">
        <v>100</v>
      </c>
      <c r="H1466" t="n">
        <v>100</v>
      </c>
      <c r="I1466" t="n">
        <v>14</v>
      </c>
      <c r="J1466" t="inlineStr">
        <is>
          <t>ince</t>
        </is>
      </c>
      <c r="K1466" t="b">
        <v>0</v>
      </c>
      <c r="L1466" t="inlineStr">
        <is>
          <t>iki-OK-arasi-monotonluk</t>
        </is>
      </c>
      <c r="X1466" t="b">
        <v>1</v>
      </c>
      <c r="Z1466" t="n">
        <v>935</v>
      </c>
      <c r="AA1466" t="n">
        <v>2.5</v>
      </c>
      <c r="AB1466" t="n">
        <v>9.5</v>
      </c>
    </row>
    <row r="1467">
      <c r="A1467" t="inlineStr">
        <is>
          <t>2026-09-24 16:50:40</t>
        </is>
      </c>
      <c r="B1467" t="inlineStr">
        <is>
          <t>MLLB_000_y1.0.3</t>
        </is>
      </c>
      <c r="C1467" t="inlineStr">
        <is>
          <t>WHITE</t>
        </is>
      </c>
      <c r="D1467" t="inlineStr">
        <is>
          <t>v4_white_MLLB_000_y103_0924</t>
        </is>
      </c>
      <c r="E1467" t="n">
        <v>3.2</v>
      </c>
      <c r="F1467" t="n">
        <v>3.208</v>
      </c>
      <c r="G1467" t="n">
        <v>100</v>
      </c>
      <c r="H1467" t="n">
        <v>100</v>
      </c>
      <c r="I1467" t="n">
        <v>15</v>
      </c>
      <c r="J1467" t="inlineStr">
        <is>
          <t>ince</t>
        </is>
      </c>
      <c r="K1467" t="b">
        <v>0</v>
      </c>
      <c r="L1467" t="inlineStr">
        <is>
          <t>iki-OK-arasi-monotonluk</t>
        </is>
      </c>
      <c r="X1467" t="b">
        <v>1</v>
      </c>
      <c r="Z1467" t="n">
        <v>935</v>
      </c>
      <c r="AA1467" t="n">
        <v>2.5</v>
      </c>
      <c r="AB1467" t="n">
        <v>9.5</v>
      </c>
    </row>
    <row r="1468">
      <c r="A1468" t="inlineStr">
        <is>
          <t>2026-09-24 16:50:40</t>
        </is>
      </c>
      <c r="B1468" t="inlineStr">
        <is>
          <t>MLLB_000_y1.0.3</t>
        </is>
      </c>
      <c r="C1468" t="inlineStr">
        <is>
          <t>WHITE</t>
        </is>
      </c>
      <c r="D1468" t="inlineStr">
        <is>
          <t>v4_white_MLLB_000_y103_0924</t>
        </is>
      </c>
      <c r="E1468" t="n">
        <v>3.2</v>
      </c>
      <c r="F1468" t="n">
        <v>3.208</v>
      </c>
      <c r="G1468" t="n">
        <v>100</v>
      </c>
      <c r="H1468" t="n">
        <v>100</v>
      </c>
      <c r="I1468" t="n">
        <v>17</v>
      </c>
      <c r="J1468" t="inlineStr">
        <is>
          <t>ince</t>
        </is>
      </c>
      <c r="K1468" t="b">
        <v>0</v>
      </c>
      <c r="L1468" t="inlineStr">
        <is>
          <t>iki-OK-arasi-monotonluk</t>
        </is>
      </c>
      <c r="X1468" t="b">
        <v>1</v>
      </c>
      <c r="Z1468" t="n">
        <v>935</v>
      </c>
      <c r="AA1468" t="n">
        <v>2.5</v>
      </c>
      <c r="AB1468" t="n">
        <v>9.5</v>
      </c>
    </row>
    <row r="1469">
      <c r="A1469" t="inlineStr">
        <is>
          <t>2026-09-24 16:50:40</t>
        </is>
      </c>
      <c r="B1469" t="inlineStr">
        <is>
          <t>MLLB_000_y1.0.3</t>
        </is>
      </c>
      <c r="C1469" t="inlineStr">
        <is>
          <t>WHITE</t>
        </is>
      </c>
      <c r="D1469" t="inlineStr">
        <is>
          <t>v4_white_MLLB_000_y103_0924</t>
        </is>
      </c>
      <c r="E1469" t="n">
        <v>3.2</v>
      </c>
      <c r="F1469" t="n">
        <v>3.208</v>
      </c>
      <c r="G1469" t="n">
        <v>100</v>
      </c>
      <c r="H1469" t="n">
        <v>100</v>
      </c>
      <c r="I1469" t="n">
        <v>18</v>
      </c>
      <c r="J1469" t="inlineStr">
        <is>
          <t>ince</t>
        </is>
      </c>
      <c r="K1469" t="b">
        <v>0</v>
      </c>
      <c r="L1469" t="inlineStr">
        <is>
          <t>iki-OK-arasi-monotonluk</t>
        </is>
      </c>
      <c r="X1469" t="b">
        <v>1</v>
      </c>
      <c r="Z1469" t="n">
        <v>935</v>
      </c>
      <c r="AA1469" t="n">
        <v>2.5</v>
      </c>
      <c r="AB1469" t="n">
        <v>9.5</v>
      </c>
    </row>
    <row r="1470">
      <c r="A1470" t="inlineStr">
        <is>
          <t>2026-09-24 16:50:40</t>
        </is>
      </c>
      <c r="B1470" t="inlineStr">
        <is>
          <t>MLLB_000_y1.0.3</t>
        </is>
      </c>
      <c r="C1470" t="inlineStr">
        <is>
          <t>WHITE</t>
        </is>
      </c>
      <c r="D1470" t="inlineStr">
        <is>
          <t>v4_white_MLLB_000_y103_0924</t>
        </is>
      </c>
      <c r="E1470" t="n">
        <v>3.2</v>
      </c>
      <c r="F1470" t="n">
        <v>3.208</v>
      </c>
      <c r="G1470" t="n">
        <v>100</v>
      </c>
      <c r="H1470" t="n">
        <v>100</v>
      </c>
      <c r="I1470" t="n">
        <v>19</v>
      </c>
      <c r="J1470" t="inlineStr">
        <is>
          <t>ince</t>
        </is>
      </c>
      <c r="K1470" t="b">
        <v>0</v>
      </c>
      <c r="L1470" t="inlineStr">
        <is>
          <t>iki-OK-arasi-monotonluk</t>
        </is>
      </c>
      <c r="X1470" t="b">
        <v>1</v>
      </c>
      <c r="Z1470" t="n">
        <v>935</v>
      </c>
      <c r="AA1470" t="n">
        <v>2.5</v>
      </c>
      <c r="AB1470" t="n">
        <v>9.5</v>
      </c>
    </row>
    <row r="1471">
      <c r="A1471" t="inlineStr">
        <is>
          <t>2026-09-24 16:50:40</t>
        </is>
      </c>
      <c r="B1471" t="inlineStr">
        <is>
          <t>MLLB_000_y1.0.3</t>
        </is>
      </c>
      <c r="C1471" t="inlineStr">
        <is>
          <t>WHITE</t>
        </is>
      </c>
      <c r="D1471" t="inlineStr">
        <is>
          <t>v4_white_MLLB_000_y103_0924</t>
        </is>
      </c>
      <c r="E1471" t="n">
        <v>3.2</v>
      </c>
      <c r="F1471" t="n">
        <v>3.208</v>
      </c>
      <c r="G1471" t="n">
        <v>100</v>
      </c>
      <c r="H1471" t="n">
        <v>100</v>
      </c>
      <c r="I1471" t="n">
        <v>21</v>
      </c>
      <c r="J1471" t="inlineStr">
        <is>
          <t>ince</t>
        </is>
      </c>
      <c r="K1471" t="b">
        <v>0</v>
      </c>
      <c r="L1471" t="inlineStr">
        <is>
          <t>iki-OK-arasi-monotonluk</t>
        </is>
      </c>
      <c r="X1471" t="b">
        <v>1</v>
      </c>
      <c r="Z1471" t="n">
        <v>935</v>
      </c>
      <c r="AA1471" t="n">
        <v>2.5</v>
      </c>
      <c r="AB1471" t="n">
        <v>9.5</v>
      </c>
    </row>
    <row r="1472">
      <c r="A1472" t="inlineStr">
        <is>
          <t>2026-09-24 16:50:40</t>
        </is>
      </c>
      <c r="B1472" t="inlineStr">
        <is>
          <t>MLLB_000_y1.0.3</t>
        </is>
      </c>
      <c r="C1472" t="inlineStr">
        <is>
          <t>WHITE</t>
        </is>
      </c>
      <c r="D1472" t="inlineStr">
        <is>
          <t>v4_white_MLLB_000_y103_0924</t>
        </is>
      </c>
      <c r="E1472" t="n">
        <v>3.2</v>
      </c>
      <c r="F1472" t="n">
        <v>3.208</v>
      </c>
      <c r="G1472" t="n">
        <v>100</v>
      </c>
      <c r="H1472" t="n">
        <v>100</v>
      </c>
      <c r="I1472" t="n">
        <v>22</v>
      </c>
      <c r="J1472" t="inlineStr">
        <is>
          <t>ince</t>
        </is>
      </c>
      <c r="K1472" t="b">
        <v>0</v>
      </c>
      <c r="L1472" t="inlineStr">
        <is>
          <t>iki-OK-arasi-monotonluk</t>
        </is>
      </c>
      <c r="X1472" t="b">
        <v>1</v>
      </c>
      <c r="Z1472" t="n">
        <v>935</v>
      </c>
      <c r="AA1472" t="n">
        <v>2.5</v>
      </c>
      <c r="AB1472" t="n">
        <v>9.5</v>
      </c>
    </row>
    <row r="1473">
      <c r="A1473" t="inlineStr">
        <is>
          <t>2026-09-24 16:50:40</t>
        </is>
      </c>
      <c r="B1473" t="inlineStr">
        <is>
          <t>MLLB_000_y1.0.3</t>
        </is>
      </c>
      <c r="C1473" t="inlineStr">
        <is>
          <t>WHITE</t>
        </is>
      </c>
      <c r="D1473" t="inlineStr">
        <is>
          <t>v4_white_MLLB_000_y103_0924</t>
        </is>
      </c>
      <c r="E1473" t="n">
        <v>3.2</v>
      </c>
      <c r="F1473" t="n">
        <v>3.208</v>
      </c>
      <c r="G1473" t="n">
        <v>100</v>
      </c>
      <c r="H1473" t="n">
        <v>100</v>
      </c>
      <c r="I1473" t="n">
        <v>23</v>
      </c>
      <c r="J1473" t="inlineStr">
        <is>
          <t>ince</t>
        </is>
      </c>
      <c r="K1473" t="b">
        <v>0</v>
      </c>
      <c r="L1473" t="inlineStr">
        <is>
          <t>iki-OK-arasi-monotonluk</t>
        </is>
      </c>
      <c r="X1473" t="b">
        <v>1</v>
      </c>
      <c r="Z1473" t="n">
        <v>935</v>
      </c>
      <c r="AA1473" t="n">
        <v>2.5</v>
      </c>
      <c r="AB1473" t="n">
        <v>9.5</v>
      </c>
    </row>
    <row r="1474">
      <c r="A1474" t="inlineStr">
        <is>
          <t>2026-09-24 16:50:40</t>
        </is>
      </c>
      <c r="B1474" t="inlineStr">
        <is>
          <t>MLLB_000_y1.0.3</t>
        </is>
      </c>
      <c r="C1474" t="inlineStr">
        <is>
          <t>WHITE</t>
        </is>
      </c>
      <c r="D1474" t="inlineStr">
        <is>
          <t>v4_white_MLLB_000_y103_0924</t>
        </is>
      </c>
      <c r="E1474" t="n">
        <v>3.2</v>
      </c>
      <c r="F1474" t="n">
        <v>3.208</v>
      </c>
      <c r="G1474" t="n">
        <v>100</v>
      </c>
      <c r="H1474" t="n">
        <v>100</v>
      </c>
      <c r="I1474" t="n">
        <v>25</v>
      </c>
      <c r="J1474" t="inlineStr">
        <is>
          <t>ince</t>
        </is>
      </c>
      <c r="K1474" t="b">
        <v>0</v>
      </c>
      <c r="L1474" t="inlineStr">
        <is>
          <t>iki-OK-arasi-monotonluk</t>
        </is>
      </c>
      <c r="X1474" t="b">
        <v>1</v>
      </c>
      <c r="Z1474" t="n">
        <v>935</v>
      </c>
      <c r="AA1474" t="n">
        <v>2.5</v>
      </c>
      <c r="AB1474" t="n">
        <v>9.5</v>
      </c>
    </row>
    <row r="1475">
      <c r="A1475" t="inlineStr">
        <is>
          <t>2026-09-24 16:50:40</t>
        </is>
      </c>
      <c r="B1475" t="inlineStr">
        <is>
          <t>MLLB_000_y1.0.3</t>
        </is>
      </c>
      <c r="C1475" t="inlineStr">
        <is>
          <t>WHITE</t>
        </is>
      </c>
      <c r="D1475" t="inlineStr">
        <is>
          <t>v4_white_MLLB_000_y103_0924</t>
        </is>
      </c>
      <c r="E1475" t="n">
        <v>3.2</v>
      </c>
      <c r="F1475" t="n">
        <v>3.208</v>
      </c>
      <c r="G1475" t="n">
        <v>100</v>
      </c>
      <c r="H1475" t="n">
        <v>100</v>
      </c>
      <c r="I1475" t="n">
        <v>26</v>
      </c>
      <c r="J1475" t="inlineStr">
        <is>
          <t>ince</t>
        </is>
      </c>
      <c r="K1475" t="b">
        <v>0</v>
      </c>
      <c r="L1475" t="inlineStr">
        <is>
          <t>iki-OK-arasi-monotonluk</t>
        </is>
      </c>
      <c r="X1475" t="b">
        <v>1</v>
      </c>
      <c r="Z1475" t="n">
        <v>935</v>
      </c>
      <c r="AA1475" t="n">
        <v>2.5</v>
      </c>
      <c r="AB1475" t="n">
        <v>9.5</v>
      </c>
    </row>
    <row r="1476">
      <c r="A1476" t="inlineStr">
        <is>
          <t>2026-09-24 16:50:40</t>
        </is>
      </c>
      <c r="B1476" t="inlineStr">
        <is>
          <t>MLLB_000_y1.0.3</t>
        </is>
      </c>
      <c r="C1476" t="inlineStr">
        <is>
          <t>WHITE</t>
        </is>
      </c>
      <c r="D1476" t="inlineStr">
        <is>
          <t>v4_white_MLLB_000_y103_0924</t>
        </is>
      </c>
      <c r="E1476" t="n">
        <v>3.2</v>
      </c>
      <c r="F1476" t="n">
        <v>3.208</v>
      </c>
      <c r="G1476" t="n">
        <v>100</v>
      </c>
      <c r="H1476" t="n">
        <v>100</v>
      </c>
      <c r="I1476" t="n">
        <v>27</v>
      </c>
      <c r="J1476" t="inlineStr">
        <is>
          <t>ince</t>
        </is>
      </c>
      <c r="K1476" t="b">
        <v>0</v>
      </c>
      <c r="L1476" t="inlineStr">
        <is>
          <t>iki-OK-arasi-monotonluk</t>
        </is>
      </c>
      <c r="X1476" t="b">
        <v>1</v>
      </c>
      <c r="Z1476" t="n">
        <v>935</v>
      </c>
      <c r="AA1476" t="n">
        <v>2.5</v>
      </c>
      <c r="AB1476" t="n">
        <v>9.5</v>
      </c>
    </row>
    <row r="1477">
      <c r="A1477" t="inlineStr">
        <is>
          <t>2026-09-24 16:50:40</t>
        </is>
      </c>
      <c r="B1477" t="inlineStr">
        <is>
          <t>MLLB_000_y1.0.3</t>
        </is>
      </c>
      <c r="C1477" t="inlineStr">
        <is>
          <t>WHITE</t>
        </is>
      </c>
      <c r="D1477" t="inlineStr">
        <is>
          <t>v4_white_MLLB_000_y103_0924</t>
        </is>
      </c>
      <c r="E1477" t="n">
        <v>3.2</v>
      </c>
      <c r="F1477" t="n">
        <v>3.208</v>
      </c>
      <c r="G1477" t="n">
        <v>100</v>
      </c>
      <c r="H1477" t="n">
        <v>100</v>
      </c>
      <c r="I1477" t="n">
        <v>29</v>
      </c>
      <c r="J1477" t="inlineStr">
        <is>
          <t>ince</t>
        </is>
      </c>
      <c r="K1477" t="b">
        <v>0</v>
      </c>
      <c r="L1477" t="inlineStr">
        <is>
          <t>iki-OK-arasi-monotonluk</t>
        </is>
      </c>
      <c r="X1477" t="b">
        <v>1</v>
      </c>
      <c r="Z1477" t="n">
        <v>935</v>
      </c>
      <c r="AA1477" t="n">
        <v>2.5</v>
      </c>
      <c r="AB1477" t="n">
        <v>9.5</v>
      </c>
    </row>
    <row r="1478">
      <c r="A1478" t="inlineStr">
        <is>
          <t>2026-09-24 16:50:40</t>
        </is>
      </c>
      <c r="B1478" t="inlineStr">
        <is>
          <t>MLLB_000_y1.0.3</t>
        </is>
      </c>
      <c r="C1478" t="inlineStr">
        <is>
          <t>WHITE</t>
        </is>
      </c>
      <c r="D1478" t="inlineStr">
        <is>
          <t>v4_white_MLLB_000_y103_0924</t>
        </is>
      </c>
      <c r="E1478" t="n">
        <v>3.2</v>
      </c>
      <c r="F1478" t="n">
        <v>3.208</v>
      </c>
      <c r="G1478" t="n">
        <v>100</v>
      </c>
      <c r="H1478" t="n">
        <v>100</v>
      </c>
      <c r="I1478" t="n">
        <v>30</v>
      </c>
      <c r="J1478" t="inlineStr">
        <is>
          <t>ince</t>
        </is>
      </c>
      <c r="K1478" t="b">
        <v>0</v>
      </c>
      <c r="L1478" t="inlineStr">
        <is>
          <t>iki-OK-arasi-monotonluk</t>
        </is>
      </c>
      <c r="X1478" t="b">
        <v>1</v>
      </c>
      <c r="Z1478" t="n">
        <v>935</v>
      </c>
      <c r="AA1478" t="n">
        <v>2.5</v>
      </c>
      <c r="AB1478" t="n">
        <v>9.5</v>
      </c>
    </row>
    <row r="1479">
      <c r="A1479" t="inlineStr">
        <is>
          <t>2026-09-24 16:50:40</t>
        </is>
      </c>
      <c r="B1479" t="inlineStr">
        <is>
          <t>MLLB_000_y1.0.3</t>
        </is>
      </c>
      <c r="C1479" t="inlineStr">
        <is>
          <t>WHITE</t>
        </is>
      </c>
      <c r="D1479" t="inlineStr">
        <is>
          <t>v4_white_MLLB_000_y103_0924</t>
        </is>
      </c>
      <c r="E1479" t="n">
        <v>3.2</v>
      </c>
      <c r="F1479" t="n">
        <v>3.208</v>
      </c>
      <c r="G1479" t="n">
        <v>100</v>
      </c>
      <c r="H1479" t="n">
        <v>100</v>
      </c>
      <c r="I1479" t="n">
        <v>31</v>
      </c>
      <c r="J1479" t="inlineStr">
        <is>
          <t>ince</t>
        </is>
      </c>
      <c r="K1479" t="b">
        <v>0</v>
      </c>
      <c r="L1479" t="inlineStr">
        <is>
          <t>iki-OK-arasi-monotonluk</t>
        </is>
      </c>
      <c r="X1479" t="b">
        <v>1</v>
      </c>
      <c r="Z1479" t="n">
        <v>935</v>
      </c>
      <c r="AA1479" t="n">
        <v>2.5</v>
      </c>
      <c r="AB1479" t="n">
        <v>9.5</v>
      </c>
    </row>
    <row r="1480">
      <c r="A1480" t="inlineStr">
        <is>
          <t>2026-09-24 16:50:40</t>
        </is>
      </c>
      <c r="B1480" t="inlineStr">
        <is>
          <t>MLLB_000_y1.0.3</t>
        </is>
      </c>
      <c r="C1480" t="inlineStr">
        <is>
          <t>WHITE</t>
        </is>
      </c>
      <c r="D1480" t="inlineStr">
        <is>
          <t>v4_white_MLLB_000_y103_0924</t>
        </is>
      </c>
      <c r="E1480" t="n">
        <v>3.2</v>
      </c>
      <c r="F1480" t="n">
        <v>3.208</v>
      </c>
      <c r="G1480" t="n">
        <v>100</v>
      </c>
      <c r="H1480" t="n">
        <v>100</v>
      </c>
      <c r="I1480" t="n">
        <v>33</v>
      </c>
      <c r="J1480" t="inlineStr">
        <is>
          <t>ince</t>
        </is>
      </c>
      <c r="K1480" t="b">
        <v>0</v>
      </c>
      <c r="L1480" t="inlineStr">
        <is>
          <t>iki-OK-arasi-monotonluk</t>
        </is>
      </c>
      <c r="X1480" t="b">
        <v>1</v>
      </c>
      <c r="Z1480" t="n">
        <v>935</v>
      </c>
      <c r="AA1480" t="n">
        <v>2.5</v>
      </c>
      <c r="AB1480" t="n">
        <v>9.5</v>
      </c>
    </row>
    <row r="1481">
      <c r="A1481" t="inlineStr">
        <is>
          <t>2026-09-24 16:50:40</t>
        </is>
      </c>
      <c r="B1481" t="inlineStr">
        <is>
          <t>MLLB_000_y1.0.3</t>
        </is>
      </c>
      <c r="C1481" t="inlineStr">
        <is>
          <t>WHITE</t>
        </is>
      </c>
      <c r="D1481" t="inlineStr">
        <is>
          <t>v4_white_MLLB_000_y103_0924</t>
        </is>
      </c>
      <c r="E1481" t="n">
        <v>3.2</v>
      </c>
      <c r="F1481" t="n">
        <v>3.208</v>
      </c>
      <c r="G1481" t="n">
        <v>100</v>
      </c>
      <c r="H1481" t="n">
        <v>100</v>
      </c>
      <c r="I1481" t="n">
        <v>34</v>
      </c>
      <c r="J1481" t="inlineStr">
        <is>
          <t>ince</t>
        </is>
      </c>
      <c r="K1481" t="b">
        <v>0</v>
      </c>
      <c r="L1481" t="inlineStr">
        <is>
          <t>iki-OK-arasi-monotonluk</t>
        </is>
      </c>
      <c r="X1481" t="b">
        <v>1</v>
      </c>
      <c r="Z1481" t="n">
        <v>935</v>
      </c>
      <c r="AA1481" t="n">
        <v>2.5</v>
      </c>
      <c r="AB1481" t="n">
        <v>9.5</v>
      </c>
    </row>
    <row r="1482">
      <c r="A1482" t="inlineStr">
        <is>
          <t>2026-09-24 16:50:40</t>
        </is>
      </c>
      <c r="B1482" t="inlineStr">
        <is>
          <t>MLLB_000_y1.0.3</t>
        </is>
      </c>
      <c r="C1482" t="inlineStr">
        <is>
          <t>WHITE</t>
        </is>
      </c>
      <c r="D1482" t="inlineStr">
        <is>
          <t>v4_white_MLLB_000_y103_0924</t>
        </is>
      </c>
      <c r="E1482" t="n">
        <v>3.2</v>
      </c>
      <c r="F1482" t="n">
        <v>3.208</v>
      </c>
      <c r="G1482" t="n">
        <v>100</v>
      </c>
      <c r="H1482" t="n">
        <v>100</v>
      </c>
      <c r="I1482" t="n">
        <v>35</v>
      </c>
      <c r="J1482" t="inlineStr">
        <is>
          <t>ince</t>
        </is>
      </c>
      <c r="K1482" t="b">
        <v>0</v>
      </c>
      <c r="L1482" t="inlineStr">
        <is>
          <t>iki-OK-arasi-monotonluk</t>
        </is>
      </c>
      <c r="X1482" t="b">
        <v>1</v>
      </c>
      <c r="Z1482" t="n">
        <v>935</v>
      </c>
      <c r="AA1482" t="n">
        <v>2.5</v>
      </c>
      <c r="AB1482" t="n">
        <v>9.5</v>
      </c>
    </row>
    <row r="1483">
      <c r="A1483" t="inlineStr">
        <is>
          <t>2026-09-24 16:50:40</t>
        </is>
      </c>
      <c r="B1483" t="inlineStr">
        <is>
          <t>MLLB_000_y1.0.3</t>
        </is>
      </c>
      <c r="C1483" t="inlineStr">
        <is>
          <t>WHITE</t>
        </is>
      </c>
      <c r="D1483" t="inlineStr">
        <is>
          <t>v4_white_MLLB_000_y103_0924</t>
        </is>
      </c>
      <c r="E1483" t="n">
        <v>3.2</v>
      </c>
      <c r="F1483" t="n">
        <v>3.208</v>
      </c>
      <c r="G1483" t="n">
        <v>100</v>
      </c>
      <c r="H1483" t="n">
        <v>100</v>
      </c>
      <c r="I1483" t="n">
        <v>37</v>
      </c>
      <c r="J1483" t="inlineStr">
        <is>
          <t>ince</t>
        </is>
      </c>
      <c r="K1483" t="b">
        <v>0</v>
      </c>
      <c r="L1483" t="inlineStr">
        <is>
          <t>iki-OK-arasi-monotonluk</t>
        </is>
      </c>
      <c r="X1483" t="b">
        <v>1</v>
      </c>
      <c r="Z1483" t="n">
        <v>935</v>
      </c>
      <c r="AA1483" t="n">
        <v>2.5</v>
      </c>
      <c r="AB1483" t="n">
        <v>9.5</v>
      </c>
    </row>
    <row r="1484">
      <c r="A1484" t="inlineStr">
        <is>
          <t>2026-09-24 16:50:40</t>
        </is>
      </c>
      <c r="B1484" t="inlineStr">
        <is>
          <t>MLLB_000_y1.0.3</t>
        </is>
      </c>
      <c r="C1484" t="inlineStr">
        <is>
          <t>WHITE</t>
        </is>
      </c>
      <c r="D1484" t="inlineStr">
        <is>
          <t>v4_white_MLLB_000_y103_0924</t>
        </is>
      </c>
      <c r="E1484" t="n">
        <v>3.2</v>
      </c>
      <c r="F1484" t="n">
        <v>3.208</v>
      </c>
      <c r="G1484" t="n">
        <v>100</v>
      </c>
      <c r="H1484" t="n">
        <v>100</v>
      </c>
      <c r="I1484" t="n">
        <v>38</v>
      </c>
      <c r="J1484" t="inlineStr">
        <is>
          <t>ince</t>
        </is>
      </c>
      <c r="K1484" t="b">
        <v>0</v>
      </c>
      <c r="L1484" t="inlineStr">
        <is>
          <t>iki-OK-arasi-monotonluk</t>
        </is>
      </c>
      <c r="X1484" t="b">
        <v>1</v>
      </c>
      <c r="Z1484" t="n">
        <v>935</v>
      </c>
      <c r="AA1484" t="n">
        <v>2.5</v>
      </c>
      <c r="AB1484" t="n">
        <v>9.5</v>
      </c>
    </row>
    <row r="1485">
      <c r="A1485" t="inlineStr">
        <is>
          <t>2026-09-24 16:50:40</t>
        </is>
      </c>
      <c r="B1485" t="inlineStr">
        <is>
          <t>MLLB_000_y1.0.3</t>
        </is>
      </c>
      <c r="C1485" t="inlineStr">
        <is>
          <t>WHITE</t>
        </is>
      </c>
      <c r="D1485" t="inlineStr">
        <is>
          <t>v4_white_MLLB_000_y103_0924</t>
        </is>
      </c>
      <c r="E1485" t="n">
        <v>3.2</v>
      </c>
      <c r="F1485" t="n">
        <v>3.208</v>
      </c>
      <c r="G1485" t="n">
        <v>100</v>
      </c>
      <c r="H1485" t="n">
        <v>100</v>
      </c>
      <c r="I1485" t="n">
        <v>39</v>
      </c>
      <c r="J1485" t="inlineStr">
        <is>
          <t>ince</t>
        </is>
      </c>
      <c r="K1485" t="b">
        <v>0</v>
      </c>
      <c r="L1485" t="inlineStr">
        <is>
          <t>iki-OK-arasi-monotonluk</t>
        </is>
      </c>
      <c r="X1485" t="b">
        <v>1</v>
      </c>
      <c r="Z1485" t="n">
        <v>935</v>
      </c>
      <c r="AA1485" t="n">
        <v>2.5</v>
      </c>
      <c r="AB1485" t="n">
        <v>9.5</v>
      </c>
    </row>
    <row r="1486">
      <c r="A1486" t="inlineStr">
        <is>
          <t>2026-09-24 16:50:40</t>
        </is>
      </c>
      <c r="B1486" t="inlineStr">
        <is>
          <t>MLLB_000_y1.0.3</t>
        </is>
      </c>
      <c r="C1486" t="inlineStr">
        <is>
          <t>WHITE</t>
        </is>
      </c>
      <c r="D1486" t="inlineStr">
        <is>
          <t>v4_white_MLLB_000_y103_0924</t>
        </is>
      </c>
      <c r="E1486" t="n">
        <v>3.2</v>
      </c>
      <c r="F1486" t="n">
        <v>3.208</v>
      </c>
      <c r="G1486" t="n">
        <v>100</v>
      </c>
      <c r="H1486" t="n">
        <v>100</v>
      </c>
      <c r="I1486" t="n">
        <v>41</v>
      </c>
      <c r="J1486" t="inlineStr">
        <is>
          <t>ince</t>
        </is>
      </c>
      <c r="K1486" t="b">
        <v>0</v>
      </c>
      <c r="L1486" t="inlineStr">
        <is>
          <t>iki-OK-arasi-monotonluk</t>
        </is>
      </c>
      <c r="X1486" t="b">
        <v>1</v>
      </c>
      <c r="Z1486" t="n">
        <v>935</v>
      </c>
      <c r="AA1486" t="n">
        <v>2.5</v>
      </c>
      <c r="AB1486" t="n">
        <v>9.5</v>
      </c>
    </row>
    <row r="1487">
      <c r="A1487" t="inlineStr">
        <is>
          <t>2026-09-24 16:50:40</t>
        </is>
      </c>
      <c r="B1487" t="inlineStr">
        <is>
          <t>MLLB_000_y1.0.3</t>
        </is>
      </c>
      <c r="C1487" t="inlineStr">
        <is>
          <t>WHITE</t>
        </is>
      </c>
      <c r="D1487" t="inlineStr">
        <is>
          <t>v4_white_MLLB_000_y103_0924</t>
        </is>
      </c>
      <c r="E1487" t="n">
        <v>3.2</v>
      </c>
      <c r="F1487" t="n">
        <v>3.208</v>
      </c>
      <c r="G1487" t="n">
        <v>100</v>
      </c>
      <c r="H1487" t="n">
        <v>100</v>
      </c>
      <c r="I1487" t="n">
        <v>42</v>
      </c>
      <c r="J1487" t="inlineStr">
        <is>
          <t>ince</t>
        </is>
      </c>
      <c r="K1487" t="b">
        <v>0</v>
      </c>
      <c r="L1487" t="inlineStr">
        <is>
          <t>iki-OK-arasi-monotonluk</t>
        </is>
      </c>
      <c r="X1487" t="b">
        <v>1</v>
      </c>
      <c r="Z1487" t="n">
        <v>935</v>
      </c>
      <c r="AA1487" t="n">
        <v>2.5</v>
      </c>
      <c r="AB1487" t="n">
        <v>9.5</v>
      </c>
    </row>
    <row r="1488">
      <c r="A1488" t="inlineStr">
        <is>
          <t>2026-09-24 16:50:40</t>
        </is>
      </c>
      <c r="B1488" t="inlineStr">
        <is>
          <t>MLLB_000_y1.0.3</t>
        </is>
      </c>
      <c r="C1488" t="inlineStr">
        <is>
          <t>WHITE</t>
        </is>
      </c>
      <c r="D1488" t="inlineStr">
        <is>
          <t>v4_white_MLLB_000_y103_0924</t>
        </is>
      </c>
      <c r="E1488" t="n">
        <v>3.2</v>
      </c>
      <c r="F1488" t="n">
        <v>3.208</v>
      </c>
      <c r="G1488" t="n">
        <v>100</v>
      </c>
      <c r="H1488" t="n">
        <v>100</v>
      </c>
      <c r="I1488" t="n">
        <v>43</v>
      </c>
      <c r="J1488" t="inlineStr">
        <is>
          <t>ince</t>
        </is>
      </c>
      <c r="K1488" t="b">
        <v>0</v>
      </c>
      <c r="L1488" t="inlineStr">
        <is>
          <t>iki-OK-arasi-monotonluk</t>
        </is>
      </c>
      <c r="X1488" t="b">
        <v>1</v>
      </c>
      <c r="Z1488" t="n">
        <v>935</v>
      </c>
      <c r="AA1488" t="n">
        <v>2.5</v>
      </c>
      <c r="AB1488" t="n">
        <v>9.5</v>
      </c>
    </row>
    <row r="1489">
      <c r="A1489" t="inlineStr">
        <is>
          <t>2026-09-24 16:50:40</t>
        </is>
      </c>
      <c r="B1489" t="inlineStr">
        <is>
          <t>MLLB_000_y1.0.3</t>
        </is>
      </c>
      <c r="C1489" t="inlineStr">
        <is>
          <t>WHITE</t>
        </is>
      </c>
      <c r="D1489" t="inlineStr">
        <is>
          <t>v4_white_MLLB_000_y103_0924</t>
        </is>
      </c>
      <c r="E1489" t="n">
        <v>3.2</v>
      </c>
      <c r="F1489" t="n">
        <v>3.208</v>
      </c>
      <c r="G1489" t="n">
        <v>100</v>
      </c>
      <c r="H1489" t="n">
        <v>100</v>
      </c>
      <c r="I1489" t="n">
        <v>45</v>
      </c>
      <c r="J1489" t="inlineStr">
        <is>
          <t>ince</t>
        </is>
      </c>
      <c r="K1489" t="b">
        <v>0</v>
      </c>
      <c r="L1489" t="inlineStr">
        <is>
          <t>iki-OK-arasi-monotonluk</t>
        </is>
      </c>
      <c r="X1489" t="b">
        <v>1</v>
      </c>
      <c r="Z1489" t="n">
        <v>935</v>
      </c>
      <c r="AA1489" t="n">
        <v>2.5</v>
      </c>
      <c r="AB1489" t="n">
        <v>9.5</v>
      </c>
    </row>
    <row r="1490">
      <c r="A1490" t="inlineStr">
        <is>
          <t>2026-09-24 16:50:40</t>
        </is>
      </c>
      <c r="B1490" t="inlineStr">
        <is>
          <t>MLLB_000_y1.0.3</t>
        </is>
      </c>
      <c r="C1490" t="inlineStr">
        <is>
          <t>WHITE</t>
        </is>
      </c>
      <c r="D1490" t="inlineStr">
        <is>
          <t>v4_white_MLLB_000_y103_0924</t>
        </is>
      </c>
      <c r="E1490" t="n">
        <v>3.2</v>
      </c>
      <c r="F1490" t="n">
        <v>3.208</v>
      </c>
      <c r="G1490" t="n">
        <v>100</v>
      </c>
      <c r="H1490" t="n">
        <v>100</v>
      </c>
      <c r="I1490" t="n">
        <v>46</v>
      </c>
      <c r="J1490" t="inlineStr">
        <is>
          <t>ince</t>
        </is>
      </c>
      <c r="K1490" t="b">
        <v>0</v>
      </c>
      <c r="L1490" t="inlineStr">
        <is>
          <t>iki-OK-arasi-monotonluk</t>
        </is>
      </c>
      <c r="X1490" t="b">
        <v>1</v>
      </c>
      <c r="Z1490" t="n">
        <v>935</v>
      </c>
      <c r="AA1490" t="n">
        <v>2.5</v>
      </c>
      <c r="AB1490" t="n">
        <v>9.5</v>
      </c>
    </row>
    <row r="1491">
      <c r="A1491" t="inlineStr">
        <is>
          <t>2026-09-24 16:50:40</t>
        </is>
      </c>
      <c r="B1491" t="inlineStr">
        <is>
          <t>MLLB_000_y1.0.3</t>
        </is>
      </c>
      <c r="C1491" t="inlineStr">
        <is>
          <t>WHITE</t>
        </is>
      </c>
      <c r="D1491" t="inlineStr">
        <is>
          <t>v4_white_MLLB_000_y103_0924</t>
        </is>
      </c>
      <c r="E1491" t="n">
        <v>3.2</v>
      </c>
      <c r="F1491" t="n">
        <v>3.208</v>
      </c>
      <c r="G1491" t="n">
        <v>100</v>
      </c>
      <c r="H1491" t="n">
        <v>100</v>
      </c>
      <c r="I1491" t="n">
        <v>47</v>
      </c>
      <c r="J1491" t="inlineStr">
        <is>
          <t>ince</t>
        </is>
      </c>
      <c r="K1491" t="b">
        <v>0</v>
      </c>
      <c r="L1491" t="inlineStr">
        <is>
          <t>iki-OK-arasi-monotonluk</t>
        </is>
      </c>
      <c r="X1491" t="b">
        <v>1</v>
      </c>
      <c r="Z1491" t="n">
        <v>935</v>
      </c>
      <c r="AA1491" t="n">
        <v>2.5</v>
      </c>
      <c r="AB1491" t="n">
        <v>9.5</v>
      </c>
    </row>
    <row r="1492">
      <c r="A1492" t="inlineStr">
        <is>
          <t>2026-09-24 16:50:40</t>
        </is>
      </c>
      <c r="B1492" t="inlineStr">
        <is>
          <t>MLLB_000_y1.0.3</t>
        </is>
      </c>
      <c r="C1492" t="inlineStr">
        <is>
          <t>WHITE</t>
        </is>
      </c>
      <c r="D1492" t="inlineStr">
        <is>
          <t>v4_white_MLLB_000_y103_0924</t>
        </is>
      </c>
      <c r="E1492" t="n">
        <v>3.2</v>
      </c>
      <c r="F1492" t="n">
        <v>3.208</v>
      </c>
      <c r="G1492" t="n">
        <v>100</v>
      </c>
      <c r="H1492" t="n">
        <v>100</v>
      </c>
      <c r="I1492" t="n">
        <v>49</v>
      </c>
      <c r="J1492" t="inlineStr">
        <is>
          <t>ince</t>
        </is>
      </c>
      <c r="K1492" t="b">
        <v>0</v>
      </c>
      <c r="L1492" t="inlineStr">
        <is>
          <t>iki-OK-arasi-monotonluk</t>
        </is>
      </c>
      <c r="X1492" t="b">
        <v>1</v>
      </c>
      <c r="Z1492" t="n">
        <v>935</v>
      </c>
      <c r="AA1492" t="n">
        <v>2.5</v>
      </c>
      <c r="AB1492" t="n">
        <v>9.5</v>
      </c>
    </row>
    <row r="1493">
      <c r="A1493" t="inlineStr">
        <is>
          <t>2026-09-24 16:50:40</t>
        </is>
      </c>
      <c r="B1493" t="inlineStr">
        <is>
          <t>MLLB_000_y1.0.3</t>
        </is>
      </c>
      <c r="C1493" t="inlineStr">
        <is>
          <t>WHITE</t>
        </is>
      </c>
      <c r="D1493" t="inlineStr">
        <is>
          <t>v4_white_MLLB_000_y103_0924</t>
        </is>
      </c>
      <c r="E1493" t="n">
        <v>3.2</v>
      </c>
      <c r="F1493" t="n">
        <v>3.208</v>
      </c>
      <c r="G1493" t="n">
        <v>100</v>
      </c>
      <c r="H1493" t="n">
        <v>100</v>
      </c>
      <c r="I1493" t="n">
        <v>50</v>
      </c>
      <c r="J1493" t="inlineStr">
        <is>
          <t>ince</t>
        </is>
      </c>
      <c r="K1493" t="b">
        <v>0</v>
      </c>
      <c r="L1493" t="inlineStr">
        <is>
          <t>iki-OK-arasi-monotonluk</t>
        </is>
      </c>
      <c r="X1493" t="b">
        <v>1</v>
      </c>
      <c r="Z1493" t="n">
        <v>935</v>
      </c>
      <c r="AA1493" t="n">
        <v>2.5</v>
      </c>
      <c r="AB1493" t="n">
        <v>9.5</v>
      </c>
    </row>
    <row r="1494">
      <c r="A1494" t="inlineStr">
        <is>
          <t>2026-09-24 16:50:40</t>
        </is>
      </c>
      <c r="B1494" t="inlineStr">
        <is>
          <t>MLLB_000_y1.0.3</t>
        </is>
      </c>
      <c r="C1494" t="inlineStr">
        <is>
          <t>WHITE</t>
        </is>
      </c>
      <c r="D1494" t="inlineStr">
        <is>
          <t>v4_white_MLLB_000_y103_0924</t>
        </is>
      </c>
      <c r="E1494" t="n">
        <v>3.2</v>
      </c>
      <c r="F1494" t="n">
        <v>3.208</v>
      </c>
      <c r="G1494" t="n">
        <v>100</v>
      </c>
      <c r="H1494" t="n">
        <v>100</v>
      </c>
      <c r="I1494" t="n">
        <v>51</v>
      </c>
      <c r="J1494" t="inlineStr">
        <is>
          <t>ince</t>
        </is>
      </c>
      <c r="K1494" t="b">
        <v>0</v>
      </c>
      <c r="L1494" t="inlineStr">
        <is>
          <t>iki-OK-arasi-monotonluk</t>
        </is>
      </c>
      <c r="X1494" t="b">
        <v>1</v>
      </c>
      <c r="Z1494" t="n">
        <v>935</v>
      </c>
      <c r="AA1494" t="n">
        <v>2.5</v>
      </c>
      <c r="AB1494" t="n">
        <v>9.5</v>
      </c>
    </row>
    <row r="1495">
      <c r="A1495" t="inlineStr">
        <is>
          <t>2026-09-24 16:50:40</t>
        </is>
      </c>
      <c r="B1495" t="inlineStr">
        <is>
          <t>MLLB_000_y1.0.3</t>
        </is>
      </c>
      <c r="C1495" t="inlineStr">
        <is>
          <t>WHITE</t>
        </is>
      </c>
      <c r="D1495" t="inlineStr">
        <is>
          <t>v4_white_MLLB_000_y103_0924</t>
        </is>
      </c>
      <c r="E1495" t="n">
        <v>3.2</v>
      </c>
      <c r="F1495" t="n">
        <v>3.208</v>
      </c>
      <c r="G1495" t="n">
        <v>100</v>
      </c>
      <c r="H1495" t="n">
        <v>100</v>
      </c>
      <c r="I1495" t="n">
        <v>53</v>
      </c>
      <c r="J1495" t="inlineStr">
        <is>
          <t>ince</t>
        </is>
      </c>
      <c r="K1495" t="b">
        <v>0</v>
      </c>
      <c r="L1495" t="inlineStr">
        <is>
          <t>iki-OK-arasi-monotonluk</t>
        </is>
      </c>
      <c r="X1495" t="b">
        <v>1</v>
      </c>
      <c r="Z1495" t="n">
        <v>935</v>
      </c>
      <c r="AA1495" t="n">
        <v>2.5</v>
      </c>
      <c r="AB1495" t="n">
        <v>9.5</v>
      </c>
    </row>
    <row r="1496">
      <c r="A1496" t="inlineStr">
        <is>
          <t>2026-09-24 16:50:40</t>
        </is>
      </c>
      <c r="B1496" t="inlineStr">
        <is>
          <t>MLLB_000_y1.0.3</t>
        </is>
      </c>
      <c r="C1496" t="inlineStr">
        <is>
          <t>WHITE</t>
        </is>
      </c>
      <c r="D1496" t="inlineStr">
        <is>
          <t>v4_white_MLLB_000_y103_0924</t>
        </is>
      </c>
      <c r="E1496" t="n">
        <v>3.2</v>
      </c>
      <c r="F1496" t="n">
        <v>3.208</v>
      </c>
      <c r="G1496" t="n">
        <v>100</v>
      </c>
      <c r="H1496" t="n">
        <v>100</v>
      </c>
      <c r="I1496" t="n">
        <v>54</v>
      </c>
      <c r="J1496" t="inlineStr">
        <is>
          <t>ince</t>
        </is>
      </c>
      <c r="K1496" t="b">
        <v>0</v>
      </c>
      <c r="L1496" t="inlineStr">
        <is>
          <t>iki-OK-arasi-monotonluk</t>
        </is>
      </c>
      <c r="X1496" t="b">
        <v>1</v>
      </c>
      <c r="Z1496" t="n">
        <v>935</v>
      </c>
      <c r="AA1496" t="n">
        <v>2.5</v>
      </c>
      <c r="AB1496" t="n">
        <v>9.5</v>
      </c>
    </row>
    <row r="1497">
      <c r="A1497" t="inlineStr">
        <is>
          <t>2026-09-24 16:50:40</t>
        </is>
      </c>
      <c r="B1497" t="inlineStr">
        <is>
          <t>MLLB_000_y1.0.3</t>
        </is>
      </c>
      <c r="C1497" t="inlineStr">
        <is>
          <t>WHITE</t>
        </is>
      </c>
      <c r="D1497" t="inlineStr">
        <is>
          <t>v4_white_MLLB_000_y103_0924</t>
        </is>
      </c>
      <c r="E1497" t="n">
        <v>3.2</v>
      </c>
      <c r="F1497" t="n">
        <v>3.208</v>
      </c>
      <c r="G1497" t="n">
        <v>100</v>
      </c>
      <c r="H1497" t="n">
        <v>100</v>
      </c>
      <c r="I1497" t="n">
        <v>55</v>
      </c>
      <c r="J1497" t="inlineStr">
        <is>
          <t>ince</t>
        </is>
      </c>
      <c r="K1497" t="b">
        <v>0</v>
      </c>
      <c r="L1497" t="inlineStr">
        <is>
          <t>iki-OK-arasi-monotonluk</t>
        </is>
      </c>
      <c r="X1497" t="b">
        <v>1</v>
      </c>
      <c r="Z1497" t="n">
        <v>935</v>
      </c>
      <c r="AA1497" t="n">
        <v>2.5</v>
      </c>
      <c r="AB1497" t="n">
        <v>9.5</v>
      </c>
    </row>
    <row r="1498">
      <c r="A1498" t="inlineStr">
        <is>
          <t>2026-09-24 16:50:40</t>
        </is>
      </c>
      <c r="B1498" t="inlineStr">
        <is>
          <t>MLLB_000_y1.0.3</t>
        </is>
      </c>
      <c r="C1498" t="inlineStr">
        <is>
          <t>WHITE</t>
        </is>
      </c>
      <c r="D1498" t="inlineStr">
        <is>
          <t>v4_white_MLLB_000_y103_0924</t>
        </is>
      </c>
      <c r="E1498" t="n">
        <v>3.2</v>
      </c>
      <c r="F1498" t="n">
        <v>3.208</v>
      </c>
      <c r="G1498" t="n">
        <v>100</v>
      </c>
      <c r="H1498" t="n">
        <v>100</v>
      </c>
      <c r="I1498" t="n">
        <v>57</v>
      </c>
      <c r="J1498" t="inlineStr">
        <is>
          <t>ince</t>
        </is>
      </c>
      <c r="K1498" t="b">
        <v>0</v>
      </c>
      <c r="L1498" t="inlineStr">
        <is>
          <t>iki-OK-arasi-monotonluk</t>
        </is>
      </c>
      <c r="X1498" t="b">
        <v>1</v>
      </c>
      <c r="Z1498" t="n">
        <v>935</v>
      </c>
      <c r="AA1498" t="n">
        <v>2.5</v>
      </c>
      <c r="AB1498" t="n">
        <v>9.5</v>
      </c>
    </row>
    <row r="1499">
      <c r="A1499" t="inlineStr">
        <is>
          <t>2026-09-24 16:50:40</t>
        </is>
      </c>
      <c r="B1499" t="inlineStr">
        <is>
          <t>MLLB_000_y1.0.3</t>
        </is>
      </c>
      <c r="C1499" t="inlineStr">
        <is>
          <t>WHITE</t>
        </is>
      </c>
      <c r="D1499" t="inlineStr">
        <is>
          <t>v4_white_MLLB_000_y103_0924</t>
        </is>
      </c>
      <c r="E1499" t="n">
        <v>3.2</v>
      </c>
      <c r="F1499" t="n">
        <v>3.208</v>
      </c>
      <c r="G1499" t="n">
        <v>100</v>
      </c>
      <c r="H1499" t="n">
        <v>100</v>
      </c>
      <c r="J1499" t="inlineStr">
        <is>
          <t>bitti</t>
        </is>
      </c>
      <c r="K1499" t="b">
        <v>0</v>
      </c>
      <c r="Z1499" t="n">
        <v>935</v>
      </c>
      <c r="AA1499" t="n">
        <v>2.5</v>
      </c>
      <c r="AB1499" t="n">
        <v>9.5</v>
      </c>
    </row>
    <row r="1500">
      <c r="A1500" t="inlineStr">
        <is>
          <t>2026-09-24 16:50:56</t>
        </is>
      </c>
      <c r="B1500" t="inlineStr">
        <is>
          <t>MLLB_000_y1.0.3</t>
        </is>
      </c>
      <c r="C1500" t="inlineStr">
        <is>
          <t>WHITE</t>
        </is>
      </c>
      <c r="D1500" t="inlineStr">
        <is>
          <t>v4_white_MLLB_000_y103_0924</t>
        </is>
      </c>
      <c r="E1500" t="n">
        <v>3.2</v>
      </c>
      <c r="F1500" t="n">
        <v>3.208</v>
      </c>
      <c r="G1500" t="n">
        <v>100</v>
      </c>
      <c r="H1500" t="n">
        <v>80</v>
      </c>
      <c r="I1500" t="n">
        <v>12</v>
      </c>
      <c r="J1500" t="inlineStr">
        <is>
          <t>kaba</t>
        </is>
      </c>
      <c r="K1500" t="b">
        <v>1</v>
      </c>
      <c r="M1500" t="n">
        <v>34</v>
      </c>
      <c r="N1500" t="n">
        <v>28</v>
      </c>
      <c r="O1500" t="n">
        <v>14</v>
      </c>
      <c r="P1500" t="n">
        <v>968</v>
      </c>
      <c r="Q1500" t="n">
        <v>1002</v>
      </c>
      <c r="R1500" t="n">
        <v>1.068</v>
      </c>
      <c r="S1500" t="n">
        <v>244.062</v>
      </c>
      <c r="T1500" t="n">
        <v>228.541</v>
      </c>
      <c r="U1500" t="n">
        <v>0.7783</v>
      </c>
      <c r="V1500" t="b">
        <v>1</v>
      </c>
      <c r="X1500" t="b">
        <v>1</v>
      </c>
      <c r="Z1500" t="n">
        <v>935</v>
      </c>
      <c r="AA1500" t="n">
        <v>2.5</v>
      </c>
      <c r="AB1500" t="n">
        <v>9.5</v>
      </c>
    </row>
    <row r="1501">
      <c r="A1501" t="inlineStr">
        <is>
          <t>2026-09-24 16:51:12</t>
        </is>
      </c>
      <c r="B1501" t="inlineStr">
        <is>
          <t>MLLB_000_y1.0.3</t>
        </is>
      </c>
      <c r="C1501" t="inlineStr">
        <is>
          <t>WHITE</t>
        </is>
      </c>
      <c r="D1501" t="inlineStr">
        <is>
          <t>v4_white_MLLB_000_y103_0924</t>
        </is>
      </c>
      <c r="E1501" t="n">
        <v>3.2</v>
      </c>
      <c r="F1501" t="n">
        <v>3.208</v>
      </c>
      <c r="G1501" t="n">
        <v>100</v>
      </c>
      <c r="H1501" t="n">
        <v>80</v>
      </c>
      <c r="I1501" t="n">
        <v>16</v>
      </c>
      <c r="J1501" t="inlineStr">
        <is>
          <t>kaba</t>
        </is>
      </c>
      <c r="K1501" t="b">
        <v>1</v>
      </c>
      <c r="M1501" t="n">
        <v>34</v>
      </c>
      <c r="N1501" t="n">
        <v>28</v>
      </c>
      <c r="O1501" t="n">
        <v>14</v>
      </c>
      <c r="P1501" t="n">
        <v>968</v>
      </c>
      <c r="Q1501" t="n">
        <v>1002</v>
      </c>
      <c r="R1501" t="n">
        <v>1.067</v>
      </c>
      <c r="S1501" t="n">
        <v>243.876</v>
      </c>
      <c r="T1501" t="n">
        <v>228.56</v>
      </c>
      <c r="U1501" t="n">
        <v>0.778</v>
      </c>
      <c r="V1501" t="b">
        <v>1</v>
      </c>
      <c r="X1501" t="b">
        <v>1</v>
      </c>
      <c r="Z1501" t="n">
        <v>935</v>
      </c>
      <c r="AA1501" t="n">
        <v>2.5</v>
      </c>
      <c r="AB1501" t="n">
        <v>9.5</v>
      </c>
    </row>
    <row r="1502">
      <c r="A1502" t="inlineStr">
        <is>
          <t>2026-09-24 16:51:24</t>
        </is>
      </c>
      <c r="B1502" t="inlineStr">
        <is>
          <t>MLLB_000_y1.0.3</t>
        </is>
      </c>
      <c r="C1502" t="inlineStr">
        <is>
          <t>WHITE</t>
        </is>
      </c>
      <c r="D1502" t="inlineStr">
        <is>
          <t>v4_white_MLLB_000_y103_0924</t>
        </is>
      </c>
      <c r="E1502" t="n">
        <v>3.2</v>
      </c>
      <c r="F1502" t="n">
        <v>3.208</v>
      </c>
      <c r="G1502" t="n">
        <v>100</v>
      </c>
      <c r="H1502" t="n">
        <v>80</v>
      </c>
      <c r="I1502" t="n">
        <v>20</v>
      </c>
      <c r="J1502" t="inlineStr">
        <is>
          <t>kaba</t>
        </is>
      </c>
      <c r="K1502" t="b">
        <v>1</v>
      </c>
      <c r="M1502" t="n">
        <v>34</v>
      </c>
      <c r="N1502" t="n">
        <v>28</v>
      </c>
      <c r="O1502" t="n">
        <v>14</v>
      </c>
      <c r="P1502" t="n">
        <v>968</v>
      </c>
      <c r="Q1502" t="n">
        <v>1002</v>
      </c>
      <c r="R1502" t="n">
        <v>1.067</v>
      </c>
      <c r="S1502" t="n">
        <v>243.864</v>
      </c>
      <c r="T1502" t="n">
        <v>228.476</v>
      </c>
      <c r="U1502" t="n">
        <v>0.7782</v>
      </c>
      <c r="V1502" t="b">
        <v>1</v>
      </c>
      <c r="X1502" t="b">
        <v>1</v>
      </c>
      <c r="Z1502" t="n">
        <v>935</v>
      </c>
      <c r="AA1502" t="n">
        <v>2.5</v>
      </c>
      <c r="AB1502" t="n">
        <v>9.5</v>
      </c>
    </row>
    <row r="1503">
      <c r="A1503" t="inlineStr">
        <is>
          <t>2026-09-24 16:51:40</t>
        </is>
      </c>
      <c r="B1503" t="inlineStr">
        <is>
          <t>MLLB_000_y1.0.3</t>
        </is>
      </c>
      <c r="C1503" t="inlineStr">
        <is>
          <t>WHITE</t>
        </is>
      </c>
      <c r="D1503" t="inlineStr">
        <is>
          <t>v4_white_MLLB_000_y103_0924</t>
        </is>
      </c>
      <c r="E1503" t="n">
        <v>3.2</v>
      </c>
      <c r="F1503" t="n">
        <v>3.208</v>
      </c>
      <c r="G1503" t="n">
        <v>100</v>
      </c>
      <c r="H1503" t="n">
        <v>80</v>
      </c>
      <c r="I1503" t="n">
        <v>24</v>
      </c>
      <c r="J1503" t="inlineStr">
        <is>
          <t>kaba</t>
        </is>
      </c>
      <c r="K1503" t="b">
        <v>1</v>
      </c>
      <c r="M1503" t="n">
        <v>34</v>
      </c>
      <c r="N1503" t="n">
        <v>28</v>
      </c>
      <c r="O1503" t="n">
        <v>14</v>
      </c>
      <c r="P1503" t="n">
        <v>968</v>
      </c>
      <c r="Q1503" t="n">
        <v>1002</v>
      </c>
      <c r="R1503" t="n">
        <v>1.068</v>
      </c>
      <c r="S1503" t="n">
        <v>243.864</v>
      </c>
      <c r="T1503" t="n">
        <v>228.409</v>
      </c>
      <c r="U1503" t="n">
        <v>0.7783</v>
      </c>
      <c r="V1503" t="b">
        <v>1</v>
      </c>
      <c r="X1503" t="b">
        <v>1</v>
      </c>
      <c r="Z1503" t="n">
        <v>935</v>
      </c>
      <c r="AA1503" t="n">
        <v>2.5</v>
      </c>
      <c r="AB1503" t="n">
        <v>9.5</v>
      </c>
    </row>
    <row r="1504">
      <c r="A1504" t="inlineStr">
        <is>
          <t>2026-09-24 16:51:56</t>
        </is>
      </c>
      <c r="B1504" t="inlineStr">
        <is>
          <t>MLLB_000_y1.0.3</t>
        </is>
      </c>
      <c r="C1504" t="inlineStr">
        <is>
          <t>WHITE</t>
        </is>
      </c>
      <c r="D1504" t="inlineStr">
        <is>
          <t>v4_white_MLLB_000_y103_0924</t>
        </is>
      </c>
      <c r="E1504" t="n">
        <v>3.2</v>
      </c>
      <c r="F1504" t="n">
        <v>3.208</v>
      </c>
      <c r="G1504" t="n">
        <v>100</v>
      </c>
      <c r="H1504" t="n">
        <v>80</v>
      </c>
      <c r="I1504" t="n">
        <v>28</v>
      </c>
      <c r="J1504" t="inlineStr">
        <is>
          <t>kaba</t>
        </is>
      </c>
      <c r="K1504" t="b">
        <v>1</v>
      </c>
      <c r="M1504" t="n">
        <v>34</v>
      </c>
      <c r="N1504" t="n">
        <v>28</v>
      </c>
      <c r="O1504" t="n">
        <v>14</v>
      </c>
      <c r="P1504" t="n">
        <v>968</v>
      </c>
      <c r="Q1504" t="n">
        <v>1002</v>
      </c>
      <c r="R1504" t="n">
        <v>1.067</v>
      </c>
      <c r="S1504" t="n">
        <v>243.864</v>
      </c>
      <c r="T1504" t="n">
        <v>228.573</v>
      </c>
      <c r="U1504" t="n">
        <v>0.7786999999999999</v>
      </c>
      <c r="V1504" t="b">
        <v>1</v>
      </c>
      <c r="X1504" t="b">
        <v>1</v>
      </c>
      <c r="Z1504" t="n">
        <v>935</v>
      </c>
      <c r="AA1504" t="n">
        <v>2.5</v>
      </c>
      <c r="AB1504" t="n">
        <v>9.5</v>
      </c>
    </row>
    <row r="1505">
      <c r="A1505" t="inlineStr">
        <is>
          <t>2026-09-24 16:52:12</t>
        </is>
      </c>
      <c r="B1505" t="inlineStr">
        <is>
          <t>MLLB_000_y1.0.3</t>
        </is>
      </c>
      <c r="C1505" t="inlineStr">
        <is>
          <t>WHITE</t>
        </is>
      </c>
      <c r="D1505" t="inlineStr">
        <is>
          <t>v4_white_MLLB_000_y103_0924</t>
        </is>
      </c>
      <c r="E1505" t="n">
        <v>3.2</v>
      </c>
      <c r="F1505" t="n">
        <v>3.208</v>
      </c>
      <c r="G1505" t="n">
        <v>100</v>
      </c>
      <c r="H1505" t="n">
        <v>80</v>
      </c>
      <c r="I1505" t="n">
        <v>32</v>
      </c>
      <c r="J1505" t="inlineStr">
        <is>
          <t>kaba</t>
        </is>
      </c>
      <c r="K1505" t="b">
        <v>1</v>
      </c>
      <c r="M1505" t="n">
        <v>34</v>
      </c>
      <c r="N1505" t="n">
        <v>28</v>
      </c>
      <c r="O1505" t="n">
        <v>14</v>
      </c>
      <c r="P1505" t="n">
        <v>968</v>
      </c>
      <c r="Q1505" t="n">
        <v>1002</v>
      </c>
      <c r="R1505" t="n">
        <v>1.067</v>
      </c>
      <c r="S1505" t="n">
        <v>243.864</v>
      </c>
      <c r="T1505" t="n">
        <v>228.494</v>
      </c>
      <c r="U1505" t="n">
        <v>0.7782</v>
      </c>
      <c r="V1505" t="b">
        <v>1</v>
      </c>
      <c r="X1505" t="b">
        <v>1</v>
      </c>
      <c r="Z1505" t="n">
        <v>935</v>
      </c>
      <c r="AA1505" t="n">
        <v>2.5</v>
      </c>
      <c r="AB1505" t="n">
        <v>9.5</v>
      </c>
    </row>
    <row r="1506">
      <c r="A1506" t="inlineStr">
        <is>
          <t>2026-09-24 16:52:28</t>
        </is>
      </c>
      <c r="B1506" t="inlineStr">
        <is>
          <t>MLLB_000_y1.0.3</t>
        </is>
      </c>
      <c r="C1506" t="inlineStr">
        <is>
          <t>WHITE</t>
        </is>
      </c>
      <c r="D1506" t="inlineStr">
        <is>
          <t>v4_white_MLLB_000_y103_0924</t>
        </is>
      </c>
      <c r="E1506" t="n">
        <v>3.2</v>
      </c>
      <c r="F1506" t="n">
        <v>3.208</v>
      </c>
      <c r="G1506" t="n">
        <v>100</v>
      </c>
      <c r="H1506" t="n">
        <v>80</v>
      </c>
      <c r="I1506" t="n">
        <v>36</v>
      </c>
      <c r="J1506" t="inlineStr">
        <is>
          <t>kaba</t>
        </is>
      </c>
      <c r="K1506" t="b">
        <v>1</v>
      </c>
      <c r="M1506" t="n">
        <v>34</v>
      </c>
      <c r="N1506" t="n">
        <v>28</v>
      </c>
      <c r="O1506" t="n">
        <v>14</v>
      </c>
      <c r="P1506" t="n">
        <v>968</v>
      </c>
      <c r="Q1506" t="n">
        <v>1002</v>
      </c>
      <c r="R1506" t="n">
        <v>1.068</v>
      </c>
      <c r="S1506" t="n">
        <v>243.864</v>
      </c>
      <c r="T1506" t="n">
        <v>228.243</v>
      </c>
      <c r="U1506" t="n">
        <v>0.7784</v>
      </c>
      <c r="V1506" t="b">
        <v>1</v>
      </c>
      <c r="X1506" t="b">
        <v>1</v>
      </c>
      <c r="Z1506" t="n">
        <v>935</v>
      </c>
      <c r="AA1506" t="n">
        <v>2.5</v>
      </c>
      <c r="AB1506" t="n">
        <v>9.5</v>
      </c>
    </row>
    <row r="1507">
      <c r="A1507" t="inlineStr">
        <is>
          <t>2026-09-24 16:52:44</t>
        </is>
      </c>
      <c r="B1507" t="inlineStr">
        <is>
          <t>MLLB_000_y1.0.3</t>
        </is>
      </c>
      <c r="C1507" t="inlineStr">
        <is>
          <t>WHITE</t>
        </is>
      </c>
      <c r="D1507" t="inlineStr">
        <is>
          <t>v4_white_MLLB_000_y103_0924</t>
        </is>
      </c>
      <c r="E1507" t="n">
        <v>3.2</v>
      </c>
      <c r="F1507" t="n">
        <v>3.208</v>
      </c>
      <c r="G1507" t="n">
        <v>100</v>
      </c>
      <c r="H1507" t="n">
        <v>80</v>
      </c>
      <c r="I1507" t="n">
        <v>40</v>
      </c>
      <c r="J1507" t="inlineStr">
        <is>
          <t>kaba</t>
        </is>
      </c>
      <c r="K1507" t="b">
        <v>1</v>
      </c>
      <c r="M1507" t="n">
        <v>34</v>
      </c>
      <c r="N1507" t="n">
        <v>28</v>
      </c>
      <c r="O1507" t="n">
        <v>14</v>
      </c>
      <c r="P1507" t="n">
        <v>968</v>
      </c>
      <c r="Q1507" t="n">
        <v>1002</v>
      </c>
      <c r="R1507" t="n">
        <v>1.067</v>
      </c>
      <c r="S1507" t="n">
        <v>243.864</v>
      </c>
      <c r="T1507" t="n">
        <v>228.472</v>
      </c>
      <c r="U1507" t="n">
        <v>0.7782</v>
      </c>
      <c r="V1507" t="b">
        <v>1</v>
      </c>
      <c r="X1507" t="b">
        <v>1</v>
      </c>
      <c r="Z1507" t="n">
        <v>935</v>
      </c>
      <c r="AA1507" t="n">
        <v>2.5</v>
      </c>
      <c r="AB1507" t="n">
        <v>9.5</v>
      </c>
    </row>
    <row r="1508">
      <c r="A1508" t="inlineStr">
        <is>
          <t>2026-09-24 16:53:00</t>
        </is>
      </c>
      <c r="B1508" t="inlineStr">
        <is>
          <t>MLLB_000_y1.0.3</t>
        </is>
      </c>
      <c r="C1508" t="inlineStr">
        <is>
          <t>WHITE</t>
        </is>
      </c>
      <c r="D1508" t="inlineStr">
        <is>
          <t>v4_white_MLLB_000_y103_0924</t>
        </is>
      </c>
      <c r="E1508" t="n">
        <v>3.2</v>
      </c>
      <c r="F1508" t="n">
        <v>3.208</v>
      </c>
      <c r="G1508" t="n">
        <v>100</v>
      </c>
      <c r="H1508" t="n">
        <v>80</v>
      </c>
      <c r="I1508" t="n">
        <v>44</v>
      </c>
      <c r="J1508" t="inlineStr">
        <is>
          <t>kaba</t>
        </is>
      </c>
      <c r="K1508" t="b">
        <v>1</v>
      </c>
      <c r="M1508" t="n">
        <v>34</v>
      </c>
      <c r="N1508" t="n">
        <v>28</v>
      </c>
      <c r="O1508" t="n">
        <v>14</v>
      </c>
      <c r="P1508" t="n">
        <v>968</v>
      </c>
      <c r="Q1508" t="n">
        <v>1002</v>
      </c>
      <c r="R1508" t="n">
        <v>1.068</v>
      </c>
      <c r="S1508" t="n">
        <v>244.008</v>
      </c>
      <c r="T1508" t="n">
        <v>228.542</v>
      </c>
      <c r="U1508" t="n">
        <v>0.7778</v>
      </c>
      <c r="V1508" t="b">
        <v>1</v>
      </c>
      <c r="X1508" t="b">
        <v>1</v>
      </c>
      <c r="Z1508" t="n">
        <v>935</v>
      </c>
      <c r="AA1508" t="n">
        <v>2.5</v>
      </c>
      <c r="AB1508" t="n">
        <v>9.5</v>
      </c>
    </row>
    <row r="1509">
      <c r="A1509" t="inlineStr">
        <is>
          <t>2026-09-24 16:53:16</t>
        </is>
      </c>
      <c r="B1509" t="inlineStr">
        <is>
          <t>MLLB_000_y1.0.3</t>
        </is>
      </c>
      <c r="C1509" t="inlineStr">
        <is>
          <t>WHITE</t>
        </is>
      </c>
      <c r="D1509" t="inlineStr">
        <is>
          <t>v4_white_MLLB_000_y103_0924</t>
        </is>
      </c>
      <c r="E1509" t="n">
        <v>3.2</v>
      </c>
      <c r="F1509" t="n">
        <v>3.208</v>
      </c>
      <c r="G1509" t="n">
        <v>100</v>
      </c>
      <c r="H1509" t="n">
        <v>80</v>
      </c>
      <c r="I1509" t="n">
        <v>48</v>
      </c>
      <c r="J1509" t="inlineStr">
        <is>
          <t>kaba</t>
        </is>
      </c>
      <c r="K1509" t="b">
        <v>1</v>
      </c>
      <c r="M1509" t="n">
        <v>34</v>
      </c>
      <c r="N1509" t="n">
        <v>28</v>
      </c>
      <c r="O1509" t="n">
        <v>14</v>
      </c>
      <c r="P1509" t="n">
        <v>968</v>
      </c>
      <c r="Q1509" t="n">
        <v>1002</v>
      </c>
      <c r="R1509" t="n">
        <v>1.067</v>
      </c>
      <c r="S1509" t="n">
        <v>243.864</v>
      </c>
      <c r="T1509" t="n">
        <v>228.597</v>
      </c>
      <c r="U1509" t="n">
        <v>0.778</v>
      </c>
      <c r="V1509" t="b">
        <v>1</v>
      </c>
      <c r="X1509" t="b">
        <v>1</v>
      </c>
      <c r="Z1509" t="n">
        <v>935</v>
      </c>
      <c r="AA1509" t="n">
        <v>2.5</v>
      </c>
      <c r="AB1509" t="n">
        <v>9.5</v>
      </c>
    </row>
    <row r="1510">
      <c r="A1510" t="inlineStr">
        <is>
          <t>2026-09-24 16:53:32</t>
        </is>
      </c>
      <c r="B1510" t="inlineStr">
        <is>
          <t>MLLB_000_y1.0.3</t>
        </is>
      </c>
      <c r="C1510" t="inlineStr">
        <is>
          <t>WHITE</t>
        </is>
      </c>
      <c r="D1510" t="inlineStr">
        <is>
          <t>v4_white_MLLB_000_y103_0924</t>
        </is>
      </c>
      <c r="E1510" t="n">
        <v>3.2</v>
      </c>
      <c r="F1510" t="n">
        <v>3.208</v>
      </c>
      <c r="G1510" t="n">
        <v>100</v>
      </c>
      <c r="H1510" t="n">
        <v>80</v>
      </c>
      <c r="I1510" t="n">
        <v>52</v>
      </c>
      <c r="J1510" t="inlineStr">
        <is>
          <t>kaba</t>
        </is>
      </c>
      <c r="K1510" t="b">
        <v>1</v>
      </c>
      <c r="M1510" t="n">
        <v>34</v>
      </c>
      <c r="N1510" t="n">
        <v>28</v>
      </c>
      <c r="O1510" t="n">
        <v>14</v>
      </c>
      <c r="P1510" t="n">
        <v>968</v>
      </c>
      <c r="Q1510" t="n">
        <v>1002</v>
      </c>
      <c r="R1510" t="n">
        <v>1.067</v>
      </c>
      <c r="S1510" t="n">
        <v>243.864</v>
      </c>
      <c r="T1510" t="n">
        <v>228.455</v>
      </c>
      <c r="U1510" t="n">
        <v>0.7779</v>
      </c>
      <c r="V1510" t="b">
        <v>1</v>
      </c>
      <c r="X1510" t="b">
        <v>1</v>
      </c>
      <c r="Z1510" t="n">
        <v>935</v>
      </c>
      <c r="AA1510" t="n">
        <v>2.5</v>
      </c>
      <c r="AB1510" t="n">
        <v>9.5</v>
      </c>
    </row>
    <row r="1511">
      <c r="A1511" t="inlineStr">
        <is>
          <t>2026-09-24 16:53:48</t>
        </is>
      </c>
      <c r="B1511" t="inlineStr">
        <is>
          <t>MLLB_000_y1.0.3</t>
        </is>
      </c>
      <c r="C1511" t="inlineStr">
        <is>
          <t>WHITE</t>
        </is>
      </c>
      <c r="D1511" t="inlineStr">
        <is>
          <t>v4_white_MLLB_000_y103_0924</t>
        </is>
      </c>
      <c r="E1511" t="n">
        <v>3.2</v>
      </c>
      <c r="F1511" t="n">
        <v>3.208</v>
      </c>
      <c r="G1511" t="n">
        <v>100</v>
      </c>
      <c r="H1511" t="n">
        <v>80</v>
      </c>
      <c r="I1511" t="n">
        <v>56</v>
      </c>
      <c r="J1511" t="inlineStr">
        <is>
          <t>kaba</t>
        </is>
      </c>
      <c r="K1511" t="b">
        <v>1</v>
      </c>
      <c r="M1511" t="n">
        <v>34</v>
      </c>
      <c r="N1511" t="n">
        <v>28</v>
      </c>
      <c r="O1511" t="n">
        <v>14</v>
      </c>
      <c r="P1511" t="n">
        <v>968</v>
      </c>
      <c r="Q1511" t="n">
        <v>1002</v>
      </c>
      <c r="R1511" t="n">
        <v>1.067</v>
      </c>
      <c r="S1511" t="n">
        <v>243.998</v>
      </c>
      <c r="T1511" t="n">
        <v>228.593</v>
      </c>
      <c r="U1511" t="n">
        <v>0.778</v>
      </c>
      <c r="V1511" t="b">
        <v>1</v>
      </c>
      <c r="X1511" t="b">
        <v>1</v>
      </c>
      <c r="Z1511" t="n">
        <v>935</v>
      </c>
      <c r="AA1511" t="n">
        <v>2.5</v>
      </c>
      <c r="AB1511" t="n">
        <v>9.5</v>
      </c>
    </row>
    <row r="1512">
      <c r="A1512" t="inlineStr">
        <is>
          <t>2026-09-24 16:54:04</t>
        </is>
      </c>
      <c r="B1512" t="inlineStr">
        <is>
          <t>MLLB_000_y1.0.3</t>
        </is>
      </c>
      <c r="C1512" t="inlineStr">
        <is>
          <t>WHITE</t>
        </is>
      </c>
      <c r="D1512" t="inlineStr">
        <is>
          <t>v4_white_MLLB_000_y103_0924</t>
        </is>
      </c>
      <c r="E1512" t="n">
        <v>3.2</v>
      </c>
      <c r="F1512" t="n">
        <v>3.208</v>
      </c>
      <c r="G1512" t="n">
        <v>100</v>
      </c>
      <c r="H1512" t="n">
        <v>80</v>
      </c>
      <c r="I1512" t="n">
        <v>58</v>
      </c>
      <c r="J1512" t="inlineStr">
        <is>
          <t>kaba</t>
        </is>
      </c>
      <c r="K1512" t="b">
        <v>1</v>
      </c>
      <c r="M1512" t="n">
        <v>34</v>
      </c>
      <c r="N1512" t="n">
        <v>28</v>
      </c>
      <c r="O1512" t="n">
        <v>14</v>
      </c>
      <c r="P1512" t="n">
        <v>968</v>
      </c>
      <c r="Q1512" t="n">
        <v>1002</v>
      </c>
      <c r="R1512" t="n">
        <v>1.067</v>
      </c>
      <c r="S1512" t="n">
        <v>243.864</v>
      </c>
      <c r="T1512" t="n">
        <v>228.561</v>
      </c>
      <c r="U1512" t="n">
        <v>0.7784</v>
      </c>
      <c r="V1512" t="b">
        <v>1</v>
      </c>
      <c r="X1512" t="b">
        <v>1</v>
      </c>
      <c r="Z1512" t="n">
        <v>935</v>
      </c>
      <c r="AA1512" t="n">
        <v>2.5</v>
      </c>
      <c r="AB1512" t="n">
        <v>9.5</v>
      </c>
    </row>
    <row r="1513">
      <c r="A1513" t="inlineStr">
        <is>
          <t>2026-09-24 16:54:04</t>
        </is>
      </c>
      <c r="B1513" t="inlineStr">
        <is>
          <t>MLLB_000_y1.0.3</t>
        </is>
      </c>
      <c r="C1513" t="inlineStr">
        <is>
          <t>WHITE</t>
        </is>
      </c>
      <c r="D1513" t="inlineStr">
        <is>
          <t>v4_white_MLLB_000_y103_0924</t>
        </is>
      </c>
      <c r="E1513" t="n">
        <v>3.2</v>
      </c>
      <c r="F1513" t="n">
        <v>3.208</v>
      </c>
      <c r="G1513" t="n">
        <v>100</v>
      </c>
      <c r="H1513" t="n">
        <v>80</v>
      </c>
      <c r="I1513" t="n">
        <v>13</v>
      </c>
      <c r="J1513" t="inlineStr">
        <is>
          <t>ince</t>
        </is>
      </c>
      <c r="K1513" t="b">
        <v>0</v>
      </c>
      <c r="L1513" t="inlineStr">
        <is>
          <t>iki-OK-arasi-monotonluk</t>
        </is>
      </c>
      <c r="X1513" t="b">
        <v>1</v>
      </c>
      <c r="Z1513" t="n">
        <v>935</v>
      </c>
      <c r="AA1513" t="n">
        <v>2.5</v>
      </c>
      <c r="AB1513" t="n">
        <v>9.5</v>
      </c>
    </row>
    <row r="1514">
      <c r="A1514" t="inlineStr">
        <is>
          <t>2026-09-24 16:54:04</t>
        </is>
      </c>
      <c r="B1514" t="inlineStr">
        <is>
          <t>MLLB_000_y1.0.3</t>
        </is>
      </c>
      <c r="C1514" t="inlineStr">
        <is>
          <t>WHITE</t>
        </is>
      </c>
      <c r="D1514" t="inlineStr">
        <is>
          <t>v4_white_MLLB_000_y103_0924</t>
        </is>
      </c>
      <c r="E1514" t="n">
        <v>3.2</v>
      </c>
      <c r="F1514" t="n">
        <v>3.208</v>
      </c>
      <c r="G1514" t="n">
        <v>100</v>
      </c>
      <c r="H1514" t="n">
        <v>80</v>
      </c>
      <c r="I1514" t="n">
        <v>14</v>
      </c>
      <c r="J1514" t="inlineStr">
        <is>
          <t>ince</t>
        </is>
      </c>
      <c r="K1514" t="b">
        <v>0</v>
      </c>
      <c r="L1514" t="inlineStr">
        <is>
          <t>iki-OK-arasi-monotonluk</t>
        </is>
      </c>
      <c r="X1514" t="b">
        <v>1</v>
      </c>
      <c r="Z1514" t="n">
        <v>935</v>
      </c>
      <c r="AA1514" t="n">
        <v>2.5</v>
      </c>
      <c r="AB1514" t="n">
        <v>9.5</v>
      </c>
    </row>
    <row r="1515">
      <c r="A1515" t="inlineStr">
        <is>
          <t>2026-09-24 16:54:04</t>
        </is>
      </c>
      <c r="B1515" t="inlineStr">
        <is>
          <t>MLLB_000_y1.0.3</t>
        </is>
      </c>
      <c r="C1515" t="inlineStr">
        <is>
          <t>WHITE</t>
        </is>
      </c>
      <c r="D1515" t="inlineStr">
        <is>
          <t>v4_white_MLLB_000_y103_0924</t>
        </is>
      </c>
      <c r="E1515" t="n">
        <v>3.2</v>
      </c>
      <c r="F1515" t="n">
        <v>3.208</v>
      </c>
      <c r="G1515" t="n">
        <v>100</v>
      </c>
      <c r="H1515" t="n">
        <v>80</v>
      </c>
      <c r="I1515" t="n">
        <v>15</v>
      </c>
      <c r="J1515" t="inlineStr">
        <is>
          <t>ince</t>
        </is>
      </c>
      <c r="K1515" t="b">
        <v>0</v>
      </c>
      <c r="L1515" t="inlineStr">
        <is>
          <t>iki-OK-arasi-monotonluk</t>
        </is>
      </c>
      <c r="X1515" t="b">
        <v>1</v>
      </c>
      <c r="Z1515" t="n">
        <v>935</v>
      </c>
      <c r="AA1515" t="n">
        <v>2.5</v>
      </c>
      <c r="AB1515" t="n">
        <v>9.5</v>
      </c>
    </row>
    <row r="1516">
      <c r="A1516" t="inlineStr">
        <is>
          <t>2026-09-24 16:54:04</t>
        </is>
      </c>
      <c r="B1516" t="inlineStr">
        <is>
          <t>MLLB_000_y1.0.3</t>
        </is>
      </c>
      <c r="C1516" t="inlineStr">
        <is>
          <t>WHITE</t>
        </is>
      </c>
      <c r="D1516" t="inlineStr">
        <is>
          <t>v4_white_MLLB_000_y103_0924</t>
        </is>
      </c>
      <c r="E1516" t="n">
        <v>3.2</v>
      </c>
      <c r="F1516" t="n">
        <v>3.208</v>
      </c>
      <c r="G1516" t="n">
        <v>100</v>
      </c>
      <c r="H1516" t="n">
        <v>80</v>
      </c>
      <c r="I1516" t="n">
        <v>17</v>
      </c>
      <c r="J1516" t="inlineStr">
        <is>
          <t>ince</t>
        </is>
      </c>
      <c r="K1516" t="b">
        <v>0</v>
      </c>
      <c r="L1516" t="inlineStr">
        <is>
          <t>iki-OK-arasi-monotonluk</t>
        </is>
      </c>
      <c r="X1516" t="b">
        <v>1</v>
      </c>
      <c r="Z1516" t="n">
        <v>935</v>
      </c>
      <c r="AA1516" t="n">
        <v>2.5</v>
      </c>
      <c r="AB1516" t="n">
        <v>9.5</v>
      </c>
    </row>
    <row r="1517">
      <c r="A1517" t="inlineStr">
        <is>
          <t>2026-09-24 16:54:04</t>
        </is>
      </c>
      <c r="B1517" t="inlineStr">
        <is>
          <t>MLLB_000_y1.0.3</t>
        </is>
      </c>
      <c r="C1517" t="inlineStr">
        <is>
          <t>WHITE</t>
        </is>
      </c>
      <c r="D1517" t="inlineStr">
        <is>
          <t>v4_white_MLLB_000_y103_0924</t>
        </is>
      </c>
      <c r="E1517" t="n">
        <v>3.2</v>
      </c>
      <c r="F1517" t="n">
        <v>3.208</v>
      </c>
      <c r="G1517" t="n">
        <v>100</v>
      </c>
      <c r="H1517" t="n">
        <v>80</v>
      </c>
      <c r="I1517" t="n">
        <v>18</v>
      </c>
      <c r="J1517" t="inlineStr">
        <is>
          <t>ince</t>
        </is>
      </c>
      <c r="K1517" t="b">
        <v>0</v>
      </c>
      <c r="L1517" t="inlineStr">
        <is>
          <t>iki-OK-arasi-monotonluk</t>
        </is>
      </c>
      <c r="X1517" t="b">
        <v>1</v>
      </c>
      <c r="Z1517" t="n">
        <v>935</v>
      </c>
      <c r="AA1517" t="n">
        <v>2.5</v>
      </c>
      <c r="AB1517" t="n">
        <v>9.5</v>
      </c>
    </row>
    <row r="1518">
      <c r="A1518" t="inlineStr">
        <is>
          <t>2026-09-24 16:54:04</t>
        </is>
      </c>
      <c r="B1518" t="inlineStr">
        <is>
          <t>MLLB_000_y1.0.3</t>
        </is>
      </c>
      <c r="C1518" t="inlineStr">
        <is>
          <t>WHITE</t>
        </is>
      </c>
      <c r="D1518" t="inlineStr">
        <is>
          <t>v4_white_MLLB_000_y103_0924</t>
        </is>
      </c>
      <c r="E1518" t="n">
        <v>3.2</v>
      </c>
      <c r="F1518" t="n">
        <v>3.208</v>
      </c>
      <c r="G1518" t="n">
        <v>100</v>
      </c>
      <c r="H1518" t="n">
        <v>80</v>
      </c>
      <c r="I1518" t="n">
        <v>19</v>
      </c>
      <c r="J1518" t="inlineStr">
        <is>
          <t>ince</t>
        </is>
      </c>
      <c r="K1518" t="b">
        <v>0</v>
      </c>
      <c r="L1518" t="inlineStr">
        <is>
          <t>iki-OK-arasi-monotonluk</t>
        </is>
      </c>
      <c r="X1518" t="b">
        <v>1</v>
      </c>
      <c r="Z1518" t="n">
        <v>935</v>
      </c>
      <c r="AA1518" t="n">
        <v>2.5</v>
      </c>
      <c r="AB1518" t="n">
        <v>9.5</v>
      </c>
    </row>
    <row r="1519">
      <c r="A1519" t="inlineStr">
        <is>
          <t>2026-09-24 16:54:04</t>
        </is>
      </c>
      <c r="B1519" t="inlineStr">
        <is>
          <t>MLLB_000_y1.0.3</t>
        </is>
      </c>
      <c r="C1519" t="inlineStr">
        <is>
          <t>WHITE</t>
        </is>
      </c>
      <c r="D1519" t="inlineStr">
        <is>
          <t>v4_white_MLLB_000_y103_0924</t>
        </is>
      </c>
      <c r="E1519" t="n">
        <v>3.2</v>
      </c>
      <c r="F1519" t="n">
        <v>3.208</v>
      </c>
      <c r="G1519" t="n">
        <v>100</v>
      </c>
      <c r="H1519" t="n">
        <v>80</v>
      </c>
      <c r="I1519" t="n">
        <v>21</v>
      </c>
      <c r="J1519" t="inlineStr">
        <is>
          <t>ince</t>
        </is>
      </c>
      <c r="K1519" t="b">
        <v>0</v>
      </c>
      <c r="L1519" t="inlineStr">
        <is>
          <t>iki-OK-arasi-monotonluk</t>
        </is>
      </c>
      <c r="X1519" t="b">
        <v>1</v>
      </c>
      <c r="Z1519" t="n">
        <v>935</v>
      </c>
      <c r="AA1519" t="n">
        <v>2.5</v>
      </c>
      <c r="AB1519" t="n">
        <v>9.5</v>
      </c>
    </row>
    <row r="1520">
      <c r="A1520" t="inlineStr">
        <is>
          <t>2026-09-24 16:54:04</t>
        </is>
      </c>
      <c r="B1520" t="inlineStr">
        <is>
          <t>MLLB_000_y1.0.3</t>
        </is>
      </c>
      <c r="C1520" t="inlineStr">
        <is>
          <t>WHITE</t>
        </is>
      </c>
      <c r="D1520" t="inlineStr">
        <is>
          <t>v4_white_MLLB_000_y103_0924</t>
        </is>
      </c>
      <c r="E1520" t="n">
        <v>3.2</v>
      </c>
      <c r="F1520" t="n">
        <v>3.208</v>
      </c>
      <c r="G1520" t="n">
        <v>100</v>
      </c>
      <c r="H1520" t="n">
        <v>80</v>
      </c>
      <c r="I1520" t="n">
        <v>22</v>
      </c>
      <c r="J1520" t="inlineStr">
        <is>
          <t>ince</t>
        </is>
      </c>
      <c r="K1520" t="b">
        <v>0</v>
      </c>
      <c r="L1520" t="inlineStr">
        <is>
          <t>iki-OK-arasi-monotonluk</t>
        </is>
      </c>
      <c r="X1520" t="b">
        <v>1</v>
      </c>
      <c r="Z1520" t="n">
        <v>935</v>
      </c>
      <c r="AA1520" t="n">
        <v>2.5</v>
      </c>
      <c r="AB1520" t="n">
        <v>9.5</v>
      </c>
    </row>
    <row r="1521">
      <c r="A1521" t="inlineStr">
        <is>
          <t>2026-09-24 16:54:04</t>
        </is>
      </c>
      <c r="B1521" t="inlineStr">
        <is>
          <t>MLLB_000_y1.0.3</t>
        </is>
      </c>
      <c r="C1521" t="inlineStr">
        <is>
          <t>WHITE</t>
        </is>
      </c>
      <c r="D1521" t="inlineStr">
        <is>
          <t>v4_white_MLLB_000_y103_0924</t>
        </is>
      </c>
      <c r="E1521" t="n">
        <v>3.2</v>
      </c>
      <c r="F1521" t="n">
        <v>3.208</v>
      </c>
      <c r="G1521" t="n">
        <v>100</v>
      </c>
      <c r="H1521" t="n">
        <v>80</v>
      </c>
      <c r="I1521" t="n">
        <v>23</v>
      </c>
      <c r="J1521" t="inlineStr">
        <is>
          <t>ince</t>
        </is>
      </c>
      <c r="K1521" t="b">
        <v>0</v>
      </c>
      <c r="L1521" t="inlineStr">
        <is>
          <t>iki-OK-arasi-monotonluk</t>
        </is>
      </c>
      <c r="X1521" t="b">
        <v>1</v>
      </c>
      <c r="Z1521" t="n">
        <v>935</v>
      </c>
      <c r="AA1521" t="n">
        <v>2.5</v>
      </c>
      <c r="AB1521" t="n">
        <v>9.5</v>
      </c>
    </row>
    <row r="1522">
      <c r="A1522" t="inlineStr">
        <is>
          <t>2026-09-24 16:54:04</t>
        </is>
      </c>
      <c r="B1522" t="inlineStr">
        <is>
          <t>MLLB_000_y1.0.3</t>
        </is>
      </c>
      <c r="C1522" t="inlineStr">
        <is>
          <t>WHITE</t>
        </is>
      </c>
      <c r="D1522" t="inlineStr">
        <is>
          <t>v4_white_MLLB_000_y103_0924</t>
        </is>
      </c>
      <c r="E1522" t="n">
        <v>3.2</v>
      </c>
      <c r="F1522" t="n">
        <v>3.208</v>
      </c>
      <c r="G1522" t="n">
        <v>100</v>
      </c>
      <c r="H1522" t="n">
        <v>80</v>
      </c>
      <c r="I1522" t="n">
        <v>25</v>
      </c>
      <c r="J1522" t="inlineStr">
        <is>
          <t>ince</t>
        </is>
      </c>
      <c r="K1522" t="b">
        <v>0</v>
      </c>
      <c r="L1522" t="inlineStr">
        <is>
          <t>iki-OK-arasi-monotonluk</t>
        </is>
      </c>
      <c r="X1522" t="b">
        <v>1</v>
      </c>
      <c r="Z1522" t="n">
        <v>935</v>
      </c>
      <c r="AA1522" t="n">
        <v>2.5</v>
      </c>
      <c r="AB1522" t="n">
        <v>9.5</v>
      </c>
    </row>
    <row r="1523">
      <c r="A1523" t="inlineStr">
        <is>
          <t>2026-09-24 16:54:04</t>
        </is>
      </c>
      <c r="B1523" t="inlineStr">
        <is>
          <t>MLLB_000_y1.0.3</t>
        </is>
      </c>
      <c r="C1523" t="inlineStr">
        <is>
          <t>WHITE</t>
        </is>
      </c>
      <c r="D1523" t="inlineStr">
        <is>
          <t>v4_white_MLLB_000_y103_0924</t>
        </is>
      </c>
      <c r="E1523" t="n">
        <v>3.2</v>
      </c>
      <c r="F1523" t="n">
        <v>3.208</v>
      </c>
      <c r="G1523" t="n">
        <v>100</v>
      </c>
      <c r="H1523" t="n">
        <v>80</v>
      </c>
      <c r="I1523" t="n">
        <v>26</v>
      </c>
      <c r="J1523" t="inlineStr">
        <is>
          <t>ince</t>
        </is>
      </c>
      <c r="K1523" t="b">
        <v>0</v>
      </c>
      <c r="L1523" t="inlineStr">
        <is>
          <t>iki-OK-arasi-monotonluk</t>
        </is>
      </c>
      <c r="X1523" t="b">
        <v>1</v>
      </c>
      <c r="Z1523" t="n">
        <v>935</v>
      </c>
      <c r="AA1523" t="n">
        <v>2.5</v>
      </c>
      <c r="AB1523" t="n">
        <v>9.5</v>
      </c>
    </row>
    <row r="1524">
      <c r="A1524" t="inlineStr">
        <is>
          <t>2026-09-24 16:54:04</t>
        </is>
      </c>
      <c r="B1524" t="inlineStr">
        <is>
          <t>MLLB_000_y1.0.3</t>
        </is>
      </c>
      <c r="C1524" t="inlineStr">
        <is>
          <t>WHITE</t>
        </is>
      </c>
      <c r="D1524" t="inlineStr">
        <is>
          <t>v4_white_MLLB_000_y103_0924</t>
        </is>
      </c>
      <c r="E1524" t="n">
        <v>3.2</v>
      </c>
      <c r="F1524" t="n">
        <v>3.208</v>
      </c>
      <c r="G1524" t="n">
        <v>100</v>
      </c>
      <c r="H1524" t="n">
        <v>80</v>
      </c>
      <c r="I1524" t="n">
        <v>27</v>
      </c>
      <c r="J1524" t="inlineStr">
        <is>
          <t>ince</t>
        </is>
      </c>
      <c r="K1524" t="b">
        <v>0</v>
      </c>
      <c r="L1524" t="inlineStr">
        <is>
          <t>iki-OK-arasi-monotonluk</t>
        </is>
      </c>
      <c r="X1524" t="b">
        <v>1</v>
      </c>
      <c r="Z1524" t="n">
        <v>935</v>
      </c>
      <c r="AA1524" t="n">
        <v>2.5</v>
      </c>
      <c r="AB1524" t="n">
        <v>9.5</v>
      </c>
    </row>
    <row r="1525">
      <c r="A1525" t="inlineStr">
        <is>
          <t>2026-09-24 16:54:04</t>
        </is>
      </c>
      <c r="B1525" t="inlineStr">
        <is>
          <t>MLLB_000_y1.0.3</t>
        </is>
      </c>
      <c r="C1525" t="inlineStr">
        <is>
          <t>WHITE</t>
        </is>
      </c>
      <c r="D1525" t="inlineStr">
        <is>
          <t>v4_white_MLLB_000_y103_0924</t>
        </is>
      </c>
      <c r="E1525" t="n">
        <v>3.2</v>
      </c>
      <c r="F1525" t="n">
        <v>3.208</v>
      </c>
      <c r="G1525" t="n">
        <v>100</v>
      </c>
      <c r="H1525" t="n">
        <v>80</v>
      </c>
      <c r="I1525" t="n">
        <v>29</v>
      </c>
      <c r="J1525" t="inlineStr">
        <is>
          <t>ince</t>
        </is>
      </c>
      <c r="K1525" t="b">
        <v>0</v>
      </c>
      <c r="L1525" t="inlineStr">
        <is>
          <t>iki-OK-arasi-monotonluk</t>
        </is>
      </c>
      <c r="X1525" t="b">
        <v>1</v>
      </c>
      <c r="Z1525" t="n">
        <v>935</v>
      </c>
      <c r="AA1525" t="n">
        <v>2.5</v>
      </c>
      <c r="AB1525" t="n">
        <v>9.5</v>
      </c>
    </row>
    <row r="1526">
      <c r="A1526" t="inlineStr">
        <is>
          <t>2026-09-24 16:54:04</t>
        </is>
      </c>
      <c r="B1526" t="inlineStr">
        <is>
          <t>MLLB_000_y1.0.3</t>
        </is>
      </c>
      <c r="C1526" t="inlineStr">
        <is>
          <t>WHITE</t>
        </is>
      </c>
      <c r="D1526" t="inlineStr">
        <is>
          <t>v4_white_MLLB_000_y103_0924</t>
        </is>
      </c>
      <c r="E1526" t="n">
        <v>3.2</v>
      </c>
      <c r="F1526" t="n">
        <v>3.208</v>
      </c>
      <c r="G1526" t="n">
        <v>100</v>
      </c>
      <c r="H1526" t="n">
        <v>80</v>
      </c>
      <c r="I1526" t="n">
        <v>30</v>
      </c>
      <c r="J1526" t="inlineStr">
        <is>
          <t>ince</t>
        </is>
      </c>
      <c r="K1526" t="b">
        <v>0</v>
      </c>
      <c r="L1526" t="inlineStr">
        <is>
          <t>iki-OK-arasi-monotonluk</t>
        </is>
      </c>
      <c r="X1526" t="b">
        <v>1</v>
      </c>
      <c r="Z1526" t="n">
        <v>935</v>
      </c>
      <c r="AA1526" t="n">
        <v>2.5</v>
      </c>
      <c r="AB1526" t="n">
        <v>9.5</v>
      </c>
    </row>
    <row r="1527">
      <c r="A1527" t="inlineStr">
        <is>
          <t>2026-09-24 16:54:04</t>
        </is>
      </c>
      <c r="B1527" t="inlineStr">
        <is>
          <t>MLLB_000_y1.0.3</t>
        </is>
      </c>
      <c r="C1527" t="inlineStr">
        <is>
          <t>WHITE</t>
        </is>
      </c>
      <c r="D1527" t="inlineStr">
        <is>
          <t>v4_white_MLLB_000_y103_0924</t>
        </is>
      </c>
      <c r="E1527" t="n">
        <v>3.2</v>
      </c>
      <c r="F1527" t="n">
        <v>3.208</v>
      </c>
      <c r="G1527" t="n">
        <v>100</v>
      </c>
      <c r="H1527" t="n">
        <v>80</v>
      </c>
      <c r="I1527" t="n">
        <v>31</v>
      </c>
      <c r="J1527" t="inlineStr">
        <is>
          <t>ince</t>
        </is>
      </c>
      <c r="K1527" t="b">
        <v>0</v>
      </c>
      <c r="L1527" t="inlineStr">
        <is>
          <t>iki-OK-arasi-monotonluk</t>
        </is>
      </c>
      <c r="X1527" t="b">
        <v>1</v>
      </c>
      <c r="Z1527" t="n">
        <v>935</v>
      </c>
      <c r="AA1527" t="n">
        <v>2.5</v>
      </c>
      <c r="AB1527" t="n">
        <v>9.5</v>
      </c>
    </row>
    <row r="1528">
      <c r="A1528" t="inlineStr">
        <is>
          <t>2026-09-24 16:54:04</t>
        </is>
      </c>
      <c r="B1528" t="inlineStr">
        <is>
          <t>MLLB_000_y1.0.3</t>
        </is>
      </c>
      <c r="C1528" t="inlineStr">
        <is>
          <t>WHITE</t>
        </is>
      </c>
      <c r="D1528" t="inlineStr">
        <is>
          <t>v4_white_MLLB_000_y103_0924</t>
        </is>
      </c>
      <c r="E1528" t="n">
        <v>3.2</v>
      </c>
      <c r="F1528" t="n">
        <v>3.208</v>
      </c>
      <c r="G1528" t="n">
        <v>100</v>
      </c>
      <c r="H1528" t="n">
        <v>80</v>
      </c>
      <c r="I1528" t="n">
        <v>33</v>
      </c>
      <c r="J1528" t="inlineStr">
        <is>
          <t>ince</t>
        </is>
      </c>
      <c r="K1528" t="b">
        <v>0</v>
      </c>
      <c r="L1528" t="inlineStr">
        <is>
          <t>iki-OK-arasi-monotonluk</t>
        </is>
      </c>
      <c r="X1528" t="b">
        <v>1</v>
      </c>
      <c r="Z1528" t="n">
        <v>935</v>
      </c>
      <c r="AA1528" t="n">
        <v>2.5</v>
      </c>
      <c r="AB1528" t="n">
        <v>9.5</v>
      </c>
    </row>
    <row r="1529">
      <c r="A1529" t="inlineStr">
        <is>
          <t>2026-09-24 16:54:04</t>
        </is>
      </c>
      <c r="B1529" t="inlineStr">
        <is>
          <t>MLLB_000_y1.0.3</t>
        </is>
      </c>
      <c r="C1529" t="inlineStr">
        <is>
          <t>WHITE</t>
        </is>
      </c>
      <c r="D1529" t="inlineStr">
        <is>
          <t>v4_white_MLLB_000_y103_0924</t>
        </is>
      </c>
      <c r="E1529" t="n">
        <v>3.2</v>
      </c>
      <c r="F1529" t="n">
        <v>3.208</v>
      </c>
      <c r="G1529" t="n">
        <v>100</v>
      </c>
      <c r="H1529" t="n">
        <v>80</v>
      </c>
      <c r="I1529" t="n">
        <v>34</v>
      </c>
      <c r="J1529" t="inlineStr">
        <is>
          <t>ince</t>
        </is>
      </c>
      <c r="K1529" t="b">
        <v>0</v>
      </c>
      <c r="L1529" t="inlineStr">
        <is>
          <t>iki-OK-arasi-monotonluk</t>
        </is>
      </c>
      <c r="X1529" t="b">
        <v>1</v>
      </c>
      <c r="Z1529" t="n">
        <v>935</v>
      </c>
      <c r="AA1529" t="n">
        <v>2.5</v>
      </c>
      <c r="AB1529" t="n">
        <v>9.5</v>
      </c>
    </row>
    <row r="1530">
      <c r="A1530" t="inlineStr">
        <is>
          <t>2026-09-24 16:54:04</t>
        </is>
      </c>
      <c r="B1530" t="inlineStr">
        <is>
          <t>MLLB_000_y1.0.3</t>
        </is>
      </c>
      <c r="C1530" t="inlineStr">
        <is>
          <t>WHITE</t>
        </is>
      </c>
      <c r="D1530" t="inlineStr">
        <is>
          <t>v4_white_MLLB_000_y103_0924</t>
        </is>
      </c>
      <c r="E1530" t="n">
        <v>3.2</v>
      </c>
      <c r="F1530" t="n">
        <v>3.208</v>
      </c>
      <c r="G1530" t="n">
        <v>100</v>
      </c>
      <c r="H1530" t="n">
        <v>80</v>
      </c>
      <c r="I1530" t="n">
        <v>35</v>
      </c>
      <c r="J1530" t="inlineStr">
        <is>
          <t>ince</t>
        </is>
      </c>
      <c r="K1530" t="b">
        <v>0</v>
      </c>
      <c r="L1530" t="inlineStr">
        <is>
          <t>iki-OK-arasi-monotonluk</t>
        </is>
      </c>
      <c r="X1530" t="b">
        <v>1</v>
      </c>
      <c r="Z1530" t="n">
        <v>935</v>
      </c>
      <c r="AA1530" t="n">
        <v>2.5</v>
      </c>
      <c r="AB1530" t="n">
        <v>9.5</v>
      </c>
    </row>
    <row r="1531">
      <c r="A1531" t="inlineStr">
        <is>
          <t>2026-09-24 16:54:04</t>
        </is>
      </c>
      <c r="B1531" t="inlineStr">
        <is>
          <t>MLLB_000_y1.0.3</t>
        </is>
      </c>
      <c r="C1531" t="inlineStr">
        <is>
          <t>WHITE</t>
        </is>
      </c>
      <c r="D1531" t="inlineStr">
        <is>
          <t>v4_white_MLLB_000_y103_0924</t>
        </is>
      </c>
      <c r="E1531" t="n">
        <v>3.2</v>
      </c>
      <c r="F1531" t="n">
        <v>3.208</v>
      </c>
      <c r="G1531" t="n">
        <v>100</v>
      </c>
      <c r="H1531" t="n">
        <v>80</v>
      </c>
      <c r="I1531" t="n">
        <v>37</v>
      </c>
      <c r="J1531" t="inlineStr">
        <is>
          <t>ince</t>
        </is>
      </c>
      <c r="K1531" t="b">
        <v>0</v>
      </c>
      <c r="L1531" t="inlineStr">
        <is>
          <t>iki-OK-arasi-monotonluk</t>
        </is>
      </c>
      <c r="X1531" t="b">
        <v>1</v>
      </c>
      <c r="Z1531" t="n">
        <v>935</v>
      </c>
      <c r="AA1531" t="n">
        <v>2.5</v>
      </c>
      <c r="AB1531" t="n">
        <v>9.5</v>
      </c>
    </row>
    <row r="1532">
      <c r="A1532" t="inlineStr">
        <is>
          <t>2026-09-24 16:54:04</t>
        </is>
      </c>
      <c r="B1532" t="inlineStr">
        <is>
          <t>MLLB_000_y1.0.3</t>
        </is>
      </c>
      <c r="C1532" t="inlineStr">
        <is>
          <t>WHITE</t>
        </is>
      </c>
      <c r="D1532" t="inlineStr">
        <is>
          <t>v4_white_MLLB_000_y103_0924</t>
        </is>
      </c>
      <c r="E1532" t="n">
        <v>3.2</v>
      </c>
      <c r="F1532" t="n">
        <v>3.208</v>
      </c>
      <c r="G1532" t="n">
        <v>100</v>
      </c>
      <c r="H1532" t="n">
        <v>80</v>
      </c>
      <c r="I1532" t="n">
        <v>38</v>
      </c>
      <c r="J1532" t="inlineStr">
        <is>
          <t>ince</t>
        </is>
      </c>
      <c r="K1532" t="b">
        <v>0</v>
      </c>
      <c r="L1532" t="inlineStr">
        <is>
          <t>iki-OK-arasi-monotonluk</t>
        </is>
      </c>
      <c r="X1532" t="b">
        <v>1</v>
      </c>
      <c r="Z1532" t="n">
        <v>935</v>
      </c>
      <c r="AA1532" t="n">
        <v>2.5</v>
      </c>
      <c r="AB1532" t="n">
        <v>9.5</v>
      </c>
    </row>
    <row r="1533">
      <c r="A1533" t="inlineStr">
        <is>
          <t>2026-09-24 16:54:04</t>
        </is>
      </c>
      <c r="B1533" t="inlineStr">
        <is>
          <t>MLLB_000_y1.0.3</t>
        </is>
      </c>
      <c r="C1533" t="inlineStr">
        <is>
          <t>WHITE</t>
        </is>
      </c>
      <c r="D1533" t="inlineStr">
        <is>
          <t>v4_white_MLLB_000_y103_0924</t>
        </is>
      </c>
      <c r="E1533" t="n">
        <v>3.2</v>
      </c>
      <c r="F1533" t="n">
        <v>3.208</v>
      </c>
      <c r="G1533" t="n">
        <v>100</v>
      </c>
      <c r="H1533" t="n">
        <v>80</v>
      </c>
      <c r="I1533" t="n">
        <v>39</v>
      </c>
      <c r="J1533" t="inlineStr">
        <is>
          <t>ince</t>
        </is>
      </c>
      <c r="K1533" t="b">
        <v>0</v>
      </c>
      <c r="L1533" t="inlineStr">
        <is>
          <t>iki-OK-arasi-monotonluk</t>
        </is>
      </c>
      <c r="X1533" t="b">
        <v>1</v>
      </c>
      <c r="Z1533" t="n">
        <v>935</v>
      </c>
      <c r="AA1533" t="n">
        <v>2.5</v>
      </c>
      <c r="AB1533" t="n">
        <v>9.5</v>
      </c>
    </row>
    <row r="1534">
      <c r="A1534" t="inlineStr">
        <is>
          <t>2026-09-24 16:54:04</t>
        </is>
      </c>
      <c r="B1534" t="inlineStr">
        <is>
          <t>MLLB_000_y1.0.3</t>
        </is>
      </c>
      <c r="C1534" t="inlineStr">
        <is>
          <t>WHITE</t>
        </is>
      </c>
      <c r="D1534" t="inlineStr">
        <is>
          <t>v4_white_MLLB_000_y103_0924</t>
        </is>
      </c>
      <c r="E1534" t="n">
        <v>3.2</v>
      </c>
      <c r="F1534" t="n">
        <v>3.208</v>
      </c>
      <c r="G1534" t="n">
        <v>100</v>
      </c>
      <c r="H1534" t="n">
        <v>80</v>
      </c>
      <c r="I1534" t="n">
        <v>41</v>
      </c>
      <c r="J1534" t="inlineStr">
        <is>
          <t>ince</t>
        </is>
      </c>
      <c r="K1534" t="b">
        <v>0</v>
      </c>
      <c r="L1534" t="inlineStr">
        <is>
          <t>iki-OK-arasi-monotonluk</t>
        </is>
      </c>
      <c r="X1534" t="b">
        <v>1</v>
      </c>
      <c r="Z1534" t="n">
        <v>935</v>
      </c>
      <c r="AA1534" t="n">
        <v>2.5</v>
      </c>
      <c r="AB1534" t="n">
        <v>9.5</v>
      </c>
    </row>
    <row r="1535">
      <c r="A1535" t="inlineStr">
        <is>
          <t>2026-09-24 16:54:04</t>
        </is>
      </c>
      <c r="B1535" t="inlineStr">
        <is>
          <t>MLLB_000_y1.0.3</t>
        </is>
      </c>
      <c r="C1535" t="inlineStr">
        <is>
          <t>WHITE</t>
        </is>
      </c>
      <c r="D1535" t="inlineStr">
        <is>
          <t>v4_white_MLLB_000_y103_0924</t>
        </is>
      </c>
      <c r="E1535" t="n">
        <v>3.2</v>
      </c>
      <c r="F1535" t="n">
        <v>3.208</v>
      </c>
      <c r="G1535" t="n">
        <v>100</v>
      </c>
      <c r="H1535" t="n">
        <v>80</v>
      </c>
      <c r="I1535" t="n">
        <v>42</v>
      </c>
      <c r="J1535" t="inlineStr">
        <is>
          <t>ince</t>
        </is>
      </c>
      <c r="K1535" t="b">
        <v>0</v>
      </c>
      <c r="L1535" t="inlineStr">
        <is>
          <t>iki-OK-arasi-monotonluk</t>
        </is>
      </c>
      <c r="X1535" t="b">
        <v>1</v>
      </c>
      <c r="Z1535" t="n">
        <v>935</v>
      </c>
      <c r="AA1535" t="n">
        <v>2.5</v>
      </c>
      <c r="AB1535" t="n">
        <v>9.5</v>
      </c>
    </row>
    <row r="1536">
      <c r="A1536" t="inlineStr">
        <is>
          <t>2026-09-24 16:54:04</t>
        </is>
      </c>
      <c r="B1536" t="inlineStr">
        <is>
          <t>MLLB_000_y1.0.3</t>
        </is>
      </c>
      <c r="C1536" t="inlineStr">
        <is>
          <t>WHITE</t>
        </is>
      </c>
      <c r="D1536" t="inlineStr">
        <is>
          <t>v4_white_MLLB_000_y103_0924</t>
        </is>
      </c>
      <c r="E1536" t="n">
        <v>3.2</v>
      </c>
      <c r="F1536" t="n">
        <v>3.208</v>
      </c>
      <c r="G1536" t="n">
        <v>100</v>
      </c>
      <c r="H1536" t="n">
        <v>80</v>
      </c>
      <c r="I1536" t="n">
        <v>43</v>
      </c>
      <c r="J1536" t="inlineStr">
        <is>
          <t>ince</t>
        </is>
      </c>
      <c r="K1536" t="b">
        <v>0</v>
      </c>
      <c r="L1536" t="inlineStr">
        <is>
          <t>iki-OK-arasi-monotonluk</t>
        </is>
      </c>
      <c r="X1536" t="b">
        <v>1</v>
      </c>
      <c r="Z1536" t="n">
        <v>935</v>
      </c>
      <c r="AA1536" t="n">
        <v>2.5</v>
      </c>
      <c r="AB1536" t="n">
        <v>9.5</v>
      </c>
    </row>
    <row r="1537">
      <c r="A1537" t="inlineStr">
        <is>
          <t>2026-09-24 16:54:04</t>
        </is>
      </c>
      <c r="B1537" t="inlineStr">
        <is>
          <t>MLLB_000_y1.0.3</t>
        </is>
      </c>
      <c r="C1537" t="inlineStr">
        <is>
          <t>WHITE</t>
        </is>
      </c>
      <c r="D1537" t="inlineStr">
        <is>
          <t>v4_white_MLLB_000_y103_0924</t>
        </is>
      </c>
      <c r="E1537" t="n">
        <v>3.2</v>
      </c>
      <c r="F1537" t="n">
        <v>3.208</v>
      </c>
      <c r="G1537" t="n">
        <v>100</v>
      </c>
      <c r="H1537" t="n">
        <v>80</v>
      </c>
      <c r="I1537" t="n">
        <v>45</v>
      </c>
      <c r="J1537" t="inlineStr">
        <is>
          <t>ince</t>
        </is>
      </c>
      <c r="K1537" t="b">
        <v>0</v>
      </c>
      <c r="L1537" t="inlineStr">
        <is>
          <t>iki-OK-arasi-monotonluk</t>
        </is>
      </c>
      <c r="X1537" t="b">
        <v>1</v>
      </c>
      <c r="Z1537" t="n">
        <v>935</v>
      </c>
      <c r="AA1537" t="n">
        <v>2.5</v>
      </c>
      <c r="AB1537" t="n">
        <v>9.5</v>
      </c>
    </row>
    <row r="1538">
      <c r="A1538" t="inlineStr">
        <is>
          <t>2026-09-24 16:54:04</t>
        </is>
      </c>
      <c r="B1538" t="inlineStr">
        <is>
          <t>MLLB_000_y1.0.3</t>
        </is>
      </c>
      <c r="C1538" t="inlineStr">
        <is>
          <t>WHITE</t>
        </is>
      </c>
      <c r="D1538" t="inlineStr">
        <is>
          <t>v4_white_MLLB_000_y103_0924</t>
        </is>
      </c>
      <c r="E1538" t="n">
        <v>3.2</v>
      </c>
      <c r="F1538" t="n">
        <v>3.208</v>
      </c>
      <c r="G1538" t="n">
        <v>100</v>
      </c>
      <c r="H1538" t="n">
        <v>80</v>
      </c>
      <c r="I1538" t="n">
        <v>46</v>
      </c>
      <c r="J1538" t="inlineStr">
        <is>
          <t>ince</t>
        </is>
      </c>
      <c r="K1538" t="b">
        <v>0</v>
      </c>
      <c r="L1538" t="inlineStr">
        <is>
          <t>iki-OK-arasi-monotonluk</t>
        </is>
      </c>
      <c r="X1538" t="b">
        <v>1</v>
      </c>
      <c r="Z1538" t="n">
        <v>935</v>
      </c>
      <c r="AA1538" t="n">
        <v>2.5</v>
      </c>
      <c r="AB1538" t="n">
        <v>9.5</v>
      </c>
    </row>
    <row r="1539">
      <c r="A1539" t="inlineStr">
        <is>
          <t>2026-09-24 16:54:04</t>
        </is>
      </c>
      <c r="B1539" t="inlineStr">
        <is>
          <t>MLLB_000_y1.0.3</t>
        </is>
      </c>
      <c r="C1539" t="inlineStr">
        <is>
          <t>WHITE</t>
        </is>
      </c>
      <c r="D1539" t="inlineStr">
        <is>
          <t>v4_white_MLLB_000_y103_0924</t>
        </is>
      </c>
      <c r="E1539" t="n">
        <v>3.2</v>
      </c>
      <c r="F1539" t="n">
        <v>3.208</v>
      </c>
      <c r="G1539" t="n">
        <v>100</v>
      </c>
      <c r="H1539" t="n">
        <v>80</v>
      </c>
      <c r="I1539" t="n">
        <v>47</v>
      </c>
      <c r="J1539" t="inlineStr">
        <is>
          <t>ince</t>
        </is>
      </c>
      <c r="K1539" t="b">
        <v>0</v>
      </c>
      <c r="L1539" t="inlineStr">
        <is>
          <t>iki-OK-arasi-monotonluk</t>
        </is>
      </c>
      <c r="X1539" t="b">
        <v>1</v>
      </c>
      <c r="Z1539" t="n">
        <v>935</v>
      </c>
      <c r="AA1539" t="n">
        <v>2.5</v>
      </c>
      <c r="AB1539" t="n">
        <v>9.5</v>
      </c>
    </row>
    <row r="1540">
      <c r="A1540" t="inlineStr">
        <is>
          <t>2026-09-24 16:54:04</t>
        </is>
      </c>
      <c r="B1540" t="inlineStr">
        <is>
          <t>MLLB_000_y1.0.3</t>
        </is>
      </c>
      <c r="C1540" t="inlineStr">
        <is>
          <t>WHITE</t>
        </is>
      </c>
      <c r="D1540" t="inlineStr">
        <is>
          <t>v4_white_MLLB_000_y103_0924</t>
        </is>
      </c>
      <c r="E1540" t="n">
        <v>3.2</v>
      </c>
      <c r="F1540" t="n">
        <v>3.208</v>
      </c>
      <c r="G1540" t="n">
        <v>100</v>
      </c>
      <c r="H1540" t="n">
        <v>80</v>
      </c>
      <c r="I1540" t="n">
        <v>49</v>
      </c>
      <c r="J1540" t="inlineStr">
        <is>
          <t>ince</t>
        </is>
      </c>
      <c r="K1540" t="b">
        <v>0</v>
      </c>
      <c r="L1540" t="inlineStr">
        <is>
          <t>iki-OK-arasi-monotonluk</t>
        </is>
      </c>
      <c r="X1540" t="b">
        <v>1</v>
      </c>
      <c r="Z1540" t="n">
        <v>935</v>
      </c>
      <c r="AA1540" t="n">
        <v>2.5</v>
      </c>
      <c r="AB1540" t="n">
        <v>9.5</v>
      </c>
    </row>
    <row r="1541">
      <c r="A1541" t="inlineStr">
        <is>
          <t>2026-09-24 16:54:04</t>
        </is>
      </c>
      <c r="B1541" t="inlineStr">
        <is>
          <t>MLLB_000_y1.0.3</t>
        </is>
      </c>
      <c r="C1541" t="inlineStr">
        <is>
          <t>WHITE</t>
        </is>
      </c>
      <c r="D1541" t="inlineStr">
        <is>
          <t>v4_white_MLLB_000_y103_0924</t>
        </is>
      </c>
      <c r="E1541" t="n">
        <v>3.2</v>
      </c>
      <c r="F1541" t="n">
        <v>3.208</v>
      </c>
      <c r="G1541" t="n">
        <v>100</v>
      </c>
      <c r="H1541" t="n">
        <v>80</v>
      </c>
      <c r="I1541" t="n">
        <v>50</v>
      </c>
      <c r="J1541" t="inlineStr">
        <is>
          <t>ince</t>
        </is>
      </c>
      <c r="K1541" t="b">
        <v>0</v>
      </c>
      <c r="L1541" t="inlineStr">
        <is>
          <t>iki-OK-arasi-monotonluk</t>
        </is>
      </c>
      <c r="X1541" t="b">
        <v>1</v>
      </c>
      <c r="Z1541" t="n">
        <v>935</v>
      </c>
      <c r="AA1541" t="n">
        <v>2.5</v>
      </c>
      <c r="AB1541" t="n">
        <v>9.5</v>
      </c>
    </row>
    <row r="1542">
      <c r="A1542" t="inlineStr">
        <is>
          <t>2026-09-24 16:54:04</t>
        </is>
      </c>
      <c r="B1542" t="inlineStr">
        <is>
          <t>MLLB_000_y1.0.3</t>
        </is>
      </c>
      <c r="C1542" t="inlineStr">
        <is>
          <t>WHITE</t>
        </is>
      </c>
      <c r="D1542" t="inlineStr">
        <is>
          <t>v4_white_MLLB_000_y103_0924</t>
        </is>
      </c>
      <c r="E1542" t="n">
        <v>3.2</v>
      </c>
      <c r="F1542" t="n">
        <v>3.208</v>
      </c>
      <c r="G1542" t="n">
        <v>100</v>
      </c>
      <c r="H1542" t="n">
        <v>80</v>
      </c>
      <c r="I1542" t="n">
        <v>51</v>
      </c>
      <c r="J1542" t="inlineStr">
        <is>
          <t>ince</t>
        </is>
      </c>
      <c r="K1542" t="b">
        <v>0</v>
      </c>
      <c r="L1542" t="inlineStr">
        <is>
          <t>iki-OK-arasi-monotonluk</t>
        </is>
      </c>
      <c r="X1542" t="b">
        <v>1</v>
      </c>
      <c r="Z1542" t="n">
        <v>935</v>
      </c>
      <c r="AA1542" t="n">
        <v>2.5</v>
      </c>
      <c r="AB1542" t="n">
        <v>9.5</v>
      </c>
    </row>
    <row r="1543">
      <c r="A1543" t="inlineStr">
        <is>
          <t>2026-09-24 16:54:04</t>
        </is>
      </c>
      <c r="B1543" t="inlineStr">
        <is>
          <t>MLLB_000_y1.0.3</t>
        </is>
      </c>
      <c r="C1543" t="inlineStr">
        <is>
          <t>WHITE</t>
        </is>
      </c>
      <c r="D1543" t="inlineStr">
        <is>
          <t>v4_white_MLLB_000_y103_0924</t>
        </is>
      </c>
      <c r="E1543" t="n">
        <v>3.2</v>
      </c>
      <c r="F1543" t="n">
        <v>3.208</v>
      </c>
      <c r="G1543" t="n">
        <v>100</v>
      </c>
      <c r="H1543" t="n">
        <v>80</v>
      </c>
      <c r="I1543" t="n">
        <v>53</v>
      </c>
      <c r="J1543" t="inlineStr">
        <is>
          <t>ince</t>
        </is>
      </c>
      <c r="K1543" t="b">
        <v>0</v>
      </c>
      <c r="L1543" t="inlineStr">
        <is>
          <t>iki-OK-arasi-monotonluk</t>
        </is>
      </c>
      <c r="X1543" t="b">
        <v>1</v>
      </c>
      <c r="Z1543" t="n">
        <v>935</v>
      </c>
      <c r="AA1543" t="n">
        <v>2.5</v>
      </c>
      <c r="AB1543" t="n">
        <v>9.5</v>
      </c>
    </row>
    <row r="1544">
      <c r="A1544" t="inlineStr">
        <is>
          <t>2026-09-24 16:54:04</t>
        </is>
      </c>
      <c r="B1544" t="inlineStr">
        <is>
          <t>MLLB_000_y1.0.3</t>
        </is>
      </c>
      <c r="C1544" t="inlineStr">
        <is>
          <t>WHITE</t>
        </is>
      </c>
      <c r="D1544" t="inlineStr">
        <is>
          <t>v4_white_MLLB_000_y103_0924</t>
        </is>
      </c>
      <c r="E1544" t="n">
        <v>3.2</v>
      </c>
      <c r="F1544" t="n">
        <v>3.208</v>
      </c>
      <c r="G1544" t="n">
        <v>100</v>
      </c>
      <c r="H1544" t="n">
        <v>80</v>
      </c>
      <c r="I1544" t="n">
        <v>54</v>
      </c>
      <c r="J1544" t="inlineStr">
        <is>
          <t>ince</t>
        </is>
      </c>
      <c r="K1544" t="b">
        <v>0</v>
      </c>
      <c r="L1544" t="inlineStr">
        <is>
          <t>iki-OK-arasi-monotonluk</t>
        </is>
      </c>
      <c r="X1544" t="b">
        <v>1</v>
      </c>
      <c r="Z1544" t="n">
        <v>935</v>
      </c>
      <c r="AA1544" t="n">
        <v>2.5</v>
      </c>
      <c r="AB1544" t="n">
        <v>9.5</v>
      </c>
    </row>
    <row r="1545">
      <c r="A1545" t="inlineStr">
        <is>
          <t>2026-09-24 16:54:04</t>
        </is>
      </c>
      <c r="B1545" t="inlineStr">
        <is>
          <t>MLLB_000_y1.0.3</t>
        </is>
      </c>
      <c r="C1545" t="inlineStr">
        <is>
          <t>WHITE</t>
        </is>
      </c>
      <c r="D1545" t="inlineStr">
        <is>
          <t>v4_white_MLLB_000_y103_0924</t>
        </is>
      </c>
      <c r="E1545" t="n">
        <v>3.2</v>
      </c>
      <c r="F1545" t="n">
        <v>3.208</v>
      </c>
      <c r="G1545" t="n">
        <v>100</v>
      </c>
      <c r="H1545" t="n">
        <v>80</v>
      </c>
      <c r="I1545" t="n">
        <v>55</v>
      </c>
      <c r="J1545" t="inlineStr">
        <is>
          <t>ince</t>
        </is>
      </c>
      <c r="K1545" t="b">
        <v>0</v>
      </c>
      <c r="L1545" t="inlineStr">
        <is>
          <t>iki-OK-arasi-monotonluk</t>
        </is>
      </c>
      <c r="X1545" t="b">
        <v>1</v>
      </c>
      <c r="Z1545" t="n">
        <v>935</v>
      </c>
      <c r="AA1545" t="n">
        <v>2.5</v>
      </c>
      <c r="AB1545" t="n">
        <v>9.5</v>
      </c>
    </row>
    <row r="1546">
      <c r="A1546" t="inlineStr">
        <is>
          <t>2026-09-24 16:54:04</t>
        </is>
      </c>
      <c r="B1546" t="inlineStr">
        <is>
          <t>MLLB_000_y1.0.3</t>
        </is>
      </c>
      <c r="C1546" t="inlineStr">
        <is>
          <t>WHITE</t>
        </is>
      </c>
      <c r="D1546" t="inlineStr">
        <is>
          <t>v4_white_MLLB_000_y103_0924</t>
        </is>
      </c>
      <c r="E1546" t="n">
        <v>3.2</v>
      </c>
      <c r="F1546" t="n">
        <v>3.208</v>
      </c>
      <c r="G1546" t="n">
        <v>100</v>
      </c>
      <c r="H1546" t="n">
        <v>80</v>
      </c>
      <c r="I1546" t="n">
        <v>57</v>
      </c>
      <c r="J1546" t="inlineStr">
        <is>
          <t>ince</t>
        </is>
      </c>
      <c r="K1546" t="b">
        <v>0</v>
      </c>
      <c r="L1546" t="inlineStr">
        <is>
          <t>iki-OK-arasi-monotonluk</t>
        </is>
      </c>
      <c r="X1546" t="b">
        <v>1</v>
      </c>
      <c r="Z1546" t="n">
        <v>935</v>
      </c>
      <c r="AA1546" t="n">
        <v>2.5</v>
      </c>
      <c r="AB1546" t="n">
        <v>9.5</v>
      </c>
    </row>
    <row r="1547">
      <c r="A1547" t="inlineStr">
        <is>
          <t>2026-09-24 16:54:04</t>
        </is>
      </c>
      <c r="B1547" t="inlineStr">
        <is>
          <t>MLLB_000_y1.0.3</t>
        </is>
      </c>
      <c r="C1547" t="inlineStr">
        <is>
          <t>WHITE</t>
        </is>
      </c>
      <c r="D1547" t="inlineStr">
        <is>
          <t>v4_white_MLLB_000_y103_0924</t>
        </is>
      </c>
      <c r="E1547" t="n">
        <v>3.2</v>
      </c>
      <c r="F1547" t="n">
        <v>3.208</v>
      </c>
      <c r="G1547" t="n">
        <v>100</v>
      </c>
      <c r="H1547" t="n">
        <v>80</v>
      </c>
      <c r="J1547" t="inlineStr">
        <is>
          <t>bitti</t>
        </is>
      </c>
      <c r="K1547" t="b">
        <v>0</v>
      </c>
      <c r="Z1547" t="n">
        <v>935</v>
      </c>
      <c r="AA1547" t="n">
        <v>2.5</v>
      </c>
      <c r="AB1547" t="n">
        <v>9.5</v>
      </c>
    </row>
    <row r="1548">
      <c r="A1548" t="inlineStr">
        <is>
          <t>2026-09-24 16:54:20</t>
        </is>
      </c>
      <c r="B1548" t="inlineStr">
        <is>
          <t>MLLB_000_y1.0.3</t>
        </is>
      </c>
      <c r="C1548" t="inlineStr">
        <is>
          <t>WHITE</t>
        </is>
      </c>
      <c r="D1548" t="inlineStr">
        <is>
          <t>v4_white_MLLB_000_y103_0924</t>
        </is>
      </c>
      <c r="E1548" t="n">
        <v>3.2</v>
      </c>
      <c r="F1548" t="n">
        <v>3.208</v>
      </c>
      <c r="G1548" t="n">
        <v>100</v>
      </c>
      <c r="H1548" t="n">
        <v>60</v>
      </c>
      <c r="I1548" t="n">
        <v>12</v>
      </c>
      <c r="J1548" t="inlineStr">
        <is>
          <t>kaba</t>
        </is>
      </c>
      <c r="K1548" t="b">
        <v>1</v>
      </c>
      <c r="M1548" t="n">
        <v>34</v>
      </c>
      <c r="N1548" t="n">
        <v>28</v>
      </c>
      <c r="O1548" t="n">
        <v>14</v>
      </c>
      <c r="P1548" t="n">
        <v>968</v>
      </c>
      <c r="Q1548" t="n">
        <v>1002</v>
      </c>
      <c r="R1548" t="n">
        <v>1.068</v>
      </c>
      <c r="S1548" t="n">
        <v>243.864</v>
      </c>
      <c r="T1548" t="n">
        <v>228.436</v>
      </c>
      <c r="U1548" t="n">
        <v>0.778</v>
      </c>
      <c r="V1548" t="b">
        <v>1</v>
      </c>
      <c r="X1548" t="b">
        <v>1</v>
      </c>
      <c r="Z1548" t="n">
        <v>935</v>
      </c>
      <c r="AA1548" t="n">
        <v>2.5</v>
      </c>
      <c r="AB1548" t="n">
        <v>9.5</v>
      </c>
    </row>
    <row r="1549">
      <c r="A1549" t="inlineStr">
        <is>
          <t>2026-09-24 16:54:36</t>
        </is>
      </c>
      <c r="B1549" t="inlineStr">
        <is>
          <t>MLLB_000_y1.0.3</t>
        </is>
      </c>
      <c r="C1549" t="inlineStr">
        <is>
          <t>WHITE</t>
        </is>
      </c>
      <c r="D1549" t="inlineStr">
        <is>
          <t>v4_white_MLLB_000_y103_0924</t>
        </is>
      </c>
      <c r="E1549" t="n">
        <v>3.2</v>
      </c>
      <c r="F1549" t="n">
        <v>3.208</v>
      </c>
      <c r="G1549" t="n">
        <v>100</v>
      </c>
      <c r="H1549" t="n">
        <v>60</v>
      </c>
      <c r="I1549" t="n">
        <v>16</v>
      </c>
      <c r="J1549" t="inlineStr">
        <is>
          <t>kaba</t>
        </is>
      </c>
      <c r="K1549" t="b">
        <v>1</v>
      </c>
      <c r="M1549" t="n">
        <v>34</v>
      </c>
      <c r="N1549" t="n">
        <v>28</v>
      </c>
      <c r="O1549" t="n">
        <v>14</v>
      </c>
      <c r="P1549" t="n">
        <v>968</v>
      </c>
      <c r="Q1549" t="n">
        <v>1002</v>
      </c>
      <c r="R1549" t="n">
        <v>1.067</v>
      </c>
      <c r="S1549" t="n">
        <v>243.864</v>
      </c>
      <c r="T1549" t="n">
        <v>228.521</v>
      </c>
      <c r="U1549" t="n">
        <v>0.7784</v>
      </c>
      <c r="V1549" t="b">
        <v>1</v>
      </c>
      <c r="X1549" t="b">
        <v>1</v>
      </c>
      <c r="Z1549" t="n">
        <v>935</v>
      </c>
      <c r="AA1549" t="n">
        <v>2.5</v>
      </c>
      <c r="AB1549" t="n">
        <v>9.5</v>
      </c>
    </row>
    <row r="1550">
      <c r="A1550" t="inlineStr">
        <is>
          <t>2026-09-24 16:54:52</t>
        </is>
      </c>
      <c r="B1550" t="inlineStr">
        <is>
          <t>MLLB_000_y1.0.3</t>
        </is>
      </c>
      <c r="C1550" t="inlineStr">
        <is>
          <t>WHITE</t>
        </is>
      </c>
      <c r="D1550" t="inlineStr">
        <is>
          <t>v4_white_MLLB_000_y103_0924</t>
        </is>
      </c>
      <c r="E1550" t="n">
        <v>3.2</v>
      </c>
      <c r="F1550" t="n">
        <v>3.208</v>
      </c>
      <c r="G1550" t="n">
        <v>100</v>
      </c>
      <c r="H1550" t="n">
        <v>60</v>
      </c>
      <c r="I1550" t="n">
        <v>20</v>
      </c>
      <c r="J1550" t="inlineStr">
        <is>
          <t>kaba</t>
        </is>
      </c>
      <c r="K1550" t="b">
        <v>1</v>
      </c>
      <c r="M1550" t="n">
        <v>34</v>
      </c>
      <c r="N1550" t="n">
        <v>28</v>
      </c>
      <c r="O1550" t="n">
        <v>14</v>
      </c>
      <c r="P1550" t="n">
        <v>968</v>
      </c>
      <c r="Q1550" t="n">
        <v>1002</v>
      </c>
      <c r="R1550" t="n">
        <v>1.068</v>
      </c>
      <c r="S1550" t="n">
        <v>243.864</v>
      </c>
      <c r="T1550" t="n">
        <v>228.359</v>
      </c>
      <c r="U1550" t="n">
        <v>0.778</v>
      </c>
      <c r="V1550" t="b">
        <v>1</v>
      </c>
      <c r="X1550" t="b">
        <v>1</v>
      </c>
      <c r="Z1550" t="n">
        <v>935</v>
      </c>
      <c r="AA1550" t="n">
        <v>2.5</v>
      </c>
      <c r="AB1550" t="n">
        <v>9.5</v>
      </c>
    </row>
    <row r="1551">
      <c r="A1551" t="inlineStr">
        <is>
          <t>2026-09-24 16:55:08</t>
        </is>
      </c>
      <c r="B1551" t="inlineStr">
        <is>
          <t>MLLB_000_y1.0.3</t>
        </is>
      </c>
      <c r="C1551" t="inlineStr">
        <is>
          <t>WHITE</t>
        </is>
      </c>
      <c r="D1551" t="inlineStr">
        <is>
          <t>v4_white_MLLB_000_y103_0924</t>
        </is>
      </c>
      <c r="E1551" t="n">
        <v>3.2</v>
      </c>
      <c r="F1551" t="n">
        <v>3.208</v>
      </c>
      <c r="G1551" t="n">
        <v>100</v>
      </c>
      <c r="H1551" t="n">
        <v>60</v>
      </c>
      <c r="I1551" t="n">
        <v>24</v>
      </c>
      <c r="J1551" t="inlineStr">
        <is>
          <t>kaba</t>
        </is>
      </c>
      <c r="K1551" t="b">
        <v>1</v>
      </c>
      <c r="M1551" t="n">
        <v>34</v>
      </c>
      <c r="N1551" t="n">
        <v>28</v>
      </c>
      <c r="O1551" t="n">
        <v>14</v>
      </c>
      <c r="P1551" t="n">
        <v>968</v>
      </c>
      <c r="Q1551" t="n">
        <v>1002</v>
      </c>
      <c r="R1551" t="n">
        <v>1.068</v>
      </c>
      <c r="S1551" t="n">
        <v>243.864</v>
      </c>
      <c r="T1551" t="n">
        <v>228.342</v>
      </c>
      <c r="U1551" t="n">
        <v>0.7778</v>
      </c>
      <c r="V1551" t="b">
        <v>1</v>
      </c>
      <c r="X1551" t="b">
        <v>1</v>
      </c>
      <c r="Z1551" t="n">
        <v>935</v>
      </c>
      <c r="AA1551" t="n">
        <v>2.5</v>
      </c>
      <c r="AB1551" t="n">
        <v>9.5</v>
      </c>
    </row>
    <row r="1552">
      <c r="A1552" t="inlineStr">
        <is>
          <t>2026-09-24 16:55:24</t>
        </is>
      </c>
      <c r="B1552" t="inlineStr">
        <is>
          <t>MLLB_000_y1.0.3</t>
        </is>
      </c>
      <c r="C1552" t="inlineStr">
        <is>
          <t>WHITE</t>
        </is>
      </c>
      <c r="D1552" t="inlineStr">
        <is>
          <t>v4_white_MLLB_000_y103_0924</t>
        </is>
      </c>
      <c r="E1552" t="n">
        <v>3.2</v>
      </c>
      <c r="F1552" t="n">
        <v>3.208</v>
      </c>
      <c r="G1552" t="n">
        <v>100</v>
      </c>
      <c r="H1552" t="n">
        <v>60</v>
      </c>
      <c r="I1552" t="n">
        <v>28</v>
      </c>
      <c r="J1552" t="inlineStr">
        <is>
          <t>kaba</t>
        </is>
      </c>
      <c r="K1552" t="b">
        <v>1</v>
      </c>
      <c r="M1552" t="n">
        <v>34</v>
      </c>
      <c r="N1552" t="n">
        <v>28</v>
      </c>
      <c r="O1552" t="n">
        <v>14</v>
      </c>
      <c r="P1552" t="n">
        <v>968</v>
      </c>
      <c r="Q1552" t="n">
        <v>1002</v>
      </c>
      <c r="R1552" t="n">
        <v>1.068</v>
      </c>
      <c r="S1552" t="n">
        <v>243.864</v>
      </c>
      <c r="T1552" t="n">
        <v>228.345</v>
      </c>
      <c r="U1552" t="n">
        <v>0.7778</v>
      </c>
      <c r="V1552" t="b">
        <v>1</v>
      </c>
      <c r="X1552" t="b">
        <v>1</v>
      </c>
      <c r="Z1552" t="n">
        <v>935</v>
      </c>
      <c r="AA1552" t="n">
        <v>2.5</v>
      </c>
      <c r="AB1552" t="n">
        <v>9.5</v>
      </c>
    </row>
    <row r="1553">
      <c r="A1553" t="inlineStr">
        <is>
          <t>2026-09-24 16:55:40</t>
        </is>
      </c>
      <c r="B1553" t="inlineStr">
        <is>
          <t>MLLB_000_y1.0.3</t>
        </is>
      </c>
      <c r="C1553" t="inlineStr">
        <is>
          <t>WHITE</t>
        </is>
      </c>
      <c r="D1553" t="inlineStr">
        <is>
          <t>v4_white_MLLB_000_y103_0924</t>
        </is>
      </c>
      <c r="E1553" t="n">
        <v>3.2</v>
      </c>
      <c r="F1553" t="n">
        <v>3.208</v>
      </c>
      <c r="G1553" t="n">
        <v>100</v>
      </c>
      <c r="H1553" t="n">
        <v>60</v>
      </c>
      <c r="I1553" t="n">
        <v>32</v>
      </c>
      <c r="J1553" t="inlineStr">
        <is>
          <t>kaba</t>
        </is>
      </c>
      <c r="K1553" t="b">
        <v>1</v>
      </c>
      <c r="M1553" t="n">
        <v>34</v>
      </c>
      <c r="N1553" t="n">
        <v>28</v>
      </c>
      <c r="O1553" t="n">
        <v>14</v>
      </c>
      <c r="P1553" t="n">
        <v>968</v>
      </c>
      <c r="Q1553" t="n">
        <v>1002</v>
      </c>
      <c r="R1553" t="n">
        <v>1.084</v>
      </c>
      <c r="S1553" t="n">
        <v>247.719</v>
      </c>
      <c r="T1553" t="n">
        <v>228.472</v>
      </c>
      <c r="U1553" t="n">
        <v>0.7775</v>
      </c>
      <c r="V1553" t="b">
        <v>1</v>
      </c>
      <c r="X1553" t="b">
        <v>1</v>
      </c>
      <c r="Z1553" t="n">
        <v>935</v>
      </c>
      <c r="AA1553" t="n">
        <v>2.5</v>
      </c>
      <c r="AB1553" t="n">
        <v>9.5</v>
      </c>
    </row>
    <row r="1554">
      <c r="A1554" t="inlineStr">
        <is>
          <t>2026-09-24 16:55:56</t>
        </is>
      </c>
      <c r="B1554" t="inlineStr">
        <is>
          <t>MLLB_000_y1.0.3</t>
        </is>
      </c>
      <c r="C1554" t="inlineStr">
        <is>
          <t>WHITE</t>
        </is>
      </c>
      <c r="D1554" t="inlineStr">
        <is>
          <t>v4_white_MLLB_000_y103_0924</t>
        </is>
      </c>
      <c r="E1554" t="n">
        <v>3.2</v>
      </c>
      <c r="F1554" t="n">
        <v>3.208</v>
      </c>
      <c r="G1554" t="n">
        <v>100</v>
      </c>
      <c r="H1554" t="n">
        <v>60</v>
      </c>
      <c r="I1554" t="n">
        <v>36</v>
      </c>
      <c r="J1554" t="inlineStr">
        <is>
          <t>kaba</t>
        </is>
      </c>
      <c r="K1554" t="b">
        <v>1</v>
      </c>
      <c r="M1554" t="n">
        <v>34</v>
      </c>
      <c r="N1554" t="n">
        <v>28</v>
      </c>
      <c r="O1554" t="n">
        <v>14</v>
      </c>
      <c r="P1554" t="n">
        <v>968</v>
      </c>
      <c r="Q1554" t="n">
        <v>1002</v>
      </c>
      <c r="R1554" t="n">
        <v>1.145</v>
      </c>
      <c r="S1554" t="n">
        <v>261.986</v>
      </c>
      <c r="T1554" t="n">
        <v>228.784</v>
      </c>
      <c r="U1554" t="n">
        <v>0.7778</v>
      </c>
      <c r="V1554" t="b">
        <v>1</v>
      </c>
      <c r="X1554" t="b">
        <v>1</v>
      </c>
      <c r="Z1554" t="n">
        <v>935</v>
      </c>
      <c r="AA1554" t="n">
        <v>2.5</v>
      </c>
      <c r="AB1554" t="n">
        <v>9.5</v>
      </c>
    </row>
    <row r="1555">
      <c r="A1555" t="inlineStr">
        <is>
          <t>2026-09-24 16:56:11</t>
        </is>
      </c>
      <c r="B1555" t="inlineStr">
        <is>
          <t>MLLB_000_y1.0.3</t>
        </is>
      </c>
      <c r="C1555" t="inlineStr">
        <is>
          <t>WHITE</t>
        </is>
      </c>
      <c r="D1555" t="inlineStr">
        <is>
          <t>v4_white_MLLB_000_y103_0924</t>
        </is>
      </c>
      <c r="E1555" t="n">
        <v>3.2</v>
      </c>
      <c r="F1555" t="n">
        <v>3.208</v>
      </c>
      <c r="G1555" t="n">
        <v>100</v>
      </c>
      <c r="H1555" t="n">
        <v>60</v>
      </c>
      <c r="I1555" t="n">
        <v>40</v>
      </c>
      <c r="J1555" t="inlineStr">
        <is>
          <t>kaba</t>
        </is>
      </c>
      <c r="K1555" t="b">
        <v>1</v>
      </c>
      <c r="M1555" t="n">
        <v>34</v>
      </c>
      <c r="N1555" t="n">
        <v>28</v>
      </c>
      <c r="O1555" t="n">
        <v>14</v>
      </c>
      <c r="P1555" t="n">
        <v>968</v>
      </c>
      <c r="Q1555" t="n">
        <v>1002</v>
      </c>
      <c r="R1555" t="n">
        <v>1.068</v>
      </c>
      <c r="S1555" t="n">
        <v>243.883</v>
      </c>
      <c r="T1555" t="n">
        <v>228.427</v>
      </c>
      <c r="U1555" t="n">
        <v>0.7779</v>
      </c>
      <c r="V1555" t="b">
        <v>1</v>
      </c>
      <c r="X1555" t="b">
        <v>1</v>
      </c>
      <c r="Z1555" t="n">
        <v>935</v>
      </c>
      <c r="AA1555" t="n">
        <v>2.5</v>
      </c>
      <c r="AB1555" t="n">
        <v>9.5</v>
      </c>
    </row>
    <row r="1556">
      <c r="A1556" t="inlineStr">
        <is>
          <t>2026-09-24 16:56:28</t>
        </is>
      </c>
      <c r="B1556" t="inlineStr">
        <is>
          <t>MLLB_000_y1.0.3</t>
        </is>
      </c>
      <c r="C1556" t="inlineStr">
        <is>
          <t>WHITE</t>
        </is>
      </c>
      <c r="D1556" t="inlineStr">
        <is>
          <t>v4_white_MLLB_000_y103_0924</t>
        </is>
      </c>
      <c r="E1556" t="n">
        <v>3.2</v>
      </c>
      <c r="F1556" t="n">
        <v>3.208</v>
      </c>
      <c r="G1556" t="n">
        <v>100</v>
      </c>
      <c r="H1556" t="n">
        <v>60</v>
      </c>
      <c r="I1556" t="n">
        <v>44</v>
      </c>
      <c r="J1556" t="inlineStr">
        <is>
          <t>kaba</t>
        </is>
      </c>
      <c r="K1556" t="b">
        <v>1</v>
      </c>
      <c r="M1556" t="n">
        <v>34</v>
      </c>
      <c r="N1556" t="n">
        <v>28</v>
      </c>
      <c r="O1556" t="n">
        <v>14</v>
      </c>
      <c r="P1556" t="n">
        <v>968</v>
      </c>
      <c r="Q1556" t="n">
        <v>1002</v>
      </c>
      <c r="R1556" t="n">
        <v>1.119</v>
      </c>
      <c r="S1556" t="n">
        <v>255.614</v>
      </c>
      <c r="T1556" t="n">
        <v>228.497</v>
      </c>
      <c r="U1556" t="n">
        <v>0.7778</v>
      </c>
      <c r="V1556" t="b">
        <v>1</v>
      </c>
      <c r="X1556" t="b">
        <v>1</v>
      </c>
      <c r="Z1556" t="n">
        <v>935</v>
      </c>
      <c r="AA1556" t="n">
        <v>2.5</v>
      </c>
      <c r="AB1556" t="n">
        <v>9.5</v>
      </c>
    </row>
    <row r="1557">
      <c r="A1557" t="inlineStr">
        <is>
          <t>2026-09-24 16:56:44</t>
        </is>
      </c>
      <c r="B1557" t="inlineStr">
        <is>
          <t>MLLB_000_y1.0.3</t>
        </is>
      </c>
      <c r="C1557" t="inlineStr">
        <is>
          <t>WHITE</t>
        </is>
      </c>
      <c r="D1557" t="inlineStr">
        <is>
          <t>v4_white_MLLB_000_y103_0924</t>
        </is>
      </c>
      <c r="E1557" t="n">
        <v>3.2</v>
      </c>
      <c r="F1557" t="n">
        <v>3.208</v>
      </c>
      <c r="G1557" t="n">
        <v>100</v>
      </c>
      <c r="H1557" t="n">
        <v>60</v>
      </c>
      <c r="I1557" t="n">
        <v>48</v>
      </c>
      <c r="J1557" t="inlineStr">
        <is>
          <t>kaba</t>
        </is>
      </c>
      <c r="K1557" t="b">
        <v>1</v>
      </c>
      <c r="M1557" t="n">
        <v>34</v>
      </c>
      <c r="N1557" t="n">
        <v>28</v>
      </c>
      <c r="O1557" t="n">
        <v>14</v>
      </c>
      <c r="P1557" t="n">
        <v>968</v>
      </c>
      <c r="Q1557" t="n">
        <v>1002</v>
      </c>
      <c r="R1557" t="n">
        <v>1.067</v>
      </c>
      <c r="S1557" t="n">
        <v>244.025</v>
      </c>
      <c r="T1557" t="n">
        <v>228.696</v>
      </c>
      <c r="U1557" t="n">
        <v>0.778</v>
      </c>
      <c r="V1557" t="b">
        <v>1</v>
      </c>
      <c r="X1557" t="b">
        <v>1</v>
      </c>
      <c r="Z1557" t="n">
        <v>935</v>
      </c>
      <c r="AA1557" t="n">
        <v>2.5</v>
      </c>
      <c r="AB1557" t="n">
        <v>9.5</v>
      </c>
    </row>
    <row r="1558">
      <c r="A1558" t="inlineStr">
        <is>
          <t>2026-09-24 16:56:59</t>
        </is>
      </c>
      <c r="B1558" t="inlineStr">
        <is>
          <t>MLLB_000_y1.0.3</t>
        </is>
      </c>
      <c r="C1558" t="inlineStr">
        <is>
          <t>WHITE</t>
        </is>
      </c>
      <c r="D1558" t="inlineStr">
        <is>
          <t>v4_white_MLLB_000_y103_0924</t>
        </is>
      </c>
      <c r="E1558" t="n">
        <v>3.2</v>
      </c>
      <c r="F1558" t="n">
        <v>3.208</v>
      </c>
      <c r="G1558" t="n">
        <v>100</v>
      </c>
      <c r="H1558" t="n">
        <v>60</v>
      </c>
      <c r="I1558" t="n">
        <v>52</v>
      </c>
      <c r="J1558" t="inlineStr">
        <is>
          <t>kaba</t>
        </is>
      </c>
      <c r="K1558" t="b">
        <v>1</v>
      </c>
      <c r="M1558" t="n">
        <v>34</v>
      </c>
      <c r="N1558" t="n">
        <v>28</v>
      </c>
      <c r="O1558" t="n">
        <v>14</v>
      </c>
      <c r="P1558" t="n">
        <v>968</v>
      </c>
      <c r="Q1558" t="n">
        <v>1002</v>
      </c>
      <c r="R1558" t="n">
        <v>1.067</v>
      </c>
      <c r="S1558" t="n">
        <v>243.864</v>
      </c>
      <c r="T1558" t="n">
        <v>228.524</v>
      </c>
      <c r="U1558" t="n">
        <v>0.7773</v>
      </c>
      <c r="V1558" t="b">
        <v>1</v>
      </c>
      <c r="X1558" t="b">
        <v>1</v>
      </c>
      <c r="Z1558" t="n">
        <v>935</v>
      </c>
      <c r="AA1558" t="n">
        <v>2.5</v>
      </c>
      <c r="AB1558" t="n">
        <v>9.5</v>
      </c>
    </row>
    <row r="1559">
      <c r="A1559" t="inlineStr">
        <is>
          <t>2026-09-24 16:57:16</t>
        </is>
      </c>
      <c r="B1559" t="inlineStr">
        <is>
          <t>MLLB_000_y1.0.3</t>
        </is>
      </c>
      <c r="C1559" t="inlineStr">
        <is>
          <t>WHITE</t>
        </is>
      </c>
      <c r="D1559" t="inlineStr">
        <is>
          <t>v4_white_MLLB_000_y103_0924</t>
        </is>
      </c>
      <c r="E1559" t="n">
        <v>3.2</v>
      </c>
      <c r="F1559" t="n">
        <v>3.208</v>
      </c>
      <c r="G1559" t="n">
        <v>100</v>
      </c>
      <c r="H1559" t="n">
        <v>60</v>
      </c>
      <c r="I1559" t="n">
        <v>56</v>
      </c>
      <c r="J1559" t="inlineStr">
        <is>
          <t>kaba</t>
        </is>
      </c>
      <c r="K1559" t="b">
        <v>1</v>
      </c>
      <c r="M1559" t="n">
        <v>34</v>
      </c>
      <c r="N1559" t="n">
        <v>28</v>
      </c>
      <c r="O1559" t="n">
        <v>14</v>
      </c>
      <c r="P1559" t="n">
        <v>968</v>
      </c>
      <c r="Q1559" t="n">
        <v>1002</v>
      </c>
      <c r="R1559" t="n">
        <v>1.067</v>
      </c>
      <c r="S1559" t="n">
        <v>243.864</v>
      </c>
      <c r="T1559" t="n">
        <v>228.45</v>
      </c>
      <c r="U1559" t="n">
        <v>0.778</v>
      </c>
      <c r="V1559" t="b">
        <v>1</v>
      </c>
      <c r="X1559" t="b">
        <v>1</v>
      </c>
      <c r="Z1559" t="n">
        <v>935</v>
      </c>
      <c r="AA1559" t="n">
        <v>2.5</v>
      </c>
      <c r="AB1559" t="n">
        <v>9.5</v>
      </c>
    </row>
    <row r="1560">
      <c r="A1560" t="inlineStr">
        <is>
          <t>2026-09-24 16:57:32</t>
        </is>
      </c>
      <c r="B1560" t="inlineStr">
        <is>
          <t>MLLB_000_y1.0.3</t>
        </is>
      </c>
      <c r="C1560" t="inlineStr">
        <is>
          <t>WHITE</t>
        </is>
      </c>
      <c r="D1560" t="inlineStr">
        <is>
          <t>v4_white_MLLB_000_y103_0924</t>
        </is>
      </c>
      <c r="E1560" t="n">
        <v>3.2</v>
      </c>
      <c r="F1560" t="n">
        <v>3.208</v>
      </c>
      <c r="G1560" t="n">
        <v>100</v>
      </c>
      <c r="H1560" t="n">
        <v>60</v>
      </c>
      <c r="I1560" t="n">
        <v>58</v>
      </c>
      <c r="J1560" t="inlineStr">
        <is>
          <t>kaba</t>
        </is>
      </c>
      <c r="K1560" t="b">
        <v>1</v>
      </c>
      <c r="M1560" t="n">
        <v>34</v>
      </c>
      <c r="N1560" t="n">
        <v>28</v>
      </c>
      <c r="O1560" t="n">
        <v>14</v>
      </c>
      <c r="P1560" t="n">
        <v>968</v>
      </c>
      <c r="Q1560" t="n">
        <v>1002</v>
      </c>
      <c r="R1560" t="n">
        <v>1.067</v>
      </c>
      <c r="S1560" t="n">
        <v>243.864</v>
      </c>
      <c r="T1560" t="n">
        <v>228.544</v>
      </c>
      <c r="U1560" t="n">
        <v>0.7774</v>
      </c>
      <c r="V1560" t="b">
        <v>1</v>
      </c>
      <c r="X1560" t="b">
        <v>1</v>
      </c>
      <c r="Z1560" t="n">
        <v>935</v>
      </c>
      <c r="AA1560" t="n">
        <v>2.5</v>
      </c>
      <c r="AB1560" t="n">
        <v>9.5</v>
      </c>
    </row>
    <row r="1561">
      <c r="A1561" t="inlineStr">
        <is>
          <t>2026-09-24 16:57:32</t>
        </is>
      </c>
      <c r="B1561" t="inlineStr">
        <is>
          <t>MLLB_000_y1.0.3</t>
        </is>
      </c>
      <c r="C1561" t="inlineStr">
        <is>
          <t>WHITE</t>
        </is>
      </c>
      <c r="D1561" t="inlineStr">
        <is>
          <t>v4_white_MLLB_000_y103_0924</t>
        </is>
      </c>
      <c r="E1561" t="n">
        <v>3.2</v>
      </c>
      <c r="F1561" t="n">
        <v>3.208</v>
      </c>
      <c r="G1561" t="n">
        <v>100</v>
      </c>
      <c r="H1561" t="n">
        <v>60</v>
      </c>
      <c r="I1561" t="n">
        <v>13</v>
      </c>
      <c r="J1561" t="inlineStr">
        <is>
          <t>ince</t>
        </is>
      </c>
      <c r="K1561" t="b">
        <v>0</v>
      </c>
      <c r="L1561" t="inlineStr">
        <is>
          <t>iki-OK-arasi-monotonluk</t>
        </is>
      </c>
      <c r="X1561" t="b">
        <v>1</v>
      </c>
      <c r="Z1561" t="n">
        <v>935</v>
      </c>
      <c r="AA1561" t="n">
        <v>2.5</v>
      </c>
      <c r="AB1561" t="n">
        <v>9.5</v>
      </c>
    </row>
    <row r="1562">
      <c r="A1562" t="inlineStr">
        <is>
          <t>2026-09-24 16:57:32</t>
        </is>
      </c>
      <c r="B1562" t="inlineStr">
        <is>
          <t>MLLB_000_y1.0.3</t>
        </is>
      </c>
      <c r="C1562" t="inlineStr">
        <is>
          <t>WHITE</t>
        </is>
      </c>
      <c r="D1562" t="inlineStr">
        <is>
          <t>v4_white_MLLB_000_y103_0924</t>
        </is>
      </c>
      <c r="E1562" t="n">
        <v>3.2</v>
      </c>
      <c r="F1562" t="n">
        <v>3.208</v>
      </c>
      <c r="G1562" t="n">
        <v>100</v>
      </c>
      <c r="H1562" t="n">
        <v>60</v>
      </c>
      <c r="I1562" t="n">
        <v>14</v>
      </c>
      <c r="J1562" t="inlineStr">
        <is>
          <t>ince</t>
        </is>
      </c>
      <c r="K1562" t="b">
        <v>0</v>
      </c>
      <c r="L1562" t="inlineStr">
        <is>
          <t>iki-OK-arasi-monotonluk</t>
        </is>
      </c>
      <c r="X1562" t="b">
        <v>1</v>
      </c>
      <c r="Z1562" t="n">
        <v>935</v>
      </c>
      <c r="AA1562" t="n">
        <v>2.5</v>
      </c>
      <c r="AB1562" t="n">
        <v>9.5</v>
      </c>
    </row>
    <row r="1563">
      <c r="A1563" t="inlineStr">
        <is>
          <t>2026-09-24 16:57:32</t>
        </is>
      </c>
      <c r="B1563" t="inlineStr">
        <is>
          <t>MLLB_000_y1.0.3</t>
        </is>
      </c>
      <c r="C1563" t="inlineStr">
        <is>
          <t>WHITE</t>
        </is>
      </c>
      <c r="D1563" t="inlineStr">
        <is>
          <t>v4_white_MLLB_000_y103_0924</t>
        </is>
      </c>
      <c r="E1563" t="n">
        <v>3.2</v>
      </c>
      <c r="F1563" t="n">
        <v>3.208</v>
      </c>
      <c r="G1563" t="n">
        <v>100</v>
      </c>
      <c r="H1563" t="n">
        <v>60</v>
      </c>
      <c r="I1563" t="n">
        <v>15</v>
      </c>
      <c r="J1563" t="inlineStr">
        <is>
          <t>ince</t>
        </is>
      </c>
      <c r="K1563" t="b">
        <v>0</v>
      </c>
      <c r="L1563" t="inlineStr">
        <is>
          <t>iki-OK-arasi-monotonluk</t>
        </is>
      </c>
      <c r="X1563" t="b">
        <v>1</v>
      </c>
      <c r="Z1563" t="n">
        <v>935</v>
      </c>
      <c r="AA1563" t="n">
        <v>2.5</v>
      </c>
      <c r="AB1563" t="n">
        <v>9.5</v>
      </c>
    </row>
    <row r="1564">
      <c r="A1564" t="inlineStr">
        <is>
          <t>2026-09-24 16:57:32</t>
        </is>
      </c>
      <c r="B1564" t="inlineStr">
        <is>
          <t>MLLB_000_y1.0.3</t>
        </is>
      </c>
      <c r="C1564" t="inlineStr">
        <is>
          <t>WHITE</t>
        </is>
      </c>
      <c r="D1564" t="inlineStr">
        <is>
          <t>v4_white_MLLB_000_y103_0924</t>
        </is>
      </c>
      <c r="E1564" t="n">
        <v>3.2</v>
      </c>
      <c r="F1564" t="n">
        <v>3.208</v>
      </c>
      <c r="G1564" t="n">
        <v>100</v>
      </c>
      <c r="H1564" t="n">
        <v>60</v>
      </c>
      <c r="I1564" t="n">
        <v>17</v>
      </c>
      <c r="J1564" t="inlineStr">
        <is>
          <t>ince</t>
        </is>
      </c>
      <c r="K1564" t="b">
        <v>0</v>
      </c>
      <c r="L1564" t="inlineStr">
        <is>
          <t>iki-OK-arasi-monotonluk</t>
        </is>
      </c>
      <c r="X1564" t="b">
        <v>1</v>
      </c>
      <c r="Z1564" t="n">
        <v>935</v>
      </c>
      <c r="AA1564" t="n">
        <v>2.5</v>
      </c>
      <c r="AB1564" t="n">
        <v>9.5</v>
      </c>
    </row>
    <row r="1565">
      <c r="A1565" t="inlineStr">
        <is>
          <t>2026-09-24 16:57:32</t>
        </is>
      </c>
      <c r="B1565" t="inlineStr">
        <is>
          <t>MLLB_000_y1.0.3</t>
        </is>
      </c>
      <c r="C1565" t="inlineStr">
        <is>
          <t>WHITE</t>
        </is>
      </c>
      <c r="D1565" t="inlineStr">
        <is>
          <t>v4_white_MLLB_000_y103_0924</t>
        </is>
      </c>
      <c r="E1565" t="n">
        <v>3.2</v>
      </c>
      <c r="F1565" t="n">
        <v>3.208</v>
      </c>
      <c r="G1565" t="n">
        <v>100</v>
      </c>
      <c r="H1565" t="n">
        <v>60</v>
      </c>
      <c r="I1565" t="n">
        <v>18</v>
      </c>
      <c r="J1565" t="inlineStr">
        <is>
          <t>ince</t>
        </is>
      </c>
      <c r="K1565" t="b">
        <v>0</v>
      </c>
      <c r="L1565" t="inlineStr">
        <is>
          <t>iki-OK-arasi-monotonluk</t>
        </is>
      </c>
      <c r="X1565" t="b">
        <v>1</v>
      </c>
      <c r="Z1565" t="n">
        <v>935</v>
      </c>
      <c r="AA1565" t="n">
        <v>2.5</v>
      </c>
      <c r="AB1565" t="n">
        <v>9.5</v>
      </c>
    </row>
    <row r="1566">
      <c r="A1566" t="inlineStr">
        <is>
          <t>2026-09-24 16:57:32</t>
        </is>
      </c>
      <c r="B1566" t="inlineStr">
        <is>
          <t>MLLB_000_y1.0.3</t>
        </is>
      </c>
      <c r="C1566" t="inlineStr">
        <is>
          <t>WHITE</t>
        </is>
      </c>
      <c r="D1566" t="inlineStr">
        <is>
          <t>v4_white_MLLB_000_y103_0924</t>
        </is>
      </c>
      <c r="E1566" t="n">
        <v>3.2</v>
      </c>
      <c r="F1566" t="n">
        <v>3.208</v>
      </c>
      <c r="G1566" t="n">
        <v>100</v>
      </c>
      <c r="H1566" t="n">
        <v>60</v>
      </c>
      <c r="I1566" t="n">
        <v>19</v>
      </c>
      <c r="J1566" t="inlineStr">
        <is>
          <t>ince</t>
        </is>
      </c>
      <c r="K1566" t="b">
        <v>0</v>
      </c>
      <c r="L1566" t="inlineStr">
        <is>
          <t>iki-OK-arasi-monotonluk</t>
        </is>
      </c>
      <c r="X1566" t="b">
        <v>1</v>
      </c>
      <c r="Z1566" t="n">
        <v>935</v>
      </c>
      <c r="AA1566" t="n">
        <v>2.5</v>
      </c>
      <c r="AB1566" t="n">
        <v>9.5</v>
      </c>
    </row>
    <row r="1567">
      <c r="A1567" t="inlineStr">
        <is>
          <t>2026-09-24 16:57:32</t>
        </is>
      </c>
      <c r="B1567" t="inlineStr">
        <is>
          <t>MLLB_000_y1.0.3</t>
        </is>
      </c>
      <c r="C1567" t="inlineStr">
        <is>
          <t>WHITE</t>
        </is>
      </c>
      <c r="D1567" t="inlineStr">
        <is>
          <t>v4_white_MLLB_000_y103_0924</t>
        </is>
      </c>
      <c r="E1567" t="n">
        <v>3.2</v>
      </c>
      <c r="F1567" t="n">
        <v>3.208</v>
      </c>
      <c r="G1567" t="n">
        <v>100</v>
      </c>
      <c r="H1567" t="n">
        <v>60</v>
      </c>
      <c r="I1567" t="n">
        <v>21</v>
      </c>
      <c r="J1567" t="inlineStr">
        <is>
          <t>ince</t>
        </is>
      </c>
      <c r="K1567" t="b">
        <v>0</v>
      </c>
      <c r="L1567" t="inlineStr">
        <is>
          <t>iki-OK-arasi-monotonluk</t>
        </is>
      </c>
      <c r="X1567" t="b">
        <v>1</v>
      </c>
      <c r="Z1567" t="n">
        <v>935</v>
      </c>
      <c r="AA1567" t="n">
        <v>2.5</v>
      </c>
      <c r="AB1567" t="n">
        <v>9.5</v>
      </c>
    </row>
    <row r="1568">
      <c r="A1568" t="inlineStr">
        <is>
          <t>2026-09-24 16:57:32</t>
        </is>
      </c>
      <c r="B1568" t="inlineStr">
        <is>
          <t>MLLB_000_y1.0.3</t>
        </is>
      </c>
      <c r="C1568" t="inlineStr">
        <is>
          <t>WHITE</t>
        </is>
      </c>
      <c r="D1568" t="inlineStr">
        <is>
          <t>v4_white_MLLB_000_y103_0924</t>
        </is>
      </c>
      <c r="E1568" t="n">
        <v>3.2</v>
      </c>
      <c r="F1568" t="n">
        <v>3.208</v>
      </c>
      <c r="G1568" t="n">
        <v>100</v>
      </c>
      <c r="H1568" t="n">
        <v>60</v>
      </c>
      <c r="I1568" t="n">
        <v>22</v>
      </c>
      <c r="J1568" t="inlineStr">
        <is>
          <t>ince</t>
        </is>
      </c>
      <c r="K1568" t="b">
        <v>0</v>
      </c>
      <c r="L1568" t="inlineStr">
        <is>
          <t>iki-OK-arasi-monotonluk</t>
        </is>
      </c>
      <c r="X1568" t="b">
        <v>1</v>
      </c>
      <c r="Z1568" t="n">
        <v>935</v>
      </c>
      <c r="AA1568" t="n">
        <v>2.5</v>
      </c>
      <c r="AB1568" t="n">
        <v>9.5</v>
      </c>
    </row>
    <row r="1569">
      <c r="A1569" t="inlineStr">
        <is>
          <t>2026-09-24 16:57:32</t>
        </is>
      </c>
      <c r="B1569" t="inlineStr">
        <is>
          <t>MLLB_000_y1.0.3</t>
        </is>
      </c>
      <c r="C1569" t="inlineStr">
        <is>
          <t>WHITE</t>
        </is>
      </c>
      <c r="D1569" t="inlineStr">
        <is>
          <t>v4_white_MLLB_000_y103_0924</t>
        </is>
      </c>
      <c r="E1569" t="n">
        <v>3.2</v>
      </c>
      <c r="F1569" t="n">
        <v>3.208</v>
      </c>
      <c r="G1569" t="n">
        <v>100</v>
      </c>
      <c r="H1569" t="n">
        <v>60</v>
      </c>
      <c r="I1569" t="n">
        <v>23</v>
      </c>
      <c r="J1569" t="inlineStr">
        <is>
          <t>ince</t>
        </is>
      </c>
      <c r="K1569" t="b">
        <v>0</v>
      </c>
      <c r="L1569" t="inlineStr">
        <is>
          <t>iki-OK-arasi-monotonluk</t>
        </is>
      </c>
      <c r="X1569" t="b">
        <v>1</v>
      </c>
      <c r="Z1569" t="n">
        <v>935</v>
      </c>
      <c r="AA1569" t="n">
        <v>2.5</v>
      </c>
      <c r="AB1569" t="n">
        <v>9.5</v>
      </c>
    </row>
    <row r="1570">
      <c r="A1570" t="inlineStr">
        <is>
          <t>2026-09-24 16:57:32</t>
        </is>
      </c>
      <c r="B1570" t="inlineStr">
        <is>
          <t>MLLB_000_y1.0.3</t>
        </is>
      </c>
      <c r="C1570" t="inlineStr">
        <is>
          <t>WHITE</t>
        </is>
      </c>
      <c r="D1570" t="inlineStr">
        <is>
          <t>v4_white_MLLB_000_y103_0924</t>
        </is>
      </c>
      <c r="E1570" t="n">
        <v>3.2</v>
      </c>
      <c r="F1570" t="n">
        <v>3.208</v>
      </c>
      <c r="G1570" t="n">
        <v>100</v>
      </c>
      <c r="H1570" t="n">
        <v>60</v>
      </c>
      <c r="I1570" t="n">
        <v>25</v>
      </c>
      <c r="J1570" t="inlineStr">
        <is>
          <t>ince</t>
        </is>
      </c>
      <c r="K1570" t="b">
        <v>0</v>
      </c>
      <c r="L1570" t="inlineStr">
        <is>
          <t>iki-OK-arasi-monotonluk</t>
        </is>
      </c>
      <c r="X1570" t="b">
        <v>1</v>
      </c>
      <c r="Z1570" t="n">
        <v>935</v>
      </c>
      <c r="AA1570" t="n">
        <v>2.5</v>
      </c>
      <c r="AB1570" t="n">
        <v>9.5</v>
      </c>
    </row>
    <row r="1571">
      <c r="A1571" t="inlineStr">
        <is>
          <t>2026-09-24 16:57:32</t>
        </is>
      </c>
      <c r="B1571" t="inlineStr">
        <is>
          <t>MLLB_000_y1.0.3</t>
        </is>
      </c>
      <c r="C1571" t="inlineStr">
        <is>
          <t>WHITE</t>
        </is>
      </c>
      <c r="D1571" t="inlineStr">
        <is>
          <t>v4_white_MLLB_000_y103_0924</t>
        </is>
      </c>
      <c r="E1571" t="n">
        <v>3.2</v>
      </c>
      <c r="F1571" t="n">
        <v>3.208</v>
      </c>
      <c r="G1571" t="n">
        <v>100</v>
      </c>
      <c r="H1571" t="n">
        <v>60</v>
      </c>
      <c r="I1571" t="n">
        <v>26</v>
      </c>
      <c r="J1571" t="inlineStr">
        <is>
          <t>ince</t>
        </is>
      </c>
      <c r="K1571" t="b">
        <v>0</v>
      </c>
      <c r="L1571" t="inlineStr">
        <is>
          <t>iki-OK-arasi-monotonluk</t>
        </is>
      </c>
      <c r="X1571" t="b">
        <v>1</v>
      </c>
      <c r="Z1571" t="n">
        <v>935</v>
      </c>
      <c r="AA1571" t="n">
        <v>2.5</v>
      </c>
      <c r="AB1571" t="n">
        <v>9.5</v>
      </c>
    </row>
    <row r="1572">
      <c r="A1572" t="inlineStr">
        <is>
          <t>2026-09-24 16:57:32</t>
        </is>
      </c>
      <c r="B1572" t="inlineStr">
        <is>
          <t>MLLB_000_y1.0.3</t>
        </is>
      </c>
      <c r="C1572" t="inlineStr">
        <is>
          <t>WHITE</t>
        </is>
      </c>
      <c r="D1572" t="inlineStr">
        <is>
          <t>v4_white_MLLB_000_y103_0924</t>
        </is>
      </c>
      <c r="E1572" t="n">
        <v>3.2</v>
      </c>
      <c r="F1572" t="n">
        <v>3.208</v>
      </c>
      <c r="G1572" t="n">
        <v>100</v>
      </c>
      <c r="H1572" t="n">
        <v>60</v>
      </c>
      <c r="I1572" t="n">
        <v>27</v>
      </c>
      <c r="J1572" t="inlineStr">
        <is>
          <t>ince</t>
        </is>
      </c>
      <c r="K1572" t="b">
        <v>0</v>
      </c>
      <c r="L1572" t="inlineStr">
        <is>
          <t>iki-OK-arasi-monotonluk</t>
        </is>
      </c>
      <c r="X1572" t="b">
        <v>1</v>
      </c>
      <c r="Z1572" t="n">
        <v>935</v>
      </c>
      <c r="AA1572" t="n">
        <v>2.5</v>
      </c>
      <c r="AB1572" t="n">
        <v>9.5</v>
      </c>
    </row>
    <row r="1573">
      <c r="A1573" t="inlineStr">
        <is>
          <t>2026-09-24 16:57:32</t>
        </is>
      </c>
      <c r="B1573" t="inlineStr">
        <is>
          <t>MLLB_000_y1.0.3</t>
        </is>
      </c>
      <c r="C1573" t="inlineStr">
        <is>
          <t>WHITE</t>
        </is>
      </c>
      <c r="D1573" t="inlineStr">
        <is>
          <t>v4_white_MLLB_000_y103_0924</t>
        </is>
      </c>
      <c r="E1573" t="n">
        <v>3.2</v>
      </c>
      <c r="F1573" t="n">
        <v>3.208</v>
      </c>
      <c r="G1573" t="n">
        <v>100</v>
      </c>
      <c r="H1573" t="n">
        <v>60</v>
      </c>
      <c r="I1573" t="n">
        <v>29</v>
      </c>
      <c r="J1573" t="inlineStr">
        <is>
          <t>ince</t>
        </is>
      </c>
      <c r="K1573" t="b">
        <v>0</v>
      </c>
      <c r="L1573" t="inlineStr">
        <is>
          <t>iki-OK-arasi-monotonluk</t>
        </is>
      </c>
      <c r="X1573" t="b">
        <v>1</v>
      </c>
      <c r="Z1573" t="n">
        <v>935</v>
      </c>
      <c r="AA1573" t="n">
        <v>2.5</v>
      </c>
      <c r="AB1573" t="n">
        <v>9.5</v>
      </c>
    </row>
    <row r="1574">
      <c r="A1574" t="inlineStr">
        <is>
          <t>2026-09-24 16:57:32</t>
        </is>
      </c>
      <c r="B1574" t="inlineStr">
        <is>
          <t>MLLB_000_y1.0.3</t>
        </is>
      </c>
      <c r="C1574" t="inlineStr">
        <is>
          <t>WHITE</t>
        </is>
      </c>
      <c r="D1574" t="inlineStr">
        <is>
          <t>v4_white_MLLB_000_y103_0924</t>
        </is>
      </c>
      <c r="E1574" t="n">
        <v>3.2</v>
      </c>
      <c r="F1574" t="n">
        <v>3.208</v>
      </c>
      <c r="G1574" t="n">
        <v>100</v>
      </c>
      <c r="H1574" t="n">
        <v>60</v>
      </c>
      <c r="I1574" t="n">
        <v>30</v>
      </c>
      <c r="J1574" t="inlineStr">
        <is>
          <t>ince</t>
        </is>
      </c>
      <c r="K1574" t="b">
        <v>0</v>
      </c>
      <c r="L1574" t="inlineStr">
        <is>
          <t>iki-OK-arasi-monotonluk</t>
        </is>
      </c>
      <c r="X1574" t="b">
        <v>1</v>
      </c>
      <c r="Z1574" t="n">
        <v>935</v>
      </c>
      <c r="AA1574" t="n">
        <v>2.5</v>
      </c>
      <c r="AB1574" t="n">
        <v>9.5</v>
      </c>
    </row>
    <row r="1575">
      <c r="A1575" t="inlineStr">
        <is>
          <t>2026-09-24 16:57:32</t>
        </is>
      </c>
      <c r="B1575" t="inlineStr">
        <is>
          <t>MLLB_000_y1.0.3</t>
        </is>
      </c>
      <c r="C1575" t="inlineStr">
        <is>
          <t>WHITE</t>
        </is>
      </c>
      <c r="D1575" t="inlineStr">
        <is>
          <t>v4_white_MLLB_000_y103_0924</t>
        </is>
      </c>
      <c r="E1575" t="n">
        <v>3.2</v>
      </c>
      <c r="F1575" t="n">
        <v>3.208</v>
      </c>
      <c r="G1575" t="n">
        <v>100</v>
      </c>
      <c r="H1575" t="n">
        <v>60</v>
      </c>
      <c r="I1575" t="n">
        <v>31</v>
      </c>
      <c r="J1575" t="inlineStr">
        <is>
          <t>ince</t>
        </is>
      </c>
      <c r="K1575" t="b">
        <v>0</v>
      </c>
      <c r="L1575" t="inlineStr">
        <is>
          <t>iki-OK-arasi-monotonluk</t>
        </is>
      </c>
      <c r="X1575" t="b">
        <v>1</v>
      </c>
      <c r="Z1575" t="n">
        <v>935</v>
      </c>
      <c r="AA1575" t="n">
        <v>2.5</v>
      </c>
      <c r="AB1575" t="n">
        <v>9.5</v>
      </c>
    </row>
    <row r="1576">
      <c r="A1576" t="inlineStr">
        <is>
          <t>2026-09-24 16:57:32</t>
        </is>
      </c>
      <c r="B1576" t="inlineStr">
        <is>
          <t>MLLB_000_y1.0.3</t>
        </is>
      </c>
      <c r="C1576" t="inlineStr">
        <is>
          <t>WHITE</t>
        </is>
      </c>
      <c r="D1576" t="inlineStr">
        <is>
          <t>v4_white_MLLB_000_y103_0924</t>
        </is>
      </c>
      <c r="E1576" t="n">
        <v>3.2</v>
      </c>
      <c r="F1576" t="n">
        <v>3.208</v>
      </c>
      <c r="G1576" t="n">
        <v>100</v>
      </c>
      <c r="H1576" t="n">
        <v>60</v>
      </c>
      <c r="I1576" t="n">
        <v>33</v>
      </c>
      <c r="J1576" t="inlineStr">
        <is>
          <t>ince</t>
        </is>
      </c>
      <c r="K1576" t="b">
        <v>0</v>
      </c>
      <c r="L1576" t="inlineStr">
        <is>
          <t>iki-OK-arasi-monotonluk</t>
        </is>
      </c>
      <c r="X1576" t="b">
        <v>1</v>
      </c>
      <c r="Z1576" t="n">
        <v>935</v>
      </c>
      <c r="AA1576" t="n">
        <v>2.5</v>
      </c>
      <c r="AB1576" t="n">
        <v>9.5</v>
      </c>
    </row>
    <row r="1577">
      <c r="A1577" t="inlineStr">
        <is>
          <t>2026-09-24 16:57:32</t>
        </is>
      </c>
      <c r="B1577" t="inlineStr">
        <is>
          <t>MLLB_000_y1.0.3</t>
        </is>
      </c>
      <c r="C1577" t="inlineStr">
        <is>
          <t>WHITE</t>
        </is>
      </c>
      <c r="D1577" t="inlineStr">
        <is>
          <t>v4_white_MLLB_000_y103_0924</t>
        </is>
      </c>
      <c r="E1577" t="n">
        <v>3.2</v>
      </c>
      <c r="F1577" t="n">
        <v>3.208</v>
      </c>
      <c r="G1577" t="n">
        <v>100</v>
      </c>
      <c r="H1577" t="n">
        <v>60</v>
      </c>
      <c r="I1577" t="n">
        <v>34</v>
      </c>
      <c r="J1577" t="inlineStr">
        <is>
          <t>ince</t>
        </is>
      </c>
      <c r="K1577" t="b">
        <v>0</v>
      </c>
      <c r="L1577" t="inlineStr">
        <is>
          <t>iki-OK-arasi-monotonluk</t>
        </is>
      </c>
      <c r="X1577" t="b">
        <v>1</v>
      </c>
      <c r="Z1577" t="n">
        <v>935</v>
      </c>
      <c r="AA1577" t="n">
        <v>2.5</v>
      </c>
      <c r="AB1577" t="n">
        <v>9.5</v>
      </c>
    </row>
    <row r="1578">
      <c r="A1578" t="inlineStr">
        <is>
          <t>2026-09-24 16:57:32</t>
        </is>
      </c>
      <c r="B1578" t="inlineStr">
        <is>
          <t>MLLB_000_y1.0.3</t>
        </is>
      </c>
      <c r="C1578" t="inlineStr">
        <is>
          <t>WHITE</t>
        </is>
      </c>
      <c r="D1578" t="inlineStr">
        <is>
          <t>v4_white_MLLB_000_y103_0924</t>
        </is>
      </c>
      <c r="E1578" t="n">
        <v>3.2</v>
      </c>
      <c r="F1578" t="n">
        <v>3.208</v>
      </c>
      <c r="G1578" t="n">
        <v>100</v>
      </c>
      <c r="H1578" t="n">
        <v>60</v>
      </c>
      <c r="I1578" t="n">
        <v>35</v>
      </c>
      <c r="J1578" t="inlineStr">
        <is>
          <t>ince</t>
        </is>
      </c>
      <c r="K1578" t="b">
        <v>0</v>
      </c>
      <c r="L1578" t="inlineStr">
        <is>
          <t>iki-OK-arasi-monotonluk</t>
        </is>
      </c>
      <c r="X1578" t="b">
        <v>1</v>
      </c>
      <c r="Z1578" t="n">
        <v>935</v>
      </c>
      <c r="AA1578" t="n">
        <v>2.5</v>
      </c>
      <c r="AB1578" t="n">
        <v>9.5</v>
      </c>
    </row>
    <row r="1579">
      <c r="A1579" t="inlineStr">
        <is>
          <t>2026-09-24 16:57:32</t>
        </is>
      </c>
      <c r="B1579" t="inlineStr">
        <is>
          <t>MLLB_000_y1.0.3</t>
        </is>
      </c>
      <c r="C1579" t="inlineStr">
        <is>
          <t>WHITE</t>
        </is>
      </c>
      <c r="D1579" t="inlineStr">
        <is>
          <t>v4_white_MLLB_000_y103_0924</t>
        </is>
      </c>
      <c r="E1579" t="n">
        <v>3.2</v>
      </c>
      <c r="F1579" t="n">
        <v>3.208</v>
      </c>
      <c r="G1579" t="n">
        <v>100</v>
      </c>
      <c r="H1579" t="n">
        <v>60</v>
      </c>
      <c r="I1579" t="n">
        <v>37</v>
      </c>
      <c r="J1579" t="inlineStr">
        <is>
          <t>ince</t>
        </is>
      </c>
      <c r="K1579" t="b">
        <v>0</v>
      </c>
      <c r="L1579" t="inlineStr">
        <is>
          <t>iki-OK-arasi-monotonluk</t>
        </is>
      </c>
      <c r="X1579" t="b">
        <v>1</v>
      </c>
      <c r="Z1579" t="n">
        <v>935</v>
      </c>
      <c r="AA1579" t="n">
        <v>2.5</v>
      </c>
      <c r="AB1579" t="n">
        <v>9.5</v>
      </c>
    </row>
    <row r="1580">
      <c r="A1580" t="inlineStr">
        <is>
          <t>2026-09-24 16:57:32</t>
        </is>
      </c>
      <c r="B1580" t="inlineStr">
        <is>
          <t>MLLB_000_y1.0.3</t>
        </is>
      </c>
      <c r="C1580" t="inlineStr">
        <is>
          <t>WHITE</t>
        </is>
      </c>
      <c r="D1580" t="inlineStr">
        <is>
          <t>v4_white_MLLB_000_y103_0924</t>
        </is>
      </c>
      <c r="E1580" t="n">
        <v>3.2</v>
      </c>
      <c r="F1580" t="n">
        <v>3.208</v>
      </c>
      <c r="G1580" t="n">
        <v>100</v>
      </c>
      <c r="H1580" t="n">
        <v>60</v>
      </c>
      <c r="I1580" t="n">
        <v>38</v>
      </c>
      <c r="J1580" t="inlineStr">
        <is>
          <t>ince</t>
        </is>
      </c>
      <c r="K1580" t="b">
        <v>0</v>
      </c>
      <c r="L1580" t="inlineStr">
        <is>
          <t>iki-OK-arasi-monotonluk</t>
        </is>
      </c>
      <c r="X1580" t="b">
        <v>1</v>
      </c>
      <c r="Z1580" t="n">
        <v>935</v>
      </c>
      <c r="AA1580" t="n">
        <v>2.5</v>
      </c>
      <c r="AB1580" t="n">
        <v>9.5</v>
      </c>
    </row>
    <row r="1581">
      <c r="A1581" t="inlineStr">
        <is>
          <t>2026-09-24 16:57:32</t>
        </is>
      </c>
      <c r="B1581" t="inlineStr">
        <is>
          <t>MLLB_000_y1.0.3</t>
        </is>
      </c>
      <c r="C1581" t="inlineStr">
        <is>
          <t>WHITE</t>
        </is>
      </c>
      <c r="D1581" t="inlineStr">
        <is>
          <t>v4_white_MLLB_000_y103_0924</t>
        </is>
      </c>
      <c r="E1581" t="n">
        <v>3.2</v>
      </c>
      <c r="F1581" t="n">
        <v>3.208</v>
      </c>
      <c r="G1581" t="n">
        <v>100</v>
      </c>
      <c r="H1581" t="n">
        <v>60</v>
      </c>
      <c r="I1581" t="n">
        <v>39</v>
      </c>
      <c r="J1581" t="inlineStr">
        <is>
          <t>ince</t>
        </is>
      </c>
      <c r="K1581" t="b">
        <v>0</v>
      </c>
      <c r="L1581" t="inlineStr">
        <is>
          <t>iki-OK-arasi-monotonluk</t>
        </is>
      </c>
      <c r="X1581" t="b">
        <v>1</v>
      </c>
      <c r="Z1581" t="n">
        <v>935</v>
      </c>
      <c r="AA1581" t="n">
        <v>2.5</v>
      </c>
      <c r="AB1581" t="n">
        <v>9.5</v>
      </c>
    </row>
    <row r="1582">
      <c r="A1582" t="inlineStr">
        <is>
          <t>2026-09-24 16:57:32</t>
        </is>
      </c>
      <c r="B1582" t="inlineStr">
        <is>
          <t>MLLB_000_y1.0.3</t>
        </is>
      </c>
      <c r="C1582" t="inlineStr">
        <is>
          <t>WHITE</t>
        </is>
      </c>
      <c r="D1582" t="inlineStr">
        <is>
          <t>v4_white_MLLB_000_y103_0924</t>
        </is>
      </c>
      <c r="E1582" t="n">
        <v>3.2</v>
      </c>
      <c r="F1582" t="n">
        <v>3.208</v>
      </c>
      <c r="G1582" t="n">
        <v>100</v>
      </c>
      <c r="H1582" t="n">
        <v>60</v>
      </c>
      <c r="I1582" t="n">
        <v>41</v>
      </c>
      <c r="J1582" t="inlineStr">
        <is>
          <t>ince</t>
        </is>
      </c>
      <c r="K1582" t="b">
        <v>0</v>
      </c>
      <c r="L1582" t="inlineStr">
        <is>
          <t>iki-OK-arasi-monotonluk</t>
        </is>
      </c>
      <c r="X1582" t="b">
        <v>1</v>
      </c>
      <c r="Z1582" t="n">
        <v>935</v>
      </c>
      <c r="AA1582" t="n">
        <v>2.5</v>
      </c>
      <c r="AB1582" t="n">
        <v>9.5</v>
      </c>
    </row>
    <row r="1583">
      <c r="A1583" t="inlineStr">
        <is>
          <t>2026-09-24 16:57:32</t>
        </is>
      </c>
      <c r="B1583" t="inlineStr">
        <is>
          <t>MLLB_000_y1.0.3</t>
        </is>
      </c>
      <c r="C1583" t="inlineStr">
        <is>
          <t>WHITE</t>
        </is>
      </c>
      <c r="D1583" t="inlineStr">
        <is>
          <t>v4_white_MLLB_000_y103_0924</t>
        </is>
      </c>
      <c r="E1583" t="n">
        <v>3.2</v>
      </c>
      <c r="F1583" t="n">
        <v>3.208</v>
      </c>
      <c r="G1583" t="n">
        <v>100</v>
      </c>
      <c r="H1583" t="n">
        <v>60</v>
      </c>
      <c r="I1583" t="n">
        <v>42</v>
      </c>
      <c r="J1583" t="inlineStr">
        <is>
          <t>ince</t>
        </is>
      </c>
      <c r="K1583" t="b">
        <v>0</v>
      </c>
      <c r="L1583" t="inlineStr">
        <is>
          <t>iki-OK-arasi-monotonluk</t>
        </is>
      </c>
      <c r="X1583" t="b">
        <v>1</v>
      </c>
      <c r="Z1583" t="n">
        <v>935</v>
      </c>
      <c r="AA1583" t="n">
        <v>2.5</v>
      </c>
      <c r="AB1583" t="n">
        <v>9.5</v>
      </c>
    </row>
    <row r="1584">
      <c r="A1584" t="inlineStr">
        <is>
          <t>2026-09-24 16:57:32</t>
        </is>
      </c>
      <c r="B1584" t="inlineStr">
        <is>
          <t>MLLB_000_y1.0.3</t>
        </is>
      </c>
      <c r="C1584" t="inlineStr">
        <is>
          <t>WHITE</t>
        </is>
      </c>
      <c r="D1584" t="inlineStr">
        <is>
          <t>v4_white_MLLB_000_y103_0924</t>
        </is>
      </c>
      <c r="E1584" t="n">
        <v>3.2</v>
      </c>
      <c r="F1584" t="n">
        <v>3.208</v>
      </c>
      <c r="G1584" t="n">
        <v>100</v>
      </c>
      <c r="H1584" t="n">
        <v>60</v>
      </c>
      <c r="I1584" t="n">
        <v>43</v>
      </c>
      <c r="J1584" t="inlineStr">
        <is>
          <t>ince</t>
        </is>
      </c>
      <c r="K1584" t="b">
        <v>0</v>
      </c>
      <c r="L1584" t="inlineStr">
        <is>
          <t>iki-OK-arasi-monotonluk</t>
        </is>
      </c>
      <c r="X1584" t="b">
        <v>1</v>
      </c>
      <c r="Z1584" t="n">
        <v>935</v>
      </c>
      <c r="AA1584" t="n">
        <v>2.5</v>
      </c>
      <c r="AB1584" t="n">
        <v>9.5</v>
      </c>
    </row>
    <row r="1585">
      <c r="A1585" t="inlineStr">
        <is>
          <t>2026-09-24 16:57:32</t>
        </is>
      </c>
      <c r="B1585" t="inlineStr">
        <is>
          <t>MLLB_000_y1.0.3</t>
        </is>
      </c>
      <c r="C1585" t="inlineStr">
        <is>
          <t>WHITE</t>
        </is>
      </c>
      <c r="D1585" t="inlineStr">
        <is>
          <t>v4_white_MLLB_000_y103_0924</t>
        </is>
      </c>
      <c r="E1585" t="n">
        <v>3.2</v>
      </c>
      <c r="F1585" t="n">
        <v>3.208</v>
      </c>
      <c r="G1585" t="n">
        <v>100</v>
      </c>
      <c r="H1585" t="n">
        <v>60</v>
      </c>
      <c r="I1585" t="n">
        <v>45</v>
      </c>
      <c r="J1585" t="inlineStr">
        <is>
          <t>ince</t>
        </is>
      </c>
      <c r="K1585" t="b">
        <v>0</v>
      </c>
      <c r="L1585" t="inlineStr">
        <is>
          <t>iki-OK-arasi-monotonluk</t>
        </is>
      </c>
      <c r="X1585" t="b">
        <v>1</v>
      </c>
      <c r="Z1585" t="n">
        <v>935</v>
      </c>
      <c r="AA1585" t="n">
        <v>2.5</v>
      </c>
      <c r="AB1585" t="n">
        <v>9.5</v>
      </c>
    </row>
    <row r="1586">
      <c r="A1586" t="inlineStr">
        <is>
          <t>2026-09-24 16:57:32</t>
        </is>
      </c>
      <c r="B1586" t="inlineStr">
        <is>
          <t>MLLB_000_y1.0.3</t>
        </is>
      </c>
      <c r="C1586" t="inlineStr">
        <is>
          <t>WHITE</t>
        </is>
      </c>
      <c r="D1586" t="inlineStr">
        <is>
          <t>v4_white_MLLB_000_y103_0924</t>
        </is>
      </c>
      <c r="E1586" t="n">
        <v>3.2</v>
      </c>
      <c r="F1586" t="n">
        <v>3.208</v>
      </c>
      <c r="G1586" t="n">
        <v>100</v>
      </c>
      <c r="H1586" t="n">
        <v>60</v>
      </c>
      <c r="I1586" t="n">
        <v>46</v>
      </c>
      <c r="J1586" t="inlineStr">
        <is>
          <t>ince</t>
        </is>
      </c>
      <c r="K1586" t="b">
        <v>0</v>
      </c>
      <c r="L1586" t="inlineStr">
        <is>
          <t>iki-OK-arasi-monotonluk</t>
        </is>
      </c>
      <c r="X1586" t="b">
        <v>1</v>
      </c>
      <c r="Z1586" t="n">
        <v>935</v>
      </c>
      <c r="AA1586" t="n">
        <v>2.5</v>
      </c>
      <c r="AB1586" t="n">
        <v>9.5</v>
      </c>
    </row>
    <row r="1587">
      <c r="A1587" t="inlineStr">
        <is>
          <t>2026-09-24 16:57:32</t>
        </is>
      </c>
      <c r="B1587" t="inlineStr">
        <is>
          <t>MLLB_000_y1.0.3</t>
        </is>
      </c>
      <c r="C1587" t="inlineStr">
        <is>
          <t>WHITE</t>
        </is>
      </c>
      <c r="D1587" t="inlineStr">
        <is>
          <t>v4_white_MLLB_000_y103_0924</t>
        </is>
      </c>
      <c r="E1587" t="n">
        <v>3.2</v>
      </c>
      <c r="F1587" t="n">
        <v>3.208</v>
      </c>
      <c r="G1587" t="n">
        <v>100</v>
      </c>
      <c r="H1587" t="n">
        <v>60</v>
      </c>
      <c r="I1587" t="n">
        <v>47</v>
      </c>
      <c r="J1587" t="inlineStr">
        <is>
          <t>ince</t>
        </is>
      </c>
      <c r="K1587" t="b">
        <v>0</v>
      </c>
      <c r="L1587" t="inlineStr">
        <is>
          <t>iki-OK-arasi-monotonluk</t>
        </is>
      </c>
      <c r="X1587" t="b">
        <v>1</v>
      </c>
      <c r="Z1587" t="n">
        <v>935</v>
      </c>
      <c r="AA1587" t="n">
        <v>2.5</v>
      </c>
      <c r="AB1587" t="n">
        <v>9.5</v>
      </c>
    </row>
    <row r="1588">
      <c r="A1588" t="inlineStr">
        <is>
          <t>2026-09-24 16:57:32</t>
        </is>
      </c>
      <c r="B1588" t="inlineStr">
        <is>
          <t>MLLB_000_y1.0.3</t>
        </is>
      </c>
      <c r="C1588" t="inlineStr">
        <is>
          <t>WHITE</t>
        </is>
      </c>
      <c r="D1588" t="inlineStr">
        <is>
          <t>v4_white_MLLB_000_y103_0924</t>
        </is>
      </c>
      <c r="E1588" t="n">
        <v>3.2</v>
      </c>
      <c r="F1588" t="n">
        <v>3.208</v>
      </c>
      <c r="G1588" t="n">
        <v>100</v>
      </c>
      <c r="H1588" t="n">
        <v>60</v>
      </c>
      <c r="I1588" t="n">
        <v>49</v>
      </c>
      <c r="J1588" t="inlineStr">
        <is>
          <t>ince</t>
        </is>
      </c>
      <c r="K1588" t="b">
        <v>0</v>
      </c>
      <c r="L1588" t="inlineStr">
        <is>
          <t>iki-OK-arasi-monotonluk</t>
        </is>
      </c>
      <c r="X1588" t="b">
        <v>1</v>
      </c>
      <c r="Z1588" t="n">
        <v>935</v>
      </c>
      <c r="AA1588" t="n">
        <v>2.5</v>
      </c>
      <c r="AB1588" t="n">
        <v>9.5</v>
      </c>
    </row>
    <row r="1589">
      <c r="A1589" t="inlineStr">
        <is>
          <t>2026-09-24 16:57:32</t>
        </is>
      </c>
      <c r="B1589" t="inlineStr">
        <is>
          <t>MLLB_000_y1.0.3</t>
        </is>
      </c>
      <c r="C1589" t="inlineStr">
        <is>
          <t>WHITE</t>
        </is>
      </c>
      <c r="D1589" t="inlineStr">
        <is>
          <t>v4_white_MLLB_000_y103_0924</t>
        </is>
      </c>
      <c r="E1589" t="n">
        <v>3.2</v>
      </c>
      <c r="F1589" t="n">
        <v>3.208</v>
      </c>
      <c r="G1589" t="n">
        <v>100</v>
      </c>
      <c r="H1589" t="n">
        <v>60</v>
      </c>
      <c r="I1589" t="n">
        <v>50</v>
      </c>
      <c r="J1589" t="inlineStr">
        <is>
          <t>ince</t>
        </is>
      </c>
      <c r="K1589" t="b">
        <v>0</v>
      </c>
      <c r="L1589" t="inlineStr">
        <is>
          <t>iki-OK-arasi-monotonluk</t>
        </is>
      </c>
      <c r="X1589" t="b">
        <v>1</v>
      </c>
      <c r="Z1589" t="n">
        <v>935</v>
      </c>
      <c r="AA1589" t="n">
        <v>2.5</v>
      </c>
      <c r="AB1589" t="n">
        <v>9.5</v>
      </c>
    </row>
    <row r="1590">
      <c r="A1590" t="inlineStr">
        <is>
          <t>2026-09-24 16:57:32</t>
        </is>
      </c>
      <c r="B1590" t="inlineStr">
        <is>
          <t>MLLB_000_y1.0.3</t>
        </is>
      </c>
      <c r="C1590" t="inlineStr">
        <is>
          <t>WHITE</t>
        </is>
      </c>
      <c r="D1590" t="inlineStr">
        <is>
          <t>v4_white_MLLB_000_y103_0924</t>
        </is>
      </c>
      <c r="E1590" t="n">
        <v>3.2</v>
      </c>
      <c r="F1590" t="n">
        <v>3.208</v>
      </c>
      <c r="G1590" t="n">
        <v>100</v>
      </c>
      <c r="H1590" t="n">
        <v>60</v>
      </c>
      <c r="I1590" t="n">
        <v>51</v>
      </c>
      <c r="J1590" t="inlineStr">
        <is>
          <t>ince</t>
        </is>
      </c>
      <c r="K1590" t="b">
        <v>0</v>
      </c>
      <c r="L1590" t="inlineStr">
        <is>
          <t>iki-OK-arasi-monotonluk</t>
        </is>
      </c>
      <c r="X1590" t="b">
        <v>1</v>
      </c>
      <c r="Z1590" t="n">
        <v>935</v>
      </c>
      <c r="AA1590" t="n">
        <v>2.5</v>
      </c>
      <c r="AB1590" t="n">
        <v>9.5</v>
      </c>
    </row>
    <row r="1591">
      <c r="A1591" t="inlineStr">
        <is>
          <t>2026-09-24 16:57:32</t>
        </is>
      </c>
      <c r="B1591" t="inlineStr">
        <is>
          <t>MLLB_000_y1.0.3</t>
        </is>
      </c>
      <c r="C1591" t="inlineStr">
        <is>
          <t>WHITE</t>
        </is>
      </c>
      <c r="D1591" t="inlineStr">
        <is>
          <t>v4_white_MLLB_000_y103_0924</t>
        </is>
      </c>
      <c r="E1591" t="n">
        <v>3.2</v>
      </c>
      <c r="F1591" t="n">
        <v>3.208</v>
      </c>
      <c r="G1591" t="n">
        <v>100</v>
      </c>
      <c r="H1591" t="n">
        <v>60</v>
      </c>
      <c r="I1591" t="n">
        <v>53</v>
      </c>
      <c r="J1591" t="inlineStr">
        <is>
          <t>ince</t>
        </is>
      </c>
      <c r="K1591" t="b">
        <v>0</v>
      </c>
      <c r="L1591" t="inlineStr">
        <is>
          <t>iki-OK-arasi-monotonluk</t>
        </is>
      </c>
      <c r="X1591" t="b">
        <v>1</v>
      </c>
      <c r="Z1591" t="n">
        <v>935</v>
      </c>
      <c r="AA1591" t="n">
        <v>2.5</v>
      </c>
      <c r="AB1591" t="n">
        <v>9.5</v>
      </c>
    </row>
    <row r="1592">
      <c r="A1592" t="inlineStr">
        <is>
          <t>2026-09-24 16:57:32</t>
        </is>
      </c>
      <c r="B1592" t="inlineStr">
        <is>
          <t>MLLB_000_y1.0.3</t>
        </is>
      </c>
      <c r="C1592" t="inlineStr">
        <is>
          <t>WHITE</t>
        </is>
      </c>
      <c r="D1592" t="inlineStr">
        <is>
          <t>v4_white_MLLB_000_y103_0924</t>
        </is>
      </c>
      <c r="E1592" t="n">
        <v>3.2</v>
      </c>
      <c r="F1592" t="n">
        <v>3.208</v>
      </c>
      <c r="G1592" t="n">
        <v>100</v>
      </c>
      <c r="H1592" t="n">
        <v>60</v>
      </c>
      <c r="I1592" t="n">
        <v>54</v>
      </c>
      <c r="J1592" t="inlineStr">
        <is>
          <t>ince</t>
        </is>
      </c>
      <c r="K1592" t="b">
        <v>0</v>
      </c>
      <c r="L1592" t="inlineStr">
        <is>
          <t>iki-OK-arasi-monotonluk</t>
        </is>
      </c>
      <c r="X1592" t="b">
        <v>1</v>
      </c>
      <c r="Z1592" t="n">
        <v>935</v>
      </c>
      <c r="AA1592" t="n">
        <v>2.5</v>
      </c>
      <c r="AB1592" t="n">
        <v>9.5</v>
      </c>
    </row>
    <row r="1593">
      <c r="A1593" t="inlineStr">
        <is>
          <t>2026-09-24 16:57:32</t>
        </is>
      </c>
      <c r="B1593" t="inlineStr">
        <is>
          <t>MLLB_000_y1.0.3</t>
        </is>
      </c>
      <c r="C1593" t="inlineStr">
        <is>
          <t>WHITE</t>
        </is>
      </c>
      <c r="D1593" t="inlineStr">
        <is>
          <t>v4_white_MLLB_000_y103_0924</t>
        </is>
      </c>
      <c r="E1593" t="n">
        <v>3.2</v>
      </c>
      <c r="F1593" t="n">
        <v>3.208</v>
      </c>
      <c r="G1593" t="n">
        <v>100</v>
      </c>
      <c r="H1593" t="n">
        <v>60</v>
      </c>
      <c r="I1593" t="n">
        <v>55</v>
      </c>
      <c r="J1593" t="inlineStr">
        <is>
          <t>ince</t>
        </is>
      </c>
      <c r="K1593" t="b">
        <v>0</v>
      </c>
      <c r="L1593" t="inlineStr">
        <is>
          <t>iki-OK-arasi-monotonluk</t>
        </is>
      </c>
      <c r="X1593" t="b">
        <v>1</v>
      </c>
      <c r="Z1593" t="n">
        <v>935</v>
      </c>
      <c r="AA1593" t="n">
        <v>2.5</v>
      </c>
      <c r="AB1593" t="n">
        <v>9.5</v>
      </c>
    </row>
    <row r="1594">
      <c r="A1594" t="inlineStr">
        <is>
          <t>2026-09-24 16:57:32</t>
        </is>
      </c>
      <c r="B1594" t="inlineStr">
        <is>
          <t>MLLB_000_y1.0.3</t>
        </is>
      </c>
      <c r="C1594" t="inlineStr">
        <is>
          <t>WHITE</t>
        </is>
      </c>
      <c r="D1594" t="inlineStr">
        <is>
          <t>v4_white_MLLB_000_y103_0924</t>
        </is>
      </c>
      <c r="E1594" t="n">
        <v>3.2</v>
      </c>
      <c r="F1594" t="n">
        <v>3.208</v>
      </c>
      <c r="G1594" t="n">
        <v>100</v>
      </c>
      <c r="H1594" t="n">
        <v>60</v>
      </c>
      <c r="I1594" t="n">
        <v>57</v>
      </c>
      <c r="J1594" t="inlineStr">
        <is>
          <t>ince</t>
        </is>
      </c>
      <c r="K1594" t="b">
        <v>0</v>
      </c>
      <c r="L1594" t="inlineStr">
        <is>
          <t>iki-OK-arasi-monotonluk</t>
        </is>
      </c>
      <c r="X1594" t="b">
        <v>1</v>
      </c>
      <c r="Z1594" t="n">
        <v>935</v>
      </c>
      <c r="AA1594" t="n">
        <v>2.5</v>
      </c>
      <c r="AB1594" t="n">
        <v>9.5</v>
      </c>
    </row>
    <row r="1595">
      <c r="A1595" t="inlineStr">
        <is>
          <t>2026-09-24 16:57:32</t>
        </is>
      </c>
      <c r="B1595" t="inlineStr">
        <is>
          <t>MLLB_000_y1.0.3</t>
        </is>
      </c>
      <c r="C1595" t="inlineStr">
        <is>
          <t>WHITE</t>
        </is>
      </c>
      <c r="D1595" t="inlineStr">
        <is>
          <t>v4_white_MLLB_000_y103_0924</t>
        </is>
      </c>
      <c r="E1595" t="n">
        <v>3.2</v>
      </c>
      <c r="F1595" t="n">
        <v>3.208</v>
      </c>
      <c r="G1595" t="n">
        <v>100</v>
      </c>
      <c r="H1595" t="n">
        <v>60</v>
      </c>
      <c r="J1595" t="inlineStr">
        <is>
          <t>bitti</t>
        </is>
      </c>
      <c r="K1595" t="b">
        <v>0</v>
      </c>
      <c r="Z1595" t="n">
        <v>935</v>
      </c>
      <c r="AA1595" t="n">
        <v>2.5</v>
      </c>
      <c r="AB1595" t="n">
        <v>9.5</v>
      </c>
    </row>
    <row r="1596">
      <c r="A1596" t="inlineStr">
        <is>
          <t>2026-09-24 16:58:01</t>
        </is>
      </c>
      <c r="B1596" t="inlineStr">
        <is>
          <t>MLLB_000_y1.0.3</t>
        </is>
      </c>
      <c r="C1596" t="inlineStr">
        <is>
          <t>WHITE</t>
        </is>
      </c>
      <c r="D1596" t="inlineStr">
        <is>
          <t>v4_white_MLLB_000_y103_0924</t>
        </is>
      </c>
      <c r="E1596" t="n">
        <v>3</v>
      </c>
      <c r="F1596" t="n">
        <v>3.008</v>
      </c>
      <c r="G1596" t="n">
        <v>6</v>
      </c>
      <c r="H1596" t="n">
        <v>100</v>
      </c>
      <c r="I1596" t="n">
        <v>12</v>
      </c>
      <c r="J1596" t="inlineStr">
        <is>
          <t>kaba</t>
        </is>
      </c>
      <c r="K1596" t="b">
        <v>1</v>
      </c>
      <c r="M1596" t="n">
        <v>374</v>
      </c>
      <c r="N1596" t="n">
        <v>60</v>
      </c>
      <c r="O1596" t="n">
        <v>340</v>
      </c>
      <c r="P1596" t="n">
        <v>628</v>
      </c>
      <c r="Q1596" t="n">
        <v>1002</v>
      </c>
      <c r="R1596" t="n">
        <v>1.195</v>
      </c>
      <c r="S1596" t="n">
        <v>11.333</v>
      </c>
      <c r="T1596" t="n">
        <v>9.481999999999999</v>
      </c>
      <c r="U1596" t="n">
        <v>0.7776</v>
      </c>
      <c r="V1596" t="b">
        <v>1</v>
      </c>
      <c r="X1596" t="b">
        <v>0</v>
      </c>
      <c r="Y1596" t="inlineStr">
        <is>
          <t>AKIM</t>
        </is>
      </c>
      <c r="Z1596" t="n">
        <v>935</v>
      </c>
      <c r="AA1596" t="n">
        <v>2.5</v>
      </c>
      <c r="AB1596" t="n">
        <v>9.5</v>
      </c>
    </row>
    <row r="1597">
      <c r="A1597" t="inlineStr">
        <is>
          <t>2026-09-24 16:58:18</t>
        </is>
      </c>
      <c r="B1597" t="inlineStr">
        <is>
          <t>MLLB_000_y1.0.3</t>
        </is>
      </c>
      <c r="C1597" t="inlineStr">
        <is>
          <t>WHITE</t>
        </is>
      </c>
      <c r="D1597" t="inlineStr">
        <is>
          <t>v4_white_MLLB_000_y103_0924</t>
        </is>
      </c>
      <c r="E1597" t="n">
        <v>3</v>
      </c>
      <c r="F1597" t="n">
        <v>3.008</v>
      </c>
      <c r="G1597" t="n">
        <v>6</v>
      </c>
      <c r="H1597" t="n">
        <v>100</v>
      </c>
      <c r="I1597" t="n">
        <v>16</v>
      </c>
      <c r="J1597" t="inlineStr">
        <is>
          <t>kaba</t>
        </is>
      </c>
      <c r="K1597" t="b">
        <v>1</v>
      </c>
      <c r="M1597" t="n">
        <v>290</v>
      </c>
      <c r="N1597" t="n">
        <v>62</v>
      </c>
      <c r="O1597" t="n">
        <v>254</v>
      </c>
      <c r="P1597" t="n">
        <v>712</v>
      </c>
      <c r="Q1597" t="n">
        <v>1002</v>
      </c>
      <c r="R1597" t="n">
        <v>1.18</v>
      </c>
      <c r="S1597" t="n">
        <v>11.242</v>
      </c>
      <c r="T1597" t="n">
        <v>9.531000000000001</v>
      </c>
      <c r="U1597" t="n">
        <v>0.7776999999999999</v>
      </c>
      <c r="V1597" t="b">
        <v>1</v>
      </c>
      <c r="X1597" t="b">
        <v>0</v>
      </c>
      <c r="Y1597" t="inlineStr">
        <is>
          <t>ON</t>
        </is>
      </c>
      <c r="Z1597" t="n">
        <v>935</v>
      </c>
      <c r="AA1597" t="n">
        <v>2.5</v>
      </c>
      <c r="AB1597" t="n">
        <v>9.5</v>
      </c>
    </row>
    <row r="1598">
      <c r="A1598" t="inlineStr">
        <is>
          <t>2026-09-24 16:58:34</t>
        </is>
      </c>
      <c r="B1598" t="inlineStr">
        <is>
          <t>MLLB_000_y1.0.3</t>
        </is>
      </c>
      <c r="C1598" t="inlineStr">
        <is>
          <t>WHITE</t>
        </is>
      </c>
      <c r="D1598" t="inlineStr">
        <is>
          <t>v4_white_MLLB_000_y103_0924</t>
        </is>
      </c>
      <c r="E1598" t="n">
        <v>3</v>
      </c>
      <c r="F1598" t="n">
        <v>3.008</v>
      </c>
      <c r="G1598" t="n">
        <v>6</v>
      </c>
      <c r="H1598" t="n">
        <v>100</v>
      </c>
      <c r="I1598" t="n">
        <v>20</v>
      </c>
      <c r="J1598" t="inlineStr">
        <is>
          <t>kaba</t>
        </is>
      </c>
      <c r="K1598" t="b">
        <v>1</v>
      </c>
      <c r="M1598" t="n">
        <v>202</v>
      </c>
      <c r="N1598" t="n">
        <v>60</v>
      </c>
      <c r="O1598" t="n">
        <v>168</v>
      </c>
      <c r="P1598" t="n">
        <v>800</v>
      </c>
      <c r="Q1598" t="n">
        <v>1002</v>
      </c>
      <c r="R1598" t="n">
        <v>1.173</v>
      </c>
      <c r="S1598" t="n">
        <v>11.249</v>
      </c>
      <c r="T1598" t="n">
        <v>9.593</v>
      </c>
      <c r="U1598" t="n">
        <v>0.7771</v>
      </c>
      <c r="V1598" t="b">
        <v>1</v>
      </c>
      <c r="X1598" t="b">
        <v>0</v>
      </c>
      <c r="Y1598" t="inlineStr">
        <is>
          <t>ON</t>
        </is>
      </c>
      <c r="Z1598" t="n">
        <v>935</v>
      </c>
      <c r="AA1598" t="n">
        <v>2.5</v>
      </c>
      <c r="AB1598" t="n">
        <v>9.5</v>
      </c>
    </row>
    <row r="1599">
      <c r="A1599" t="inlineStr">
        <is>
          <t>2026-09-24 16:58:50</t>
        </is>
      </c>
      <c r="B1599" t="inlineStr">
        <is>
          <t>MLLB_000_y1.0.3</t>
        </is>
      </c>
      <c r="C1599" t="inlineStr">
        <is>
          <t>WHITE</t>
        </is>
      </c>
      <c r="D1599" t="inlineStr">
        <is>
          <t>v4_white_MLLB_000_y103_0924</t>
        </is>
      </c>
      <c r="E1599" t="n">
        <v>3</v>
      </c>
      <c r="F1599" t="n">
        <v>3.008</v>
      </c>
      <c r="G1599" t="n">
        <v>6</v>
      </c>
      <c r="H1599" t="n">
        <v>100</v>
      </c>
      <c r="I1599" t="n">
        <v>24</v>
      </c>
      <c r="J1599" t="inlineStr">
        <is>
          <t>kaba</t>
        </is>
      </c>
      <c r="K1599" t="b">
        <v>1</v>
      </c>
      <c r="M1599" t="n">
        <v>116</v>
      </c>
      <c r="N1599" t="n">
        <v>64</v>
      </c>
      <c r="O1599" t="n">
        <v>80</v>
      </c>
      <c r="P1599" t="n">
        <v>886</v>
      </c>
      <c r="Q1599" t="n">
        <v>1002</v>
      </c>
      <c r="R1599" t="n">
        <v>1.186</v>
      </c>
      <c r="S1599" t="n">
        <v>11.425</v>
      </c>
      <c r="T1599" t="n">
        <v>9.631</v>
      </c>
      <c r="U1599" t="n">
        <v>0.7776999999999999</v>
      </c>
      <c r="V1599" t="b">
        <v>1</v>
      </c>
      <c r="X1599" t="b">
        <v>0</v>
      </c>
      <c r="Y1599" t="inlineStr">
        <is>
          <t>ON</t>
        </is>
      </c>
      <c r="Z1599" t="n">
        <v>935</v>
      </c>
      <c r="AA1599" t="n">
        <v>2.5</v>
      </c>
      <c r="AB1599" t="n">
        <v>9.5</v>
      </c>
    </row>
    <row r="1600">
      <c r="A1600" t="inlineStr">
        <is>
          <t>2026-09-24 16:59:06</t>
        </is>
      </c>
      <c r="B1600" t="inlineStr">
        <is>
          <t>MLLB_000_y1.0.3</t>
        </is>
      </c>
      <c r="C1600" t="inlineStr">
        <is>
          <t>WHITE</t>
        </is>
      </c>
      <c r="D1600" t="inlineStr">
        <is>
          <t>v4_white_MLLB_000_y103_0924</t>
        </is>
      </c>
      <c r="E1600" t="n">
        <v>3</v>
      </c>
      <c r="F1600" t="n">
        <v>3.008</v>
      </c>
      <c r="G1600" t="n">
        <v>6</v>
      </c>
      <c r="H1600" t="n">
        <v>100</v>
      </c>
      <c r="I1600" t="n">
        <v>28</v>
      </c>
      <c r="J1600" t="inlineStr">
        <is>
          <t>kaba</t>
        </is>
      </c>
      <c r="K1600" t="b">
        <v>1</v>
      </c>
      <c r="M1600" t="n">
        <v>34</v>
      </c>
      <c r="N1600" t="n">
        <v>32</v>
      </c>
      <c r="O1600" t="n">
        <v>14</v>
      </c>
      <c r="P1600" t="n">
        <v>968</v>
      </c>
      <c r="Q1600" t="n">
        <v>1002</v>
      </c>
      <c r="R1600" t="n">
        <v>1.183</v>
      </c>
      <c r="S1600" t="n">
        <v>11.397</v>
      </c>
      <c r="T1600" t="n">
        <v>9.630000000000001</v>
      </c>
      <c r="U1600" t="n">
        <v>0.7776</v>
      </c>
      <c r="V1600" t="b">
        <v>1</v>
      </c>
      <c r="X1600" t="b">
        <v>1</v>
      </c>
      <c r="Z1600" t="n">
        <v>935</v>
      </c>
      <c r="AA1600" t="n">
        <v>2.5</v>
      </c>
      <c r="AB1600" t="n">
        <v>9.5</v>
      </c>
    </row>
    <row r="1601">
      <c r="A1601" t="inlineStr">
        <is>
          <t>2026-09-24 16:59:22</t>
        </is>
      </c>
      <c r="B1601" t="inlineStr">
        <is>
          <t>MLLB_000_y1.0.3</t>
        </is>
      </c>
      <c r="C1601" t="inlineStr">
        <is>
          <t>WHITE</t>
        </is>
      </c>
      <c r="D1601" t="inlineStr">
        <is>
          <t>v4_white_MLLB_000_y103_0924</t>
        </is>
      </c>
      <c r="E1601" t="n">
        <v>3</v>
      </c>
      <c r="F1601" t="n">
        <v>3.008</v>
      </c>
      <c r="G1601" t="n">
        <v>6</v>
      </c>
      <c r="H1601" t="n">
        <v>100</v>
      </c>
      <c r="I1601" t="n">
        <v>32</v>
      </c>
      <c r="J1601" t="inlineStr">
        <is>
          <t>kaba</t>
        </is>
      </c>
      <c r="K1601" t="b">
        <v>1</v>
      </c>
      <c r="M1601" t="n">
        <v>34</v>
      </c>
      <c r="N1601" t="n">
        <v>32</v>
      </c>
      <c r="O1601" t="n">
        <v>14</v>
      </c>
      <c r="P1601" t="n">
        <v>968</v>
      </c>
      <c r="Q1601" t="n">
        <v>1002</v>
      </c>
      <c r="R1601" t="n">
        <v>16.133</v>
      </c>
      <c r="S1601" t="n">
        <v>155.4</v>
      </c>
      <c r="T1601" t="n">
        <v>9.632999999999999</v>
      </c>
      <c r="U1601" t="n">
        <v>0.7776</v>
      </c>
      <c r="V1601" t="b">
        <v>1</v>
      </c>
      <c r="X1601" t="b">
        <v>0</v>
      </c>
      <c r="Y1601" t="inlineStr">
        <is>
          <t>FLAS</t>
        </is>
      </c>
      <c r="Z1601" t="n">
        <v>935</v>
      </c>
      <c r="AA1601" t="n">
        <v>2.5</v>
      </c>
      <c r="AB1601" t="n">
        <v>9.5</v>
      </c>
    </row>
    <row r="1602">
      <c r="A1602" t="inlineStr">
        <is>
          <t>2026-09-24 16:59:38</t>
        </is>
      </c>
      <c r="B1602" t="inlineStr">
        <is>
          <t>MLLB_000_y1.0.3</t>
        </is>
      </c>
      <c r="C1602" t="inlineStr">
        <is>
          <t>WHITE</t>
        </is>
      </c>
      <c r="D1602" t="inlineStr">
        <is>
          <t>v4_white_MLLB_000_y103_0924</t>
        </is>
      </c>
      <c r="E1602" t="n">
        <v>3</v>
      </c>
      <c r="F1602" t="n">
        <v>3.008</v>
      </c>
      <c r="G1602" t="n">
        <v>6</v>
      </c>
      <c r="H1602" t="n">
        <v>100</v>
      </c>
      <c r="I1602" t="n">
        <v>25</v>
      </c>
      <c r="J1602" t="inlineStr">
        <is>
          <t>ince</t>
        </is>
      </c>
      <c r="K1602" t="b">
        <v>1</v>
      </c>
      <c r="M1602" t="n">
        <v>94</v>
      </c>
      <c r="N1602" t="n">
        <v>66</v>
      </c>
      <c r="O1602" t="n">
        <v>58</v>
      </c>
      <c r="P1602" t="n">
        <v>908</v>
      </c>
      <c r="Q1602" t="n">
        <v>1002</v>
      </c>
      <c r="R1602" t="n">
        <v>1.186</v>
      </c>
      <c r="S1602" t="n">
        <v>11.425</v>
      </c>
      <c r="T1602" t="n">
        <v>9.635999999999999</v>
      </c>
      <c r="U1602" t="n">
        <v>0.7776999999999999</v>
      </c>
      <c r="V1602" t="b">
        <v>1</v>
      </c>
      <c r="X1602" t="b">
        <v>0</v>
      </c>
      <c r="Y1602" t="inlineStr">
        <is>
          <t>ON</t>
        </is>
      </c>
      <c r="Z1602" t="n">
        <v>935</v>
      </c>
      <c r="AA1602" t="n">
        <v>2.5</v>
      </c>
      <c r="AB1602" t="n">
        <v>9.5</v>
      </c>
    </row>
    <row r="1603">
      <c r="A1603" t="inlineStr">
        <is>
          <t>2026-09-24 16:59:54</t>
        </is>
      </c>
      <c r="B1603" t="inlineStr">
        <is>
          <t>MLLB_000_y1.0.3</t>
        </is>
      </c>
      <c r="C1603" t="inlineStr">
        <is>
          <t>WHITE</t>
        </is>
      </c>
      <c r="D1603" t="inlineStr">
        <is>
          <t>v4_white_MLLB_000_y103_0924</t>
        </is>
      </c>
      <c r="E1603" t="n">
        <v>3</v>
      </c>
      <c r="F1603" t="n">
        <v>3.008</v>
      </c>
      <c r="G1603" t="n">
        <v>6</v>
      </c>
      <c r="H1603" t="n">
        <v>100</v>
      </c>
      <c r="I1603" t="n">
        <v>26</v>
      </c>
      <c r="J1603" t="inlineStr">
        <is>
          <t>ince</t>
        </is>
      </c>
      <c r="K1603" t="b">
        <v>1</v>
      </c>
      <c r="M1603" t="n">
        <v>70</v>
      </c>
      <c r="N1603" t="n">
        <v>66</v>
      </c>
      <c r="O1603" t="n">
        <v>34</v>
      </c>
      <c r="P1603" t="n">
        <v>932</v>
      </c>
      <c r="Q1603" t="n">
        <v>1002</v>
      </c>
      <c r="R1603" t="n">
        <v>1.17</v>
      </c>
      <c r="S1603" t="n">
        <v>11.242</v>
      </c>
      <c r="T1603" t="n">
        <v>9.609</v>
      </c>
      <c r="U1603" t="n">
        <v>0.7779</v>
      </c>
      <c r="V1603" t="b">
        <v>1</v>
      </c>
      <c r="X1603" t="b">
        <v>0</v>
      </c>
      <c r="Y1603" t="inlineStr">
        <is>
          <t>ON</t>
        </is>
      </c>
      <c r="Z1603" t="n">
        <v>935</v>
      </c>
      <c r="AA1603" t="n">
        <v>2.5</v>
      </c>
      <c r="AB1603" t="n">
        <v>9.5</v>
      </c>
    </row>
    <row r="1604">
      <c r="A1604" t="inlineStr">
        <is>
          <t>2026-09-24 17:00:10</t>
        </is>
      </c>
      <c r="B1604" t="inlineStr">
        <is>
          <t>MLLB_000_y1.0.3</t>
        </is>
      </c>
      <c r="C1604" t="inlineStr">
        <is>
          <t>WHITE</t>
        </is>
      </c>
      <c r="D1604" t="inlineStr">
        <is>
          <t>v4_white_MLLB_000_y103_0924</t>
        </is>
      </c>
      <c r="E1604" t="n">
        <v>3</v>
      </c>
      <c r="F1604" t="n">
        <v>3.008</v>
      </c>
      <c r="G1604" t="n">
        <v>6</v>
      </c>
      <c r="H1604" t="n">
        <v>100</v>
      </c>
      <c r="I1604" t="n">
        <v>27</v>
      </c>
      <c r="J1604" t="inlineStr">
        <is>
          <t>ince</t>
        </is>
      </c>
      <c r="K1604" t="b">
        <v>1</v>
      </c>
      <c r="M1604" t="n">
        <v>46</v>
      </c>
      <c r="N1604" t="n">
        <v>60</v>
      </c>
      <c r="O1604" t="n">
        <v>16</v>
      </c>
      <c r="P1604" t="n">
        <v>956</v>
      </c>
      <c r="Q1604" t="n">
        <v>1002</v>
      </c>
      <c r="R1604" t="n">
        <v>1.177</v>
      </c>
      <c r="S1604" t="n">
        <v>11.334</v>
      </c>
      <c r="T1604" t="n">
        <v>9.630000000000001</v>
      </c>
      <c r="U1604" t="n">
        <v>0.7784</v>
      </c>
      <c r="V1604" t="b">
        <v>1</v>
      </c>
      <c r="X1604" t="b">
        <v>1</v>
      </c>
      <c r="Z1604" t="n">
        <v>935</v>
      </c>
      <c r="AA1604" t="n">
        <v>2.5</v>
      </c>
      <c r="AB1604" t="n">
        <v>9.5</v>
      </c>
    </row>
    <row r="1605">
      <c r="A1605" t="inlineStr">
        <is>
          <t>2026-09-24 17:00:26</t>
        </is>
      </c>
      <c r="B1605" t="inlineStr">
        <is>
          <t>MLLB_000_y1.0.3</t>
        </is>
      </c>
      <c r="C1605" t="inlineStr">
        <is>
          <t>WHITE</t>
        </is>
      </c>
      <c r="D1605" t="inlineStr">
        <is>
          <t>v4_white_MLLB_000_y103_0924</t>
        </is>
      </c>
      <c r="E1605" t="n">
        <v>3</v>
      </c>
      <c r="F1605" t="n">
        <v>3.008</v>
      </c>
      <c r="G1605" t="n">
        <v>6</v>
      </c>
      <c r="H1605" t="n">
        <v>100</v>
      </c>
      <c r="I1605" t="n">
        <v>29</v>
      </c>
      <c r="J1605" t="inlineStr">
        <is>
          <t>ince</t>
        </is>
      </c>
      <c r="K1605" t="b">
        <v>1</v>
      </c>
      <c r="M1605" t="n">
        <v>34</v>
      </c>
      <c r="N1605" t="n">
        <v>32</v>
      </c>
      <c r="O1605" t="n">
        <v>14</v>
      </c>
      <c r="P1605" t="n">
        <v>968</v>
      </c>
      <c r="Q1605" t="n">
        <v>1002</v>
      </c>
      <c r="R1605" t="n">
        <v>2.226</v>
      </c>
      <c r="S1605" t="n">
        <v>21.458</v>
      </c>
      <c r="T1605" t="n">
        <v>9.641</v>
      </c>
      <c r="U1605" t="n">
        <v>0.7774</v>
      </c>
      <c r="V1605" t="b">
        <v>1</v>
      </c>
      <c r="X1605" t="b">
        <v>1</v>
      </c>
      <c r="Z1605" t="n">
        <v>935</v>
      </c>
      <c r="AA1605" t="n">
        <v>2.5</v>
      </c>
      <c r="AB1605" t="n">
        <v>9.5</v>
      </c>
    </row>
    <row r="1606">
      <c r="A1606" t="inlineStr">
        <is>
          <t>2026-09-24 17:00:42</t>
        </is>
      </c>
      <c r="B1606" t="inlineStr">
        <is>
          <t>MLLB_000_y1.0.3</t>
        </is>
      </c>
      <c r="C1606" t="inlineStr">
        <is>
          <t>WHITE</t>
        </is>
      </c>
      <c r="D1606" t="inlineStr">
        <is>
          <t>v4_white_MLLB_000_y103_0924</t>
        </is>
      </c>
      <c r="E1606" t="n">
        <v>3</v>
      </c>
      <c r="F1606" t="n">
        <v>3.008</v>
      </c>
      <c r="G1606" t="n">
        <v>6</v>
      </c>
      <c r="H1606" t="n">
        <v>100</v>
      </c>
      <c r="I1606" t="n">
        <v>30</v>
      </c>
      <c r="J1606" t="inlineStr">
        <is>
          <t>ince</t>
        </is>
      </c>
      <c r="K1606" t="b">
        <v>1</v>
      </c>
      <c r="M1606" t="n">
        <v>34</v>
      </c>
      <c r="N1606" t="n">
        <v>32</v>
      </c>
      <c r="O1606" t="n">
        <v>14</v>
      </c>
      <c r="P1606" t="n">
        <v>968</v>
      </c>
      <c r="Q1606" t="n">
        <v>1002</v>
      </c>
      <c r="R1606" t="n">
        <v>9.837999999999999</v>
      </c>
      <c r="S1606" t="n">
        <v>94.667</v>
      </c>
      <c r="T1606" t="n">
        <v>9.622</v>
      </c>
      <c r="U1606" t="n">
        <v>0.7779</v>
      </c>
      <c r="V1606" t="b">
        <v>1</v>
      </c>
      <c r="X1606" t="b">
        <v>0</v>
      </c>
      <c r="Y1606" t="inlineStr">
        <is>
          <t>FLAS</t>
        </is>
      </c>
      <c r="Z1606" t="n">
        <v>935</v>
      </c>
      <c r="AA1606" t="n">
        <v>2.5</v>
      </c>
      <c r="AB1606" t="n">
        <v>9.5</v>
      </c>
    </row>
    <row r="1607">
      <c r="A1607" t="inlineStr">
        <is>
          <t>2026-09-24 17:00:57</t>
        </is>
      </c>
      <c r="B1607" t="inlineStr">
        <is>
          <t>MLLB_000_y1.0.3</t>
        </is>
      </c>
      <c r="C1607" t="inlineStr">
        <is>
          <t>WHITE</t>
        </is>
      </c>
      <c r="D1607" t="inlineStr">
        <is>
          <t>v4_white_MLLB_000_y103_0924</t>
        </is>
      </c>
      <c r="E1607" t="n">
        <v>3</v>
      </c>
      <c r="F1607" t="n">
        <v>3.008</v>
      </c>
      <c r="G1607" t="n">
        <v>6</v>
      </c>
      <c r="H1607" t="n">
        <v>100</v>
      </c>
      <c r="I1607" t="n">
        <v>31</v>
      </c>
      <c r="J1607" t="inlineStr">
        <is>
          <t>ince</t>
        </is>
      </c>
      <c r="K1607" t="b">
        <v>1</v>
      </c>
      <c r="M1607" t="n">
        <v>34</v>
      </c>
      <c r="N1607" t="n">
        <v>32</v>
      </c>
      <c r="O1607" t="n">
        <v>14</v>
      </c>
      <c r="P1607" t="n">
        <v>968</v>
      </c>
      <c r="Q1607" t="n">
        <v>1002</v>
      </c>
      <c r="R1607" t="n">
        <v>13.265</v>
      </c>
      <c r="S1607" t="n">
        <v>127.837</v>
      </c>
      <c r="T1607" t="n">
        <v>9.637</v>
      </c>
      <c r="U1607" t="n">
        <v>0.7773</v>
      </c>
      <c r="V1607" t="b">
        <v>1</v>
      </c>
      <c r="X1607" t="b">
        <v>0</v>
      </c>
      <c r="Y1607" t="inlineStr">
        <is>
          <t>FLAS</t>
        </is>
      </c>
      <c r="Z1607" t="n">
        <v>935</v>
      </c>
      <c r="AA1607" t="n">
        <v>2.5</v>
      </c>
      <c r="AB1607" t="n">
        <v>9.5</v>
      </c>
    </row>
    <row r="1608">
      <c r="A1608" t="inlineStr">
        <is>
          <t>2026-09-24 17:00:58</t>
        </is>
      </c>
      <c r="B1608" t="inlineStr">
        <is>
          <t>MLLB_000_y1.0.3</t>
        </is>
      </c>
      <c r="C1608" t="inlineStr">
        <is>
          <t>WHITE</t>
        </is>
      </c>
      <c r="D1608" t="inlineStr">
        <is>
          <t>v4_white_MLLB_000_y103_0924</t>
        </is>
      </c>
      <c r="E1608" t="n">
        <v>3</v>
      </c>
      <c r="F1608" t="n">
        <v>3.008</v>
      </c>
      <c r="G1608" t="n">
        <v>6</v>
      </c>
      <c r="H1608" t="n">
        <v>100</v>
      </c>
      <c r="J1608" t="inlineStr">
        <is>
          <t>bitti</t>
        </is>
      </c>
      <c r="K1608" t="b">
        <v>0</v>
      </c>
      <c r="Z1608" t="n">
        <v>935</v>
      </c>
      <c r="AA1608" t="n">
        <v>2.5</v>
      </c>
      <c r="AB1608" t="n">
        <v>9.5</v>
      </c>
    </row>
    <row r="1609">
      <c r="A1609" t="inlineStr">
        <is>
          <t>2026-09-24 17:01:14</t>
        </is>
      </c>
      <c r="B1609" t="inlineStr">
        <is>
          <t>MLLB_000_y1.0.3</t>
        </is>
      </c>
      <c r="C1609" t="inlineStr">
        <is>
          <t>WHITE</t>
        </is>
      </c>
      <c r="D1609" t="inlineStr">
        <is>
          <t>v4_white_MLLB_000_y103_0924</t>
        </is>
      </c>
      <c r="E1609" t="n">
        <v>3</v>
      </c>
      <c r="F1609" t="n">
        <v>3.008</v>
      </c>
      <c r="G1609" t="n">
        <v>6</v>
      </c>
      <c r="H1609" t="n">
        <v>80</v>
      </c>
      <c r="I1609" t="n">
        <v>12</v>
      </c>
      <c r="J1609" t="inlineStr">
        <is>
          <t>kaba</t>
        </is>
      </c>
      <c r="K1609" t="b">
        <v>1</v>
      </c>
      <c r="M1609" t="n">
        <v>416</v>
      </c>
      <c r="N1609" t="n">
        <v>62</v>
      </c>
      <c r="O1609" t="n">
        <v>382</v>
      </c>
      <c r="P1609" t="n">
        <v>586</v>
      </c>
      <c r="Q1609" t="n">
        <v>1002</v>
      </c>
      <c r="R1609" t="n">
        <v>1.163</v>
      </c>
      <c r="S1609" t="n">
        <v>11.299</v>
      </c>
      <c r="T1609" t="n">
        <v>9.717000000000001</v>
      </c>
      <c r="U1609" t="n">
        <v>0.7778</v>
      </c>
      <c r="V1609" t="b">
        <v>1</v>
      </c>
      <c r="X1609" t="b">
        <v>0</v>
      </c>
      <c r="Y1609" t="inlineStr">
        <is>
          <t>ON</t>
        </is>
      </c>
      <c r="Z1609" t="n">
        <v>935</v>
      </c>
      <c r="AA1609" t="n">
        <v>2.5</v>
      </c>
      <c r="AB1609" t="n">
        <v>9.5</v>
      </c>
    </row>
    <row r="1610">
      <c r="A1610" t="inlineStr">
        <is>
          <t>2026-09-24 17:01:30</t>
        </is>
      </c>
      <c r="B1610" t="inlineStr">
        <is>
          <t>MLLB_000_y1.0.3</t>
        </is>
      </c>
      <c r="C1610" t="inlineStr">
        <is>
          <t>WHITE</t>
        </is>
      </c>
      <c r="D1610" t="inlineStr">
        <is>
          <t>v4_white_MLLB_000_y103_0924</t>
        </is>
      </c>
      <c r="E1610" t="n">
        <v>3</v>
      </c>
      <c r="F1610" t="n">
        <v>3.008</v>
      </c>
      <c r="G1610" t="n">
        <v>6</v>
      </c>
      <c r="H1610" t="n">
        <v>80</v>
      </c>
      <c r="I1610" t="n">
        <v>16</v>
      </c>
      <c r="J1610" t="inlineStr">
        <is>
          <t>kaba</t>
        </is>
      </c>
      <c r="K1610" t="b">
        <v>1</v>
      </c>
      <c r="M1610" t="n">
        <v>346</v>
      </c>
      <c r="N1610" t="n">
        <v>60</v>
      </c>
      <c r="O1610" t="n">
        <v>312</v>
      </c>
      <c r="P1610" t="n">
        <v>656</v>
      </c>
      <c r="Q1610" t="n">
        <v>1002</v>
      </c>
      <c r="R1610" t="n">
        <v>1.196</v>
      </c>
      <c r="S1610" t="n">
        <v>11.334</v>
      </c>
      <c r="T1610" t="n">
        <v>9.477</v>
      </c>
      <c r="U1610" t="n">
        <v>0.7773</v>
      </c>
      <c r="V1610" t="b">
        <v>1</v>
      </c>
      <c r="X1610" t="b">
        <v>0</v>
      </c>
      <c r="Y1610" t="inlineStr">
        <is>
          <t>AKIM</t>
        </is>
      </c>
      <c r="Z1610" t="n">
        <v>935</v>
      </c>
      <c r="AA1610" t="n">
        <v>2.5</v>
      </c>
      <c r="AB1610" t="n">
        <v>9.5</v>
      </c>
    </row>
    <row r="1611">
      <c r="A1611" t="inlineStr">
        <is>
          <t>2026-09-24 17:01:46</t>
        </is>
      </c>
      <c r="B1611" t="inlineStr">
        <is>
          <t>MLLB_000_y1.0.3</t>
        </is>
      </c>
      <c r="C1611" t="inlineStr">
        <is>
          <t>WHITE</t>
        </is>
      </c>
      <c r="D1611" t="inlineStr">
        <is>
          <t>v4_white_MLLB_000_y103_0924</t>
        </is>
      </c>
      <c r="E1611" t="n">
        <v>3</v>
      </c>
      <c r="F1611" t="n">
        <v>3.008</v>
      </c>
      <c r="G1611" t="n">
        <v>6</v>
      </c>
      <c r="H1611" t="n">
        <v>80</v>
      </c>
      <c r="I1611" t="n">
        <v>20</v>
      </c>
      <c r="J1611" t="inlineStr">
        <is>
          <t>kaba</t>
        </is>
      </c>
      <c r="K1611" t="b">
        <v>1</v>
      </c>
      <c r="M1611" t="n">
        <v>278</v>
      </c>
      <c r="N1611" t="n">
        <v>62</v>
      </c>
      <c r="O1611" t="n">
        <v>242</v>
      </c>
      <c r="P1611" t="n">
        <v>724</v>
      </c>
      <c r="Q1611" t="n">
        <v>1002</v>
      </c>
      <c r="R1611" t="n">
        <v>1.201</v>
      </c>
      <c r="S1611" t="n">
        <v>11.471</v>
      </c>
      <c r="T1611" t="n">
        <v>9.555</v>
      </c>
      <c r="U1611" t="n">
        <v>0.7772</v>
      </c>
      <c r="V1611" t="b">
        <v>1</v>
      </c>
      <c r="X1611" t="b">
        <v>0</v>
      </c>
      <c r="Y1611" t="inlineStr">
        <is>
          <t>ON</t>
        </is>
      </c>
      <c r="Z1611" t="n">
        <v>935</v>
      </c>
      <c r="AA1611" t="n">
        <v>2.5</v>
      </c>
      <c r="AB1611" t="n">
        <v>9.5</v>
      </c>
    </row>
    <row r="1612">
      <c r="A1612" t="inlineStr">
        <is>
          <t>2026-09-24 17:02:02</t>
        </is>
      </c>
      <c r="B1612" t="inlineStr">
        <is>
          <t>MLLB_000_y1.0.3</t>
        </is>
      </c>
      <c r="C1612" t="inlineStr">
        <is>
          <t>WHITE</t>
        </is>
      </c>
      <c r="D1612" t="inlineStr">
        <is>
          <t>v4_white_MLLB_000_y103_0924</t>
        </is>
      </c>
      <c r="E1612" t="n">
        <v>3</v>
      </c>
      <c r="F1612" t="n">
        <v>3.008</v>
      </c>
      <c r="G1612" t="n">
        <v>6</v>
      </c>
      <c r="H1612" t="n">
        <v>80</v>
      </c>
      <c r="I1612" t="n">
        <v>24</v>
      </c>
      <c r="J1612" t="inlineStr">
        <is>
          <t>kaba</t>
        </is>
      </c>
      <c r="K1612" t="b">
        <v>1</v>
      </c>
      <c r="M1612" t="n">
        <v>208</v>
      </c>
      <c r="N1612" t="n">
        <v>62</v>
      </c>
      <c r="O1612" t="n">
        <v>174</v>
      </c>
      <c r="P1612" t="n">
        <v>794</v>
      </c>
      <c r="Q1612" t="n">
        <v>1002</v>
      </c>
      <c r="R1612" t="n">
        <v>1.189</v>
      </c>
      <c r="S1612" t="n">
        <v>11.382</v>
      </c>
      <c r="T1612" t="n">
        <v>9.576000000000001</v>
      </c>
      <c r="U1612" t="n">
        <v>0.7772</v>
      </c>
      <c r="V1612" t="b">
        <v>1</v>
      </c>
      <c r="X1612" t="b">
        <v>0</v>
      </c>
      <c r="Y1612" t="inlineStr">
        <is>
          <t>ON</t>
        </is>
      </c>
      <c r="Z1612" t="n">
        <v>935</v>
      </c>
      <c r="AA1612" t="n">
        <v>2.5</v>
      </c>
      <c r="AB1612" t="n">
        <v>9.5</v>
      </c>
    </row>
    <row r="1613">
      <c r="A1613" t="inlineStr">
        <is>
          <t>2026-09-24 17:02:18</t>
        </is>
      </c>
      <c r="B1613" t="inlineStr">
        <is>
          <t>MLLB_000_y1.0.3</t>
        </is>
      </c>
      <c r="C1613" t="inlineStr">
        <is>
          <t>WHITE</t>
        </is>
      </c>
      <c r="D1613" t="inlineStr">
        <is>
          <t>v4_white_MLLB_000_y103_0924</t>
        </is>
      </c>
      <c r="E1613" t="n">
        <v>3</v>
      </c>
      <c r="F1613" t="n">
        <v>3.008</v>
      </c>
      <c r="G1613" t="n">
        <v>6</v>
      </c>
      <c r="H1613" t="n">
        <v>80</v>
      </c>
      <c r="I1613" t="n">
        <v>28</v>
      </c>
      <c r="J1613" t="inlineStr">
        <is>
          <t>kaba</t>
        </is>
      </c>
      <c r="K1613" t="b">
        <v>1</v>
      </c>
      <c r="M1613" t="n">
        <v>138</v>
      </c>
      <c r="N1613" t="n">
        <v>62</v>
      </c>
      <c r="O1613" t="n">
        <v>102</v>
      </c>
      <c r="P1613" t="n">
        <v>864</v>
      </c>
      <c r="Q1613" t="n">
        <v>1002</v>
      </c>
      <c r="R1613" t="n">
        <v>1.182</v>
      </c>
      <c r="S1613" t="n">
        <v>11.382</v>
      </c>
      <c r="T1613" t="n">
        <v>9.631</v>
      </c>
      <c r="U1613" t="n">
        <v>0.7772</v>
      </c>
      <c r="V1613" t="b">
        <v>1</v>
      </c>
      <c r="X1613" t="b">
        <v>0</v>
      </c>
      <c r="Y1613" t="inlineStr">
        <is>
          <t>ON</t>
        </is>
      </c>
      <c r="Z1613" t="n">
        <v>935</v>
      </c>
      <c r="AA1613" t="n">
        <v>2.5</v>
      </c>
      <c r="AB1613" t="n">
        <v>9.5</v>
      </c>
    </row>
    <row r="1614">
      <c r="A1614" t="inlineStr">
        <is>
          <t>2026-09-24 17:02:30</t>
        </is>
      </c>
      <c r="B1614" t="inlineStr">
        <is>
          <t>MLLB_000_y1.0.3</t>
        </is>
      </c>
      <c r="C1614" t="inlineStr">
        <is>
          <t>WHITE</t>
        </is>
      </c>
      <c r="D1614" t="inlineStr">
        <is>
          <t>v4_white_MLLB_000_y103_0924</t>
        </is>
      </c>
      <c r="E1614" t="n">
        <v>3</v>
      </c>
      <c r="F1614" t="n">
        <v>3.008</v>
      </c>
      <c r="G1614" t="n">
        <v>6</v>
      </c>
      <c r="H1614" t="n">
        <v>80</v>
      </c>
      <c r="I1614" t="n">
        <v>32</v>
      </c>
      <c r="J1614" t="inlineStr">
        <is>
          <t>kaba</t>
        </is>
      </c>
      <c r="K1614" t="b">
        <v>1</v>
      </c>
      <c r="M1614" t="n">
        <v>64</v>
      </c>
      <c r="N1614" t="n">
        <v>64</v>
      </c>
      <c r="O1614" t="n">
        <v>28</v>
      </c>
      <c r="P1614" t="n">
        <v>938</v>
      </c>
      <c r="Q1614" t="n">
        <v>1002</v>
      </c>
      <c r="R1614" t="n">
        <v>1.198</v>
      </c>
      <c r="S1614" t="n">
        <v>11.492</v>
      </c>
      <c r="T1614" t="n">
        <v>9.596</v>
      </c>
      <c r="U1614" t="n">
        <v>0.7765</v>
      </c>
      <c r="V1614" t="b">
        <v>1</v>
      </c>
      <c r="X1614" t="b">
        <v>1</v>
      </c>
      <c r="Z1614" t="n">
        <v>935</v>
      </c>
      <c r="AA1614" t="n">
        <v>2.5</v>
      </c>
      <c r="AB1614" t="n">
        <v>9.5</v>
      </c>
    </row>
    <row r="1615">
      <c r="A1615" t="inlineStr">
        <is>
          <t>2026-09-24 17:02:46</t>
        </is>
      </c>
      <c r="B1615" t="inlineStr">
        <is>
          <t>MLLB_000_y1.0.3</t>
        </is>
      </c>
      <c r="C1615" t="inlineStr">
        <is>
          <t>WHITE</t>
        </is>
      </c>
      <c r="D1615" t="inlineStr">
        <is>
          <t>v4_white_MLLB_000_y103_0924</t>
        </is>
      </c>
      <c r="E1615" t="n">
        <v>3</v>
      </c>
      <c r="F1615" t="n">
        <v>3.008</v>
      </c>
      <c r="G1615" t="n">
        <v>6</v>
      </c>
      <c r="H1615" t="n">
        <v>80</v>
      </c>
      <c r="I1615" t="n">
        <v>36</v>
      </c>
      <c r="J1615" t="inlineStr">
        <is>
          <t>kaba</t>
        </is>
      </c>
      <c r="K1615" t="b">
        <v>1</v>
      </c>
      <c r="M1615" t="n">
        <v>42</v>
      </c>
      <c r="N1615" t="n">
        <v>28</v>
      </c>
      <c r="O1615" t="n">
        <v>22</v>
      </c>
      <c r="P1615" t="n">
        <v>960</v>
      </c>
      <c r="Q1615" t="n">
        <v>1002</v>
      </c>
      <c r="R1615" t="n">
        <v>8.262</v>
      </c>
      <c r="S1615" t="n">
        <v>79.652</v>
      </c>
      <c r="T1615" t="n">
        <v>9.640000000000001</v>
      </c>
      <c r="U1615" t="n">
        <v>0.7774</v>
      </c>
      <c r="V1615" t="b">
        <v>1</v>
      </c>
      <c r="X1615" t="b">
        <v>0</v>
      </c>
      <c r="Y1615" t="inlineStr">
        <is>
          <t>FLAS</t>
        </is>
      </c>
      <c r="Z1615" t="n">
        <v>935</v>
      </c>
      <c r="AA1615" t="n">
        <v>2.5</v>
      </c>
      <c r="AB1615" t="n">
        <v>9.5</v>
      </c>
    </row>
    <row r="1616">
      <c r="A1616" t="inlineStr">
        <is>
          <t>2026-09-24 17:03:02</t>
        </is>
      </c>
      <c r="B1616" t="inlineStr">
        <is>
          <t>MLLB_000_y1.0.3</t>
        </is>
      </c>
      <c r="C1616" t="inlineStr">
        <is>
          <t>WHITE</t>
        </is>
      </c>
      <c r="D1616" t="inlineStr">
        <is>
          <t>v4_white_MLLB_000_y103_0924</t>
        </is>
      </c>
      <c r="E1616" t="n">
        <v>3</v>
      </c>
      <c r="F1616" t="n">
        <v>3.008</v>
      </c>
      <c r="G1616" t="n">
        <v>6</v>
      </c>
      <c r="H1616" t="n">
        <v>80</v>
      </c>
      <c r="I1616" t="n">
        <v>29</v>
      </c>
      <c r="J1616" t="inlineStr">
        <is>
          <t>ince</t>
        </is>
      </c>
      <c r="K1616" t="b">
        <v>1</v>
      </c>
      <c r="M1616" t="n">
        <v>120</v>
      </c>
      <c r="N1616" t="n">
        <v>62</v>
      </c>
      <c r="O1616" t="n">
        <v>86</v>
      </c>
      <c r="P1616" t="n">
        <v>882</v>
      </c>
      <c r="Q1616" t="n">
        <v>1002</v>
      </c>
      <c r="R1616" t="n">
        <v>1.179</v>
      </c>
      <c r="S1616" t="n">
        <v>11.346</v>
      </c>
      <c r="T1616" t="n">
        <v>9.621</v>
      </c>
      <c r="U1616" t="n">
        <v>0.7775</v>
      </c>
      <c r="V1616" t="b">
        <v>1</v>
      </c>
      <c r="X1616" t="b">
        <v>0</v>
      </c>
      <c r="Y1616" t="inlineStr">
        <is>
          <t>ON</t>
        </is>
      </c>
      <c r="Z1616" t="n">
        <v>935</v>
      </c>
      <c r="AA1616" t="n">
        <v>2.5</v>
      </c>
      <c r="AB1616" t="n">
        <v>9.5</v>
      </c>
    </row>
    <row r="1617">
      <c r="A1617" t="inlineStr">
        <is>
          <t>2026-09-24 17:03:18</t>
        </is>
      </c>
      <c r="B1617" t="inlineStr">
        <is>
          <t>MLLB_000_y1.0.3</t>
        </is>
      </c>
      <c r="C1617" t="inlineStr">
        <is>
          <t>WHITE</t>
        </is>
      </c>
      <c r="D1617" t="inlineStr">
        <is>
          <t>v4_white_MLLB_000_y103_0924</t>
        </is>
      </c>
      <c r="E1617" t="n">
        <v>3</v>
      </c>
      <c r="F1617" t="n">
        <v>3.008</v>
      </c>
      <c r="G1617" t="n">
        <v>6</v>
      </c>
      <c r="H1617" t="n">
        <v>80</v>
      </c>
      <c r="I1617" t="n">
        <v>30</v>
      </c>
      <c r="J1617" t="inlineStr">
        <is>
          <t>ince</t>
        </is>
      </c>
      <c r="K1617" t="b">
        <v>1</v>
      </c>
      <c r="M1617" t="n">
        <v>102</v>
      </c>
      <c r="N1617" t="n">
        <v>62</v>
      </c>
      <c r="O1617" t="n">
        <v>66</v>
      </c>
      <c r="P1617" t="n">
        <v>900</v>
      </c>
      <c r="Q1617" t="n">
        <v>1002</v>
      </c>
      <c r="R1617" t="n">
        <v>1.171</v>
      </c>
      <c r="S1617" t="n">
        <v>11.288</v>
      </c>
      <c r="T1617" t="n">
        <v>9.640000000000001</v>
      </c>
      <c r="U1617" t="n">
        <v>0.7769</v>
      </c>
      <c r="V1617" t="b">
        <v>1</v>
      </c>
      <c r="X1617" t="b">
        <v>0</v>
      </c>
      <c r="Y1617" t="inlineStr">
        <is>
          <t>ON</t>
        </is>
      </c>
      <c r="Z1617" t="n">
        <v>935</v>
      </c>
      <c r="AA1617" t="n">
        <v>2.5</v>
      </c>
      <c r="AB1617" t="n">
        <v>9.5</v>
      </c>
    </row>
    <row r="1618">
      <c r="A1618" t="inlineStr">
        <is>
          <t>2026-09-24 17:03:34</t>
        </is>
      </c>
      <c r="B1618" t="inlineStr">
        <is>
          <t>MLLB_000_y1.0.3</t>
        </is>
      </c>
      <c r="C1618" t="inlineStr">
        <is>
          <t>WHITE</t>
        </is>
      </c>
      <c r="D1618" t="inlineStr">
        <is>
          <t>v4_white_MLLB_000_y103_0924</t>
        </is>
      </c>
      <c r="E1618" t="n">
        <v>3</v>
      </c>
      <c r="F1618" t="n">
        <v>3.008</v>
      </c>
      <c r="G1618" t="n">
        <v>6</v>
      </c>
      <c r="H1618" t="n">
        <v>80</v>
      </c>
      <c r="I1618" t="n">
        <v>31</v>
      </c>
      <c r="J1618" t="inlineStr">
        <is>
          <t>ince</t>
        </is>
      </c>
      <c r="K1618" t="b">
        <v>1</v>
      </c>
      <c r="M1618" t="n">
        <v>84</v>
      </c>
      <c r="N1618" t="n">
        <v>66</v>
      </c>
      <c r="O1618" t="n">
        <v>46</v>
      </c>
      <c r="P1618" t="n">
        <v>918</v>
      </c>
      <c r="Q1618" t="n">
        <v>1002</v>
      </c>
      <c r="R1618" t="n">
        <v>1.179</v>
      </c>
      <c r="S1618" t="n">
        <v>11.334</v>
      </c>
      <c r="T1618" t="n">
        <v>9.615</v>
      </c>
      <c r="U1618" t="n">
        <v>0.7779</v>
      </c>
      <c r="V1618" t="b">
        <v>1</v>
      </c>
      <c r="X1618" t="b">
        <v>0</v>
      </c>
      <c r="Y1618" t="inlineStr">
        <is>
          <t>ON</t>
        </is>
      </c>
      <c r="Z1618" t="n">
        <v>935</v>
      </c>
      <c r="AA1618" t="n">
        <v>2.5</v>
      </c>
      <c r="AB1618" t="n">
        <v>9.5</v>
      </c>
    </row>
    <row r="1619">
      <c r="A1619" t="inlineStr">
        <is>
          <t>2026-09-24 17:03:50</t>
        </is>
      </c>
      <c r="B1619" t="inlineStr">
        <is>
          <t>MLLB_000_y1.0.3</t>
        </is>
      </c>
      <c r="C1619" t="inlineStr">
        <is>
          <t>WHITE</t>
        </is>
      </c>
      <c r="D1619" t="inlineStr">
        <is>
          <t>v4_white_MLLB_000_y103_0924</t>
        </is>
      </c>
      <c r="E1619" t="n">
        <v>3</v>
      </c>
      <c r="F1619" t="n">
        <v>3.008</v>
      </c>
      <c r="G1619" t="n">
        <v>6</v>
      </c>
      <c r="H1619" t="n">
        <v>80</v>
      </c>
      <c r="I1619" t="n">
        <v>33</v>
      </c>
      <c r="J1619" t="inlineStr">
        <is>
          <t>ince</t>
        </is>
      </c>
      <c r="K1619" t="b">
        <v>1</v>
      </c>
      <c r="M1619" t="n">
        <v>46</v>
      </c>
      <c r="N1619" t="n">
        <v>50</v>
      </c>
      <c r="O1619" t="n">
        <v>22</v>
      </c>
      <c r="P1619" t="n">
        <v>956</v>
      </c>
      <c r="Q1619" t="n">
        <v>1002</v>
      </c>
      <c r="R1619" t="n">
        <v>1.19</v>
      </c>
      <c r="S1619" t="n">
        <v>11.46</v>
      </c>
      <c r="T1619" t="n">
        <v>9.632999999999999</v>
      </c>
      <c r="U1619" t="n">
        <v>0.7775</v>
      </c>
      <c r="V1619" t="b">
        <v>1</v>
      </c>
      <c r="X1619" t="b">
        <v>1</v>
      </c>
      <c r="Z1619" t="n">
        <v>935</v>
      </c>
      <c r="AA1619" t="n">
        <v>2.5</v>
      </c>
      <c r="AB1619" t="n">
        <v>9.5</v>
      </c>
    </row>
    <row r="1620">
      <c r="A1620" t="inlineStr">
        <is>
          <t>2026-09-24 17:04:06</t>
        </is>
      </c>
      <c r="B1620" t="inlineStr">
        <is>
          <t>MLLB_000_y1.0.3</t>
        </is>
      </c>
      <c r="C1620" t="inlineStr">
        <is>
          <t>WHITE</t>
        </is>
      </c>
      <c r="D1620" t="inlineStr">
        <is>
          <t>v4_white_MLLB_000_y103_0924</t>
        </is>
      </c>
      <c r="E1620" t="n">
        <v>3</v>
      </c>
      <c r="F1620" t="n">
        <v>3.008</v>
      </c>
      <c r="G1620" t="n">
        <v>6</v>
      </c>
      <c r="H1620" t="n">
        <v>80</v>
      </c>
      <c r="I1620" t="n">
        <v>34</v>
      </c>
      <c r="J1620" t="inlineStr">
        <is>
          <t>ince</t>
        </is>
      </c>
      <c r="K1620" t="b">
        <v>1</v>
      </c>
      <c r="M1620" t="n">
        <v>42</v>
      </c>
      <c r="N1620" t="n">
        <v>28</v>
      </c>
      <c r="O1620" t="n">
        <v>22</v>
      </c>
      <c r="P1620" t="n">
        <v>960</v>
      </c>
      <c r="Q1620" t="n">
        <v>1002</v>
      </c>
      <c r="R1620" t="n">
        <v>1.186</v>
      </c>
      <c r="S1620" t="n">
        <v>11.433</v>
      </c>
      <c r="T1620" t="n">
        <v>9.641</v>
      </c>
      <c r="U1620" t="n">
        <v>0.7782</v>
      </c>
      <c r="V1620" t="b">
        <v>1</v>
      </c>
      <c r="X1620" t="b">
        <v>1</v>
      </c>
      <c r="Z1620" t="n">
        <v>935</v>
      </c>
      <c r="AA1620" t="n">
        <v>2.5</v>
      </c>
      <c r="AB1620" t="n">
        <v>9.5</v>
      </c>
    </row>
    <row r="1621">
      <c r="A1621" t="inlineStr">
        <is>
          <t>2026-09-24 17:04:21</t>
        </is>
      </c>
      <c r="B1621" t="inlineStr">
        <is>
          <t>MLLB_000_y1.0.3</t>
        </is>
      </c>
      <c r="C1621" t="inlineStr">
        <is>
          <t>WHITE</t>
        </is>
      </c>
      <c r="D1621" t="inlineStr">
        <is>
          <t>v4_white_MLLB_000_y103_0924</t>
        </is>
      </c>
      <c r="E1621" t="n">
        <v>3</v>
      </c>
      <c r="F1621" t="n">
        <v>3.008</v>
      </c>
      <c r="G1621" t="n">
        <v>6</v>
      </c>
      <c r="H1621" t="n">
        <v>80</v>
      </c>
      <c r="I1621" t="n">
        <v>35</v>
      </c>
      <c r="J1621" t="inlineStr">
        <is>
          <t>ince</t>
        </is>
      </c>
      <c r="K1621" t="b">
        <v>1</v>
      </c>
      <c r="M1621" t="n">
        <v>42</v>
      </c>
      <c r="N1621" t="n">
        <v>28</v>
      </c>
      <c r="O1621" t="n">
        <v>22</v>
      </c>
      <c r="P1621" t="n">
        <v>960</v>
      </c>
      <c r="Q1621" t="n">
        <v>1002</v>
      </c>
      <c r="R1621" t="n">
        <v>2.1</v>
      </c>
      <c r="S1621" t="n">
        <v>20.247</v>
      </c>
      <c r="T1621" t="n">
        <v>9.641999999999999</v>
      </c>
      <c r="U1621" t="n">
        <v>0.7778</v>
      </c>
      <c r="V1621" t="b">
        <v>1</v>
      </c>
      <c r="X1621" t="b">
        <v>1</v>
      </c>
      <c r="Z1621" t="n">
        <v>935</v>
      </c>
      <c r="AA1621" t="n">
        <v>2.5</v>
      </c>
      <c r="AB1621" t="n">
        <v>9.5</v>
      </c>
    </row>
    <row r="1622">
      <c r="A1622" t="inlineStr">
        <is>
          <t>2026-09-24 17:04:22</t>
        </is>
      </c>
      <c r="B1622" t="inlineStr">
        <is>
          <t>MLLB_000_y1.0.3</t>
        </is>
      </c>
      <c r="C1622" t="inlineStr">
        <is>
          <t>WHITE</t>
        </is>
      </c>
      <c r="D1622" t="inlineStr">
        <is>
          <t>v4_white_MLLB_000_y103_0924</t>
        </is>
      </c>
      <c r="E1622" t="n">
        <v>3</v>
      </c>
      <c r="F1622" t="n">
        <v>3.008</v>
      </c>
      <c r="G1622" t="n">
        <v>6</v>
      </c>
      <c r="H1622" t="n">
        <v>80</v>
      </c>
      <c r="J1622" t="inlineStr">
        <is>
          <t>bitti</t>
        </is>
      </c>
      <c r="K1622" t="b">
        <v>0</v>
      </c>
      <c r="Z1622" t="n">
        <v>935</v>
      </c>
      <c r="AA1622" t="n">
        <v>2.5</v>
      </c>
      <c r="AB1622" t="n">
        <v>9.5</v>
      </c>
    </row>
    <row r="1623">
      <c r="A1623" t="inlineStr">
        <is>
          <t>2026-09-24 17:04:38</t>
        </is>
      </c>
      <c r="B1623" t="inlineStr">
        <is>
          <t>MLLB_000_y1.0.3</t>
        </is>
      </c>
      <c r="C1623" t="inlineStr">
        <is>
          <t>WHITE</t>
        </is>
      </c>
      <c r="D1623" t="inlineStr">
        <is>
          <t>v4_white_MLLB_000_y103_0924</t>
        </is>
      </c>
      <c r="E1623" t="n">
        <v>3</v>
      </c>
      <c r="F1623" t="n">
        <v>3.008</v>
      </c>
      <c r="G1623" t="n">
        <v>6</v>
      </c>
      <c r="H1623" t="n">
        <v>60</v>
      </c>
      <c r="I1623" t="n">
        <v>12</v>
      </c>
      <c r="J1623" t="inlineStr">
        <is>
          <t>kaba</t>
        </is>
      </c>
      <c r="K1623" t="b">
        <v>1</v>
      </c>
      <c r="M1623" t="n">
        <v>462</v>
      </c>
      <c r="N1623" t="n">
        <v>62</v>
      </c>
      <c r="O1623" t="n">
        <v>426</v>
      </c>
      <c r="P1623" t="n">
        <v>540</v>
      </c>
      <c r="Q1623" t="n">
        <v>1002</v>
      </c>
      <c r="R1623" t="n">
        <v>1.169</v>
      </c>
      <c r="S1623" t="n">
        <v>11.318</v>
      </c>
      <c r="T1623" t="n">
        <v>9.682</v>
      </c>
      <c r="U1623" t="n">
        <v>0.7773</v>
      </c>
      <c r="V1623" t="b">
        <v>1</v>
      </c>
      <c r="X1623" t="b">
        <v>0</v>
      </c>
      <c r="Y1623" t="inlineStr">
        <is>
          <t>ON</t>
        </is>
      </c>
      <c r="Z1623" t="n">
        <v>935</v>
      </c>
      <c r="AA1623" t="n">
        <v>2.5</v>
      </c>
      <c r="AB1623" t="n">
        <v>9.5</v>
      </c>
    </row>
    <row r="1624">
      <c r="A1624" t="inlineStr">
        <is>
          <t>2026-09-24 17:04:54</t>
        </is>
      </c>
      <c r="B1624" t="inlineStr">
        <is>
          <t>MLLB_000_y1.0.3</t>
        </is>
      </c>
      <c r="C1624" t="inlineStr">
        <is>
          <t>WHITE</t>
        </is>
      </c>
      <c r="D1624" t="inlineStr">
        <is>
          <t>v4_white_MLLB_000_y103_0924</t>
        </is>
      </c>
      <c r="E1624" t="n">
        <v>3</v>
      </c>
      <c r="F1624" t="n">
        <v>3.008</v>
      </c>
      <c r="G1624" t="n">
        <v>6</v>
      </c>
      <c r="H1624" t="n">
        <v>60</v>
      </c>
      <c r="I1624" t="n">
        <v>16</v>
      </c>
      <c r="J1624" t="inlineStr">
        <is>
          <t>kaba</t>
        </is>
      </c>
      <c r="K1624" t="b">
        <v>1</v>
      </c>
      <c r="M1624" t="n">
        <v>414</v>
      </c>
      <c r="N1624" t="n">
        <v>62</v>
      </c>
      <c r="O1624" t="n">
        <v>378</v>
      </c>
      <c r="P1624" t="n">
        <v>588</v>
      </c>
      <c r="Q1624" t="n">
        <v>1002</v>
      </c>
      <c r="R1624" t="n">
        <v>1.192</v>
      </c>
      <c r="S1624" t="n">
        <v>11.246</v>
      </c>
      <c r="T1624" t="n">
        <v>9.430999999999999</v>
      </c>
      <c r="U1624" t="n">
        <v>0.7775</v>
      </c>
      <c r="V1624" t="b">
        <v>1</v>
      </c>
      <c r="X1624" t="b">
        <v>0</v>
      </c>
      <c r="Y1624" t="inlineStr">
        <is>
          <t>AKIM</t>
        </is>
      </c>
      <c r="Z1624" t="n">
        <v>935</v>
      </c>
      <c r="AA1624" t="n">
        <v>2.5</v>
      </c>
      <c r="AB1624" t="n">
        <v>9.5</v>
      </c>
    </row>
    <row r="1625">
      <c r="A1625" t="inlineStr">
        <is>
          <t>2026-09-24 17:05:10</t>
        </is>
      </c>
      <c r="B1625" t="inlineStr">
        <is>
          <t>MLLB_000_y1.0.3</t>
        </is>
      </c>
      <c r="C1625" t="inlineStr">
        <is>
          <t>WHITE</t>
        </is>
      </c>
      <c r="D1625" t="inlineStr">
        <is>
          <t>v4_white_MLLB_000_y103_0924</t>
        </is>
      </c>
      <c r="E1625" t="n">
        <v>3</v>
      </c>
      <c r="F1625" t="n">
        <v>3.008</v>
      </c>
      <c r="G1625" t="n">
        <v>6</v>
      </c>
      <c r="H1625" t="n">
        <v>60</v>
      </c>
      <c r="I1625" t="n">
        <v>20</v>
      </c>
      <c r="J1625" t="inlineStr">
        <is>
          <t>kaba</t>
        </is>
      </c>
      <c r="K1625" t="b">
        <v>1</v>
      </c>
      <c r="M1625" t="n">
        <v>362</v>
      </c>
      <c r="N1625" t="n">
        <v>66</v>
      </c>
      <c r="O1625" t="n">
        <v>326</v>
      </c>
      <c r="P1625" t="n">
        <v>640</v>
      </c>
      <c r="Q1625" t="n">
        <v>1002</v>
      </c>
      <c r="R1625" t="n">
        <v>1.198</v>
      </c>
      <c r="S1625" t="n">
        <v>11.341</v>
      </c>
      <c r="T1625" t="n">
        <v>9.465</v>
      </c>
      <c r="U1625" t="n">
        <v>0.7775</v>
      </c>
      <c r="V1625" t="b">
        <v>1</v>
      </c>
      <c r="X1625" t="b">
        <v>0</v>
      </c>
      <c r="Y1625" t="inlineStr">
        <is>
          <t>AKIM</t>
        </is>
      </c>
      <c r="Z1625" t="n">
        <v>935</v>
      </c>
      <c r="AA1625" t="n">
        <v>2.5</v>
      </c>
      <c r="AB1625" t="n">
        <v>9.5</v>
      </c>
    </row>
    <row r="1626">
      <c r="A1626" t="inlineStr">
        <is>
          <t>2026-09-24 17:05:26</t>
        </is>
      </c>
      <c r="B1626" t="inlineStr">
        <is>
          <t>MLLB_000_y1.0.3</t>
        </is>
      </c>
      <c r="C1626" t="inlineStr">
        <is>
          <t>WHITE</t>
        </is>
      </c>
      <c r="D1626" t="inlineStr">
        <is>
          <t>v4_white_MLLB_000_y103_0924</t>
        </is>
      </c>
      <c r="E1626" t="n">
        <v>3</v>
      </c>
      <c r="F1626" t="n">
        <v>3.008</v>
      </c>
      <c r="G1626" t="n">
        <v>6</v>
      </c>
      <c r="H1626" t="n">
        <v>60</v>
      </c>
      <c r="I1626" t="n">
        <v>24</v>
      </c>
      <c r="J1626" t="inlineStr">
        <is>
          <t>kaba</t>
        </is>
      </c>
      <c r="K1626" t="b">
        <v>1</v>
      </c>
      <c r="M1626" t="n">
        <v>312</v>
      </c>
      <c r="N1626" t="n">
        <v>64</v>
      </c>
      <c r="O1626" t="n">
        <v>276</v>
      </c>
      <c r="P1626" t="n">
        <v>690</v>
      </c>
      <c r="Q1626" t="n">
        <v>1002</v>
      </c>
      <c r="R1626" t="n">
        <v>1.194</v>
      </c>
      <c r="S1626" t="n">
        <v>11.354</v>
      </c>
      <c r="T1626" t="n">
        <v>9.510999999999999</v>
      </c>
      <c r="U1626" t="n">
        <v>0.777</v>
      </c>
      <c r="V1626" t="b">
        <v>1</v>
      </c>
      <c r="X1626" t="b">
        <v>0</v>
      </c>
      <c r="Y1626" t="inlineStr">
        <is>
          <t>ON</t>
        </is>
      </c>
      <c r="Z1626" t="n">
        <v>935</v>
      </c>
      <c r="AA1626" t="n">
        <v>2.5</v>
      </c>
      <c r="AB1626" t="n">
        <v>9.5</v>
      </c>
    </row>
    <row r="1627">
      <c r="A1627" t="inlineStr">
        <is>
          <t>2026-09-24 17:05:42</t>
        </is>
      </c>
      <c r="B1627" t="inlineStr">
        <is>
          <t>MLLB_000_y1.0.3</t>
        </is>
      </c>
      <c r="C1627" t="inlineStr">
        <is>
          <t>WHITE</t>
        </is>
      </c>
      <c r="D1627" t="inlineStr">
        <is>
          <t>v4_white_MLLB_000_y103_0924</t>
        </is>
      </c>
      <c r="E1627" t="n">
        <v>3</v>
      </c>
      <c r="F1627" t="n">
        <v>3.008</v>
      </c>
      <c r="G1627" t="n">
        <v>6</v>
      </c>
      <c r="H1627" t="n">
        <v>60</v>
      </c>
      <c r="I1627" t="n">
        <v>28</v>
      </c>
      <c r="J1627" t="inlineStr">
        <is>
          <t>kaba</t>
        </is>
      </c>
      <c r="K1627" t="b">
        <v>1</v>
      </c>
      <c r="M1627" t="n">
        <v>260</v>
      </c>
      <c r="N1627" t="n">
        <v>62</v>
      </c>
      <c r="O1627" t="n">
        <v>226</v>
      </c>
      <c r="P1627" t="n">
        <v>742</v>
      </c>
      <c r="Q1627" t="n">
        <v>1002</v>
      </c>
      <c r="R1627" t="n">
        <v>1.198</v>
      </c>
      <c r="S1627" t="n">
        <v>11.427</v>
      </c>
      <c r="T1627" t="n">
        <v>9.536</v>
      </c>
      <c r="U1627" t="n">
        <v>0.7775</v>
      </c>
      <c r="V1627" t="b">
        <v>1</v>
      </c>
      <c r="X1627" t="b">
        <v>0</v>
      </c>
      <c r="Y1627" t="inlineStr">
        <is>
          <t>ON</t>
        </is>
      </c>
      <c r="Z1627" t="n">
        <v>935</v>
      </c>
      <c r="AA1627" t="n">
        <v>2.5</v>
      </c>
      <c r="AB1627" t="n">
        <v>9.5</v>
      </c>
    </row>
    <row r="1628">
      <c r="A1628" t="inlineStr">
        <is>
          <t>2026-09-24 17:05:58</t>
        </is>
      </c>
      <c r="B1628" t="inlineStr">
        <is>
          <t>MLLB_000_y1.0.3</t>
        </is>
      </c>
      <c r="C1628" t="inlineStr">
        <is>
          <t>WHITE</t>
        </is>
      </c>
      <c r="D1628" t="inlineStr">
        <is>
          <t>v4_white_MLLB_000_y103_0924</t>
        </is>
      </c>
      <c r="E1628" t="n">
        <v>3</v>
      </c>
      <c r="F1628" t="n">
        <v>3.008</v>
      </c>
      <c r="G1628" t="n">
        <v>6</v>
      </c>
      <c r="H1628" t="n">
        <v>60</v>
      </c>
      <c r="I1628" t="n">
        <v>32</v>
      </c>
      <c r="J1628" t="inlineStr">
        <is>
          <t>kaba</t>
        </is>
      </c>
      <c r="K1628" t="b">
        <v>1</v>
      </c>
      <c r="M1628" t="n">
        <v>210</v>
      </c>
      <c r="N1628" t="n">
        <v>62</v>
      </c>
      <c r="O1628" t="n">
        <v>174</v>
      </c>
      <c r="P1628" t="n">
        <v>792</v>
      </c>
      <c r="Q1628" t="n">
        <v>1002</v>
      </c>
      <c r="R1628" t="n">
        <v>1.185</v>
      </c>
      <c r="S1628" t="n">
        <v>11.334</v>
      </c>
      <c r="T1628" t="n">
        <v>9.561</v>
      </c>
      <c r="U1628" t="n">
        <v>0.7775</v>
      </c>
      <c r="V1628" t="b">
        <v>1</v>
      </c>
      <c r="X1628" t="b">
        <v>0</v>
      </c>
      <c r="Y1628" t="inlineStr">
        <is>
          <t>ON</t>
        </is>
      </c>
      <c r="Z1628" t="n">
        <v>935</v>
      </c>
      <c r="AA1628" t="n">
        <v>2.5</v>
      </c>
      <c r="AB1628" t="n">
        <v>9.5</v>
      </c>
    </row>
    <row r="1629">
      <c r="A1629" t="inlineStr">
        <is>
          <t>2026-09-24 17:06:14</t>
        </is>
      </c>
      <c r="B1629" t="inlineStr">
        <is>
          <t>MLLB_000_y1.0.3</t>
        </is>
      </c>
      <c r="C1629" t="inlineStr">
        <is>
          <t>WHITE</t>
        </is>
      </c>
      <c r="D1629" t="inlineStr">
        <is>
          <t>v4_white_MLLB_000_y103_0924</t>
        </is>
      </c>
      <c r="E1629" t="n">
        <v>3</v>
      </c>
      <c r="F1629" t="n">
        <v>3.008</v>
      </c>
      <c r="G1629" t="n">
        <v>6</v>
      </c>
      <c r="H1629" t="n">
        <v>60</v>
      </c>
      <c r="I1629" t="n">
        <v>36</v>
      </c>
      <c r="J1629" t="inlineStr">
        <is>
          <t>kaba</t>
        </is>
      </c>
      <c r="K1629" t="b">
        <v>1</v>
      </c>
      <c r="M1629" t="n">
        <v>156</v>
      </c>
      <c r="N1629" t="n">
        <v>62</v>
      </c>
      <c r="O1629" t="n">
        <v>122</v>
      </c>
      <c r="P1629" t="n">
        <v>846</v>
      </c>
      <c r="Q1629" t="n">
        <v>1002</v>
      </c>
      <c r="R1629" t="n">
        <v>1.194</v>
      </c>
      <c r="S1629" t="n">
        <v>11.471</v>
      </c>
      <c r="T1629" t="n">
        <v>9.609999999999999</v>
      </c>
      <c r="U1629" t="n">
        <v>0.7773</v>
      </c>
      <c r="V1629" t="b">
        <v>1</v>
      </c>
      <c r="X1629" t="b">
        <v>0</v>
      </c>
      <c r="Y1629" t="inlineStr">
        <is>
          <t>ON</t>
        </is>
      </c>
      <c r="Z1629" t="n">
        <v>935</v>
      </c>
      <c r="AA1629" t="n">
        <v>2.5</v>
      </c>
      <c r="AB1629" t="n">
        <v>9.5</v>
      </c>
    </row>
    <row r="1630">
      <c r="A1630" t="inlineStr">
        <is>
          <t>2026-09-24 17:06:30</t>
        </is>
      </c>
      <c r="B1630" t="inlineStr">
        <is>
          <t>MLLB_000_y1.0.3</t>
        </is>
      </c>
      <c r="C1630" t="inlineStr">
        <is>
          <t>WHITE</t>
        </is>
      </c>
      <c r="D1630" t="inlineStr">
        <is>
          <t>v4_white_MLLB_000_y103_0924</t>
        </is>
      </c>
      <c r="E1630" t="n">
        <v>3</v>
      </c>
      <c r="F1630" t="n">
        <v>3.008</v>
      </c>
      <c r="G1630" t="n">
        <v>6</v>
      </c>
      <c r="H1630" t="n">
        <v>60</v>
      </c>
      <c r="I1630" t="n">
        <v>40</v>
      </c>
      <c r="J1630" t="inlineStr">
        <is>
          <t>kaba</t>
        </is>
      </c>
      <c r="K1630" t="b">
        <v>1</v>
      </c>
      <c r="M1630" t="n">
        <v>104</v>
      </c>
      <c r="N1630" t="n">
        <v>66</v>
      </c>
      <c r="O1630" t="n">
        <v>66</v>
      </c>
      <c r="P1630" t="n">
        <v>898</v>
      </c>
      <c r="Q1630" t="n">
        <v>1002</v>
      </c>
      <c r="R1630" t="n">
        <v>1.176</v>
      </c>
      <c r="S1630" t="n">
        <v>11.334</v>
      </c>
      <c r="T1630" t="n">
        <v>9.640000000000001</v>
      </c>
      <c r="U1630" t="n">
        <v>0.7772</v>
      </c>
      <c r="V1630" t="b">
        <v>1</v>
      </c>
      <c r="X1630" t="b">
        <v>0</v>
      </c>
      <c r="Y1630" t="inlineStr">
        <is>
          <t>ON</t>
        </is>
      </c>
      <c r="Z1630" t="n">
        <v>935</v>
      </c>
      <c r="AA1630" t="n">
        <v>2.5</v>
      </c>
      <c r="AB1630" t="n">
        <v>9.5</v>
      </c>
    </row>
    <row r="1631">
      <c r="A1631" t="inlineStr">
        <is>
          <t>2026-09-24 17:06:46</t>
        </is>
      </c>
      <c r="B1631" t="inlineStr">
        <is>
          <t>MLLB_000_y1.0.3</t>
        </is>
      </c>
      <c r="C1631" t="inlineStr">
        <is>
          <t>WHITE</t>
        </is>
      </c>
      <c r="D1631" t="inlineStr">
        <is>
          <t>v4_white_MLLB_000_y103_0924</t>
        </is>
      </c>
      <c r="E1631" t="n">
        <v>3</v>
      </c>
      <c r="F1631" t="n">
        <v>3.008</v>
      </c>
      <c r="G1631" t="n">
        <v>6</v>
      </c>
      <c r="H1631" t="n">
        <v>60</v>
      </c>
      <c r="I1631" t="n">
        <v>44</v>
      </c>
      <c r="J1631" t="inlineStr">
        <is>
          <t>kaba</t>
        </is>
      </c>
      <c r="K1631" t="b">
        <v>1</v>
      </c>
      <c r="M1631" t="n">
        <v>52</v>
      </c>
      <c r="N1631" t="n">
        <v>40</v>
      </c>
      <c r="O1631" t="n">
        <v>32</v>
      </c>
      <c r="P1631" t="n">
        <v>950</v>
      </c>
      <c r="Q1631" t="n">
        <v>1002</v>
      </c>
      <c r="R1631" t="n">
        <v>1.178</v>
      </c>
      <c r="S1631" t="n">
        <v>11.334</v>
      </c>
      <c r="T1631" t="n">
        <v>9.622999999999999</v>
      </c>
      <c r="U1631" t="n">
        <v>0.7776</v>
      </c>
      <c r="V1631" t="b">
        <v>1</v>
      </c>
      <c r="X1631" t="b">
        <v>1</v>
      </c>
      <c r="Z1631" t="n">
        <v>935</v>
      </c>
      <c r="AA1631" t="n">
        <v>2.5</v>
      </c>
      <c r="AB1631" t="n">
        <v>9.5</v>
      </c>
    </row>
    <row r="1632">
      <c r="A1632" t="inlineStr">
        <is>
          <t>2026-09-24 17:07:02</t>
        </is>
      </c>
      <c r="B1632" t="inlineStr">
        <is>
          <t>MLLB_000_y1.0.3</t>
        </is>
      </c>
      <c r="C1632" t="inlineStr">
        <is>
          <t>WHITE</t>
        </is>
      </c>
      <c r="D1632" t="inlineStr">
        <is>
          <t>v4_white_MLLB_000_y103_0924</t>
        </is>
      </c>
      <c r="E1632" t="n">
        <v>3</v>
      </c>
      <c r="F1632" t="n">
        <v>3.008</v>
      </c>
      <c r="G1632" t="n">
        <v>6</v>
      </c>
      <c r="H1632" t="n">
        <v>60</v>
      </c>
      <c r="I1632" t="n">
        <v>48</v>
      </c>
      <c r="J1632" t="inlineStr">
        <is>
          <t>kaba</t>
        </is>
      </c>
      <c r="K1632" t="b">
        <v>1</v>
      </c>
      <c r="M1632" t="n">
        <v>52</v>
      </c>
      <c r="N1632" t="n">
        <v>32</v>
      </c>
      <c r="O1632" t="n">
        <v>30</v>
      </c>
      <c r="P1632" t="n">
        <v>950</v>
      </c>
      <c r="Q1632" t="n">
        <v>1002</v>
      </c>
      <c r="R1632" t="n">
        <v>8.746</v>
      </c>
      <c r="S1632" t="n">
        <v>84.152</v>
      </c>
      <c r="T1632" t="n">
        <v>9.622</v>
      </c>
      <c r="U1632" t="n">
        <v>0.7776</v>
      </c>
      <c r="V1632" t="b">
        <v>1</v>
      </c>
      <c r="X1632" t="b">
        <v>0</v>
      </c>
      <c r="Y1632" t="inlineStr">
        <is>
          <t>FLAS</t>
        </is>
      </c>
      <c r="Z1632" t="n">
        <v>935</v>
      </c>
      <c r="AA1632" t="n">
        <v>2.5</v>
      </c>
      <c r="AB1632" t="n">
        <v>9.5</v>
      </c>
    </row>
    <row r="1633">
      <c r="A1633" t="inlineStr">
        <is>
          <t>2026-09-24 17:07:18</t>
        </is>
      </c>
      <c r="B1633" t="inlineStr">
        <is>
          <t>MLLB_000_y1.0.3</t>
        </is>
      </c>
      <c r="C1633" t="inlineStr">
        <is>
          <t>WHITE</t>
        </is>
      </c>
      <c r="D1633" t="inlineStr">
        <is>
          <t>v4_white_MLLB_000_y103_0924</t>
        </is>
      </c>
      <c r="E1633" t="n">
        <v>3</v>
      </c>
      <c r="F1633" t="n">
        <v>3.008</v>
      </c>
      <c r="G1633" t="n">
        <v>6</v>
      </c>
      <c r="H1633" t="n">
        <v>60</v>
      </c>
      <c r="I1633" t="n">
        <v>41</v>
      </c>
      <c r="J1633" t="inlineStr">
        <is>
          <t>ince</t>
        </is>
      </c>
      <c r="K1633" t="b">
        <v>1</v>
      </c>
      <c r="M1633" t="n">
        <v>90</v>
      </c>
      <c r="N1633" t="n">
        <v>66</v>
      </c>
      <c r="O1633" t="n">
        <v>54</v>
      </c>
      <c r="P1633" t="n">
        <v>912</v>
      </c>
      <c r="Q1633" t="n">
        <v>1002</v>
      </c>
      <c r="R1633" t="n">
        <v>1.188</v>
      </c>
      <c r="S1633" t="n">
        <v>11.425</v>
      </c>
      <c r="T1633" t="n">
        <v>9.617000000000001</v>
      </c>
      <c r="U1633" t="n">
        <v>0.7769</v>
      </c>
      <c r="V1633" t="b">
        <v>1</v>
      </c>
      <c r="X1633" t="b">
        <v>0</v>
      </c>
      <c r="Y1633" t="inlineStr">
        <is>
          <t>ON</t>
        </is>
      </c>
      <c r="Z1633" t="n">
        <v>935</v>
      </c>
      <c r="AA1633" t="n">
        <v>2.5</v>
      </c>
      <c r="AB1633" t="n">
        <v>9.5</v>
      </c>
    </row>
    <row r="1634">
      <c r="A1634" t="inlineStr">
        <is>
          <t>2026-09-24 17:07:34</t>
        </is>
      </c>
      <c r="B1634" t="inlineStr">
        <is>
          <t>MLLB_000_y1.0.3</t>
        </is>
      </c>
      <c r="C1634" t="inlineStr">
        <is>
          <t>WHITE</t>
        </is>
      </c>
      <c r="D1634" t="inlineStr">
        <is>
          <t>v4_white_MLLB_000_y103_0924</t>
        </is>
      </c>
      <c r="E1634" t="n">
        <v>3</v>
      </c>
      <c r="F1634" t="n">
        <v>3.008</v>
      </c>
      <c r="G1634" t="n">
        <v>6</v>
      </c>
      <c r="H1634" t="n">
        <v>60</v>
      </c>
      <c r="I1634" t="n">
        <v>42</v>
      </c>
      <c r="J1634" t="inlineStr">
        <is>
          <t>ince</t>
        </is>
      </c>
      <c r="K1634" t="b">
        <v>1</v>
      </c>
      <c r="M1634" t="n">
        <v>78</v>
      </c>
      <c r="N1634" t="n">
        <v>62</v>
      </c>
      <c r="O1634" t="n">
        <v>42</v>
      </c>
      <c r="P1634" t="n">
        <v>924</v>
      </c>
      <c r="Q1634" t="n">
        <v>1002</v>
      </c>
      <c r="R1634" t="n">
        <v>1.172</v>
      </c>
      <c r="S1634" t="n">
        <v>11.288</v>
      </c>
      <c r="T1634" t="n">
        <v>9.632999999999999</v>
      </c>
      <c r="U1634" t="n">
        <v>0.7769</v>
      </c>
      <c r="V1634" t="b">
        <v>1</v>
      </c>
      <c r="X1634" t="b">
        <v>0</v>
      </c>
      <c r="Y1634" t="inlineStr">
        <is>
          <t>ON</t>
        </is>
      </c>
      <c r="Z1634" t="n">
        <v>935</v>
      </c>
      <c r="AA1634" t="n">
        <v>2.5</v>
      </c>
      <c r="AB1634" t="n">
        <v>9.5</v>
      </c>
    </row>
    <row r="1635">
      <c r="A1635" t="inlineStr">
        <is>
          <t>2026-09-24 17:07:49</t>
        </is>
      </c>
      <c r="B1635" t="inlineStr">
        <is>
          <t>MLLB_000_y1.0.3</t>
        </is>
      </c>
      <c r="C1635" t="inlineStr">
        <is>
          <t>WHITE</t>
        </is>
      </c>
      <c r="D1635" t="inlineStr">
        <is>
          <t>v4_white_MLLB_000_y103_0924</t>
        </is>
      </c>
      <c r="E1635" t="n">
        <v>3</v>
      </c>
      <c r="F1635" t="n">
        <v>3.008</v>
      </c>
      <c r="G1635" t="n">
        <v>6</v>
      </c>
      <c r="H1635" t="n">
        <v>60</v>
      </c>
      <c r="I1635" t="n">
        <v>43</v>
      </c>
      <c r="J1635" t="inlineStr">
        <is>
          <t>ince</t>
        </is>
      </c>
      <c r="K1635" t="b">
        <v>1</v>
      </c>
      <c r="M1635" t="n">
        <v>62</v>
      </c>
      <c r="N1635" t="n">
        <v>60</v>
      </c>
      <c r="O1635" t="n">
        <v>32</v>
      </c>
      <c r="P1635" t="n">
        <v>940</v>
      </c>
      <c r="Q1635" t="n">
        <v>1002</v>
      </c>
      <c r="R1635" t="n">
        <v>1.174</v>
      </c>
      <c r="S1635" t="n">
        <v>11.288</v>
      </c>
      <c r="T1635" t="n">
        <v>9.618</v>
      </c>
      <c r="U1635" t="n">
        <v>0.777</v>
      </c>
      <c r="V1635" t="b">
        <v>1</v>
      </c>
      <c r="X1635" t="b">
        <v>1</v>
      </c>
      <c r="Z1635" t="n">
        <v>935</v>
      </c>
      <c r="AA1635" t="n">
        <v>2.5</v>
      </c>
      <c r="AB1635" t="n">
        <v>9.5</v>
      </c>
    </row>
    <row r="1636">
      <c r="A1636" t="inlineStr">
        <is>
          <t>2026-09-24 17:08:06</t>
        </is>
      </c>
      <c r="B1636" t="inlineStr">
        <is>
          <t>MLLB_000_y1.0.3</t>
        </is>
      </c>
      <c r="C1636" t="inlineStr">
        <is>
          <t>WHITE</t>
        </is>
      </c>
      <c r="D1636" t="inlineStr">
        <is>
          <t>v4_white_MLLB_000_y103_0924</t>
        </is>
      </c>
      <c r="E1636" t="n">
        <v>3</v>
      </c>
      <c r="F1636" t="n">
        <v>3.008</v>
      </c>
      <c r="G1636" t="n">
        <v>6</v>
      </c>
      <c r="H1636" t="n">
        <v>60</v>
      </c>
      <c r="I1636" t="n">
        <v>45</v>
      </c>
      <c r="J1636" t="inlineStr">
        <is>
          <t>ince</t>
        </is>
      </c>
      <c r="K1636" t="b">
        <v>1</v>
      </c>
      <c r="M1636" t="n">
        <v>52</v>
      </c>
      <c r="N1636" t="n">
        <v>30</v>
      </c>
      <c r="O1636" t="n">
        <v>32</v>
      </c>
      <c r="P1636" t="n">
        <v>950</v>
      </c>
      <c r="Q1636" t="n">
        <v>1002</v>
      </c>
      <c r="R1636" t="n">
        <v>1.179</v>
      </c>
      <c r="S1636" t="n">
        <v>11.345</v>
      </c>
      <c r="T1636" t="n">
        <v>9.625</v>
      </c>
      <c r="U1636" t="n">
        <v>0.7775</v>
      </c>
      <c r="V1636" t="b">
        <v>1</v>
      </c>
      <c r="X1636" t="b">
        <v>1</v>
      </c>
      <c r="Z1636" t="n">
        <v>935</v>
      </c>
      <c r="AA1636" t="n">
        <v>2.5</v>
      </c>
      <c r="AB1636" t="n">
        <v>9.5</v>
      </c>
    </row>
    <row r="1637">
      <c r="A1637" t="inlineStr">
        <is>
          <t>2026-09-24 17:08:22</t>
        </is>
      </c>
      <c r="B1637" t="inlineStr">
        <is>
          <t>MLLB_000_y1.0.3</t>
        </is>
      </c>
      <c r="C1637" t="inlineStr">
        <is>
          <t>WHITE</t>
        </is>
      </c>
      <c r="D1637" t="inlineStr">
        <is>
          <t>v4_white_MLLB_000_y103_0924</t>
        </is>
      </c>
      <c r="E1637" t="n">
        <v>3</v>
      </c>
      <c r="F1637" t="n">
        <v>3.008</v>
      </c>
      <c r="G1637" t="n">
        <v>6</v>
      </c>
      <c r="H1637" t="n">
        <v>60</v>
      </c>
      <c r="I1637" t="n">
        <v>46</v>
      </c>
      <c r="J1637" t="inlineStr">
        <is>
          <t>ince</t>
        </is>
      </c>
      <c r="K1637" t="b">
        <v>1</v>
      </c>
      <c r="M1637" t="n">
        <v>52</v>
      </c>
      <c r="N1637" t="n">
        <v>32</v>
      </c>
      <c r="O1637" t="n">
        <v>30</v>
      </c>
      <c r="P1637" t="n">
        <v>950</v>
      </c>
      <c r="Q1637" t="n">
        <v>1002</v>
      </c>
      <c r="R1637" t="n">
        <v>1.907</v>
      </c>
      <c r="S1637" t="n">
        <v>18.353</v>
      </c>
      <c r="T1637" t="n">
        <v>9.622999999999999</v>
      </c>
      <c r="U1637" t="n">
        <v>0.777</v>
      </c>
      <c r="V1637" t="b">
        <v>1</v>
      </c>
      <c r="X1637" t="b">
        <v>1</v>
      </c>
      <c r="Z1637" t="n">
        <v>935</v>
      </c>
      <c r="AA1637" t="n">
        <v>2.5</v>
      </c>
      <c r="AB1637" t="n">
        <v>9.5</v>
      </c>
    </row>
    <row r="1638">
      <c r="A1638" t="inlineStr">
        <is>
          <t>2026-09-24 17:08:37</t>
        </is>
      </c>
      <c r="B1638" t="inlineStr">
        <is>
          <t>MLLB_000_y1.0.3</t>
        </is>
      </c>
      <c r="C1638" t="inlineStr">
        <is>
          <t>WHITE</t>
        </is>
      </c>
      <c r="D1638" t="inlineStr">
        <is>
          <t>v4_white_MLLB_000_y103_0924</t>
        </is>
      </c>
      <c r="E1638" t="n">
        <v>3</v>
      </c>
      <c r="F1638" t="n">
        <v>3.008</v>
      </c>
      <c r="G1638" t="n">
        <v>6</v>
      </c>
      <c r="H1638" t="n">
        <v>60</v>
      </c>
      <c r="I1638" t="n">
        <v>47</v>
      </c>
      <c r="J1638" t="inlineStr">
        <is>
          <t>ince</t>
        </is>
      </c>
      <c r="K1638" t="b">
        <v>1</v>
      </c>
      <c r="M1638" t="n">
        <v>52</v>
      </c>
      <c r="N1638" t="n">
        <v>30</v>
      </c>
      <c r="O1638" t="n">
        <v>32</v>
      </c>
      <c r="P1638" t="n">
        <v>950</v>
      </c>
      <c r="Q1638" t="n">
        <v>1002</v>
      </c>
      <c r="R1638" t="n">
        <v>4.143</v>
      </c>
      <c r="S1638" t="n">
        <v>39.928</v>
      </c>
      <c r="T1638" t="n">
        <v>9.637</v>
      </c>
      <c r="U1638" t="n">
        <v>0.7776</v>
      </c>
      <c r="V1638" t="b">
        <v>1</v>
      </c>
      <c r="X1638" t="b">
        <v>0</v>
      </c>
      <c r="Y1638" t="inlineStr">
        <is>
          <t>FLAS</t>
        </is>
      </c>
      <c r="Z1638" t="n">
        <v>935</v>
      </c>
      <c r="AA1638" t="n">
        <v>2.5</v>
      </c>
      <c r="AB1638" t="n">
        <v>9.5</v>
      </c>
    </row>
    <row r="1639">
      <c r="A1639" t="inlineStr">
        <is>
          <t>2026-09-24 17:08:38</t>
        </is>
      </c>
      <c r="B1639" t="inlineStr">
        <is>
          <t>MLLB_000_y1.0.3</t>
        </is>
      </c>
      <c r="C1639" t="inlineStr">
        <is>
          <t>WHITE</t>
        </is>
      </c>
      <c r="D1639" t="inlineStr">
        <is>
          <t>v4_white_MLLB_000_y103_0924</t>
        </is>
      </c>
      <c r="E1639" t="n">
        <v>3</v>
      </c>
      <c r="F1639" t="n">
        <v>3.008</v>
      </c>
      <c r="G1639" t="n">
        <v>6</v>
      </c>
      <c r="H1639" t="n">
        <v>60</v>
      </c>
      <c r="J1639" t="inlineStr">
        <is>
          <t>bitti</t>
        </is>
      </c>
      <c r="K1639" t="b">
        <v>0</v>
      </c>
      <c r="Z1639" t="n">
        <v>935</v>
      </c>
      <c r="AA1639" t="n">
        <v>2.5</v>
      </c>
      <c r="AB1639" t="n">
        <v>9.5</v>
      </c>
    </row>
    <row r="1640">
      <c r="A1640" t="inlineStr">
        <is>
          <t>2026-09-24 17:09:00</t>
        </is>
      </c>
      <c r="B1640" t="inlineStr">
        <is>
          <t>MLLB_000_y1.0.3</t>
        </is>
      </c>
      <c r="C1640" t="inlineStr">
        <is>
          <t>WHITE</t>
        </is>
      </c>
      <c r="D1640" t="inlineStr">
        <is>
          <t>v4_white_MLLB_000_y103_0924</t>
        </is>
      </c>
      <c r="E1640" t="n">
        <v>3</v>
      </c>
      <c r="F1640" t="n">
        <v>3.008</v>
      </c>
      <c r="G1640" t="n">
        <v>7</v>
      </c>
      <c r="H1640" t="n">
        <v>100</v>
      </c>
      <c r="I1640" t="n">
        <v>12</v>
      </c>
      <c r="J1640" t="inlineStr">
        <is>
          <t>kaba</t>
        </is>
      </c>
      <c r="K1640" t="b">
        <v>1</v>
      </c>
      <c r="M1640" t="n">
        <v>306</v>
      </c>
      <c r="N1640" t="n">
        <v>52</v>
      </c>
      <c r="O1640" t="n">
        <v>276</v>
      </c>
      <c r="P1640" t="n">
        <v>696</v>
      </c>
      <c r="Q1640" t="n">
        <v>1002</v>
      </c>
      <c r="R1640" t="n">
        <v>1.09</v>
      </c>
      <c r="S1640" t="n">
        <v>12.821</v>
      </c>
      <c r="T1640" t="n">
        <v>11.758</v>
      </c>
      <c r="U1640" t="n">
        <v>0.7768</v>
      </c>
      <c r="V1640" t="b">
        <v>1</v>
      </c>
      <c r="X1640" t="b">
        <v>0</v>
      </c>
      <c r="Y1640" t="inlineStr">
        <is>
          <t>ON</t>
        </is>
      </c>
      <c r="Z1640" t="n">
        <v>935</v>
      </c>
      <c r="AA1640" t="n">
        <v>2.5</v>
      </c>
      <c r="AB1640" t="n">
        <v>9.5</v>
      </c>
    </row>
    <row r="1641">
      <c r="A1641" t="inlineStr">
        <is>
          <t>2026-09-24 17:09:16</t>
        </is>
      </c>
      <c r="B1641" t="inlineStr">
        <is>
          <t>MLLB_000_y1.0.3</t>
        </is>
      </c>
      <c r="C1641" t="inlineStr">
        <is>
          <t>WHITE</t>
        </is>
      </c>
      <c r="D1641" t="inlineStr">
        <is>
          <t>v4_white_MLLB_000_y103_0924</t>
        </is>
      </c>
      <c r="E1641" t="n">
        <v>3</v>
      </c>
      <c r="F1641" t="n">
        <v>3.008</v>
      </c>
      <c r="G1641" t="n">
        <v>7</v>
      </c>
      <c r="H1641" t="n">
        <v>100</v>
      </c>
      <c r="I1641" t="n">
        <v>16</v>
      </c>
      <c r="J1641" t="inlineStr">
        <is>
          <t>kaba</t>
        </is>
      </c>
      <c r="K1641" t="b">
        <v>1</v>
      </c>
      <c r="M1641" t="n">
        <v>238</v>
      </c>
      <c r="N1641" t="n">
        <v>50</v>
      </c>
      <c r="O1641" t="n">
        <v>208</v>
      </c>
      <c r="P1641" t="n">
        <v>764</v>
      </c>
      <c r="Q1641" t="n">
        <v>1002</v>
      </c>
      <c r="R1641" t="n">
        <v>1.086</v>
      </c>
      <c r="S1641" t="n">
        <v>12.819</v>
      </c>
      <c r="T1641" t="n">
        <v>11.807</v>
      </c>
      <c r="U1641" t="n">
        <v>0.7779</v>
      </c>
      <c r="V1641" t="b">
        <v>1</v>
      </c>
      <c r="X1641" t="b">
        <v>0</v>
      </c>
      <c r="Y1641" t="inlineStr">
        <is>
          <t>ON</t>
        </is>
      </c>
      <c r="Z1641" t="n">
        <v>935</v>
      </c>
      <c r="AA1641" t="n">
        <v>2.5</v>
      </c>
      <c r="AB1641" t="n">
        <v>9.5</v>
      </c>
    </row>
    <row r="1642">
      <c r="A1642" t="inlineStr">
        <is>
          <t>2026-09-24 17:09:32</t>
        </is>
      </c>
      <c r="B1642" t="inlineStr">
        <is>
          <t>MLLB_000_y1.0.3</t>
        </is>
      </c>
      <c r="C1642" t="inlineStr">
        <is>
          <t>WHITE</t>
        </is>
      </c>
      <c r="D1642" t="inlineStr">
        <is>
          <t>v4_white_MLLB_000_y103_0924</t>
        </is>
      </c>
      <c r="E1642" t="n">
        <v>3</v>
      </c>
      <c r="F1642" t="n">
        <v>3.008</v>
      </c>
      <c r="G1642" t="n">
        <v>7</v>
      </c>
      <c r="H1642" t="n">
        <v>100</v>
      </c>
      <c r="I1642" t="n">
        <v>20</v>
      </c>
      <c r="J1642" t="inlineStr">
        <is>
          <t>kaba</t>
        </is>
      </c>
      <c r="K1642" t="b">
        <v>1</v>
      </c>
      <c r="M1642" t="n">
        <v>170</v>
      </c>
      <c r="N1642" t="n">
        <v>54</v>
      </c>
      <c r="O1642" t="n">
        <v>138</v>
      </c>
      <c r="P1642" t="n">
        <v>832</v>
      </c>
      <c r="Q1642" t="n">
        <v>1002</v>
      </c>
      <c r="R1642" t="n">
        <v>1.081</v>
      </c>
      <c r="S1642" t="n">
        <v>12.81</v>
      </c>
      <c r="T1642" t="n">
        <v>11.855</v>
      </c>
      <c r="U1642" t="n">
        <v>0.7773</v>
      </c>
      <c r="V1642" t="b">
        <v>1</v>
      </c>
      <c r="X1642" t="b">
        <v>0</v>
      </c>
      <c r="Y1642" t="inlineStr">
        <is>
          <t>ON</t>
        </is>
      </c>
      <c r="Z1642" t="n">
        <v>935</v>
      </c>
      <c r="AA1642" t="n">
        <v>2.5</v>
      </c>
      <c r="AB1642" t="n">
        <v>9.5</v>
      </c>
    </row>
    <row r="1643">
      <c r="A1643" t="inlineStr">
        <is>
          <t>2026-09-24 17:09:48</t>
        </is>
      </c>
      <c r="B1643" t="inlineStr">
        <is>
          <t>MLLB_000_y1.0.3</t>
        </is>
      </c>
      <c r="C1643" t="inlineStr">
        <is>
          <t>WHITE</t>
        </is>
      </c>
      <c r="D1643" t="inlineStr">
        <is>
          <t>v4_white_MLLB_000_y103_0924</t>
        </is>
      </c>
      <c r="E1643" t="n">
        <v>3</v>
      </c>
      <c r="F1643" t="n">
        <v>3.008</v>
      </c>
      <c r="G1643" t="n">
        <v>7</v>
      </c>
      <c r="H1643" t="n">
        <v>100</v>
      </c>
      <c r="I1643" t="n">
        <v>24</v>
      </c>
      <c r="J1643" t="inlineStr">
        <is>
          <t>kaba</t>
        </is>
      </c>
      <c r="K1643" t="b">
        <v>1</v>
      </c>
      <c r="M1643" t="n">
        <v>100</v>
      </c>
      <c r="N1643" t="n">
        <v>54</v>
      </c>
      <c r="O1643" t="n">
        <v>70</v>
      </c>
      <c r="P1643" t="n">
        <v>902</v>
      </c>
      <c r="Q1643" t="n">
        <v>1002</v>
      </c>
      <c r="R1643" t="n">
        <v>1.086</v>
      </c>
      <c r="S1643" t="n">
        <v>12.909</v>
      </c>
      <c r="T1643" t="n">
        <v>11.886</v>
      </c>
      <c r="U1643" t="n">
        <v>0.7771</v>
      </c>
      <c r="V1643" t="b">
        <v>1</v>
      </c>
      <c r="X1643" t="b">
        <v>0</v>
      </c>
      <c r="Y1643" t="inlineStr">
        <is>
          <t>ON</t>
        </is>
      </c>
      <c r="Z1643" t="n">
        <v>935</v>
      </c>
      <c r="AA1643" t="n">
        <v>2.5</v>
      </c>
      <c r="AB1643" t="n">
        <v>9.5</v>
      </c>
    </row>
    <row r="1644">
      <c r="A1644" t="inlineStr">
        <is>
          <t>2026-09-24 17:10:00</t>
        </is>
      </c>
      <c r="B1644" t="inlineStr">
        <is>
          <t>MLLB_000_y1.0.3</t>
        </is>
      </c>
      <c r="C1644" t="inlineStr">
        <is>
          <t>WHITE</t>
        </is>
      </c>
      <c r="D1644" t="inlineStr">
        <is>
          <t>v4_white_MLLB_000_y103_0924</t>
        </is>
      </c>
      <c r="E1644" t="n">
        <v>3</v>
      </c>
      <c r="F1644" t="n">
        <v>3.008</v>
      </c>
      <c r="G1644" t="n">
        <v>7</v>
      </c>
      <c r="H1644" t="n">
        <v>100</v>
      </c>
      <c r="I1644" t="n">
        <v>28</v>
      </c>
      <c r="J1644" t="inlineStr">
        <is>
          <t>kaba</t>
        </is>
      </c>
      <c r="K1644" t="b">
        <v>1</v>
      </c>
      <c r="M1644" t="n">
        <v>36</v>
      </c>
      <c r="N1644" t="n">
        <v>32</v>
      </c>
      <c r="O1644" t="n">
        <v>14</v>
      </c>
      <c r="P1644" t="n">
        <v>966</v>
      </c>
      <c r="Q1644" t="n">
        <v>1002</v>
      </c>
      <c r="R1644" t="n">
        <v>1.082</v>
      </c>
      <c r="S1644" t="n">
        <v>12.856</v>
      </c>
      <c r="T1644" t="n">
        <v>11.883</v>
      </c>
      <c r="U1644" t="n">
        <v>0.7776</v>
      </c>
      <c r="V1644" t="b">
        <v>1</v>
      </c>
      <c r="X1644" t="b">
        <v>1</v>
      </c>
      <c r="Z1644" t="n">
        <v>935</v>
      </c>
      <c r="AA1644" t="n">
        <v>2.5</v>
      </c>
      <c r="AB1644" t="n">
        <v>9.5</v>
      </c>
    </row>
    <row r="1645">
      <c r="A1645" t="inlineStr">
        <is>
          <t>2026-09-24 17:10:16</t>
        </is>
      </c>
      <c r="B1645" t="inlineStr">
        <is>
          <t>MLLB_000_y1.0.3</t>
        </is>
      </c>
      <c r="C1645" t="inlineStr">
        <is>
          <t>WHITE</t>
        </is>
      </c>
      <c r="D1645" t="inlineStr">
        <is>
          <t>v4_white_MLLB_000_y103_0924</t>
        </is>
      </c>
      <c r="E1645" t="n">
        <v>3</v>
      </c>
      <c r="F1645" t="n">
        <v>3.008</v>
      </c>
      <c r="G1645" t="n">
        <v>7</v>
      </c>
      <c r="H1645" t="n">
        <v>100</v>
      </c>
      <c r="I1645" t="n">
        <v>32</v>
      </c>
      <c r="J1645" t="inlineStr">
        <is>
          <t>kaba</t>
        </is>
      </c>
      <c r="K1645" t="b">
        <v>1</v>
      </c>
      <c r="M1645" t="n">
        <v>36</v>
      </c>
      <c r="N1645" t="n">
        <v>32</v>
      </c>
      <c r="O1645" t="n">
        <v>14</v>
      </c>
      <c r="P1645" t="n">
        <v>966</v>
      </c>
      <c r="Q1645" t="n">
        <v>1002</v>
      </c>
      <c r="R1645" t="n">
        <v>12.92</v>
      </c>
      <c r="S1645" t="n">
        <v>153.708</v>
      </c>
      <c r="T1645" t="n">
        <v>11.897</v>
      </c>
      <c r="U1645" t="n">
        <v>0.7776</v>
      </c>
      <c r="V1645" t="b">
        <v>1</v>
      </c>
      <c r="X1645" t="b">
        <v>0</v>
      </c>
      <c r="Y1645" t="inlineStr">
        <is>
          <t>FLAS</t>
        </is>
      </c>
      <c r="Z1645" t="n">
        <v>935</v>
      </c>
      <c r="AA1645" t="n">
        <v>2.5</v>
      </c>
      <c r="AB1645" t="n">
        <v>9.5</v>
      </c>
    </row>
    <row r="1646">
      <c r="A1646" t="inlineStr">
        <is>
          <t>2026-09-24 17:10:32</t>
        </is>
      </c>
      <c r="B1646" t="inlineStr">
        <is>
          <t>MLLB_000_y1.0.3</t>
        </is>
      </c>
      <c r="C1646" t="inlineStr">
        <is>
          <t>WHITE</t>
        </is>
      </c>
      <c r="D1646" t="inlineStr">
        <is>
          <t>v4_white_MLLB_000_y103_0924</t>
        </is>
      </c>
      <c r="E1646" t="n">
        <v>3</v>
      </c>
      <c r="F1646" t="n">
        <v>3.008</v>
      </c>
      <c r="G1646" t="n">
        <v>7</v>
      </c>
      <c r="H1646" t="n">
        <v>100</v>
      </c>
      <c r="I1646" t="n">
        <v>25</v>
      </c>
      <c r="J1646" t="inlineStr">
        <is>
          <t>ince</t>
        </is>
      </c>
      <c r="K1646" t="b">
        <v>1</v>
      </c>
      <c r="M1646" t="n">
        <v>82</v>
      </c>
      <c r="N1646" t="n">
        <v>54</v>
      </c>
      <c r="O1646" t="n">
        <v>50</v>
      </c>
      <c r="P1646" t="n">
        <v>920</v>
      </c>
      <c r="Q1646" t="n">
        <v>1002</v>
      </c>
      <c r="R1646" t="n">
        <v>1.077</v>
      </c>
      <c r="S1646" t="n">
        <v>12.81</v>
      </c>
      <c r="T1646" t="n">
        <v>11.894</v>
      </c>
      <c r="U1646" t="n">
        <v>0.7775</v>
      </c>
      <c r="V1646" t="b">
        <v>1</v>
      </c>
      <c r="X1646" t="b">
        <v>0</v>
      </c>
      <c r="Y1646" t="inlineStr">
        <is>
          <t>ON</t>
        </is>
      </c>
      <c r="Z1646" t="n">
        <v>935</v>
      </c>
      <c r="AA1646" t="n">
        <v>2.5</v>
      </c>
      <c r="AB1646" t="n">
        <v>9.5</v>
      </c>
    </row>
    <row r="1647">
      <c r="A1647" t="inlineStr">
        <is>
          <t>2026-09-24 17:10:48</t>
        </is>
      </c>
      <c r="B1647" t="inlineStr">
        <is>
          <t>MLLB_000_y1.0.3</t>
        </is>
      </c>
      <c r="C1647" t="inlineStr">
        <is>
          <t>WHITE</t>
        </is>
      </c>
      <c r="D1647" t="inlineStr">
        <is>
          <t>v4_white_MLLB_000_y103_0924</t>
        </is>
      </c>
      <c r="E1647" t="n">
        <v>3</v>
      </c>
      <c r="F1647" t="n">
        <v>3.008</v>
      </c>
      <c r="G1647" t="n">
        <v>7</v>
      </c>
      <c r="H1647" t="n">
        <v>100</v>
      </c>
      <c r="I1647" t="n">
        <v>26</v>
      </c>
      <c r="J1647" t="inlineStr">
        <is>
          <t>ince</t>
        </is>
      </c>
      <c r="K1647" t="b">
        <v>1</v>
      </c>
      <c r="M1647" t="n">
        <v>64</v>
      </c>
      <c r="N1647" t="n">
        <v>54</v>
      </c>
      <c r="O1647" t="n">
        <v>34</v>
      </c>
      <c r="P1647" t="n">
        <v>938</v>
      </c>
      <c r="Q1647" t="n">
        <v>1002</v>
      </c>
      <c r="R1647" t="n">
        <v>1.076</v>
      </c>
      <c r="S1647" t="n">
        <v>12.81</v>
      </c>
      <c r="T1647" t="n">
        <v>11.904</v>
      </c>
      <c r="U1647" t="n">
        <v>0.7778</v>
      </c>
      <c r="V1647" t="b">
        <v>1</v>
      </c>
      <c r="X1647" t="b">
        <v>1</v>
      </c>
      <c r="Z1647" t="n">
        <v>935</v>
      </c>
      <c r="AA1647" t="n">
        <v>2.5</v>
      </c>
      <c r="AB1647" t="n">
        <v>9.5</v>
      </c>
    </row>
    <row r="1648">
      <c r="A1648" t="inlineStr">
        <is>
          <t>2026-09-24 17:11:04</t>
        </is>
      </c>
      <c r="B1648" t="inlineStr">
        <is>
          <t>MLLB_000_y1.0.3</t>
        </is>
      </c>
      <c r="C1648" t="inlineStr">
        <is>
          <t>WHITE</t>
        </is>
      </c>
      <c r="D1648" t="inlineStr">
        <is>
          <t>v4_white_MLLB_000_y103_0924</t>
        </is>
      </c>
      <c r="E1648" t="n">
        <v>3</v>
      </c>
      <c r="F1648" t="n">
        <v>3.008</v>
      </c>
      <c r="G1648" t="n">
        <v>7</v>
      </c>
      <c r="H1648" t="n">
        <v>100</v>
      </c>
      <c r="I1648" t="n">
        <v>27</v>
      </c>
      <c r="J1648" t="inlineStr">
        <is>
          <t>ince</t>
        </is>
      </c>
      <c r="K1648" t="b">
        <v>1</v>
      </c>
      <c r="M1648" t="n">
        <v>44</v>
      </c>
      <c r="N1648" t="n">
        <v>50</v>
      </c>
      <c r="O1648" t="n">
        <v>18</v>
      </c>
      <c r="P1648" t="n">
        <v>958</v>
      </c>
      <c r="Q1648" t="n">
        <v>1002</v>
      </c>
      <c r="R1648" t="n">
        <v>1.081</v>
      </c>
      <c r="S1648" t="n">
        <v>12.856</v>
      </c>
      <c r="T1648" t="n">
        <v>11.896</v>
      </c>
      <c r="U1648" t="n">
        <v>0.778</v>
      </c>
      <c r="V1648" t="b">
        <v>1</v>
      </c>
      <c r="X1648" t="b">
        <v>1</v>
      </c>
      <c r="Z1648" t="n">
        <v>935</v>
      </c>
      <c r="AA1648" t="n">
        <v>2.5</v>
      </c>
      <c r="AB1648" t="n">
        <v>9.5</v>
      </c>
    </row>
    <row r="1649">
      <c r="A1649" t="inlineStr">
        <is>
          <t>2026-09-24 17:11:20</t>
        </is>
      </c>
      <c r="B1649" t="inlineStr">
        <is>
          <t>MLLB_000_y1.0.3</t>
        </is>
      </c>
      <c r="C1649" t="inlineStr">
        <is>
          <t>WHITE</t>
        </is>
      </c>
      <c r="D1649" t="inlineStr">
        <is>
          <t>v4_white_MLLB_000_y103_0924</t>
        </is>
      </c>
      <c r="E1649" t="n">
        <v>3</v>
      </c>
      <c r="F1649" t="n">
        <v>3.008</v>
      </c>
      <c r="G1649" t="n">
        <v>7</v>
      </c>
      <c r="H1649" t="n">
        <v>100</v>
      </c>
      <c r="I1649" t="n">
        <v>29</v>
      </c>
      <c r="J1649" t="inlineStr">
        <is>
          <t>ince</t>
        </is>
      </c>
      <c r="K1649" t="b">
        <v>1</v>
      </c>
      <c r="M1649" t="n">
        <v>36</v>
      </c>
      <c r="N1649" t="n">
        <v>32</v>
      </c>
      <c r="O1649" t="n">
        <v>14</v>
      </c>
      <c r="P1649" t="n">
        <v>966</v>
      </c>
      <c r="Q1649" t="n">
        <v>1002</v>
      </c>
      <c r="R1649" t="n">
        <v>1.68</v>
      </c>
      <c r="S1649" t="n">
        <v>19.98</v>
      </c>
      <c r="T1649" t="n">
        <v>11.893</v>
      </c>
      <c r="U1649" t="n">
        <v>0.7774</v>
      </c>
      <c r="V1649" t="b">
        <v>1</v>
      </c>
      <c r="X1649" t="b">
        <v>1</v>
      </c>
      <c r="Z1649" t="n">
        <v>935</v>
      </c>
      <c r="AA1649" t="n">
        <v>2.5</v>
      </c>
      <c r="AB1649" t="n">
        <v>9.5</v>
      </c>
    </row>
    <row r="1650">
      <c r="A1650" t="inlineStr">
        <is>
          <t>2026-09-24 17:11:36</t>
        </is>
      </c>
      <c r="B1650" t="inlineStr">
        <is>
          <t>MLLB_000_y1.0.3</t>
        </is>
      </c>
      <c r="C1650" t="inlineStr">
        <is>
          <t>WHITE</t>
        </is>
      </c>
      <c r="D1650" t="inlineStr">
        <is>
          <t>v4_white_MLLB_000_y103_0924</t>
        </is>
      </c>
      <c r="E1650" t="n">
        <v>3</v>
      </c>
      <c r="F1650" t="n">
        <v>3.008</v>
      </c>
      <c r="G1650" t="n">
        <v>7</v>
      </c>
      <c r="H1650" t="n">
        <v>100</v>
      </c>
      <c r="I1650" t="n">
        <v>30</v>
      </c>
      <c r="J1650" t="inlineStr">
        <is>
          <t>ince</t>
        </is>
      </c>
      <c r="K1650" t="b">
        <v>1</v>
      </c>
      <c r="M1650" t="n">
        <v>34</v>
      </c>
      <c r="N1650" t="n">
        <v>32</v>
      </c>
      <c r="O1650" t="n">
        <v>14</v>
      </c>
      <c r="P1650" t="n">
        <v>968</v>
      </c>
      <c r="Q1650" t="n">
        <v>1002</v>
      </c>
      <c r="R1650" t="n">
        <v>7.585</v>
      </c>
      <c r="S1650" t="n">
        <v>90.158</v>
      </c>
      <c r="T1650" t="n">
        <v>11.886</v>
      </c>
      <c r="U1650" t="n">
        <v>0.7775</v>
      </c>
      <c r="V1650" t="b">
        <v>1</v>
      </c>
      <c r="X1650" t="b">
        <v>0</v>
      </c>
      <c r="Y1650" t="inlineStr">
        <is>
          <t>FLAS</t>
        </is>
      </c>
      <c r="Z1650" t="n">
        <v>935</v>
      </c>
      <c r="AA1650" t="n">
        <v>2.5</v>
      </c>
      <c r="AB1650" t="n">
        <v>9.5</v>
      </c>
    </row>
    <row r="1651">
      <c r="A1651" t="inlineStr">
        <is>
          <t>2026-09-24 17:11:52</t>
        </is>
      </c>
      <c r="B1651" t="inlineStr">
        <is>
          <t>MLLB_000_y1.0.3</t>
        </is>
      </c>
      <c r="C1651" t="inlineStr">
        <is>
          <t>WHITE</t>
        </is>
      </c>
      <c r="D1651" t="inlineStr">
        <is>
          <t>v4_white_MLLB_000_y103_0924</t>
        </is>
      </c>
      <c r="E1651" t="n">
        <v>3</v>
      </c>
      <c r="F1651" t="n">
        <v>3.008</v>
      </c>
      <c r="G1651" t="n">
        <v>7</v>
      </c>
      <c r="H1651" t="n">
        <v>100</v>
      </c>
      <c r="I1651" t="n">
        <v>31</v>
      </c>
      <c r="J1651" t="inlineStr">
        <is>
          <t>ince</t>
        </is>
      </c>
      <c r="K1651" t="b">
        <v>1</v>
      </c>
      <c r="M1651" t="n">
        <v>36</v>
      </c>
      <c r="N1651" t="n">
        <v>32</v>
      </c>
      <c r="O1651" t="n">
        <v>14</v>
      </c>
      <c r="P1651" t="n">
        <v>966</v>
      </c>
      <c r="Q1651" t="n">
        <v>1002</v>
      </c>
      <c r="R1651" t="n">
        <v>10.358</v>
      </c>
      <c r="S1651" t="n">
        <v>123.303</v>
      </c>
      <c r="T1651" t="n">
        <v>11.904</v>
      </c>
      <c r="U1651" t="n">
        <v>0.7778</v>
      </c>
      <c r="V1651" t="b">
        <v>1</v>
      </c>
      <c r="X1651" t="b">
        <v>0</v>
      </c>
      <c r="Y1651" t="inlineStr">
        <is>
          <t>FLAS</t>
        </is>
      </c>
      <c r="Z1651" t="n">
        <v>935</v>
      </c>
      <c r="AA1651" t="n">
        <v>2.5</v>
      </c>
      <c r="AB1651" t="n">
        <v>9.5</v>
      </c>
    </row>
    <row r="1652">
      <c r="A1652" t="inlineStr">
        <is>
          <t>2026-09-24 17:11:52</t>
        </is>
      </c>
      <c r="B1652" t="inlineStr">
        <is>
          <t>MLLB_000_y1.0.3</t>
        </is>
      </c>
      <c r="C1652" t="inlineStr">
        <is>
          <t>WHITE</t>
        </is>
      </c>
      <c r="D1652" t="inlineStr">
        <is>
          <t>v4_white_MLLB_000_y103_0924</t>
        </is>
      </c>
      <c r="E1652" t="n">
        <v>3</v>
      </c>
      <c r="F1652" t="n">
        <v>3.008</v>
      </c>
      <c r="G1652" t="n">
        <v>7</v>
      </c>
      <c r="H1652" t="n">
        <v>100</v>
      </c>
      <c r="J1652" t="inlineStr">
        <is>
          <t>bitti</t>
        </is>
      </c>
      <c r="K1652" t="b">
        <v>0</v>
      </c>
      <c r="Z1652" t="n">
        <v>935</v>
      </c>
      <c r="AA1652" t="n">
        <v>2.5</v>
      </c>
      <c r="AB1652" t="n">
        <v>9.5</v>
      </c>
    </row>
    <row r="1653">
      <c r="A1653" t="inlineStr">
        <is>
          <t>2026-09-24 17:12:08</t>
        </is>
      </c>
      <c r="B1653" t="inlineStr">
        <is>
          <t>MLLB_000_y1.0.3</t>
        </is>
      </c>
      <c r="C1653" t="inlineStr">
        <is>
          <t>WHITE</t>
        </is>
      </c>
      <c r="D1653" t="inlineStr">
        <is>
          <t>v4_white_MLLB_000_y103_0924</t>
        </is>
      </c>
      <c r="E1653" t="n">
        <v>3</v>
      </c>
      <c r="F1653" t="n">
        <v>3.008</v>
      </c>
      <c r="G1653" t="n">
        <v>7</v>
      </c>
      <c r="H1653" t="n">
        <v>80</v>
      </c>
      <c r="I1653" t="n">
        <v>12</v>
      </c>
      <c r="J1653" t="inlineStr">
        <is>
          <t>kaba</t>
        </is>
      </c>
      <c r="K1653" t="b">
        <v>1</v>
      </c>
      <c r="M1653" t="n">
        <v>340</v>
      </c>
      <c r="N1653" t="n">
        <v>54</v>
      </c>
      <c r="O1653" t="n">
        <v>310</v>
      </c>
      <c r="P1653" t="n">
        <v>662</v>
      </c>
      <c r="Q1653" t="n">
        <v>1002</v>
      </c>
      <c r="R1653" t="n">
        <v>1.107</v>
      </c>
      <c r="S1653" t="n">
        <v>12.995</v>
      </c>
      <c r="T1653" t="n">
        <v>11.736</v>
      </c>
      <c r="U1653" t="n">
        <v>0.7776999999999999</v>
      </c>
      <c r="V1653" t="b">
        <v>1</v>
      </c>
      <c r="X1653" t="b">
        <v>0</v>
      </c>
      <c r="Y1653" t="inlineStr">
        <is>
          <t>ON</t>
        </is>
      </c>
      <c r="Z1653" t="n">
        <v>935</v>
      </c>
      <c r="AA1653" t="n">
        <v>2.5</v>
      </c>
      <c r="AB1653" t="n">
        <v>9.5</v>
      </c>
    </row>
    <row r="1654">
      <c r="A1654" t="inlineStr">
        <is>
          <t>2026-09-24 17:12:24</t>
        </is>
      </c>
      <c r="B1654" t="inlineStr">
        <is>
          <t>MLLB_000_y1.0.3</t>
        </is>
      </c>
      <c r="C1654" t="inlineStr">
        <is>
          <t>WHITE</t>
        </is>
      </c>
      <c r="D1654" t="inlineStr">
        <is>
          <t>v4_white_MLLB_000_y103_0924</t>
        </is>
      </c>
      <c r="E1654" t="n">
        <v>3</v>
      </c>
      <c r="F1654" t="n">
        <v>3.008</v>
      </c>
      <c r="G1654" t="n">
        <v>7</v>
      </c>
      <c r="H1654" t="n">
        <v>80</v>
      </c>
      <c r="I1654" t="n">
        <v>16</v>
      </c>
      <c r="J1654" t="inlineStr">
        <is>
          <t>kaba</t>
        </is>
      </c>
      <c r="K1654" t="b">
        <v>1</v>
      </c>
      <c r="M1654" t="n">
        <v>284</v>
      </c>
      <c r="N1654" t="n">
        <v>54</v>
      </c>
      <c r="O1654" t="n">
        <v>254</v>
      </c>
      <c r="P1654" t="n">
        <v>718</v>
      </c>
      <c r="Q1654" t="n">
        <v>1002</v>
      </c>
      <c r="R1654" t="n">
        <v>1.09</v>
      </c>
      <c r="S1654" t="n">
        <v>12.822</v>
      </c>
      <c r="T1654" t="n">
        <v>11.768</v>
      </c>
      <c r="U1654" t="n">
        <v>0.7776999999999999</v>
      </c>
      <c r="V1654" t="b">
        <v>1</v>
      </c>
      <c r="X1654" t="b">
        <v>0</v>
      </c>
      <c r="Y1654" t="inlineStr">
        <is>
          <t>ON</t>
        </is>
      </c>
      <c r="Z1654" t="n">
        <v>935</v>
      </c>
      <c r="AA1654" t="n">
        <v>2.5</v>
      </c>
      <c r="AB1654" t="n">
        <v>9.5</v>
      </c>
    </row>
    <row r="1655">
      <c r="A1655" t="inlineStr">
        <is>
          <t>2026-09-24 17:12:40</t>
        </is>
      </c>
      <c r="B1655" t="inlineStr">
        <is>
          <t>MLLB_000_y1.0.3</t>
        </is>
      </c>
      <c r="C1655" t="inlineStr">
        <is>
          <t>WHITE</t>
        </is>
      </c>
      <c r="D1655" t="inlineStr">
        <is>
          <t>v4_white_MLLB_000_y103_0924</t>
        </is>
      </c>
      <c r="E1655" t="n">
        <v>3</v>
      </c>
      <c r="F1655" t="n">
        <v>3.008</v>
      </c>
      <c r="G1655" t="n">
        <v>7</v>
      </c>
      <c r="H1655" t="n">
        <v>80</v>
      </c>
      <c r="I1655" t="n">
        <v>20</v>
      </c>
      <c r="J1655" t="inlineStr">
        <is>
          <t>kaba</t>
        </is>
      </c>
      <c r="K1655" t="b">
        <v>1</v>
      </c>
      <c r="M1655" t="n">
        <v>230</v>
      </c>
      <c r="N1655" t="n">
        <v>56</v>
      </c>
      <c r="O1655" t="n">
        <v>200</v>
      </c>
      <c r="P1655" t="n">
        <v>772</v>
      </c>
      <c r="Q1655" t="n">
        <v>1002</v>
      </c>
      <c r="R1655" t="n">
        <v>1.086</v>
      </c>
      <c r="S1655" t="n">
        <v>12.856</v>
      </c>
      <c r="T1655" t="n">
        <v>11.842</v>
      </c>
      <c r="U1655" t="n">
        <v>0.7773</v>
      </c>
      <c r="V1655" t="b">
        <v>1</v>
      </c>
      <c r="X1655" t="b">
        <v>0</v>
      </c>
      <c r="Y1655" t="inlineStr">
        <is>
          <t>ON</t>
        </is>
      </c>
      <c r="Z1655" t="n">
        <v>935</v>
      </c>
      <c r="AA1655" t="n">
        <v>2.5</v>
      </c>
      <c r="AB1655" t="n">
        <v>9.5</v>
      </c>
    </row>
    <row r="1656">
      <c r="A1656" t="inlineStr">
        <is>
          <t>2026-09-24 17:12:55</t>
        </is>
      </c>
      <c r="B1656" t="inlineStr">
        <is>
          <t>MLLB_000_y1.0.3</t>
        </is>
      </c>
      <c r="C1656" t="inlineStr">
        <is>
          <t>WHITE</t>
        </is>
      </c>
      <c r="D1656" t="inlineStr">
        <is>
          <t>v4_white_MLLB_000_y103_0924</t>
        </is>
      </c>
      <c r="E1656" t="n">
        <v>3</v>
      </c>
      <c r="F1656" t="n">
        <v>3.008</v>
      </c>
      <c r="G1656" t="n">
        <v>7</v>
      </c>
      <c r="H1656" t="n">
        <v>80</v>
      </c>
      <c r="I1656" t="n">
        <v>24</v>
      </c>
      <c r="J1656" t="inlineStr">
        <is>
          <t>kaba</t>
        </is>
      </c>
      <c r="K1656" t="b">
        <v>1</v>
      </c>
      <c r="M1656" t="n">
        <v>174</v>
      </c>
      <c r="N1656" t="n">
        <v>56</v>
      </c>
      <c r="O1656" t="n">
        <v>144</v>
      </c>
      <c r="P1656" t="n">
        <v>828</v>
      </c>
      <c r="Q1656" t="n">
        <v>1002</v>
      </c>
      <c r="R1656" t="n">
        <v>1.085</v>
      </c>
      <c r="S1656" t="n">
        <v>12.903</v>
      </c>
      <c r="T1656" t="n">
        <v>11.894</v>
      </c>
      <c r="U1656" t="n">
        <v>0.7773</v>
      </c>
      <c r="V1656" t="b">
        <v>1</v>
      </c>
      <c r="X1656" t="b">
        <v>0</v>
      </c>
      <c r="Y1656" t="inlineStr">
        <is>
          <t>ON</t>
        </is>
      </c>
      <c r="Z1656" t="n">
        <v>935</v>
      </c>
      <c r="AA1656" t="n">
        <v>2.5</v>
      </c>
      <c r="AB1656" t="n">
        <v>9.5</v>
      </c>
    </row>
    <row r="1657">
      <c r="A1657" t="inlineStr">
        <is>
          <t>2026-09-24 17:13:12</t>
        </is>
      </c>
      <c r="B1657" t="inlineStr">
        <is>
          <t>MLLB_000_y1.0.3</t>
        </is>
      </c>
      <c r="C1657" t="inlineStr">
        <is>
          <t>WHITE</t>
        </is>
      </c>
      <c r="D1657" t="inlineStr">
        <is>
          <t>v4_white_MLLB_000_y103_0924</t>
        </is>
      </c>
      <c r="E1657" t="n">
        <v>3</v>
      </c>
      <c r="F1657" t="n">
        <v>3.008</v>
      </c>
      <c r="G1657" t="n">
        <v>7</v>
      </c>
      <c r="H1657" t="n">
        <v>80</v>
      </c>
      <c r="I1657" t="n">
        <v>28</v>
      </c>
      <c r="J1657" t="inlineStr">
        <is>
          <t>kaba</t>
        </is>
      </c>
      <c r="K1657" t="b">
        <v>1</v>
      </c>
      <c r="M1657" t="n">
        <v>118</v>
      </c>
      <c r="N1657" t="n">
        <v>50</v>
      </c>
      <c r="O1657" t="n">
        <v>88</v>
      </c>
      <c r="P1657" t="n">
        <v>884</v>
      </c>
      <c r="Q1657" t="n">
        <v>1002</v>
      </c>
      <c r="R1657" t="n">
        <v>1.088</v>
      </c>
      <c r="S1657" t="n">
        <v>12.995</v>
      </c>
      <c r="T1657" t="n">
        <v>11.948</v>
      </c>
      <c r="U1657" t="n">
        <v>0.7781</v>
      </c>
      <c r="V1657" t="b">
        <v>1</v>
      </c>
      <c r="X1657" t="b">
        <v>0</v>
      </c>
      <c r="Y1657" t="inlineStr">
        <is>
          <t>ON</t>
        </is>
      </c>
      <c r="Z1657" t="n">
        <v>935</v>
      </c>
      <c r="AA1657" t="n">
        <v>2.5</v>
      </c>
      <c r="AB1657" t="n">
        <v>9.5</v>
      </c>
    </row>
    <row r="1658">
      <c r="A1658" t="inlineStr">
        <is>
          <t>2026-09-24 17:13:24</t>
        </is>
      </c>
      <c r="B1658" t="inlineStr">
        <is>
          <t>MLLB_000_y1.0.3</t>
        </is>
      </c>
      <c r="C1658" t="inlineStr">
        <is>
          <t>WHITE</t>
        </is>
      </c>
      <c r="D1658" t="inlineStr">
        <is>
          <t>v4_white_MLLB_000_y103_0924</t>
        </is>
      </c>
      <c r="E1658" t="n">
        <v>3</v>
      </c>
      <c r="F1658" t="n">
        <v>3.008</v>
      </c>
      <c r="G1658" t="n">
        <v>7</v>
      </c>
      <c r="H1658" t="n">
        <v>80</v>
      </c>
      <c r="I1658" t="n">
        <v>32</v>
      </c>
      <c r="J1658" t="inlineStr">
        <is>
          <t>kaba</t>
        </is>
      </c>
      <c r="K1658" t="b">
        <v>1</v>
      </c>
      <c r="M1658" t="n">
        <v>60</v>
      </c>
      <c r="N1658" t="n">
        <v>54</v>
      </c>
      <c r="O1658" t="n">
        <v>30</v>
      </c>
      <c r="P1658" t="n">
        <v>942</v>
      </c>
      <c r="Q1658" t="n">
        <v>1002</v>
      </c>
      <c r="R1658" t="n">
        <v>1.091</v>
      </c>
      <c r="S1658" t="n">
        <v>12.995</v>
      </c>
      <c r="T1658" t="n">
        <v>11.914</v>
      </c>
      <c r="U1658" t="n">
        <v>0.7776999999999999</v>
      </c>
      <c r="V1658" t="b">
        <v>1</v>
      </c>
      <c r="X1658" t="b">
        <v>1</v>
      </c>
      <c r="Z1658" t="n">
        <v>935</v>
      </c>
      <c r="AA1658" t="n">
        <v>2.5</v>
      </c>
      <c r="AB1658" t="n">
        <v>9.5</v>
      </c>
    </row>
    <row r="1659">
      <c r="A1659" t="inlineStr">
        <is>
          <t>2026-09-24 17:13:40</t>
        </is>
      </c>
      <c r="B1659" t="inlineStr">
        <is>
          <t>MLLB_000_y1.0.3</t>
        </is>
      </c>
      <c r="C1659" t="inlineStr">
        <is>
          <t>WHITE</t>
        </is>
      </c>
      <c r="D1659" t="inlineStr">
        <is>
          <t>v4_white_MLLB_000_y103_0924</t>
        </is>
      </c>
      <c r="E1659" t="n">
        <v>3</v>
      </c>
      <c r="F1659" t="n">
        <v>3.008</v>
      </c>
      <c r="G1659" t="n">
        <v>7</v>
      </c>
      <c r="H1659" t="n">
        <v>80</v>
      </c>
      <c r="I1659" t="n">
        <v>36</v>
      </c>
      <c r="J1659" t="inlineStr">
        <is>
          <t>kaba</t>
        </is>
      </c>
      <c r="K1659" t="b">
        <v>1</v>
      </c>
      <c r="M1659" t="n">
        <v>42</v>
      </c>
      <c r="N1659" t="n">
        <v>28</v>
      </c>
      <c r="O1659" t="n">
        <v>22</v>
      </c>
      <c r="P1659" t="n">
        <v>960</v>
      </c>
      <c r="Q1659" t="n">
        <v>1002</v>
      </c>
      <c r="R1659" t="n">
        <v>6.238</v>
      </c>
      <c r="S1659" t="n">
        <v>74.405</v>
      </c>
      <c r="T1659" t="n">
        <v>11.928</v>
      </c>
      <c r="U1659" t="n">
        <v>0.7776</v>
      </c>
      <c r="V1659" t="b">
        <v>1</v>
      </c>
      <c r="X1659" t="b">
        <v>0</v>
      </c>
      <c r="Y1659" t="inlineStr">
        <is>
          <t>FLAS</t>
        </is>
      </c>
      <c r="Z1659" t="n">
        <v>935</v>
      </c>
      <c r="AA1659" t="n">
        <v>2.5</v>
      </c>
      <c r="AB1659" t="n">
        <v>9.5</v>
      </c>
    </row>
    <row r="1660">
      <c r="A1660" t="inlineStr">
        <is>
          <t>2026-09-24 17:13:56</t>
        </is>
      </c>
      <c r="B1660" t="inlineStr">
        <is>
          <t>MLLB_000_y1.0.3</t>
        </is>
      </c>
      <c r="C1660" t="inlineStr">
        <is>
          <t>WHITE</t>
        </is>
      </c>
      <c r="D1660" t="inlineStr">
        <is>
          <t>v4_white_MLLB_000_y103_0924</t>
        </is>
      </c>
      <c r="E1660" t="n">
        <v>3</v>
      </c>
      <c r="F1660" t="n">
        <v>3.008</v>
      </c>
      <c r="G1660" t="n">
        <v>7</v>
      </c>
      <c r="H1660" t="n">
        <v>80</v>
      </c>
      <c r="I1660" t="n">
        <v>29</v>
      </c>
      <c r="J1660" t="inlineStr">
        <is>
          <t>ince</t>
        </is>
      </c>
      <c r="K1660" t="b">
        <v>1</v>
      </c>
      <c r="M1660" t="n">
        <v>104</v>
      </c>
      <c r="N1660" t="n">
        <v>54</v>
      </c>
      <c r="O1660" t="n">
        <v>74</v>
      </c>
      <c r="P1660" t="n">
        <v>898</v>
      </c>
      <c r="Q1660" t="n">
        <v>1002</v>
      </c>
      <c r="R1660" t="n">
        <v>1.083</v>
      </c>
      <c r="S1660" t="n">
        <v>12.92</v>
      </c>
      <c r="T1660" t="n">
        <v>11.933</v>
      </c>
      <c r="U1660" t="n">
        <v>0.7776999999999999</v>
      </c>
      <c r="V1660" t="b">
        <v>1</v>
      </c>
      <c r="X1660" t="b">
        <v>0</v>
      </c>
      <c r="Y1660" t="inlineStr">
        <is>
          <t>ON</t>
        </is>
      </c>
      <c r="Z1660" t="n">
        <v>935</v>
      </c>
      <c r="AA1660" t="n">
        <v>2.5</v>
      </c>
      <c r="AB1660" t="n">
        <v>9.5</v>
      </c>
    </row>
    <row r="1661">
      <c r="A1661" t="inlineStr">
        <is>
          <t>2026-09-24 17:14:12</t>
        </is>
      </c>
      <c r="B1661" t="inlineStr">
        <is>
          <t>MLLB_000_y1.0.3</t>
        </is>
      </c>
      <c r="C1661" t="inlineStr">
        <is>
          <t>WHITE</t>
        </is>
      </c>
      <c r="D1661" t="inlineStr">
        <is>
          <t>v4_white_MLLB_000_y103_0924</t>
        </is>
      </c>
      <c r="E1661" t="n">
        <v>3</v>
      </c>
      <c r="F1661" t="n">
        <v>3.008</v>
      </c>
      <c r="G1661" t="n">
        <v>7</v>
      </c>
      <c r="H1661" t="n">
        <v>80</v>
      </c>
      <c r="I1661" t="n">
        <v>30</v>
      </c>
      <c r="J1661" t="inlineStr">
        <is>
          <t>ince</t>
        </is>
      </c>
      <c r="K1661" t="b">
        <v>1</v>
      </c>
      <c r="M1661" t="n">
        <v>90</v>
      </c>
      <c r="N1661" t="n">
        <v>52</v>
      </c>
      <c r="O1661" t="n">
        <v>58</v>
      </c>
      <c r="P1661" t="n">
        <v>912</v>
      </c>
      <c r="Q1661" t="n">
        <v>1002</v>
      </c>
      <c r="R1661" t="n">
        <v>1.078</v>
      </c>
      <c r="S1661" t="n">
        <v>12.856</v>
      </c>
      <c r="T1661" t="n">
        <v>11.927</v>
      </c>
      <c r="U1661" t="n">
        <v>0.7781</v>
      </c>
      <c r="V1661" t="b">
        <v>1</v>
      </c>
      <c r="X1661" t="b">
        <v>0</v>
      </c>
      <c r="Y1661" t="inlineStr">
        <is>
          <t>ON</t>
        </is>
      </c>
      <c r="Z1661" t="n">
        <v>935</v>
      </c>
      <c r="AA1661" t="n">
        <v>2.5</v>
      </c>
      <c r="AB1661" t="n">
        <v>9.5</v>
      </c>
    </row>
    <row r="1662">
      <c r="A1662" t="inlineStr">
        <is>
          <t>2026-09-24 17:14:28</t>
        </is>
      </c>
      <c r="B1662" t="inlineStr">
        <is>
          <t>MLLB_000_y1.0.3</t>
        </is>
      </c>
      <c r="C1662" t="inlineStr">
        <is>
          <t>WHITE</t>
        </is>
      </c>
      <c r="D1662" t="inlineStr">
        <is>
          <t>v4_white_MLLB_000_y103_0924</t>
        </is>
      </c>
      <c r="E1662" t="n">
        <v>3</v>
      </c>
      <c r="F1662" t="n">
        <v>3.008</v>
      </c>
      <c r="G1662" t="n">
        <v>7</v>
      </c>
      <c r="H1662" t="n">
        <v>80</v>
      </c>
      <c r="I1662" t="n">
        <v>31</v>
      </c>
      <c r="J1662" t="inlineStr">
        <is>
          <t>ince</t>
        </is>
      </c>
      <c r="K1662" t="b">
        <v>1</v>
      </c>
      <c r="M1662" t="n">
        <v>76</v>
      </c>
      <c r="N1662" t="n">
        <v>56</v>
      </c>
      <c r="O1662" t="n">
        <v>44</v>
      </c>
      <c r="P1662" t="n">
        <v>926</v>
      </c>
      <c r="Q1662" t="n">
        <v>1002</v>
      </c>
      <c r="R1662" t="n">
        <v>1.079</v>
      </c>
      <c r="S1662" t="n">
        <v>12.903</v>
      </c>
      <c r="T1662" t="n">
        <v>11.957</v>
      </c>
      <c r="U1662" t="n">
        <v>0.7776</v>
      </c>
      <c r="V1662" t="b">
        <v>1</v>
      </c>
      <c r="X1662" t="b">
        <v>0</v>
      </c>
      <c r="Y1662" t="inlineStr">
        <is>
          <t>ON</t>
        </is>
      </c>
      <c r="Z1662" t="n">
        <v>935</v>
      </c>
      <c r="AA1662" t="n">
        <v>2.5</v>
      </c>
      <c r="AB1662" t="n">
        <v>9.5</v>
      </c>
    </row>
    <row r="1663">
      <c r="A1663" t="inlineStr">
        <is>
          <t>2026-09-24 17:14:44</t>
        </is>
      </c>
      <c r="B1663" t="inlineStr">
        <is>
          <t>MLLB_000_y1.0.3</t>
        </is>
      </c>
      <c r="C1663" t="inlineStr">
        <is>
          <t>WHITE</t>
        </is>
      </c>
      <c r="D1663" t="inlineStr">
        <is>
          <t>v4_white_MLLB_000_y103_0924</t>
        </is>
      </c>
      <c r="E1663" t="n">
        <v>3</v>
      </c>
      <c r="F1663" t="n">
        <v>3.008</v>
      </c>
      <c r="G1663" t="n">
        <v>7</v>
      </c>
      <c r="H1663" t="n">
        <v>80</v>
      </c>
      <c r="I1663" t="n">
        <v>33</v>
      </c>
      <c r="J1663" t="inlineStr">
        <is>
          <t>ince</t>
        </is>
      </c>
      <c r="K1663" t="b">
        <v>1</v>
      </c>
      <c r="M1663" t="n">
        <v>46</v>
      </c>
      <c r="N1663" t="n">
        <v>44</v>
      </c>
      <c r="O1663" t="n">
        <v>24</v>
      </c>
      <c r="P1663" t="n">
        <v>956</v>
      </c>
      <c r="Q1663" t="n">
        <v>1002</v>
      </c>
      <c r="R1663" t="n">
        <v>1.089</v>
      </c>
      <c r="S1663" t="n">
        <v>12.995</v>
      </c>
      <c r="T1663" t="n">
        <v>11.939</v>
      </c>
      <c r="U1663" t="n">
        <v>0.7776</v>
      </c>
      <c r="V1663" t="b">
        <v>1</v>
      </c>
      <c r="X1663" t="b">
        <v>1</v>
      </c>
      <c r="Z1663" t="n">
        <v>935</v>
      </c>
      <c r="AA1663" t="n">
        <v>2.5</v>
      </c>
      <c r="AB1663" t="n">
        <v>9.5</v>
      </c>
    </row>
    <row r="1664">
      <c r="A1664" t="inlineStr">
        <is>
          <t>2026-09-24 17:15:00</t>
        </is>
      </c>
      <c r="B1664" t="inlineStr">
        <is>
          <t>MLLB_000_y1.0.3</t>
        </is>
      </c>
      <c r="C1664" t="inlineStr">
        <is>
          <t>WHITE</t>
        </is>
      </c>
      <c r="D1664" t="inlineStr">
        <is>
          <t>v4_white_MLLB_000_y103_0924</t>
        </is>
      </c>
      <c r="E1664" t="n">
        <v>3</v>
      </c>
      <c r="F1664" t="n">
        <v>3.008</v>
      </c>
      <c r="G1664" t="n">
        <v>7</v>
      </c>
      <c r="H1664" t="n">
        <v>80</v>
      </c>
      <c r="I1664" t="n">
        <v>34</v>
      </c>
      <c r="J1664" t="inlineStr">
        <is>
          <t>ince</t>
        </is>
      </c>
      <c r="K1664" t="b">
        <v>1</v>
      </c>
      <c r="M1664" t="n">
        <v>42</v>
      </c>
      <c r="N1664" t="n">
        <v>28</v>
      </c>
      <c r="O1664" t="n">
        <v>22</v>
      </c>
      <c r="P1664" t="n">
        <v>960</v>
      </c>
      <c r="Q1664" t="n">
        <v>1002</v>
      </c>
      <c r="R1664" t="n">
        <v>1.081</v>
      </c>
      <c r="S1664" t="n">
        <v>12.903</v>
      </c>
      <c r="T1664" t="n">
        <v>11.937</v>
      </c>
      <c r="U1664" t="n">
        <v>0.7778</v>
      </c>
      <c r="V1664" t="b">
        <v>1</v>
      </c>
      <c r="X1664" t="b">
        <v>1</v>
      </c>
      <c r="Z1664" t="n">
        <v>935</v>
      </c>
      <c r="AA1664" t="n">
        <v>2.5</v>
      </c>
      <c r="AB1664" t="n">
        <v>9.5</v>
      </c>
    </row>
    <row r="1665">
      <c r="A1665" t="inlineStr">
        <is>
          <t>2026-09-24 17:15:16</t>
        </is>
      </c>
      <c r="B1665" t="inlineStr">
        <is>
          <t>MLLB_000_y1.0.3</t>
        </is>
      </c>
      <c r="C1665" t="inlineStr">
        <is>
          <t>WHITE</t>
        </is>
      </c>
      <c r="D1665" t="inlineStr">
        <is>
          <t>v4_white_MLLB_000_y103_0924</t>
        </is>
      </c>
      <c r="E1665" t="n">
        <v>3</v>
      </c>
      <c r="F1665" t="n">
        <v>3.008</v>
      </c>
      <c r="G1665" t="n">
        <v>7</v>
      </c>
      <c r="H1665" t="n">
        <v>80</v>
      </c>
      <c r="I1665" t="n">
        <v>35</v>
      </c>
      <c r="J1665" t="inlineStr">
        <is>
          <t>ince</t>
        </is>
      </c>
      <c r="K1665" t="b">
        <v>1</v>
      </c>
      <c r="M1665" t="n">
        <v>42</v>
      </c>
      <c r="N1665" t="n">
        <v>28</v>
      </c>
      <c r="O1665" t="n">
        <v>22</v>
      </c>
      <c r="P1665" t="n">
        <v>960</v>
      </c>
      <c r="Q1665" t="n">
        <v>1002</v>
      </c>
      <c r="R1665" t="n">
        <v>1.606</v>
      </c>
      <c r="S1665" t="n">
        <v>19.165</v>
      </c>
      <c r="T1665" t="n">
        <v>11.93</v>
      </c>
      <c r="U1665" t="n">
        <v>0.7776</v>
      </c>
      <c r="V1665" t="b">
        <v>1</v>
      </c>
      <c r="X1665" t="b">
        <v>1</v>
      </c>
      <c r="Z1665" t="n">
        <v>935</v>
      </c>
      <c r="AA1665" t="n">
        <v>2.5</v>
      </c>
      <c r="AB1665" t="n">
        <v>9.5</v>
      </c>
    </row>
    <row r="1666">
      <c r="A1666" t="inlineStr">
        <is>
          <t>2026-09-24 17:15:16</t>
        </is>
      </c>
      <c r="B1666" t="inlineStr">
        <is>
          <t>MLLB_000_y1.0.3</t>
        </is>
      </c>
      <c r="C1666" t="inlineStr">
        <is>
          <t>WHITE</t>
        </is>
      </c>
      <c r="D1666" t="inlineStr">
        <is>
          <t>v4_white_MLLB_000_y103_0924</t>
        </is>
      </c>
      <c r="E1666" t="n">
        <v>3</v>
      </c>
      <c r="F1666" t="n">
        <v>3.008</v>
      </c>
      <c r="G1666" t="n">
        <v>7</v>
      </c>
      <c r="H1666" t="n">
        <v>80</v>
      </c>
      <c r="J1666" t="inlineStr">
        <is>
          <t>bitti</t>
        </is>
      </c>
      <c r="K1666" t="b">
        <v>0</v>
      </c>
      <c r="Z1666" t="n">
        <v>935</v>
      </c>
      <c r="AA1666" t="n">
        <v>2.5</v>
      </c>
      <c r="AB1666" t="n">
        <v>9.5</v>
      </c>
    </row>
    <row r="1667">
      <c r="A1667" t="inlineStr">
        <is>
          <t>2026-09-24 17:15:28</t>
        </is>
      </c>
      <c r="B1667" t="inlineStr">
        <is>
          <t>MLLB_000_y1.0.3</t>
        </is>
      </c>
      <c r="C1667" t="inlineStr">
        <is>
          <t>WHITE</t>
        </is>
      </c>
      <c r="D1667" t="inlineStr">
        <is>
          <t>v4_white_MLLB_000_y103_0924</t>
        </is>
      </c>
      <c r="E1667" t="n">
        <v>3</v>
      </c>
      <c r="F1667" t="n">
        <v>3.008</v>
      </c>
      <c r="G1667" t="n">
        <v>7</v>
      </c>
      <c r="H1667" t="n">
        <v>60</v>
      </c>
      <c r="I1667" t="n">
        <v>12</v>
      </c>
      <c r="J1667" t="inlineStr">
        <is>
          <t>kaba</t>
        </is>
      </c>
      <c r="K1667" t="b">
        <v>1</v>
      </c>
      <c r="M1667" t="n">
        <v>376</v>
      </c>
      <c r="N1667" t="n">
        <v>54</v>
      </c>
      <c r="O1667" t="n">
        <v>346</v>
      </c>
      <c r="P1667" t="n">
        <v>626</v>
      </c>
      <c r="Q1667" t="n">
        <v>1002</v>
      </c>
      <c r="R1667" t="n">
        <v>1.097</v>
      </c>
      <c r="S1667" t="n">
        <v>12.856</v>
      </c>
      <c r="T1667" t="n">
        <v>11.724</v>
      </c>
      <c r="U1667" t="n">
        <v>0.7779</v>
      </c>
      <c r="V1667" t="b">
        <v>1</v>
      </c>
      <c r="X1667" t="b">
        <v>0</v>
      </c>
      <c r="Y1667" t="inlineStr">
        <is>
          <t>ON</t>
        </is>
      </c>
      <c r="Z1667" t="n">
        <v>935</v>
      </c>
      <c r="AA1667" t="n">
        <v>2.5</v>
      </c>
      <c r="AB1667" t="n">
        <v>9.5</v>
      </c>
    </row>
    <row r="1668">
      <c r="A1668" t="inlineStr">
        <is>
          <t>2026-09-24 17:15:44</t>
        </is>
      </c>
      <c r="B1668" t="inlineStr">
        <is>
          <t>MLLB_000_y1.0.3</t>
        </is>
      </c>
      <c r="C1668" t="inlineStr">
        <is>
          <t>WHITE</t>
        </is>
      </c>
      <c r="D1668" t="inlineStr">
        <is>
          <t>v4_white_MLLB_000_y103_0924</t>
        </is>
      </c>
      <c r="E1668" t="n">
        <v>3</v>
      </c>
      <c r="F1668" t="n">
        <v>3.008</v>
      </c>
      <c r="G1668" t="n">
        <v>7</v>
      </c>
      <c r="H1668" t="n">
        <v>60</v>
      </c>
      <c r="I1668" t="n">
        <v>16</v>
      </c>
      <c r="J1668" t="inlineStr">
        <is>
          <t>kaba</t>
        </is>
      </c>
      <c r="K1668" t="b">
        <v>1</v>
      </c>
      <c r="M1668" t="n">
        <v>338</v>
      </c>
      <c r="N1668" t="n">
        <v>54</v>
      </c>
      <c r="O1668" t="n">
        <v>306</v>
      </c>
      <c r="P1668" t="n">
        <v>664</v>
      </c>
      <c r="Q1668" t="n">
        <v>1002</v>
      </c>
      <c r="R1668" t="n">
        <v>1.092</v>
      </c>
      <c r="S1668" t="n">
        <v>12.856</v>
      </c>
      <c r="T1668" t="n">
        <v>11.77</v>
      </c>
      <c r="U1668" t="n">
        <v>0.7776</v>
      </c>
      <c r="V1668" t="b">
        <v>1</v>
      </c>
      <c r="X1668" t="b">
        <v>0</v>
      </c>
      <c r="Y1668" t="inlineStr">
        <is>
          <t>ON</t>
        </is>
      </c>
      <c r="Z1668" t="n">
        <v>935</v>
      </c>
      <c r="AA1668" t="n">
        <v>2.5</v>
      </c>
      <c r="AB1668" t="n">
        <v>9.5</v>
      </c>
    </row>
    <row r="1669">
      <c r="A1669" t="inlineStr">
        <is>
          <t>2026-09-24 17:15:59</t>
        </is>
      </c>
      <c r="B1669" t="inlineStr">
        <is>
          <t>MLLB_000_y1.0.3</t>
        </is>
      </c>
      <c r="C1669" t="inlineStr">
        <is>
          <t>WHITE</t>
        </is>
      </c>
      <c r="D1669" t="inlineStr">
        <is>
          <t>v4_white_MLLB_000_y103_0924</t>
        </is>
      </c>
      <c r="E1669" t="n">
        <v>3</v>
      </c>
      <c r="F1669" t="n">
        <v>3.008</v>
      </c>
      <c r="G1669" t="n">
        <v>7</v>
      </c>
      <c r="H1669" t="n">
        <v>60</v>
      </c>
      <c r="I1669" t="n">
        <v>20</v>
      </c>
      <c r="J1669" t="inlineStr">
        <is>
          <t>kaba</t>
        </is>
      </c>
      <c r="K1669" t="b">
        <v>1</v>
      </c>
      <c r="M1669" t="n">
        <v>298</v>
      </c>
      <c r="N1669" t="n">
        <v>52</v>
      </c>
      <c r="O1669" t="n">
        <v>268</v>
      </c>
      <c r="P1669" t="n">
        <v>704</v>
      </c>
      <c r="Q1669" t="n">
        <v>1002</v>
      </c>
      <c r="R1669" t="n">
        <v>1.092</v>
      </c>
      <c r="S1669" t="n">
        <v>12.903</v>
      </c>
      <c r="T1669" t="n">
        <v>11.813</v>
      </c>
      <c r="U1669" t="n">
        <v>0.7776</v>
      </c>
      <c r="V1669" t="b">
        <v>1</v>
      </c>
      <c r="X1669" t="b">
        <v>0</v>
      </c>
      <c r="Y1669" t="inlineStr">
        <is>
          <t>ON</t>
        </is>
      </c>
      <c r="Z1669" t="n">
        <v>935</v>
      </c>
      <c r="AA1669" t="n">
        <v>2.5</v>
      </c>
      <c r="AB1669" t="n">
        <v>9.5</v>
      </c>
    </row>
    <row r="1670">
      <c r="A1670" t="inlineStr">
        <is>
          <t>2026-09-24 17:16:16</t>
        </is>
      </c>
      <c r="B1670" t="inlineStr">
        <is>
          <t>MLLB_000_y1.0.3</t>
        </is>
      </c>
      <c r="C1670" t="inlineStr">
        <is>
          <t>WHITE</t>
        </is>
      </c>
      <c r="D1670" t="inlineStr">
        <is>
          <t>v4_white_MLLB_000_y103_0924</t>
        </is>
      </c>
      <c r="E1670" t="n">
        <v>3</v>
      </c>
      <c r="F1670" t="n">
        <v>3.008</v>
      </c>
      <c r="G1670" t="n">
        <v>7</v>
      </c>
      <c r="H1670" t="n">
        <v>60</v>
      </c>
      <c r="I1670" t="n">
        <v>24</v>
      </c>
      <c r="J1670" t="inlineStr">
        <is>
          <t>kaba</t>
        </is>
      </c>
      <c r="K1670" t="b">
        <v>1</v>
      </c>
      <c r="M1670" t="n">
        <v>258</v>
      </c>
      <c r="N1670" t="n">
        <v>52</v>
      </c>
      <c r="O1670" t="n">
        <v>228</v>
      </c>
      <c r="P1670" t="n">
        <v>744</v>
      </c>
      <c r="Q1670" t="n">
        <v>1002</v>
      </c>
      <c r="R1670" t="n">
        <v>1.092</v>
      </c>
      <c r="S1670" t="n">
        <v>12.903</v>
      </c>
      <c r="T1670" t="n">
        <v>11.817</v>
      </c>
      <c r="U1670" t="n">
        <v>0.7776999999999999</v>
      </c>
      <c r="V1670" t="b">
        <v>1</v>
      </c>
      <c r="X1670" t="b">
        <v>0</v>
      </c>
      <c r="Y1670" t="inlineStr">
        <is>
          <t>ON</t>
        </is>
      </c>
      <c r="Z1670" t="n">
        <v>935</v>
      </c>
      <c r="AA1670" t="n">
        <v>2.5</v>
      </c>
      <c r="AB1670" t="n">
        <v>9.5</v>
      </c>
    </row>
    <row r="1671">
      <c r="A1671" t="inlineStr">
        <is>
          <t>2026-09-24 17:16:32</t>
        </is>
      </c>
      <c r="B1671" t="inlineStr">
        <is>
          <t>MLLB_000_y1.0.3</t>
        </is>
      </c>
      <c r="C1671" t="inlineStr">
        <is>
          <t>WHITE</t>
        </is>
      </c>
      <c r="D1671" t="inlineStr">
        <is>
          <t>v4_white_MLLB_000_y103_0924</t>
        </is>
      </c>
      <c r="E1671" t="n">
        <v>3</v>
      </c>
      <c r="F1671" t="n">
        <v>3.008</v>
      </c>
      <c r="G1671" t="n">
        <v>7</v>
      </c>
      <c r="H1671" t="n">
        <v>60</v>
      </c>
      <c r="I1671" t="n">
        <v>28</v>
      </c>
      <c r="J1671" t="inlineStr">
        <is>
          <t>kaba</t>
        </is>
      </c>
      <c r="K1671" t="b">
        <v>1</v>
      </c>
      <c r="M1671" t="n">
        <v>216</v>
      </c>
      <c r="N1671" t="n">
        <v>54</v>
      </c>
      <c r="O1671" t="n">
        <v>186</v>
      </c>
      <c r="P1671" t="n">
        <v>786</v>
      </c>
      <c r="Q1671" t="n">
        <v>1002</v>
      </c>
      <c r="R1671" t="n">
        <v>1.087</v>
      </c>
      <c r="S1671" t="n">
        <v>12.903</v>
      </c>
      <c r="T1671" t="n">
        <v>11.872</v>
      </c>
      <c r="U1671" t="n">
        <v>0.7778</v>
      </c>
      <c r="V1671" t="b">
        <v>1</v>
      </c>
      <c r="X1671" t="b">
        <v>0</v>
      </c>
      <c r="Y1671" t="inlineStr">
        <is>
          <t>ON</t>
        </is>
      </c>
      <c r="Z1671" t="n">
        <v>935</v>
      </c>
      <c r="AA1671" t="n">
        <v>2.5</v>
      </c>
      <c r="AB1671" t="n">
        <v>9.5</v>
      </c>
    </row>
    <row r="1672">
      <c r="A1672" t="inlineStr">
        <is>
          <t>2026-09-24 17:16:48</t>
        </is>
      </c>
      <c r="B1672" t="inlineStr">
        <is>
          <t>MLLB_000_y1.0.3</t>
        </is>
      </c>
      <c r="C1672" t="inlineStr">
        <is>
          <t>WHITE</t>
        </is>
      </c>
      <c r="D1672" t="inlineStr">
        <is>
          <t>v4_white_MLLB_000_y103_0924</t>
        </is>
      </c>
      <c r="E1672" t="n">
        <v>3</v>
      </c>
      <c r="F1672" t="n">
        <v>3.008</v>
      </c>
      <c r="G1672" t="n">
        <v>7</v>
      </c>
      <c r="H1672" t="n">
        <v>60</v>
      </c>
      <c r="I1672" t="n">
        <v>32</v>
      </c>
      <c r="J1672" t="inlineStr">
        <is>
          <t>kaba</t>
        </is>
      </c>
      <c r="K1672" t="b">
        <v>1</v>
      </c>
      <c r="M1672" t="n">
        <v>176</v>
      </c>
      <c r="N1672" t="n">
        <v>54</v>
      </c>
      <c r="O1672" t="n">
        <v>146</v>
      </c>
      <c r="P1672" t="n">
        <v>826</v>
      </c>
      <c r="Q1672" t="n">
        <v>1002</v>
      </c>
      <c r="R1672" t="n">
        <v>1.084</v>
      </c>
      <c r="S1672" t="n">
        <v>12.903</v>
      </c>
      <c r="T1672" t="n">
        <v>11.902</v>
      </c>
      <c r="U1672" t="n">
        <v>0.7784</v>
      </c>
      <c r="V1672" t="b">
        <v>1</v>
      </c>
      <c r="X1672" t="b">
        <v>0</v>
      </c>
      <c r="Y1672" t="inlineStr">
        <is>
          <t>ON</t>
        </is>
      </c>
      <c r="Z1672" t="n">
        <v>935</v>
      </c>
      <c r="AA1672" t="n">
        <v>2.5</v>
      </c>
      <c r="AB1672" t="n">
        <v>9.5</v>
      </c>
    </row>
    <row r="1673">
      <c r="A1673" t="inlineStr">
        <is>
          <t>2026-09-24 17:17:04</t>
        </is>
      </c>
      <c r="B1673" t="inlineStr">
        <is>
          <t>MLLB_000_y1.0.3</t>
        </is>
      </c>
      <c r="C1673" t="inlineStr">
        <is>
          <t>WHITE</t>
        </is>
      </c>
      <c r="D1673" t="inlineStr">
        <is>
          <t>v4_white_MLLB_000_y103_0924</t>
        </is>
      </c>
      <c r="E1673" t="n">
        <v>3</v>
      </c>
      <c r="F1673" t="n">
        <v>3.008</v>
      </c>
      <c r="G1673" t="n">
        <v>7</v>
      </c>
      <c r="H1673" t="n">
        <v>60</v>
      </c>
      <c r="I1673" t="n">
        <v>36</v>
      </c>
      <c r="J1673" t="inlineStr">
        <is>
          <t>kaba</t>
        </is>
      </c>
      <c r="K1673" t="b">
        <v>1</v>
      </c>
      <c r="M1673" t="n">
        <v>134</v>
      </c>
      <c r="N1673" t="n">
        <v>54</v>
      </c>
      <c r="O1673" t="n">
        <v>106</v>
      </c>
      <c r="P1673" t="n">
        <v>868</v>
      </c>
      <c r="Q1673" t="n">
        <v>1002</v>
      </c>
      <c r="R1673" t="n">
        <v>1.091</v>
      </c>
      <c r="S1673" t="n">
        <v>12.995</v>
      </c>
      <c r="T1673" t="n">
        <v>11.916</v>
      </c>
      <c r="U1673" t="n">
        <v>0.7779</v>
      </c>
      <c r="V1673" t="b">
        <v>1</v>
      </c>
      <c r="X1673" t="b">
        <v>0</v>
      </c>
      <c r="Y1673" t="inlineStr">
        <is>
          <t>ON</t>
        </is>
      </c>
      <c r="Z1673" t="n">
        <v>935</v>
      </c>
      <c r="AA1673" t="n">
        <v>2.5</v>
      </c>
      <c r="AB1673" t="n">
        <v>9.5</v>
      </c>
    </row>
    <row r="1674">
      <c r="A1674" t="inlineStr">
        <is>
          <t>2026-09-24 17:17:20</t>
        </is>
      </c>
      <c r="B1674" t="inlineStr">
        <is>
          <t>MLLB_000_y1.0.3</t>
        </is>
      </c>
      <c r="C1674" t="inlineStr">
        <is>
          <t>WHITE</t>
        </is>
      </c>
      <c r="D1674" t="inlineStr">
        <is>
          <t>v4_white_MLLB_000_y103_0924</t>
        </is>
      </c>
      <c r="E1674" t="n">
        <v>3</v>
      </c>
      <c r="F1674" t="n">
        <v>3.008</v>
      </c>
      <c r="G1674" t="n">
        <v>7</v>
      </c>
      <c r="H1674" t="n">
        <v>60</v>
      </c>
      <c r="I1674" t="n">
        <v>40</v>
      </c>
      <c r="J1674" t="inlineStr">
        <is>
          <t>kaba</t>
        </is>
      </c>
      <c r="K1674" t="b">
        <v>1</v>
      </c>
      <c r="M1674" t="n">
        <v>92</v>
      </c>
      <c r="N1674" t="n">
        <v>54</v>
      </c>
      <c r="O1674" t="n">
        <v>62</v>
      </c>
      <c r="P1674" t="n">
        <v>910</v>
      </c>
      <c r="Q1674" t="n">
        <v>1002</v>
      </c>
      <c r="R1674" t="n">
        <v>1.077</v>
      </c>
      <c r="S1674" t="n">
        <v>12.856</v>
      </c>
      <c r="T1674" t="n">
        <v>11.936</v>
      </c>
      <c r="U1674" t="n">
        <v>0.7778</v>
      </c>
      <c r="V1674" t="b">
        <v>1</v>
      </c>
      <c r="X1674" t="b">
        <v>0</v>
      </c>
      <c r="Y1674" t="inlineStr">
        <is>
          <t>ON</t>
        </is>
      </c>
      <c r="Z1674" t="n">
        <v>935</v>
      </c>
      <c r="AA1674" t="n">
        <v>2.5</v>
      </c>
      <c r="AB1674" t="n">
        <v>9.5</v>
      </c>
    </row>
    <row r="1675">
      <c r="A1675" t="inlineStr">
        <is>
          <t>2026-09-24 17:17:35</t>
        </is>
      </c>
      <c r="B1675" t="inlineStr">
        <is>
          <t>MLLB_000_y1.0.3</t>
        </is>
      </c>
      <c r="C1675" t="inlineStr">
        <is>
          <t>WHITE</t>
        </is>
      </c>
      <c r="D1675" t="inlineStr">
        <is>
          <t>v4_white_MLLB_000_y103_0924</t>
        </is>
      </c>
      <c r="E1675" t="n">
        <v>3</v>
      </c>
      <c r="F1675" t="n">
        <v>3.008</v>
      </c>
      <c r="G1675" t="n">
        <v>7</v>
      </c>
      <c r="H1675" t="n">
        <v>60</v>
      </c>
      <c r="I1675" t="n">
        <v>44</v>
      </c>
      <c r="J1675" t="inlineStr">
        <is>
          <t>kaba</t>
        </is>
      </c>
      <c r="K1675" t="b">
        <v>1</v>
      </c>
      <c r="M1675" t="n">
        <v>52</v>
      </c>
      <c r="N1675" t="n">
        <v>40</v>
      </c>
      <c r="O1675" t="n">
        <v>32</v>
      </c>
      <c r="P1675" t="n">
        <v>950</v>
      </c>
      <c r="Q1675" t="n">
        <v>1002</v>
      </c>
      <c r="R1675" t="n">
        <v>1.078</v>
      </c>
      <c r="S1675" t="n">
        <v>12.873</v>
      </c>
      <c r="T1675" t="n">
        <v>11.938</v>
      </c>
      <c r="U1675" t="n">
        <v>0.7779</v>
      </c>
      <c r="V1675" t="b">
        <v>1</v>
      </c>
      <c r="X1675" t="b">
        <v>1</v>
      </c>
      <c r="Z1675" t="n">
        <v>935</v>
      </c>
      <c r="AA1675" t="n">
        <v>2.5</v>
      </c>
      <c r="AB1675" t="n">
        <v>9.5</v>
      </c>
    </row>
    <row r="1676">
      <c r="A1676" t="inlineStr">
        <is>
          <t>2026-09-24 17:17:52</t>
        </is>
      </c>
      <c r="B1676" t="inlineStr">
        <is>
          <t>MLLB_000_y1.0.3</t>
        </is>
      </c>
      <c r="C1676" t="inlineStr">
        <is>
          <t>WHITE</t>
        </is>
      </c>
      <c r="D1676" t="inlineStr">
        <is>
          <t>v4_white_MLLB_000_y103_0924</t>
        </is>
      </c>
      <c r="E1676" t="n">
        <v>3</v>
      </c>
      <c r="F1676" t="n">
        <v>3.008</v>
      </c>
      <c r="G1676" t="n">
        <v>7</v>
      </c>
      <c r="H1676" t="n">
        <v>60</v>
      </c>
      <c r="I1676" t="n">
        <v>48</v>
      </c>
      <c r="J1676" t="inlineStr">
        <is>
          <t>kaba</t>
        </is>
      </c>
      <c r="K1676" t="b">
        <v>1</v>
      </c>
      <c r="M1676" t="n">
        <v>52</v>
      </c>
      <c r="N1676" t="n">
        <v>30</v>
      </c>
      <c r="O1676" t="n">
        <v>32</v>
      </c>
      <c r="P1676" t="n">
        <v>950</v>
      </c>
      <c r="Q1676" t="n">
        <v>1002</v>
      </c>
      <c r="R1676" t="n">
        <v>6.92</v>
      </c>
      <c r="S1676" t="n">
        <v>82.652</v>
      </c>
      <c r="T1676" t="n">
        <v>11.943</v>
      </c>
      <c r="U1676" t="n">
        <v>0.7775</v>
      </c>
      <c r="V1676" t="b">
        <v>1</v>
      </c>
      <c r="X1676" t="b">
        <v>0</v>
      </c>
      <c r="Y1676" t="inlineStr">
        <is>
          <t>FLAS</t>
        </is>
      </c>
      <c r="Z1676" t="n">
        <v>935</v>
      </c>
      <c r="AA1676" t="n">
        <v>2.5</v>
      </c>
      <c r="AB1676" t="n">
        <v>9.5</v>
      </c>
    </row>
    <row r="1677">
      <c r="A1677" t="inlineStr">
        <is>
          <t>2026-09-24 17:18:08</t>
        </is>
      </c>
      <c r="B1677" t="inlineStr">
        <is>
          <t>MLLB_000_y1.0.3</t>
        </is>
      </c>
      <c r="C1677" t="inlineStr">
        <is>
          <t>WHITE</t>
        </is>
      </c>
      <c r="D1677" t="inlineStr">
        <is>
          <t>v4_white_MLLB_000_y103_0924</t>
        </is>
      </c>
      <c r="E1677" t="n">
        <v>3</v>
      </c>
      <c r="F1677" t="n">
        <v>3.008</v>
      </c>
      <c r="G1677" t="n">
        <v>7</v>
      </c>
      <c r="H1677" t="n">
        <v>60</v>
      </c>
      <c r="I1677" t="n">
        <v>41</v>
      </c>
      <c r="J1677" t="inlineStr">
        <is>
          <t>ince</t>
        </is>
      </c>
      <c r="K1677" t="b">
        <v>1</v>
      </c>
      <c r="M1677" t="n">
        <v>82</v>
      </c>
      <c r="N1677" t="n">
        <v>56</v>
      </c>
      <c r="O1677" t="n">
        <v>52</v>
      </c>
      <c r="P1677" t="n">
        <v>920</v>
      </c>
      <c r="Q1677" t="n">
        <v>1002</v>
      </c>
      <c r="R1677" t="n">
        <v>1.084</v>
      </c>
      <c r="S1677" t="n">
        <v>12.949</v>
      </c>
      <c r="T1677" t="n">
        <v>11.946</v>
      </c>
      <c r="U1677" t="n">
        <v>0.7783</v>
      </c>
      <c r="V1677" t="b">
        <v>1</v>
      </c>
      <c r="X1677" t="b">
        <v>0</v>
      </c>
      <c r="Y1677" t="inlineStr">
        <is>
          <t>ON</t>
        </is>
      </c>
      <c r="Z1677" t="n">
        <v>935</v>
      </c>
      <c r="AA1677" t="n">
        <v>2.5</v>
      </c>
      <c r="AB1677" t="n">
        <v>9.5</v>
      </c>
    </row>
    <row r="1678">
      <c r="A1678" t="inlineStr">
        <is>
          <t>2026-09-24 17:18:20</t>
        </is>
      </c>
      <c r="B1678" t="inlineStr">
        <is>
          <t>MLLB_000_y1.0.3</t>
        </is>
      </c>
      <c r="C1678" t="inlineStr">
        <is>
          <t>WHITE</t>
        </is>
      </c>
      <c r="D1678" t="inlineStr">
        <is>
          <t>v4_white_MLLB_000_y103_0924</t>
        </is>
      </c>
      <c r="E1678" t="n">
        <v>3</v>
      </c>
      <c r="F1678" t="n">
        <v>3.008</v>
      </c>
      <c r="G1678" t="n">
        <v>7</v>
      </c>
      <c r="H1678" t="n">
        <v>60</v>
      </c>
      <c r="I1678" t="n">
        <v>42</v>
      </c>
      <c r="J1678" t="inlineStr">
        <is>
          <t>ince</t>
        </is>
      </c>
      <c r="K1678" t="b">
        <v>1</v>
      </c>
      <c r="M1678" t="n">
        <v>72</v>
      </c>
      <c r="N1678" t="n">
        <v>56</v>
      </c>
      <c r="O1678" t="n">
        <v>40</v>
      </c>
      <c r="P1678" t="n">
        <v>930</v>
      </c>
      <c r="Q1678" t="n">
        <v>1002</v>
      </c>
      <c r="R1678" t="n">
        <v>1.09</v>
      </c>
      <c r="S1678" t="n">
        <v>12.995</v>
      </c>
      <c r="T1678" t="n">
        <v>11.924</v>
      </c>
      <c r="U1678" t="n">
        <v>0.7776</v>
      </c>
      <c r="V1678" t="b">
        <v>1</v>
      </c>
      <c r="X1678" t="b">
        <v>0</v>
      </c>
      <c r="Y1678" t="inlineStr">
        <is>
          <t>ON</t>
        </is>
      </c>
      <c r="Z1678" t="n">
        <v>935</v>
      </c>
      <c r="AA1678" t="n">
        <v>2.5</v>
      </c>
      <c r="AB1678" t="n">
        <v>9.5</v>
      </c>
    </row>
    <row r="1679">
      <c r="A1679" t="inlineStr">
        <is>
          <t>2026-09-24 17:18:35</t>
        </is>
      </c>
      <c r="B1679" t="inlineStr">
        <is>
          <t>MLLB_000_y1.0.3</t>
        </is>
      </c>
      <c r="C1679" t="inlineStr">
        <is>
          <t>WHITE</t>
        </is>
      </c>
      <c r="D1679" t="inlineStr">
        <is>
          <t>v4_white_MLLB_000_y103_0924</t>
        </is>
      </c>
      <c r="E1679" t="n">
        <v>3</v>
      </c>
      <c r="F1679" t="n">
        <v>3.008</v>
      </c>
      <c r="G1679" t="n">
        <v>7</v>
      </c>
      <c r="H1679" t="n">
        <v>60</v>
      </c>
      <c r="I1679" t="n">
        <v>43</v>
      </c>
      <c r="J1679" t="inlineStr">
        <is>
          <t>ince</t>
        </is>
      </c>
      <c r="K1679" t="b">
        <v>1</v>
      </c>
      <c r="M1679" t="n">
        <v>60</v>
      </c>
      <c r="N1679" t="n">
        <v>48</v>
      </c>
      <c r="O1679" t="n">
        <v>34</v>
      </c>
      <c r="P1679" t="n">
        <v>942</v>
      </c>
      <c r="Q1679" t="n">
        <v>1002</v>
      </c>
      <c r="R1679" t="n">
        <v>1.09</v>
      </c>
      <c r="S1679" t="n">
        <v>12.995</v>
      </c>
      <c r="T1679" t="n">
        <v>11.928</v>
      </c>
      <c r="U1679" t="n">
        <v>0.7781</v>
      </c>
      <c r="V1679" t="b">
        <v>1</v>
      </c>
      <c r="X1679" t="b">
        <v>1</v>
      </c>
      <c r="Z1679" t="n">
        <v>935</v>
      </c>
      <c r="AA1679" t="n">
        <v>2.5</v>
      </c>
      <c r="AB1679" t="n">
        <v>9.5</v>
      </c>
    </row>
    <row r="1680">
      <c r="A1680" t="inlineStr">
        <is>
          <t>2026-09-24 17:18:52</t>
        </is>
      </c>
      <c r="B1680" t="inlineStr">
        <is>
          <t>MLLB_000_y1.0.3</t>
        </is>
      </c>
      <c r="C1680" t="inlineStr">
        <is>
          <t>WHITE</t>
        </is>
      </c>
      <c r="D1680" t="inlineStr">
        <is>
          <t>v4_white_MLLB_000_y103_0924</t>
        </is>
      </c>
      <c r="E1680" t="n">
        <v>3</v>
      </c>
      <c r="F1680" t="n">
        <v>3.008</v>
      </c>
      <c r="G1680" t="n">
        <v>7</v>
      </c>
      <c r="H1680" t="n">
        <v>60</v>
      </c>
      <c r="I1680" t="n">
        <v>45</v>
      </c>
      <c r="J1680" t="inlineStr">
        <is>
          <t>ince</t>
        </is>
      </c>
      <c r="K1680" t="b">
        <v>1</v>
      </c>
      <c r="M1680" t="n">
        <v>52</v>
      </c>
      <c r="N1680" t="n">
        <v>30</v>
      </c>
      <c r="O1680" t="n">
        <v>32</v>
      </c>
      <c r="P1680" t="n">
        <v>950</v>
      </c>
      <c r="Q1680" t="n">
        <v>1002</v>
      </c>
      <c r="R1680" t="n">
        <v>1.082</v>
      </c>
      <c r="S1680" t="n">
        <v>12.903</v>
      </c>
      <c r="T1680" t="n">
        <v>11.925</v>
      </c>
      <c r="U1680" t="n">
        <v>0.7785</v>
      </c>
      <c r="V1680" t="b">
        <v>1</v>
      </c>
      <c r="X1680" t="b">
        <v>1</v>
      </c>
      <c r="Z1680" t="n">
        <v>935</v>
      </c>
      <c r="AA1680" t="n">
        <v>2.5</v>
      </c>
      <c r="AB1680" t="n">
        <v>9.5</v>
      </c>
    </row>
    <row r="1681">
      <c r="A1681" t="inlineStr">
        <is>
          <t>2026-09-24 17:19:08</t>
        </is>
      </c>
      <c r="B1681" t="inlineStr">
        <is>
          <t>MLLB_000_y1.0.3</t>
        </is>
      </c>
      <c r="C1681" t="inlineStr">
        <is>
          <t>WHITE</t>
        </is>
      </c>
      <c r="D1681" t="inlineStr">
        <is>
          <t>v4_white_MLLB_000_y103_0924</t>
        </is>
      </c>
      <c r="E1681" t="n">
        <v>3</v>
      </c>
      <c r="F1681" t="n">
        <v>3.008</v>
      </c>
      <c r="G1681" t="n">
        <v>7</v>
      </c>
      <c r="H1681" t="n">
        <v>60</v>
      </c>
      <c r="I1681" t="n">
        <v>46</v>
      </c>
      <c r="J1681" t="inlineStr">
        <is>
          <t>ince</t>
        </is>
      </c>
      <c r="K1681" t="b">
        <v>1</v>
      </c>
      <c r="M1681" t="n">
        <v>52</v>
      </c>
      <c r="N1681" t="n">
        <v>30</v>
      </c>
      <c r="O1681" t="n">
        <v>32</v>
      </c>
      <c r="P1681" t="n">
        <v>950</v>
      </c>
      <c r="Q1681" t="n">
        <v>1002</v>
      </c>
      <c r="R1681" t="n">
        <v>1.42</v>
      </c>
      <c r="S1681" t="n">
        <v>16.929</v>
      </c>
      <c r="T1681" t="n">
        <v>11.925</v>
      </c>
      <c r="U1681" t="n">
        <v>0.7778</v>
      </c>
      <c r="V1681" t="b">
        <v>1</v>
      </c>
      <c r="X1681" t="b">
        <v>1</v>
      </c>
      <c r="Z1681" t="n">
        <v>935</v>
      </c>
      <c r="AA1681" t="n">
        <v>2.5</v>
      </c>
      <c r="AB1681" t="n">
        <v>9.5</v>
      </c>
    </row>
    <row r="1682">
      <c r="A1682" t="inlineStr">
        <is>
          <t>2026-09-24 17:19:24</t>
        </is>
      </c>
      <c r="B1682" t="inlineStr">
        <is>
          <t>MLLB_000_y1.0.3</t>
        </is>
      </c>
      <c r="C1682" t="inlineStr">
        <is>
          <t>WHITE</t>
        </is>
      </c>
      <c r="D1682" t="inlineStr">
        <is>
          <t>v4_white_MLLB_000_y103_0924</t>
        </is>
      </c>
      <c r="E1682" t="n">
        <v>3</v>
      </c>
      <c r="F1682" t="n">
        <v>3.008</v>
      </c>
      <c r="G1682" t="n">
        <v>7</v>
      </c>
      <c r="H1682" t="n">
        <v>60</v>
      </c>
      <c r="I1682" t="n">
        <v>47</v>
      </c>
      <c r="J1682" t="inlineStr">
        <is>
          <t>ince</t>
        </is>
      </c>
      <c r="K1682" t="b">
        <v>1</v>
      </c>
      <c r="M1682" t="n">
        <v>52</v>
      </c>
      <c r="N1682" t="n">
        <v>30</v>
      </c>
      <c r="O1682" t="n">
        <v>32</v>
      </c>
      <c r="P1682" t="n">
        <v>950</v>
      </c>
      <c r="Q1682" t="n">
        <v>1002</v>
      </c>
      <c r="R1682" t="n">
        <v>2.734</v>
      </c>
      <c r="S1682" t="n">
        <v>32.574</v>
      </c>
      <c r="T1682" t="n">
        <v>11.913</v>
      </c>
      <c r="U1682" t="n">
        <v>0.7776</v>
      </c>
      <c r="V1682" t="b">
        <v>1</v>
      </c>
      <c r="X1682" t="b">
        <v>0</v>
      </c>
      <c r="Y1682" t="inlineStr">
        <is>
          <t>FLAS</t>
        </is>
      </c>
      <c r="Z1682" t="n">
        <v>935</v>
      </c>
      <c r="AA1682" t="n">
        <v>2.5</v>
      </c>
      <c r="AB1682" t="n">
        <v>9.5</v>
      </c>
    </row>
    <row r="1683">
      <c r="A1683" t="inlineStr">
        <is>
          <t>2026-09-24 17:19:24</t>
        </is>
      </c>
      <c r="B1683" t="inlineStr">
        <is>
          <t>MLLB_000_y1.0.3</t>
        </is>
      </c>
      <c r="C1683" t="inlineStr">
        <is>
          <t>WHITE</t>
        </is>
      </c>
      <c r="D1683" t="inlineStr">
        <is>
          <t>v4_white_MLLB_000_y103_0924</t>
        </is>
      </c>
      <c r="E1683" t="n">
        <v>3</v>
      </c>
      <c r="F1683" t="n">
        <v>3.008</v>
      </c>
      <c r="G1683" t="n">
        <v>7</v>
      </c>
      <c r="H1683" t="n">
        <v>60</v>
      </c>
      <c r="J1683" t="inlineStr">
        <is>
          <t>bitti</t>
        </is>
      </c>
      <c r="K1683" t="b">
        <v>0</v>
      </c>
      <c r="Z1683" t="n">
        <v>935</v>
      </c>
      <c r="AA1683" t="n">
        <v>2.5</v>
      </c>
      <c r="AB1683" t="n">
        <v>9.5</v>
      </c>
    </row>
    <row r="1684">
      <c r="A1684" t="inlineStr">
        <is>
          <t>2026-09-24 17:19:46</t>
        </is>
      </c>
      <c r="B1684" t="inlineStr">
        <is>
          <t>MLLB_000_y1.0.3</t>
        </is>
      </c>
      <c r="C1684" t="inlineStr">
        <is>
          <t>WHITE</t>
        </is>
      </c>
      <c r="D1684" t="inlineStr">
        <is>
          <t>v4_white_MLLB_000_y103_0924</t>
        </is>
      </c>
      <c r="E1684" t="n">
        <v>3</v>
      </c>
      <c r="F1684" t="n">
        <v>3.008</v>
      </c>
      <c r="G1684" t="n">
        <v>8</v>
      </c>
      <c r="H1684" t="n">
        <v>100</v>
      </c>
      <c r="I1684" t="n">
        <v>12</v>
      </c>
      <c r="J1684" t="inlineStr">
        <is>
          <t>kaba</t>
        </is>
      </c>
      <c r="K1684" t="b">
        <v>1</v>
      </c>
      <c r="M1684" t="n">
        <v>258</v>
      </c>
      <c r="N1684" t="n">
        <v>48</v>
      </c>
      <c r="O1684" t="n">
        <v>232</v>
      </c>
      <c r="P1684" t="n">
        <v>744</v>
      </c>
      <c r="Q1684" t="n">
        <v>1002</v>
      </c>
      <c r="R1684" t="n">
        <v>1.144</v>
      </c>
      <c r="S1684" t="n">
        <v>16.221</v>
      </c>
      <c r="T1684" t="n">
        <v>14.18</v>
      </c>
      <c r="U1684" t="n">
        <v>0.7776999999999999</v>
      </c>
      <c r="V1684" t="b">
        <v>1</v>
      </c>
      <c r="X1684" t="b">
        <v>0</v>
      </c>
      <c r="Y1684" t="inlineStr">
        <is>
          <t>ON</t>
        </is>
      </c>
      <c r="Z1684" t="n">
        <v>935</v>
      </c>
      <c r="AA1684" t="n">
        <v>2.5</v>
      </c>
      <c r="AB1684" t="n">
        <v>9.5</v>
      </c>
    </row>
    <row r="1685">
      <c r="A1685" t="inlineStr">
        <is>
          <t>2026-09-24 17:20:02</t>
        </is>
      </c>
      <c r="B1685" t="inlineStr">
        <is>
          <t>MLLB_000_y1.0.3</t>
        </is>
      </c>
      <c r="C1685" t="inlineStr">
        <is>
          <t>WHITE</t>
        </is>
      </c>
      <c r="D1685" t="inlineStr">
        <is>
          <t>v4_white_MLLB_000_y103_0924</t>
        </is>
      </c>
      <c r="E1685" t="n">
        <v>3</v>
      </c>
      <c r="F1685" t="n">
        <v>3.008</v>
      </c>
      <c r="G1685" t="n">
        <v>8</v>
      </c>
      <c r="H1685" t="n">
        <v>100</v>
      </c>
      <c r="I1685" t="n">
        <v>16</v>
      </c>
      <c r="J1685" t="inlineStr">
        <is>
          <t>kaba</t>
        </is>
      </c>
      <c r="K1685" t="b">
        <v>1</v>
      </c>
      <c r="M1685" t="n">
        <v>202</v>
      </c>
      <c r="N1685" t="n">
        <v>48</v>
      </c>
      <c r="O1685" t="n">
        <v>174</v>
      </c>
      <c r="P1685" t="n">
        <v>800</v>
      </c>
      <c r="Q1685" t="n">
        <v>1002</v>
      </c>
      <c r="R1685" t="n">
        <v>1.145</v>
      </c>
      <c r="S1685" t="n">
        <v>16.268</v>
      </c>
      <c r="T1685" t="n">
        <v>14.207</v>
      </c>
      <c r="U1685" t="n">
        <v>0.7778</v>
      </c>
      <c r="V1685" t="b">
        <v>1</v>
      </c>
      <c r="X1685" t="b">
        <v>0</v>
      </c>
      <c r="Y1685" t="inlineStr">
        <is>
          <t>ON</t>
        </is>
      </c>
      <c r="Z1685" t="n">
        <v>935</v>
      </c>
      <c r="AA1685" t="n">
        <v>2.5</v>
      </c>
      <c r="AB1685" t="n">
        <v>9.5</v>
      </c>
    </row>
    <row r="1686">
      <c r="A1686" t="inlineStr">
        <is>
          <t>2026-09-24 17:20:18</t>
        </is>
      </c>
      <c r="B1686" t="inlineStr">
        <is>
          <t>MLLB_000_y1.0.3</t>
        </is>
      </c>
      <c r="C1686" t="inlineStr">
        <is>
          <t>WHITE</t>
        </is>
      </c>
      <c r="D1686" t="inlineStr">
        <is>
          <t>v4_white_MLLB_000_y103_0924</t>
        </is>
      </c>
      <c r="E1686" t="n">
        <v>3</v>
      </c>
      <c r="F1686" t="n">
        <v>3.008</v>
      </c>
      <c r="G1686" t="n">
        <v>8</v>
      </c>
      <c r="H1686" t="n">
        <v>100</v>
      </c>
      <c r="I1686" t="n">
        <v>20</v>
      </c>
      <c r="J1686" t="inlineStr">
        <is>
          <t>kaba</t>
        </is>
      </c>
      <c r="K1686" t="b">
        <v>1</v>
      </c>
      <c r="M1686" t="n">
        <v>146</v>
      </c>
      <c r="N1686" t="n">
        <v>50</v>
      </c>
      <c r="O1686" t="n">
        <v>118</v>
      </c>
      <c r="P1686" t="n">
        <v>856</v>
      </c>
      <c r="Q1686" t="n">
        <v>1002</v>
      </c>
      <c r="R1686" t="n">
        <v>1.135</v>
      </c>
      <c r="S1686" t="n">
        <v>16.221</v>
      </c>
      <c r="T1686" t="n">
        <v>14.293</v>
      </c>
      <c r="U1686" t="n">
        <v>0.7778</v>
      </c>
      <c r="V1686" t="b">
        <v>1</v>
      </c>
      <c r="X1686" t="b">
        <v>0</v>
      </c>
      <c r="Y1686" t="inlineStr">
        <is>
          <t>ON</t>
        </is>
      </c>
      <c r="Z1686" t="n">
        <v>935</v>
      </c>
      <c r="AA1686" t="n">
        <v>2.5</v>
      </c>
      <c r="AB1686" t="n">
        <v>9.5</v>
      </c>
    </row>
    <row r="1687">
      <c r="A1687" t="inlineStr">
        <is>
          <t>2026-09-24 17:20:34</t>
        </is>
      </c>
      <c r="B1687" t="inlineStr">
        <is>
          <t>MLLB_000_y1.0.3</t>
        </is>
      </c>
      <c r="C1687" t="inlineStr">
        <is>
          <t>WHITE</t>
        </is>
      </c>
      <c r="D1687" t="inlineStr">
        <is>
          <t>v4_white_MLLB_000_y103_0924</t>
        </is>
      </c>
      <c r="E1687" t="n">
        <v>3</v>
      </c>
      <c r="F1687" t="n">
        <v>3.008</v>
      </c>
      <c r="G1687" t="n">
        <v>8</v>
      </c>
      <c r="H1687" t="n">
        <v>100</v>
      </c>
      <c r="I1687" t="n">
        <v>24</v>
      </c>
      <c r="J1687" t="inlineStr">
        <is>
          <t>kaba</t>
        </is>
      </c>
      <c r="K1687" t="b">
        <v>1</v>
      </c>
      <c r="M1687" t="n">
        <v>90</v>
      </c>
      <c r="N1687" t="n">
        <v>50</v>
      </c>
      <c r="O1687" t="n">
        <v>62</v>
      </c>
      <c r="P1687" t="n">
        <v>912</v>
      </c>
      <c r="Q1687" t="n">
        <v>1002</v>
      </c>
      <c r="R1687" t="n">
        <v>1.13</v>
      </c>
      <c r="S1687" t="n">
        <v>16.187</v>
      </c>
      <c r="T1687" t="n">
        <v>14.326</v>
      </c>
      <c r="U1687" t="n">
        <v>0.7779</v>
      </c>
      <c r="V1687" t="b">
        <v>1</v>
      </c>
      <c r="X1687" t="b">
        <v>0</v>
      </c>
      <c r="Y1687" t="inlineStr">
        <is>
          <t>ON</t>
        </is>
      </c>
      <c r="Z1687" t="n">
        <v>935</v>
      </c>
      <c r="AA1687" t="n">
        <v>2.5</v>
      </c>
      <c r="AB1687" t="n">
        <v>9.5</v>
      </c>
    </row>
    <row r="1688">
      <c r="A1688" t="inlineStr">
        <is>
          <t>2026-09-24 17:20:46</t>
        </is>
      </c>
      <c r="B1688" t="inlineStr">
        <is>
          <t>MLLB_000_y1.0.3</t>
        </is>
      </c>
      <c r="C1688" t="inlineStr">
        <is>
          <t>WHITE</t>
        </is>
      </c>
      <c r="D1688" t="inlineStr">
        <is>
          <t>v4_white_MLLB_000_y103_0924</t>
        </is>
      </c>
      <c r="E1688" t="n">
        <v>3</v>
      </c>
      <c r="F1688" t="n">
        <v>3.008</v>
      </c>
      <c r="G1688" t="n">
        <v>8</v>
      </c>
      <c r="H1688" t="n">
        <v>100</v>
      </c>
      <c r="I1688" t="n">
        <v>28</v>
      </c>
      <c r="J1688" t="inlineStr">
        <is>
          <t>kaba</t>
        </is>
      </c>
      <c r="K1688" t="b">
        <v>1</v>
      </c>
      <c r="M1688" t="n">
        <v>36</v>
      </c>
      <c r="N1688" t="n">
        <v>32</v>
      </c>
      <c r="O1688" t="n">
        <v>14</v>
      </c>
      <c r="P1688" t="n">
        <v>966</v>
      </c>
      <c r="Q1688" t="n">
        <v>1002</v>
      </c>
      <c r="R1688" t="n">
        <v>1.144</v>
      </c>
      <c r="S1688" t="n">
        <v>16.362</v>
      </c>
      <c r="T1688" t="n">
        <v>14.304</v>
      </c>
      <c r="U1688" t="n">
        <v>0.7775</v>
      </c>
      <c r="V1688" t="b">
        <v>1</v>
      </c>
      <c r="X1688" t="b">
        <v>1</v>
      </c>
      <c r="Z1688" t="n">
        <v>935</v>
      </c>
      <c r="AA1688" t="n">
        <v>2.5</v>
      </c>
      <c r="AB1688" t="n">
        <v>9.5</v>
      </c>
    </row>
    <row r="1689">
      <c r="A1689" t="inlineStr">
        <is>
          <t>2026-09-24 17:21:02</t>
        </is>
      </c>
      <c r="B1689" t="inlineStr">
        <is>
          <t>MLLB_000_y1.0.3</t>
        </is>
      </c>
      <c r="C1689" t="inlineStr">
        <is>
          <t>WHITE</t>
        </is>
      </c>
      <c r="D1689" t="inlineStr">
        <is>
          <t>v4_white_MLLB_000_y103_0924</t>
        </is>
      </c>
      <c r="E1689" t="n">
        <v>3</v>
      </c>
      <c r="F1689" t="n">
        <v>3.008</v>
      </c>
      <c r="G1689" t="n">
        <v>8</v>
      </c>
      <c r="H1689" t="n">
        <v>100</v>
      </c>
      <c r="I1689" t="n">
        <v>32</v>
      </c>
      <c r="J1689" t="inlineStr">
        <is>
          <t>kaba</t>
        </is>
      </c>
      <c r="K1689" t="b">
        <v>1</v>
      </c>
      <c r="M1689" t="n">
        <v>36</v>
      </c>
      <c r="N1689" t="n">
        <v>30</v>
      </c>
      <c r="O1689" t="n">
        <v>16</v>
      </c>
      <c r="P1689" t="n">
        <v>966</v>
      </c>
      <c r="Q1689" t="n">
        <v>1002</v>
      </c>
      <c r="R1689" t="n">
        <v>10.531</v>
      </c>
      <c r="S1689" t="n">
        <v>150.56</v>
      </c>
      <c r="T1689" t="n">
        <v>14.297</v>
      </c>
      <c r="U1689" t="n">
        <v>0.7772</v>
      </c>
      <c r="V1689" t="b">
        <v>1</v>
      </c>
      <c r="X1689" t="b">
        <v>0</v>
      </c>
      <c r="Y1689" t="inlineStr">
        <is>
          <t>FLAS</t>
        </is>
      </c>
      <c r="Z1689" t="n">
        <v>935</v>
      </c>
      <c r="AA1689" t="n">
        <v>2.5</v>
      </c>
      <c r="AB1689" t="n">
        <v>9.5</v>
      </c>
    </row>
    <row r="1690">
      <c r="A1690" t="inlineStr">
        <is>
          <t>2026-09-24 17:21:18</t>
        </is>
      </c>
      <c r="B1690" t="inlineStr">
        <is>
          <t>MLLB_000_y1.0.3</t>
        </is>
      </c>
      <c r="C1690" t="inlineStr">
        <is>
          <t>WHITE</t>
        </is>
      </c>
      <c r="D1690" t="inlineStr">
        <is>
          <t>v4_white_MLLB_000_y103_0924</t>
        </is>
      </c>
      <c r="E1690" t="n">
        <v>3</v>
      </c>
      <c r="F1690" t="n">
        <v>3.008</v>
      </c>
      <c r="G1690" t="n">
        <v>8</v>
      </c>
      <c r="H1690" t="n">
        <v>100</v>
      </c>
      <c r="I1690" t="n">
        <v>25</v>
      </c>
      <c r="J1690" t="inlineStr">
        <is>
          <t>ince</t>
        </is>
      </c>
      <c r="K1690" t="b">
        <v>1</v>
      </c>
      <c r="M1690" t="n">
        <v>74</v>
      </c>
      <c r="N1690" t="n">
        <v>48</v>
      </c>
      <c r="O1690" t="n">
        <v>46</v>
      </c>
      <c r="P1690" t="n">
        <v>928</v>
      </c>
      <c r="Q1690" t="n">
        <v>1002</v>
      </c>
      <c r="R1690" t="n">
        <v>1.136</v>
      </c>
      <c r="S1690" t="n">
        <v>16.268</v>
      </c>
      <c r="T1690" t="n">
        <v>14.319</v>
      </c>
      <c r="U1690" t="n">
        <v>0.7775</v>
      </c>
      <c r="V1690" t="b">
        <v>1</v>
      </c>
      <c r="X1690" t="b">
        <v>0</v>
      </c>
      <c r="Y1690" t="inlineStr">
        <is>
          <t>ON</t>
        </is>
      </c>
      <c r="Z1690" t="n">
        <v>935</v>
      </c>
      <c r="AA1690" t="n">
        <v>2.5</v>
      </c>
      <c r="AB1690" t="n">
        <v>9.5</v>
      </c>
    </row>
    <row r="1691">
      <c r="A1691" t="inlineStr">
        <is>
          <t>2026-09-24 17:21:34</t>
        </is>
      </c>
      <c r="B1691" t="inlineStr">
        <is>
          <t>MLLB_000_y1.0.3</t>
        </is>
      </c>
      <c r="C1691" t="inlineStr">
        <is>
          <t>WHITE</t>
        </is>
      </c>
      <c r="D1691" t="inlineStr">
        <is>
          <t>v4_white_MLLB_000_y103_0924</t>
        </is>
      </c>
      <c r="E1691" t="n">
        <v>3</v>
      </c>
      <c r="F1691" t="n">
        <v>3.008</v>
      </c>
      <c r="G1691" t="n">
        <v>8</v>
      </c>
      <c r="H1691" t="n">
        <v>100</v>
      </c>
      <c r="I1691" t="n">
        <v>26</v>
      </c>
      <c r="J1691" t="inlineStr">
        <is>
          <t>ince</t>
        </is>
      </c>
      <c r="K1691" t="b">
        <v>1</v>
      </c>
      <c r="M1691" t="n">
        <v>60</v>
      </c>
      <c r="N1691" t="n">
        <v>46</v>
      </c>
      <c r="O1691" t="n">
        <v>32</v>
      </c>
      <c r="P1691" t="n">
        <v>942</v>
      </c>
      <c r="Q1691" t="n">
        <v>1002</v>
      </c>
      <c r="R1691" t="n">
        <v>1.137</v>
      </c>
      <c r="S1691" t="n">
        <v>16.268</v>
      </c>
      <c r="T1691" t="n">
        <v>14.314</v>
      </c>
      <c r="U1691" t="n">
        <v>0.7773</v>
      </c>
      <c r="V1691" t="b">
        <v>1</v>
      </c>
      <c r="X1691" t="b">
        <v>1</v>
      </c>
      <c r="Z1691" t="n">
        <v>935</v>
      </c>
      <c r="AA1691" t="n">
        <v>2.5</v>
      </c>
      <c r="AB1691" t="n">
        <v>9.5</v>
      </c>
    </row>
    <row r="1692">
      <c r="A1692" t="inlineStr">
        <is>
          <t>2026-09-24 17:21:50</t>
        </is>
      </c>
      <c r="B1692" t="inlineStr">
        <is>
          <t>MLLB_000_y1.0.3</t>
        </is>
      </c>
      <c r="C1692" t="inlineStr">
        <is>
          <t>WHITE</t>
        </is>
      </c>
      <c r="D1692" t="inlineStr">
        <is>
          <t>v4_white_MLLB_000_y103_0924</t>
        </is>
      </c>
      <c r="E1692" t="n">
        <v>3</v>
      </c>
      <c r="F1692" t="n">
        <v>3.008</v>
      </c>
      <c r="G1692" t="n">
        <v>8</v>
      </c>
      <c r="H1692" t="n">
        <v>100</v>
      </c>
      <c r="I1692" t="n">
        <v>27</v>
      </c>
      <c r="J1692" t="inlineStr">
        <is>
          <t>ince</t>
        </is>
      </c>
      <c r="K1692" t="b">
        <v>1</v>
      </c>
      <c r="M1692" t="n">
        <v>42</v>
      </c>
      <c r="N1692" t="n">
        <v>46</v>
      </c>
      <c r="O1692" t="n">
        <v>18</v>
      </c>
      <c r="P1692" t="n">
        <v>960</v>
      </c>
      <c r="Q1692" t="n">
        <v>1002</v>
      </c>
      <c r="R1692" t="n">
        <v>1.142</v>
      </c>
      <c r="S1692" t="n">
        <v>16.362</v>
      </c>
      <c r="T1692" t="n">
        <v>14.322</v>
      </c>
      <c r="U1692" t="n">
        <v>0.7779</v>
      </c>
      <c r="V1692" t="b">
        <v>1</v>
      </c>
      <c r="X1692" t="b">
        <v>1</v>
      </c>
      <c r="Z1692" t="n">
        <v>935</v>
      </c>
      <c r="AA1692" t="n">
        <v>2.5</v>
      </c>
      <c r="AB1692" t="n">
        <v>9.5</v>
      </c>
    </row>
    <row r="1693">
      <c r="A1693" t="inlineStr">
        <is>
          <t>2026-09-24 17:22:05</t>
        </is>
      </c>
      <c r="B1693" t="inlineStr">
        <is>
          <t>MLLB_000_y1.0.3</t>
        </is>
      </c>
      <c r="C1693" t="inlineStr">
        <is>
          <t>WHITE</t>
        </is>
      </c>
      <c r="D1693" t="inlineStr">
        <is>
          <t>v4_white_MLLB_000_y103_0924</t>
        </is>
      </c>
      <c r="E1693" t="n">
        <v>3</v>
      </c>
      <c r="F1693" t="n">
        <v>3.008</v>
      </c>
      <c r="G1693" t="n">
        <v>8</v>
      </c>
      <c r="H1693" t="n">
        <v>100</v>
      </c>
      <c r="I1693" t="n">
        <v>29</v>
      </c>
      <c r="J1693" t="inlineStr">
        <is>
          <t>ince</t>
        </is>
      </c>
      <c r="K1693" t="b">
        <v>1</v>
      </c>
      <c r="M1693" t="n">
        <v>36</v>
      </c>
      <c r="N1693" t="n">
        <v>30</v>
      </c>
      <c r="O1693" t="n">
        <v>16</v>
      </c>
      <c r="P1693" t="n">
        <v>966</v>
      </c>
      <c r="Q1693" t="n">
        <v>1002</v>
      </c>
      <c r="R1693" t="n">
        <v>1.319</v>
      </c>
      <c r="S1693" t="n">
        <v>18.878</v>
      </c>
      <c r="T1693" t="n">
        <v>14.309</v>
      </c>
      <c r="U1693" t="n">
        <v>0.7766</v>
      </c>
      <c r="V1693" t="b">
        <v>1</v>
      </c>
      <c r="X1693" t="b">
        <v>1</v>
      </c>
      <c r="Z1693" t="n">
        <v>935</v>
      </c>
      <c r="AA1693" t="n">
        <v>2.5</v>
      </c>
      <c r="AB1693" t="n">
        <v>9.5</v>
      </c>
    </row>
    <row r="1694">
      <c r="A1694" t="inlineStr">
        <is>
          <t>2026-09-24 17:22:22</t>
        </is>
      </c>
      <c r="B1694" t="inlineStr">
        <is>
          <t>MLLB_000_y1.0.3</t>
        </is>
      </c>
      <c r="C1694" t="inlineStr">
        <is>
          <t>WHITE</t>
        </is>
      </c>
      <c r="D1694" t="inlineStr">
        <is>
          <t>v4_white_MLLB_000_y103_0924</t>
        </is>
      </c>
      <c r="E1694" t="n">
        <v>3</v>
      </c>
      <c r="F1694" t="n">
        <v>3.008</v>
      </c>
      <c r="G1694" t="n">
        <v>8</v>
      </c>
      <c r="H1694" t="n">
        <v>100</v>
      </c>
      <c r="I1694" t="n">
        <v>30</v>
      </c>
      <c r="J1694" t="inlineStr">
        <is>
          <t>ince</t>
        </is>
      </c>
      <c r="K1694" t="b">
        <v>1</v>
      </c>
      <c r="M1694" t="n">
        <v>36</v>
      </c>
      <c r="N1694" t="n">
        <v>32</v>
      </c>
      <c r="O1694" t="n">
        <v>14</v>
      </c>
      <c r="P1694" t="n">
        <v>966</v>
      </c>
      <c r="Q1694" t="n">
        <v>1002</v>
      </c>
      <c r="R1694" t="n">
        <v>5.837</v>
      </c>
      <c r="S1694" t="n">
        <v>83.672</v>
      </c>
      <c r="T1694" t="n">
        <v>14.334</v>
      </c>
      <c r="U1694" t="n">
        <v>0.7774</v>
      </c>
      <c r="V1694" t="b">
        <v>1</v>
      </c>
      <c r="X1694" t="b">
        <v>0</v>
      </c>
      <c r="Y1694" t="inlineStr">
        <is>
          <t>FLAS</t>
        </is>
      </c>
      <c r="Z1694" t="n">
        <v>935</v>
      </c>
      <c r="AA1694" t="n">
        <v>2.5</v>
      </c>
      <c r="AB1694" t="n">
        <v>9.5</v>
      </c>
    </row>
    <row r="1695">
      <c r="A1695" t="inlineStr">
        <is>
          <t>2026-09-24 17:22:38</t>
        </is>
      </c>
      <c r="B1695" t="inlineStr">
        <is>
          <t>MLLB_000_y1.0.3</t>
        </is>
      </c>
      <c r="C1695" t="inlineStr">
        <is>
          <t>WHITE</t>
        </is>
      </c>
      <c r="D1695" t="inlineStr">
        <is>
          <t>v4_white_MLLB_000_y103_0924</t>
        </is>
      </c>
      <c r="E1695" t="n">
        <v>3</v>
      </c>
      <c r="F1695" t="n">
        <v>3.008</v>
      </c>
      <c r="G1695" t="n">
        <v>8</v>
      </c>
      <c r="H1695" t="n">
        <v>100</v>
      </c>
      <c r="I1695" t="n">
        <v>31</v>
      </c>
      <c r="J1695" t="inlineStr">
        <is>
          <t>ince</t>
        </is>
      </c>
      <c r="K1695" t="b">
        <v>1</v>
      </c>
      <c r="M1695" t="n">
        <v>36</v>
      </c>
      <c r="N1695" t="n">
        <v>30</v>
      </c>
      <c r="O1695" t="n">
        <v>16</v>
      </c>
      <c r="P1695" t="n">
        <v>966</v>
      </c>
      <c r="Q1695" t="n">
        <v>1002</v>
      </c>
      <c r="R1695" t="n">
        <v>8.263999999999999</v>
      </c>
      <c r="S1695" t="n">
        <v>118.025</v>
      </c>
      <c r="T1695" t="n">
        <v>14.282</v>
      </c>
      <c r="U1695" t="n">
        <v>0.7776999999999999</v>
      </c>
      <c r="V1695" t="b">
        <v>1</v>
      </c>
      <c r="X1695" t="b">
        <v>0</v>
      </c>
      <c r="Y1695" t="inlineStr">
        <is>
          <t>FLAS</t>
        </is>
      </c>
      <c r="Z1695" t="n">
        <v>935</v>
      </c>
      <c r="AA1695" t="n">
        <v>2.5</v>
      </c>
      <c r="AB1695" t="n">
        <v>9.5</v>
      </c>
    </row>
    <row r="1696">
      <c r="A1696" t="inlineStr">
        <is>
          <t>2026-09-24 17:22:38</t>
        </is>
      </c>
      <c r="B1696" t="inlineStr">
        <is>
          <t>MLLB_000_y1.0.3</t>
        </is>
      </c>
      <c r="C1696" t="inlineStr">
        <is>
          <t>WHITE</t>
        </is>
      </c>
      <c r="D1696" t="inlineStr">
        <is>
          <t>v4_white_MLLB_000_y103_0924</t>
        </is>
      </c>
      <c r="E1696" t="n">
        <v>3</v>
      </c>
      <c r="F1696" t="n">
        <v>3.008</v>
      </c>
      <c r="G1696" t="n">
        <v>8</v>
      </c>
      <c r="H1696" t="n">
        <v>100</v>
      </c>
      <c r="J1696" t="inlineStr">
        <is>
          <t>bitti</t>
        </is>
      </c>
      <c r="K1696" t="b">
        <v>0</v>
      </c>
      <c r="Z1696" t="n">
        <v>935</v>
      </c>
      <c r="AA1696" t="n">
        <v>2.5</v>
      </c>
      <c r="AB1696" t="n">
        <v>9.5</v>
      </c>
    </row>
    <row r="1697">
      <c r="A1697" t="inlineStr">
        <is>
          <t>2026-09-24 17:22:54</t>
        </is>
      </c>
      <c r="B1697" t="inlineStr">
        <is>
          <t>MLLB_000_y1.0.3</t>
        </is>
      </c>
      <c r="C1697" t="inlineStr">
        <is>
          <t>WHITE</t>
        </is>
      </c>
      <c r="D1697" t="inlineStr">
        <is>
          <t>v4_white_MLLB_000_y103_0924</t>
        </is>
      </c>
      <c r="E1697" t="n">
        <v>3</v>
      </c>
      <c r="F1697" t="n">
        <v>3.008</v>
      </c>
      <c r="G1697" t="n">
        <v>8</v>
      </c>
      <c r="H1697" t="n">
        <v>80</v>
      </c>
      <c r="I1697" t="n">
        <v>12</v>
      </c>
      <c r="J1697" t="inlineStr">
        <is>
          <t>kaba</t>
        </is>
      </c>
      <c r="K1697" t="b">
        <v>1</v>
      </c>
      <c r="M1697" t="n">
        <v>288</v>
      </c>
      <c r="N1697" t="n">
        <v>48</v>
      </c>
      <c r="O1697" t="n">
        <v>260</v>
      </c>
      <c r="P1697" t="n">
        <v>714</v>
      </c>
      <c r="Q1697" t="n">
        <v>1002</v>
      </c>
      <c r="R1697" t="n">
        <v>1.138</v>
      </c>
      <c r="S1697" t="n">
        <v>16.113</v>
      </c>
      <c r="T1697" t="n">
        <v>14.157</v>
      </c>
      <c r="U1697" t="n">
        <v>0.7783</v>
      </c>
      <c r="V1697" t="b">
        <v>1</v>
      </c>
      <c r="X1697" t="b">
        <v>0</v>
      </c>
      <c r="Y1697" t="inlineStr">
        <is>
          <t>ON</t>
        </is>
      </c>
      <c r="Z1697" t="n">
        <v>935</v>
      </c>
      <c r="AA1697" t="n">
        <v>2.5</v>
      </c>
      <c r="AB1697" t="n">
        <v>9.5</v>
      </c>
    </row>
    <row r="1698">
      <c r="A1698" t="inlineStr">
        <is>
          <t>2026-09-24 17:23:10</t>
        </is>
      </c>
      <c r="B1698" t="inlineStr">
        <is>
          <t>MLLB_000_y1.0.3</t>
        </is>
      </c>
      <c r="C1698" t="inlineStr">
        <is>
          <t>WHITE</t>
        </is>
      </c>
      <c r="D1698" t="inlineStr">
        <is>
          <t>v4_white_MLLB_000_y103_0924</t>
        </is>
      </c>
      <c r="E1698" t="n">
        <v>3</v>
      </c>
      <c r="F1698" t="n">
        <v>3.008</v>
      </c>
      <c r="G1698" t="n">
        <v>8</v>
      </c>
      <c r="H1698" t="n">
        <v>80</v>
      </c>
      <c r="I1698" t="n">
        <v>16</v>
      </c>
      <c r="J1698" t="inlineStr">
        <is>
          <t>kaba</t>
        </is>
      </c>
      <c r="K1698" t="b">
        <v>1</v>
      </c>
      <c r="M1698" t="n">
        <v>242</v>
      </c>
      <c r="N1698" t="n">
        <v>48</v>
      </c>
      <c r="O1698" t="n">
        <v>216</v>
      </c>
      <c r="P1698" t="n">
        <v>760</v>
      </c>
      <c r="Q1698" t="n">
        <v>1002</v>
      </c>
      <c r="R1698" t="n">
        <v>1.142</v>
      </c>
      <c r="S1698" t="n">
        <v>16.174</v>
      </c>
      <c r="T1698" t="n">
        <v>14.163</v>
      </c>
      <c r="U1698" t="n">
        <v>0.7778</v>
      </c>
      <c r="V1698" t="b">
        <v>1</v>
      </c>
      <c r="X1698" t="b">
        <v>0</v>
      </c>
      <c r="Y1698" t="inlineStr">
        <is>
          <t>ON</t>
        </is>
      </c>
      <c r="Z1698" t="n">
        <v>935</v>
      </c>
      <c r="AA1698" t="n">
        <v>2.5</v>
      </c>
      <c r="AB1698" t="n">
        <v>9.5</v>
      </c>
    </row>
    <row r="1699">
      <c r="A1699" t="inlineStr">
        <is>
          <t>2026-09-24 17:23:26</t>
        </is>
      </c>
      <c r="B1699" t="inlineStr">
        <is>
          <t>MLLB_000_y1.0.3</t>
        </is>
      </c>
      <c r="C1699" t="inlineStr">
        <is>
          <t>WHITE</t>
        </is>
      </c>
      <c r="D1699" t="inlineStr">
        <is>
          <t>v4_white_MLLB_000_y103_0924</t>
        </is>
      </c>
      <c r="E1699" t="n">
        <v>3</v>
      </c>
      <c r="F1699" t="n">
        <v>3.008</v>
      </c>
      <c r="G1699" t="n">
        <v>8</v>
      </c>
      <c r="H1699" t="n">
        <v>80</v>
      </c>
      <c r="I1699" t="n">
        <v>20</v>
      </c>
      <c r="J1699" t="inlineStr">
        <is>
          <t>kaba</t>
        </is>
      </c>
      <c r="K1699" t="b">
        <v>1</v>
      </c>
      <c r="M1699" t="n">
        <v>196</v>
      </c>
      <c r="N1699" t="n">
        <v>50</v>
      </c>
      <c r="O1699" t="n">
        <v>170</v>
      </c>
      <c r="P1699" t="n">
        <v>806</v>
      </c>
      <c r="Q1699" t="n">
        <v>1002</v>
      </c>
      <c r="R1699" t="n">
        <v>1.142</v>
      </c>
      <c r="S1699" t="n">
        <v>16.195</v>
      </c>
      <c r="T1699" t="n">
        <v>14.177</v>
      </c>
      <c r="U1699" t="n">
        <v>0.7773</v>
      </c>
      <c r="V1699" t="b">
        <v>1</v>
      </c>
      <c r="X1699" t="b">
        <v>0</v>
      </c>
      <c r="Y1699" t="inlineStr">
        <is>
          <t>ON</t>
        </is>
      </c>
      <c r="Z1699" t="n">
        <v>935</v>
      </c>
      <c r="AA1699" t="n">
        <v>2.5</v>
      </c>
      <c r="AB1699" t="n">
        <v>9.5</v>
      </c>
    </row>
    <row r="1700">
      <c r="A1700" t="inlineStr">
        <is>
          <t>2026-09-24 17:23:41</t>
        </is>
      </c>
      <c r="B1700" t="inlineStr">
        <is>
          <t>MLLB_000_y1.0.3</t>
        </is>
      </c>
      <c r="C1700" t="inlineStr">
        <is>
          <t>WHITE</t>
        </is>
      </c>
      <c r="D1700" t="inlineStr">
        <is>
          <t>v4_white_MLLB_000_y103_0924</t>
        </is>
      </c>
      <c r="E1700" t="n">
        <v>3</v>
      </c>
      <c r="F1700" t="n">
        <v>3.008</v>
      </c>
      <c r="G1700" t="n">
        <v>8</v>
      </c>
      <c r="H1700" t="n">
        <v>80</v>
      </c>
      <c r="I1700" t="n">
        <v>24</v>
      </c>
      <c r="J1700" t="inlineStr">
        <is>
          <t>kaba</t>
        </is>
      </c>
      <c r="K1700" t="b">
        <v>1</v>
      </c>
      <c r="M1700" t="n">
        <v>150</v>
      </c>
      <c r="N1700" t="n">
        <v>50</v>
      </c>
      <c r="O1700" t="n">
        <v>122</v>
      </c>
      <c r="P1700" t="n">
        <v>852</v>
      </c>
      <c r="Q1700" t="n">
        <v>1002</v>
      </c>
      <c r="R1700" t="n">
        <v>1.137</v>
      </c>
      <c r="S1700" t="n">
        <v>16.174</v>
      </c>
      <c r="T1700" t="n">
        <v>14.219</v>
      </c>
      <c r="U1700" t="n">
        <v>0.7778</v>
      </c>
      <c r="V1700" t="b">
        <v>1</v>
      </c>
      <c r="X1700" t="b">
        <v>0</v>
      </c>
      <c r="Y1700" t="inlineStr">
        <is>
          <t>ON</t>
        </is>
      </c>
      <c r="Z1700" t="n">
        <v>935</v>
      </c>
      <c r="AA1700" t="n">
        <v>2.5</v>
      </c>
      <c r="AB1700" t="n">
        <v>9.5</v>
      </c>
    </row>
    <row r="1701">
      <c r="A1701" t="inlineStr">
        <is>
          <t>2026-09-24 17:23:58</t>
        </is>
      </c>
      <c r="B1701" t="inlineStr">
        <is>
          <t>MLLB_000_y1.0.3</t>
        </is>
      </c>
      <c r="C1701" t="inlineStr">
        <is>
          <t>WHITE</t>
        </is>
      </c>
      <c r="D1701" t="inlineStr">
        <is>
          <t>v4_white_MLLB_000_y103_0924</t>
        </is>
      </c>
      <c r="E1701" t="n">
        <v>3</v>
      </c>
      <c r="F1701" t="n">
        <v>3.008</v>
      </c>
      <c r="G1701" t="n">
        <v>8</v>
      </c>
      <c r="H1701" t="n">
        <v>80</v>
      </c>
      <c r="I1701" t="n">
        <v>28</v>
      </c>
      <c r="J1701" t="inlineStr">
        <is>
          <t>kaba</t>
        </is>
      </c>
      <c r="K1701" t="b">
        <v>1</v>
      </c>
      <c r="M1701" t="n">
        <v>104</v>
      </c>
      <c r="N1701" t="n">
        <v>44</v>
      </c>
      <c r="O1701" t="n">
        <v>78</v>
      </c>
      <c r="P1701" t="n">
        <v>898</v>
      </c>
      <c r="Q1701" t="n">
        <v>1002</v>
      </c>
      <c r="R1701" t="n">
        <v>1.135</v>
      </c>
      <c r="S1701" t="n">
        <v>16.182</v>
      </c>
      <c r="T1701" t="n">
        <v>14.257</v>
      </c>
      <c r="U1701" t="n">
        <v>0.7775</v>
      </c>
      <c r="V1701" t="b">
        <v>1</v>
      </c>
      <c r="X1701" t="b">
        <v>0</v>
      </c>
      <c r="Y1701" t="inlineStr">
        <is>
          <t>ON</t>
        </is>
      </c>
      <c r="Z1701" t="n">
        <v>935</v>
      </c>
      <c r="AA1701" t="n">
        <v>2.5</v>
      </c>
      <c r="AB1701" t="n">
        <v>9.5</v>
      </c>
    </row>
    <row r="1702">
      <c r="A1702" t="inlineStr">
        <is>
          <t>2026-09-24 17:24:14</t>
        </is>
      </c>
      <c r="B1702" t="inlineStr">
        <is>
          <t>MLLB_000_y1.0.3</t>
        </is>
      </c>
      <c r="C1702" t="inlineStr">
        <is>
          <t>WHITE</t>
        </is>
      </c>
      <c r="D1702" t="inlineStr">
        <is>
          <t>v4_white_MLLB_000_y103_0924</t>
        </is>
      </c>
      <c r="E1702" t="n">
        <v>3</v>
      </c>
      <c r="F1702" t="n">
        <v>3.008</v>
      </c>
      <c r="G1702" t="n">
        <v>8</v>
      </c>
      <c r="H1702" t="n">
        <v>80</v>
      </c>
      <c r="I1702" t="n">
        <v>32</v>
      </c>
      <c r="J1702" t="inlineStr">
        <is>
          <t>kaba</t>
        </is>
      </c>
      <c r="K1702" t="b">
        <v>1</v>
      </c>
      <c r="M1702" t="n">
        <v>56</v>
      </c>
      <c r="N1702" t="n">
        <v>50</v>
      </c>
      <c r="O1702" t="n">
        <v>30</v>
      </c>
      <c r="P1702" t="n">
        <v>946</v>
      </c>
      <c r="Q1702" t="n">
        <v>1002</v>
      </c>
      <c r="R1702" t="n">
        <v>1.135</v>
      </c>
      <c r="S1702" t="n">
        <v>16.216</v>
      </c>
      <c r="T1702" t="n">
        <v>14.292</v>
      </c>
      <c r="U1702" t="n">
        <v>0.7773</v>
      </c>
      <c r="V1702" t="b">
        <v>1</v>
      </c>
      <c r="X1702" t="b">
        <v>1</v>
      </c>
      <c r="Z1702" t="n">
        <v>935</v>
      </c>
      <c r="AA1702" t="n">
        <v>2.5</v>
      </c>
      <c r="AB1702" t="n">
        <v>9.5</v>
      </c>
    </row>
    <row r="1703">
      <c r="A1703" t="inlineStr">
        <is>
          <t>2026-09-24 17:24:29</t>
        </is>
      </c>
      <c r="B1703" t="inlineStr">
        <is>
          <t>MLLB_000_y1.0.3</t>
        </is>
      </c>
      <c r="C1703" t="inlineStr">
        <is>
          <t>WHITE</t>
        </is>
      </c>
      <c r="D1703" t="inlineStr">
        <is>
          <t>v4_white_MLLB_000_y103_0924</t>
        </is>
      </c>
      <c r="E1703" t="n">
        <v>3</v>
      </c>
      <c r="F1703" t="n">
        <v>3.008</v>
      </c>
      <c r="G1703" t="n">
        <v>8</v>
      </c>
      <c r="H1703" t="n">
        <v>80</v>
      </c>
      <c r="I1703" t="n">
        <v>36</v>
      </c>
      <c r="J1703" t="inlineStr">
        <is>
          <t>kaba</t>
        </is>
      </c>
      <c r="K1703" t="b">
        <v>1</v>
      </c>
      <c r="M1703" t="n">
        <v>42</v>
      </c>
      <c r="N1703" t="n">
        <v>28</v>
      </c>
      <c r="O1703" t="n">
        <v>22</v>
      </c>
      <c r="P1703" t="n">
        <v>960</v>
      </c>
      <c r="Q1703" t="n">
        <v>1002</v>
      </c>
      <c r="R1703" t="n">
        <v>3.872</v>
      </c>
      <c r="S1703" t="n">
        <v>55.226</v>
      </c>
      <c r="T1703" t="n">
        <v>14.264</v>
      </c>
      <c r="U1703" t="n">
        <v>0.7781</v>
      </c>
      <c r="V1703" t="b">
        <v>1</v>
      </c>
      <c r="X1703" t="b">
        <v>0</v>
      </c>
      <c r="Y1703" t="inlineStr">
        <is>
          <t>FLAS</t>
        </is>
      </c>
      <c r="Z1703" t="n">
        <v>935</v>
      </c>
      <c r="AA1703" t="n">
        <v>2.5</v>
      </c>
      <c r="AB1703" t="n">
        <v>9.5</v>
      </c>
    </row>
    <row r="1704">
      <c r="A1704" t="inlineStr">
        <is>
          <t>2026-09-24 17:24:46</t>
        </is>
      </c>
      <c r="B1704" t="inlineStr">
        <is>
          <t>MLLB_000_y1.0.3</t>
        </is>
      </c>
      <c r="C1704" t="inlineStr">
        <is>
          <t>WHITE</t>
        </is>
      </c>
      <c r="D1704" t="inlineStr">
        <is>
          <t>v4_white_MLLB_000_y103_0924</t>
        </is>
      </c>
      <c r="E1704" t="n">
        <v>3</v>
      </c>
      <c r="F1704" t="n">
        <v>3.008</v>
      </c>
      <c r="G1704" t="n">
        <v>8</v>
      </c>
      <c r="H1704" t="n">
        <v>80</v>
      </c>
      <c r="I1704" t="n">
        <v>40</v>
      </c>
      <c r="J1704" t="inlineStr">
        <is>
          <t>kaba</t>
        </is>
      </c>
      <c r="K1704" t="b">
        <v>1</v>
      </c>
      <c r="M1704" t="n">
        <v>42</v>
      </c>
      <c r="N1704" t="n">
        <v>28</v>
      </c>
      <c r="O1704" t="n">
        <v>22</v>
      </c>
      <c r="P1704" t="n">
        <v>960</v>
      </c>
      <c r="Q1704" t="n">
        <v>1002</v>
      </c>
      <c r="R1704" t="n">
        <v>10.72</v>
      </c>
      <c r="S1704" t="n">
        <v>152.838</v>
      </c>
      <c r="T1704" t="n">
        <v>14.257</v>
      </c>
      <c r="U1704" t="n">
        <v>0.7776</v>
      </c>
      <c r="V1704" t="b">
        <v>1</v>
      </c>
      <c r="X1704" t="b">
        <v>0</v>
      </c>
      <c r="Y1704" t="inlineStr">
        <is>
          <t>FLAS</t>
        </is>
      </c>
      <c r="Z1704" t="n">
        <v>935</v>
      </c>
      <c r="AA1704" t="n">
        <v>2.5</v>
      </c>
      <c r="AB1704" t="n">
        <v>9.5</v>
      </c>
    </row>
    <row r="1705">
      <c r="A1705" t="inlineStr">
        <is>
          <t>2026-09-24 17:25:02</t>
        </is>
      </c>
      <c r="B1705" t="inlineStr">
        <is>
          <t>MLLB_000_y1.0.3</t>
        </is>
      </c>
      <c r="C1705" t="inlineStr">
        <is>
          <t>WHITE</t>
        </is>
      </c>
      <c r="D1705" t="inlineStr">
        <is>
          <t>v4_white_MLLB_000_y103_0924</t>
        </is>
      </c>
      <c r="E1705" t="n">
        <v>3</v>
      </c>
      <c r="F1705" t="n">
        <v>3.008</v>
      </c>
      <c r="G1705" t="n">
        <v>8</v>
      </c>
      <c r="H1705" t="n">
        <v>80</v>
      </c>
      <c r="I1705" t="n">
        <v>29</v>
      </c>
      <c r="J1705" t="inlineStr">
        <is>
          <t>ince</t>
        </is>
      </c>
      <c r="K1705" t="b">
        <v>1</v>
      </c>
      <c r="M1705" t="n">
        <v>94</v>
      </c>
      <c r="N1705" t="n">
        <v>50</v>
      </c>
      <c r="O1705" t="n">
        <v>66</v>
      </c>
      <c r="P1705" t="n">
        <v>908</v>
      </c>
      <c r="Q1705" t="n">
        <v>1002</v>
      </c>
      <c r="R1705" t="n">
        <v>1.131</v>
      </c>
      <c r="S1705" t="n">
        <v>16.163</v>
      </c>
      <c r="T1705" t="n">
        <v>14.297</v>
      </c>
      <c r="U1705" t="n">
        <v>0.7774</v>
      </c>
      <c r="V1705" t="b">
        <v>1</v>
      </c>
      <c r="X1705" t="b">
        <v>0</v>
      </c>
      <c r="Y1705" t="inlineStr">
        <is>
          <t>ON</t>
        </is>
      </c>
      <c r="Z1705" t="n">
        <v>935</v>
      </c>
      <c r="AA1705" t="n">
        <v>2.5</v>
      </c>
      <c r="AB1705" t="n">
        <v>9.5</v>
      </c>
    </row>
    <row r="1706">
      <c r="A1706" t="inlineStr">
        <is>
          <t>2026-09-24 17:25:18</t>
        </is>
      </c>
      <c r="B1706" t="inlineStr">
        <is>
          <t>MLLB_000_y1.0.3</t>
        </is>
      </c>
      <c r="C1706" t="inlineStr">
        <is>
          <t>WHITE</t>
        </is>
      </c>
      <c r="D1706" t="inlineStr">
        <is>
          <t>v4_white_MLLB_000_y103_0924</t>
        </is>
      </c>
      <c r="E1706" t="n">
        <v>3</v>
      </c>
      <c r="F1706" t="n">
        <v>3.008</v>
      </c>
      <c r="G1706" t="n">
        <v>8</v>
      </c>
      <c r="H1706" t="n">
        <v>80</v>
      </c>
      <c r="I1706" t="n">
        <v>30</v>
      </c>
      <c r="J1706" t="inlineStr">
        <is>
          <t>ince</t>
        </is>
      </c>
      <c r="K1706" t="b">
        <v>1</v>
      </c>
      <c r="M1706" t="n">
        <v>82</v>
      </c>
      <c r="N1706" t="n">
        <v>50</v>
      </c>
      <c r="O1706" t="n">
        <v>54</v>
      </c>
      <c r="P1706" t="n">
        <v>920</v>
      </c>
      <c r="Q1706" t="n">
        <v>1002</v>
      </c>
      <c r="R1706" t="n">
        <v>1.129</v>
      </c>
      <c r="S1706" t="n">
        <v>16.099</v>
      </c>
      <c r="T1706" t="n">
        <v>14.259</v>
      </c>
      <c r="U1706" t="n">
        <v>0.7773</v>
      </c>
      <c r="V1706" t="b">
        <v>1</v>
      </c>
      <c r="X1706" t="b">
        <v>0</v>
      </c>
      <c r="Y1706" t="inlineStr">
        <is>
          <t>ON</t>
        </is>
      </c>
      <c r="Z1706" t="n">
        <v>935</v>
      </c>
      <c r="AA1706" t="n">
        <v>2.5</v>
      </c>
      <c r="AB1706" t="n">
        <v>9.5</v>
      </c>
    </row>
    <row r="1707">
      <c r="A1707" t="inlineStr">
        <is>
          <t>2026-09-24 17:25:34</t>
        </is>
      </c>
      <c r="B1707" t="inlineStr">
        <is>
          <t>MLLB_000_y1.0.3</t>
        </is>
      </c>
      <c r="C1707" t="inlineStr">
        <is>
          <t>WHITE</t>
        </is>
      </c>
      <c r="D1707" t="inlineStr">
        <is>
          <t>v4_white_MLLB_000_y103_0924</t>
        </is>
      </c>
      <c r="E1707" t="n">
        <v>3</v>
      </c>
      <c r="F1707" t="n">
        <v>3.008</v>
      </c>
      <c r="G1707" t="n">
        <v>8</v>
      </c>
      <c r="H1707" t="n">
        <v>80</v>
      </c>
      <c r="I1707" t="n">
        <v>31</v>
      </c>
      <c r="J1707" t="inlineStr">
        <is>
          <t>ince</t>
        </is>
      </c>
      <c r="K1707" t="b">
        <v>1</v>
      </c>
      <c r="M1707" t="n">
        <v>70</v>
      </c>
      <c r="N1707" t="n">
        <v>50</v>
      </c>
      <c r="O1707" t="n">
        <v>42</v>
      </c>
      <c r="P1707" t="n">
        <v>932</v>
      </c>
      <c r="Q1707" t="n">
        <v>1002</v>
      </c>
      <c r="R1707" t="n">
        <v>1.142</v>
      </c>
      <c r="S1707" t="n">
        <v>16.296</v>
      </c>
      <c r="T1707" t="n">
        <v>14.275</v>
      </c>
      <c r="U1707" t="n">
        <v>0.7779</v>
      </c>
      <c r="V1707" t="b">
        <v>1</v>
      </c>
      <c r="X1707" t="b">
        <v>0</v>
      </c>
      <c r="Y1707" t="inlineStr">
        <is>
          <t>ON</t>
        </is>
      </c>
      <c r="Z1707" t="n">
        <v>935</v>
      </c>
      <c r="AA1707" t="n">
        <v>2.5</v>
      </c>
      <c r="AB1707" t="n">
        <v>9.5</v>
      </c>
    </row>
    <row r="1708">
      <c r="A1708" t="inlineStr">
        <is>
          <t>2026-09-24 17:25:50</t>
        </is>
      </c>
      <c r="B1708" t="inlineStr">
        <is>
          <t>MLLB_000_y1.0.3</t>
        </is>
      </c>
      <c r="C1708" t="inlineStr">
        <is>
          <t>WHITE</t>
        </is>
      </c>
      <c r="D1708" t="inlineStr">
        <is>
          <t>v4_white_MLLB_000_y103_0924</t>
        </is>
      </c>
      <c r="E1708" t="n">
        <v>3</v>
      </c>
      <c r="F1708" t="n">
        <v>3.008</v>
      </c>
      <c r="G1708" t="n">
        <v>8</v>
      </c>
      <c r="H1708" t="n">
        <v>80</v>
      </c>
      <c r="I1708" t="n">
        <v>33</v>
      </c>
      <c r="J1708" t="inlineStr">
        <is>
          <t>ince</t>
        </is>
      </c>
      <c r="K1708" t="b">
        <v>1</v>
      </c>
      <c r="M1708" t="n">
        <v>46</v>
      </c>
      <c r="N1708" t="n">
        <v>44</v>
      </c>
      <c r="O1708" t="n">
        <v>24</v>
      </c>
      <c r="P1708" t="n">
        <v>956</v>
      </c>
      <c r="Q1708" t="n">
        <v>1002</v>
      </c>
      <c r="R1708" t="n">
        <v>1.128</v>
      </c>
      <c r="S1708" t="n">
        <v>16.096</v>
      </c>
      <c r="T1708" t="n">
        <v>14.27</v>
      </c>
      <c r="U1708" t="n">
        <v>0.7782</v>
      </c>
      <c r="V1708" t="b">
        <v>1</v>
      </c>
      <c r="X1708" t="b">
        <v>1</v>
      </c>
      <c r="Z1708" t="n">
        <v>935</v>
      </c>
      <c r="AA1708" t="n">
        <v>2.5</v>
      </c>
      <c r="AB1708" t="n">
        <v>9.5</v>
      </c>
    </row>
    <row r="1709">
      <c r="A1709" t="inlineStr">
        <is>
          <t>2026-09-24 17:26:06</t>
        </is>
      </c>
      <c r="B1709" t="inlineStr">
        <is>
          <t>MLLB_000_y1.0.3</t>
        </is>
      </c>
      <c r="C1709" t="inlineStr">
        <is>
          <t>WHITE</t>
        </is>
      </c>
      <c r="D1709" t="inlineStr">
        <is>
          <t>v4_white_MLLB_000_y103_0924</t>
        </is>
      </c>
      <c r="E1709" t="n">
        <v>3</v>
      </c>
      <c r="F1709" t="n">
        <v>3.008</v>
      </c>
      <c r="G1709" t="n">
        <v>8</v>
      </c>
      <c r="H1709" t="n">
        <v>80</v>
      </c>
      <c r="I1709" t="n">
        <v>34</v>
      </c>
      <c r="J1709" t="inlineStr">
        <is>
          <t>ince</t>
        </is>
      </c>
      <c r="K1709" t="b">
        <v>1</v>
      </c>
      <c r="M1709" t="n">
        <v>42</v>
      </c>
      <c r="N1709" t="n">
        <v>28</v>
      </c>
      <c r="O1709" t="n">
        <v>22</v>
      </c>
      <c r="P1709" t="n">
        <v>960</v>
      </c>
      <c r="Q1709" t="n">
        <v>1002</v>
      </c>
      <c r="R1709" t="n">
        <v>1.126</v>
      </c>
      <c r="S1709" t="n">
        <v>16.08</v>
      </c>
      <c r="T1709" t="n">
        <v>14.275</v>
      </c>
      <c r="U1709" t="n">
        <v>0.7779</v>
      </c>
      <c r="V1709" t="b">
        <v>1</v>
      </c>
      <c r="X1709" t="b">
        <v>1</v>
      </c>
      <c r="Z1709" t="n">
        <v>935</v>
      </c>
      <c r="AA1709" t="n">
        <v>2.5</v>
      </c>
      <c r="AB1709" t="n">
        <v>9.5</v>
      </c>
    </row>
    <row r="1710">
      <c r="A1710" t="inlineStr">
        <is>
          <t>2026-09-24 17:26:22</t>
        </is>
      </c>
      <c r="B1710" t="inlineStr">
        <is>
          <t>MLLB_000_y1.0.3</t>
        </is>
      </c>
      <c r="C1710" t="inlineStr">
        <is>
          <t>WHITE</t>
        </is>
      </c>
      <c r="D1710" t="inlineStr">
        <is>
          <t>v4_white_MLLB_000_y103_0924</t>
        </is>
      </c>
      <c r="E1710" t="n">
        <v>3</v>
      </c>
      <c r="F1710" t="n">
        <v>3.008</v>
      </c>
      <c r="G1710" t="n">
        <v>8</v>
      </c>
      <c r="H1710" t="n">
        <v>80</v>
      </c>
      <c r="I1710" t="n">
        <v>35</v>
      </c>
      <c r="J1710" t="inlineStr">
        <is>
          <t>ince</t>
        </is>
      </c>
      <c r="K1710" t="b">
        <v>1</v>
      </c>
      <c r="M1710" t="n">
        <v>42</v>
      </c>
      <c r="N1710" t="n">
        <v>28</v>
      </c>
      <c r="O1710" t="n">
        <v>22</v>
      </c>
      <c r="P1710" t="n">
        <v>960</v>
      </c>
      <c r="Q1710" t="n">
        <v>1002</v>
      </c>
      <c r="R1710" t="n">
        <v>1.268</v>
      </c>
      <c r="S1710" t="n">
        <v>18.069</v>
      </c>
      <c r="T1710" t="n">
        <v>14.25</v>
      </c>
      <c r="U1710" t="n">
        <v>0.7783</v>
      </c>
      <c r="V1710" t="b">
        <v>1</v>
      </c>
      <c r="X1710" t="b">
        <v>1</v>
      </c>
      <c r="Z1710" t="n">
        <v>935</v>
      </c>
      <c r="AA1710" t="n">
        <v>2.5</v>
      </c>
      <c r="AB1710" t="n">
        <v>9.5</v>
      </c>
    </row>
    <row r="1711">
      <c r="A1711" t="inlineStr">
        <is>
          <t>2026-09-24 17:26:22</t>
        </is>
      </c>
      <c r="B1711" t="inlineStr">
        <is>
          <t>MLLB_000_y1.0.3</t>
        </is>
      </c>
      <c r="C1711" t="inlineStr">
        <is>
          <t>WHITE</t>
        </is>
      </c>
      <c r="D1711" t="inlineStr">
        <is>
          <t>v4_white_MLLB_000_y103_0924</t>
        </is>
      </c>
      <c r="E1711" t="n">
        <v>3</v>
      </c>
      <c r="F1711" t="n">
        <v>3.008</v>
      </c>
      <c r="G1711" t="n">
        <v>8</v>
      </c>
      <c r="H1711" t="n">
        <v>80</v>
      </c>
      <c r="J1711" t="inlineStr">
        <is>
          <t>bitti</t>
        </is>
      </c>
      <c r="K1711" t="b">
        <v>0</v>
      </c>
      <c r="Z1711" t="n">
        <v>935</v>
      </c>
      <c r="AA1711" t="n">
        <v>2.5</v>
      </c>
      <c r="AB1711" t="n">
        <v>9.5</v>
      </c>
    </row>
    <row r="1712">
      <c r="A1712" t="inlineStr">
        <is>
          <t>2026-09-24 17:26:37</t>
        </is>
      </c>
      <c r="B1712" t="inlineStr">
        <is>
          <t>MLLB_000_y1.0.3</t>
        </is>
      </c>
      <c r="C1712" t="inlineStr">
        <is>
          <t>WHITE</t>
        </is>
      </c>
      <c r="D1712" t="inlineStr">
        <is>
          <t>v4_white_MLLB_000_y103_0924</t>
        </is>
      </c>
      <c r="E1712" t="n">
        <v>3</v>
      </c>
      <c r="F1712" t="n">
        <v>3.008</v>
      </c>
      <c r="G1712" t="n">
        <v>8</v>
      </c>
      <c r="H1712" t="n">
        <v>60</v>
      </c>
      <c r="I1712" t="n">
        <v>12</v>
      </c>
      <c r="J1712" t="inlineStr">
        <is>
          <t>kaba</t>
        </is>
      </c>
      <c r="K1712" t="b">
        <v>1</v>
      </c>
      <c r="M1712" t="n">
        <v>318</v>
      </c>
      <c r="N1712" t="n">
        <v>50</v>
      </c>
      <c r="O1712" t="n">
        <v>290</v>
      </c>
      <c r="P1712" t="n">
        <v>684</v>
      </c>
      <c r="Q1712" t="n">
        <v>1002</v>
      </c>
      <c r="R1712" t="n">
        <v>1.151</v>
      </c>
      <c r="S1712" t="n">
        <v>16.174</v>
      </c>
      <c r="T1712" t="n">
        <v>14.054</v>
      </c>
      <c r="U1712" t="n">
        <v>0.7779</v>
      </c>
      <c r="V1712" t="b">
        <v>1</v>
      </c>
      <c r="X1712" t="b">
        <v>0</v>
      </c>
      <c r="Y1712" t="inlineStr">
        <is>
          <t>ON</t>
        </is>
      </c>
      <c r="Z1712" t="n">
        <v>935</v>
      </c>
      <c r="AA1712" t="n">
        <v>2.5</v>
      </c>
      <c r="AB1712" t="n">
        <v>9.5</v>
      </c>
    </row>
    <row r="1713">
      <c r="A1713" t="inlineStr">
        <is>
          <t>2026-09-24 17:26:50</t>
        </is>
      </c>
      <c r="B1713" t="inlineStr">
        <is>
          <t>MLLB_000_y1.0.3</t>
        </is>
      </c>
      <c r="C1713" t="inlineStr">
        <is>
          <t>WHITE</t>
        </is>
      </c>
      <c r="D1713" t="inlineStr">
        <is>
          <t>v4_white_MLLB_000_y103_0924</t>
        </is>
      </c>
      <c r="E1713" t="n">
        <v>3</v>
      </c>
      <c r="F1713" t="n">
        <v>3.008</v>
      </c>
      <c r="G1713" t="n">
        <v>8</v>
      </c>
      <c r="H1713" t="n">
        <v>60</v>
      </c>
      <c r="I1713" t="n">
        <v>16</v>
      </c>
      <c r="J1713" t="inlineStr">
        <is>
          <t>kaba</t>
        </is>
      </c>
      <c r="K1713" t="b">
        <v>1</v>
      </c>
      <c r="M1713" t="n">
        <v>286</v>
      </c>
      <c r="N1713" t="n">
        <v>50</v>
      </c>
      <c r="O1713" t="n">
        <v>258</v>
      </c>
      <c r="P1713" t="n">
        <v>716</v>
      </c>
      <c r="Q1713" t="n">
        <v>1002</v>
      </c>
      <c r="R1713" t="n">
        <v>1.144</v>
      </c>
      <c r="S1713" t="n">
        <v>16.127</v>
      </c>
      <c r="T1713" t="n">
        <v>14.1</v>
      </c>
      <c r="U1713" t="n">
        <v>0.7779</v>
      </c>
      <c r="V1713" t="b">
        <v>1</v>
      </c>
      <c r="X1713" t="b">
        <v>0</v>
      </c>
      <c r="Y1713" t="inlineStr">
        <is>
          <t>ON</t>
        </is>
      </c>
      <c r="Z1713" t="n">
        <v>935</v>
      </c>
      <c r="AA1713" t="n">
        <v>2.5</v>
      </c>
      <c r="AB1713" t="n">
        <v>9.5</v>
      </c>
    </row>
    <row r="1714">
      <c r="A1714" t="inlineStr">
        <is>
          <t>2026-09-24 17:27:06</t>
        </is>
      </c>
      <c r="B1714" t="inlineStr">
        <is>
          <t>MLLB_000_y1.0.3</t>
        </is>
      </c>
      <c r="C1714" t="inlineStr">
        <is>
          <t>WHITE</t>
        </is>
      </c>
      <c r="D1714" t="inlineStr">
        <is>
          <t>v4_white_MLLB_000_y103_0924</t>
        </is>
      </c>
      <c r="E1714" t="n">
        <v>3</v>
      </c>
      <c r="F1714" t="n">
        <v>3.008</v>
      </c>
      <c r="G1714" t="n">
        <v>8</v>
      </c>
      <c r="H1714" t="n">
        <v>60</v>
      </c>
      <c r="I1714" t="n">
        <v>20</v>
      </c>
      <c r="J1714" t="inlineStr">
        <is>
          <t>kaba</t>
        </is>
      </c>
      <c r="K1714" t="b">
        <v>1</v>
      </c>
      <c r="M1714" t="n">
        <v>252</v>
      </c>
      <c r="N1714" t="n">
        <v>44</v>
      </c>
      <c r="O1714" t="n">
        <v>226</v>
      </c>
      <c r="P1714" t="n">
        <v>750</v>
      </c>
      <c r="Q1714" t="n">
        <v>1002</v>
      </c>
      <c r="R1714" t="n">
        <v>1.136</v>
      </c>
      <c r="S1714" t="n">
        <v>16.08</v>
      </c>
      <c r="T1714" t="n">
        <v>14.153</v>
      </c>
      <c r="U1714" t="n">
        <v>0.7784</v>
      </c>
      <c r="V1714" t="b">
        <v>1</v>
      </c>
      <c r="X1714" t="b">
        <v>0</v>
      </c>
      <c r="Y1714" t="inlineStr">
        <is>
          <t>ON</t>
        </is>
      </c>
      <c r="Z1714" t="n">
        <v>935</v>
      </c>
      <c r="AA1714" t="n">
        <v>2.5</v>
      </c>
      <c r="AB1714" t="n">
        <v>9.5</v>
      </c>
    </row>
    <row r="1715">
      <c r="A1715" t="inlineStr">
        <is>
          <t>2026-09-24 17:27:22</t>
        </is>
      </c>
      <c r="B1715" t="inlineStr">
        <is>
          <t>MLLB_000_y1.0.3</t>
        </is>
      </c>
      <c r="C1715" t="inlineStr">
        <is>
          <t>WHITE</t>
        </is>
      </c>
      <c r="D1715" t="inlineStr">
        <is>
          <t>v4_white_MLLB_000_y103_0924</t>
        </is>
      </c>
      <c r="E1715" t="n">
        <v>3</v>
      </c>
      <c r="F1715" t="n">
        <v>3.008</v>
      </c>
      <c r="G1715" t="n">
        <v>8</v>
      </c>
      <c r="H1715" t="n">
        <v>60</v>
      </c>
      <c r="I1715" t="n">
        <v>24</v>
      </c>
      <c r="J1715" t="inlineStr">
        <is>
          <t>kaba</t>
        </is>
      </c>
      <c r="K1715" t="b">
        <v>1</v>
      </c>
      <c r="M1715" t="n">
        <v>220</v>
      </c>
      <c r="N1715" t="n">
        <v>46</v>
      </c>
      <c r="O1715" t="n">
        <v>194</v>
      </c>
      <c r="P1715" t="n">
        <v>782</v>
      </c>
      <c r="Q1715" t="n">
        <v>1002</v>
      </c>
      <c r="R1715" t="n">
        <v>1.14</v>
      </c>
      <c r="S1715" t="n">
        <v>16.15</v>
      </c>
      <c r="T1715" t="n">
        <v>14.172</v>
      </c>
      <c r="U1715" t="n">
        <v>0.7776999999999999</v>
      </c>
      <c r="V1715" t="b">
        <v>1</v>
      </c>
      <c r="X1715" t="b">
        <v>0</v>
      </c>
      <c r="Y1715" t="inlineStr">
        <is>
          <t>ON</t>
        </is>
      </c>
      <c r="Z1715" t="n">
        <v>935</v>
      </c>
      <c r="AA1715" t="n">
        <v>2.5</v>
      </c>
      <c r="AB1715" t="n">
        <v>9.5</v>
      </c>
    </row>
    <row r="1716">
      <c r="A1716" t="inlineStr">
        <is>
          <t>2026-09-24 17:27:38</t>
        </is>
      </c>
      <c r="B1716" t="inlineStr">
        <is>
          <t>MLLB_000_y1.0.3</t>
        </is>
      </c>
      <c r="C1716" t="inlineStr">
        <is>
          <t>WHITE</t>
        </is>
      </c>
      <c r="D1716" t="inlineStr">
        <is>
          <t>v4_white_MLLB_000_y103_0924</t>
        </is>
      </c>
      <c r="E1716" t="n">
        <v>3</v>
      </c>
      <c r="F1716" t="n">
        <v>3.008</v>
      </c>
      <c r="G1716" t="n">
        <v>8</v>
      </c>
      <c r="H1716" t="n">
        <v>60</v>
      </c>
      <c r="I1716" t="n">
        <v>28</v>
      </c>
      <c r="J1716" t="inlineStr">
        <is>
          <t>kaba</t>
        </is>
      </c>
      <c r="K1716" t="b">
        <v>1</v>
      </c>
      <c r="M1716" t="n">
        <v>186</v>
      </c>
      <c r="N1716" t="n">
        <v>48</v>
      </c>
      <c r="O1716" t="n">
        <v>160</v>
      </c>
      <c r="P1716" t="n">
        <v>816</v>
      </c>
      <c r="Q1716" t="n">
        <v>1002</v>
      </c>
      <c r="R1716" t="n">
        <v>1.148</v>
      </c>
      <c r="S1716" t="n">
        <v>16.284</v>
      </c>
      <c r="T1716" t="n">
        <v>14.19</v>
      </c>
      <c r="U1716" t="n">
        <v>0.7784</v>
      </c>
      <c r="V1716" t="b">
        <v>1</v>
      </c>
      <c r="X1716" t="b">
        <v>0</v>
      </c>
      <c r="Y1716" t="inlineStr">
        <is>
          <t>ON</t>
        </is>
      </c>
      <c r="Z1716" t="n">
        <v>935</v>
      </c>
      <c r="AA1716" t="n">
        <v>2.5</v>
      </c>
      <c r="AB1716" t="n">
        <v>9.5</v>
      </c>
    </row>
    <row r="1717">
      <c r="A1717" t="inlineStr">
        <is>
          <t>2026-09-24 17:27:54</t>
        </is>
      </c>
      <c r="B1717" t="inlineStr">
        <is>
          <t>MLLB_000_y1.0.3</t>
        </is>
      </c>
      <c r="C1717" t="inlineStr">
        <is>
          <t>WHITE</t>
        </is>
      </c>
      <c r="D1717" t="inlineStr">
        <is>
          <t>v4_white_MLLB_000_y103_0924</t>
        </is>
      </c>
      <c r="E1717" t="n">
        <v>3</v>
      </c>
      <c r="F1717" t="n">
        <v>3.008</v>
      </c>
      <c r="G1717" t="n">
        <v>8</v>
      </c>
      <c r="H1717" t="n">
        <v>60</v>
      </c>
      <c r="I1717" t="n">
        <v>32</v>
      </c>
      <c r="J1717" t="inlineStr">
        <is>
          <t>kaba</t>
        </is>
      </c>
      <c r="K1717" t="b">
        <v>1</v>
      </c>
      <c r="M1717" t="n">
        <v>154</v>
      </c>
      <c r="N1717" t="n">
        <v>50</v>
      </c>
      <c r="O1717" t="n">
        <v>126</v>
      </c>
      <c r="P1717" t="n">
        <v>848</v>
      </c>
      <c r="Q1717" t="n">
        <v>1002</v>
      </c>
      <c r="R1717" t="n">
        <v>1.137</v>
      </c>
      <c r="S1717" t="n">
        <v>16.174</v>
      </c>
      <c r="T1717" t="n">
        <v>14.224</v>
      </c>
      <c r="U1717" t="n">
        <v>0.7782</v>
      </c>
      <c r="V1717" t="b">
        <v>1</v>
      </c>
      <c r="X1717" t="b">
        <v>0</v>
      </c>
      <c r="Y1717" t="inlineStr">
        <is>
          <t>ON</t>
        </is>
      </c>
      <c r="Z1717" t="n">
        <v>935</v>
      </c>
      <c r="AA1717" t="n">
        <v>2.5</v>
      </c>
      <c r="AB1717" t="n">
        <v>9.5</v>
      </c>
    </row>
    <row r="1718">
      <c r="A1718" t="inlineStr">
        <is>
          <t>2026-09-24 17:28:10</t>
        </is>
      </c>
      <c r="B1718" t="inlineStr">
        <is>
          <t>MLLB_000_y1.0.3</t>
        </is>
      </c>
      <c r="C1718" t="inlineStr">
        <is>
          <t>WHITE</t>
        </is>
      </c>
      <c r="D1718" t="inlineStr">
        <is>
          <t>v4_white_MLLB_000_y103_0924</t>
        </is>
      </c>
      <c r="E1718" t="n">
        <v>3</v>
      </c>
      <c r="F1718" t="n">
        <v>3.008</v>
      </c>
      <c r="G1718" t="n">
        <v>8</v>
      </c>
      <c r="H1718" t="n">
        <v>60</v>
      </c>
      <c r="I1718" t="n">
        <v>36</v>
      </c>
      <c r="J1718" t="inlineStr">
        <is>
          <t>kaba</t>
        </is>
      </c>
      <c r="K1718" t="b">
        <v>1</v>
      </c>
      <c r="M1718" t="n">
        <v>120</v>
      </c>
      <c r="N1718" t="n">
        <v>46</v>
      </c>
      <c r="O1718" t="n">
        <v>94</v>
      </c>
      <c r="P1718" t="n">
        <v>882</v>
      </c>
      <c r="Q1718" t="n">
        <v>1002</v>
      </c>
      <c r="R1718" t="n">
        <v>1.139</v>
      </c>
      <c r="S1718" t="n">
        <v>16.221</v>
      </c>
      <c r="T1718" t="n">
        <v>14.235</v>
      </c>
      <c r="U1718" t="n">
        <v>0.778</v>
      </c>
      <c r="V1718" t="b">
        <v>1</v>
      </c>
      <c r="X1718" t="b">
        <v>0</v>
      </c>
      <c r="Y1718" t="inlineStr">
        <is>
          <t>ON</t>
        </is>
      </c>
      <c r="Z1718" t="n">
        <v>935</v>
      </c>
      <c r="AA1718" t="n">
        <v>2.5</v>
      </c>
      <c r="AB1718" t="n">
        <v>9.5</v>
      </c>
    </row>
    <row r="1719">
      <c r="A1719" t="inlineStr">
        <is>
          <t>2026-09-24 17:28:26</t>
        </is>
      </c>
      <c r="B1719" t="inlineStr">
        <is>
          <t>MLLB_000_y1.0.3</t>
        </is>
      </c>
      <c r="C1719" t="inlineStr">
        <is>
          <t>WHITE</t>
        </is>
      </c>
      <c r="D1719" t="inlineStr">
        <is>
          <t>v4_white_MLLB_000_y103_0924</t>
        </is>
      </c>
      <c r="E1719" t="n">
        <v>3</v>
      </c>
      <c r="F1719" t="n">
        <v>3.008</v>
      </c>
      <c r="G1719" t="n">
        <v>8</v>
      </c>
      <c r="H1719" t="n">
        <v>60</v>
      </c>
      <c r="I1719" t="n">
        <v>40</v>
      </c>
      <c r="J1719" t="inlineStr">
        <is>
          <t>kaba</t>
        </is>
      </c>
      <c r="K1719" t="b">
        <v>1</v>
      </c>
      <c r="M1719" t="n">
        <v>86</v>
      </c>
      <c r="N1719" t="n">
        <v>50</v>
      </c>
      <c r="O1719" t="n">
        <v>58</v>
      </c>
      <c r="P1719" t="n">
        <v>916</v>
      </c>
      <c r="Q1719" t="n">
        <v>1002</v>
      </c>
      <c r="R1719" t="n">
        <v>1.133</v>
      </c>
      <c r="S1719" t="n">
        <v>16.127</v>
      </c>
      <c r="T1719" t="n">
        <v>14.229</v>
      </c>
      <c r="U1719" t="n">
        <v>0.7776999999999999</v>
      </c>
      <c r="V1719" t="b">
        <v>1</v>
      </c>
      <c r="X1719" t="b">
        <v>0</v>
      </c>
      <c r="Y1719" t="inlineStr">
        <is>
          <t>ON</t>
        </is>
      </c>
      <c r="Z1719" t="n">
        <v>935</v>
      </c>
      <c r="AA1719" t="n">
        <v>2.5</v>
      </c>
      <c r="AB1719" t="n">
        <v>9.5</v>
      </c>
    </row>
    <row r="1720">
      <c r="A1720" t="inlineStr">
        <is>
          <t>2026-09-24 17:28:42</t>
        </is>
      </c>
      <c r="B1720" t="inlineStr">
        <is>
          <t>MLLB_000_y1.0.3</t>
        </is>
      </c>
      <c r="C1720" t="inlineStr">
        <is>
          <t>WHITE</t>
        </is>
      </c>
      <c r="D1720" t="inlineStr">
        <is>
          <t>v4_white_MLLB_000_y103_0924</t>
        </is>
      </c>
      <c r="E1720" t="n">
        <v>3</v>
      </c>
      <c r="F1720" t="n">
        <v>3.008</v>
      </c>
      <c r="G1720" t="n">
        <v>8</v>
      </c>
      <c r="H1720" t="n">
        <v>60</v>
      </c>
      <c r="I1720" t="n">
        <v>44</v>
      </c>
      <c r="J1720" t="inlineStr">
        <is>
          <t>kaba</t>
        </is>
      </c>
      <c r="K1720" t="b">
        <v>1</v>
      </c>
      <c r="M1720" t="n">
        <v>52</v>
      </c>
      <c r="N1720" t="n">
        <v>40</v>
      </c>
      <c r="O1720" t="n">
        <v>32</v>
      </c>
      <c r="P1720" t="n">
        <v>950</v>
      </c>
      <c r="Q1720" t="n">
        <v>1002</v>
      </c>
      <c r="R1720" t="n">
        <v>1.134</v>
      </c>
      <c r="S1720" t="n">
        <v>16.174</v>
      </c>
      <c r="T1720" t="n">
        <v>14.259</v>
      </c>
      <c r="U1720" t="n">
        <v>0.778</v>
      </c>
      <c r="V1720" t="b">
        <v>1</v>
      </c>
      <c r="X1720" t="b">
        <v>1</v>
      </c>
      <c r="Z1720" t="n">
        <v>935</v>
      </c>
      <c r="AA1720" t="n">
        <v>2.5</v>
      </c>
      <c r="AB1720" t="n">
        <v>9.5</v>
      </c>
    </row>
    <row r="1721">
      <c r="A1721" t="inlineStr">
        <is>
          <t>2026-09-24 17:28:58</t>
        </is>
      </c>
      <c r="B1721" t="inlineStr">
        <is>
          <t>MLLB_000_y1.0.3</t>
        </is>
      </c>
      <c r="C1721" t="inlineStr">
        <is>
          <t>WHITE</t>
        </is>
      </c>
      <c r="D1721" t="inlineStr">
        <is>
          <t>v4_white_MLLB_000_y103_0924</t>
        </is>
      </c>
      <c r="E1721" t="n">
        <v>3</v>
      </c>
      <c r="F1721" t="n">
        <v>3.008</v>
      </c>
      <c r="G1721" t="n">
        <v>8</v>
      </c>
      <c r="H1721" t="n">
        <v>60</v>
      </c>
      <c r="I1721" t="n">
        <v>48</v>
      </c>
      <c r="J1721" t="inlineStr">
        <is>
          <t>kaba</t>
        </is>
      </c>
      <c r="K1721" t="b">
        <v>1</v>
      </c>
      <c r="M1721" t="n">
        <v>52</v>
      </c>
      <c r="N1721" t="n">
        <v>30</v>
      </c>
      <c r="O1721" t="n">
        <v>32</v>
      </c>
      <c r="P1721" t="n">
        <v>950</v>
      </c>
      <c r="Q1721" t="n">
        <v>1002</v>
      </c>
      <c r="R1721" t="n">
        <v>5.526</v>
      </c>
      <c r="S1721" t="n">
        <v>78.902</v>
      </c>
      <c r="T1721" t="n">
        <v>14.278</v>
      </c>
      <c r="U1721" t="n">
        <v>0.7781</v>
      </c>
      <c r="V1721" t="b">
        <v>1</v>
      </c>
      <c r="X1721" t="b">
        <v>0</v>
      </c>
      <c r="Y1721" t="inlineStr">
        <is>
          <t>FLAS</t>
        </is>
      </c>
      <c r="Z1721" t="n">
        <v>935</v>
      </c>
      <c r="AA1721" t="n">
        <v>2.5</v>
      </c>
      <c r="AB1721" t="n">
        <v>9.5</v>
      </c>
    </row>
    <row r="1722">
      <c r="A1722" t="inlineStr">
        <is>
          <t>2026-09-24 17:29:14</t>
        </is>
      </c>
      <c r="B1722" t="inlineStr">
        <is>
          <t>MLLB_000_y1.0.3</t>
        </is>
      </c>
      <c r="C1722" t="inlineStr">
        <is>
          <t>WHITE</t>
        </is>
      </c>
      <c r="D1722" t="inlineStr">
        <is>
          <t>v4_white_MLLB_000_y103_0924</t>
        </is>
      </c>
      <c r="E1722" t="n">
        <v>3</v>
      </c>
      <c r="F1722" t="n">
        <v>3.008</v>
      </c>
      <c r="G1722" t="n">
        <v>8</v>
      </c>
      <c r="H1722" t="n">
        <v>60</v>
      </c>
      <c r="I1722" t="n">
        <v>52</v>
      </c>
      <c r="J1722" t="inlineStr">
        <is>
          <t>kaba</t>
        </is>
      </c>
      <c r="K1722" t="b">
        <v>1</v>
      </c>
      <c r="M1722" t="n">
        <v>52</v>
      </c>
      <c r="N1722" t="n">
        <v>30</v>
      </c>
      <c r="O1722" t="n">
        <v>32</v>
      </c>
      <c r="P1722" t="n">
        <v>950</v>
      </c>
      <c r="Q1722" t="n">
        <v>1002</v>
      </c>
      <c r="R1722" t="n">
        <v>8.536</v>
      </c>
      <c r="S1722" t="n">
        <v>121.792</v>
      </c>
      <c r="T1722" t="n">
        <v>14.268</v>
      </c>
      <c r="U1722" t="n">
        <v>0.7774</v>
      </c>
      <c r="V1722" t="b">
        <v>1</v>
      </c>
      <c r="X1722" t="b">
        <v>0</v>
      </c>
      <c r="Y1722" t="inlineStr">
        <is>
          <t>FLAS</t>
        </is>
      </c>
      <c r="Z1722" t="n">
        <v>935</v>
      </c>
      <c r="AA1722" t="n">
        <v>2.5</v>
      </c>
      <c r="AB1722" t="n">
        <v>9.5</v>
      </c>
    </row>
    <row r="1723">
      <c r="A1723" t="inlineStr">
        <is>
          <t>2026-09-24 17:29:30</t>
        </is>
      </c>
      <c r="B1723" t="inlineStr">
        <is>
          <t>MLLB_000_y1.0.3</t>
        </is>
      </c>
      <c r="C1723" t="inlineStr">
        <is>
          <t>WHITE</t>
        </is>
      </c>
      <c r="D1723" t="inlineStr">
        <is>
          <t>v4_white_MLLB_000_y103_0924</t>
        </is>
      </c>
      <c r="E1723" t="n">
        <v>3</v>
      </c>
      <c r="F1723" t="n">
        <v>3.008</v>
      </c>
      <c r="G1723" t="n">
        <v>8</v>
      </c>
      <c r="H1723" t="n">
        <v>60</v>
      </c>
      <c r="I1723" t="n">
        <v>41</v>
      </c>
      <c r="J1723" t="inlineStr">
        <is>
          <t>ince</t>
        </is>
      </c>
      <c r="K1723" t="b">
        <v>1</v>
      </c>
      <c r="M1723" t="n">
        <v>76</v>
      </c>
      <c r="N1723" t="n">
        <v>50</v>
      </c>
      <c r="O1723" t="n">
        <v>50</v>
      </c>
      <c r="P1723" t="n">
        <v>926</v>
      </c>
      <c r="Q1723" t="n">
        <v>1002</v>
      </c>
      <c r="R1723" t="n">
        <v>1.137</v>
      </c>
      <c r="S1723" t="n">
        <v>16.221</v>
      </c>
      <c r="T1723" t="n">
        <v>14.271</v>
      </c>
      <c r="U1723" t="n">
        <v>0.7775</v>
      </c>
      <c r="V1723" t="b">
        <v>1</v>
      </c>
      <c r="X1723" t="b">
        <v>0</v>
      </c>
      <c r="Y1723" t="inlineStr">
        <is>
          <t>ON</t>
        </is>
      </c>
      <c r="Z1723" t="n">
        <v>935</v>
      </c>
      <c r="AA1723" t="n">
        <v>2.5</v>
      </c>
      <c r="AB1723" t="n">
        <v>9.5</v>
      </c>
    </row>
    <row r="1724">
      <c r="A1724" t="inlineStr">
        <is>
          <t>2026-09-24 17:29:46</t>
        </is>
      </c>
      <c r="B1724" t="inlineStr">
        <is>
          <t>MLLB_000_y1.0.3</t>
        </is>
      </c>
      <c r="C1724" t="inlineStr">
        <is>
          <t>WHITE</t>
        </is>
      </c>
      <c r="D1724" t="inlineStr">
        <is>
          <t>v4_white_MLLB_000_y103_0924</t>
        </is>
      </c>
      <c r="E1724" t="n">
        <v>3</v>
      </c>
      <c r="F1724" t="n">
        <v>3.008</v>
      </c>
      <c r="G1724" t="n">
        <v>8</v>
      </c>
      <c r="H1724" t="n">
        <v>60</v>
      </c>
      <c r="I1724" t="n">
        <v>42</v>
      </c>
      <c r="J1724" t="inlineStr">
        <is>
          <t>ince</t>
        </is>
      </c>
      <c r="K1724" t="b">
        <v>1</v>
      </c>
      <c r="M1724" t="n">
        <v>68</v>
      </c>
      <c r="N1724" t="n">
        <v>44</v>
      </c>
      <c r="O1724" t="n">
        <v>42</v>
      </c>
      <c r="P1724" t="n">
        <v>934</v>
      </c>
      <c r="Q1724" t="n">
        <v>1002</v>
      </c>
      <c r="R1724" t="n">
        <v>1.133</v>
      </c>
      <c r="S1724" t="n">
        <v>16.174</v>
      </c>
      <c r="T1724" t="n">
        <v>14.273</v>
      </c>
      <c r="U1724" t="n">
        <v>0.7773</v>
      </c>
      <c r="V1724" t="b">
        <v>1</v>
      </c>
      <c r="X1724" t="b">
        <v>0</v>
      </c>
      <c r="Y1724" t="inlineStr">
        <is>
          <t>ON</t>
        </is>
      </c>
      <c r="Z1724" t="n">
        <v>935</v>
      </c>
      <c r="AA1724" t="n">
        <v>2.5</v>
      </c>
      <c r="AB1724" t="n">
        <v>9.5</v>
      </c>
    </row>
    <row r="1725">
      <c r="A1725" t="inlineStr">
        <is>
          <t>2026-09-24 17:30:02</t>
        </is>
      </c>
      <c r="B1725" t="inlineStr">
        <is>
          <t>MLLB_000_y1.0.3</t>
        </is>
      </c>
      <c r="C1725" t="inlineStr">
        <is>
          <t>WHITE</t>
        </is>
      </c>
      <c r="D1725" t="inlineStr">
        <is>
          <t>v4_white_MLLB_000_y103_0924</t>
        </is>
      </c>
      <c r="E1725" t="n">
        <v>3</v>
      </c>
      <c r="F1725" t="n">
        <v>3.008</v>
      </c>
      <c r="G1725" t="n">
        <v>8</v>
      </c>
      <c r="H1725" t="n">
        <v>60</v>
      </c>
      <c r="I1725" t="n">
        <v>43</v>
      </c>
      <c r="J1725" t="inlineStr">
        <is>
          <t>ince</t>
        </is>
      </c>
      <c r="K1725" t="b">
        <v>1</v>
      </c>
      <c r="M1725" t="n">
        <v>58</v>
      </c>
      <c r="N1725" t="n">
        <v>46</v>
      </c>
      <c r="O1725" t="n">
        <v>34</v>
      </c>
      <c r="P1725" t="n">
        <v>944</v>
      </c>
      <c r="Q1725" t="n">
        <v>1002</v>
      </c>
      <c r="R1725" t="n">
        <v>1.132</v>
      </c>
      <c r="S1725" t="n">
        <v>16.174</v>
      </c>
      <c r="T1725" t="n">
        <v>14.294</v>
      </c>
      <c r="U1725" t="n">
        <v>0.7782</v>
      </c>
      <c r="V1725" t="b">
        <v>1</v>
      </c>
      <c r="X1725" t="b">
        <v>1</v>
      </c>
      <c r="Z1725" t="n">
        <v>935</v>
      </c>
      <c r="AA1725" t="n">
        <v>2.5</v>
      </c>
      <c r="AB1725" t="n">
        <v>9.5</v>
      </c>
    </row>
    <row r="1726">
      <c r="A1726" t="inlineStr">
        <is>
          <t>2026-09-24 17:30:18</t>
        </is>
      </c>
      <c r="B1726" t="inlineStr">
        <is>
          <t>MLLB_000_y1.0.3</t>
        </is>
      </c>
      <c r="C1726" t="inlineStr">
        <is>
          <t>WHITE</t>
        </is>
      </c>
      <c r="D1726" t="inlineStr">
        <is>
          <t>v4_white_MLLB_000_y103_0924</t>
        </is>
      </c>
      <c r="E1726" t="n">
        <v>3</v>
      </c>
      <c r="F1726" t="n">
        <v>3.008</v>
      </c>
      <c r="G1726" t="n">
        <v>8</v>
      </c>
      <c r="H1726" t="n">
        <v>60</v>
      </c>
      <c r="I1726" t="n">
        <v>45</v>
      </c>
      <c r="J1726" t="inlineStr">
        <is>
          <t>ince</t>
        </is>
      </c>
      <c r="K1726" t="b">
        <v>1</v>
      </c>
      <c r="M1726" t="n">
        <v>52</v>
      </c>
      <c r="N1726" t="n">
        <v>30</v>
      </c>
      <c r="O1726" t="n">
        <v>32</v>
      </c>
      <c r="P1726" t="n">
        <v>950</v>
      </c>
      <c r="Q1726" t="n">
        <v>1002</v>
      </c>
      <c r="R1726" t="n">
        <v>1.136</v>
      </c>
      <c r="S1726" t="n">
        <v>16.21</v>
      </c>
      <c r="T1726" t="n">
        <v>14.265</v>
      </c>
      <c r="U1726" t="n">
        <v>0.7774</v>
      </c>
      <c r="V1726" t="b">
        <v>1</v>
      </c>
      <c r="X1726" t="b">
        <v>1</v>
      </c>
      <c r="Z1726" t="n">
        <v>935</v>
      </c>
      <c r="AA1726" t="n">
        <v>2.5</v>
      </c>
      <c r="AB1726" t="n">
        <v>9.5</v>
      </c>
    </row>
    <row r="1727">
      <c r="A1727" t="inlineStr">
        <is>
          <t>2026-09-24 17:30:34</t>
        </is>
      </c>
      <c r="B1727" t="inlineStr">
        <is>
          <t>MLLB_000_y1.0.3</t>
        </is>
      </c>
      <c r="C1727" t="inlineStr">
        <is>
          <t>WHITE</t>
        </is>
      </c>
      <c r="D1727" t="inlineStr">
        <is>
          <t>v4_white_MLLB_000_y103_0924</t>
        </is>
      </c>
      <c r="E1727" t="n">
        <v>3</v>
      </c>
      <c r="F1727" t="n">
        <v>3.008</v>
      </c>
      <c r="G1727" t="n">
        <v>8</v>
      </c>
      <c r="H1727" t="n">
        <v>60</v>
      </c>
      <c r="I1727" t="n">
        <v>46</v>
      </c>
      <c r="J1727" t="inlineStr">
        <is>
          <t>ince</t>
        </is>
      </c>
      <c r="K1727" t="b">
        <v>1</v>
      </c>
      <c r="M1727" t="n">
        <v>52</v>
      </c>
      <c r="N1727" t="n">
        <v>30</v>
      </c>
      <c r="O1727" t="n">
        <v>32</v>
      </c>
      <c r="P1727" t="n">
        <v>950</v>
      </c>
      <c r="Q1727" t="n">
        <v>1002</v>
      </c>
      <c r="R1727" t="n">
        <v>1.14</v>
      </c>
      <c r="S1727" t="n">
        <v>16.268</v>
      </c>
      <c r="T1727" t="n">
        <v>14.275</v>
      </c>
      <c r="U1727" t="n">
        <v>0.778</v>
      </c>
      <c r="V1727" t="b">
        <v>1</v>
      </c>
      <c r="X1727" t="b">
        <v>1</v>
      </c>
      <c r="Z1727" t="n">
        <v>935</v>
      </c>
      <c r="AA1727" t="n">
        <v>2.5</v>
      </c>
      <c r="AB1727" t="n">
        <v>9.5</v>
      </c>
    </row>
    <row r="1728">
      <c r="A1728" t="inlineStr">
        <is>
          <t>2026-09-24 17:30:50</t>
        </is>
      </c>
      <c r="B1728" t="inlineStr">
        <is>
          <t>MLLB_000_y1.0.3</t>
        </is>
      </c>
      <c r="C1728" t="inlineStr">
        <is>
          <t>WHITE</t>
        </is>
      </c>
      <c r="D1728" t="inlineStr">
        <is>
          <t>v4_white_MLLB_000_y103_0924</t>
        </is>
      </c>
      <c r="E1728" t="n">
        <v>3</v>
      </c>
      <c r="F1728" t="n">
        <v>3.008</v>
      </c>
      <c r="G1728" t="n">
        <v>8</v>
      </c>
      <c r="H1728" t="n">
        <v>60</v>
      </c>
      <c r="I1728" t="n">
        <v>47</v>
      </c>
      <c r="J1728" t="inlineStr">
        <is>
          <t>ince</t>
        </is>
      </c>
      <c r="K1728" t="b">
        <v>1</v>
      </c>
      <c r="M1728" t="n">
        <v>52</v>
      </c>
      <c r="N1728" t="n">
        <v>30</v>
      </c>
      <c r="O1728" t="n">
        <v>32</v>
      </c>
      <c r="P1728" t="n">
        <v>950</v>
      </c>
      <c r="Q1728" t="n">
        <v>1002</v>
      </c>
      <c r="R1728" t="n">
        <v>2.07</v>
      </c>
      <c r="S1728" t="n">
        <v>29.557</v>
      </c>
      <c r="T1728" t="n">
        <v>14.276</v>
      </c>
      <c r="U1728" t="n">
        <v>0.7776</v>
      </c>
      <c r="V1728" t="b">
        <v>1</v>
      </c>
      <c r="X1728" t="b">
        <v>1</v>
      </c>
      <c r="Z1728" t="n">
        <v>935</v>
      </c>
      <c r="AA1728" t="n">
        <v>2.5</v>
      </c>
      <c r="AB1728" t="n">
        <v>9.5</v>
      </c>
    </row>
    <row r="1729">
      <c r="A1729" t="inlineStr">
        <is>
          <t>2026-09-24 17:30:50</t>
        </is>
      </c>
      <c r="B1729" t="inlineStr">
        <is>
          <t>MLLB_000_y1.0.3</t>
        </is>
      </c>
      <c r="C1729" t="inlineStr">
        <is>
          <t>WHITE</t>
        </is>
      </c>
      <c r="D1729" t="inlineStr">
        <is>
          <t>v4_white_MLLB_000_y103_0924</t>
        </is>
      </c>
      <c r="E1729" t="n">
        <v>3</v>
      </c>
      <c r="F1729" t="n">
        <v>3.008</v>
      </c>
      <c r="G1729" t="n">
        <v>8</v>
      </c>
      <c r="H1729" t="n">
        <v>60</v>
      </c>
      <c r="J1729" t="inlineStr">
        <is>
          <t>bitti</t>
        </is>
      </c>
      <c r="K1729" t="b">
        <v>0</v>
      </c>
      <c r="Z1729" t="n">
        <v>935</v>
      </c>
      <c r="AA1729" t="n">
        <v>2.5</v>
      </c>
      <c r="AB1729" t="n">
        <v>9.5</v>
      </c>
    </row>
    <row r="1730">
      <c r="A1730" t="inlineStr">
        <is>
          <t>2026-09-24 17:31:12</t>
        </is>
      </c>
      <c r="B1730" t="inlineStr">
        <is>
          <t>MLLB_000_y1.0.3</t>
        </is>
      </c>
      <c r="C1730" t="inlineStr">
        <is>
          <t>WHITE</t>
        </is>
      </c>
      <c r="D1730" t="inlineStr">
        <is>
          <t>v4_white_MLLB_000_y103_0924</t>
        </is>
      </c>
      <c r="E1730" t="n">
        <v>3</v>
      </c>
      <c r="F1730" t="n">
        <v>3.008</v>
      </c>
      <c r="G1730" t="n">
        <v>10</v>
      </c>
      <c r="H1730" t="n">
        <v>100</v>
      </c>
      <c r="I1730" t="n">
        <v>12</v>
      </c>
      <c r="J1730" t="inlineStr">
        <is>
          <t>kaba</t>
        </is>
      </c>
      <c r="K1730" t="b">
        <v>1</v>
      </c>
      <c r="M1730" t="n">
        <v>202</v>
      </c>
      <c r="N1730" t="n">
        <v>42</v>
      </c>
      <c r="O1730" t="n">
        <v>178</v>
      </c>
      <c r="P1730" t="n">
        <v>800</v>
      </c>
      <c r="Q1730" t="n">
        <v>1002</v>
      </c>
      <c r="R1730" t="n">
        <v>1.075</v>
      </c>
      <c r="S1730" t="n">
        <v>20.412</v>
      </c>
      <c r="T1730" t="n">
        <v>18.992</v>
      </c>
      <c r="U1730" t="n">
        <v>0.7771</v>
      </c>
      <c r="V1730" t="b">
        <v>1</v>
      </c>
      <c r="X1730" t="b">
        <v>0</v>
      </c>
      <c r="Y1730" t="inlineStr">
        <is>
          <t>ON</t>
        </is>
      </c>
      <c r="Z1730" t="n">
        <v>935</v>
      </c>
      <c r="AA1730" t="n">
        <v>2.5</v>
      </c>
      <c r="AB1730" t="n">
        <v>9.5</v>
      </c>
    </row>
    <row r="1731">
      <c r="A1731" t="inlineStr">
        <is>
          <t>2026-09-24 17:31:28</t>
        </is>
      </c>
      <c r="B1731" t="inlineStr">
        <is>
          <t>MLLB_000_y1.0.3</t>
        </is>
      </c>
      <c r="C1731" t="inlineStr">
        <is>
          <t>WHITE</t>
        </is>
      </c>
      <c r="D1731" t="inlineStr">
        <is>
          <t>v4_white_MLLB_000_y103_0924</t>
        </is>
      </c>
      <c r="E1731" t="n">
        <v>3</v>
      </c>
      <c r="F1731" t="n">
        <v>3.008</v>
      </c>
      <c r="G1731" t="n">
        <v>10</v>
      </c>
      <c r="H1731" t="n">
        <v>100</v>
      </c>
      <c r="I1731" t="n">
        <v>16</v>
      </c>
      <c r="J1731" t="inlineStr">
        <is>
          <t>kaba</t>
        </is>
      </c>
      <c r="K1731" t="b">
        <v>1</v>
      </c>
      <c r="M1731" t="n">
        <v>160</v>
      </c>
      <c r="N1731" t="n">
        <v>40</v>
      </c>
      <c r="O1731" t="n">
        <v>134</v>
      </c>
      <c r="P1731" t="n">
        <v>842</v>
      </c>
      <c r="Q1731" t="n">
        <v>1002</v>
      </c>
      <c r="R1731" t="n">
        <v>1.073</v>
      </c>
      <c r="S1731" t="n">
        <v>20.427</v>
      </c>
      <c r="T1731" t="n">
        <v>19.032</v>
      </c>
      <c r="U1731" t="n">
        <v>0.7774</v>
      </c>
      <c r="V1731" t="b">
        <v>1</v>
      </c>
      <c r="X1731" t="b">
        <v>0</v>
      </c>
      <c r="Y1731" t="inlineStr">
        <is>
          <t>ON</t>
        </is>
      </c>
      <c r="Z1731" t="n">
        <v>935</v>
      </c>
      <c r="AA1731" t="n">
        <v>2.5</v>
      </c>
      <c r="AB1731" t="n">
        <v>9.5</v>
      </c>
    </row>
    <row r="1732">
      <c r="A1732" t="inlineStr">
        <is>
          <t>2026-09-24 17:31:43</t>
        </is>
      </c>
      <c r="B1732" t="inlineStr">
        <is>
          <t>MLLB_000_y1.0.3</t>
        </is>
      </c>
      <c r="C1732" t="inlineStr">
        <is>
          <t>WHITE</t>
        </is>
      </c>
      <c r="D1732" t="inlineStr">
        <is>
          <t>v4_white_MLLB_000_y103_0924</t>
        </is>
      </c>
      <c r="E1732" t="n">
        <v>3</v>
      </c>
      <c r="F1732" t="n">
        <v>3.008</v>
      </c>
      <c r="G1732" t="n">
        <v>10</v>
      </c>
      <c r="H1732" t="n">
        <v>100</v>
      </c>
      <c r="I1732" t="n">
        <v>20</v>
      </c>
      <c r="J1732" t="inlineStr">
        <is>
          <t>kaba</t>
        </is>
      </c>
      <c r="K1732" t="b">
        <v>1</v>
      </c>
      <c r="M1732" t="n">
        <v>118</v>
      </c>
      <c r="N1732" t="n">
        <v>42</v>
      </c>
      <c r="O1732" t="n">
        <v>94</v>
      </c>
      <c r="P1732" t="n">
        <v>884</v>
      </c>
      <c r="Q1732" t="n">
        <v>1002</v>
      </c>
      <c r="R1732" t="n">
        <v>1.071</v>
      </c>
      <c r="S1732" t="n">
        <v>20.412</v>
      </c>
      <c r="T1732" t="n">
        <v>19.065</v>
      </c>
      <c r="U1732" t="n">
        <v>0.7779</v>
      </c>
      <c r="V1732" t="b">
        <v>1</v>
      </c>
      <c r="X1732" t="b">
        <v>0</v>
      </c>
      <c r="Y1732" t="inlineStr">
        <is>
          <t>ON</t>
        </is>
      </c>
      <c r="Z1732" t="n">
        <v>935</v>
      </c>
      <c r="AA1732" t="n">
        <v>2.5</v>
      </c>
      <c r="AB1732" t="n">
        <v>9.5</v>
      </c>
    </row>
    <row r="1733">
      <c r="A1733" t="inlineStr">
        <is>
          <t>2026-09-24 17:32:00</t>
        </is>
      </c>
      <c r="B1733" t="inlineStr">
        <is>
          <t>MLLB_000_y1.0.3</t>
        </is>
      </c>
      <c r="C1733" t="inlineStr">
        <is>
          <t>WHITE</t>
        </is>
      </c>
      <c r="D1733" t="inlineStr">
        <is>
          <t>v4_white_MLLB_000_y103_0924</t>
        </is>
      </c>
      <c r="E1733" t="n">
        <v>3</v>
      </c>
      <c r="F1733" t="n">
        <v>3.008</v>
      </c>
      <c r="G1733" t="n">
        <v>10</v>
      </c>
      <c r="H1733" t="n">
        <v>100</v>
      </c>
      <c r="I1733" t="n">
        <v>24</v>
      </c>
      <c r="J1733" t="inlineStr">
        <is>
          <t>kaba</t>
        </is>
      </c>
      <c r="K1733" t="b">
        <v>1</v>
      </c>
      <c r="M1733" t="n">
        <v>74</v>
      </c>
      <c r="N1733" t="n">
        <v>40</v>
      </c>
      <c r="O1733" t="n">
        <v>50</v>
      </c>
      <c r="P1733" t="n">
        <v>928</v>
      </c>
      <c r="Q1733" t="n">
        <v>1002</v>
      </c>
      <c r="R1733" t="n">
        <v>1.072</v>
      </c>
      <c r="S1733" t="n">
        <v>20.468</v>
      </c>
      <c r="T1733" t="n">
        <v>19.092</v>
      </c>
      <c r="U1733" t="n">
        <v>0.7781</v>
      </c>
      <c r="V1733" t="b">
        <v>1</v>
      </c>
      <c r="X1733" t="b">
        <v>0</v>
      </c>
      <c r="Y1733" t="inlineStr">
        <is>
          <t>ON</t>
        </is>
      </c>
      <c r="Z1733" t="n">
        <v>935</v>
      </c>
      <c r="AA1733" t="n">
        <v>2.5</v>
      </c>
      <c r="AB1733" t="n">
        <v>9.5</v>
      </c>
    </row>
    <row r="1734">
      <c r="A1734" t="inlineStr">
        <is>
          <t>2026-09-24 17:32:16</t>
        </is>
      </c>
      <c r="B1734" t="inlineStr">
        <is>
          <t>MLLB_000_y1.0.3</t>
        </is>
      </c>
      <c r="C1734" t="inlineStr">
        <is>
          <t>WHITE</t>
        </is>
      </c>
      <c r="D1734" t="inlineStr">
        <is>
          <t>v4_white_MLLB_000_y103_0924</t>
        </is>
      </c>
      <c r="E1734" t="n">
        <v>3</v>
      </c>
      <c r="F1734" t="n">
        <v>3.008</v>
      </c>
      <c r="G1734" t="n">
        <v>10</v>
      </c>
      <c r="H1734" t="n">
        <v>100</v>
      </c>
      <c r="I1734" t="n">
        <v>28</v>
      </c>
      <c r="J1734" t="inlineStr">
        <is>
          <t>kaba</t>
        </is>
      </c>
      <c r="K1734" t="b">
        <v>1</v>
      </c>
      <c r="M1734" t="n">
        <v>36</v>
      </c>
      <c r="N1734" t="n">
        <v>32</v>
      </c>
      <c r="O1734" t="n">
        <v>14</v>
      </c>
      <c r="P1734" t="n">
        <v>966</v>
      </c>
      <c r="Q1734" t="n">
        <v>1002</v>
      </c>
      <c r="R1734" t="n">
        <v>1.07</v>
      </c>
      <c r="S1734" t="n">
        <v>20.46</v>
      </c>
      <c r="T1734" t="n">
        <v>19.124</v>
      </c>
      <c r="U1734" t="n">
        <v>0.7779</v>
      </c>
      <c r="V1734" t="b">
        <v>1</v>
      </c>
      <c r="X1734" t="b">
        <v>1</v>
      </c>
      <c r="Z1734" t="n">
        <v>935</v>
      </c>
      <c r="AA1734" t="n">
        <v>2.5</v>
      </c>
      <c r="AB1734" t="n">
        <v>9.5</v>
      </c>
    </row>
    <row r="1735">
      <c r="A1735" t="inlineStr">
        <is>
          <t>2026-09-24 17:32:32</t>
        </is>
      </c>
      <c r="B1735" t="inlineStr">
        <is>
          <t>MLLB_000_y1.0.3</t>
        </is>
      </c>
      <c r="C1735" t="inlineStr">
        <is>
          <t>WHITE</t>
        </is>
      </c>
      <c r="D1735" t="inlineStr">
        <is>
          <t>v4_white_MLLB_000_y103_0924</t>
        </is>
      </c>
      <c r="E1735" t="n">
        <v>3</v>
      </c>
      <c r="F1735" t="n">
        <v>3.008</v>
      </c>
      <c r="G1735" t="n">
        <v>10</v>
      </c>
      <c r="H1735" t="n">
        <v>100</v>
      </c>
      <c r="I1735" t="n">
        <v>32</v>
      </c>
      <c r="J1735" t="inlineStr">
        <is>
          <t>kaba</t>
        </is>
      </c>
      <c r="K1735" t="b">
        <v>1</v>
      </c>
      <c r="M1735" t="n">
        <v>36</v>
      </c>
      <c r="N1735" t="n">
        <v>30</v>
      </c>
      <c r="O1735" t="n">
        <v>16</v>
      </c>
      <c r="P1735" t="n">
        <v>966</v>
      </c>
      <c r="Q1735" t="n">
        <v>1002</v>
      </c>
      <c r="R1735" t="n">
        <v>7.722</v>
      </c>
      <c r="S1735" t="n">
        <v>147.617</v>
      </c>
      <c r="T1735" t="n">
        <v>19.117</v>
      </c>
      <c r="U1735" t="n">
        <v>0.7781</v>
      </c>
      <c r="V1735" t="b">
        <v>1</v>
      </c>
      <c r="X1735" t="b">
        <v>0</v>
      </c>
      <c r="Y1735" t="inlineStr">
        <is>
          <t>FLAS</t>
        </is>
      </c>
      <c r="Z1735" t="n">
        <v>935</v>
      </c>
      <c r="AA1735" t="n">
        <v>2.5</v>
      </c>
      <c r="AB1735" t="n">
        <v>9.5</v>
      </c>
    </row>
    <row r="1736">
      <c r="A1736" t="inlineStr">
        <is>
          <t>2026-09-24 17:32:48</t>
        </is>
      </c>
      <c r="B1736" t="inlineStr">
        <is>
          <t>MLLB_000_y1.0.3</t>
        </is>
      </c>
      <c r="C1736" t="inlineStr">
        <is>
          <t>WHITE</t>
        </is>
      </c>
      <c r="D1736" t="inlineStr">
        <is>
          <t>v4_white_MLLB_000_y103_0924</t>
        </is>
      </c>
      <c r="E1736" t="n">
        <v>3</v>
      </c>
      <c r="F1736" t="n">
        <v>3.008</v>
      </c>
      <c r="G1736" t="n">
        <v>10</v>
      </c>
      <c r="H1736" t="n">
        <v>100</v>
      </c>
      <c r="I1736" t="n">
        <v>25</v>
      </c>
      <c r="J1736" t="inlineStr">
        <is>
          <t>ince</t>
        </is>
      </c>
      <c r="K1736" t="b">
        <v>1</v>
      </c>
      <c r="M1736" t="n">
        <v>64</v>
      </c>
      <c r="N1736" t="n">
        <v>46</v>
      </c>
      <c r="O1736" t="n">
        <v>38</v>
      </c>
      <c r="P1736" t="n">
        <v>938</v>
      </c>
      <c r="Q1736" t="n">
        <v>1002</v>
      </c>
      <c r="R1736" t="n">
        <v>1.067</v>
      </c>
      <c r="S1736" t="n">
        <v>20.416</v>
      </c>
      <c r="T1736" t="n">
        <v>19.128</v>
      </c>
      <c r="U1736" t="n">
        <v>0.7783</v>
      </c>
      <c r="V1736" t="b">
        <v>1</v>
      </c>
      <c r="X1736" t="b">
        <v>1</v>
      </c>
      <c r="Z1736" t="n">
        <v>935</v>
      </c>
      <c r="AA1736" t="n">
        <v>2.5</v>
      </c>
      <c r="AB1736" t="n">
        <v>9.5</v>
      </c>
    </row>
    <row r="1737">
      <c r="A1737" t="inlineStr">
        <is>
          <t>2026-09-24 17:33:04</t>
        </is>
      </c>
      <c r="B1737" t="inlineStr">
        <is>
          <t>MLLB_000_y1.0.3</t>
        </is>
      </c>
      <c r="C1737" t="inlineStr">
        <is>
          <t>WHITE</t>
        </is>
      </c>
      <c r="D1737" t="inlineStr">
        <is>
          <t>v4_white_MLLB_000_y103_0924</t>
        </is>
      </c>
      <c r="E1737" t="n">
        <v>3</v>
      </c>
      <c r="F1737" t="n">
        <v>3.008</v>
      </c>
      <c r="G1737" t="n">
        <v>10</v>
      </c>
      <c r="H1737" t="n">
        <v>100</v>
      </c>
      <c r="I1737" t="n">
        <v>26</v>
      </c>
      <c r="J1737" t="inlineStr">
        <is>
          <t>ince</t>
        </is>
      </c>
      <c r="K1737" t="b">
        <v>1</v>
      </c>
      <c r="M1737" t="n">
        <v>54</v>
      </c>
      <c r="N1737" t="n">
        <v>42</v>
      </c>
      <c r="O1737" t="n">
        <v>30</v>
      </c>
      <c r="P1737" t="n">
        <v>948</v>
      </c>
      <c r="Q1737" t="n">
        <v>1002</v>
      </c>
      <c r="R1737" t="n">
        <v>1.076</v>
      </c>
      <c r="S1737" t="n">
        <v>20.557</v>
      </c>
      <c r="T1737" t="n">
        <v>19.106</v>
      </c>
      <c r="U1737" t="n">
        <v>0.7773</v>
      </c>
      <c r="V1737" t="b">
        <v>1</v>
      </c>
      <c r="X1737" t="b">
        <v>1</v>
      </c>
      <c r="Z1737" t="n">
        <v>935</v>
      </c>
      <c r="AA1737" t="n">
        <v>2.5</v>
      </c>
      <c r="AB1737" t="n">
        <v>9.5</v>
      </c>
    </row>
    <row r="1738">
      <c r="A1738" t="inlineStr">
        <is>
          <t>2026-09-24 17:33:20</t>
        </is>
      </c>
      <c r="B1738" t="inlineStr">
        <is>
          <t>MLLB_000_y1.0.3</t>
        </is>
      </c>
      <c r="C1738" t="inlineStr">
        <is>
          <t>WHITE</t>
        </is>
      </c>
      <c r="D1738" t="inlineStr">
        <is>
          <t>v4_white_MLLB_000_y103_0924</t>
        </is>
      </c>
      <c r="E1738" t="n">
        <v>3</v>
      </c>
      <c r="F1738" t="n">
        <v>3.008</v>
      </c>
      <c r="G1738" t="n">
        <v>10</v>
      </c>
      <c r="H1738" t="n">
        <v>100</v>
      </c>
      <c r="I1738" t="n">
        <v>27</v>
      </c>
      <c r="J1738" t="inlineStr">
        <is>
          <t>ince</t>
        </is>
      </c>
      <c r="K1738" t="b">
        <v>1</v>
      </c>
      <c r="M1738" t="n">
        <v>42</v>
      </c>
      <c r="N1738" t="n">
        <v>42</v>
      </c>
      <c r="O1738" t="n">
        <v>18</v>
      </c>
      <c r="P1738" t="n">
        <v>960</v>
      </c>
      <c r="Q1738" t="n">
        <v>1002</v>
      </c>
      <c r="R1738" t="n">
        <v>1.069</v>
      </c>
      <c r="S1738" t="n">
        <v>20.431</v>
      </c>
      <c r="T1738" t="n">
        <v>19.119</v>
      </c>
      <c r="U1738" t="n">
        <v>0.7781</v>
      </c>
      <c r="V1738" t="b">
        <v>1</v>
      </c>
      <c r="X1738" t="b">
        <v>1</v>
      </c>
      <c r="Z1738" t="n">
        <v>935</v>
      </c>
      <c r="AA1738" t="n">
        <v>2.5</v>
      </c>
      <c r="AB1738" t="n">
        <v>9.5</v>
      </c>
    </row>
    <row r="1739">
      <c r="A1739" t="inlineStr">
        <is>
          <t>2026-09-24 17:33:36</t>
        </is>
      </c>
      <c r="B1739" t="inlineStr">
        <is>
          <t>MLLB_000_y1.0.3</t>
        </is>
      </c>
      <c r="C1739" t="inlineStr">
        <is>
          <t>WHITE</t>
        </is>
      </c>
      <c r="D1739" t="inlineStr">
        <is>
          <t>v4_white_MLLB_000_y103_0924</t>
        </is>
      </c>
      <c r="E1739" t="n">
        <v>3</v>
      </c>
      <c r="F1739" t="n">
        <v>3.008</v>
      </c>
      <c r="G1739" t="n">
        <v>10</v>
      </c>
      <c r="H1739" t="n">
        <v>100</v>
      </c>
      <c r="I1739" t="n">
        <v>29</v>
      </c>
      <c r="J1739" t="inlineStr">
        <is>
          <t>ince</t>
        </is>
      </c>
      <c r="K1739" t="b">
        <v>1</v>
      </c>
      <c r="M1739" t="n">
        <v>36</v>
      </c>
      <c r="N1739" t="n">
        <v>32</v>
      </c>
      <c r="O1739" t="n">
        <v>14</v>
      </c>
      <c r="P1739" t="n">
        <v>966</v>
      </c>
      <c r="Q1739" t="n">
        <v>1002</v>
      </c>
      <c r="R1739" t="n">
        <v>1.066</v>
      </c>
      <c r="S1739" t="n">
        <v>20.364</v>
      </c>
      <c r="T1739" t="n">
        <v>19.11</v>
      </c>
      <c r="U1739" t="n">
        <v>0.7782</v>
      </c>
      <c r="V1739" t="b">
        <v>1</v>
      </c>
      <c r="X1739" t="b">
        <v>1</v>
      </c>
      <c r="Z1739" t="n">
        <v>935</v>
      </c>
      <c r="AA1739" t="n">
        <v>2.5</v>
      </c>
      <c r="AB1739" t="n">
        <v>9.5</v>
      </c>
    </row>
    <row r="1740">
      <c r="A1740" t="inlineStr">
        <is>
          <t>2026-09-24 17:33:52</t>
        </is>
      </c>
      <c r="B1740" t="inlineStr">
        <is>
          <t>MLLB_000_y1.0.3</t>
        </is>
      </c>
      <c r="C1740" t="inlineStr">
        <is>
          <t>WHITE</t>
        </is>
      </c>
      <c r="D1740" t="inlineStr">
        <is>
          <t>v4_white_MLLB_000_y103_0924</t>
        </is>
      </c>
      <c r="E1740" t="n">
        <v>3</v>
      </c>
      <c r="F1740" t="n">
        <v>3.008</v>
      </c>
      <c r="G1740" t="n">
        <v>10</v>
      </c>
      <c r="H1740" t="n">
        <v>100</v>
      </c>
      <c r="I1740" t="n">
        <v>30</v>
      </c>
      <c r="J1740" t="inlineStr">
        <is>
          <t>ince</t>
        </is>
      </c>
      <c r="K1740" t="b">
        <v>1</v>
      </c>
      <c r="M1740" t="n">
        <v>36</v>
      </c>
      <c r="N1740" t="n">
        <v>32</v>
      </c>
      <c r="O1740" t="n">
        <v>14</v>
      </c>
      <c r="P1740" t="n">
        <v>966</v>
      </c>
      <c r="Q1740" t="n">
        <v>1002</v>
      </c>
      <c r="R1740" t="n">
        <v>4.29</v>
      </c>
      <c r="S1740" t="n">
        <v>82.02</v>
      </c>
      <c r="T1740" t="n">
        <v>19.118</v>
      </c>
      <c r="U1740" t="n">
        <v>0.7776999999999999</v>
      </c>
      <c r="V1740" t="b">
        <v>1</v>
      </c>
      <c r="X1740" t="b">
        <v>0</v>
      </c>
      <c r="Y1740" t="inlineStr">
        <is>
          <t>FLAS</t>
        </is>
      </c>
      <c r="Z1740" t="n">
        <v>935</v>
      </c>
      <c r="AA1740" t="n">
        <v>2.5</v>
      </c>
      <c r="AB1740" t="n">
        <v>9.5</v>
      </c>
    </row>
    <row r="1741">
      <c r="A1741" t="inlineStr">
        <is>
          <t>2026-09-24 17:34:08</t>
        </is>
      </c>
      <c r="B1741" t="inlineStr">
        <is>
          <t>MLLB_000_y1.0.3</t>
        </is>
      </c>
      <c r="C1741" t="inlineStr">
        <is>
          <t>WHITE</t>
        </is>
      </c>
      <c r="D1741" t="inlineStr">
        <is>
          <t>v4_white_MLLB_000_y103_0924</t>
        </is>
      </c>
      <c r="E1741" t="n">
        <v>3</v>
      </c>
      <c r="F1741" t="n">
        <v>3.008</v>
      </c>
      <c r="G1741" t="n">
        <v>10</v>
      </c>
      <c r="H1741" t="n">
        <v>100</v>
      </c>
      <c r="I1741" t="n">
        <v>31</v>
      </c>
      <c r="J1741" t="inlineStr">
        <is>
          <t>ince</t>
        </is>
      </c>
      <c r="K1741" t="b">
        <v>1</v>
      </c>
      <c r="M1741" t="n">
        <v>36</v>
      </c>
      <c r="N1741" t="n">
        <v>30</v>
      </c>
      <c r="O1741" t="n">
        <v>16</v>
      </c>
      <c r="P1741" t="n">
        <v>966</v>
      </c>
      <c r="Q1741" t="n">
        <v>1002</v>
      </c>
      <c r="R1741" t="n">
        <v>6.218</v>
      </c>
      <c r="S1741" t="n">
        <v>118.772</v>
      </c>
      <c r="T1741" t="n">
        <v>19.101</v>
      </c>
      <c r="U1741" t="n">
        <v>0.7776</v>
      </c>
      <c r="V1741" t="b">
        <v>1</v>
      </c>
      <c r="X1741" t="b">
        <v>0</v>
      </c>
      <c r="Y1741" t="inlineStr">
        <is>
          <t>FLAS</t>
        </is>
      </c>
      <c r="Z1741" t="n">
        <v>935</v>
      </c>
      <c r="AA1741" t="n">
        <v>2.5</v>
      </c>
      <c r="AB1741" t="n">
        <v>9.5</v>
      </c>
    </row>
    <row r="1742">
      <c r="A1742" t="inlineStr">
        <is>
          <t>2026-09-24 17:34:08</t>
        </is>
      </c>
      <c r="B1742" t="inlineStr">
        <is>
          <t>MLLB_000_y1.0.3</t>
        </is>
      </c>
      <c r="C1742" t="inlineStr">
        <is>
          <t>WHITE</t>
        </is>
      </c>
      <c r="D1742" t="inlineStr">
        <is>
          <t>v4_white_MLLB_000_y103_0924</t>
        </is>
      </c>
      <c r="E1742" t="n">
        <v>3</v>
      </c>
      <c r="F1742" t="n">
        <v>3.008</v>
      </c>
      <c r="G1742" t="n">
        <v>10</v>
      </c>
      <c r="H1742" t="n">
        <v>100</v>
      </c>
      <c r="J1742" t="inlineStr">
        <is>
          <t>bitti</t>
        </is>
      </c>
      <c r="K1742" t="b">
        <v>0</v>
      </c>
      <c r="Z1742" t="n">
        <v>935</v>
      </c>
      <c r="AA1742" t="n">
        <v>2.5</v>
      </c>
      <c r="AB1742" t="n">
        <v>9.5</v>
      </c>
    </row>
    <row r="1743">
      <c r="A1743" t="inlineStr">
        <is>
          <t>2026-09-24 17:34:24</t>
        </is>
      </c>
      <c r="B1743" t="inlineStr">
        <is>
          <t>MLLB_000_y1.0.3</t>
        </is>
      </c>
      <c r="C1743" t="inlineStr">
        <is>
          <t>WHITE</t>
        </is>
      </c>
      <c r="D1743" t="inlineStr">
        <is>
          <t>v4_white_MLLB_000_y103_0924</t>
        </is>
      </c>
      <c r="E1743" t="n">
        <v>3</v>
      </c>
      <c r="F1743" t="n">
        <v>3.008</v>
      </c>
      <c r="G1743" t="n">
        <v>10</v>
      </c>
      <c r="H1743" t="n">
        <v>80</v>
      </c>
      <c r="I1743" t="n">
        <v>12</v>
      </c>
      <c r="J1743" t="inlineStr">
        <is>
          <t>kaba</t>
        </is>
      </c>
      <c r="K1743" t="b">
        <v>1</v>
      </c>
      <c r="M1743" t="n">
        <v>222</v>
      </c>
      <c r="N1743" t="n">
        <v>40</v>
      </c>
      <c r="O1743" t="n">
        <v>198</v>
      </c>
      <c r="P1743" t="n">
        <v>780</v>
      </c>
      <c r="Q1743" t="n">
        <v>1002</v>
      </c>
      <c r="R1743" t="n">
        <v>1.077</v>
      </c>
      <c r="S1743" t="n">
        <v>20.412</v>
      </c>
      <c r="T1743" t="n">
        <v>18.946</v>
      </c>
      <c r="U1743" t="n">
        <v>0.7778</v>
      </c>
      <c r="V1743" t="b">
        <v>1</v>
      </c>
      <c r="X1743" t="b">
        <v>0</v>
      </c>
      <c r="Y1743" t="inlineStr">
        <is>
          <t>ON</t>
        </is>
      </c>
      <c r="Z1743" t="n">
        <v>935</v>
      </c>
      <c r="AA1743" t="n">
        <v>2.5</v>
      </c>
      <c r="AB1743" t="n">
        <v>9.5</v>
      </c>
    </row>
    <row r="1744">
      <c r="A1744" t="inlineStr">
        <is>
          <t>2026-09-24 17:34:40</t>
        </is>
      </c>
      <c r="B1744" t="inlineStr">
        <is>
          <t>MLLB_000_y1.0.3</t>
        </is>
      </c>
      <c r="C1744" t="inlineStr">
        <is>
          <t>WHITE</t>
        </is>
      </c>
      <c r="D1744" t="inlineStr">
        <is>
          <t>v4_white_MLLB_000_y103_0924</t>
        </is>
      </c>
      <c r="E1744" t="n">
        <v>3</v>
      </c>
      <c r="F1744" t="n">
        <v>3.008</v>
      </c>
      <c r="G1744" t="n">
        <v>10</v>
      </c>
      <c r="H1744" t="n">
        <v>80</v>
      </c>
      <c r="I1744" t="n">
        <v>16</v>
      </c>
      <c r="J1744" t="inlineStr">
        <is>
          <t>kaba</t>
        </is>
      </c>
      <c r="K1744" t="b">
        <v>1</v>
      </c>
      <c r="M1744" t="n">
        <v>188</v>
      </c>
      <c r="N1744" t="n">
        <v>42</v>
      </c>
      <c r="O1744" t="n">
        <v>166</v>
      </c>
      <c r="P1744" t="n">
        <v>814</v>
      </c>
      <c r="Q1744" t="n">
        <v>1002</v>
      </c>
      <c r="R1744" t="n">
        <v>1.077</v>
      </c>
      <c r="S1744" t="n">
        <v>20.46</v>
      </c>
      <c r="T1744" t="n">
        <v>19.003</v>
      </c>
      <c r="U1744" t="n">
        <v>0.7776</v>
      </c>
      <c r="V1744" t="b">
        <v>1</v>
      </c>
      <c r="X1744" t="b">
        <v>0</v>
      </c>
      <c r="Y1744" t="inlineStr">
        <is>
          <t>ON</t>
        </is>
      </c>
      <c r="Z1744" t="n">
        <v>935</v>
      </c>
      <c r="AA1744" t="n">
        <v>2.5</v>
      </c>
      <c r="AB1744" t="n">
        <v>9.5</v>
      </c>
    </row>
    <row r="1745">
      <c r="A1745" t="inlineStr">
        <is>
          <t>2026-09-24 17:34:56</t>
        </is>
      </c>
      <c r="B1745" t="inlineStr">
        <is>
          <t>MLLB_000_y1.0.3</t>
        </is>
      </c>
      <c r="C1745" t="inlineStr">
        <is>
          <t>WHITE</t>
        </is>
      </c>
      <c r="D1745" t="inlineStr">
        <is>
          <t>v4_white_MLLB_000_y103_0924</t>
        </is>
      </c>
      <c r="E1745" t="n">
        <v>3</v>
      </c>
      <c r="F1745" t="n">
        <v>3.008</v>
      </c>
      <c r="G1745" t="n">
        <v>10</v>
      </c>
      <c r="H1745" t="n">
        <v>80</v>
      </c>
      <c r="I1745" t="n">
        <v>20</v>
      </c>
      <c r="J1745" t="inlineStr">
        <is>
          <t>kaba</t>
        </is>
      </c>
      <c r="K1745" t="b">
        <v>1</v>
      </c>
      <c r="M1745" t="n">
        <v>156</v>
      </c>
      <c r="N1745" t="n">
        <v>40</v>
      </c>
      <c r="O1745" t="n">
        <v>130</v>
      </c>
      <c r="P1745" t="n">
        <v>846</v>
      </c>
      <c r="Q1745" t="n">
        <v>1002</v>
      </c>
      <c r="R1745" t="n">
        <v>1.073</v>
      </c>
      <c r="S1745" t="n">
        <v>20.46</v>
      </c>
      <c r="T1745" t="n">
        <v>19.064</v>
      </c>
      <c r="U1745" t="n">
        <v>0.7776</v>
      </c>
      <c r="V1745" t="b">
        <v>1</v>
      </c>
      <c r="X1745" t="b">
        <v>0</v>
      </c>
      <c r="Y1745" t="inlineStr">
        <is>
          <t>ON</t>
        </is>
      </c>
      <c r="Z1745" t="n">
        <v>935</v>
      </c>
      <c r="AA1745" t="n">
        <v>2.5</v>
      </c>
      <c r="AB1745" t="n">
        <v>9.5</v>
      </c>
    </row>
    <row r="1746">
      <c r="A1746" t="inlineStr">
        <is>
          <t>2026-09-24 17:35:12</t>
        </is>
      </c>
      <c r="B1746" t="inlineStr">
        <is>
          <t>MLLB_000_y1.0.3</t>
        </is>
      </c>
      <c r="C1746" t="inlineStr">
        <is>
          <t>WHITE</t>
        </is>
      </c>
      <c r="D1746" t="inlineStr">
        <is>
          <t>v4_white_MLLB_000_y103_0924</t>
        </is>
      </c>
      <c r="E1746" t="n">
        <v>3</v>
      </c>
      <c r="F1746" t="n">
        <v>3.008</v>
      </c>
      <c r="G1746" t="n">
        <v>10</v>
      </c>
      <c r="H1746" t="n">
        <v>80</v>
      </c>
      <c r="I1746" t="n">
        <v>24</v>
      </c>
      <c r="J1746" t="inlineStr">
        <is>
          <t>kaba</t>
        </is>
      </c>
      <c r="K1746" t="b">
        <v>1</v>
      </c>
      <c r="M1746" t="n">
        <v>122</v>
      </c>
      <c r="N1746" t="n">
        <v>40</v>
      </c>
      <c r="O1746" t="n">
        <v>98</v>
      </c>
      <c r="P1746" t="n">
        <v>880</v>
      </c>
      <c r="Q1746" t="n">
        <v>1002</v>
      </c>
      <c r="R1746" t="n">
        <v>1.075</v>
      </c>
      <c r="S1746" t="n">
        <v>20.534</v>
      </c>
      <c r="T1746" t="n">
        <v>19.097</v>
      </c>
      <c r="U1746" t="n">
        <v>0.778</v>
      </c>
      <c r="V1746" t="b">
        <v>1</v>
      </c>
      <c r="X1746" t="b">
        <v>0</v>
      </c>
      <c r="Y1746" t="inlineStr">
        <is>
          <t>ON</t>
        </is>
      </c>
      <c r="Z1746" t="n">
        <v>935</v>
      </c>
      <c r="AA1746" t="n">
        <v>2.5</v>
      </c>
      <c r="AB1746" t="n">
        <v>9.5</v>
      </c>
    </row>
    <row r="1747">
      <c r="A1747" t="inlineStr">
        <is>
          <t>2026-09-24 17:35:28</t>
        </is>
      </c>
      <c r="B1747" t="inlineStr">
        <is>
          <t>MLLB_000_y1.0.3</t>
        </is>
      </c>
      <c r="C1747" t="inlineStr">
        <is>
          <t>WHITE</t>
        </is>
      </c>
      <c r="D1747" t="inlineStr">
        <is>
          <t>v4_white_MLLB_000_y103_0924</t>
        </is>
      </c>
      <c r="E1747" t="n">
        <v>3</v>
      </c>
      <c r="F1747" t="n">
        <v>3.008</v>
      </c>
      <c r="G1747" t="n">
        <v>10</v>
      </c>
      <c r="H1747" t="n">
        <v>80</v>
      </c>
      <c r="I1747" t="n">
        <v>28</v>
      </c>
      <c r="J1747" t="inlineStr">
        <is>
          <t>kaba</t>
        </is>
      </c>
      <c r="K1747" t="b">
        <v>1</v>
      </c>
      <c r="M1747" t="n">
        <v>88</v>
      </c>
      <c r="N1747" t="n">
        <v>40</v>
      </c>
      <c r="O1747" t="n">
        <v>62</v>
      </c>
      <c r="P1747" t="n">
        <v>914</v>
      </c>
      <c r="Q1747" t="n">
        <v>1002</v>
      </c>
      <c r="R1747" t="n">
        <v>1.072</v>
      </c>
      <c r="S1747" t="n">
        <v>20.46</v>
      </c>
      <c r="T1747" t="n">
        <v>19.08</v>
      </c>
      <c r="U1747" t="n">
        <v>0.7776</v>
      </c>
      <c r="V1747" t="b">
        <v>1</v>
      </c>
      <c r="X1747" t="b">
        <v>0</v>
      </c>
      <c r="Y1747" t="inlineStr">
        <is>
          <t>ON</t>
        </is>
      </c>
      <c r="Z1747" t="n">
        <v>935</v>
      </c>
      <c r="AA1747" t="n">
        <v>2.5</v>
      </c>
      <c r="AB1747" t="n">
        <v>9.5</v>
      </c>
    </row>
    <row r="1748">
      <c r="A1748" t="inlineStr">
        <is>
          <t>2026-09-24 17:35:44</t>
        </is>
      </c>
      <c r="B1748" t="inlineStr">
        <is>
          <t>MLLB_000_y1.0.3</t>
        </is>
      </c>
      <c r="C1748" t="inlineStr">
        <is>
          <t>WHITE</t>
        </is>
      </c>
      <c r="D1748" t="inlineStr">
        <is>
          <t>v4_white_MLLB_000_y103_0924</t>
        </is>
      </c>
      <c r="E1748" t="n">
        <v>3</v>
      </c>
      <c r="F1748" t="n">
        <v>3.008</v>
      </c>
      <c r="G1748" t="n">
        <v>10</v>
      </c>
      <c r="H1748" t="n">
        <v>80</v>
      </c>
      <c r="I1748" t="n">
        <v>32</v>
      </c>
      <c r="J1748" t="inlineStr">
        <is>
          <t>kaba</t>
        </is>
      </c>
      <c r="K1748" t="b">
        <v>1</v>
      </c>
      <c r="M1748" t="n">
        <v>52</v>
      </c>
      <c r="N1748" t="n">
        <v>44</v>
      </c>
      <c r="O1748" t="n">
        <v>28</v>
      </c>
      <c r="P1748" t="n">
        <v>950</v>
      </c>
      <c r="Q1748" t="n">
        <v>1002</v>
      </c>
      <c r="R1748" t="n">
        <v>1.067</v>
      </c>
      <c r="S1748" t="n">
        <v>20.407</v>
      </c>
      <c r="T1748" t="n">
        <v>19.134</v>
      </c>
      <c r="U1748" t="n">
        <v>0.7774</v>
      </c>
      <c r="V1748" t="b">
        <v>1</v>
      </c>
      <c r="X1748" t="b">
        <v>1</v>
      </c>
      <c r="Z1748" t="n">
        <v>935</v>
      </c>
      <c r="AA1748" t="n">
        <v>2.5</v>
      </c>
      <c r="AB1748" t="n">
        <v>9.5</v>
      </c>
    </row>
    <row r="1749">
      <c r="A1749" t="inlineStr">
        <is>
          <t>2026-09-24 17:36:00</t>
        </is>
      </c>
      <c r="B1749" t="inlineStr">
        <is>
          <t>MLLB_000_y1.0.3</t>
        </is>
      </c>
      <c r="C1749" t="inlineStr">
        <is>
          <t>WHITE</t>
        </is>
      </c>
      <c r="D1749" t="inlineStr">
        <is>
          <t>v4_white_MLLB_000_y103_0924</t>
        </is>
      </c>
      <c r="E1749" t="n">
        <v>3</v>
      </c>
      <c r="F1749" t="n">
        <v>3.008</v>
      </c>
      <c r="G1749" t="n">
        <v>10</v>
      </c>
      <c r="H1749" t="n">
        <v>80</v>
      </c>
      <c r="I1749" t="n">
        <v>36</v>
      </c>
      <c r="J1749" t="inlineStr">
        <is>
          <t>kaba</t>
        </is>
      </c>
      <c r="K1749" t="b">
        <v>1</v>
      </c>
      <c r="M1749" t="n">
        <v>42</v>
      </c>
      <c r="N1749" t="n">
        <v>28</v>
      </c>
      <c r="O1749" t="n">
        <v>22</v>
      </c>
      <c r="P1749" t="n">
        <v>960</v>
      </c>
      <c r="Q1749" t="n">
        <v>1002</v>
      </c>
      <c r="R1749" t="n">
        <v>2.617</v>
      </c>
      <c r="S1749" t="n">
        <v>50.07</v>
      </c>
      <c r="T1749" t="n">
        <v>19.133</v>
      </c>
      <c r="U1749" t="n">
        <v>0.7773</v>
      </c>
      <c r="V1749" t="b">
        <v>1</v>
      </c>
      <c r="X1749" t="b">
        <v>0</v>
      </c>
      <c r="Y1749" t="inlineStr">
        <is>
          <t>FLAS</t>
        </is>
      </c>
      <c r="Z1749" t="n">
        <v>935</v>
      </c>
      <c r="AA1749" t="n">
        <v>2.5</v>
      </c>
      <c r="AB1749" t="n">
        <v>9.5</v>
      </c>
    </row>
    <row r="1750">
      <c r="A1750" t="inlineStr">
        <is>
          <t>2026-09-24 17:36:16</t>
        </is>
      </c>
      <c r="B1750" t="inlineStr">
        <is>
          <t>MLLB_000_y1.0.3</t>
        </is>
      </c>
      <c r="C1750" t="inlineStr">
        <is>
          <t>WHITE</t>
        </is>
      </c>
      <c r="D1750" t="inlineStr">
        <is>
          <t>v4_white_MLLB_000_y103_0924</t>
        </is>
      </c>
      <c r="E1750" t="n">
        <v>3</v>
      </c>
      <c r="F1750" t="n">
        <v>3.008</v>
      </c>
      <c r="G1750" t="n">
        <v>10</v>
      </c>
      <c r="H1750" t="n">
        <v>80</v>
      </c>
      <c r="I1750" t="n">
        <v>40</v>
      </c>
      <c r="J1750" t="inlineStr">
        <is>
          <t>kaba</t>
        </is>
      </c>
      <c r="K1750" t="b">
        <v>1</v>
      </c>
      <c r="M1750" t="n">
        <v>42</v>
      </c>
      <c r="N1750" t="n">
        <v>28</v>
      </c>
      <c r="O1750" t="n">
        <v>22</v>
      </c>
      <c r="P1750" t="n">
        <v>960</v>
      </c>
      <c r="Q1750" t="n">
        <v>1002</v>
      </c>
      <c r="R1750" t="n">
        <v>8.087999999999999</v>
      </c>
      <c r="S1750" t="n">
        <v>154.356</v>
      </c>
      <c r="T1750" t="n">
        <v>19.084</v>
      </c>
      <c r="U1750" t="n">
        <v>0.7776</v>
      </c>
      <c r="V1750" t="b">
        <v>1</v>
      </c>
      <c r="X1750" t="b">
        <v>0</v>
      </c>
      <c r="Y1750" t="inlineStr">
        <is>
          <t>FLAS</t>
        </is>
      </c>
      <c r="Z1750" t="n">
        <v>935</v>
      </c>
      <c r="AA1750" t="n">
        <v>2.5</v>
      </c>
      <c r="AB1750" t="n">
        <v>9.5</v>
      </c>
    </row>
    <row r="1751">
      <c r="A1751" t="inlineStr">
        <is>
          <t>2026-09-24 17:36:32</t>
        </is>
      </c>
      <c r="B1751" t="inlineStr">
        <is>
          <t>MLLB_000_y1.0.3</t>
        </is>
      </c>
      <c r="C1751" t="inlineStr">
        <is>
          <t>WHITE</t>
        </is>
      </c>
      <c r="D1751" t="inlineStr">
        <is>
          <t>v4_white_MLLB_000_y103_0924</t>
        </is>
      </c>
      <c r="E1751" t="n">
        <v>3</v>
      </c>
      <c r="F1751" t="n">
        <v>3.008</v>
      </c>
      <c r="G1751" t="n">
        <v>10</v>
      </c>
      <c r="H1751" t="n">
        <v>80</v>
      </c>
      <c r="I1751" t="n">
        <v>29</v>
      </c>
      <c r="J1751" t="inlineStr">
        <is>
          <t>ince</t>
        </is>
      </c>
      <c r="K1751" t="b">
        <v>1</v>
      </c>
      <c r="M1751" t="n">
        <v>78</v>
      </c>
      <c r="N1751" t="n">
        <v>44</v>
      </c>
      <c r="O1751" t="n">
        <v>56</v>
      </c>
      <c r="P1751" t="n">
        <v>924</v>
      </c>
      <c r="Q1751" t="n">
        <v>1002</v>
      </c>
      <c r="R1751" t="n">
        <v>1.07</v>
      </c>
      <c r="S1751" t="n">
        <v>20.412</v>
      </c>
      <c r="T1751" t="n">
        <v>19.084</v>
      </c>
      <c r="U1751" t="n">
        <v>0.7774</v>
      </c>
      <c r="V1751" t="b">
        <v>1</v>
      </c>
      <c r="X1751" t="b">
        <v>0</v>
      </c>
      <c r="Y1751" t="inlineStr">
        <is>
          <t>ON</t>
        </is>
      </c>
      <c r="Z1751" t="n">
        <v>935</v>
      </c>
      <c r="AA1751" t="n">
        <v>2.5</v>
      </c>
      <c r="AB1751" t="n">
        <v>9.5</v>
      </c>
    </row>
    <row r="1752">
      <c r="A1752" t="inlineStr">
        <is>
          <t>2026-09-24 17:36:48</t>
        </is>
      </c>
      <c r="B1752" t="inlineStr">
        <is>
          <t>MLLB_000_y1.0.3</t>
        </is>
      </c>
      <c r="C1752" t="inlineStr">
        <is>
          <t>WHITE</t>
        </is>
      </c>
      <c r="D1752" t="inlineStr">
        <is>
          <t>v4_white_MLLB_000_y103_0924</t>
        </is>
      </c>
      <c r="E1752" t="n">
        <v>3</v>
      </c>
      <c r="F1752" t="n">
        <v>3.008</v>
      </c>
      <c r="G1752" t="n">
        <v>10</v>
      </c>
      <c r="H1752" t="n">
        <v>80</v>
      </c>
      <c r="I1752" t="n">
        <v>30</v>
      </c>
      <c r="J1752" t="inlineStr">
        <is>
          <t>ince</t>
        </is>
      </c>
      <c r="K1752" t="b">
        <v>1</v>
      </c>
      <c r="M1752" t="n">
        <v>70</v>
      </c>
      <c r="N1752" t="n">
        <v>40</v>
      </c>
      <c r="O1752" t="n">
        <v>46</v>
      </c>
      <c r="P1752" t="n">
        <v>932</v>
      </c>
      <c r="Q1752" t="n">
        <v>1002</v>
      </c>
      <c r="R1752" t="n">
        <v>1.074</v>
      </c>
      <c r="S1752" t="n">
        <v>20.524</v>
      </c>
      <c r="T1752" t="n">
        <v>19.114</v>
      </c>
      <c r="U1752" t="n">
        <v>0.7783</v>
      </c>
      <c r="V1752" t="b">
        <v>1</v>
      </c>
      <c r="X1752" t="b">
        <v>0</v>
      </c>
      <c r="Y1752" t="inlineStr">
        <is>
          <t>ON</t>
        </is>
      </c>
      <c r="Z1752" t="n">
        <v>935</v>
      </c>
      <c r="AA1752" t="n">
        <v>2.5</v>
      </c>
      <c r="AB1752" t="n">
        <v>9.5</v>
      </c>
    </row>
    <row r="1753">
      <c r="A1753" t="inlineStr">
        <is>
          <t>2026-09-24 17:37:04</t>
        </is>
      </c>
      <c r="B1753" t="inlineStr">
        <is>
          <t>MLLB_000_y1.0.3</t>
        </is>
      </c>
      <c r="C1753" t="inlineStr">
        <is>
          <t>WHITE</t>
        </is>
      </c>
      <c r="D1753" t="inlineStr">
        <is>
          <t>v4_white_MLLB_000_y103_0924</t>
        </is>
      </c>
      <c r="E1753" t="n">
        <v>3</v>
      </c>
      <c r="F1753" t="n">
        <v>3.008</v>
      </c>
      <c r="G1753" t="n">
        <v>10</v>
      </c>
      <c r="H1753" t="n">
        <v>80</v>
      </c>
      <c r="I1753" t="n">
        <v>31</v>
      </c>
      <c r="J1753" t="inlineStr">
        <is>
          <t>ince</t>
        </is>
      </c>
      <c r="K1753" t="b">
        <v>1</v>
      </c>
      <c r="M1753" t="n">
        <v>62</v>
      </c>
      <c r="N1753" t="n">
        <v>42</v>
      </c>
      <c r="O1753" t="n">
        <v>38</v>
      </c>
      <c r="P1753" t="n">
        <v>940</v>
      </c>
      <c r="Q1753" t="n">
        <v>1002</v>
      </c>
      <c r="R1753" t="n">
        <v>1.072</v>
      </c>
      <c r="S1753" t="n">
        <v>20.495</v>
      </c>
      <c r="T1753" t="n">
        <v>19.119</v>
      </c>
      <c r="U1753" t="n">
        <v>0.7776999999999999</v>
      </c>
      <c r="V1753" t="b">
        <v>1</v>
      </c>
      <c r="X1753" t="b">
        <v>1</v>
      </c>
      <c r="Z1753" t="n">
        <v>935</v>
      </c>
      <c r="AA1753" t="n">
        <v>2.5</v>
      </c>
      <c r="AB1753" t="n">
        <v>9.5</v>
      </c>
    </row>
    <row r="1754">
      <c r="A1754" t="inlineStr">
        <is>
          <t>2026-09-24 17:37:20</t>
        </is>
      </c>
      <c r="B1754" t="inlineStr">
        <is>
          <t>MLLB_000_y1.0.3</t>
        </is>
      </c>
      <c r="C1754" t="inlineStr">
        <is>
          <t>WHITE</t>
        </is>
      </c>
      <c r="D1754" t="inlineStr">
        <is>
          <t>v4_white_MLLB_000_y103_0924</t>
        </is>
      </c>
      <c r="E1754" t="n">
        <v>3</v>
      </c>
      <c r="F1754" t="n">
        <v>3.008</v>
      </c>
      <c r="G1754" t="n">
        <v>10</v>
      </c>
      <c r="H1754" t="n">
        <v>80</v>
      </c>
      <c r="I1754" t="n">
        <v>33</v>
      </c>
      <c r="J1754" t="inlineStr">
        <is>
          <t>ince</t>
        </is>
      </c>
      <c r="K1754" t="b">
        <v>1</v>
      </c>
      <c r="M1754" t="n">
        <v>44</v>
      </c>
      <c r="N1754" t="n">
        <v>34</v>
      </c>
      <c r="O1754" t="n">
        <v>24</v>
      </c>
      <c r="P1754" t="n">
        <v>958</v>
      </c>
      <c r="Q1754" t="n">
        <v>1002</v>
      </c>
      <c r="R1754" t="n">
        <v>1.071</v>
      </c>
      <c r="S1754" t="n">
        <v>20.46</v>
      </c>
      <c r="T1754" t="n">
        <v>19.103</v>
      </c>
      <c r="U1754" t="n">
        <v>0.7773</v>
      </c>
      <c r="V1754" t="b">
        <v>1</v>
      </c>
      <c r="X1754" t="b">
        <v>1</v>
      </c>
      <c r="Z1754" t="n">
        <v>935</v>
      </c>
      <c r="AA1754" t="n">
        <v>2.5</v>
      </c>
      <c r="AB1754" t="n">
        <v>9.5</v>
      </c>
    </row>
    <row r="1755">
      <c r="A1755" t="inlineStr">
        <is>
          <t>2026-09-24 17:37:36</t>
        </is>
      </c>
      <c r="B1755" t="inlineStr">
        <is>
          <t>MLLB_000_y1.0.3</t>
        </is>
      </c>
      <c r="C1755" t="inlineStr">
        <is>
          <t>WHITE</t>
        </is>
      </c>
      <c r="D1755" t="inlineStr">
        <is>
          <t>v4_white_MLLB_000_y103_0924</t>
        </is>
      </c>
      <c r="E1755" t="n">
        <v>3</v>
      </c>
      <c r="F1755" t="n">
        <v>3.008</v>
      </c>
      <c r="G1755" t="n">
        <v>10</v>
      </c>
      <c r="H1755" t="n">
        <v>80</v>
      </c>
      <c r="I1755" t="n">
        <v>34</v>
      </c>
      <c r="J1755" t="inlineStr">
        <is>
          <t>ince</t>
        </is>
      </c>
      <c r="K1755" t="b">
        <v>1</v>
      </c>
      <c r="M1755" t="n">
        <v>42</v>
      </c>
      <c r="N1755" t="n">
        <v>28</v>
      </c>
      <c r="O1755" t="n">
        <v>22</v>
      </c>
      <c r="P1755" t="n">
        <v>960</v>
      </c>
      <c r="Q1755" t="n">
        <v>1002</v>
      </c>
      <c r="R1755" t="n">
        <v>1.071</v>
      </c>
      <c r="S1755" t="n">
        <v>20.461</v>
      </c>
      <c r="T1755" t="n">
        <v>19.11</v>
      </c>
      <c r="U1755" t="n">
        <v>0.7775</v>
      </c>
      <c r="V1755" t="b">
        <v>1</v>
      </c>
      <c r="X1755" t="b">
        <v>1</v>
      </c>
      <c r="Z1755" t="n">
        <v>935</v>
      </c>
      <c r="AA1755" t="n">
        <v>2.5</v>
      </c>
      <c r="AB1755" t="n">
        <v>9.5</v>
      </c>
    </row>
    <row r="1756">
      <c r="A1756" t="inlineStr">
        <is>
          <t>2026-09-24 17:37:52</t>
        </is>
      </c>
      <c r="B1756" t="inlineStr">
        <is>
          <t>MLLB_000_y1.0.3</t>
        </is>
      </c>
      <c r="C1756" t="inlineStr">
        <is>
          <t>WHITE</t>
        </is>
      </c>
      <c r="D1756" t="inlineStr">
        <is>
          <t>v4_white_MLLB_000_y103_0924</t>
        </is>
      </c>
      <c r="E1756" t="n">
        <v>3</v>
      </c>
      <c r="F1756" t="n">
        <v>3.008</v>
      </c>
      <c r="G1756" t="n">
        <v>10</v>
      </c>
      <c r="H1756" t="n">
        <v>80</v>
      </c>
      <c r="I1756" t="n">
        <v>35</v>
      </c>
      <c r="J1756" t="inlineStr">
        <is>
          <t>ince</t>
        </is>
      </c>
      <c r="K1756" t="b">
        <v>1</v>
      </c>
      <c r="M1756" t="n">
        <v>42</v>
      </c>
      <c r="N1756" t="n">
        <v>28</v>
      </c>
      <c r="O1756" t="n">
        <v>22</v>
      </c>
      <c r="P1756" t="n">
        <v>960</v>
      </c>
      <c r="Q1756" t="n">
        <v>1002</v>
      </c>
      <c r="R1756" t="n">
        <v>1.066</v>
      </c>
      <c r="S1756" t="n">
        <v>20.387</v>
      </c>
      <c r="T1756" t="n">
        <v>19.127</v>
      </c>
      <c r="U1756" t="n">
        <v>0.7774</v>
      </c>
      <c r="V1756" t="b">
        <v>1</v>
      </c>
      <c r="X1756" t="b">
        <v>1</v>
      </c>
      <c r="Z1756" t="n">
        <v>935</v>
      </c>
      <c r="AA1756" t="n">
        <v>2.5</v>
      </c>
      <c r="AB1756" t="n">
        <v>9.5</v>
      </c>
    </row>
    <row r="1757">
      <c r="A1757" t="inlineStr">
        <is>
          <t>2026-09-24 17:37:52</t>
        </is>
      </c>
      <c r="B1757" t="inlineStr">
        <is>
          <t>MLLB_000_y1.0.3</t>
        </is>
      </c>
      <c r="C1757" t="inlineStr">
        <is>
          <t>WHITE</t>
        </is>
      </c>
      <c r="D1757" t="inlineStr">
        <is>
          <t>v4_white_MLLB_000_y103_0924</t>
        </is>
      </c>
      <c r="E1757" t="n">
        <v>3</v>
      </c>
      <c r="F1757" t="n">
        <v>3.008</v>
      </c>
      <c r="G1757" t="n">
        <v>10</v>
      </c>
      <c r="H1757" t="n">
        <v>80</v>
      </c>
      <c r="J1757" t="inlineStr">
        <is>
          <t>bitti</t>
        </is>
      </c>
      <c r="K1757" t="b">
        <v>0</v>
      </c>
      <c r="Z1757" t="n">
        <v>935</v>
      </c>
      <c r="AA1757" t="n">
        <v>2.5</v>
      </c>
      <c r="AB1757" t="n">
        <v>9.5</v>
      </c>
    </row>
    <row r="1758">
      <c r="A1758" t="inlineStr">
        <is>
          <t>2026-09-24 17:38:08</t>
        </is>
      </c>
      <c r="B1758" t="inlineStr">
        <is>
          <t>MLLB_000_y1.0.3</t>
        </is>
      </c>
      <c r="C1758" t="inlineStr">
        <is>
          <t>WHITE</t>
        </is>
      </c>
      <c r="D1758" t="inlineStr">
        <is>
          <t>v4_white_MLLB_000_y103_0924</t>
        </is>
      </c>
      <c r="E1758" t="n">
        <v>3</v>
      </c>
      <c r="F1758" t="n">
        <v>3.008</v>
      </c>
      <c r="G1758" t="n">
        <v>10</v>
      </c>
      <c r="H1758" t="n">
        <v>60</v>
      </c>
      <c r="I1758" t="n">
        <v>12</v>
      </c>
      <c r="J1758" t="inlineStr">
        <is>
          <t>kaba</t>
        </is>
      </c>
      <c r="K1758" t="b">
        <v>1</v>
      </c>
      <c r="M1758" t="n">
        <v>246</v>
      </c>
      <c r="N1758" t="n">
        <v>40</v>
      </c>
      <c r="O1758" t="n">
        <v>222</v>
      </c>
      <c r="P1758" t="n">
        <v>756</v>
      </c>
      <c r="Q1758" t="n">
        <v>1002</v>
      </c>
      <c r="R1758" t="n">
        <v>1.08</v>
      </c>
      <c r="S1758" t="n">
        <v>20.436</v>
      </c>
      <c r="T1758" t="n">
        <v>18.919</v>
      </c>
      <c r="U1758" t="n">
        <v>0.7776</v>
      </c>
      <c r="V1758" t="b">
        <v>1</v>
      </c>
      <c r="X1758" t="b">
        <v>0</v>
      </c>
      <c r="Y1758" t="inlineStr">
        <is>
          <t>ON</t>
        </is>
      </c>
      <c r="Z1758" t="n">
        <v>935</v>
      </c>
      <c r="AA1758" t="n">
        <v>2.5</v>
      </c>
      <c r="AB1758" t="n">
        <v>9.5</v>
      </c>
    </row>
    <row r="1759">
      <c r="A1759" t="inlineStr">
        <is>
          <t>2026-09-24 17:38:24</t>
        </is>
      </c>
      <c r="B1759" t="inlineStr">
        <is>
          <t>MLLB_000_y1.0.3</t>
        </is>
      </c>
      <c r="C1759" t="inlineStr">
        <is>
          <t>WHITE</t>
        </is>
      </c>
      <c r="D1759" t="inlineStr">
        <is>
          <t>v4_white_MLLB_000_y103_0924</t>
        </is>
      </c>
      <c r="E1759" t="n">
        <v>3</v>
      </c>
      <c r="F1759" t="n">
        <v>3.008</v>
      </c>
      <c r="G1759" t="n">
        <v>10</v>
      </c>
      <c r="H1759" t="n">
        <v>60</v>
      </c>
      <c r="I1759" t="n">
        <v>16</v>
      </c>
      <c r="J1759" t="inlineStr">
        <is>
          <t>kaba</t>
        </is>
      </c>
      <c r="K1759" t="b">
        <v>1</v>
      </c>
      <c r="M1759" t="n">
        <v>222</v>
      </c>
      <c r="N1759" t="n">
        <v>40</v>
      </c>
      <c r="O1759" t="n">
        <v>198</v>
      </c>
      <c r="P1759" t="n">
        <v>780</v>
      </c>
      <c r="Q1759" t="n">
        <v>1002</v>
      </c>
      <c r="R1759" t="n">
        <v>1.076</v>
      </c>
      <c r="S1759" t="n">
        <v>20.364</v>
      </c>
      <c r="T1759" t="n">
        <v>18.933</v>
      </c>
      <c r="U1759" t="n">
        <v>0.7772</v>
      </c>
      <c r="V1759" t="b">
        <v>1</v>
      </c>
      <c r="X1759" t="b">
        <v>0</v>
      </c>
      <c r="Y1759" t="inlineStr">
        <is>
          <t>ON</t>
        </is>
      </c>
      <c r="Z1759" t="n">
        <v>935</v>
      </c>
      <c r="AA1759" t="n">
        <v>2.5</v>
      </c>
      <c r="AB1759" t="n">
        <v>9.5</v>
      </c>
    </row>
    <row r="1760">
      <c r="A1760" t="inlineStr">
        <is>
          <t>2026-09-24 17:38:40</t>
        </is>
      </c>
      <c r="B1760" t="inlineStr">
        <is>
          <t>MLLB_000_y1.0.3</t>
        </is>
      </c>
      <c r="C1760" t="inlineStr">
        <is>
          <t>WHITE</t>
        </is>
      </c>
      <c r="D1760" t="inlineStr">
        <is>
          <t>v4_white_MLLB_000_y103_0924</t>
        </is>
      </c>
      <c r="E1760" t="n">
        <v>3</v>
      </c>
      <c r="F1760" t="n">
        <v>3.008</v>
      </c>
      <c r="G1760" t="n">
        <v>10</v>
      </c>
      <c r="H1760" t="n">
        <v>60</v>
      </c>
      <c r="I1760" t="n">
        <v>20</v>
      </c>
      <c r="J1760" t="inlineStr">
        <is>
          <t>kaba</t>
        </is>
      </c>
      <c r="K1760" t="b">
        <v>1</v>
      </c>
      <c r="M1760" t="n">
        <v>198</v>
      </c>
      <c r="N1760" t="n">
        <v>40</v>
      </c>
      <c r="O1760" t="n">
        <v>174</v>
      </c>
      <c r="P1760" t="n">
        <v>804</v>
      </c>
      <c r="Q1760" t="n">
        <v>1002</v>
      </c>
      <c r="R1760" t="n">
        <v>1.076</v>
      </c>
      <c r="S1760" t="n">
        <v>20.446</v>
      </c>
      <c r="T1760" t="n">
        <v>19.001</v>
      </c>
      <c r="U1760" t="n">
        <v>0.778</v>
      </c>
      <c r="V1760" t="b">
        <v>1</v>
      </c>
      <c r="X1760" t="b">
        <v>0</v>
      </c>
      <c r="Y1760" t="inlineStr">
        <is>
          <t>ON</t>
        </is>
      </c>
      <c r="Z1760" t="n">
        <v>935</v>
      </c>
      <c r="AA1760" t="n">
        <v>2.5</v>
      </c>
      <c r="AB1760" t="n">
        <v>9.5</v>
      </c>
    </row>
    <row r="1761">
      <c r="A1761" t="inlineStr">
        <is>
          <t>2026-09-24 17:38:56</t>
        </is>
      </c>
      <c r="B1761" t="inlineStr">
        <is>
          <t>MLLB_000_y1.0.3</t>
        </is>
      </c>
      <c r="C1761" t="inlineStr">
        <is>
          <t>WHITE</t>
        </is>
      </c>
      <c r="D1761" t="inlineStr">
        <is>
          <t>v4_white_MLLB_000_y103_0924</t>
        </is>
      </c>
      <c r="E1761" t="n">
        <v>3</v>
      </c>
      <c r="F1761" t="n">
        <v>3.008</v>
      </c>
      <c r="G1761" t="n">
        <v>10</v>
      </c>
      <c r="H1761" t="n">
        <v>60</v>
      </c>
      <c r="I1761" t="n">
        <v>24</v>
      </c>
      <c r="J1761" t="inlineStr">
        <is>
          <t>kaba</t>
        </is>
      </c>
      <c r="K1761" t="b">
        <v>1</v>
      </c>
      <c r="M1761" t="n">
        <v>174</v>
      </c>
      <c r="N1761" t="n">
        <v>40</v>
      </c>
      <c r="O1761" t="n">
        <v>150</v>
      </c>
      <c r="P1761" t="n">
        <v>828</v>
      </c>
      <c r="Q1761" t="n">
        <v>1002</v>
      </c>
      <c r="R1761" t="n">
        <v>1.077</v>
      </c>
      <c r="S1761" t="n">
        <v>20.505</v>
      </c>
      <c r="T1761" t="n">
        <v>19.041</v>
      </c>
      <c r="U1761" t="n">
        <v>0.7775</v>
      </c>
      <c r="V1761" t="b">
        <v>1</v>
      </c>
      <c r="X1761" t="b">
        <v>0</v>
      </c>
      <c r="Y1761" t="inlineStr">
        <is>
          <t>ON</t>
        </is>
      </c>
      <c r="Z1761" t="n">
        <v>935</v>
      </c>
      <c r="AA1761" t="n">
        <v>2.5</v>
      </c>
      <c r="AB1761" t="n">
        <v>9.5</v>
      </c>
    </row>
    <row r="1762">
      <c r="A1762" t="inlineStr">
        <is>
          <t>2026-09-24 17:39:12</t>
        </is>
      </c>
      <c r="B1762" t="inlineStr">
        <is>
          <t>MLLB_000_y1.0.3</t>
        </is>
      </c>
      <c r="C1762" t="inlineStr">
        <is>
          <t>WHITE</t>
        </is>
      </c>
      <c r="D1762" t="inlineStr">
        <is>
          <t>v4_white_MLLB_000_y103_0924</t>
        </is>
      </c>
      <c r="E1762" t="n">
        <v>3</v>
      </c>
      <c r="F1762" t="n">
        <v>3.008</v>
      </c>
      <c r="G1762" t="n">
        <v>10</v>
      </c>
      <c r="H1762" t="n">
        <v>60</v>
      </c>
      <c r="I1762" t="n">
        <v>28</v>
      </c>
      <c r="J1762" t="inlineStr">
        <is>
          <t>kaba</t>
        </is>
      </c>
      <c r="K1762" t="b">
        <v>1</v>
      </c>
      <c r="M1762" t="n">
        <v>150</v>
      </c>
      <c r="N1762" t="n">
        <v>40</v>
      </c>
      <c r="O1762" t="n">
        <v>126</v>
      </c>
      <c r="P1762" t="n">
        <v>852</v>
      </c>
      <c r="Q1762" t="n">
        <v>1002</v>
      </c>
      <c r="R1762" t="n">
        <v>1.073</v>
      </c>
      <c r="S1762" t="n">
        <v>20.412</v>
      </c>
      <c r="T1762" t="n">
        <v>19.022</v>
      </c>
      <c r="U1762" t="n">
        <v>0.7776999999999999</v>
      </c>
      <c r="V1762" t="b">
        <v>1</v>
      </c>
      <c r="X1762" t="b">
        <v>0</v>
      </c>
      <c r="Y1762" t="inlineStr">
        <is>
          <t>ON</t>
        </is>
      </c>
      <c r="Z1762" t="n">
        <v>935</v>
      </c>
      <c r="AA1762" t="n">
        <v>2.5</v>
      </c>
      <c r="AB1762" t="n">
        <v>9.5</v>
      </c>
    </row>
    <row r="1763">
      <c r="A1763" t="inlineStr">
        <is>
          <t>2026-09-24 17:39:28</t>
        </is>
      </c>
      <c r="B1763" t="inlineStr">
        <is>
          <t>MLLB_000_y1.0.3</t>
        </is>
      </c>
      <c r="C1763" t="inlineStr">
        <is>
          <t>WHITE</t>
        </is>
      </c>
      <c r="D1763" t="inlineStr">
        <is>
          <t>v4_white_MLLB_000_y103_0924</t>
        </is>
      </c>
      <c r="E1763" t="n">
        <v>3</v>
      </c>
      <c r="F1763" t="n">
        <v>3.008</v>
      </c>
      <c r="G1763" t="n">
        <v>10</v>
      </c>
      <c r="H1763" t="n">
        <v>60</v>
      </c>
      <c r="I1763" t="n">
        <v>32</v>
      </c>
      <c r="J1763" t="inlineStr">
        <is>
          <t>kaba</t>
        </is>
      </c>
      <c r="K1763" t="b">
        <v>1</v>
      </c>
      <c r="M1763" t="n">
        <v>126</v>
      </c>
      <c r="N1763" t="n">
        <v>40</v>
      </c>
      <c r="O1763" t="n">
        <v>102</v>
      </c>
      <c r="P1763" t="n">
        <v>876</v>
      </c>
      <c r="Q1763" t="n">
        <v>1002</v>
      </c>
      <c r="R1763" t="n">
        <v>1.073</v>
      </c>
      <c r="S1763" t="n">
        <v>20.46</v>
      </c>
      <c r="T1763" t="n">
        <v>19.068</v>
      </c>
      <c r="U1763" t="n">
        <v>0.7774</v>
      </c>
      <c r="V1763" t="b">
        <v>1</v>
      </c>
      <c r="X1763" t="b">
        <v>0</v>
      </c>
      <c r="Y1763" t="inlineStr">
        <is>
          <t>ON</t>
        </is>
      </c>
      <c r="Z1763" t="n">
        <v>935</v>
      </c>
      <c r="AA1763" t="n">
        <v>2.5</v>
      </c>
      <c r="AB1763" t="n">
        <v>9.5</v>
      </c>
    </row>
    <row r="1764">
      <c r="A1764" t="inlineStr">
        <is>
          <t>2026-09-24 17:39:44</t>
        </is>
      </c>
      <c r="B1764" t="inlineStr">
        <is>
          <t>MLLB_000_y1.0.3</t>
        </is>
      </c>
      <c r="C1764" t="inlineStr">
        <is>
          <t>WHITE</t>
        </is>
      </c>
      <c r="D1764" t="inlineStr">
        <is>
          <t>v4_white_MLLB_000_y103_0924</t>
        </is>
      </c>
      <c r="E1764" t="n">
        <v>3</v>
      </c>
      <c r="F1764" t="n">
        <v>3.008</v>
      </c>
      <c r="G1764" t="n">
        <v>10</v>
      </c>
      <c r="H1764" t="n">
        <v>60</v>
      </c>
      <c r="I1764" t="n">
        <v>36</v>
      </c>
      <c r="J1764" t="inlineStr">
        <is>
          <t>kaba</t>
        </is>
      </c>
      <c r="K1764" t="b">
        <v>1</v>
      </c>
      <c r="M1764" t="n">
        <v>100</v>
      </c>
      <c r="N1764" t="n">
        <v>44</v>
      </c>
      <c r="O1764" t="n">
        <v>76</v>
      </c>
      <c r="P1764" t="n">
        <v>902</v>
      </c>
      <c r="Q1764" t="n">
        <v>1002</v>
      </c>
      <c r="R1764" t="n">
        <v>1.072</v>
      </c>
      <c r="S1764" t="n">
        <v>20.46</v>
      </c>
      <c r="T1764" t="n">
        <v>19.083</v>
      </c>
      <c r="U1764" t="n">
        <v>0.7773</v>
      </c>
      <c r="V1764" t="b">
        <v>1</v>
      </c>
      <c r="X1764" t="b">
        <v>0</v>
      </c>
      <c r="Y1764" t="inlineStr">
        <is>
          <t>ON</t>
        </is>
      </c>
      <c r="Z1764" t="n">
        <v>935</v>
      </c>
      <c r="AA1764" t="n">
        <v>2.5</v>
      </c>
      <c r="AB1764" t="n">
        <v>9.5</v>
      </c>
    </row>
    <row r="1765">
      <c r="A1765" t="inlineStr">
        <is>
          <t>2026-09-24 17:40:00</t>
        </is>
      </c>
      <c r="B1765" t="inlineStr">
        <is>
          <t>MLLB_000_y1.0.3</t>
        </is>
      </c>
      <c r="C1765" t="inlineStr">
        <is>
          <t>WHITE</t>
        </is>
      </c>
      <c r="D1765" t="inlineStr">
        <is>
          <t>v4_white_MLLB_000_y103_0924</t>
        </is>
      </c>
      <c r="E1765" t="n">
        <v>3</v>
      </c>
      <c r="F1765" t="n">
        <v>3.008</v>
      </c>
      <c r="G1765" t="n">
        <v>10</v>
      </c>
      <c r="H1765" t="n">
        <v>60</v>
      </c>
      <c r="I1765" t="n">
        <v>40</v>
      </c>
      <c r="J1765" t="inlineStr">
        <is>
          <t>kaba</t>
        </is>
      </c>
      <c r="K1765" t="b">
        <v>1</v>
      </c>
      <c r="M1765" t="n">
        <v>76</v>
      </c>
      <c r="N1765" t="n">
        <v>46</v>
      </c>
      <c r="O1765" t="n">
        <v>50</v>
      </c>
      <c r="P1765" t="n">
        <v>926</v>
      </c>
      <c r="Q1765" t="n">
        <v>1002</v>
      </c>
      <c r="R1765" t="n">
        <v>1.07</v>
      </c>
      <c r="S1765" t="n">
        <v>20.446</v>
      </c>
      <c r="T1765" t="n">
        <v>19.109</v>
      </c>
      <c r="U1765" t="n">
        <v>0.7781</v>
      </c>
      <c r="V1765" t="b">
        <v>1</v>
      </c>
      <c r="X1765" t="b">
        <v>0</v>
      </c>
      <c r="Y1765" t="inlineStr">
        <is>
          <t>ON</t>
        </is>
      </c>
      <c r="Z1765" t="n">
        <v>935</v>
      </c>
      <c r="AA1765" t="n">
        <v>2.5</v>
      </c>
      <c r="AB1765" t="n">
        <v>9.5</v>
      </c>
    </row>
    <row r="1766">
      <c r="A1766" t="inlineStr">
        <is>
          <t>2026-09-24 17:40:16</t>
        </is>
      </c>
      <c r="B1766" t="inlineStr">
        <is>
          <t>MLLB_000_y1.0.3</t>
        </is>
      </c>
      <c r="C1766" t="inlineStr">
        <is>
          <t>WHITE</t>
        </is>
      </c>
      <c r="D1766" t="inlineStr">
        <is>
          <t>v4_white_MLLB_000_y103_0924</t>
        </is>
      </c>
      <c r="E1766" t="n">
        <v>3</v>
      </c>
      <c r="F1766" t="n">
        <v>3.008</v>
      </c>
      <c r="G1766" t="n">
        <v>10</v>
      </c>
      <c r="H1766" t="n">
        <v>60</v>
      </c>
      <c r="I1766" t="n">
        <v>44</v>
      </c>
      <c r="J1766" t="inlineStr">
        <is>
          <t>kaba</t>
        </is>
      </c>
      <c r="K1766" t="b">
        <v>1</v>
      </c>
      <c r="M1766" t="n">
        <v>52</v>
      </c>
      <c r="N1766" t="n">
        <v>36</v>
      </c>
      <c r="O1766" t="n">
        <v>32</v>
      </c>
      <c r="P1766" t="n">
        <v>950</v>
      </c>
      <c r="Q1766" t="n">
        <v>1002</v>
      </c>
      <c r="R1766" t="n">
        <v>1.069</v>
      </c>
      <c r="S1766" t="n">
        <v>20.412</v>
      </c>
      <c r="T1766" t="n">
        <v>19.102</v>
      </c>
      <c r="U1766" t="n">
        <v>0.7776</v>
      </c>
      <c r="V1766" t="b">
        <v>1</v>
      </c>
      <c r="X1766" t="b">
        <v>1</v>
      </c>
      <c r="Z1766" t="n">
        <v>935</v>
      </c>
      <c r="AA1766" t="n">
        <v>2.5</v>
      </c>
      <c r="AB1766" t="n">
        <v>9.5</v>
      </c>
    </row>
    <row r="1767">
      <c r="A1767" t="inlineStr">
        <is>
          <t>2026-09-24 17:40:32</t>
        </is>
      </c>
      <c r="B1767" t="inlineStr">
        <is>
          <t>MLLB_000_y1.0.3</t>
        </is>
      </c>
      <c r="C1767" t="inlineStr">
        <is>
          <t>WHITE</t>
        </is>
      </c>
      <c r="D1767" t="inlineStr">
        <is>
          <t>v4_white_MLLB_000_y103_0924</t>
        </is>
      </c>
      <c r="E1767" t="n">
        <v>3</v>
      </c>
      <c r="F1767" t="n">
        <v>3.008</v>
      </c>
      <c r="G1767" t="n">
        <v>10</v>
      </c>
      <c r="H1767" t="n">
        <v>60</v>
      </c>
      <c r="I1767" t="n">
        <v>48</v>
      </c>
      <c r="J1767" t="inlineStr">
        <is>
          <t>kaba</t>
        </is>
      </c>
      <c r="K1767" t="b">
        <v>1</v>
      </c>
      <c r="M1767" t="n">
        <v>52</v>
      </c>
      <c r="N1767" t="n">
        <v>30</v>
      </c>
      <c r="O1767" t="n">
        <v>32</v>
      </c>
      <c r="P1767" t="n">
        <v>950</v>
      </c>
      <c r="Q1767" t="n">
        <v>1002</v>
      </c>
      <c r="R1767" t="n">
        <v>4.095</v>
      </c>
      <c r="S1767" t="n">
        <v>78.274</v>
      </c>
      <c r="T1767" t="n">
        <v>19.116</v>
      </c>
      <c r="U1767" t="n">
        <v>0.7776</v>
      </c>
      <c r="V1767" t="b">
        <v>1</v>
      </c>
      <c r="X1767" t="b">
        <v>0</v>
      </c>
      <c r="Y1767" t="inlineStr">
        <is>
          <t>FLAS</t>
        </is>
      </c>
      <c r="Z1767" t="n">
        <v>935</v>
      </c>
      <c r="AA1767" t="n">
        <v>2.5</v>
      </c>
      <c r="AB1767" t="n">
        <v>9.5</v>
      </c>
    </row>
    <row r="1768">
      <c r="A1768" t="inlineStr">
        <is>
          <t>2026-09-24 17:40:48</t>
        </is>
      </c>
      <c r="B1768" t="inlineStr">
        <is>
          <t>MLLB_000_y1.0.3</t>
        </is>
      </c>
      <c r="C1768" t="inlineStr">
        <is>
          <t>WHITE</t>
        </is>
      </c>
      <c r="D1768" t="inlineStr">
        <is>
          <t>v4_white_MLLB_000_y103_0924</t>
        </is>
      </c>
      <c r="E1768" t="n">
        <v>3</v>
      </c>
      <c r="F1768" t="n">
        <v>3.008</v>
      </c>
      <c r="G1768" t="n">
        <v>10</v>
      </c>
      <c r="H1768" t="n">
        <v>60</v>
      </c>
      <c r="I1768" t="n">
        <v>52</v>
      </c>
      <c r="J1768" t="inlineStr">
        <is>
          <t>kaba</t>
        </is>
      </c>
      <c r="K1768" t="b">
        <v>1</v>
      </c>
      <c r="M1768" t="n">
        <v>52</v>
      </c>
      <c r="N1768" t="n">
        <v>30</v>
      </c>
      <c r="O1768" t="n">
        <v>32</v>
      </c>
      <c r="P1768" t="n">
        <v>950</v>
      </c>
      <c r="Q1768" t="n">
        <v>1002</v>
      </c>
      <c r="R1768" t="n">
        <v>6.419</v>
      </c>
      <c r="S1768" t="n">
        <v>122.559</v>
      </c>
      <c r="T1768" t="n">
        <v>19.094</v>
      </c>
      <c r="U1768" t="n">
        <v>0.7778</v>
      </c>
      <c r="V1768" t="b">
        <v>1</v>
      </c>
      <c r="X1768" t="b">
        <v>0</v>
      </c>
      <c r="Y1768" t="inlineStr">
        <is>
          <t>FLAS</t>
        </is>
      </c>
      <c r="Z1768" t="n">
        <v>935</v>
      </c>
      <c r="AA1768" t="n">
        <v>2.5</v>
      </c>
      <c r="AB1768" t="n">
        <v>9.5</v>
      </c>
    </row>
    <row r="1769">
      <c r="A1769" t="inlineStr">
        <is>
          <t>2026-09-24 17:41:04</t>
        </is>
      </c>
      <c r="B1769" t="inlineStr">
        <is>
          <t>MLLB_000_y1.0.3</t>
        </is>
      </c>
      <c r="C1769" t="inlineStr">
        <is>
          <t>WHITE</t>
        </is>
      </c>
      <c r="D1769" t="inlineStr">
        <is>
          <t>v4_white_MLLB_000_y103_0924</t>
        </is>
      </c>
      <c r="E1769" t="n">
        <v>3</v>
      </c>
      <c r="F1769" t="n">
        <v>3.008</v>
      </c>
      <c r="G1769" t="n">
        <v>10</v>
      </c>
      <c r="H1769" t="n">
        <v>60</v>
      </c>
      <c r="I1769" t="n">
        <v>41</v>
      </c>
      <c r="J1769" t="inlineStr">
        <is>
          <t>ince</t>
        </is>
      </c>
      <c r="K1769" t="b">
        <v>1</v>
      </c>
      <c r="M1769" t="n">
        <v>70</v>
      </c>
      <c r="N1769" t="n">
        <v>40</v>
      </c>
      <c r="O1769" t="n">
        <v>46</v>
      </c>
      <c r="P1769" t="n">
        <v>932</v>
      </c>
      <c r="Q1769" t="n">
        <v>1002</v>
      </c>
      <c r="R1769" t="n">
        <v>1.069</v>
      </c>
      <c r="S1769" t="n">
        <v>20.431</v>
      </c>
      <c r="T1769" t="n">
        <v>19.108</v>
      </c>
      <c r="U1769" t="n">
        <v>0.7776</v>
      </c>
      <c r="V1769" t="b">
        <v>1</v>
      </c>
      <c r="X1769" t="b">
        <v>0</v>
      </c>
      <c r="Y1769" t="inlineStr">
        <is>
          <t>ON</t>
        </is>
      </c>
      <c r="Z1769" t="n">
        <v>935</v>
      </c>
      <c r="AA1769" t="n">
        <v>2.5</v>
      </c>
      <c r="AB1769" t="n">
        <v>9.5</v>
      </c>
    </row>
    <row r="1770">
      <c r="A1770" t="inlineStr">
        <is>
          <t>2026-09-24 17:41:20</t>
        </is>
      </c>
      <c r="B1770" t="inlineStr">
        <is>
          <t>MLLB_000_y1.0.3</t>
        </is>
      </c>
      <c r="C1770" t="inlineStr">
        <is>
          <t>WHITE</t>
        </is>
      </c>
      <c r="D1770" t="inlineStr">
        <is>
          <t>v4_white_MLLB_000_y103_0924</t>
        </is>
      </c>
      <c r="E1770" t="n">
        <v>3</v>
      </c>
      <c r="F1770" t="n">
        <v>3.008</v>
      </c>
      <c r="G1770" t="n">
        <v>10</v>
      </c>
      <c r="H1770" t="n">
        <v>60</v>
      </c>
      <c r="I1770" t="n">
        <v>42</v>
      </c>
      <c r="J1770" t="inlineStr">
        <is>
          <t>ince</t>
        </is>
      </c>
      <c r="K1770" t="b">
        <v>1</v>
      </c>
      <c r="M1770" t="n">
        <v>64</v>
      </c>
      <c r="N1770" t="n">
        <v>40</v>
      </c>
      <c r="O1770" t="n">
        <v>38</v>
      </c>
      <c r="P1770" t="n">
        <v>938</v>
      </c>
      <c r="Q1770" t="n">
        <v>1002</v>
      </c>
      <c r="R1770" t="n">
        <v>1.07</v>
      </c>
      <c r="S1770" t="n">
        <v>20.46</v>
      </c>
      <c r="T1770" t="n">
        <v>19.116</v>
      </c>
      <c r="U1770" t="n">
        <v>0.7783</v>
      </c>
      <c r="V1770" t="b">
        <v>1</v>
      </c>
      <c r="X1770" t="b">
        <v>1</v>
      </c>
      <c r="Z1770" t="n">
        <v>935</v>
      </c>
      <c r="AA1770" t="n">
        <v>2.5</v>
      </c>
      <c r="AB1770" t="n">
        <v>9.5</v>
      </c>
    </row>
    <row r="1771">
      <c r="A1771" t="inlineStr">
        <is>
          <t>2026-09-24 17:41:36</t>
        </is>
      </c>
      <c r="B1771" t="inlineStr">
        <is>
          <t>MLLB_000_y1.0.3</t>
        </is>
      </c>
      <c r="C1771" t="inlineStr">
        <is>
          <t>WHITE</t>
        </is>
      </c>
      <c r="D1771" t="inlineStr">
        <is>
          <t>v4_white_MLLB_000_y103_0924</t>
        </is>
      </c>
      <c r="E1771" t="n">
        <v>3</v>
      </c>
      <c r="F1771" t="n">
        <v>3.008</v>
      </c>
      <c r="G1771" t="n">
        <v>10</v>
      </c>
      <c r="H1771" t="n">
        <v>60</v>
      </c>
      <c r="I1771" t="n">
        <v>43</v>
      </c>
      <c r="J1771" t="inlineStr">
        <is>
          <t>ince</t>
        </is>
      </c>
      <c r="K1771" t="b">
        <v>1</v>
      </c>
      <c r="M1771" t="n">
        <v>56</v>
      </c>
      <c r="N1771" t="n">
        <v>42</v>
      </c>
      <c r="O1771" t="n">
        <v>34</v>
      </c>
      <c r="P1771" t="n">
        <v>946</v>
      </c>
      <c r="Q1771" t="n">
        <v>1002</v>
      </c>
      <c r="R1771" t="n">
        <v>1.068</v>
      </c>
      <c r="S1771" t="n">
        <v>20.412</v>
      </c>
      <c r="T1771" t="n">
        <v>19.12</v>
      </c>
      <c r="U1771" t="n">
        <v>0.7774</v>
      </c>
      <c r="V1771" t="b">
        <v>1</v>
      </c>
      <c r="X1771" t="b">
        <v>1</v>
      </c>
      <c r="Z1771" t="n">
        <v>935</v>
      </c>
      <c r="AA1771" t="n">
        <v>2.5</v>
      </c>
      <c r="AB1771" t="n">
        <v>9.5</v>
      </c>
    </row>
    <row r="1772">
      <c r="A1772" t="inlineStr">
        <is>
          <t>2026-09-24 17:41:52</t>
        </is>
      </c>
      <c r="B1772" t="inlineStr">
        <is>
          <t>MLLB_000_y1.0.3</t>
        </is>
      </c>
      <c r="C1772" t="inlineStr">
        <is>
          <t>WHITE</t>
        </is>
      </c>
      <c r="D1772" t="inlineStr">
        <is>
          <t>v4_white_MLLB_000_y103_0924</t>
        </is>
      </c>
      <c r="E1772" t="n">
        <v>3</v>
      </c>
      <c r="F1772" t="n">
        <v>3.008</v>
      </c>
      <c r="G1772" t="n">
        <v>10</v>
      </c>
      <c r="H1772" t="n">
        <v>60</v>
      </c>
      <c r="I1772" t="n">
        <v>45</v>
      </c>
      <c r="J1772" t="inlineStr">
        <is>
          <t>ince</t>
        </is>
      </c>
      <c r="K1772" t="b">
        <v>1</v>
      </c>
      <c r="M1772" t="n">
        <v>52</v>
      </c>
      <c r="N1772" t="n">
        <v>30</v>
      </c>
      <c r="O1772" t="n">
        <v>32</v>
      </c>
      <c r="P1772" t="n">
        <v>950</v>
      </c>
      <c r="Q1772" t="n">
        <v>1002</v>
      </c>
      <c r="R1772" t="n">
        <v>1.072</v>
      </c>
      <c r="S1772" t="n">
        <v>20.478</v>
      </c>
      <c r="T1772" t="n">
        <v>19.1</v>
      </c>
      <c r="U1772" t="n">
        <v>0.7779</v>
      </c>
      <c r="V1772" t="b">
        <v>1</v>
      </c>
      <c r="X1772" t="b">
        <v>1</v>
      </c>
      <c r="Z1772" t="n">
        <v>935</v>
      </c>
      <c r="AA1772" t="n">
        <v>2.5</v>
      </c>
      <c r="AB1772" t="n">
        <v>9.5</v>
      </c>
    </row>
    <row r="1773">
      <c r="A1773" t="inlineStr">
        <is>
          <t>2026-09-24 17:42:08</t>
        </is>
      </c>
      <c r="B1773" t="inlineStr">
        <is>
          <t>MLLB_000_y1.0.3</t>
        </is>
      </c>
      <c r="C1773" t="inlineStr">
        <is>
          <t>WHITE</t>
        </is>
      </c>
      <c r="D1773" t="inlineStr">
        <is>
          <t>v4_white_MLLB_000_y103_0924</t>
        </is>
      </c>
      <c r="E1773" t="n">
        <v>3</v>
      </c>
      <c r="F1773" t="n">
        <v>3.008</v>
      </c>
      <c r="G1773" t="n">
        <v>10</v>
      </c>
      <c r="H1773" t="n">
        <v>60</v>
      </c>
      <c r="I1773" t="n">
        <v>46</v>
      </c>
      <c r="J1773" t="inlineStr">
        <is>
          <t>ince</t>
        </is>
      </c>
      <c r="K1773" t="b">
        <v>1</v>
      </c>
      <c r="M1773" t="n">
        <v>52</v>
      </c>
      <c r="N1773" t="n">
        <v>30</v>
      </c>
      <c r="O1773" t="n">
        <v>32</v>
      </c>
      <c r="P1773" t="n">
        <v>950</v>
      </c>
      <c r="Q1773" t="n">
        <v>1002</v>
      </c>
      <c r="R1773" t="n">
        <v>1.074</v>
      </c>
      <c r="S1773" t="n">
        <v>20.557</v>
      </c>
      <c r="T1773" t="n">
        <v>19.14</v>
      </c>
      <c r="U1773" t="n">
        <v>0.7775</v>
      </c>
      <c r="V1773" t="b">
        <v>1</v>
      </c>
      <c r="X1773" t="b">
        <v>1</v>
      </c>
      <c r="Z1773" t="n">
        <v>935</v>
      </c>
      <c r="AA1773" t="n">
        <v>2.5</v>
      </c>
      <c r="AB1773" t="n">
        <v>9.5</v>
      </c>
    </row>
    <row r="1774">
      <c r="A1774" t="inlineStr">
        <is>
          <t>2026-09-24 17:42:24</t>
        </is>
      </c>
      <c r="B1774" t="inlineStr">
        <is>
          <t>MLLB_000_y1.0.3</t>
        </is>
      </c>
      <c r="C1774" t="inlineStr">
        <is>
          <t>WHITE</t>
        </is>
      </c>
      <c r="D1774" t="inlineStr">
        <is>
          <t>v4_white_MLLB_000_y103_0924</t>
        </is>
      </c>
      <c r="E1774" t="n">
        <v>3</v>
      </c>
      <c r="F1774" t="n">
        <v>3.008</v>
      </c>
      <c r="G1774" t="n">
        <v>10</v>
      </c>
      <c r="H1774" t="n">
        <v>60</v>
      </c>
      <c r="I1774" t="n">
        <v>47</v>
      </c>
      <c r="J1774" t="inlineStr">
        <is>
          <t>ince</t>
        </is>
      </c>
      <c r="K1774" t="b">
        <v>1</v>
      </c>
      <c r="M1774" t="n">
        <v>52</v>
      </c>
      <c r="N1774" t="n">
        <v>30</v>
      </c>
      <c r="O1774" t="n">
        <v>32</v>
      </c>
      <c r="P1774" t="n">
        <v>950</v>
      </c>
      <c r="Q1774" t="n">
        <v>1002</v>
      </c>
      <c r="R1774" t="n">
        <v>1.532</v>
      </c>
      <c r="S1774" t="n">
        <v>29.278</v>
      </c>
      <c r="T1774" t="n">
        <v>19.111</v>
      </c>
      <c r="U1774" t="n">
        <v>0.7775</v>
      </c>
      <c r="V1774" t="b">
        <v>1</v>
      </c>
      <c r="X1774" t="b">
        <v>1</v>
      </c>
      <c r="Z1774" t="n">
        <v>935</v>
      </c>
      <c r="AA1774" t="n">
        <v>2.5</v>
      </c>
      <c r="AB1774" t="n">
        <v>9.5</v>
      </c>
    </row>
    <row r="1775">
      <c r="A1775" t="inlineStr">
        <is>
          <t>2026-09-24 17:42:24</t>
        </is>
      </c>
      <c r="B1775" t="inlineStr">
        <is>
          <t>MLLB_000_y1.0.3</t>
        </is>
      </c>
      <c r="C1775" t="inlineStr">
        <is>
          <t>WHITE</t>
        </is>
      </c>
      <c r="D1775" t="inlineStr">
        <is>
          <t>v4_white_MLLB_000_y103_0924</t>
        </is>
      </c>
      <c r="E1775" t="n">
        <v>3</v>
      </c>
      <c r="F1775" t="n">
        <v>3.008</v>
      </c>
      <c r="G1775" t="n">
        <v>10</v>
      </c>
      <c r="H1775" t="n">
        <v>60</v>
      </c>
      <c r="J1775" t="inlineStr">
        <is>
          <t>bitti</t>
        </is>
      </c>
      <c r="K1775" t="b">
        <v>0</v>
      </c>
      <c r="Z1775" t="n">
        <v>935</v>
      </c>
      <c r="AA1775" t="n">
        <v>2.5</v>
      </c>
      <c r="AB1775" t="n">
        <v>9.5</v>
      </c>
    </row>
    <row r="1776">
      <c r="A1776" t="inlineStr">
        <is>
          <t>2026-09-24 17:42:46</t>
        </is>
      </c>
      <c r="B1776" t="inlineStr">
        <is>
          <t>MLLB_000_y1.0.3</t>
        </is>
      </c>
      <c r="C1776" t="inlineStr">
        <is>
          <t>WHITE</t>
        </is>
      </c>
      <c r="D1776" t="inlineStr">
        <is>
          <t>v4_white_MLLB_000_y103_0924</t>
        </is>
      </c>
      <c r="E1776" t="n">
        <v>3</v>
      </c>
      <c r="F1776" t="n">
        <v>3.008</v>
      </c>
      <c r="G1776" t="n">
        <v>15</v>
      </c>
      <c r="H1776" t="n">
        <v>100</v>
      </c>
      <c r="I1776" t="n">
        <v>12</v>
      </c>
      <c r="J1776" t="inlineStr">
        <is>
          <t>kaba</t>
        </is>
      </c>
      <c r="K1776" t="b">
        <v>1</v>
      </c>
      <c r="M1776" t="n">
        <v>132</v>
      </c>
      <c r="N1776" t="n">
        <v>38</v>
      </c>
      <c r="O1776" t="n">
        <v>110</v>
      </c>
      <c r="P1776" t="n">
        <v>870</v>
      </c>
      <c r="Q1776" t="n">
        <v>1002</v>
      </c>
      <c r="R1776" t="n">
        <v>1.127</v>
      </c>
      <c r="S1776" t="n">
        <v>35.302</v>
      </c>
      <c r="T1776" t="n">
        <v>31.33</v>
      </c>
      <c r="U1776" t="n">
        <v>0.778</v>
      </c>
      <c r="V1776" t="b">
        <v>1</v>
      </c>
      <c r="X1776" t="b">
        <v>0</v>
      </c>
      <c r="Y1776" t="inlineStr">
        <is>
          <t>ON</t>
        </is>
      </c>
      <c r="Z1776" t="n">
        <v>935</v>
      </c>
      <c r="AA1776" t="n">
        <v>2.5</v>
      </c>
      <c r="AB1776" t="n">
        <v>9.5</v>
      </c>
    </row>
    <row r="1777">
      <c r="A1777" t="inlineStr">
        <is>
          <t>2026-09-24 17:43:02</t>
        </is>
      </c>
      <c r="B1777" t="inlineStr">
        <is>
          <t>MLLB_000_y1.0.3</t>
        </is>
      </c>
      <c r="C1777" t="inlineStr">
        <is>
          <t>WHITE</t>
        </is>
      </c>
      <c r="D1777" t="inlineStr">
        <is>
          <t>v4_white_MLLB_000_y103_0924</t>
        </is>
      </c>
      <c r="E1777" t="n">
        <v>3</v>
      </c>
      <c r="F1777" t="n">
        <v>3.008</v>
      </c>
      <c r="G1777" t="n">
        <v>15</v>
      </c>
      <c r="H1777" t="n">
        <v>100</v>
      </c>
      <c r="I1777" t="n">
        <v>16</v>
      </c>
      <c r="J1777" t="inlineStr">
        <is>
          <t>kaba</t>
        </is>
      </c>
      <c r="K1777" t="b">
        <v>1</v>
      </c>
      <c r="M1777" t="n">
        <v>108</v>
      </c>
      <c r="N1777" t="n">
        <v>38</v>
      </c>
      <c r="O1777" t="n">
        <v>86</v>
      </c>
      <c r="P1777" t="n">
        <v>894</v>
      </c>
      <c r="Q1777" t="n">
        <v>1002</v>
      </c>
      <c r="R1777" t="n">
        <v>1.131</v>
      </c>
      <c r="S1777" t="n">
        <v>35.442</v>
      </c>
      <c r="T1777" t="n">
        <v>31.348</v>
      </c>
      <c r="U1777" t="n">
        <v>0.7776999999999999</v>
      </c>
      <c r="V1777" t="b">
        <v>1</v>
      </c>
      <c r="X1777" t="b">
        <v>0</v>
      </c>
      <c r="Y1777" t="inlineStr">
        <is>
          <t>ON</t>
        </is>
      </c>
      <c r="Z1777" t="n">
        <v>935</v>
      </c>
      <c r="AA1777" t="n">
        <v>2.5</v>
      </c>
      <c r="AB1777" t="n">
        <v>9.5</v>
      </c>
    </row>
    <row r="1778">
      <c r="A1778" t="inlineStr">
        <is>
          <t>2026-09-24 17:43:18</t>
        </is>
      </c>
      <c r="B1778" t="inlineStr">
        <is>
          <t>MLLB_000_y1.0.3</t>
        </is>
      </c>
      <c r="C1778" t="inlineStr">
        <is>
          <t>WHITE</t>
        </is>
      </c>
      <c r="D1778" t="inlineStr">
        <is>
          <t>v4_white_MLLB_000_y103_0924</t>
        </is>
      </c>
      <c r="E1778" t="n">
        <v>3</v>
      </c>
      <c r="F1778" t="n">
        <v>3.008</v>
      </c>
      <c r="G1778" t="n">
        <v>15</v>
      </c>
      <c r="H1778" t="n">
        <v>100</v>
      </c>
      <c r="I1778" t="n">
        <v>20</v>
      </c>
      <c r="J1778" t="inlineStr">
        <is>
          <t>kaba</t>
        </is>
      </c>
      <c r="K1778" t="b">
        <v>1</v>
      </c>
      <c r="M1778" t="n">
        <v>82</v>
      </c>
      <c r="N1778" t="n">
        <v>32</v>
      </c>
      <c r="O1778" t="n">
        <v>62</v>
      </c>
      <c r="P1778" t="n">
        <v>920</v>
      </c>
      <c r="Q1778" t="n">
        <v>1002</v>
      </c>
      <c r="R1778" t="n">
        <v>1.134</v>
      </c>
      <c r="S1778" t="n">
        <v>35.581</v>
      </c>
      <c r="T1778" t="n">
        <v>31.378</v>
      </c>
      <c r="U1778" t="n">
        <v>0.7782</v>
      </c>
      <c r="V1778" t="b">
        <v>1</v>
      </c>
      <c r="X1778" t="b">
        <v>0</v>
      </c>
      <c r="Y1778" t="inlineStr">
        <is>
          <t>ON</t>
        </is>
      </c>
      <c r="Z1778" t="n">
        <v>935</v>
      </c>
      <c r="AA1778" t="n">
        <v>2.5</v>
      </c>
      <c r="AB1778" t="n">
        <v>9.5</v>
      </c>
    </row>
    <row r="1779">
      <c r="A1779" t="inlineStr">
        <is>
          <t>2026-09-24 17:43:34</t>
        </is>
      </c>
      <c r="B1779" t="inlineStr">
        <is>
          <t>MLLB_000_y1.0.3</t>
        </is>
      </c>
      <c r="C1779" t="inlineStr">
        <is>
          <t>WHITE</t>
        </is>
      </c>
      <c r="D1779" t="inlineStr">
        <is>
          <t>v4_white_MLLB_000_y103_0924</t>
        </is>
      </c>
      <c r="E1779" t="n">
        <v>3</v>
      </c>
      <c r="F1779" t="n">
        <v>3.008</v>
      </c>
      <c r="G1779" t="n">
        <v>15</v>
      </c>
      <c r="H1779" t="n">
        <v>100</v>
      </c>
      <c r="I1779" t="n">
        <v>24</v>
      </c>
      <c r="J1779" t="inlineStr">
        <is>
          <t>kaba</t>
        </is>
      </c>
      <c r="K1779" t="b">
        <v>1</v>
      </c>
      <c r="M1779" t="n">
        <v>58</v>
      </c>
      <c r="N1779" t="n">
        <v>32</v>
      </c>
      <c r="O1779" t="n">
        <v>38</v>
      </c>
      <c r="P1779" t="n">
        <v>944</v>
      </c>
      <c r="Q1779" t="n">
        <v>1002</v>
      </c>
      <c r="R1779" t="n">
        <v>1.123</v>
      </c>
      <c r="S1779" t="n">
        <v>35.279</v>
      </c>
      <c r="T1779" t="n">
        <v>31.407</v>
      </c>
      <c r="U1779" t="n">
        <v>0.7778</v>
      </c>
      <c r="V1779" t="b">
        <v>1</v>
      </c>
      <c r="X1779" t="b">
        <v>1</v>
      </c>
      <c r="Z1779" t="n">
        <v>935</v>
      </c>
      <c r="AA1779" t="n">
        <v>2.5</v>
      </c>
      <c r="AB1779" t="n">
        <v>9.5</v>
      </c>
    </row>
    <row r="1780">
      <c r="A1780" t="inlineStr">
        <is>
          <t>2026-09-24 17:43:50</t>
        </is>
      </c>
      <c r="B1780" t="inlineStr">
        <is>
          <t>MLLB_000_y1.0.3</t>
        </is>
      </c>
      <c r="C1780" t="inlineStr">
        <is>
          <t>WHITE</t>
        </is>
      </c>
      <c r="D1780" t="inlineStr">
        <is>
          <t>v4_white_MLLB_000_y103_0924</t>
        </is>
      </c>
      <c r="E1780" t="n">
        <v>3</v>
      </c>
      <c r="F1780" t="n">
        <v>3.008</v>
      </c>
      <c r="G1780" t="n">
        <v>15</v>
      </c>
      <c r="H1780" t="n">
        <v>100</v>
      </c>
      <c r="I1780" t="n">
        <v>28</v>
      </c>
      <c r="J1780" t="inlineStr">
        <is>
          <t>kaba</t>
        </is>
      </c>
      <c r="K1780" t="b">
        <v>1</v>
      </c>
      <c r="M1780" t="n">
        <v>36</v>
      </c>
      <c r="N1780" t="n">
        <v>32</v>
      </c>
      <c r="O1780" t="n">
        <v>14</v>
      </c>
      <c r="P1780" t="n">
        <v>966</v>
      </c>
      <c r="Q1780" t="n">
        <v>1002</v>
      </c>
      <c r="R1780" t="n">
        <v>1.125</v>
      </c>
      <c r="S1780" t="n">
        <v>35.322</v>
      </c>
      <c r="T1780" t="n">
        <v>31.41</v>
      </c>
      <c r="U1780" t="n">
        <v>0.7776999999999999</v>
      </c>
      <c r="V1780" t="b">
        <v>1</v>
      </c>
      <c r="X1780" t="b">
        <v>1</v>
      </c>
      <c r="Z1780" t="n">
        <v>935</v>
      </c>
      <c r="AA1780" t="n">
        <v>2.5</v>
      </c>
      <c r="AB1780" t="n">
        <v>9.5</v>
      </c>
    </row>
    <row r="1781">
      <c r="A1781" t="inlineStr">
        <is>
          <t>2026-09-24 17:44:06</t>
        </is>
      </c>
      <c r="B1781" t="inlineStr">
        <is>
          <t>MLLB_000_y1.0.3</t>
        </is>
      </c>
      <c r="C1781" t="inlineStr">
        <is>
          <t>WHITE</t>
        </is>
      </c>
      <c r="D1781" t="inlineStr">
        <is>
          <t>v4_white_MLLB_000_y103_0924</t>
        </is>
      </c>
      <c r="E1781" t="n">
        <v>3</v>
      </c>
      <c r="F1781" t="n">
        <v>3.008</v>
      </c>
      <c r="G1781" t="n">
        <v>15</v>
      </c>
      <c r="H1781" t="n">
        <v>100</v>
      </c>
      <c r="I1781" t="n">
        <v>32</v>
      </c>
      <c r="J1781" t="inlineStr">
        <is>
          <t>kaba</t>
        </is>
      </c>
      <c r="K1781" t="b">
        <v>1</v>
      </c>
      <c r="M1781" t="n">
        <v>36</v>
      </c>
      <c r="N1781" t="n">
        <v>32</v>
      </c>
      <c r="O1781" t="n">
        <v>14</v>
      </c>
      <c r="P1781" t="n">
        <v>966</v>
      </c>
      <c r="Q1781" t="n">
        <v>1002</v>
      </c>
      <c r="R1781" t="n">
        <v>4.724</v>
      </c>
      <c r="S1781" t="n">
        <v>148.322</v>
      </c>
      <c r="T1781" t="n">
        <v>31.399</v>
      </c>
      <c r="U1781" t="n">
        <v>0.7783</v>
      </c>
      <c r="V1781" t="b">
        <v>1</v>
      </c>
      <c r="X1781" t="b">
        <v>0</v>
      </c>
      <c r="Y1781" t="inlineStr">
        <is>
          <t>FLAS</t>
        </is>
      </c>
      <c r="Z1781" t="n">
        <v>935</v>
      </c>
      <c r="AA1781" t="n">
        <v>2.5</v>
      </c>
      <c r="AB1781" t="n">
        <v>9.5</v>
      </c>
    </row>
    <row r="1782">
      <c r="A1782" t="inlineStr">
        <is>
          <t>2026-09-24 17:44:22</t>
        </is>
      </c>
      <c r="B1782" t="inlineStr">
        <is>
          <t>MLLB_000_y1.0.3</t>
        </is>
      </c>
      <c r="C1782" t="inlineStr">
        <is>
          <t>WHITE</t>
        </is>
      </c>
      <c r="D1782" t="inlineStr">
        <is>
          <t>v4_white_MLLB_000_y103_0924</t>
        </is>
      </c>
      <c r="E1782" t="n">
        <v>3</v>
      </c>
      <c r="F1782" t="n">
        <v>3.008</v>
      </c>
      <c r="G1782" t="n">
        <v>15</v>
      </c>
      <c r="H1782" t="n">
        <v>100</v>
      </c>
      <c r="I1782" t="n">
        <v>36</v>
      </c>
      <c r="J1782" t="inlineStr">
        <is>
          <t>kaba</t>
        </is>
      </c>
      <c r="K1782" t="b">
        <v>1</v>
      </c>
      <c r="M1782" t="n">
        <v>36</v>
      </c>
      <c r="N1782" t="n">
        <v>32</v>
      </c>
      <c r="O1782" t="n">
        <v>14</v>
      </c>
      <c r="P1782" t="n">
        <v>966</v>
      </c>
      <c r="Q1782" t="n">
        <v>1002</v>
      </c>
      <c r="R1782" t="n">
        <v>5.731</v>
      </c>
      <c r="S1782" t="n">
        <v>187.098</v>
      </c>
      <c r="T1782" t="n">
        <v>32.649</v>
      </c>
      <c r="U1782" t="n">
        <v>0.778</v>
      </c>
      <c r="V1782" t="b">
        <v>1</v>
      </c>
      <c r="X1782" t="b">
        <v>0</v>
      </c>
      <c r="Y1782" t="inlineStr">
        <is>
          <t>FLAS</t>
        </is>
      </c>
      <c r="Z1782" t="n">
        <v>935</v>
      </c>
      <c r="AA1782" t="n">
        <v>2.5</v>
      </c>
      <c r="AB1782" t="n">
        <v>9.5</v>
      </c>
    </row>
    <row r="1783">
      <c r="A1783" t="inlineStr">
        <is>
          <t>2026-09-24 17:44:38</t>
        </is>
      </c>
      <c r="B1783" t="inlineStr">
        <is>
          <t>MLLB_000_y1.0.3</t>
        </is>
      </c>
      <c r="C1783" t="inlineStr">
        <is>
          <t>WHITE</t>
        </is>
      </c>
      <c r="D1783" t="inlineStr">
        <is>
          <t>v4_white_MLLB_000_y103_0924</t>
        </is>
      </c>
      <c r="E1783" t="n">
        <v>3</v>
      </c>
      <c r="F1783" t="n">
        <v>3.008</v>
      </c>
      <c r="G1783" t="n">
        <v>15</v>
      </c>
      <c r="H1783" t="n">
        <v>100</v>
      </c>
      <c r="I1783" t="n">
        <v>21</v>
      </c>
      <c r="J1783" t="inlineStr">
        <is>
          <t>ince</t>
        </is>
      </c>
      <c r="K1783" t="b">
        <v>1</v>
      </c>
      <c r="M1783" t="n">
        <v>76</v>
      </c>
      <c r="N1783" t="n">
        <v>36</v>
      </c>
      <c r="O1783" t="n">
        <v>54</v>
      </c>
      <c r="P1783" t="n">
        <v>926</v>
      </c>
      <c r="Q1783" t="n">
        <v>1002</v>
      </c>
      <c r="R1783" t="n">
        <v>1.112</v>
      </c>
      <c r="S1783" t="n">
        <v>34.891</v>
      </c>
      <c r="T1783" t="n">
        <v>31.376</v>
      </c>
      <c r="U1783" t="n">
        <v>0.7784</v>
      </c>
      <c r="V1783" t="b">
        <v>1</v>
      </c>
      <c r="X1783" t="b">
        <v>0</v>
      </c>
      <c r="Y1783" t="inlineStr">
        <is>
          <t>ON</t>
        </is>
      </c>
      <c r="Z1783" t="n">
        <v>935</v>
      </c>
      <c r="AA1783" t="n">
        <v>2.5</v>
      </c>
      <c r="AB1783" t="n">
        <v>9.5</v>
      </c>
    </row>
    <row r="1784">
      <c r="A1784" t="inlineStr">
        <is>
          <t>2026-09-24 17:44:54</t>
        </is>
      </c>
      <c r="B1784" t="inlineStr">
        <is>
          <t>MLLB_000_y1.0.3</t>
        </is>
      </c>
      <c r="C1784" t="inlineStr">
        <is>
          <t>WHITE</t>
        </is>
      </c>
      <c r="D1784" t="inlineStr">
        <is>
          <t>v4_white_MLLB_000_y103_0924</t>
        </is>
      </c>
      <c r="E1784" t="n">
        <v>3</v>
      </c>
      <c r="F1784" t="n">
        <v>3.008</v>
      </c>
      <c r="G1784" t="n">
        <v>15</v>
      </c>
      <c r="H1784" t="n">
        <v>100</v>
      </c>
      <c r="I1784" t="n">
        <v>22</v>
      </c>
      <c r="J1784" t="inlineStr">
        <is>
          <t>ince</t>
        </is>
      </c>
      <c r="K1784" t="b">
        <v>1</v>
      </c>
      <c r="M1784" t="n">
        <v>70</v>
      </c>
      <c r="N1784" t="n">
        <v>32</v>
      </c>
      <c r="O1784" t="n">
        <v>50</v>
      </c>
      <c r="P1784" t="n">
        <v>932</v>
      </c>
      <c r="Q1784" t="n">
        <v>1002</v>
      </c>
      <c r="R1784" t="n">
        <v>1.12</v>
      </c>
      <c r="S1784" t="n">
        <v>35.148</v>
      </c>
      <c r="T1784" t="n">
        <v>31.383</v>
      </c>
      <c r="U1784" t="n">
        <v>0.778</v>
      </c>
      <c r="V1784" t="b">
        <v>1</v>
      </c>
      <c r="X1784" t="b">
        <v>0</v>
      </c>
      <c r="Y1784" t="inlineStr">
        <is>
          <t>ON</t>
        </is>
      </c>
      <c r="Z1784" t="n">
        <v>935</v>
      </c>
      <c r="AA1784" t="n">
        <v>2.5</v>
      </c>
      <c r="AB1784" t="n">
        <v>9.5</v>
      </c>
    </row>
    <row r="1785">
      <c r="A1785" t="inlineStr">
        <is>
          <t>2026-09-24 17:45:10</t>
        </is>
      </c>
      <c r="B1785" t="inlineStr">
        <is>
          <t>MLLB_000_y1.0.3</t>
        </is>
      </c>
      <c r="C1785" t="inlineStr">
        <is>
          <t>WHITE</t>
        </is>
      </c>
      <c r="D1785" t="inlineStr">
        <is>
          <t>v4_white_MLLB_000_y103_0924</t>
        </is>
      </c>
      <c r="E1785" t="n">
        <v>3</v>
      </c>
      <c r="F1785" t="n">
        <v>3.008</v>
      </c>
      <c r="G1785" t="n">
        <v>15</v>
      </c>
      <c r="H1785" t="n">
        <v>100</v>
      </c>
      <c r="I1785" t="n">
        <v>23</v>
      </c>
      <c r="J1785" t="inlineStr">
        <is>
          <t>ince</t>
        </is>
      </c>
      <c r="K1785" t="b">
        <v>1</v>
      </c>
      <c r="M1785" t="n">
        <v>64</v>
      </c>
      <c r="N1785" t="n">
        <v>38</v>
      </c>
      <c r="O1785" t="n">
        <v>42</v>
      </c>
      <c r="P1785" t="n">
        <v>938</v>
      </c>
      <c r="Q1785" t="n">
        <v>1002</v>
      </c>
      <c r="R1785" t="n">
        <v>1.113</v>
      </c>
      <c r="S1785" t="n">
        <v>34.942</v>
      </c>
      <c r="T1785" t="n">
        <v>31.4</v>
      </c>
      <c r="U1785" t="n">
        <v>0.7781</v>
      </c>
      <c r="V1785" t="b">
        <v>1</v>
      </c>
      <c r="X1785" t="b">
        <v>1</v>
      </c>
      <c r="Z1785" t="n">
        <v>935</v>
      </c>
      <c r="AA1785" t="n">
        <v>2.5</v>
      </c>
      <c r="AB1785" t="n">
        <v>9.5</v>
      </c>
    </row>
    <row r="1786">
      <c r="A1786" t="inlineStr">
        <is>
          <t>2026-09-24 17:45:10</t>
        </is>
      </c>
      <c r="B1786" t="inlineStr">
        <is>
          <t>MLLB_000_y1.0.3</t>
        </is>
      </c>
      <c r="C1786" t="inlineStr">
        <is>
          <t>WHITE</t>
        </is>
      </c>
      <c r="D1786" t="inlineStr">
        <is>
          <t>v4_white_MLLB_000_y103_0924</t>
        </is>
      </c>
      <c r="E1786" t="n">
        <v>3</v>
      </c>
      <c r="F1786" t="n">
        <v>3.008</v>
      </c>
      <c r="G1786" t="n">
        <v>15</v>
      </c>
      <c r="H1786" t="n">
        <v>100</v>
      </c>
      <c r="I1786" t="n">
        <v>25</v>
      </c>
      <c r="J1786" t="inlineStr">
        <is>
          <t>ince</t>
        </is>
      </c>
      <c r="K1786" t="b">
        <v>0</v>
      </c>
      <c r="L1786" t="inlineStr">
        <is>
          <t>iki-OK-arasi-monotonluk</t>
        </is>
      </c>
      <c r="X1786" t="b">
        <v>1</v>
      </c>
      <c r="Z1786" t="n">
        <v>935</v>
      </c>
      <c r="AA1786" t="n">
        <v>2.5</v>
      </c>
      <c r="AB1786" t="n">
        <v>9.5</v>
      </c>
    </row>
    <row r="1787">
      <c r="A1787" t="inlineStr">
        <is>
          <t>2026-09-24 17:45:10</t>
        </is>
      </c>
      <c r="B1787" t="inlineStr">
        <is>
          <t>MLLB_000_y1.0.3</t>
        </is>
      </c>
      <c r="C1787" t="inlineStr">
        <is>
          <t>WHITE</t>
        </is>
      </c>
      <c r="D1787" t="inlineStr">
        <is>
          <t>v4_white_MLLB_000_y103_0924</t>
        </is>
      </c>
      <c r="E1787" t="n">
        <v>3</v>
      </c>
      <c r="F1787" t="n">
        <v>3.008</v>
      </c>
      <c r="G1787" t="n">
        <v>15</v>
      </c>
      <c r="H1787" t="n">
        <v>100</v>
      </c>
      <c r="I1787" t="n">
        <v>26</v>
      </c>
      <c r="J1787" t="inlineStr">
        <is>
          <t>ince</t>
        </is>
      </c>
      <c r="K1787" t="b">
        <v>0</v>
      </c>
      <c r="L1787" t="inlineStr">
        <is>
          <t>iki-OK-arasi-monotonluk</t>
        </is>
      </c>
      <c r="X1787" t="b">
        <v>1</v>
      </c>
      <c r="Z1787" t="n">
        <v>935</v>
      </c>
      <c r="AA1787" t="n">
        <v>2.5</v>
      </c>
      <c r="AB1787" t="n">
        <v>9.5</v>
      </c>
    </row>
    <row r="1788">
      <c r="A1788" t="inlineStr">
        <is>
          <t>2026-09-24 17:45:10</t>
        </is>
      </c>
      <c r="B1788" t="inlineStr">
        <is>
          <t>MLLB_000_y1.0.3</t>
        </is>
      </c>
      <c r="C1788" t="inlineStr">
        <is>
          <t>WHITE</t>
        </is>
      </c>
      <c r="D1788" t="inlineStr">
        <is>
          <t>v4_white_MLLB_000_y103_0924</t>
        </is>
      </c>
      <c r="E1788" t="n">
        <v>3</v>
      </c>
      <c r="F1788" t="n">
        <v>3.008</v>
      </c>
      <c r="G1788" t="n">
        <v>15</v>
      </c>
      <c r="H1788" t="n">
        <v>100</v>
      </c>
      <c r="I1788" t="n">
        <v>27</v>
      </c>
      <c r="J1788" t="inlineStr">
        <is>
          <t>ince</t>
        </is>
      </c>
      <c r="K1788" t="b">
        <v>0</v>
      </c>
      <c r="L1788" t="inlineStr">
        <is>
          <t>iki-OK-arasi-monotonluk</t>
        </is>
      </c>
      <c r="X1788" t="b">
        <v>1</v>
      </c>
      <c r="Z1788" t="n">
        <v>935</v>
      </c>
      <c r="AA1788" t="n">
        <v>2.5</v>
      </c>
      <c r="AB1788" t="n">
        <v>9.5</v>
      </c>
    </row>
    <row r="1789">
      <c r="A1789" t="inlineStr">
        <is>
          <t>2026-09-24 17:45:26</t>
        </is>
      </c>
      <c r="B1789" t="inlineStr">
        <is>
          <t>MLLB_000_y1.0.3</t>
        </is>
      </c>
      <c r="C1789" t="inlineStr">
        <is>
          <t>WHITE</t>
        </is>
      </c>
      <c r="D1789" t="inlineStr">
        <is>
          <t>v4_white_MLLB_000_y103_0924</t>
        </is>
      </c>
      <c r="E1789" t="n">
        <v>3</v>
      </c>
      <c r="F1789" t="n">
        <v>3.008</v>
      </c>
      <c r="G1789" t="n">
        <v>15</v>
      </c>
      <c r="H1789" t="n">
        <v>100</v>
      </c>
      <c r="I1789" t="n">
        <v>29</v>
      </c>
      <c r="J1789" t="inlineStr">
        <is>
          <t>ince</t>
        </is>
      </c>
      <c r="K1789" t="b">
        <v>1</v>
      </c>
      <c r="M1789" t="n">
        <v>36</v>
      </c>
      <c r="N1789" t="n">
        <v>30</v>
      </c>
      <c r="O1789" t="n">
        <v>16</v>
      </c>
      <c r="P1789" t="n">
        <v>966</v>
      </c>
      <c r="Q1789" t="n">
        <v>1002</v>
      </c>
      <c r="R1789" t="n">
        <v>1.119</v>
      </c>
      <c r="S1789" t="n">
        <v>35.165</v>
      </c>
      <c r="T1789" t="n">
        <v>31.439</v>
      </c>
      <c r="U1789" t="n">
        <v>0.7778</v>
      </c>
      <c r="V1789" t="b">
        <v>1</v>
      </c>
      <c r="X1789" t="b">
        <v>1</v>
      </c>
      <c r="Z1789" t="n">
        <v>935</v>
      </c>
      <c r="AA1789" t="n">
        <v>2.5</v>
      </c>
      <c r="AB1789" t="n">
        <v>9.5</v>
      </c>
    </row>
    <row r="1790">
      <c r="A1790" t="inlineStr">
        <is>
          <t>2026-09-24 17:45:42</t>
        </is>
      </c>
      <c r="B1790" t="inlineStr">
        <is>
          <t>MLLB_000_y1.0.3</t>
        </is>
      </c>
      <c r="C1790" t="inlineStr">
        <is>
          <t>WHITE</t>
        </is>
      </c>
      <c r="D1790" t="inlineStr">
        <is>
          <t>v4_white_MLLB_000_y103_0924</t>
        </is>
      </c>
      <c r="E1790" t="n">
        <v>3</v>
      </c>
      <c r="F1790" t="n">
        <v>3.008</v>
      </c>
      <c r="G1790" t="n">
        <v>15</v>
      </c>
      <c r="H1790" t="n">
        <v>100</v>
      </c>
      <c r="I1790" t="n">
        <v>30</v>
      </c>
      <c r="J1790" t="inlineStr">
        <is>
          <t>ince</t>
        </is>
      </c>
      <c r="K1790" t="b">
        <v>1</v>
      </c>
      <c r="M1790" t="n">
        <v>36</v>
      </c>
      <c r="N1790" t="n">
        <v>30</v>
      </c>
      <c r="O1790" t="n">
        <v>16</v>
      </c>
      <c r="P1790" t="n">
        <v>966</v>
      </c>
      <c r="Q1790" t="n">
        <v>1002</v>
      </c>
      <c r="R1790" t="n">
        <v>2.681</v>
      </c>
      <c r="S1790" t="n">
        <v>84.197</v>
      </c>
      <c r="T1790" t="n">
        <v>31.404</v>
      </c>
      <c r="U1790" t="n">
        <v>0.7776999999999999</v>
      </c>
      <c r="V1790" t="b">
        <v>1</v>
      </c>
      <c r="X1790" t="b">
        <v>0</v>
      </c>
      <c r="Y1790" t="inlineStr">
        <is>
          <t>FLAS</t>
        </is>
      </c>
      <c r="Z1790" t="n">
        <v>935</v>
      </c>
      <c r="AA1790" t="n">
        <v>2.5</v>
      </c>
      <c r="AB1790" t="n">
        <v>9.5</v>
      </c>
    </row>
    <row r="1791">
      <c r="A1791" t="inlineStr">
        <is>
          <t>2026-09-24 17:45:58</t>
        </is>
      </c>
      <c r="B1791" t="inlineStr">
        <is>
          <t>MLLB_000_y1.0.3</t>
        </is>
      </c>
      <c r="C1791" t="inlineStr">
        <is>
          <t>WHITE</t>
        </is>
      </c>
      <c r="D1791" t="inlineStr">
        <is>
          <t>v4_white_MLLB_000_y103_0924</t>
        </is>
      </c>
      <c r="E1791" t="n">
        <v>3</v>
      </c>
      <c r="F1791" t="n">
        <v>3.008</v>
      </c>
      <c r="G1791" t="n">
        <v>15</v>
      </c>
      <c r="H1791" t="n">
        <v>100</v>
      </c>
      <c r="I1791" t="n">
        <v>31</v>
      </c>
      <c r="J1791" t="inlineStr">
        <is>
          <t>ince</t>
        </is>
      </c>
      <c r="K1791" t="b">
        <v>1</v>
      </c>
      <c r="M1791" t="n">
        <v>36</v>
      </c>
      <c r="N1791" t="n">
        <v>30</v>
      </c>
      <c r="O1791" t="n">
        <v>16</v>
      </c>
      <c r="P1791" t="n">
        <v>966</v>
      </c>
      <c r="Q1791" t="n">
        <v>1002</v>
      </c>
      <c r="R1791" t="n">
        <v>3.804</v>
      </c>
      <c r="S1791" t="n">
        <v>119.527</v>
      </c>
      <c r="T1791" t="n">
        <v>31.419</v>
      </c>
      <c r="U1791" t="n">
        <v>0.7775</v>
      </c>
      <c r="V1791" t="b">
        <v>1</v>
      </c>
      <c r="X1791" t="b">
        <v>0</v>
      </c>
      <c r="Y1791" t="inlineStr">
        <is>
          <t>FLAS</t>
        </is>
      </c>
      <c r="Z1791" t="n">
        <v>935</v>
      </c>
      <c r="AA1791" t="n">
        <v>2.5</v>
      </c>
      <c r="AB1791" t="n">
        <v>9.5</v>
      </c>
    </row>
    <row r="1792">
      <c r="A1792" t="inlineStr">
        <is>
          <t>2026-09-24 17:45:58</t>
        </is>
      </c>
      <c r="B1792" t="inlineStr">
        <is>
          <t>MLLB_000_y1.0.3</t>
        </is>
      </c>
      <c r="C1792" t="inlineStr">
        <is>
          <t>WHITE</t>
        </is>
      </c>
      <c r="D1792" t="inlineStr">
        <is>
          <t>v4_white_MLLB_000_y103_0924</t>
        </is>
      </c>
      <c r="E1792" t="n">
        <v>3</v>
      </c>
      <c r="F1792" t="n">
        <v>3.008</v>
      </c>
      <c r="G1792" t="n">
        <v>15</v>
      </c>
      <c r="H1792" t="n">
        <v>100</v>
      </c>
      <c r="J1792" t="inlineStr">
        <is>
          <t>bitti</t>
        </is>
      </c>
      <c r="K1792" t="b">
        <v>0</v>
      </c>
      <c r="Z1792" t="n">
        <v>935</v>
      </c>
      <c r="AA1792" t="n">
        <v>2.5</v>
      </c>
      <c r="AB1792" t="n">
        <v>9.5</v>
      </c>
    </row>
    <row r="1793">
      <c r="A1793" t="inlineStr">
        <is>
          <t>2026-09-24 17:46:14</t>
        </is>
      </c>
      <c r="B1793" t="inlineStr">
        <is>
          <t>MLLB_000_y1.0.3</t>
        </is>
      </c>
      <c r="C1793" t="inlineStr">
        <is>
          <t>WHITE</t>
        </is>
      </c>
      <c r="D1793" t="inlineStr">
        <is>
          <t>v4_white_MLLB_000_y103_0924</t>
        </is>
      </c>
      <c r="E1793" t="n">
        <v>3</v>
      </c>
      <c r="F1793" t="n">
        <v>3.008</v>
      </c>
      <c r="G1793" t="n">
        <v>15</v>
      </c>
      <c r="H1793" t="n">
        <v>80</v>
      </c>
      <c r="I1793" t="n">
        <v>12</v>
      </c>
      <c r="J1793" t="inlineStr">
        <is>
          <t>kaba</t>
        </is>
      </c>
      <c r="K1793" t="b">
        <v>1</v>
      </c>
      <c r="M1793" t="n">
        <v>144</v>
      </c>
      <c r="N1793" t="n">
        <v>34</v>
      </c>
      <c r="O1793" t="n">
        <v>124</v>
      </c>
      <c r="P1793" t="n">
        <v>858</v>
      </c>
      <c r="Q1793" t="n">
        <v>1002</v>
      </c>
      <c r="R1793" t="n">
        <v>1.128</v>
      </c>
      <c r="S1793" t="n">
        <v>35.302</v>
      </c>
      <c r="T1793" t="n">
        <v>31.283</v>
      </c>
      <c r="U1793" t="n">
        <v>0.7779</v>
      </c>
      <c r="V1793" t="b">
        <v>1</v>
      </c>
      <c r="X1793" t="b">
        <v>0</v>
      </c>
      <c r="Y1793" t="inlineStr">
        <is>
          <t>ON</t>
        </is>
      </c>
      <c r="Z1793" t="n">
        <v>935</v>
      </c>
      <c r="AA1793" t="n">
        <v>2.5</v>
      </c>
      <c r="AB1793" t="n">
        <v>9.5</v>
      </c>
    </row>
    <row r="1794">
      <c r="A1794" t="inlineStr">
        <is>
          <t>2026-09-24 17:46:30</t>
        </is>
      </c>
      <c r="B1794" t="inlineStr">
        <is>
          <t>MLLB_000_y1.0.3</t>
        </is>
      </c>
      <c r="C1794" t="inlineStr">
        <is>
          <t>WHITE</t>
        </is>
      </c>
      <c r="D1794" t="inlineStr">
        <is>
          <t>v4_white_MLLB_000_y103_0924</t>
        </is>
      </c>
      <c r="E1794" t="n">
        <v>3</v>
      </c>
      <c r="F1794" t="n">
        <v>3.008</v>
      </c>
      <c r="G1794" t="n">
        <v>15</v>
      </c>
      <c r="H1794" t="n">
        <v>80</v>
      </c>
      <c r="I1794" t="n">
        <v>16</v>
      </c>
      <c r="J1794" t="inlineStr">
        <is>
          <t>kaba</t>
        </is>
      </c>
      <c r="K1794" t="b">
        <v>1</v>
      </c>
      <c r="M1794" t="n">
        <v>126</v>
      </c>
      <c r="N1794" t="n">
        <v>32</v>
      </c>
      <c r="O1794" t="n">
        <v>106</v>
      </c>
      <c r="P1794" t="n">
        <v>876</v>
      </c>
      <c r="Q1794" t="n">
        <v>1002</v>
      </c>
      <c r="R1794" t="n">
        <v>1.127</v>
      </c>
      <c r="S1794" t="n">
        <v>35.302</v>
      </c>
      <c r="T1794" t="n">
        <v>31.316</v>
      </c>
      <c r="U1794" t="n">
        <v>0.7778</v>
      </c>
      <c r="V1794" t="b">
        <v>1</v>
      </c>
      <c r="X1794" t="b">
        <v>0</v>
      </c>
      <c r="Y1794" t="inlineStr">
        <is>
          <t>ON</t>
        </is>
      </c>
      <c r="Z1794" t="n">
        <v>935</v>
      </c>
      <c r="AA1794" t="n">
        <v>2.5</v>
      </c>
      <c r="AB1794" t="n">
        <v>9.5</v>
      </c>
    </row>
    <row r="1795">
      <c r="A1795" t="inlineStr">
        <is>
          <t>2026-09-24 17:46:46</t>
        </is>
      </c>
      <c r="B1795" t="inlineStr">
        <is>
          <t>MLLB_000_y1.0.3</t>
        </is>
      </c>
      <c r="C1795" t="inlineStr">
        <is>
          <t>WHITE</t>
        </is>
      </c>
      <c r="D1795" t="inlineStr">
        <is>
          <t>v4_white_MLLB_000_y103_0924</t>
        </is>
      </c>
      <c r="E1795" t="n">
        <v>3</v>
      </c>
      <c r="F1795" t="n">
        <v>3.008</v>
      </c>
      <c r="G1795" t="n">
        <v>15</v>
      </c>
      <c r="H1795" t="n">
        <v>80</v>
      </c>
      <c r="I1795" t="n">
        <v>20</v>
      </c>
      <c r="J1795" t="inlineStr">
        <is>
          <t>kaba</t>
        </is>
      </c>
      <c r="K1795" t="b">
        <v>1</v>
      </c>
      <c r="M1795" t="n">
        <v>106</v>
      </c>
      <c r="N1795" t="n">
        <v>32</v>
      </c>
      <c r="O1795" t="n">
        <v>86</v>
      </c>
      <c r="P1795" t="n">
        <v>896</v>
      </c>
      <c r="Q1795" t="n">
        <v>1002</v>
      </c>
      <c r="R1795" t="n">
        <v>1.119</v>
      </c>
      <c r="S1795" t="n">
        <v>35.092</v>
      </c>
      <c r="T1795" t="n">
        <v>31.364</v>
      </c>
      <c r="U1795" t="n">
        <v>0.7779</v>
      </c>
      <c r="V1795" t="b">
        <v>1</v>
      </c>
      <c r="X1795" t="b">
        <v>0</v>
      </c>
      <c r="Y1795" t="inlineStr">
        <is>
          <t>ON</t>
        </is>
      </c>
      <c r="Z1795" t="n">
        <v>935</v>
      </c>
      <c r="AA1795" t="n">
        <v>2.5</v>
      </c>
      <c r="AB1795" t="n">
        <v>9.5</v>
      </c>
    </row>
    <row r="1796">
      <c r="A1796" t="inlineStr">
        <is>
          <t>2026-09-24 17:47:02</t>
        </is>
      </c>
      <c r="B1796" t="inlineStr">
        <is>
          <t>MLLB_000_y1.0.3</t>
        </is>
      </c>
      <c r="C1796" t="inlineStr">
        <is>
          <t>WHITE</t>
        </is>
      </c>
      <c r="D1796" t="inlineStr">
        <is>
          <t>v4_white_MLLB_000_y103_0924</t>
        </is>
      </c>
      <c r="E1796" t="n">
        <v>3</v>
      </c>
      <c r="F1796" t="n">
        <v>3.008</v>
      </c>
      <c r="G1796" t="n">
        <v>15</v>
      </c>
      <c r="H1796" t="n">
        <v>80</v>
      </c>
      <c r="I1796" t="n">
        <v>24</v>
      </c>
      <c r="J1796" t="inlineStr">
        <is>
          <t>kaba</t>
        </is>
      </c>
      <c r="K1796" t="b">
        <v>1</v>
      </c>
      <c r="M1796" t="n">
        <v>86</v>
      </c>
      <c r="N1796" t="n">
        <v>32</v>
      </c>
      <c r="O1796" t="n">
        <v>66</v>
      </c>
      <c r="P1796" t="n">
        <v>916</v>
      </c>
      <c r="Q1796" t="n">
        <v>1002</v>
      </c>
      <c r="R1796" t="n">
        <v>1.124</v>
      </c>
      <c r="S1796" t="n">
        <v>35.272</v>
      </c>
      <c r="T1796" t="n">
        <v>31.392</v>
      </c>
      <c r="U1796" t="n">
        <v>0.777</v>
      </c>
      <c r="V1796" t="b">
        <v>1</v>
      </c>
      <c r="X1796" t="b">
        <v>0</v>
      </c>
      <c r="Y1796" t="inlineStr">
        <is>
          <t>ON</t>
        </is>
      </c>
      <c r="Z1796" t="n">
        <v>935</v>
      </c>
      <c r="AA1796" t="n">
        <v>2.5</v>
      </c>
      <c r="AB1796" t="n">
        <v>9.5</v>
      </c>
    </row>
    <row r="1797">
      <c r="A1797" t="inlineStr">
        <is>
          <t>2026-09-24 17:47:18</t>
        </is>
      </c>
      <c r="B1797" t="inlineStr">
        <is>
          <t>MLLB_000_y1.0.3</t>
        </is>
      </c>
      <c r="C1797" t="inlineStr">
        <is>
          <t>WHITE</t>
        </is>
      </c>
      <c r="D1797" t="inlineStr">
        <is>
          <t>v4_white_MLLB_000_y103_0924</t>
        </is>
      </c>
      <c r="E1797" t="n">
        <v>3</v>
      </c>
      <c r="F1797" t="n">
        <v>3.008</v>
      </c>
      <c r="G1797" t="n">
        <v>15</v>
      </c>
      <c r="H1797" t="n">
        <v>80</v>
      </c>
      <c r="I1797" t="n">
        <v>28</v>
      </c>
      <c r="J1797" t="inlineStr">
        <is>
          <t>kaba</t>
        </is>
      </c>
      <c r="K1797" t="b">
        <v>1</v>
      </c>
      <c r="M1797" t="n">
        <v>68</v>
      </c>
      <c r="N1797" t="n">
        <v>38</v>
      </c>
      <c r="O1797" t="n">
        <v>46</v>
      </c>
      <c r="P1797" t="n">
        <v>934</v>
      </c>
      <c r="Q1797" t="n">
        <v>1002</v>
      </c>
      <c r="R1797" t="n">
        <v>1.128</v>
      </c>
      <c r="S1797" t="n">
        <v>35.429</v>
      </c>
      <c r="T1797" t="n">
        <v>31.419</v>
      </c>
      <c r="U1797" t="n">
        <v>0.778</v>
      </c>
      <c r="V1797" t="b">
        <v>1</v>
      </c>
      <c r="X1797" t="b">
        <v>0</v>
      </c>
      <c r="Y1797" t="inlineStr">
        <is>
          <t>ON</t>
        </is>
      </c>
      <c r="Z1797" t="n">
        <v>935</v>
      </c>
      <c r="AA1797" t="n">
        <v>2.5</v>
      </c>
      <c r="AB1797" t="n">
        <v>9.5</v>
      </c>
    </row>
    <row r="1798">
      <c r="A1798" t="inlineStr">
        <is>
          <t>2026-09-24 17:47:34</t>
        </is>
      </c>
      <c r="B1798" t="inlineStr">
        <is>
          <t>MLLB_000_y1.0.3</t>
        </is>
      </c>
      <c r="C1798" t="inlineStr">
        <is>
          <t>WHITE</t>
        </is>
      </c>
      <c r="D1798" t="inlineStr">
        <is>
          <t>v4_white_MLLB_000_y103_0924</t>
        </is>
      </c>
      <c r="E1798" t="n">
        <v>3</v>
      </c>
      <c r="F1798" t="n">
        <v>3.008</v>
      </c>
      <c r="G1798" t="n">
        <v>15</v>
      </c>
      <c r="H1798" t="n">
        <v>80</v>
      </c>
      <c r="I1798" t="n">
        <v>32</v>
      </c>
      <c r="J1798" t="inlineStr">
        <is>
          <t>kaba</t>
        </is>
      </c>
      <c r="K1798" t="b">
        <v>1</v>
      </c>
      <c r="M1798" t="n">
        <v>48</v>
      </c>
      <c r="N1798" t="n">
        <v>38</v>
      </c>
      <c r="O1798" t="n">
        <v>26</v>
      </c>
      <c r="P1798" t="n">
        <v>954</v>
      </c>
      <c r="Q1798" t="n">
        <v>1002</v>
      </c>
      <c r="R1798" t="n">
        <v>1.116</v>
      </c>
      <c r="S1798" t="n">
        <v>35.048</v>
      </c>
      <c r="T1798" t="n">
        <v>31.407</v>
      </c>
      <c r="U1798" t="n">
        <v>0.7782</v>
      </c>
      <c r="V1798" t="b">
        <v>1</v>
      </c>
      <c r="X1798" t="b">
        <v>1</v>
      </c>
      <c r="Z1798" t="n">
        <v>935</v>
      </c>
      <c r="AA1798" t="n">
        <v>2.5</v>
      </c>
      <c r="AB1798" t="n">
        <v>9.5</v>
      </c>
    </row>
    <row r="1799">
      <c r="A1799" t="inlineStr">
        <is>
          <t>2026-09-24 17:47:50</t>
        </is>
      </c>
      <c r="B1799" t="inlineStr">
        <is>
          <t>MLLB_000_y1.0.3</t>
        </is>
      </c>
      <c r="C1799" t="inlineStr">
        <is>
          <t>WHITE</t>
        </is>
      </c>
      <c r="D1799" t="inlineStr">
        <is>
          <t>v4_white_MLLB_000_y103_0924</t>
        </is>
      </c>
      <c r="E1799" t="n">
        <v>3</v>
      </c>
      <c r="F1799" t="n">
        <v>3.008</v>
      </c>
      <c r="G1799" t="n">
        <v>15</v>
      </c>
      <c r="H1799" t="n">
        <v>80</v>
      </c>
      <c r="I1799" t="n">
        <v>36</v>
      </c>
      <c r="J1799" t="inlineStr">
        <is>
          <t>kaba</t>
        </is>
      </c>
      <c r="K1799" t="b">
        <v>1</v>
      </c>
      <c r="M1799" t="n">
        <v>42</v>
      </c>
      <c r="N1799" t="n">
        <v>28</v>
      </c>
      <c r="O1799" t="n">
        <v>22</v>
      </c>
      <c r="P1799" t="n">
        <v>960</v>
      </c>
      <c r="Q1799" t="n">
        <v>1002</v>
      </c>
      <c r="R1799" t="n">
        <v>1.604</v>
      </c>
      <c r="S1799" t="n">
        <v>50.417</v>
      </c>
      <c r="T1799" t="n">
        <v>31.425</v>
      </c>
      <c r="U1799" t="n">
        <v>0.7782</v>
      </c>
      <c r="V1799" t="b">
        <v>1</v>
      </c>
      <c r="X1799" t="b">
        <v>1</v>
      </c>
      <c r="Z1799" t="n">
        <v>935</v>
      </c>
      <c r="AA1799" t="n">
        <v>2.5</v>
      </c>
      <c r="AB1799" t="n">
        <v>9.5</v>
      </c>
    </row>
    <row r="1800">
      <c r="A1800" t="inlineStr">
        <is>
          <t>2026-09-24 17:48:06</t>
        </is>
      </c>
      <c r="B1800" t="inlineStr">
        <is>
          <t>MLLB_000_y1.0.3</t>
        </is>
      </c>
      <c r="C1800" t="inlineStr">
        <is>
          <t>WHITE</t>
        </is>
      </c>
      <c r="D1800" t="inlineStr">
        <is>
          <t>v4_white_MLLB_000_y103_0924</t>
        </is>
      </c>
      <c r="E1800" t="n">
        <v>3</v>
      </c>
      <c r="F1800" t="n">
        <v>3.008</v>
      </c>
      <c r="G1800" t="n">
        <v>15</v>
      </c>
      <c r="H1800" t="n">
        <v>80</v>
      </c>
      <c r="I1800" t="n">
        <v>40</v>
      </c>
      <c r="J1800" t="inlineStr">
        <is>
          <t>kaba</t>
        </is>
      </c>
      <c r="K1800" t="b">
        <v>1</v>
      </c>
      <c r="M1800" t="n">
        <v>42</v>
      </c>
      <c r="N1800" t="n">
        <v>28</v>
      </c>
      <c r="O1800" t="n">
        <v>22</v>
      </c>
      <c r="P1800" t="n">
        <v>960</v>
      </c>
      <c r="Q1800" t="n">
        <v>1002</v>
      </c>
      <c r="R1800" t="n">
        <v>4.914</v>
      </c>
      <c r="S1800" t="n">
        <v>154.356</v>
      </c>
      <c r="T1800" t="n">
        <v>31.411</v>
      </c>
      <c r="U1800" t="n">
        <v>0.7786</v>
      </c>
      <c r="V1800" t="b">
        <v>1</v>
      </c>
      <c r="X1800" t="b">
        <v>0</v>
      </c>
      <c r="Y1800" t="inlineStr">
        <is>
          <t>FLAS</t>
        </is>
      </c>
      <c r="Z1800" t="n">
        <v>935</v>
      </c>
      <c r="AA1800" t="n">
        <v>2.5</v>
      </c>
      <c r="AB1800" t="n">
        <v>9.5</v>
      </c>
    </row>
    <row r="1801">
      <c r="A1801" t="inlineStr">
        <is>
          <t>2026-09-24 17:48:22</t>
        </is>
      </c>
      <c r="B1801" t="inlineStr">
        <is>
          <t>MLLB_000_y1.0.3</t>
        </is>
      </c>
      <c r="C1801" t="inlineStr">
        <is>
          <t>WHITE</t>
        </is>
      </c>
      <c r="D1801" t="inlineStr">
        <is>
          <t>v4_white_MLLB_000_y103_0924</t>
        </is>
      </c>
      <c r="E1801" t="n">
        <v>3</v>
      </c>
      <c r="F1801" t="n">
        <v>3.008</v>
      </c>
      <c r="G1801" t="n">
        <v>15</v>
      </c>
      <c r="H1801" t="n">
        <v>80</v>
      </c>
      <c r="I1801" t="n">
        <v>44</v>
      </c>
      <c r="J1801" t="inlineStr">
        <is>
          <t>kaba</t>
        </is>
      </c>
      <c r="K1801" t="b">
        <v>1</v>
      </c>
      <c r="M1801" t="n">
        <v>42</v>
      </c>
      <c r="N1801" t="n">
        <v>28</v>
      </c>
      <c r="O1801" t="n">
        <v>22</v>
      </c>
      <c r="P1801" t="n">
        <v>960</v>
      </c>
      <c r="Q1801" t="n">
        <v>1002</v>
      </c>
      <c r="R1801" t="n">
        <v>5.471</v>
      </c>
      <c r="S1801" t="n">
        <v>171.847</v>
      </c>
      <c r="T1801" t="n">
        <v>31.411</v>
      </c>
      <c r="U1801" t="n">
        <v>0.778</v>
      </c>
      <c r="V1801" t="b">
        <v>1</v>
      </c>
      <c r="X1801" t="b">
        <v>0</v>
      </c>
      <c r="Y1801" t="inlineStr">
        <is>
          <t>FLAS</t>
        </is>
      </c>
      <c r="Z1801" t="n">
        <v>935</v>
      </c>
      <c r="AA1801" t="n">
        <v>2.5</v>
      </c>
      <c r="AB1801" t="n">
        <v>9.5</v>
      </c>
    </row>
    <row r="1802">
      <c r="A1802" t="inlineStr">
        <is>
          <t>2026-09-24 17:48:38</t>
        </is>
      </c>
      <c r="B1802" t="inlineStr">
        <is>
          <t>MLLB_000_y1.0.3</t>
        </is>
      </c>
      <c r="C1802" t="inlineStr">
        <is>
          <t>WHITE</t>
        </is>
      </c>
      <c r="D1802" t="inlineStr">
        <is>
          <t>v4_white_MLLB_000_y103_0924</t>
        </is>
      </c>
      <c r="E1802" t="n">
        <v>3</v>
      </c>
      <c r="F1802" t="n">
        <v>3.008</v>
      </c>
      <c r="G1802" t="n">
        <v>15</v>
      </c>
      <c r="H1802" t="n">
        <v>80</v>
      </c>
      <c r="I1802" t="n">
        <v>29</v>
      </c>
      <c r="J1802" t="inlineStr">
        <is>
          <t>ince</t>
        </is>
      </c>
      <c r="K1802" t="b">
        <v>1</v>
      </c>
      <c r="M1802" t="n">
        <v>62</v>
      </c>
      <c r="N1802" t="n">
        <v>32</v>
      </c>
      <c r="O1802" t="n">
        <v>42</v>
      </c>
      <c r="P1802" t="n">
        <v>940</v>
      </c>
      <c r="Q1802" t="n">
        <v>1002</v>
      </c>
      <c r="R1802" t="n">
        <v>1.124</v>
      </c>
      <c r="S1802" t="n">
        <v>35.302</v>
      </c>
      <c r="T1802" t="n">
        <v>31.418</v>
      </c>
      <c r="U1802" t="n">
        <v>0.7786</v>
      </c>
      <c r="V1802" t="b">
        <v>1</v>
      </c>
      <c r="X1802" t="b">
        <v>1</v>
      </c>
      <c r="Z1802" t="n">
        <v>935</v>
      </c>
      <c r="AA1802" t="n">
        <v>2.5</v>
      </c>
      <c r="AB1802" t="n">
        <v>9.5</v>
      </c>
    </row>
    <row r="1803">
      <c r="A1803" t="inlineStr">
        <is>
          <t>2026-09-24 17:48:54</t>
        </is>
      </c>
      <c r="B1803" t="inlineStr">
        <is>
          <t>MLLB_000_y1.0.3</t>
        </is>
      </c>
      <c r="C1803" t="inlineStr">
        <is>
          <t>WHITE</t>
        </is>
      </c>
      <c r="D1803" t="inlineStr">
        <is>
          <t>v4_white_MLLB_000_y103_0924</t>
        </is>
      </c>
      <c r="E1803" t="n">
        <v>3</v>
      </c>
      <c r="F1803" t="n">
        <v>3.008</v>
      </c>
      <c r="G1803" t="n">
        <v>15</v>
      </c>
      <c r="H1803" t="n">
        <v>80</v>
      </c>
      <c r="I1803" t="n">
        <v>30</v>
      </c>
      <c r="J1803" t="inlineStr">
        <is>
          <t>ince</t>
        </is>
      </c>
      <c r="K1803" t="b">
        <v>1</v>
      </c>
      <c r="M1803" t="n">
        <v>58</v>
      </c>
      <c r="N1803" t="n">
        <v>34</v>
      </c>
      <c r="O1803" t="n">
        <v>36</v>
      </c>
      <c r="P1803" t="n">
        <v>944</v>
      </c>
      <c r="Q1803" t="n">
        <v>1002</v>
      </c>
      <c r="R1803" t="n">
        <v>1.122</v>
      </c>
      <c r="S1803" t="n">
        <v>35.25</v>
      </c>
      <c r="T1803" t="n">
        <v>31.424</v>
      </c>
      <c r="U1803" t="n">
        <v>0.778</v>
      </c>
      <c r="V1803" t="b">
        <v>1</v>
      </c>
      <c r="X1803" t="b">
        <v>1</v>
      </c>
      <c r="Z1803" t="n">
        <v>935</v>
      </c>
      <c r="AA1803" t="n">
        <v>2.5</v>
      </c>
      <c r="AB1803" t="n">
        <v>9.5</v>
      </c>
    </row>
    <row r="1804">
      <c r="A1804" t="inlineStr">
        <is>
          <t>2026-09-24 17:49:10</t>
        </is>
      </c>
      <c r="B1804" t="inlineStr">
        <is>
          <t>MLLB_000_y1.0.3</t>
        </is>
      </c>
      <c r="C1804" t="inlineStr">
        <is>
          <t>WHITE</t>
        </is>
      </c>
      <c r="D1804" t="inlineStr">
        <is>
          <t>v4_white_MLLB_000_y103_0924</t>
        </is>
      </c>
      <c r="E1804" t="n">
        <v>3</v>
      </c>
      <c r="F1804" t="n">
        <v>3.008</v>
      </c>
      <c r="G1804" t="n">
        <v>15</v>
      </c>
      <c r="H1804" t="n">
        <v>80</v>
      </c>
      <c r="I1804" t="n">
        <v>31</v>
      </c>
      <c r="J1804" t="inlineStr">
        <is>
          <t>ince</t>
        </is>
      </c>
      <c r="K1804" t="b">
        <v>1</v>
      </c>
      <c r="M1804" t="n">
        <v>52</v>
      </c>
      <c r="N1804" t="n">
        <v>36</v>
      </c>
      <c r="O1804" t="n">
        <v>30</v>
      </c>
      <c r="P1804" t="n">
        <v>950</v>
      </c>
      <c r="Q1804" t="n">
        <v>1002</v>
      </c>
      <c r="R1804" t="n">
        <v>1.123</v>
      </c>
      <c r="S1804" t="n">
        <v>35.302</v>
      </c>
      <c r="T1804" t="n">
        <v>31.423</v>
      </c>
      <c r="U1804" t="n">
        <v>0.7781</v>
      </c>
      <c r="V1804" t="b">
        <v>1</v>
      </c>
      <c r="X1804" t="b">
        <v>1</v>
      </c>
      <c r="Z1804" t="n">
        <v>935</v>
      </c>
      <c r="AA1804" t="n">
        <v>2.5</v>
      </c>
      <c r="AB1804" t="n">
        <v>9.5</v>
      </c>
    </row>
    <row r="1805">
      <c r="A1805" t="inlineStr">
        <is>
          <t>2026-09-24 17:49:10</t>
        </is>
      </c>
      <c r="B1805" t="inlineStr">
        <is>
          <t>MLLB_000_y1.0.3</t>
        </is>
      </c>
      <c r="C1805" t="inlineStr">
        <is>
          <t>WHITE</t>
        </is>
      </c>
      <c r="D1805" t="inlineStr">
        <is>
          <t>v4_white_MLLB_000_y103_0924</t>
        </is>
      </c>
      <c r="E1805" t="n">
        <v>3</v>
      </c>
      <c r="F1805" t="n">
        <v>3.008</v>
      </c>
      <c r="G1805" t="n">
        <v>15</v>
      </c>
      <c r="H1805" t="n">
        <v>80</v>
      </c>
      <c r="I1805" t="n">
        <v>33</v>
      </c>
      <c r="J1805" t="inlineStr">
        <is>
          <t>ince</t>
        </is>
      </c>
      <c r="K1805" t="b">
        <v>0</v>
      </c>
      <c r="L1805" t="inlineStr">
        <is>
          <t>iki-OK-arasi-monotonluk</t>
        </is>
      </c>
      <c r="X1805" t="b">
        <v>1</v>
      </c>
      <c r="Z1805" t="n">
        <v>935</v>
      </c>
      <c r="AA1805" t="n">
        <v>2.5</v>
      </c>
      <c r="AB1805" t="n">
        <v>9.5</v>
      </c>
    </row>
    <row r="1806">
      <c r="A1806" t="inlineStr">
        <is>
          <t>2026-09-24 17:49:10</t>
        </is>
      </c>
      <c r="B1806" t="inlineStr">
        <is>
          <t>MLLB_000_y1.0.3</t>
        </is>
      </c>
      <c r="C1806" t="inlineStr">
        <is>
          <t>WHITE</t>
        </is>
      </c>
      <c r="D1806" t="inlineStr">
        <is>
          <t>v4_white_MLLB_000_y103_0924</t>
        </is>
      </c>
      <c r="E1806" t="n">
        <v>3</v>
      </c>
      <c r="F1806" t="n">
        <v>3.008</v>
      </c>
      <c r="G1806" t="n">
        <v>15</v>
      </c>
      <c r="H1806" t="n">
        <v>80</v>
      </c>
      <c r="I1806" t="n">
        <v>34</v>
      </c>
      <c r="J1806" t="inlineStr">
        <is>
          <t>ince</t>
        </is>
      </c>
      <c r="K1806" t="b">
        <v>0</v>
      </c>
      <c r="L1806" t="inlineStr">
        <is>
          <t>iki-OK-arasi-monotonluk</t>
        </is>
      </c>
      <c r="X1806" t="b">
        <v>1</v>
      </c>
      <c r="Z1806" t="n">
        <v>935</v>
      </c>
      <c r="AA1806" t="n">
        <v>2.5</v>
      </c>
      <c r="AB1806" t="n">
        <v>9.5</v>
      </c>
    </row>
    <row r="1807">
      <c r="A1807" t="inlineStr">
        <is>
          <t>2026-09-24 17:49:10</t>
        </is>
      </c>
      <c r="B1807" t="inlineStr">
        <is>
          <t>MLLB_000_y1.0.3</t>
        </is>
      </c>
      <c r="C1807" t="inlineStr">
        <is>
          <t>WHITE</t>
        </is>
      </c>
      <c r="D1807" t="inlineStr">
        <is>
          <t>v4_white_MLLB_000_y103_0924</t>
        </is>
      </c>
      <c r="E1807" t="n">
        <v>3</v>
      </c>
      <c r="F1807" t="n">
        <v>3.008</v>
      </c>
      <c r="G1807" t="n">
        <v>15</v>
      </c>
      <c r="H1807" t="n">
        <v>80</v>
      </c>
      <c r="I1807" t="n">
        <v>35</v>
      </c>
      <c r="J1807" t="inlineStr">
        <is>
          <t>ince</t>
        </is>
      </c>
      <c r="K1807" t="b">
        <v>0</v>
      </c>
      <c r="L1807" t="inlineStr">
        <is>
          <t>iki-OK-arasi-monotonluk</t>
        </is>
      </c>
      <c r="X1807" t="b">
        <v>1</v>
      </c>
      <c r="Z1807" t="n">
        <v>935</v>
      </c>
      <c r="AA1807" t="n">
        <v>2.5</v>
      </c>
      <c r="AB1807" t="n">
        <v>9.5</v>
      </c>
    </row>
    <row r="1808">
      <c r="A1808" t="inlineStr">
        <is>
          <t>2026-09-24 17:49:26</t>
        </is>
      </c>
      <c r="B1808" t="inlineStr">
        <is>
          <t>MLLB_000_y1.0.3</t>
        </is>
      </c>
      <c r="C1808" t="inlineStr">
        <is>
          <t>WHITE</t>
        </is>
      </c>
      <c r="D1808" t="inlineStr">
        <is>
          <t>v4_white_MLLB_000_y103_0924</t>
        </is>
      </c>
      <c r="E1808" t="n">
        <v>3</v>
      </c>
      <c r="F1808" t="n">
        <v>3.008</v>
      </c>
      <c r="G1808" t="n">
        <v>15</v>
      </c>
      <c r="H1808" t="n">
        <v>80</v>
      </c>
      <c r="I1808" t="n">
        <v>37</v>
      </c>
      <c r="J1808" t="inlineStr">
        <is>
          <t>ince</t>
        </is>
      </c>
      <c r="K1808" t="b">
        <v>1</v>
      </c>
      <c r="M1808" t="n">
        <v>42</v>
      </c>
      <c r="N1808" t="n">
        <v>28</v>
      </c>
      <c r="O1808" t="n">
        <v>22</v>
      </c>
      <c r="P1808" t="n">
        <v>960</v>
      </c>
      <c r="Q1808" t="n">
        <v>1002</v>
      </c>
      <c r="R1808" t="n">
        <v>3.396</v>
      </c>
      <c r="S1808" t="n">
        <v>106.707</v>
      </c>
      <c r="T1808" t="n">
        <v>31.419</v>
      </c>
      <c r="U1808" t="n">
        <v>0.778</v>
      </c>
      <c r="V1808" t="b">
        <v>1</v>
      </c>
      <c r="X1808" t="b">
        <v>0</v>
      </c>
      <c r="Y1808" t="inlineStr">
        <is>
          <t>FLAS</t>
        </is>
      </c>
      <c r="Z1808" t="n">
        <v>935</v>
      </c>
      <c r="AA1808" t="n">
        <v>2.5</v>
      </c>
      <c r="AB1808" t="n">
        <v>9.5</v>
      </c>
    </row>
    <row r="1809">
      <c r="A1809" t="inlineStr">
        <is>
          <t>2026-09-24 17:49:42</t>
        </is>
      </c>
      <c r="B1809" t="inlineStr">
        <is>
          <t>MLLB_000_y1.0.3</t>
        </is>
      </c>
      <c r="C1809" t="inlineStr">
        <is>
          <t>WHITE</t>
        </is>
      </c>
      <c r="D1809" t="inlineStr">
        <is>
          <t>v4_white_MLLB_000_y103_0924</t>
        </is>
      </c>
      <c r="E1809" t="n">
        <v>3</v>
      </c>
      <c r="F1809" t="n">
        <v>3.008</v>
      </c>
      <c r="G1809" t="n">
        <v>15</v>
      </c>
      <c r="H1809" t="n">
        <v>80</v>
      </c>
      <c r="I1809" t="n">
        <v>38</v>
      </c>
      <c r="J1809" t="inlineStr">
        <is>
          <t>ince</t>
        </is>
      </c>
      <c r="K1809" t="b">
        <v>1</v>
      </c>
      <c r="M1809" t="n">
        <v>42</v>
      </c>
      <c r="N1809" t="n">
        <v>28</v>
      </c>
      <c r="O1809" t="n">
        <v>22</v>
      </c>
      <c r="P1809" t="n">
        <v>960</v>
      </c>
      <c r="Q1809" t="n">
        <v>1002</v>
      </c>
      <c r="R1809" t="n">
        <v>3.927</v>
      </c>
      <c r="S1809" t="n">
        <v>123.303</v>
      </c>
      <c r="T1809" t="n">
        <v>31.402</v>
      </c>
      <c r="U1809" t="n">
        <v>0.7784</v>
      </c>
      <c r="V1809" t="b">
        <v>1</v>
      </c>
      <c r="X1809" t="b">
        <v>0</v>
      </c>
      <c r="Y1809" t="inlineStr">
        <is>
          <t>FLAS</t>
        </is>
      </c>
      <c r="Z1809" t="n">
        <v>935</v>
      </c>
      <c r="AA1809" t="n">
        <v>2.5</v>
      </c>
      <c r="AB1809" t="n">
        <v>9.5</v>
      </c>
    </row>
    <row r="1810">
      <c r="A1810" t="inlineStr">
        <is>
          <t>2026-09-24 17:49:58</t>
        </is>
      </c>
      <c r="B1810" t="inlineStr">
        <is>
          <t>MLLB_000_y1.0.3</t>
        </is>
      </c>
      <c r="C1810" t="inlineStr">
        <is>
          <t>WHITE</t>
        </is>
      </c>
      <c r="D1810" t="inlineStr">
        <is>
          <t>v4_white_MLLB_000_y103_0924</t>
        </is>
      </c>
      <c r="E1810" t="n">
        <v>3</v>
      </c>
      <c r="F1810" t="n">
        <v>3.008</v>
      </c>
      <c r="G1810" t="n">
        <v>15</v>
      </c>
      <c r="H1810" t="n">
        <v>80</v>
      </c>
      <c r="I1810" t="n">
        <v>39</v>
      </c>
      <c r="J1810" t="inlineStr">
        <is>
          <t>ince</t>
        </is>
      </c>
      <c r="K1810" t="b">
        <v>1</v>
      </c>
      <c r="M1810" t="n">
        <v>42</v>
      </c>
      <c r="N1810" t="n">
        <v>28</v>
      </c>
      <c r="O1810" t="n">
        <v>22</v>
      </c>
      <c r="P1810" t="n">
        <v>960</v>
      </c>
      <c r="Q1810" t="n">
        <v>1002</v>
      </c>
      <c r="R1810" t="n">
        <v>4.479</v>
      </c>
      <c r="S1810" t="n">
        <v>140.703</v>
      </c>
      <c r="T1810" t="n">
        <v>31.415</v>
      </c>
      <c r="U1810" t="n">
        <v>0.7774</v>
      </c>
      <c r="V1810" t="b">
        <v>1</v>
      </c>
      <c r="X1810" t="b">
        <v>0</v>
      </c>
      <c r="Y1810" t="inlineStr">
        <is>
          <t>FLAS</t>
        </is>
      </c>
      <c r="Z1810" t="n">
        <v>935</v>
      </c>
      <c r="AA1810" t="n">
        <v>2.5</v>
      </c>
      <c r="AB1810" t="n">
        <v>9.5</v>
      </c>
    </row>
    <row r="1811">
      <c r="A1811" t="inlineStr">
        <is>
          <t>2026-09-24 17:49:58</t>
        </is>
      </c>
      <c r="B1811" t="inlineStr">
        <is>
          <t>MLLB_000_y1.0.3</t>
        </is>
      </c>
      <c r="C1811" t="inlineStr">
        <is>
          <t>WHITE</t>
        </is>
      </c>
      <c r="D1811" t="inlineStr">
        <is>
          <t>v4_white_MLLB_000_y103_0924</t>
        </is>
      </c>
      <c r="E1811" t="n">
        <v>3</v>
      </c>
      <c r="F1811" t="n">
        <v>3.008</v>
      </c>
      <c r="G1811" t="n">
        <v>15</v>
      </c>
      <c r="H1811" t="n">
        <v>80</v>
      </c>
      <c r="J1811" t="inlineStr">
        <is>
          <t>bitti</t>
        </is>
      </c>
      <c r="K1811" t="b">
        <v>0</v>
      </c>
      <c r="Z1811" t="n">
        <v>935</v>
      </c>
      <c r="AA1811" t="n">
        <v>2.5</v>
      </c>
      <c r="AB1811" t="n">
        <v>9.5</v>
      </c>
    </row>
    <row r="1812">
      <c r="A1812" t="inlineStr">
        <is>
          <t>2026-09-24 17:50:14</t>
        </is>
      </c>
      <c r="B1812" t="inlineStr">
        <is>
          <t>MLLB_000_y1.0.3</t>
        </is>
      </c>
      <c r="C1812" t="inlineStr">
        <is>
          <t>WHITE</t>
        </is>
      </c>
      <c r="D1812" t="inlineStr">
        <is>
          <t>v4_white_MLLB_000_y103_0924</t>
        </is>
      </c>
      <c r="E1812" t="n">
        <v>3</v>
      </c>
      <c r="F1812" t="n">
        <v>3.008</v>
      </c>
      <c r="G1812" t="n">
        <v>15</v>
      </c>
      <c r="H1812" t="n">
        <v>60</v>
      </c>
      <c r="I1812" t="n">
        <v>12</v>
      </c>
      <c r="J1812" t="inlineStr">
        <is>
          <t>kaba</t>
        </is>
      </c>
      <c r="K1812" t="b">
        <v>1</v>
      </c>
      <c r="M1812" t="n">
        <v>160</v>
      </c>
      <c r="N1812" t="n">
        <v>38</v>
      </c>
      <c r="O1812" t="n">
        <v>138</v>
      </c>
      <c r="P1812" t="n">
        <v>842</v>
      </c>
      <c r="Q1812" t="n">
        <v>1002</v>
      </c>
      <c r="R1812" t="n">
        <v>1.119</v>
      </c>
      <c r="S1812" t="n">
        <v>34.993</v>
      </c>
      <c r="T1812" t="n">
        <v>31.267</v>
      </c>
      <c r="U1812" t="n">
        <v>0.7775</v>
      </c>
      <c r="V1812" t="b">
        <v>1</v>
      </c>
      <c r="X1812" t="b">
        <v>0</v>
      </c>
      <c r="Y1812" t="inlineStr">
        <is>
          <t>ON</t>
        </is>
      </c>
      <c r="Z1812" t="n">
        <v>935</v>
      </c>
      <c r="AA1812" t="n">
        <v>2.5</v>
      </c>
      <c r="AB1812" t="n">
        <v>9.5</v>
      </c>
    </row>
    <row r="1813">
      <c r="A1813" t="inlineStr">
        <is>
          <t>2026-09-24 17:50:26</t>
        </is>
      </c>
      <c r="B1813" t="inlineStr">
        <is>
          <t>MLLB_000_y1.0.3</t>
        </is>
      </c>
      <c r="C1813" t="inlineStr">
        <is>
          <t>WHITE</t>
        </is>
      </c>
      <c r="D1813" t="inlineStr">
        <is>
          <t>v4_white_MLLB_000_y103_0924</t>
        </is>
      </c>
      <c r="E1813" t="n">
        <v>3</v>
      </c>
      <c r="F1813" t="n">
        <v>3.008</v>
      </c>
      <c r="G1813" t="n">
        <v>15</v>
      </c>
      <c r="H1813" t="n">
        <v>60</v>
      </c>
      <c r="I1813" t="n">
        <v>16</v>
      </c>
      <c r="J1813" t="inlineStr">
        <is>
          <t>kaba</t>
        </is>
      </c>
      <c r="K1813" t="b">
        <v>1</v>
      </c>
      <c r="M1813" t="n">
        <v>146</v>
      </c>
      <c r="N1813" t="n">
        <v>32</v>
      </c>
      <c r="O1813" t="n">
        <v>126</v>
      </c>
      <c r="P1813" t="n">
        <v>856</v>
      </c>
      <c r="Q1813" t="n">
        <v>1002</v>
      </c>
      <c r="R1813" t="n">
        <v>1.138</v>
      </c>
      <c r="S1813" t="n">
        <v>35.585</v>
      </c>
      <c r="T1813" t="n">
        <v>31.263</v>
      </c>
      <c r="U1813" t="n">
        <v>0.7776</v>
      </c>
      <c r="V1813" t="b">
        <v>1</v>
      </c>
      <c r="X1813" t="b">
        <v>0</v>
      </c>
      <c r="Y1813" t="inlineStr">
        <is>
          <t>ON</t>
        </is>
      </c>
      <c r="Z1813" t="n">
        <v>935</v>
      </c>
      <c r="AA1813" t="n">
        <v>2.5</v>
      </c>
      <c r="AB1813" t="n">
        <v>9.5</v>
      </c>
    </row>
    <row r="1814">
      <c r="A1814" t="inlineStr">
        <is>
          <t>2026-09-24 17:50:42</t>
        </is>
      </c>
      <c r="B1814" t="inlineStr">
        <is>
          <t>MLLB_000_y1.0.3</t>
        </is>
      </c>
      <c r="C1814" t="inlineStr">
        <is>
          <t>WHITE</t>
        </is>
      </c>
      <c r="D1814" t="inlineStr">
        <is>
          <t>v4_white_MLLB_000_y103_0924</t>
        </is>
      </c>
      <c r="E1814" t="n">
        <v>3</v>
      </c>
      <c r="F1814" t="n">
        <v>3.008</v>
      </c>
      <c r="G1814" t="n">
        <v>15</v>
      </c>
      <c r="H1814" t="n">
        <v>60</v>
      </c>
      <c r="I1814" t="n">
        <v>20</v>
      </c>
      <c r="J1814" t="inlineStr">
        <is>
          <t>kaba</t>
        </is>
      </c>
      <c r="K1814" t="b">
        <v>1</v>
      </c>
      <c r="M1814" t="n">
        <v>132</v>
      </c>
      <c r="N1814" t="n">
        <v>34</v>
      </c>
      <c r="O1814" t="n">
        <v>112</v>
      </c>
      <c r="P1814" t="n">
        <v>870</v>
      </c>
      <c r="Q1814" t="n">
        <v>1002</v>
      </c>
      <c r="R1814" t="n">
        <v>1.124</v>
      </c>
      <c r="S1814" t="n">
        <v>35.168</v>
      </c>
      <c r="T1814" t="n">
        <v>31.298</v>
      </c>
      <c r="U1814" t="n">
        <v>0.7779</v>
      </c>
      <c r="V1814" t="b">
        <v>1</v>
      </c>
      <c r="X1814" t="b">
        <v>0</v>
      </c>
      <c r="Y1814" t="inlineStr">
        <is>
          <t>ON</t>
        </is>
      </c>
      <c r="Z1814" t="n">
        <v>935</v>
      </c>
      <c r="AA1814" t="n">
        <v>2.5</v>
      </c>
      <c r="AB1814" t="n">
        <v>9.5</v>
      </c>
    </row>
    <row r="1815">
      <c r="A1815" t="inlineStr">
        <is>
          <t>2026-09-24 17:50:58</t>
        </is>
      </c>
      <c r="B1815" t="inlineStr">
        <is>
          <t>MLLB_000_y1.0.3</t>
        </is>
      </c>
      <c r="C1815" t="inlineStr">
        <is>
          <t>WHITE</t>
        </is>
      </c>
      <c r="D1815" t="inlineStr">
        <is>
          <t>v4_white_MLLB_000_y103_0924</t>
        </is>
      </c>
      <c r="E1815" t="n">
        <v>3</v>
      </c>
      <c r="F1815" t="n">
        <v>3.008</v>
      </c>
      <c r="G1815" t="n">
        <v>15</v>
      </c>
      <c r="H1815" t="n">
        <v>60</v>
      </c>
      <c r="I1815" t="n">
        <v>24</v>
      </c>
      <c r="J1815" t="inlineStr">
        <is>
          <t>kaba</t>
        </is>
      </c>
      <c r="K1815" t="b">
        <v>1</v>
      </c>
      <c r="M1815" t="n">
        <v>120</v>
      </c>
      <c r="N1815" t="n">
        <v>38</v>
      </c>
      <c r="O1815" t="n">
        <v>98</v>
      </c>
      <c r="P1815" t="n">
        <v>882</v>
      </c>
      <c r="Q1815" t="n">
        <v>1002</v>
      </c>
      <c r="R1815" t="n">
        <v>1.126</v>
      </c>
      <c r="S1815" t="n">
        <v>35.286</v>
      </c>
      <c r="T1815" t="n">
        <v>31.332</v>
      </c>
      <c r="U1815" t="n">
        <v>0.7778</v>
      </c>
      <c r="V1815" t="b">
        <v>1</v>
      </c>
      <c r="X1815" t="b">
        <v>0</v>
      </c>
      <c r="Y1815" t="inlineStr">
        <is>
          <t>ON</t>
        </is>
      </c>
      <c r="Z1815" t="n">
        <v>935</v>
      </c>
      <c r="AA1815" t="n">
        <v>2.5</v>
      </c>
      <c r="AB1815" t="n">
        <v>9.5</v>
      </c>
    </row>
    <row r="1816">
      <c r="A1816" t="inlineStr">
        <is>
          <t>2026-09-24 17:51:14</t>
        </is>
      </c>
      <c r="B1816" t="inlineStr">
        <is>
          <t>MLLB_000_y1.0.3</t>
        </is>
      </c>
      <c r="C1816" t="inlineStr">
        <is>
          <t>WHITE</t>
        </is>
      </c>
      <c r="D1816" t="inlineStr">
        <is>
          <t>v4_white_MLLB_000_y103_0924</t>
        </is>
      </c>
      <c r="E1816" t="n">
        <v>3</v>
      </c>
      <c r="F1816" t="n">
        <v>3.008</v>
      </c>
      <c r="G1816" t="n">
        <v>15</v>
      </c>
      <c r="H1816" t="n">
        <v>60</v>
      </c>
      <c r="I1816" t="n">
        <v>28</v>
      </c>
      <c r="J1816" t="inlineStr">
        <is>
          <t>kaba</t>
        </is>
      </c>
      <c r="K1816" t="b">
        <v>1</v>
      </c>
      <c r="M1816" t="n">
        <v>106</v>
      </c>
      <c r="N1816" t="n">
        <v>32</v>
      </c>
      <c r="O1816" t="n">
        <v>86</v>
      </c>
      <c r="P1816" t="n">
        <v>896</v>
      </c>
      <c r="Q1816" t="n">
        <v>1002</v>
      </c>
      <c r="R1816" t="n">
        <v>1.131</v>
      </c>
      <c r="S1816" t="n">
        <v>35.456</v>
      </c>
      <c r="T1816" t="n">
        <v>31.345</v>
      </c>
      <c r="U1816" t="n">
        <v>0.7778</v>
      </c>
      <c r="V1816" t="b">
        <v>1</v>
      </c>
      <c r="X1816" t="b">
        <v>0</v>
      </c>
      <c r="Y1816" t="inlineStr">
        <is>
          <t>ON</t>
        </is>
      </c>
      <c r="Z1816" t="n">
        <v>935</v>
      </c>
      <c r="AA1816" t="n">
        <v>2.5</v>
      </c>
      <c r="AB1816" t="n">
        <v>9.5</v>
      </c>
    </row>
    <row r="1817">
      <c r="A1817" t="inlineStr">
        <is>
          <t>2026-09-24 17:51:30</t>
        </is>
      </c>
      <c r="B1817" t="inlineStr">
        <is>
          <t>MLLB_000_y1.0.3</t>
        </is>
      </c>
      <c r="C1817" t="inlineStr">
        <is>
          <t>WHITE</t>
        </is>
      </c>
      <c r="D1817" t="inlineStr">
        <is>
          <t>v4_white_MLLB_000_y103_0924</t>
        </is>
      </c>
      <c r="E1817" t="n">
        <v>3</v>
      </c>
      <c r="F1817" t="n">
        <v>3.008</v>
      </c>
      <c r="G1817" t="n">
        <v>15</v>
      </c>
      <c r="H1817" t="n">
        <v>60</v>
      </c>
      <c r="I1817" t="n">
        <v>32</v>
      </c>
      <c r="J1817" t="inlineStr">
        <is>
          <t>kaba</t>
        </is>
      </c>
      <c r="K1817" t="b">
        <v>1</v>
      </c>
      <c r="M1817" t="n">
        <v>92</v>
      </c>
      <c r="N1817" t="n">
        <v>38</v>
      </c>
      <c r="O1817" t="n">
        <v>70</v>
      </c>
      <c r="P1817" t="n">
        <v>910</v>
      </c>
      <c r="Q1817" t="n">
        <v>1002</v>
      </c>
      <c r="R1817" t="n">
        <v>1.115</v>
      </c>
      <c r="S1817" t="n">
        <v>34.949</v>
      </c>
      <c r="T1817" t="n">
        <v>31.342</v>
      </c>
      <c r="U1817" t="n">
        <v>0.7778</v>
      </c>
      <c r="V1817" t="b">
        <v>1</v>
      </c>
      <c r="X1817" t="b">
        <v>0</v>
      </c>
      <c r="Y1817" t="inlineStr">
        <is>
          <t>ON</t>
        </is>
      </c>
      <c r="Z1817" t="n">
        <v>935</v>
      </c>
      <c r="AA1817" t="n">
        <v>2.5</v>
      </c>
      <c r="AB1817" t="n">
        <v>9.5</v>
      </c>
    </row>
    <row r="1818">
      <c r="A1818" t="inlineStr">
        <is>
          <t>2026-09-24 17:51:46</t>
        </is>
      </c>
      <c r="B1818" t="inlineStr">
        <is>
          <t>MLLB_000_y1.0.3</t>
        </is>
      </c>
      <c r="C1818" t="inlineStr">
        <is>
          <t>WHITE</t>
        </is>
      </c>
      <c r="D1818" t="inlineStr">
        <is>
          <t>v4_white_MLLB_000_y103_0924</t>
        </is>
      </c>
      <c r="E1818" t="n">
        <v>3</v>
      </c>
      <c r="F1818" t="n">
        <v>3.008</v>
      </c>
      <c r="G1818" t="n">
        <v>15</v>
      </c>
      <c r="H1818" t="n">
        <v>60</v>
      </c>
      <c r="I1818" t="n">
        <v>36</v>
      </c>
      <c r="J1818" t="inlineStr">
        <is>
          <t>kaba</t>
        </is>
      </c>
      <c r="K1818" t="b">
        <v>1</v>
      </c>
      <c r="M1818" t="n">
        <v>78</v>
      </c>
      <c r="N1818" t="n">
        <v>32</v>
      </c>
      <c r="O1818" t="n">
        <v>58</v>
      </c>
      <c r="P1818" t="n">
        <v>924</v>
      </c>
      <c r="Q1818" t="n">
        <v>1002</v>
      </c>
      <c r="R1818" t="n">
        <v>1.13</v>
      </c>
      <c r="S1818" t="n">
        <v>35.466</v>
      </c>
      <c r="T1818" t="n">
        <v>31.379</v>
      </c>
      <c r="U1818" t="n">
        <v>0.7782</v>
      </c>
      <c r="V1818" t="b">
        <v>1</v>
      </c>
      <c r="X1818" t="b">
        <v>0</v>
      </c>
      <c r="Y1818" t="inlineStr">
        <is>
          <t>ON</t>
        </is>
      </c>
      <c r="Z1818" t="n">
        <v>935</v>
      </c>
      <c r="AA1818" t="n">
        <v>2.5</v>
      </c>
      <c r="AB1818" t="n">
        <v>9.5</v>
      </c>
    </row>
    <row r="1819">
      <c r="A1819" t="inlineStr">
        <is>
          <t>2026-09-24 17:52:02</t>
        </is>
      </c>
      <c r="B1819" t="inlineStr">
        <is>
          <t>MLLB_000_y1.0.3</t>
        </is>
      </c>
      <c r="C1819" t="inlineStr">
        <is>
          <t>WHITE</t>
        </is>
      </c>
      <c r="D1819" t="inlineStr">
        <is>
          <t>v4_white_MLLB_000_y103_0924</t>
        </is>
      </c>
      <c r="E1819" t="n">
        <v>3</v>
      </c>
      <c r="F1819" t="n">
        <v>3.008</v>
      </c>
      <c r="G1819" t="n">
        <v>15</v>
      </c>
      <c r="H1819" t="n">
        <v>60</v>
      </c>
      <c r="I1819" t="n">
        <v>40</v>
      </c>
      <c r="J1819" t="inlineStr">
        <is>
          <t>kaba</t>
        </is>
      </c>
      <c r="K1819" t="b">
        <v>1</v>
      </c>
      <c r="M1819" t="n">
        <v>64</v>
      </c>
      <c r="N1819" t="n">
        <v>36</v>
      </c>
      <c r="O1819" t="n">
        <v>42</v>
      </c>
      <c r="P1819" t="n">
        <v>938</v>
      </c>
      <c r="Q1819" t="n">
        <v>1002</v>
      </c>
      <c r="R1819" t="n">
        <v>1.13</v>
      </c>
      <c r="S1819" t="n">
        <v>35.508</v>
      </c>
      <c r="T1819" t="n">
        <v>31.422</v>
      </c>
      <c r="U1819" t="n">
        <v>0.778</v>
      </c>
      <c r="V1819" t="b">
        <v>1</v>
      </c>
      <c r="X1819" t="b">
        <v>1</v>
      </c>
      <c r="Z1819" t="n">
        <v>935</v>
      </c>
      <c r="AA1819" t="n">
        <v>2.5</v>
      </c>
      <c r="AB1819" t="n">
        <v>9.5</v>
      </c>
    </row>
    <row r="1820">
      <c r="A1820" t="inlineStr">
        <is>
          <t>2026-09-24 17:52:18</t>
        </is>
      </c>
      <c r="B1820" t="inlineStr">
        <is>
          <t>MLLB_000_y1.0.3</t>
        </is>
      </c>
      <c r="C1820" t="inlineStr">
        <is>
          <t>WHITE</t>
        </is>
      </c>
      <c r="D1820" t="inlineStr">
        <is>
          <t>v4_white_MLLB_000_y103_0924</t>
        </is>
      </c>
      <c r="E1820" t="n">
        <v>3</v>
      </c>
      <c r="F1820" t="n">
        <v>3.008</v>
      </c>
      <c r="G1820" t="n">
        <v>15</v>
      </c>
      <c r="H1820" t="n">
        <v>60</v>
      </c>
      <c r="I1820" t="n">
        <v>44</v>
      </c>
      <c r="J1820" t="inlineStr">
        <is>
          <t>kaba</t>
        </is>
      </c>
      <c r="K1820" t="b">
        <v>1</v>
      </c>
      <c r="M1820" t="n">
        <v>52</v>
      </c>
      <c r="N1820" t="n">
        <v>30</v>
      </c>
      <c r="O1820" t="n">
        <v>32</v>
      </c>
      <c r="P1820" t="n">
        <v>950</v>
      </c>
      <c r="Q1820" t="n">
        <v>1002</v>
      </c>
      <c r="R1820" t="n">
        <v>1.111</v>
      </c>
      <c r="S1820" t="n">
        <v>34.891</v>
      </c>
      <c r="T1820" t="n">
        <v>31.398</v>
      </c>
      <c r="U1820" t="n">
        <v>0.7772</v>
      </c>
      <c r="V1820" t="b">
        <v>1</v>
      </c>
      <c r="X1820" t="b">
        <v>1</v>
      </c>
      <c r="Z1820" t="n">
        <v>935</v>
      </c>
      <c r="AA1820" t="n">
        <v>2.5</v>
      </c>
      <c r="AB1820" t="n">
        <v>9.5</v>
      </c>
    </row>
    <row r="1821">
      <c r="A1821" t="inlineStr">
        <is>
          <t>2026-09-24 17:52:34</t>
        </is>
      </c>
      <c r="B1821" t="inlineStr">
        <is>
          <t>MLLB_000_y1.0.3</t>
        </is>
      </c>
      <c r="C1821" t="inlineStr">
        <is>
          <t>WHITE</t>
        </is>
      </c>
      <c r="D1821" t="inlineStr">
        <is>
          <t>v4_white_MLLB_000_y103_0924</t>
        </is>
      </c>
      <c r="E1821" t="n">
        <v>3</v>
      </c>
      <c r="F1821" t="n">
        <v>3.008</v>
      </c>
      <c r="G1821" t="n">
        <v>15</v>
      </c>
      <c r="H1821" t="n">
        <v>60</v>
      </c>
      <c r="I1821" t="n">
        <v>48</v>
      </c>
      <c r="J1821" t="inlineStr">
        <is>
          <t>kaba</t>
        </is>
      </c>
      <c r="K1821" t="b">
        <v>1</v>
      </c>
      <c r="M1821" t="n">
        <v>52</v>
      </c>
      <c r="N1821" t="n">
        <v>30</v>
      </c>
      <c r="O1821" t="n">
        <v>32</v>
      </c>
      <c r="P1821" t="n">
        <v>950</v>
      </c>
      <c r="Q1821" t="n">
        <v>1002</v>
      </c>
      <c r="R1821" t="n">
        <v>2.491</v>
      </c>
      <c r="S1821" t="n">
        <v>78.239</v>
      </c>
      <c r="T1821" t="n">
        <v>31.404</v>
      </c>
      <c r="U1821" t="n">
        <v>0.778</v>
      </c>
      <c r="V1821" t="b">
        <v>1</v>
      </c>
      <c r="X1821" t="b">
        <v>1</v>
      </c>
      <c r="Z1821" t="n">
        <v>935</v>
      </c>
      <c r="AA1821" t="n">
        <v>2.5</v>
      </c>
      <c r="AB1821" t="n">
        <v>9.5</v>
      </c>
    </row>
    <row r="1822">
      <c r="A1822" t="inlineStr">
        <is>
          <t>2026-09-24 17:52:50</t>
        </is>
      </c>
      <c r="B1822" t="inlineStr">
        <is>
          <t>MLLB_000_y1.0.3</t>
        </is>
      </c>
      <c r="C1822" t="inlineStr">
        <is>
          <t>WHITE</t>
        </is>
      </c>
      <c r="D1822" t="inlineStr">
        <is>
          <t>v4_white_MLLB_000_y103_0924</t>
        </is>
      </c>
      <c r="E1822" t="n">
        <v>3</v>
      </c>
      <c r="F1822" t="n">
        <v>3.008</v>
      </c>
      <c r="G1822" t="n">
        <v>15</v>
      </c>
      <c r="H1822" t="n">
        <v>60</v>
      </c>
      <c r="I1822" t="n">
        <v>52</v>
      </c>
      <c r="J1822" t="inlineStr">
        <is>
          <t>kaba</t>
        </is>
      </c>
      <c r="K1822" t="b">
        <v>1</v>
      </c>
      <c r="M1822" t="n">
        <v>52</v>
      </c>
      <c r="N1822" t="n">
        <v>30</v>
      </c>
      <c r="O1822" t="n">
        <v>32</v>
      </c>
      <c r="P1822" t="n">
        <v>950</v>
      </c>
      <c r="Q1822" t="n">
        <v>1002</v>
      </c>
      <c r="R1822" t="n">
        <v>3.881</v>
      </c>
      <c r="S1822" t="n">
        <v>121.792</v>
      </c>
      <c r="T1822" t="n">
        <v>31.38</v>
      </c>
      <c r="U1822" t="n">
        <v>0.778</v>
      </c>
      <c r="V1822" t="b">
        <v>1</v>
      </c>
      <c r="X1822" t="b">
        <v>0</v>
      </c>
      <c r="Y1822" t="inlineStr">
        <is>
          <t>FLAS</t>
        </is>
      </c>
      <c r="Z1822" t="n">
        <v>935</v>
      </c>
      <c r="AA1822" t="n">
        <v>2.5</v>
      </c>
      <c r="AB1822" t="n">
        <v>9.5</v>
      </c>
    </row>
    <row r="1823">
      <c r="A1823" t="inlineStr">
        <is>
          <t>2026-09-24 17:53:06</t>
        </is>
      </c>
      <c r="B1823" t="inlineStr">
        <is>
          <t>MLLB_000_y1.0.3</t>
        </is>
      </c>
      <c r="C1823" t="inlineStr">
        <is>
          <t>WHITE</t>
        </is>
      </c>
      <c r="D1823" t="inlineStr">
        <is>
          <t>v4_white_MLLB_000_y103_0924</t>
        </is>
      </c>
      <c r="E1823" t="n">
        <v>3</v>
      </c>
      <c r="F1823" t="n">
        <v>3.008</v>
      </c>
      <c r="G1823" t="n">
        <v>15</v>
      </c>
      <c r="H1823" t="n">
        <v>60</v>
      </c>
      <c r="I1823" t="n">
        <v>56</v>
      </c>
      <c r="J1823" t="inlineStr">
        <is>
          <t>kaba</t>
        </is>
      </c>
      <c r="K1823" t="b">
        <v>1</v>
      </c>
      <c r="M1823" t="n">
        <v>52</v>
      </c>
      <c r="N1823" t="n">
        <v>30</v>
      </c>
      <c r="O1823" t="n">
        <v>32</v>
      </c>
      <c r="P1823" t="n">
        <v>950</v>
      </c>
      <c r="Q1823" t="n">
        <v>1002</v>
      </c>
      <c r="R1823" t="n">
        <v>4.407</v>
      </c>
      <c r="S1823" t="n">
        <v>138.431</v>
      </c>
      <c r="T1823" t="n">
        <v>31.411</v>
      </c>
      <c r="U1823" t="n">
        <v>0.778</v>
      </c>
      <c r="V1823" t="b">
        <v>1</v>
      </c>
      <c r="X1823" t="b">
        <v>0</v>
      </c>
      <c r="Y1823" t="inlineStr">
        <is>
          <t>FLAS</t>
        </is>
      </c>
      <c r="Z1823" t="n">
        <v>935</v>
      </c>
      <c r="AA1823" t="n">
        <v>2.5</v>
      </c>
      <c r="AB1823" t="n">
        <v>9.5</v>
      </c>
    </row>
    <row r="1824">
      <c r="A1824" t="inlineStr">
        <is>
          <t>2026-09-24 17:53:22</t>
        </is>
      </c>
      <c r="B1824" t="inlineStr">
        <is>
          <t>MLLB_000_y1.0.3</t>
        </is>
      </c>
      <c r="C1824" t="inlineStr">
        <is>
          <t>WHITE</t>
        </is>
      </c>
      <c r="D1824" t="inlineStr">
        <is>
          <t>v4_white_MLLB_000_y103_0924</t>
        </is>
      </c>
      <c r="E1824" t="n">
        <v>3</v>
      </c>
      <c r="F1824" t="n">
        <v>3.008</v>
      </c>
      <c r="G1824" t="n">
        <v>15</v>
      </c>
      <c r="H1824" t="n">
        <v>60</v>
      </c>
      <c r="I1824" t="n">
        <v>37</v>
      </c>
      <c r="J1824" t="inlineStr">
        <is>
          <t>ince</t>
        </is>
      </c>
      <c r="K1824" t="b">
        <v>1</v>
      </c>
      <c r="M1824" t="n">
        <v>76</v>
      </c>
      <c r="N1824" t="n">
        <v>32</v>
      </c>
      <c r="O1824" t="n">
        <v>54</v>
      </c>
      <c r="P1824" t="n">
        <v>926</v>
      </c>
      <c r="Q1824" t="n">
        <v>1002</v>
      </c>
      <c r="R1824" t="n">
        <v>1.117</v>
      </c>
      <c r="S1824" t="n">
        <v>35.096</v>
      </c>
      <c r="T1824" t="n">
        <v>31.412</v>
      </c>
      <c r="U1824" t="n">
        <v>0.7776</v>
      </c>
      <c r="V1824" t="b">
        <v>1</v>
      </c>
      <c r="X1824" t="b">
        <v>0</v>
      </c>
      <c r="Y1824" t="inlineStr">
        <is>
          <t>ON</t>
        </is>
      </c>
      <c r="Z1824" t="n">
        <v>935</v>
      </c>
      <c r="AA1824" t="n">
        <v>2.5</v>
      </c>
      <c r="AB1824" t="n">
        <v>9.5</v>
      </c>
    </row>
    <row r="1825">
      <c r="A1825" t="inlineStr">
        <is>
          <t>2026-09-24 17:53:38</t>
        </is>
      </c>
      <c r="B1825" t="inlineStr">
        <is>
          <t>MLLB_000_y1.0.3</t>
        </is>
      </c>
      <c r="C1825" t="inlineStr">
        <is>
          <t>WHITE</t>
        </is>
      </c>
      <c r="D1825" t="inlineStr">
        <is>
          <t>v4_white_MLLB_000_y103_0924</t>
        </is>
      </c>
      <c r="E1825" t="n">
        <v>3</v>
      </c>
      <c r="F1825" t="n">
        <v>3.008</v>
      </c>
      <c r="G1825" t="n">
        <v>15</v>
      </c>
      <c r="H1825" t="n">
        <v>60</v>
      </c>
      <c r="I1825" t="n">
        <v>38</v>
      </c>
      <c r="J1825" t="inlineStr">
        <is>
          <t>ince</t>
        </is>
      </c>
      <c r="K1825" t="b">
        <v>1</v>
      </c>
      <c r="M1825" t="n">
        <v>72</v>
      </c>
      <c r="N1825" t="n">
        <v>36</v>
      </c>
      <c r="O1825" t="n">
        <v>50</v>
      </c>
      <c r="P1825" t="n">
        <v>930</v>
      </c>
      <c r="Q1825" t="n">
        <v>1002</v>
      </c>
      <c r="R1825" t="n">
        <v>1.128</v>
      </c>
      <c r="S1825" t="n">
        <v>35.443</v>
      </c>
      <c r="T1825" t="n">
        <v>31.407</v>
      </c>
      <c r="U1825" t="n">
        <v>0.7776</v>
      </c>
      <c r="V1825" t="b">
        <v>1</v>
      </c>
      <c r="X1825" t="b">
        <v>0</v>
      </c>
      <c r="Y1825" t="inlineStr">
        <is>
          <t>ON</t>
        </is>
      </c>
      <c r="Z1825" t="n">
        <v>935</v>
      </c>
      <c r="AA1825" t="n">
        <v>2.5</v>
      </c>
      <c r="AB1825" t="n">
        <v>9.5</v>
      </c>
    </row>
    <row r="1826">
      <c r="A1826" t="inlineStr">
        <is>
          <t>2026-09-24 17:53:54</t>
        </is>
      </c>
      <c r="B1826" t="inlineStr">
        <is>
          <t>MLLB_000_y1.0.3</t>
        </is>
      </c>
      <c r="C1826" t="inlineStr">
        <is>
          <t>WHITE</t>
        </is>
      </c>
      <c r="D1826" t="inlineStr">
        <is>
          <t>v4_white_MLLB_000_y103_0924</t>
        </is>
      </c>
      <c r="E1826" t="n">
        <v>3</v>
      </c>
      <c r="F1826" t="n">
        <v>3.008</v>
      </c>
      <c r="G1826" t="n">
        <v>15</v>
      </c>
      <c r="H1826" t="n">
        <v>60</v>
      </c>
      <c r="I1826" t="n">
        <v>39</v>
      </c>
      <c r="J1826" t="inlineStr">
        <is>
          <t>ince</t>
        </is>
      </c>
      <c r="K1826" t="b">
        <v>1</v>
      </c>
      <c r="M1826" t="n">
        <v>68</v>
      </c>
      <c r="N1826" t="n">
        <v>36</v>
      </c>
      <c r="O1826" t="n">
        <v>46</v>
      </c>
      <c r="P1826" t="n">
        <v>934</v>
      </c>
      <c r="Q1826" t="n">
        <v>1002</v>
      </c>
      <c r="R1826" t="n">
        <v>1.116</v>
      </c>
      <c r="S1826" t="n">
        <v>35.045</v>
      </c>
      <c r="T1826" t="n">
        <v>31.405</v>
      </c>
      <c r="U1826" t="n">
        <v>0.7776999999999999</v>
      </c>
      <c r="V1826" t="b">
        <v>1</v>
      </c>
      <c r="X1826" t="b">
        <v>0</v>
      </c>
      <c r="Y1826" t="inlineStr">
        <is>
          <t>ON</t>
        </is>
      </c>
      <c r="Z1826" t="n">
        <v>935</v>
      </c>
      <c r="AA1826" t="n">
        <v>2.5</v>
      </c>
      <c r="AB1826" t="n">
        <v>9.5</v>
      </c>
    </row>
    <row r="1827">
      <c r="A1827" t="inlineStr">
        <is>
          <t>2026-09-24 17:53:54</t>
        </is>
      </c>
      <c r="B1827" t="inlineStr">
        <is>
          <t>MLLB_000_y1.0.3</t>
        </is>
      </c>
      <c r="C1827" t="inlineStr">
        <is>
          <t>WHITE</t>
        </is>
      </c>
      <c r="D1827" t="inlineStr">
        <is>
          <t>v4_white_MLLB_000_y103_0924</t>
        </is>
      </c>
      <c r="E1827" t="n">
        <v>3</v>
      </c>
      <c r="F1827" t="n">
        <v>3.008</v>
      </c>
      <c r="G1827" t="n">
        <v>15</v>
      </c>
      <c r="H1827" t="n">
        <v>60</v>
      </c>
      <c r="I1827" t="n">
        <v>41</v>
      </c>
      <c r="J1827" t="inlineStr">
        <is>
          <t>ince</t>
        </is>
      </c>
      <c r="K1827" t="b">
        <v>0</v>
      </c>
      <c r="L1827" t="inlineStr">
        <is>
          <t>iki-OK-arasi-monotonluk</t>
        </is>
      </c>
      <c r="X1827" t="b">
        <v>1</v>
      </c>
      <c r="Z1827" t="n">
        <v>935</v>
      </c>
      <c r="AA1827" t="n">
        <v>2.5</v>
      </c>
      <c r="AB1827" t="n">
        <v>9.5</v>
      </c>
    </row>
    <row r="1828">
      <c r="A1828" t="inlineStr">
        <is>
          <t>2026-09-24 17:53:54</t>
        </is>
      </c>
      <c r="B1828" t="inlineStr">
        <is>
          <t>MLLB_000_y1.0.3</t>
        </is>
      </c>
      <c r="C1828" t="inlineStr">
        <is>
          <t>WHITE</t>
        </is>
      </c>
      <c r="D1828" t="inlineStr">
        <is>
          <t>v4_white_MLLB_000_y103_0924</t>
        </is>
      </c>
      <c r="E1828" t="n">
        <v>3</v>
      </c>
      <c r="F1828" t="n">
        <v>3.008</v>
      </c>
      <c r="G1828" t="n">
        <v>15</v>
      </c>
      <c r="H1828" t="n">
        <v>60</v>
      </c>
      <c r="I1828" t="n">
        <v>42</v>
      </c>
      <c r="J1828" t="inlineStr">
        <is>
          <t>ince</t>
        </is>
      </c>
      <c r="K1828" t="b">
        <v>0</v>
      </c>
      <c r="L1828" t="inlineStr">
        <is>
          <t>iki-OK-arasi-monotonluk</t>
        </is>
      </c>
      <c r="X1828" t="b">
        <v>1</v>
      </c>
      <c r="Z1828" t="n">
        <v>935</v>
      </c>
      <c r="AA1828" t="n">
        <v>2.5</v>
      </c>
      <c r="AB1828" t="n">
        <v>9.5</v>
      </c>
    </row>
    <row r="1829">
      <c r="A1829" t="inlineStr">
        <is>
          <t>2026-09-24 17:53:54</t>
        </is>
      </c>
      <c r="B1829" t="inlineStr">
        <is>
          <t>MLLB_000_y1.0.3</t>
        </is>
      </c>
      <c r="C1829" t="inlineStr">
        <is>
          <t>WHITE</t>
        </is>
      </c>
      <c r="D1829" t="inlineStr">
        <is>
          <t>v4_white_MLLB_000_y103_0924</t>
        </is>
      </c>
      <c r="E1829" t="n">
        <v>3</v>
      </c>
      <c r="F1829" t="n">
        <v>3.008</v>
      </c>
      <c r="G1829" t="n">
        <v>15</v>
      </c>
      <c r="H1829" t="n">
        <v>60</v>
      </c>
      <c r="I1829" t="n">
        <v>43</v>
      </c>
      <c r="J1829" t="inlineStr">
        <is>
          <t>ince</t>
        </is>
      </c>
      <c r="K1829" t="b">
        <v>0</v>
      </c>
      <c r="L1829" t="inlineStr">
        <is>
          <t>iki-OK-arasi-monotonluk</t>
        </is>
      </c>
      <c r="X1829" t="b">
        <v>1</v>
      </c>
      <c r="Z1829" t="n">
        <v>935</v>
      </c>
      <c r="AA1829" t="n">
        <v>2.5</v>
      </c>
      <c r="AB1829" t="n">
        <v>9.5</v>
      </c>
    </row>
    <row r="1830">
      <c r="A1830" t="inlineStr">
        <is>
          <t>2026-09-24 17:53:54</t>
        </is>
      </c>
      <c r="B1830" t="inlineStr">
        <is>
          <t>MLLB_000_y1.0.3</t>
        </is>
      </c>
      <c r="C1830" t="inlineStr">
        <is>
          <t>WHITE</t>
        </is>
      </c>
      <c r="D1830" t="inlineStr">
        <is>
          <t>v4_white_MLLB_000_y103_0924</t>
        </is>
      </c>
      <c r="E1830" t="n">
        <v>3</v>
      </c>
      <c r="F1830" t="n">
        <v>3.008</v>
      </c>
      <c r="G1830" t="n">
        <v>15</v>
      </c>
      <c r="H1830" t="n">
        <v>60</v>
      </c>
      <c r="I1830" t="n">
        <v>45</v>
      </c>
      <c r="J1830" t="inlineStr">
        <is>
          <t>ince</t>
        </is>
      </c>
      <c r="K1830" t="b">
        <v>0</v>
      </c>
      <c r="L1830" t="inlineStr">
        <is>
          <t>iki-OK-arasi-monotonluk</t>
        </is>
      </c>
      <c r="X1830" t="b">
        <v>1</v>
      </c>
      <c r="Z1830" t="n">
        <v>935</v>
      </c>
      <c r="AA1830" t="n">
        <v>2.5</v>
      </c>
      <c r="AB1830" t="n">
        <v>9.5</v>
      </c>
    </row>
    <row r="1831">
      <c r="A1831" t="inlineStr">
        <is>
          <t>2026-09-24 17:53:54</t>
        </is>
      </c>
      <c r="B1831" t="inlineStr">
        <is>
          <t>MLLB_000_y1.0.3</t>
        </is>
      </c>
      <c r="C1831" t="inlineStr">
        <is>
          <t>WHITE</t>
        </is>
      </c>
      <c r="D1831" t="inlineStr">
        <is>
          <t>v4_white_MLLB_000_y103_0924</t>
        </is>
      </c>
      <c r="E1831" t="n">
        <v>3</v>
      </c>
      <c r="F1831" t="n">
        <v>3.008</v>
      </c>
      <c r="G1831" t="n">
        <v>15</v>
      </c>
      <c r="H1831" t="n">
        <v>60</v>
      </c>
      <c r="I1831" t="n">
        <v>46</v>
      </c>
      <c r="J1831" t="inlineStr">
        <is>
          <t>ince</t>
        </is>
      </c>
      <c r="K1831" t="b">
        <v>0</v>
      </c>
      <c r="L1831" t="inlineStr">
        <is>
          <t>iki-OK-arasi-monotonluk</t>
        </is>
      </c>
      <c r="X1831" t="b">
        <v>1</v>
      </c>
      <c r="Z1831" t="n">
        <v>935</v>
      </c>
      <c r="AA1831" t="n">
        <v>2.5</v>
      </c>
      <c r="AB1831" t="n">
        <v>9.5</v>
      </c>
    </row>
    <row r="1832">
      <c r="A1832" t="inlineStr">
        <is>
          <t>2026-09-24 17:53:54</t>
        </is>
      </c>
      <c r="B1832" t="inlineStr">
        <is>
          <t>MLLB_000_y1.0.3</t>
        </is>
      </c>
      <c r="C1832" t="inlineStr">
        <is>
          <t>WHITE</t>
        </is>
      </c>
      <c r="D1832" t="inlineStr">
        <is>
          <t>v4_white_MLLB_000_y103_0924</t>
        </is>
      </c>
      <c r="E1832" t="n">
        <v>3</v>
      </c>
      <c r="F1832" t="n">
        <v>3.008</v>
      </c>
      <c r="G1832" t="n">
        <v>15</v>
      </c>
      <c r="H1832" t="n">
        <v>60</v>
      </c>
      <c r="I1832" t="n">
        <v>47</v>
      </c>
      <c r="J1832" t="inlineStr">
        <is>
          <t>ince</t>
        </is>
      </c>
      <c r="K1832" t="b">
        <v>0</v>
      </c>
      <c r="L1832" t="inlineStr">
        <is>
          <t>iki-OK-arasi-monotonluk</t>
        </is>
      </c>
      <c r="X1832" t="b">
        <v>1</v>
      </c>
      <c r="Z1832" t="n">
        <v>935</v>
      </c>
      <c r="AA1832" t="n">
        <v>2.5</v>
      </c>
      <c r="AB1832" t="n">
        <v>9.5</v>
      </c>
    </row>
    <row r="1833">
      <c r="A1833" t="inlineStr">
        <is>
          <t>2026-09-24 17:54:10</t>
        </is>
      </c>
      <c r="B1833" t="inlineStr">
        <is>
          <t>MLLB_000_y1.0.3</t>
        </is>
      </c>
      <c r="C1833" t="inlineStr">
        <is>
          <t>WHITE</t>
        </is>
      </c>
      <c r="D1833" t="inlineStr">
        <is>
          <t>v4_white_MLLB_000_y103_0924</t>
        </is>
      </c>
      <c r="E1833" t="n">
        <v>3</v>
      </c>
      <c r="F1833" t="n">
        <v>3.008</v>
      </c>
      <c r="G1833" t="n">
        <v>15</v>
      </c>
      <c r="H1833" t="n">
        <v>60</v>
      </c>
      <c r="I1833" t="n">
        <v>49</v>
      </c>
      <c r="J1833" t="inlineStr">
        <is>
          <t>ince</t>
        </is>
      </c>
      <c r="K1833" t="b">
        <v>1</v>
      </c>
      <c r="M1833" t="n">
        <v>52</v>
      </c>
      <c r="N1833" t="n">
        <v>30</v>
      </c>
      <c r="O1833" t="n">
        <v>32</v>
      </c>
      <c r="P1833" t="n">
        <v>950</v>
      </c>
      <c r="Q1833" t="n">
        <v>1002</v>
      </c>
      <c r="R1833" t="n">
        <v>3.186</v>
      </c>
      <c r="S1833" t="n">
        <v>99.932</v>
      </c>
      <c r="T1833" t="n">
        <v>31.362</v>
      </c>
      <c r="U1833" t="n">
        <v>0.7778</v>
      </c>
      <c r="V1833" t="b">
        <v>1</v>
      </c>
      <c r="X1833" t="b">
        <v>0</v>
      </c>
      <c r="Y1833" t="inlineStr">
        <is>
          <t>FLAS</t>
        </is>
      </c>
      <c r="Z1833" t="n">
        <v>935</v>
      </c>
      <c r="AA1833" t="n">
        <v>2.5</v>
      </c>
      <c r="AB1833" t="n">
        <v>9.5</v>
      </c>
    </row>
    <row r="1834">
      <c r="A1834" t="inlineStr">
        <is>
          <t>2026-09-24 17:54:26</t>
        </is>
      </c>
      <c r="B1834" t="inlineStr">
        <is>
          <t>MLLB_000_y1.0.3</t>
        </is>
      </c>
      <c r="C1834" t="inlineStr">
        <is>
          <t>WHITE</t>
        </is>
      </c>
      <c r="D1834" t="inlineStr">
        <is>
          <t>v4_white_MLLB_000_y103_0924</t>
        </is>
      </c>
      <c r="E1834" t="n">
        <v>3</v>
      </c>
      <c r="F1834" t="n">
        <v>3.008</v>
      </c>
      <c r="G1834" t="n">
        <v>15</v>
      </c>
      <c r="H1834" t="n">
        <v>60</v>
      </c>
      <c r="I1834" t="n">
        <v>50</v>
      </c>
      <c r="J1834" t="inlineStr">
        <is>
          <t>ince</t>
        </is>
      </c>
      <c r="K1834" t="b">
        <v>1</v>
      </c>
      <c r="M1834" t="n">
        <v>52</v>
      </c>
      <c r="N1834" t="n">
        <v>30</v>
      </c>
      <c r="O1834" t="n">
        <v>32</v>
      </c>
      <c r="P1834" t="n">
        <v>950</v>
      </c>
      <c r="Q1834" t="n">
        <v>1002</v>
      </c>
      <c r="R1834" t="n">
        <v>3.473</v>
      </c>
      <c r="S1834" t="n">
        <v>109.011</v>
      </c>
      <c r="T1834" t="n">
        <v>31.388</v>
      </c>
      <c r="U1834" t="n">
        <v>0.7781</v>
      </c>
      <c r="V1834" t="b">
        <v>1</v>
      </c>
      <c r="X1834" t="b">
        <v>0</v>
      </c>
      <c r="Y1834" t="inlineStr">
        <is>
          <t>FLAS</t>
        </is>
      </c>
      <c r="Z1834" t="n">
        <v>935</v>
      </c>
      <c r="AA1834" t="n">
        <v>2.5</v>
      </c>
      <c r="AB1834" t="n">
        <v>9.5</v>
      </c>
    </row>
    <row r="1835">
      <c r="A1835" t="inlineStr">
        <is>
          <t>2026-09-24 17:54:42</t>
        </is>
      </c>
      <c r="B1835" t="inlineStr">
        <is>
          <t>MLLB_000_y1.0.3</t>
        </is>
      </c>
      <c r="C1835" t="inlineStr">
        <is>
          <t>WHITE</t>
        </is>
      </c>
      <c r="D1835" t="inlineStr">
        <is>
          <t>v4_white_MLLB_000_y103_0924</t>
        </is>
      </c>
      <c r="E1835" t="n">
        <v>3</v>
      </c>
      <c r="F1835" t="n">
        <v>3.008</v>
      </c>
      <c r="G1835" t="n">
        <v>15</v>
      </c>
      <c r="H1835" t="n">
        <v>60</v>
      </c>
      <c r="I1835" t="n">
        <v>51</v>
      </c>
      <c r="J1835" t="inlineStr">
        <is>
          <t>ince</t>
        </is>
      </c>
      <c r="K1835" t="b">
        <v>1</v>
      </c>
      <c r="M1835" t="n">
        <v>52</v>
      </c>
      <c r="N1835" t="n">
        <v>30</v>
      </c>
      <c r="O1835" t="n">
        <v>32</v>
      </c>
      <c r="P1835" t="n">
        <v>950</v>
      </c>
      <c r="Q1835" t="n">
        <v>1002</v>
      </c>
      <c r="R1835" t="n">
        <v>3.735</v>
      </c>
      <c r="S1835" t="n">
        <v>117.263</v>
      </c>
      <c r="T1835" t="n">
        <v>31.394</v>
      </c>
      <c r="U1835" t="n">
        <v>0.7776999999999999</v>
      </c>
      <c r="V1835" t="b">
        <v>1</v>
      </c>
      <c r="X1835" t="b">
        <v>0</v>
      </c>
      <c r="Y1835" t="inlineStr">
        <is>
          <t>FLAS</t>
        </is>
      </c>
      <c r="Z1835" t="n">
        <v>935</v>
      </c>
      <c r="AA1835" t="n">
        <v>2.5</v>
      </c>
      <c r="AB1835" t="n">
        <v>9.5</v>
      </c>
    </row>
    <row r="1836">
      <c r="A1836" t="inlineStr">
        <is>
          <t>2026-09-24 17:54:42</t>
        </is>
      </c>
      <c r="B1836" t="inlineStr">
        <is>
          <t>MLLB_000_y1.0.3</t>
        </is>
      </c>
      <c r="C1836" t="inlineStr">
        <is>
          <t>WHITE</t>
        </is>
      </c>
      <c r="D1836" t="inlineStr">
        <is>
          <t>v4_white_MLLB_000_y103_0924</t>
        </is>
      </c>
      <c r="E1836" t="n">
        <v>3</v>
      </c>
      <c r="F1836" t="n">
        <v>3.008</v>
      </c>
      <c r="G1836" t="n">
        <v>15</v>
      </c>
      <c r="H1836" t="n">
        <v>60</v>
      </c>
      <c r="J1836" t="inlineStr">
        <is>
          <t>bitti</t>
        </is>
      </c>
      <c r="K1836" t="b">
        <v>0</v>
      </c>
      <c r="Z1836" t="n">
        <v>935</v>
      </c>
      <c r="AA1836" t="n">
        <v>2.5</v>
      </c>
      <c r="AB1836" t="n">
        <v>9.5</v>
      </c>
    </row>
    <row r="1837">
      <c r="A1837" t="inlineStr">
        <is>
          <t>2026-09-24 17:55:04</t>
        </is>
      </c>
      <c r="B1837" t="inlineStr">
        <is>
          <t>MLLB_000_y1.0.3</t>
        </is>
      </c>
      <c r="C1837" t="inlineStr">
        <is>
          <t>WHITE</t>
        </is>
      </c>
      <c r="D1837" t="inlineStr">
        <is>
          <t>v4_white_MLLB_000_y103_0924</t>
        </is>
      </c>
      <c r="E1837" t="n">
        <v>3</v>
      </c>
      <c r="F1837" t="n">
        <v>3.008</v>
      </c>
      <c r="G1837" t="n">
        <v>100</v>
      </c>
      <c r="H1837" t="n">
        <v>100</v>
      </c>
      <c r="I1837" t="n">
        <v>12</v>
      </c>
      <c r="J1837" t="inlineStr">
        <is>
          <t>kaba</t>
        </is>
      </c>
      <c r="K1837" t="b">
        <v>1</v>
      </c>
      <c r="M1837" t="n">
        <v>36</v>
      </c>
      <c r="N1837" t="n">
        <v>32</v>
      </c>
      <c r="O1837" t="n">
        <v>14</v>
      </c>
      <c r="P1837" t="n">
        <v>966</v>
      </c>
      <c r="Q1837" t="n">
        <v>1002</v>
      </c>
      <c r="R1837" t="n">
        <v>1.065</v>
      </c>
      <c r="S1837" t="n">
        <v>241.552</v>
      </c>
      <c r="T1837" t="n">
        <v>226.801</v>
      </c>
      <c r="U1837" t="n">
        <v>0.778</v>
      </c>
      <c r="V1837" t="b">
        <v>1</v>
      </c>
      <c r="X1837" t="b">
        <v>1</v>
      </c>
      <c r="Z1837" t="n">
        <v>935</v>
      </c>
      <c r="AA1837" t="n">
        <v>2.5</v>
      </c>
      <c r="AB1837" t="n">
        <v>9.5</v>
      </c>
    </row>
    <row r="1838">
      <c r="A1838" t="inlineStr">
        <is>
          <t>2026-09-24 17:55:20</t>
        </is>
      </c>
      <c r="B1838" t="inlineStr">
        <is>
          <t>MLLB_000_y1.0.3</t>
        </is>
      </c>
      <c r="C1838" t="inlineStr">
        <is>
          <t>WHITE</t>
        </is>
      </c>
      <c r="D1838" t="inlineStr">
        <is>
          <t>v4_white_MLLB_000_y103_0924</t>
        </is>
      </c>
      <c r="E1838" t="n">
        <v>3</v>
      </c>
      <c r="F1838" t="n">
        <v>3.008</v>
      </c>
      <c r="G1838" t="n">
        <v>100</v>
      </c>
      <c r="H1838" t="n">
        <v>100</v>
      </c>
      <c r="I1838" t="n">
        <v>16</v>
      </c>
      <c r="J1838" t="inlineStr">
        <is>
          <t>kaba</t>
        </is>
      </c>
      <c r="K1838" t="b">
        <v>1</v>
      </c>
      <c r="M1838" t="n">
        <v>36</v>
      </c>
      <c r="N1838" t="n">
        <v>32</v>
      </c>
      <c r="O1838" t="n">
        <v>14</v>
      </c>
      <c r="P1838" t="n">
        <v>966</v>
      </c>
      <c r="Q1838" t="n">
        <v>1002</v>
      </c>
      <c r="R1838" t="n">
        <v>1.068</v>
      </c>
      <c r="S1838" t="n">
        <v>242.323</v>
      </c>
      <c r="T1838" t="n">
        <v>226.832</v>
      </c>
      <c r="U1838" t="n">
        <v>0.7781</v>
      </c>
      <c r="V1838" t="b">
        <v>1</v>
      </c>
      <c r="X1838" t="b">
        <v>1</v>
      </c>
      <c r="Z1838" t="n">
        <v>935</v>
      </c>
      <c r="AA1838" t="n">
        <v>2.5</v>
      </c>
      <c r="AB1838" t="n">
        <v>9.5</v>
      </c>
    </row>
    <row r="1839">
      <c r="A1839" t="inlineStr">
        <is>
          <t>2026-09-24 17:55:36</t>
        </is>
      </c>
      <c r="B1839" t="inlineStr">
        <is>
          <t>MLLB_000_y1.0.3</t>
        </is>
      </c>
      <c r="C1839" t="inlineStr">
        <is>
          <t>WHITE</t>
        </is>
      </c>
      <c r="D1839" t="inlineStr">
        <is>
          <t>v4_white_MLLB_000_y103_0924</t>
        </is>
      </c>
      <c r="E1839" t="n">
        <v>3</v>
      </c>
      <c r="F1839" t="n">
        <v>3.008</v>
      </c>
      <c r="G1839" t="n">
        <v>100</v>
      </c>
      <c r="H1839" t="n">
        <v>100</v>
      </c>
      <c r="I1839" t="n">
        <v>20</v>
      </c>
      <c r="J1839" t="inlineStr">
        <is>
          <t>kaba</t>
        </is>
      </c>
      <c r="K1839" t="b">
        <v>1</v>
      </c>
      <c r="M1839" t="n">
        <v>34</v>
      </c>
      <c r="N1839" t="n">
        <v>32</v>
      </c>
      <c r="O1839" t="n">
        <v>14</v>
      </c>
      <c r="P1839" t="n">
        <v>968</v>
      </c>
      <c r="Q1839" t="n">
        <v>1002</v>
      </c>
      <c r="R1839" t="n">
        <v>1.068</v>
      </c>
      <c r="S1839" t="n">
        <v>242.523</v>
      </c>
      <c r="T1839" t="n">
        <v>227.034</v>
      </c>
      <c r="U1839" t="n">
        <v>0.7779</v>
      </c>
      <c r="V1839" t="b">
        <v>1</v>
      </c>
      <c r="X1839" t="b">
        <v>1</v>
      </c>
      <c r="Z1839" t="n">
        <v>935</v>
      </c>
      <c r="AA1839" t="n">
        <v>2.5</v>
      </c>
      <c r="AB1839" t="n">
        <v>9.5</v>
      </c>
    </row>
    <row r="1840">
      <c r="A1840" t="inlineStr">
        <is>
          <t>2026-09-24 17:55:52</t>
        </is>
      </c>
      <c r="B1840" t="inlineStr">
        <is>
          <t>MLLB_000_y1.0.3</t>
        </is>
      </c>
      <c r="C1840" t="inlineStr">
        <is>
          <t>WHITE</t>
        </is>
      </c>
      <c r="D1840" t="inlineStr">
        <is>
          <t>v4_white_MLLB_000_y103_0924</t>
        </is>
      </c>
      <c r="E1840" t="n">
        <v>3</v>
      </c>
      <c r="F1840" t="n">
        <v>3.008</v>
      </c>
      <c r="G1840" t="n">
        <v>100</v>
      </c>
      <c r="H1840" t="n">
        <v>100</v>
      </c>
      <c r="I1840" t="n">
        <v>24</v>
      </c>
      <c r="J1840" t="inlineStr">
        <is>
          <t>kaba</t>
        </is>
      </c>
      <c r="K1840" t="b">
        <v>1</v>
      </c>
      <c r="M1840" t="n">
        <v>36</v>
      </c>
      <c r="N1840" t="n">
        <v>32</v>
      </c>
      <c r="O1840" t="n">
        <v>14</v>
      </c>
      <c r="P1840" t="n">
        <v>966</v>
      </c>
      <c r="Q1840" t="n">
        <v>1002</v>
      </c>
      <c r="R1840" t="n">
        <v>1.068</v>
      </c>
      <c r="S1840" t="n">
        <v>242.323</v>
      </c>
      <c r="T1840" t="n">
        <v>226.985</v>
      </c>
      <c r="U1840" t="n">
        <v>0.7775</v>
      </c>
      <c r="V1840" t="b">
        <v>1</v>
      </c>
      <c r="X1840" t="b">
        <v>1</v>
      </c>
      <c r="Z1840" t="n">
        <v>935</v>
      </c>
      <c r="AA1840" t="n">
        <v>2.5</v>
      </c>
      <c r="AB1840" t="n">
        <v>9.5</v>
      </c>
    </row>
    <row r="1841">
      <c r="A1841" t="inlineStr">
        <is>
          <t>2026-09-24 17:56:08</t>
        </is>
      </c>
      <c r="B1841" t="inlineStr">
        <is>
          <t>MLLB_000_y1.0.3</t>
        </is>
      </c>
      <c r="C1841" t="inlineStr">
        <is>
          <t>WHITE</t>
        </is>
      </c>
      <c r="D1841" t="inlineStr">
        <is>
          <t>v4_white_MLLB_000_y103_0924</t>
        </is>
      </c>
      <c r="E1841" t="n">
        <v>3</v>
      </c>
      <c r="F1841" t="n">
        <v>3.008</v>
      </c>
      <c r="G1841" t="n">
        <v>100</v>
      </c>
      <c r="H1841" t="n">
        <v>100</v>
      </c>
      <c r="I1841" t="n">
        <v>28</v>
      </c>
      <c r="J1841" t="inlineStr">
        <is>
          <t>kaba</t>
        </is>
      </c>
      <c r="K1841" t="b">
        <v>1</v>
      </c>
      <c r="M1841" t="n">
        <v>36</v>
      </c>
      <c r="N1841" t="n">
        <v>32</v>
      </c>
      <c r="O1841" t="n">
        <v>14</v>
      </c>
      <c r="P1841" t="n">
        <v>966</v>
      </c>
      <c r="Q1841" t="n">
        <v>1002</v>
      </c>
      <c r="R1841" t="n">
        <v>1.067</v>
      </c>
      <c r="S1841" t="n">
        <v>242.323</v>
      </c>
      <c r="T1841" t="n">
        <v>227.06</v>
      </c>
      <c r="U1841" t="n">
        <v>0.7776999999999999</v>
      </c>
      <c r="V1841" t="b">
        <v>1</v>
      </c>
      <c r="X1841" t="b">
        <v>1</v>
      </c>
      <c r="Z1841" t="n">
        <v>935</v>
      </c>
      <c r="AA1841" t="n">
        <v>2.5</v>
      </c>
      <c r="AB1841" t="n">
        <v>9.5</v>
      </c>
    </row>
    <row r="1842">
      <c r="A1842" t="inlineStr">
        <is>
          <t>2026-09-24 17:56:20</t>
        </is>
      </c>
      <c r="B1842" t="inlineStr">
        <is>
          <t>MLLB_000_y1.0.3</t>
        </is>
      </c>
      <c r="C1842" t="inlineStr">
        <is>
          <t>WHITE</t>
        </is>
      </c>
      <c r="D1842" t="inlineStr">
        <is>
          <t>v4_white_MLLB_000_y103_0924</t>
        </is>
      </c>
      <c r="E1842" t="n">
        <v>3</v>
      </c>
      <c r="F1842" t="n">
        <v>3.008</v>
      </c>
      <c r="G1842" t="n">
        <v>100</v>
      </c>
      <c r="H1842" t="n">
        <v>100</v>
      </c>
      <c r="I1842" t="n">
        <v>32</v>
      </c>
      <c r="J1842" t="inlineStr">
        <is>
          <t>kaba</t>
        </is>
      </c>
      <c r="K1842" t="b">
        <v>1</v>
      </c>
      <c r="M1842" t="n">
        <v>34</v>
      </c>
      <c r="N1842" t="n">
        <v>32</v>
      </c>
      <c r="O1842" t="n">
        <v>14</v>
      </c>
      <c r="P1842" t="n">
        <v>968</v>
      </c>
      <c r="Q1842" t="n">
        <v>1002</v>
      </c>
      <c r="R1842" t="n">
        <v>1.068</v>
      </c>
      <c r="S1842" t="n">
        <v>242.323</v>
      </c>
      <c r="T1842" t="n">
        <v>226.928</v>
      </c>
      <c r="U1842" t="n">
        <v>0.7781</v>
      </c>
      <c r="V1842" t="b">
        <v>1</v>
      </c>
      <c r="X1842" t="b">
        <v>1</v>
      </c>
      <c r="Z1842" t="n">
        <v>935</v>
      </c>
      <c r="AA1842" t="n">
        <v>2.5</v>
      </c>
      <c r="AB1842" t="n">
        <v>9.5</v>
      </c>
    </row>
    <row r="1843">
      <c r="A1843" t="inlineStr">
        <is>
          <t>2026-09-24 17:56:36</t>
        </is>
      </c>
      <c r="B1843" t="inlineStr">
        <is>
          <t>MLLB_000_y1.0.3</t>
        </is>
      </c>
      <c r="C1843" t="inlineStr">
        <is>
          <t>WHITE</t>
        </is>
      </c>
      <c r="D1843" t="inlineStr">
        <is>
          <t>v4_white_MLLB_000_y103_0924</t>
        </is>
      </c>
      <c r="E1843" t="n">
        <v>3</v>
      </c>
      <c r="F1843" t="n">
        <v>3.008</v>
      </c>
      <c r="G1843" t="n">
        <v>100</v>
      </c>
      <c r="H1843" t="n">
        <v>100</v>
      </c>
      <c r="I1843" t="n">
        <v>36</v>
      </c>
      <c r="J1843" t="inlineStr">
        <is>
          <t>kaba</t>
        </is>
      </c>
      <c r="K1843" t="b">
        <v>1</v>
      </c>
      <c r="M1843" t="n">
        <v>34</v>
      </c>
      <c r="N1843" t="n">
        <v>32</v>
      </c>
      <c r="O1843" t="n">
        <v>14</v>
      </c>
      <c r="P1843" t="n">
        <v>968</v>
      </c>
      <c r="Q1843" t="n">
        <v>1002</v>
      </c>
      <c r="R1843" t="n">
        <v>1.067</v>
      </c>
      <c r="S1843" t="n">
        <v>242.323</v>
      </c>
      <c r="T1843" t="n">
        <v>227.042</v>
      </c>
      <c r="U1843" t="n">
        <v>0.7776</v>
      </c>
      <c r="V1843" t="b">
        <v>1</v>
      </c>
      <c r="X1843" t="b">
        <v>1</v>
      </c>
      <c r="Z1843" t="n">
        <v>935</v>
      </c>
      <c r="AA1843" t="n">
        <v>2.5</v>
      </c>
      <c r="AB1843" t="n">
        <v>9.5</v>
      </c>
    </row>
    <row r="1844">
      <c r="A1844" t="inlineStr">
        <is>
          <t>2026-09-24 17:56:52</t>
        </is>
      </c>
      <c r="B1844" t="inlineStr">
        <is>
          <t>MLLB_000_y1.0.3</t>
        </is>
      </c>
      <c r="C1844" t="inlineStr">
        <is>
          <t>WHITE</t>
        </is>
      </c>
      <c r="D1844" t="inlineStr">
        <is>
          <t>v4_white_MLLB_000_y103_0924</t>
        </is>
      </c>
      <c r="E1844" t="n">
        <v>3</v>
      </c>
      <c r="F1844" t="n">
        <v>3.008</v>
      </c>
      <c r="G1844" t="n">
        <v>100</v>
      </c>
      <c r="H1844" t="n">
        <v>100</v>
      </c>
      <c r="I1844" t="n">
        <v>40</v>
      </c>
      <c r="J1844" t="inlineStr">
        <is>
          <t>kaba</t>
        </is>
      </c>
      <c r="K1844" t="b">
        <v>1</v>
      </c>
      <c r="M1844" t="n">
        <v>34</v>
      </c>
      <c r="N1844" t="n">
        <v>32</v>
      </c>
      <c r="O1844" t="n">
        <v>14</v>
      </c>
      <c r="P1844" t="n">
        <v>968</v>
      </c>
      <c r="Q1844" t="n">
        <v>1002</v>
      </c>
      <c r="R1844" t="n">
        <v>1.068</v>
      </c>
      <c r="S1844" t="n">
        <v>242.323</v>
      </c>
      <c r="T1844" t="n">
        <v>226.999</v>
      </c>
      <c r="U1844" t="n">
        <v>0.778</v>
      </c>
      <c r="V1844" t="b">
        <v>1</v>
      </c>
      <c r="X1844" t="b">
        <v>1</v>
      </c>
      <c r="Z1844" t="n">
        <v>935</v>
      </c>
      <c r="AA1844" t="n">
        <v>2.5</v>
      </c>
      <c r="AB1844" t="n">
        <v>9.5</v>
      </c>
    </row>
    <row r="1845">
      <c r="A1845" t="inlineStr">
        <is>
          <t>2026-09-24 17:57:08</t>
        </is>
      </c>
      <c r="B1845" t="inlineStr">
        <is>
          <t>MLLB_000_y1.0.3</t>
        </is>
      </c>
      <c r="C1845" t="inlineStr">
        <is>
          <t>WHITE</t>
        </is>
      </c>
      <c r="D1845" t="inlineStr">
        <is>
          <t>v4_white_MLLB_000_y103_0924</t>
        </is>
      </c>
      <c r="E1845" t="n">
        <v>3</v>
      </c>
      <c r="F1845" t="n">
        <v>3.008</v>
      </c>
      <c r="G1845" t="n">
        <v>100</v>
      </c>
      <c r="H1845" t="n">
        <v>100</v>
      </c>
      <c r="I1845" t="n">
        <v>44</v>
      </c>
      <c r="J1845" t="inlineStr">
        <is>
          <t>kaba</t>
        </is>
      </c>
      <c r="K1845" t="b">
        <v>1</v>
      </c>
      <c r="M1845" t="n">
        <v>34</v>
      </c>
      <c r="N1845" t="n">
        <v>32</v>
      </c>
      <c r="O1845" t="n">
        <v>14</v>
      </c>
      <c r="P1845" t="n">
        <v>968</v>
      </c>
      <c r="Q1845" t="n">
        <v>1002</v>
      </c>
      <c r="R1845" t="n">
        <v>1.068</v>
      </c>
      <c r="S1845" t="n">
        <v>242.448</v>
      </c>
      <c r="T1845" t="n">
        <v>226.996</v>
      </c>
      <c r="U1845" t="n">
        <v>0.7776999999999999</v>
      </c>
      <c r="V1845" t="b">
        <v>1</v>
      </c>
      <c r="X1845" t="b">
        <v>1</v>
      </c>
      <c r="Z1845" t="n">
        <v>935</v>
      </c>
      <c r="AA1845" t="n">
        <v>2.5</v>
      </c>
      <c r="AB1845" t="n">
        <v>9.5</v>
      </c>
    </row>
    <row r="1846">
      <c r="A1846" t="inlineStr">
        <is>
          <t>2026-09-24 17:57:24</t>
        </is>
      </c>
      <c r="B1846" t="inlineStr">
        <is>
          <t>MLLB_000_y1.0.3</t>
        </is>
      </c>
      <c r="C1846" t="inlineStr">
        <is>
          <t>WHITE</t>
        </is>
      </c>
      <c r="D1846" t="inlineStr">
        <is>
          <t>v4_white_MLLB_000_y103_0924</t>
        </is>
      </c>
      <c r="E1846" t="n">
        <v>3</v>
      </c>
      <c r="F1846" t="n">
        <v>3.008</v>
      </c>
      <c r="G1846" t="n">
        <v>100</v>
      </c>
      <c r="H1846" t="n">
        <v>100</v>
      </c>
      <c r="I1846" t="n">
        <v>48</v>
      </c>
      <c r="J1846" t="inlineStr">
        <is>
          <t>kaba</t>
        </is>
      </c>
      <c r="K1846" t="b">
        <v>1</v>
      </c>
      <c r="M1846" t="n">
        <v>34</v>
      </c>
      <c r="N1846" t="n">
        <v>32</v>
      </c>
      <c r="O1846" t="n">
        <v>14</v>
      </c>
      <c r="P1846" t="n">
        <v>968</v>
      </c>
      <c r="Q1846" t="n">
        <v>1002</v>
      </c>
      <c r="R1846" t="n">
        <v>1.064</v>
      </c>
      <c r="S1846" t="n">
        <v>241.552</v>
      </c>
      <c r="T1846" t="n">
        <v>227.001</v>
      </c>
      <c r="U1846" t="n">
        <v>0.7776</v>
      </c>
      <c r="V1846" t="b">
        <v>1</v>
      </c>
      <c r="X1846" t="b">
        <v>1</v>
      </c>
      <c r="Z1846" t="n">
        <v>935</v>
      </c>
      <c r="AA1846" t="n">
        <v>2.5</v>
      </c>
      <c r="AB1846" t="n">
        <v>9.5</v>
      </c>
    </row>
    <row r="1847">
      <c r="A1847" t="inlineStr">
        <is>
          <t>2026-09-24 17:57:40</t>
        </is>
      </c>
      <c r="B1847" t="inlineStr">
        <is>
          <t>MLLB_000_y1.0.3</t>
        </is>
      </c>
      <c r="C1847" t="inlineStr">
        <is>
          <t>WHITE</t>
        </is>
      </c>
      <c r="D1847" t="inlineStr">
        <is>
          <t>v4_white_MLLB_000_y103_0924</t>
        </is>
      </c>
      <c r="E1847" t="n">
        <v>3</v>
      </c>
      <c r="F1847" t="n">
        <v>3.008</v>
      </c>
      <c r="G1847" t="n">
        <v>100</v>
      </c>
      <c r="H1847" t="n">
        <v>100</v>
      </c>
      <c r="I1847" t="n">
        <v>52</v>
      </c>
      <c r="J1847" t="inlineStr">
        <is>
          <t>kaba</t>
        </is>
      </c>
      <c r="K1847" t="b">
        <v>1</v>
      </c>
      <c r="M1847" t="n">
        <v>34</v>
      </c>
      <c r="N1847" t="n">
        <v>32</v>
      </c>
      <c r="O1847" t="n">
        <v>14</v>
      </c>
      <c r="P1847" t="n">
        <v>968</v>
      </c>
      <c r="Q1847" t="n">
        <v>1002</v>
      </c>
      <c r="R1847" t="n">
        <v>1.068</v>
      </c>
      <c r="S1847" t="n">
        <v>242.323</v>
      </c>
      <c r="T1847" t="n">
        <v>226.963</v>
      </c>
      <c r="U1847" t="n">
        <v>0.778</v>
      </c>
      <c r="V1847" t="b">
        <v>1</v>
      </c>
      <c r="X1847" t="b">
        <v>1</v>
      </c>
      <c r="Z1847" t="n">
        <v>935</v>
      </c>
      <c r="AA1847" t="n">
        <v>2.5</v>
      </c>
      <c r="AB1847" t="n">
        <v>9.5</v>
      </c>
    </row>
    <row r="1848">
      <c r="A1848" t="inlineStr">
        <is>
          <t>2026-09-24 17:57:56</t>
        </is>
      </c>
      <c r="B1848" t="inlineStr">
        <is>
          <t>MLLB_000_y1.0.3</t>
        </is>
      </c>
      <c r="C1848" t="inlineStr">
        <is>
          <t>WHITE</t>
        </is>
      </c>
      <c r="D1848" t="inlineStr">
        <is>
          <t>v4_white_MLLB_000_y103_0924</t>
        </is>
      </c>
      <c r="E1848" t="n">
        <v>3</v>
      </c>
      <c r="F1848" t="n">
        <v>3.008</v>
      </c>
      <c r="G1848" t="n">
        <v>100</v>
      </c>
      <c r="H1848" t="n">
        <v>100</v>
      </c>
      <c r="I1848" t="n">
        <v>56</v>
      </c>
      <c r="J1848" t="inlineStr">
        <is>
          <t>kaba</t>
        </is>
      </c>
      <c r="K1848" t="b">
        <v>1</v>
      </c>
      <c r="M1848" t="n">
        <v>34</v>
      </c>
      <c r="N1848" t="n">
        <v>32</v>
      </c>
      <c r="O1848" t="n">
        <v>14</v>
      </c>
      <c r="P1848" t="n">
        <v>968</v>
      </c>
      <c r="Q1848" t="n">
        <v>1002</v>
      </c>
      <c r="R1848" t="n">
        <v>1.068</v>
      </c>
      <c r="S1848" t="n">
        <v>242.323</v>
      </c>
      <c r="T1848" t="n">
        <v>226.896</v>
      </c>
      <c r="U1848" t="n">
        <v>0.7776999999999999</v>
      </c>
      <c r="V1848" t="b">
        <v>1</v>
      </c>
      <c r="X1848" t="b">
        <v>1</v>
      </c>
      <c r="Z1848" t="n">
        <v>935</v>
      </c>
      <c r="AA1848" t="n">
        <v>2.5</v>
      </c>
      <c r="AB1848" t="n">
        <v>9.5</v>
      </c>
    </row>
    <row r="1849">
      <c r="A1849" t="inlineStr">
        <is>
          <t>2026-09-24 17:58:12</t>
        </is>
      </c>
      <c r="B1849" t="inlineStr">
        <is>
          <t>MLLB_000_y1.0.3</t>
        </is>
      </c>
      <c r="C1849" t="inlineStr">
        <is>
          <t>WHITE</t>
        </is>
      </c>
      <c r="D1849" t="inlineStr">
        <is>
          <t>v4_white_MLLB_000_y103_0924</t>
        </is>
      </c>
      <c r="E1849" t="n">
        <v>3</v>
      </c>
      <c r="F1849" t="n">
        <v>3.008</v>
      </c>
      <c r="G1849" t="n">
        <v>100</v>
      </c>
      <c r="H1849" t="n">
        <v>100</v>
      </c>
      <c r="I1849" t="n">
        <v>58</v>
      </c>
      <c r="J1849" t="inlineStr">
        <is>
          <t>kaba</t>
        </is>
      </c>
      <c r="K1849" t="b">
        <v>1</v>
      </c>
      <c r="M1849" t="n">
        <v>34</v>
      </c>
      <c r="N1849" t="n">
        <v>32</v>
      </c>
      <c r="O1849" t="n">
        <v>14</v>
      </c>
      <c r="P1849" t="n">
        <v>968</v>
      </c>
      <c r="Q1849" t="n">
        <v>1002</v>
      </c>
      <c r="R1849" t="n">
        <v>1.068</v>
      </c>
      <c r="S1849" t="n">
        <v>242.323</v>
      </c>
      <c r="T1849" t="n">
        <v>226.807</v>
      </c>
      <c r="U1849" t="n">
        <v>0.7776</v>
      </c>
      <c r="V1849" t="b">
        <v>1</v>
      </c>
      <c r="X1849" t="b">
        <v>1</v>
      </c>
      <c r="Z1849" t="n">
        <v>935</v>
      </c>
      <c r="AA1849" t="n">
        <v>2.5</v>
      </c>
      <c r="AB1849" t="n">
        <v>9.5</v>
      </c>
    </row>
    <row r="1850">
      <c r="A1850" t="inlineStr">
        <is>
          <t>2026-09-24 17:58:12</t>
        </is>
      </c>
      <c r="B1850" t="inlineStr">
        <is>
          <t>MLLB_000_y1.0.3</t>
        </is>
      </c>
      <c r="C1850" t="inlineStr">
        <is>
          <t>WHITE</t>
        </is>
      </c>
      <c r="D1850" t="inlineStr">
        <is>
          <t>v4_white_MLLB_000_y103_0924</t>
        </is>
      </c>
      <c r="E1850" t="n">
        <v>3</v>
      </c>
      <c r="F1850" t="n">
        <v>3.008</v>
      </c>
      <c r="G1850" t="n">
        <v>100</v>
      </c>
      <c r="H1850" t="n">
        <v>100</v>
      </c>
      <c r="I1850" t="n">
        <v>13</v>
      </c>
      <c r="J1850" t="inlineStr">
        <is>
          <t>ince</t>
        </is>
      </c>
      <c r="K1850" t="b">
        <v>0</v>
      </c>
      <c r="L1850" t="inlineStr">
        <is>
          <t>iki-OK-arasi-monotonluk</t>
        </is>
      </c>
      <c r="X1850" t="b">
        <v>1</v>
      </c>
      <c r="Z1850" t="n">
        <v>935</v>
      </c>
      <c r="AA1850" t="n">
        <v>2.5</v>
      </c>
      <c r="AB1850" t="n">
        <v>9.5</v>
      </c>
    </row>
    <row r="1851">
      <c r="A1851" t="inlineStr">
        <is>
          <t>2026-09-24 17:58:12</t>
        </is>
      </c>
      <c r="B1851" t="inlineStr">
        <is>
          <t>MLLB_000_y1.0.3</t>
        </is>
      </c>
      <c r="C1851" t="inlineStr">
        <is>
          <t>WHITE</t>
        </is>
      </c>
      <c r="D1851" t="inlineStr">
        <is>
          <t>v4_white_MLLB_000_y103_0924</t>
        </is>
      </c>
      <c r="E1851" t="n">
        <v>3</v>
      </c>
      <c r="F1851" t="n">
        <v>3.008</v>
      </c>
      <c r="G1851" t="n">
        <v>100</v>
      </c>
      <c r="H1851" t="n">
        <v>100</v>
      </c>
      <c r="I1851" t="n">
        <v>14</v>
      </c>
      <c r="J1851" t="inlineStr">
        <is>
          <t>ince</t>
        </is>
      </c>
      <c r="K1851" t="b">
        <v>0</v>
      </c>
      <c r="L1851" t="inlineStr">
        <is>
          <t>iki-OK-arasi-monotonluk</t>
        </is>
      </c>
      <c r="X1851" t="b">
        <v>1</v>
      </c>
      <c r="Z1851" t="n">
        <v>935</v>
      </c>
      <c r="AA1851" t="n">
        <v>2.5</v>
      </c>
      <c r="AB1851" t="n">
        <v>9.5</v>
      </c>
    </row>
    <row r="1852">
      <c r="A1852" t="inlineStr">
        <is>
          <t>2026-09-24 17:58:12</t>
        </is>
      </c>
      <c r="B1852" t="inlineStr">
        <is>
          <t>MLLB_000_y1.0.3</t>
        </is>
      </c>
      <c r="C1852" t="inlineStr">
        <is>
          <t>WHITE</t>
        </is>
      </c>
      <c r="D1852" t="inlineStr">
        <is>
          <t>v4_white_MLLB_000_y103_0924</t>
        </is>
      </c>
      <c r="E1852" t="n">
        <v>3</v>
      </c>
      <c r="F1852" t="n">
        <v>3.008</v>
      </c>
      <c r="G1852" t="n">
        <v>100</v>
      </c>
      <c r="H1852" t="n">
        <v>100</v>
      </c>
      <c r="I1852" t="n">
        <v>15</v>
      </c>
      <c r="J1852" t="inlineStr">
        <is>
          <t>ince</t>
        </is>
      </c>
      <c r="K1852" t="b">
        <v>0</v>
      </c>
      <c r="L1852" t="inlineStr">
        <is>
          <t>iki-OK-arasi-monotonluk</t>
        </is>
      </c>
      <c r="X1852" t="b">
        <v>1</v>
      </c>
      <c r="Z1852" t="n">
        <v>935</v>
      </c>
      <c r="AA1852" t="n">
        <v>2.5</v>
      </c>
      <c r="AB1852" t="n">
        <v>9.5</v>
      </c>
    </row>
    <row r="1853">
      <c r="A1853" t="inlineStr">
        <is>
          <t>2026-09-24 17:58:12</t>
        </is>
      </c>
      <c r="B1853" t="inlineStr">
        <is>
          <t>MLLB_000_y1.0.3</t>
        </is>
      </c>
      <c r="C1853" t="inlineStr">
        <is>
          <t>WHITE</t>
        </is>
      </c>
      <c r="D1853" t="inlineStr">
        <is>
          <t>v4_white_MLLB_000_y103_0924</t>
        </is>
      </c>
      <c r="E1853" t="n">
        <v>3</v>
      </c>
      <c r="F1853" t="n">
        <v>3.008</v>
      </c>
      <c r="G1853" t="n">
        <v>100</v>
      </c>
      <c r="H1853" t="n">
        <v>100</v>
      </c>
      <c r="I1853" t="n">
        <v>17</v>
      </c>
      <c r="J1853" t="inlineStr">
        <is>
          <t>ince</t>
        </is>
      </c>
      <c r="K1853" t="b">
        <v>0</v>
      </c>
      <c r="L1853" t="inlineStr">
        <is>
          <t>iki-OK-arasi-monotonluk</t>
        </is>
      </c>
      <c r="X1853" t="b">
        <v>1</v>
      </c>
      <c r="Z1853" t="n">
        <v>935</v>
      </c>
      <c r="AA1853" t="n">
        <v>2.5</v>
      </c>
      <c r="AB1853" t="n">
        <v>9.5</v>
      </c>
    </row>
    <row r="1854">
      <c r="A1854" t="inlineStr">
        <is>
          <t>2026-09-24 17:58:12</t>
        </is>
      </c>
      <c r="B1854" t="inlineStr">
        <is>
          <t>MLLB_000_y1.0.3</t>
        </is>
      </c>
      <c r="C1854" t="inlineStr">
        <is>
          <t>WHITE</t>
        </is>
      </c>
      <c r="D1854" t="inlineStr">
        <is>
          <t>v4_white_MLLB_000_y103_0924</t>
        </is>
      </c>
      <c r="E1854" t="n">
        <v>3</v>
      </c>
      <c r="F1854" t="n">
        <v>3.008</v>
      </c>
      <c r="G1854" t="n">
        <v>100</v>
      </c>
      <c r="H1854" t="n">
        <v>100</v>
      </c>
      <c r="I1854" t="n">
        <v>18</v>
      </c>
      <c r="J1854" t="inlineStr">
        <is>
          <t>ince</t>
        </is>
      </c>
      <c r="K1854" t="b">
        <v>0</v>
      </c>
      <c r="L1854" t="inlineStr">
        <is>
          <t>iki-OK-arasi-monotonluk</t>
        </is>
      </c>
      <c r="X1854" t="b">
        <v>1</v>
      </c>
      <c r="Z1854" t="n">
        <v>935</v>
      </c>
      <c r="AA1854" t="n">
        <v>2.5</v>
      </c>
      <c r="AB1854" t="n">
        <v>9.5</v>
      </c>
    </row>
    <row r="1855">
      <c r="A1855" t="inlineStr">
        <is>
          <t>2026-09-24 17:58:12</t>
        </is>
      </c>
      <c r="B1855" t="inlineStr">
        <is>
          <t>MLLB_000_y1.0.3</t>
        </is>
      </c>
      <c r="C1855" t="inlineStr">
        <is>
          <t>WHITE</t>
        </is>
      </c>
      <c r="D1855" t="inlineStr">
        <is>
          <t>v4_white_MLLB_000_y103_0924</t>
        </is>
      </c>
      <c r="E1855" t="n">
        <v>3</v>
      </c>
      <c r="F1855" t="n">
        <v>3.008</v>
      </c>
      <c r="G1855" t="n">
        <v>100</v>
      </c>
      <c r="H1855" t="n">
        <v>100</v>
      </c>
      <c r="I1855" t="n">
        <v>19</v>
      </c>
      <c r="J1855" t="inlineStr">
        <is>
          <t>ince</t>
        </is>
      </c>
      <c r="K1855" t="b">
        <v>0</v>
      </c>
      <c r="L1855" t="inlineStr">
        <is>
          <t>iki-OK-arasi-monotonluk</t>
        </is>
      </c>
      <c r="X1855" t="b">
        <v>1</v>
      </c>
      <c r="Z1855" t="n">
        <v>935</v>
      </c>
      <c r="AA1855" t="n">
        <v>2.5</v>
      </c>
      <c r="AB1855" t="n">
        <v>9.5</v>
      </c>
    </row>
    <row r="1856">
      <c r="A1856" t="inlineStr">
        <is>
          <t>2026-09-24 17:58:12</t>
        </is>
      </c>
      <c r="B1856" t="inlineStr">
        <is>
          <t>MLLB_000_y1.0.3</t>
        </is>
      </c>
      <c r="C1856" t="inlineStr">
        <is>
          <t>WHITE</t>
        </is>
      </c>
      <c r="D1856" t="inlineStr">
        <is>
          <t>v4_white_MLLB_000_y103_0924</t>
        </is>
      </c>
      <c r="E1856" t="n">
        <v>3</v>
      </c>
      <c r="F1856" t="n">
        <v>3.008</v>
      </c>
      <c r="G1856" t="n">
        <v>100</v>
      </c>
      <c r="H1856" t="n">
        <v>100</v>
      </c>
      <c r="I1856" t="n">
        <v>21</v>
      </c>
      <c r="J1856" t="inlineStr">
        <is>
          <t>ince</t>
        </is>
      </c>
      <c r="K1856" t="b">
        <v>0</v>
      </c>
      <c r="L1856" t="inlineStr">
        <is>
          <t>iki-OK-arasi-monotonluk</t>
        </is>
      </c>
      <c r="X1856" t="b">
        <v>1</v>
      </c>
      <c r="Z1856" t="n">
        <v>935</v>
      </c>
      <c r="AA1856" t="n">
        <v>2.5</v>
      </c>
      <c r="AB1856" t="n">
        <v>9.5</v>
      </c>
    </row>
    <row r="1857">
      <c r="A1857" t="inlineStr">
        <is>
          <t>2026-09-24 17:58:12</t>
        </is>
      </c>
      <c r="B1857" t="inlineStr">
        <is>
          <t>MLLB_000_y1.0.3</t>
        </is>
      </c>
      <c r="C1857" t="inlineStr">
        <is>
          <t>WHITE</t>
        </is>
      </c>
      <c r="D1857" t="inlineStr">
        <is>
          <t>v4_white_MLLB_000_y103_0924</t>
        </is>
      </c>
      <c r="E1857" t="n">
        <v>3</v>
      </c>
      <c r="F1857" t="n">
        <v>3.008</v>
      </c>
      <c r="G1857" t="n">
        <v>100</v>
      </c>
      <c r="H1857" t="n">
        <v>100</v>
      </c>
      <c r="I1857" t="n">
        <v>22</v>
      </c>
      <c r="J1857" t="inlineStr">
        <is>
          <t>ince</t>
        </is>
      </c>
      <c r="K1857" t="b">
        <v>0</v>
      </c>
      <c r="L1857" t="inlineStr">
        <is>
          <t>iki-OK-arasi-monotonluk</t>
        </is>
      </c>
      <c r="X1857" t="b">
        <v>1</v>
      </c>
      <c r="Z1857" t="n">
        <v>935</v>
      </c>
      <c r="AA1857" t="n">
        <v>2.5</v>
      </c>
      <c r="AB1857" t="n">
        <v>9.5</v>
      </c>
    </row>
    <row r="1858">
      <c r="A1858" t="inlineStr">
        <is>
          <t>2026-09-24 17:58:12</t>
        </is>
      </c>
      <c r="B1858" t="inlineStr">
        <is>
          <t>MLLB_000_y1.0.3</t>
        </is>
      </c>
      <c r="C1858" t="inlineStr">
        <is>
          <t>WHITE</t>
        </is>
      </c>
      <c r="D1858" t="inlineStr">
        <is>
          <t>v4_white_MLLB_000_y103_0924</t>
        </is>
      </c>
      <c r="E1858" t="n">
        <v>3</v>
      </c>
      <c r="F1858" t="n">
        <v>3.008</v>
      </c>
      <c r="G1858" t="n">
        <v>100</v>
      </c>
      <c r="H1858" t="n">
        <v>100</v>
      </c>
      <c r="I1858" t="n">
        <v>23</v>
      </c>
      <c r="J1858" t="inlineStr">
        <is>
          <t>ince</t>
        </is>
      </c>
      <c r="K1858" t="b">
        <v>0</v>
      </c>
      <c r="L1858" t="inlineStr">
        <is>
          <t>iki-OK-arasi-monotonluk</t>
        </is>
      </c>
      <c r="X1858" t="b">
        <v>1</v>
      </c>
      <c r="Z1858" t="n">
        <v>935</v>
      </c>
      <c r="AA1858" t="n">
        <v>2.5</v>
      </c>
      <c r="AB1858" t="n">
        <v>9.5</v>
      </c>
    </row>
    <row r="1859">
      <c r="A1859" t="inlineStr">
        <is>
          <t>2026-09-24 17:58:12</t>
        </is>
      </c>
      <c r="B1859" t="inlineStr">
        <is>
          <t>MLLB_000_y1.0.3</t>
        </is>
      </c>
      <c r="C1859" t="inlineStr">
        <is>
          <t>WHITE</t>
        </is>
      </c>
      <c r="D1859" t="inlineStr">
        <is>
          <t>v4_white_MLLB_000_y103_0924</t>
        </is>
      </c>
      <c r="E1859" t="n">
        <v>3</v>
      </c>
      <c r="F1859" t="n">
        <v>3.008</v>
      </c>
      <c r="G1859" t="n">
        <v>100</v>
      </c>
      <c r="H1859" t="n">
        <v>100</v>
      </c>
      <c r="I1859" t="n">
        <v>25</v>
      </c>
      <c r="J1859" t="inlineStr">
        <is>
          <t>ince</t>
        </is>
      </c>
      <c r="K1859" t="b">
        <v>0</v>
      </c>
      <c r="L1859" t="inlineStr">
        <is>
          <t>iki-OK-arasi-monotonluk</t>
        </is>
      </c>
      <c r="X1859" t="b">
        <v>1</v>
      </c>
      <c r="Z1859" t="n">
        <v>935</v>
      </c>
      <c r="AA1859" t="n">
        <v>2.5</v>
      </c>
      <c r="AB1859" t="n">
        <v>9.5</v>
      </c>
    </row>
    <row r="1860">
      <c r="A1860" t="inlineStr">
        <is>
          <t>2026-09-24 17:58:12</t>
        </is>
      </c>
      <c r="B1860" t="inlineStr">
        <is>
          <t>MLLB_000_y1.0.3</t>
        </is>
      </c>
      <c r="C1860" t="inlineStr">
        <is>
          <t>WHITE</t>
        </is>
      </c>
      <c r="D1860" t="inlineStr">
        <is>
          <t>v4_white_MLLB_000_y103_0924</t>
        </is>
      </c>
      <c r="E1860" t="n">
        <v>3</v>
      </c>
      <c r="F1860" t="n">
        <v>3.008</v>
      </c>
      <c r="G1860" t="n">
        <v>100</v>
      </c>
      <c r="H1860" t="n">
        <v>100</v>
      </c>
      <c r="I1860" t="n">
        <v>26</v>
      </c>
      <c r="J1860" t="inlineStr">
        <is>
          <t>ince</t>
        </is>
      </c>
      <c r="K1860" t="b">
        <v>0</v>
      </c>
      <c r="L1860" t="inlineStr">
        <is>
          <t>iki-OK-arasi-monotonluk</t>
        </is>
      </c>
      <c r="X1860" t="b">
        <v>1</v>
      </c>
      <c r="Z1860" t="n">
        <v>935</v>
      </c>
      <c r="AA1860" t="n">
        <v>2.5</v>
      </c>
      <c r="AB1860" t="n">
        <v>9.5</v>
      </c>
    </row>
    <row r="1861">
      <c r="A1861" t="inlineStr">
        <is>
          <t>2026-09-24 17:58:12</t>
        </is>
      </c>
      <c r="B1861" t="inlineStr">
        <is>
          <t>MLLB_000_y1.0.3</t>
        </is>
      </c>
      <c r="C1861" t="inlineStr">
        <is>
          <t>WHITE</t>
        </is>
      </c>
      <c r="D1861" t="inlineStr">
        <is>
          <t>v4_white_MLLB_000_y103_0924</t>
        </is>
      </c>
      <c r="E1861" t="n">
        <v>3</v>
      </c>
      <c r="F1861" t="n">
        <v>3.008</v>
      </c>
      <c r="G1861" t="n">
        <v>100</v>
      </c>
      <c r="H1861" t="n">
        <v>100</v>
      </c>
      <c r="I1861" t="n">
        <v>27</v>
      </c>
      <c r="J1861" t="inlineStr">
        <is>
          <t>ince</t>
        </is>
      </c>
      <c r="K1861" t="b">
        <v>0</v>
      </c>
      <c r="L1861" t="inlineStr">
        <is>
          <t>iki-OK-arasi-monotonluk</t>
        </is>
      </c>
      <c r="X1861" t="b">
        <v>1</v>
      </c>
      <c r="Z1861" t="n">
        <v>935</v>
      </c>
      <c r="AA1861" t="n">
        <v>2.5</v>
      </c>
      <c r="AB1861" t="n">
        <v>9.5</v>
      </c>
    </row>
    <row r="1862">
      <c r="A1862" t="inlineStr">
        <is>
          <t>2026-09-24 17:58:12</t>
        </is>
      </c>
      <c r="B1862" t="inlineStr">
        <is>
          <t>MLLB_000_y1.0.3</t>
        </is>
      </c>
      <c r="C1862" t="inlineStr">
        <is>
          <t>WHITE</t>
        </is>
      </c>
      <c r="D1862" t="inlineStr">
        <is>
          <t>v4_white_MLLB_000_y103_0924</t>
        </is>
      </c>
      <c r="E1862" t="n">
        <v>3</v>
      </c>
      <c r="F1862" t="n">
        <v>3.008</v>
      </c>
      <c r="G1862" t="n">
        <v>100</v>
      </c>
      <c r="H1862" t="n">
        <v>100</v>
      </c>
      <c r="I1862" t="n">
        <v>29</v>
      </c>
      <c r="J1862" t="inlineStr">
        <is>
          <t>ince</t>
        </is>
      </c>
      <c r="K1862" t="b">
        <v>0</v>
      </c>
      <c r="L1862" t="inlineStr">
        <is>
          <t>iki-OK-arasi-monotonluk</t>
        </is>
      </c>
      <c r="X1862" t="b">
        <v>1</v>
      </c>
      <c r="Z1862" t="n">
        <v>935</v>
      </c>
      <c r="AA1862" t="n">
        <v>2.5</v>
      </c>
      <c r="AB1862" t="n">
        <v>9.5</v>
      </c>
    </row>
    <row r="1863">
      <c r="A1863" t="inlineStr">
        <is>
          <t>2026-09-24 17:58:12</t>
        </is>
      </c>
      <c r="B1863" t="inlineStr">
        <is>
          <t>MLLB_000_y1.0.3</t>
        </is>
      </c>
      <c r="C1863" t="inlineStr">
        <is>
          <t>WHITE</t>
        </is>
      </c>
      <c r="D1863" t="inlineStr">
        <is>
          <t>v4_white_MLLB_000_y103_0924</t>
        </is>
      </c>
      <c r="E1863" t="n">
        <v>3</v>
      </c>
      <c r="F1863" t="n">
        <v>3.008</v>
      </c>
      <c r="G1863" t="n">
        <v>100</v>
      </c>
      <c r="H1863" t="n">
        <v>100</v>
      </c>
      <c r="I1863" t="n">
        <v>30</v>
      </c>
      <c r="J1863" t="inlineStr">
        <is>
          <t>ince</t>
        </is>
      </c>
      <c r="K1863" t="b">
        <v>0</v>
      </c>
      <c r="L1863" t="inlineStr">
        <is>
          <t>iki-OK-arasi-monotonluk</t>
        </is>
      </c>
      <c r="X1863" t="b">
        <v>1</v>
      </c>
      <c r="Z1863" t="n">
        <v>935</v>
      </c>
      <c r="AA1863" t="n">
        <v>2.5</v>
      </c>
      <c r="AB1863" t="n">
        <v>9.5</v>
      </c>
    </row>
    <row r="1864">
      <c r="A1864" t="inlineStr">
        <is>
          <t>2026-09-24 17:58:12</t>
        </is>
      </c>
      <c r="B1864" t="inlineStr">
        <is>
          <t>MLLB_000_y1.0.3</t>
        </is>
      </c>
      <c r="C1864" t="inlineStr">
        <is>
          <t>WHITE</t>
        </is>
      </c>
      <c r="D1864" t="inlineStr">
        <is>
          <t>v4_white_MLLB_000_y103_0924</t>
        </is>
      </c>
      <c r="E1864" t="n">
        <v>3</v>
      </c>
      <c r="F1864" t="n">
        <v>3.008</v>
      </c>
      <c r="G1864" t="n">
        <v>100</v>
      </c>
      <c r="H1864" t="n">
        <v>100</v>
      </c>
      <c r="I1864" t="n">
        <v>31</v>
      </c>
      <c r="J1864" t="inlineStr">
        <is>
          <t>ince</t>
        </is>
      </c>
      <c r="K1864" t="b">
        <v>0</v>
      </c>
      <c r="L1864" t="inlineStr">
        <is>
          <t>iki-OK-arasi-monotonluk</t>
        </is>
      </c>
      <c r="X1864" t="b">
        <v>1</v>
      </c>
      <c r="Z1864" t="n">
        <v>935</v>
      </c>
      <c r="AA1864" t="n">
        <v>2.5</v>
      </c>
      <c r="AB1864" t="n">
        <v>9.5</v>
      </c>
    </row>
    <row r="1865">
      <c r="A1865" t="inlineStr">
        <is>
          <t>2026-09-24 17:58:12</t>
        </is>
      </c>
      <c r="B1865" t="inlineStr">
        <is>
          <t>MLLB_000_y1.0.3</t>
        </is>
      </c>
      <c r="C1865" t="inlineStr">
        <is>
          <t>WHITE</t>
        </is>
      </c>
      <c r="D1865" t="inlineStr">
        <is>
          <t>v4_white_MLLB_000_y103_0924</t>
        </is>
      </c>
      <c r="E1865" t="n">
        <v>3</v>
      </c>
      <c r="F1865" t="n">
        <v>3.008</v>
      </c>
      <c r="G1865" t="n">
        <v>100</v>
      </c>
      <c r="H1865" t="n">
        <v>100</v>
      </c>
      <c r="I1865" t="n">
        <v>33</v>
      </c>
      <c r="J1865" t="inlineStr">
        <is>
          <t>ince</t>
        </is>
      </c>
      <c r="K1865" t="b">
        <v>0</v>
      </c>
      <c r="L1865" t="inlineStr">
        <is>
          <t>iki-OK-arasi-monotonluk</t>
        </is>
      </c>
      <c r="X1865" t="b">
        <v>1</v>
      </c>
      <c r="Z1865" t="n">
        <v>935</v>
      </c>
      <c r="AA1865" t="n">
        <v>2.5</v>
      </c>
      <c r="AB1865" t="n">
        <v>9.5</v>
      </c>
    </row>
    <row r="1866">
      <c r="A1866" t="inlineStr">
        <is>
          <t>2026-09-24 17:58:12</t>
        </is>
      </c>
      <c r="B1866" t="inlineStr">
        <is>
          <t>MLLB_000_y1.0.3</t>
        </is>
      </c>
      <c r="C1866" t="inlineStr">
        <is>
          <t>WHITE</t>
        </is>
      </c>
      <c r="D1866" t="inlineStr">
        <is>
          <t>v4_white_MLLB_000_y103_0924</t>
        </is>
      </c>
      <c r="E1866" t="n">
        <v>3</v>
      </c>
      <c r="F1866" t="n">
        <v>3.008</v>
      </c>
      <c r="G1866" t="n">
        <v>100</v>
      </c>
      <c r="H1866" t="n">
        <v>100</v>
      </c>
      <c r="I1866" t="n">
        <v>34</v>
      </c>
      <c r="J1866" t="inlineStr">
        <is>
          <t>ince</t>
        </is>
      </c>
      <c r="K1866" t="b">
        <v>0</v>
      </c>
      <c r="L1866" t="inlineStr">
        <is>
          <t>iki-OK-arasi-monotonluk</t>
        </is>
      </c>
      <c r="X1866" t="b">
        <v>1</v>
      </c>
      <c r="Z1866" t="n">
        <v>935</v>
      </c>
      <c r="AA1866" t="n">
        <v>2.5</v>
      </c>
      <c r="AB1866" t="n">
        <v>9.5</v>
      </c>
    </row>
    <row r="1867">
      <c r="A1867" t="inlineStr">
        <is>
          <t>2026-09-24 17:58:12</t>
        </is>
      </c>
      <c r="B1867" t="inlineStr">
        <is>
          <t>MLLB_000_y1.0.3</t>
        </is>
      </c>
      <c r="C1867" t="inlineStr">
        <is>
          <t>WHITE</t>
        </is>
      </c>
      <c r="D1867" t="inlineStr">
        <is>
          <t>v4_white_MLLB_000_y103_0924</t>
        </is>
      </c>
      <c r="E1867" t="n">
        <v>3</v>
      </c>
      <c r="F1867" t="n">
        <v>3.008</v>
      </c>
      <c r="G1867" t="n">
        <v>100</v>
      </c>
      <c r="H1867" t="n">
        <v>100</v>
      </c>
      <c r="I1867" t="n">
        <v>35</v>
      </c>
      <c r="J1867" t="inlineStr">
        <is>
          <t>ince</t>
        </is>
      </c>
      <c r="K1867" t="b">
        <v>0</v>
      </c>
      <c r="L1867" t="inlineStr">
        <is>
          <t>iki-OK-arasi-monotonluk</t>
        </is>
      </c>
      <c r="X1867" t="b">
        <v>1</v>
      </c>
      <c r="Z1867" t="n">
        <v>935</v>
      </c>
      <c r="AA1867" t="n">
        <v>2.5</v>
      </c>
      <c r="AB1867" t="n">
        <v>9.5</v>
      </c>
    </row>
    <row r="1868">
      <c r="A1868" t="inlineStr">
        <is>
          <t>2026-09-24 17:58:12</t>
        </is>
      </c>
      <c r="B1868" t="inlineStr">
        <is>
          <t>MLLB_000_y1.0.3</t>
        </is>
      </c>
      <c r="C1868" t="inlineStr">
        <is>
          <t>WHITE</t>
        </is>
      </c>
      <c r="D1868" t="inlineStr">
        <is>
          <t>v4_white_MLLB_000_y103_0924</t>
        </is>
      </c>
      <c r="E1868" t="n">
        <v>3</v>
      </c>
      <c r="F1868" t="n">
        <v>3.008</v>
      </c>
      <c r="G1868" t="n">
        <v>100</v>
      </c>
      <c r="H1868" t="n">
        <v>100</v>
      </c>
      <c r="I1868" t="n">
        <v>37</v>
      </c>
      <c r="J1868" t="inlineStr">
        <is>
          <t>ince</t>
        </is>
      </c>
      <c r="K1868" t="b">
        <v>0</v>
      </c>
      <c r="L1868" t="inlineStr">
        <is>
          <t>iki-OK-arasi-monotonluk</t>
        </is>
      </c>
      <c r="X1868" t="b">
        <v>1</v>
      </c>
      <c r="Z1868" t="n">
        <v>935</v>
      </c>
      <c r="AA1868" t="n">
        <v>2.5</v>
      </c>
      <c r="AB1868" t="n">
        <v>9.5</v>
      </c>
    </row>
    <row r="1869">
      <c r="A1869" t="inlineStr">
        <is>
          <t>2026-09-24 17:58:12</t>
        </is>
      </c>
      <c r="B1869" t="inlineStr">
        <is>
          <t>MLLB_000_y1.0.3</t>
        </is>
      </c>
      <c r="C1869" t="inlineStr">
        <is>
          <t>WHITE</t>
        </is>
      </c>
      <c r="D1869" t="inlineStr">
        <is>
          <t>v4_white_MLLB_000_y103_0924</t>
        </is>
      </c>
      <c r="E1869" t="n">
        <v>3</v>
      </c>
      <c r="F1869" t="n">
        <v>3.008</v>
      </c>
      <c r="G1869" t="n">
        <v>100</v>
      </c>
      <c r="H1869" t="n">
        <v>100</v>
      </c>
      <c r="I1869" t="n">
        <v>38</v>
      </c>
      <c r="J1869" t="inlineStr">
        <is>
          <t>ince</t>
        </is>
      </c>
      <c r="K1869" t="b">
        <v>0</v>
      </c>
      <c r="L1869" t="inlineStr">
        <is>
          <t>iki-OK-arasi-monotonluk</t>
        </is>
      </c>
      <c r="X1869" t="b">
        <v>1</v>
      </c>
      <c r="Z1869" t="n">
        <v>935</v>
      </c>
      <c r="AA1869" t="n">
        <v>2.5</v>
      </c>
      <c r="AB1869" t="n">
        <v>9.5</v>
      </c>
    </row>
    <row r="1870">
      <c r="A1870" t="inlineStr">
        <is>
          <t>2026-09-24 17:58:12</t>
        </is>
      </c>
      <c r="B1870" t="inlineStr">
        <is>
          <t>MLLB_000_y1.0.3</t>
        </is>
      </c>
      <c r="C1870" t="inlineStr">
        <is>
          <t>WHITE</t>
        </is>
      </c>
      <c r="D1870" t="inlineStr">
        <is>
          <t>v4_white_MLLB_000_y103_0924</t>
        </is>
      </c>
      <c r="E1870" t="n">
        <v>3</v>
      </c>
      <c r="F1870" t="n">
        <v>3.008</v>
      </c>
      <c r="G1870" t="n">
        <v>100</v>
      </c>
      <c r="H1870" t="n">
        <v>100</v>
      </c>
      <c r="I1870" t="n">
        <v>39</v>
      </c>
      <c r="J1870" t="inlineStr">
        <is>
          <t>ince</t>
        </is>
      </c>
      <c r="K1870" t="b">
        <v>0</v>
      </c>
      <c r="L1870" t="inlineStr">
        <is>
          <t>iki-OK-arasi-monotonluk</t>
        </is>
      </c>
      <c r="X1870" t="b">
        <v>1</v>
      </c>
      <c r="Z1870" t="n">
        <v>935</v>
      </c>
      <c r="AA1870" t="n">
        <v>2.5</v>
      </c>
      <c r="AB1870" t="n">
        <v>9.5</v>
      </c>
    </row>
    <row r="1871">
      <c r="A1871" t="inlineStr">
        <is>
          <t>2026-09-24 17:58:12</t>
        </is>
      </c>
      <c r="B1871" t="inlineStr">
        <is>
          <t>MLLB_000_y1.0.3</t>
        </is>
      </c>
      <c r="C1871" t="inlineStr">
        <is>
          <t>WHITE</t>
        </is>
      </c>
      <c r="D1871" t="inlineStr">
        <is>
          <t>v4_white_MLLB_000_y103_0924</t>
        </is>
      </c>
      <c r="E1871" t="n">
        <v>3</v>
      </c>
      <c r="F1871" t="n">
        <v>3.008</v>
      </c>
      <c r="G1871" t="n">
        <v>100</v>
      </c>
      <c r="H1871" t="n">
        <v>100</v>
      </c>
      <c r="I1871" t="n">
        <v>41</v>
      </c>
      <c r="J1871" t="inlineStr">
        <is>
          <t>ince</t>
        </is>
      </c>
      <c r="K1871" t="b">
        <v>0</v>
      </c>
      <c r="L1871" t="inlineStr">
        <is>
          <t>iki-OK-arasi-monotonluk</t>
        </is>
      </c>
      <c r="X1871" t="b">
        <v>1</v>
      </c>
      <c r="Z1871" t="n">
        <v>935</v>
      </c>
      <c r="AA1871" t="n">
        <v>2.5</v>
      </c>
      <c r="AB1871" t="n">
        <v>9.5</v>
      </c>
    </row>
    <row r="1872">
      <c r="A1872" t="inlineStr">
        <is>
          <t>2026-09-24 17:58:12</t>
        </is>
      </c>
      <c r="B1872" t="inlineStr">
        <is>
          <t>MLLB_000_y1.0.3</t>
        </is>
      </c>
      <c r="C1872" t="inlineStr">
        <is>
          <t>WHITE</t>
        </is>
      </c>
      <c r="D1872" t="inlineStr">
        <is>
          <t>v4_white_MLLB_000_y103_0924</t>
        </is>
      </c>
      <c r="E1872" t="n">
        <v>3</v>
      </c>
      <c r="F1872" t="n">
        <v>3.008</v>
      </c>
      <c r="G1872" t="n">
        <v>100</v>
      </c>
      <c r="H1872" t="n">
        <v>100</v>
      </c>
      <c r="I1872" t="n">
        <v>42</v>
      </c>
      <c r="J1872" t="inlineStr">
        <is>
          <t>ince</t>
        </is>
      </c>
      <c r="K1872" t="b">
        <v>0</v>
      </c>
      <c r="L1872" t="inlineStr">
        <is>
          <t>iki-OK-arasi-monotonluk</t>
        </is>
      </c>
      <c r="X1872" t="b">
        <v>1</v>
      </c>
      <c r="Z1872" t="n">
        <v>935</v>
      </c>
      <c r="AA1872" t="n">
        <v>2.5</v>
      </c>
      <c r="AB1872" t="n">
        <v>9.5</v>
      </c>
    </row>
    <row r="1873">
      <c r="A1873" t="inlineStr">
        <is>
          <t>2026-09-24 17:58:12</t>
        </is>
      </c>
      <c r="B1873" t="inlineStr">
        <is>
          <t>MLLB_000_y1.0.3</t>
        </is>
      </c>
      <c r="C1873" t="inlineStr">
        <is>
          <t>WHITE</t>
        </is>
      </c>
      <c r="D1873" t="inlineStr">
        <is>
          <t>v4_white_MLLB_000_y103_0924</t>
        </is>
      </c>
      <c r="E1873" t="n">
        <v>3</v>
      </c>
      <c r="F1873" t="n">
        <v>3.008</v>
      </c>
      <c r="G1873" t="n">
        <v>100</v>
      </c>
      <c r="H1873" t="n">
        <v>100</v>
      </c>
      <c r="I1873" t="n">
        <v>43</v>
      </c>
      <c r="J1873" t="inlineStr">
        <is>
          <t>ince</t>
        </is>
      </c>
      <c r="K1873" t="b">
        <v>0</v>
      </c>
      <c r="L1873" t="inlineStr">
        <is>
          <t>iki-OK-arasi-monotonluk</t>
        </is>
      </c>
      <c r="X1873" t="b">
        <v>1</v>
      </c>
      <c r="Z1873" t="n">
        <v>935</v>
      </c>
      <c r="AA1873" t="n">
        <v>2.5</v>
      </c>
      <c r="AB1873" t="n">
        <v>9.5</v>
      </c>
    </row>
    <row r="1874">
      <c r="A1874" t="inlineStr">
        <is>
          <t>2026-09-24 17:58:12</t>
        </is>
      </c>
      <c r="B1874" t="inlineStr">
        <is>
          <t>MLLB_000_y1.0.3</t>
        </is>
      </c>
      <c r="C1874" t="inlineStr">
        <is>
          <t>WHITE</t>
        </is>
      </c>
      <c r="D1874" t="inlineStr">
        <is>
          <t>v4_white_MLLB_000_y103_0924</t>
        </is>
      </c>
      <c r="E1874" t="n">
        <v>3</v>
      </c>
      <c r="F1874" t="n">
        <v>3.008</v>
      </c>
      <c r="G1874" t="n">
        <v>100</v>
      </c>
      <c r="H1874" t="n">
        <v>100</v>
      </c>
      <c r="I1874" t="n">
        <v>45</v>
      </c>
      <c r="J1874" t="inlineStr">
        <is>
          <t>ince</t>
        </is>
      </c>
      <c r="K1874" t="b">
        <v>0</v>
      </c>
      <c r="L1874" t="inlineStr">
        <is>
          <t>iki-OK-arasi-monotonluk</t>
        </is>
      </c>
      <c r="X1874" t="b">
        <v>1</v>
      </c>
      <c r="Z1874" t="n">
        <v>935</v>
      </c>
      <c r="AA1874" t="n">
        <v>2.5</v>
      </c>
      <c r="AB1874" t="n">
        <v>9.5</v>
      </c>
    </row>
    <row r="1875">
      <c r="A1875" t="inlineStr">
        <is>
          <t>2026-09-24 17:58:12</t>
        </is>
      </c>
      <c r="B1875" t="inlineStr">
        <is>
          <t>MLLB_000_y1.0.3</t>
        </is>
      </c>
      <c r="C1875" t="inlineStr">
        <is>
          <t>WHITE</t>
        </is>
      </c>
      <c r="D1875" t="inlineStr">
        <is>
          <t>v4_white_MLLB_000_y103_0924</t>
        </is>
      </c>
      <c r="E1875" t="n">
        <v>3</v>
      </c>
      <c r="F1875" t="n">
        <v>3.008</v>
      </c>
      <c r="G1875" t="n">
        <v>100</v>
      </c>
      <c r="H1875" t="n">
        <v>100</v>
      </c>
      <c r="I1875" t="n">
        <v>46</v>
      </c>
      <c r="J1875" t="inlineStr">
        <is>
          <t>ince</t>
        </is>
      </c>
      <c r="K1875" t="b">
        <v>0</v>
      </c>
      <c r="L1875" t="inlineStr">
        <is>
          <t>iki-OK-arasi-monotonluk</t>
        </is>
      </c>
      <c r="X1875" t="b">
        <v>1</v>
      </c>
      <c r="Z1875" t="n">
        <v>935</v>
      </c>
      <c r="AA1875" t="n">
        <v>2.5</v>
      </c>
      <c r="AB1875" t="n">
        <v>9.5</v>
      </c>
    </row>
    <row r="1876">
      <c r="A1876" t="inlineStr">
        <is>
          <t>2026-09-24 17:58:12</t>
        </is>
      </c>
      <c r="B1876" t="inlineStr">
        <is>
          <t>MLLB_000_y1.0.3</t>
        </is>
      </c>
      <c r="C1876" t="inlineStr">
        <is>
          <t>WHITE</t>
        </is>
      </c>
      <c r="D1876" t="inlineStr">
        <is>
          <t>v4_white_MLLB_000_y103_0924</t>
        </is>
      </c>
      <c r="E1876" t="n">
        <v>3</v>
      </c>
      <c r="F1876" t="n">
        <v>3.008</v>
      </c>
      <c r="G1876" t="n">
        <v>100</v>
      </c>
      <c r="H1876" t="n">
        <v>100</v>
      </c>
      <c r="I1876" t="n">
        <v>47</v>
      </c>
      <c r="J1876" t="inlineStr">
        <is>
          <t>ince</t>
        </is>
      </c>
      <c r="K1876" t="b">
        <v>0</v>
      </c>
      <c r="L1876" t="inlineStr">
        <is>
          <t>iki-OK-arasi-monotonluk</t>
        </is>
      </c>
      <c r="X1876" t="b">
        <v>1</v>
      </c>
      <c r="Z1876" t="n">
        <v>935</v>
      </c>
      <c r="AA1876" t="n">
        <v>2.5</v>
      </c>
      <c r="AB1876" t="n">
        <v>9.5</v>
      </c>
    </row>
    <row r="1877">
      <c r="A1877" t="inlineStr">
        <is>
          <t>2026-09-24 17:58:12</t>
        </is>
      </c>
      <c r="B1877" t="inlineStr">
        <is>
          <t>MLLB_000_y1.0.3</t>
        </is>
      </c>
      <c r="C1877" t="inlineStr">
        <is>
          <t>WHITE</t>
        </is>
      </c>
      <c r="D1877" t="inlineStr">
        <is>
          <t>v4_white_MLLB_000_y103_0924</t>
        </is>
      </c>
      <c r="E1877" t="n">
        <v>3</v>
      </c>
      <c r="F1877" t="n">
        <v>3.008</v>
      </c>
      <c r="G1877" t="n">
        <v>100</v>
      </c>
      <c r="H1877" t="n">
        <v>100</v>
      </c>
      <c r="I1877" t="n">
        <v>49</v>
      </c>
      <c r="J1877" t="inlineStr">
        <is>
          <t>ince</t>
        </is>
      </c>
      <c r="K1877" t="b">
        <v>0</v>
      </c>
      <c r="L1877" t="inlineStr">
        <is>
          <t>iki-OK-arasi-monotonluk</t>
        </is>
      </c>
      <c r="X1877" t="b">
        <v>1</v>
      </c>
      <c r="Z1877" t="n">
        <v>935</v>
      </c>
      <c r="AA1877" t="n">
        <v>2.5</v>
      </c>
      <c r="AB1877" t="n">
        <v>9.5</v>
      </c>
    </row>
    <row r="1878">
      <c r="A1878" t="inlineStr">
        <is>
          <t>2026-09-24 17:58:12</t>
        </is>
      </c>
      <c r="B1878" t="inlineStr">
        <is>
          <t>MLLB_000_y1.0.3</t>
        </is>
      </c>
      <c r="C1878" t="inlineStr">
        <is>
          <t>WHITE</t>
        </is>
      </c>
      <c r="D1878" t="inlineStr">
        <is>
          <t>v4_white_MLLB_000_y103_0924</t>
        </is>
      </c>
      <c r="E1878" t="n">
        <v>3</v>
      </c>
      <c r="F1878" t="n">
        <v>3.008</v>
      </c>
      <c r="G1878" t="n">
        <v>100</v>
      </c>
      <c r="H1878" t="n">
        <v>100</v>
      </c>
      <c r="I1878" t="n">
        <v>50</v>
      </c>
      <c r="J1878" t="inlineStr">
        <is>
          <t>ince</t>
        </is>
      </c>
      <c r="K1878" t="b">
        <v>0</v>
      </c>
      <c r="L1878" t="inlineStr">
        <is>
          <t>iki-OK-arasi-monotonluk</t>
        </is>
      </c>
      <c r="X1878" t="b">
        <v>1</v>
      </c>
      <c r="Z1878" t="n">
        <v>935</v>
      </c>
      <c r="AA1878" t="n">
        <v>2.5</v>
      </c>
      <c r="AB1878" t="n">
        <v>9.5</v>
      </c>
    </row>
    <row r="1879">
      <c r="A1879" t="inlineStr">
        <is>
          <t>2026-09-24 17:58:12</t>
        </is>
      </c>
      <c r="B1879" t="inlineStr">
        <is>
          <t>MLLB_000_y1.0.3</t>
        </is>
      </c>
      <c r="C1879" t="inlineStr">
        <is>
          <t>WHITE</t>
        </is>
      </c>
      <c r="D1879" t="inlineStr">
        <is>
          <t>v4_white_MLLB_000_y103_0924</t>
        </is>
      </c>
      <c r="E1879" t="n">
        <v>3</v>
      </c>
      <c r="F1879" t="n">
        <v>3.008</v>
      </c>
      <c r="G1879" t="n">
        <v>100</v>
      </c>
      <c r="H1879" t="n">
        <v>100</v>
      </c>
      <c r="I1879" t="n">
        <v>51</v>
      </c>
      <c r="J1879" t="inlineStr">
        <is>
          <t>ince</t>
        </is>
      </c>
      <c r="K1879" t="b">
        <v>0</v>
      </c>
      <c r="L1879" t="inlineStr">
        <is>
          <t>iki-OK-arasi-monotonluk</t>
        </is>
      </c>
      <c r="X1879" t="b">
        <v>1</v>
      </c>
      <c r="Z1879" t="n">
        <v>935</v>
      </c>
      <c r="AA1879" t="n">
        <v>2.5</v>
      </c>
      <c r="AB1879" t="n">
        <v>9.5</v>
      </c>
    </row>
    <row r="1880">
      <c r="A1880" t="inlineStr">
        <is>
          <t>2026-09-24 17:58:12</t>
        </is>
      </c>
      <c r="B1880" t="inlineStr">
        <is>
          <t>MLLB_000_y1.0.3</t>
        </is>
      </c>
      <c r="C1880" t="inlineStr">
        <is>
          <t>WHITE</t>
        </is>
      </c>
      <c r="D1880" t="inlineStr">
        <is>
          <t>v4_white_MLLB_000_y103_0924</t>
        </is>
      </c>
      <c r="E1880" t="n">
        <v>3</v>
      </c>
      <c r="F1880" t="n">
        <v>3.008</v>
      </c>
      <c r="G1880" t="n">
        <v>100</v>
      </c>
      <c r="H1880" t="n">
        <v>100</v>
      </c>
      <c r="I1880" t="n">
        <v>53</v>
      </c>
      <c r="J1880" t="inlineStr">
        <is>
          <t>ince</t>
        </is>
      </c>
      <c r="K1880" t="b">
        <v>0</v>
      </c>
      <c r="L1880" t="inlineStr">
        <is>
          <t>iki-OK-arasi-monotonluk</t>
        </is>
      </c>
      <c r="X1880" t="b">
        <v>1</v>
      </c>
      <c r="Z1880" t="n">
        <v>935</v>
      </c>
      <c r="AA1880" t="n">
        <v>2.5</v>
      </c>
      <c r="AB1880" t="n">
        <v>9.5</v>
      </c>
    </row>
    <row r="1881">
      <c r="A1881" t="inlineStr">
        <is>
          <t>2026-09-24 17:58:12</t>
        </is>
      </c>
      <c r="B1881" t="inlineStr">
        <is>
          <t>MLLB_000_y1.0.3</t>
        </is>
      </c>
      <c r="C1881" t="inlineStr">
        <is>
          <t>WHITE</t>
        </is>
      </c>
      <c r="D1881" t="inlineStr">
        <is>
          <t>v4_white_MLLB_000_y103_0924</t>
        </is>
      </c>
      <c r="E1881" t="n">
        <v>3</v>
      </c>
      <c r="F1881" t="n">
        <v>3.008</v>
      </c>
      <c r="G1881" t="n">
        <v>100</v>
      </c>
      <c r="H1881" t="n">
        <v>100</v>
      </c>
      <c r="I1881" t="n">
        <v>54</v>
      </c>
      <c r="J1881" t="inlineStr">
        <is>
          <t>ince</t>
        </is>
      </c>
      <c r="K1881" t="b">
        <v>0</v>
      </c>
      <c r="L1881" t="inlineStr">
        <is>
          <t>iki-OK-arasi-monotonluk</t>
        </is>
      </c>
      <c r="X1881" t="b">
        <v>1</v>
      </c>
      <c r="Z1881" t="n">
        <v>935</v>
      </c>
      <c r="AA1881" t="n">
        <v>2.5</v>
      </c>
      <c r="AB1881" t="n">
        <v>9.5</v>
      </c>
    </row>
    <row r="1882">
      <c r="A1882" t="inlineStr">
        <is>
          <t>2026-09-24 17:58:12</t>
        </is>
      </c>
      <c r="B1882" t="inlineStr">
        <is>
          <t>MLLB_000_y1.0.3</t>
        </is>
      </c>
      <c r="C1882" t="inlineStr">
        <is>
          <t>WHITE</t>
        </is>
      </c>
      <c r="D1882" t="inlineStr">
        <is>
          <t>v4_white_MLLB_000_y103_0924</t>
        </is>
      </c>
      <c r="E1882" t="n">
        <v>3</v>
      </c>
      <c r="F1882" t="n">
        <v>3.008</v>
      </c>
      <c r="G1882" t="n">
        <v>100</v>
      </c>
      <c r="H1882" t="n">
        <v>100</v>
      </c>
      <c r="I1882" t="n">
        <v>55</v>
      </c>
      <c r="J1882" t="inlineStr">
        <is>
          <t>ince</t>
        </is>
      </c>
      <c r="K1882" t="b">
        <v>0</v>
      </c>
      <c r="L1882" t="inlineStr">
        <is>
          <t>iki-OK-arasi-monotonluk</t>
        </is>
      </c>
      <c r="X1882" t="b">
        <v>1</v>
      </c>
      <c r="Z1882" t="n">
        <v>935</v>
      </c>
      <c r="AA1882" t="n">
        <v>2.5</v>
      </c>
      <c r="AB1882" t="n">
        <v>9.5</v>
      </c>
    </row>
    <row r="1883">
      <c r="A1883" t="inlineStr">
        <is>
          <t>2026-09-24 17:58:12</t>
        </is>
      </c>
      <c r="B1883" t="inlineStr">
        <is>
          <t>MLLB_000_y1.0.3</t>
        </is>
      </c>
      <c r="C1883" t="inlineStr">
        <is>
          <t>WHITE</t>
        </is>
      </c>
      <c r="D1883" t="inlineStr">
        <is>
          <t>v4_white_MLLB_000_y103_0924</t>
        </is>
      </c>
      <c r="E1883" t="n">
        <v>3</v>
      </c>
      <c r="F1883" t="n">
        <v>3.008</v>
      </c>
      <c r="G1883" t="n">
        <v>100</v>
      </c>
      <c r="H1883" t="n">
        <v>100</v>
      </c>
      <c r="I1883" t="n">
        <v>57</v>
      </c>
      <c r="J1883" t="inlineStr">
        <is>
          <t>ince</t>
        </is>
      </c>
      <c r="K1883" t="b">
        <v>0</v>
      </c>
      <c r="L1883" t="inlineStr">
        <is>
          <t>iki-OK-arasi-monotonluk</t>
        </is>
      </c>
      <c r="X1883" t="b">
        <v>1</v>
      </c>
      <c r="Z1883" t="n">
        <v>935</v>
      </c>
      <c r="AA1883" t="n">
        <v>2.5</v>
      </c>
      <c r="AB1883" t="n">
        <v>9.5</v>
      </c>
    </row>
    <row r="1884">
      <c r="A1884" t="inlineStr">
        <is>
          <t>2026-09-24 17:58:12</t>
        </is>
      </c>
      <c r="B1884" t="inlineStr">
        <is>
          <t>MLLB_000_y1.0.3</t>
        </is>
      </c>
      <c r="C1884" t="inlineStr">
        <is>
          <t>WHITE</t>
        </is>
      </c>
      <c r="D1884" t="inlineStr">
        <is>
          <t>v4_white_MLLB_000_y103_0924</t>
        </is>
      </c>
      <c r="E1884" t="n">
        <v>3</v>
      </c>
      <c r="F1884" t="n">
        <v>3.008</v>
      </c>
      <c r="G1884" t="n">
        <v>100</v>
      </c>
      <c r="H1884" t="n">
        <v>100</v>
      </c>
      <c r="J1884" t="inlineStr">
        <is>
          <t>bitti</t>
        </is>
      </c>
      <c r="K1884" t="b">
        <v>0</v>
      </c>
      <c r="Z1884" t="n">
        <v>935</v>
      </c>
      <c r="AA1884" t="n">
        <v>2.5</v>
      </c>
      <c r="AB1884" t="n">
        <v>9.5</v>
      </c>
    </row>
    <row r="1885">
      <c r="A1885" t="inlineStr">
        <is>
          <t>2026-09-24 17:58:28</t>
        </is>
      </c>
      <c r="B1885" t="inlineStr">
        <is>
          <t>MLLB_000_y1.0.3</t>
        </is>
      </c>
      <c r="C1885" t="inlineStr">
        <is>
          <t>WHITE</t>
        </is>
      </c>
      <c r="D1885" t="inlineStr">
        <is>
          <t>v4_white_MLLB_000_y103_0924</t>
        </is>
      </c>
      <c r="E1885" t="n">
        <v>3</v>
      </c>
      <c r="F1885" t="n">
        <v>3.008</v>
      </c>
      <c r="G1885" t="n">
        <v>100</v>
      </c>
      <c r="H1885" t="n">
        <v>80</v>
      </c>
      <c r="I1885" t="n">
        <v>12</v>
      </c>
      <c r="J1885" t="inlineStr">
        <is>
          <t>kaba</t>
        </is>
      </c>
      <c r="K1885" t="b">
        <v>1</v>
      </c>
      <c r="M1885" t="n">
        <v>34</v>
      </c>
      <c r="N1885" t="n">
        <v>32</v>
      </c>
      <c r="O1885" t="n">
        <v>14</v>
      </c>
      <c r="P1885" t="n">
        <v>968</v>
      </c>
      <c r="Q1885" t="n">
        <v>1002</v>
      </c>
      <c r="R1885" t="n">
        <v>1.069</v>
      </c>
      <c r="S1885" t="n">
        <v>242.323</v>
      </c>
      <c r="T1885" t="n">
        <v>226.785</v>
      </c>
      <c r="U1885" t="n">
        <v>0.7776999999999999</v>
      </c>
      <c r="V1885" t="b">
        <v>1</v>
      </c>
      <c r="X1885" t="b">
        <v>1</v>
      </c>
      <c r="Z1885" t="n">
        <v>935</v>
      </c>
      <c r="AA1885" t="n">
        <v>2.5</v>
      </c>
      <c r="AB1885" t="n">
        <v>9.5</v>
      </c>
    </row>
    <row r="1886">
      <c r="A1886" t="inlineStr">
        <is>
          <t>2026-09-24 17:58:44</t>
        </is>
      </c>
      <c r="B1886" t="inlineStr">
        <is>
          <t>MLLB_000_y1.0.3</t>
        </is>
      </c>
      <c r="C1886" t="inlineStr">
        <is>
          <t>WHITE</t>
        </is>
      </c>
      <c r="D1886" t="inlineStr">
        <is>
          <t>v4_white_MLLB_000_y103_0924</t>
        </is>
      </c>
      <c r="E1886" t="n">
        <v>3</v>
      </c>
      <c r="F1886" t="n">
        <v>3.008</v>
      </c>
      <c r="G1886" t="n">
        <v>100</v>
      </c>
      <c r="H1886" t="n">
        <v>80</v>
      </c>
      <c r="I1886" t="n">
        <v>16</v>
      </c>
      <c r="J1886" t="inlineStr">
        <is>
          <t>kaba</t>
        </is>
      </c>
      <c r="K1886" t="b">
        <v>1</v>
      </c>
      <c r="M1886" t="n">
        <v>34</v>
      </c>
      <c r="N1886" t="n">
        <v>32</v>
      </c>
      <c r="O1886" t="n">
        <v>14</v>
      </c>
      <c r="P1886" t="n">
        <v>968</v>
      </c>
      <c r="Q1886" t="n">
        <v>1002</v>
      </c>
      <c r="R1886" t="n">
        <v>1.068</v>
      </c>
      <c r="S1886" t="n">
        <v>242.323</v>
      </c>
      <c r="T1886" t="n">
        <v>226.935</v>
      </c>
      <c r="U1886" t="n">
        <v>0.778</v>
      </c>
      <c r="V1886" t="b">
        <v>1</v>
      </c>
      <c r="X1886" t="b">
        <v>1</v>
      </c>
      <c r="Z1886" t="n">
        <v>935</v>
      </c>
      <c r="AA1886" t="n">
        <v>2.5</v>
      </c>
      <c r="AB1886" t="n">
        <v>9.5</v>
      </c>
    </row>
    <row r="1887">
      <c r="A1887" t="inlineStr">
        <is>
          <t>2026-09-24 17:59:00</t>
        </is>
      </c>
      <c r="B1887" t="inlineStr">
        <is>
          <t>MLLB_000_y1.0.3</t>
        </is>
      </c>
      <c r="C1887" t="inlineStr">
        <is>
          <t>WHITE</t>
        </is>
      </c>
      <c r="D1887" t="inlineStr">
        <is>
          <t>v4_white_MLLB_000_y103_0924</t>
        </is>
      </c>
      <c r="E1887" t="n">
        <v>3</v>
      </c>
      <c r="F1887" t="n">
        <v>3.008</v>
      </c>
      <c r="G1887" t="n">
        <v>100</v>
      </c>
      <c r="H1887" t="n">
        <v>80</v>
      </c>
      <c r="I1887" t="n">
        <v>20</v>
      </c>
      <c r="J1887" t="inlineStr">
        <is>
          <t>kaba</t>
        </is>
      </c>
      <c r="K1887" t="b">
        <v>1</v>
      </c>
      <c r="M1887" t="n">
        <v>34</v>
      </c>
      <c r="N1887" t="n">
        <v>34</v>
      </c>
      <c r="O1887" t="n">
        <v>14</v>
      </c>
      <c r="P1887" t="n">
        <v>968</v>
      </c>
      <c r="Q1887" t="n">
        <v>1002</v>
      </c>
      <c r="R1887" t="n">
        <v>1.068</v>
      </c>
      <c r="S1887" t="n">
        <v>242.323</v>
      </c>
      <c r="T1887" t="n">
        <v>226.953</v>
      </c>
      <c r="U1887" t="n">
        <v>0.7781</v>
      </c>
      <c r="V1887" t="b">
        <v>1</v>
      </c>
      <c r="X1887" t="b">
        <v>1</v>
      </c>
      <c r="Z1887" t="n">
        <v>935</v>
      </c>
      <c r="AA1887" t="n">
        <v>2.5</v>
      </c>
      <c r="AB1887" t="n">
        <v>9.5</v>
      </c>
    </row>
    <row r="1888">
      <c r="A1888" t="inlineStr">
        <is>
          <t>2026-09-24 17:59:16</t>
        </is>
      </c>
      <c r="B1888" t="inlineStr">
        <is>
          <t>MLLB_000_y1.0.3</t>
        </is>
      </c>
      <c r="C1888" t="inlineStr">
        <is>
          <t>WHITE</t>
        </is>
      </c>
      <c r="D1888" t="inlineStr">
        <is>
          <t>v4_white_MLLB_000_y103_0924</t>
        </is>
      </c>
      <c r="E1888" t="n">
        <v>3</v>
      </c>
      <c r="F1888" t="n">
        <v>3.008</v>
      </c>
      <c r="G1888" t="n">
        <v>100</v>
      </c>
      <c r="H1888" t="n">
        <v>80</v>
      </c>
      <c r="I1888" t="n">
        <v>24</v>
      </c>
      <c r="J1888" t="inlineStr">
        <is>
          <t>kaba</t>
        </is>
      </c>
      <c r="K1888" t="b">
        <v>1</v>
      </c>
      <c r="M1888" t="n">
        <v>34</v>
      </c>
      <c r="N1888" t="n">
        <v>32</v>
      </c>
      <c r="O1888" t="n">
        <v>14</v>
      </c>
      <c r="P1888" t="n">
        <v>968</v>
      </c>
      <c r="Q1888" t="n">
        <v>1002</v>
      </c>
      <c r="R1888" t="n">
        <v>1.068</v>
      </c>
      <c r="S1888" t="n">
        <v>242.323</v>
      </c>
      <c r="T1888" t="n">
        <v>226.836</v>
      </c>
      <c r="U1888" t="n">
        <v>0.7779</v>
      </c>
      <c r="V1888" t="b">
        <v>1</v>
      </c>
      <c r="X1888" t="b">
        <v>1</v>
      </c>
      <c r="Z1888" t="n">
        <v>935</v>
      </c>
      <c r="AA1888" t="n">
        <v>2.5</v>
      </c>
      <c r="AB1888" t="n">
        <v>9.5</v>
      </c>
    </row>
    <row r="1889">
      <c r="A1889" t="inlineStr">
        <is>
          <t>2026-09-24 17:59:32</t>
        </is>
      </c>
      <c r="B1889" t="inlineStr">
        <is>
          <t>MLLB_000_y1.0.3</t>
        </is>
      </c>
      <c r="C1889" t="inlineStr">
        <is>
          <t>WHITE</t>
        </is>
      </c>
      <c r="D1889" t="inlineStr">
        <is>
          <t>v4_white_MLLB_000_y103_0924</t>
        </is>
      </c>
      <c r="E1889" t="n">
        <v>3</v>
      </c>
      <c r="F1889" t="n">
        <v>3.008</v>
      </c>
      <c r="G1889" t="n">
        <v>100</v>
      </c>
      <c r="H1889" t="n">
        <v>80</v>
      </c>
      <c r="I1889" t="n">
        <v>28</v>
      </c>
      <c r="J1889" t="inlineStr">
        <is>
          <t>kaba</t>
        </is>
      </c>
      <c r="K1889" t="b">
        <v>1</v>
      </c>
      <c r="M1889" t="n">
        <v>34</v>
      </c>
      <c r="N1889" t="n">
        <v>32</v>
      </c>
      <c r="O1889" t="n">
        <v>14</v>
      </c>
      <c r="P1889" t="n">
        <v>968</v>
      </c>
      <c r="Q1889" t="n">
        <v>1002</v>
      </c>
      <c r="R1889" t="n">
        <v>1.068</v>
      </c>
      <c r="S1889" t="n">
        <v>242.323</v>
      </c>
      <c r="T1889" t="n">
        <v>226.937</v>
      </c>
      <c r="U1889" t="n">
        <v>0.7775</v>
      </c>
      <c r="V1889" t="b">
        <v>1</v>
      </c>
      <c r="X1889" t="b">
        <v>1</v>
      </c>
      <c r="Z1889" t="n">
        <v>935</v>
      </c>
      <c r="AA1889" t="n">
        <v>2.5</v>
      </c>
      <c r="AB1889" t="n">
        <v>9.5</v>
      </c>
    </row>
    <row r="1890">
      <c r="A1890" t="inlineStr">
        <is>
          <t>2026-09-24 17:59:48</t>
        </is>
      </c>
      <c r="B1890" t="inlineStr">
        <is>
          <t>MLLB_000_y1.0.3</t>
        </is>
      </c>
      <c r="C1890" t="inlineStr">
        <is>
          <t>WHITE</t>
        </is>
      </c>
      <c r="D1890" t="inlineStr">
        <is>
          <t>v4_white_MLLB_000_y103_0924</t>
        </is>
      </c>
      <c r="E1890" t="n">
        <v>3</v>
      </c>
      <c r="F1890" t="n">
        <v>3.008</v>
      </c>
      <c r="G1890" t="n">
        <v>100</v>
      </c>
      <c r="H1890" t="n">
        <v>80</v>
      </c>
      <c r="I1890" t="n">
        <v>32</v>
      </c>
      <c r="J1890" t="inlineStr">
        <is>
          <t>kaba</t>
        </is>
      </c>
      <c r="K1890" t="b">
        <v>1</v>
      </c>
      <c r="M1890" t="n">
        <v>34</v>
      </c>
      <c r="N1890" t="n">
        <v>32</v>
      </c>
      <c r="O1890" t="n">
        <v>14</v>
      </c>
      <c r="P1890" t="n">
        <v>968</v>
      </c>
      <c r="Q1890" t="n">
        <v>1002</v>
      </c>
      <c r="R1890" t="n">
        <v>1.068</v>
      </c>
      <c r="S1890" t="n">
        <v>242.323</v>
      </c>
      <c r="T1890" t="n">
        <v>226.899</v>
      </c>
      <c r="U1890" t="n">
        <v>0.7776999999999999</v>
      </c>
      <c r="V1890" t="b">
        <v>1</v>
      </c>
      <c r="X1890" t="b">
        <v>1</v>
      </c>
      <c r="Z1890" t="n">
        <v>935</v>
      </c>
      <c r="AA1890" t="n">
        <v>2.5</v>
      </c>
      <c r="AB1890" t="n">
        <v>9.5</v>
      </c>
    </row>
    <row r="1891">
      <c r="A1891" t="inlineStr">
        <is>
          <t>2026-09-24 18:00:04</t>
        </is>
      </c>
      <c r="B1891" t="inlineStr">
        <is>
          <t>MLLB_000_y1.0.3</t>
        </is>
      </c>
      <c r="C1891" t="inlineStr">
        <is>
          <t>WHITE</t>
        </is>
      </c>
      <c r="D1891" t="inlineStr">
        <is>
          <t>v4_white_MLLB_000_y103_0924</t>
        </is>
      </c>
      <c r="E1891" t="n">
        <v>3</v>
      </c>
      <c r="F1891" t="n">
        <v>3.008</v>
      </c>
      <c r="G1891" t="n">
        <v>100</v>
      </c>
      <c r="H1891" t="n">
        <v>80</v>
      </c>
      <c r="I1891" t="n">
        <v>36</v>
      </c>
      <c r="J1891" t="inlineStr">
        <is>
          <t>kaba</t>
        </is>
      </c>
      <c r="K1891" t="b">
        <v>1</v>
      </c>
      <c r="M1891" t="n">
        <v>34</v>
      </c>
      <c r="N1891" t="n">
        <v>32</v>
      </c>
      <c r="O1891" t="n">
        <v>14</v>
      </c>
      <c r="P1891" t="n">
        <v>968</v>
      </c>
      <c r="Q1891" t="n">
        <v>1002</v>
      </c>
      <c r="R1891" t="n">
        <v>1.069</v>
      </c>
      <c r="S1891" t="n">
        <v>242.323</v>
      </c>
      <c r="T1891" t="n">
        <v>226.778</v>
      </c>
      <c r="U1891" t="n">
        <v>0.7774</v>
      </c>
      <c r="V1891" t="b">
        <v>1</v>
      </c>
      <c r="X1891" t="b">
        <v>1</v>
      </c>
      <c r="Z1891" t="n">
        <v>935</v>
      </c>
      <c r="AA1891" t="n">
        <v>2.5</v>
      </c>
      <c r="AB1891" t="n">
        <v>9.5</v>
      </c>
    </row>
    <row r="1892">
      <c r="A1892" t="inlineStr">
        <is>
          <t>2026-09-24 18:00:20</t>
        </is>
      </c>
      <c r="B1892" t="inlineStr">
        <is>
          <t>MLLB_000_y1.0.3</t>
        </is>
      </c>
      <c r="C1892" t="inlineStr">
        <is>
          <t>WHITE</t>
        </is>
      </c>
      <c r="D1892" t="inlineStr">
        <is>
          <t>v4_white_MLLB_000_y103_0924</t>
        </is>
      </c>
      <c r="E1892" t="n">
        <v>3</v>
      </c>
      <c r="F1892" t="n">
        <v>3.008</v>
      </c>
      <c r="G1892" t="n">
        <v>100</v>
      </c>
      <c r="H1892" t="n">
        <v>80</v>
      </c>
      <c r="I1892" t="n">
        <v>40</v>
      </c>
      <c r="J1892" t="inlineStr">
        <is>
          <t>kaba</t>
        </is>
      </c>
      <c r="K1892" t="b">
        <v>1</v>
      </c>
      <c r="M1892" t="n">
        <v>34</v>
      </c>
      <c r="N1892" t="n">
        <v>32</v>
      </c>
      <c r="O1892" t="n">
        <v>14</v>
      </c>
      <c r="P1892" t="n">
        <v>968</v>
      </c>
      <c r="Q1892" t="n">
        <v>1002</v>
      </c>
      <c r="R1892" t="n">
        <v>1.069</v>
      </c>
      <c r="S1892" t="n">
        <v>242.491</v>
      </c>
      <c r="T1892" t="n">
        <v>226.832</v>
      </c>
      <c r="U1892" t="n">
        <v>0.7781</v>
      </c>
      <c r="V1892" t="b">
        <v>1</v>
      </c>
      <c r="X1892" t="b">
        <v>1</v>
      </c>
      <c r="Z1892" t="n">
        <v>935</v>
      </c>
      <c r="AA1892" t="n">
        <v>2.5</v>
      </c>
      <c r="AB1892" t="n">
        <v>9.5</v>
      </c>
    </row>
    <row r="1893">
      <c r="A1893" t="inlineStr">
        <is>
          <t>2026-09-24 18:00:36</t>
        </is>
      </c>
      <c r="B1893" t="inlineStr">
        <is>
          <t>MLLB_000_y1.0.3</t>
        </is>
      </c>
      <c r="C1893" t="inlineStr">
        <is>
          <t>WHITE</t>
        </is>
      </c>
      <c r="D1893" t="inlineStr">
        <is>
          <t>v4_white_MLLB_000_y103_0924</t>
        </is>
      </c>
      <c r="E1893" t="n">
        <v>3</v>
      </c>
      <c r="F1893" t="n">
        <v>3.008</v>
      </c>
      <c r="G1893" t="n">
        <v>100</v>
      </c>
      <c r="H1893" t="n">
        <v>80</v>
      </c>
      <c r="I1893" t="n">
        <v>44</v>
      </c>
      <c r="J1893" t="inlineStr">
        <is>
          <t>kaba</t>
        </is>
      </c>
      <c r="K1893" t="b">
        <v>1</v>
      </c>
      <c r="M1893" t="n">
        <v>34</v>
      </c>
      <c r="N1893" t="n">
        <v>32</v>
      </c>
      <c r="O1893" t="n">
        <v>14</v>
      </c>
      <c r="P1893" t="n">
        <v>968</v>
      </c>
      <c r="Q1893" t="n">
        <v>1002</v>
      </c>
      <c r="R1893" t="n">
        <v>1.065</v>
      </c>
      <c r="S1893" t="n">
        <v>241.552</v>
      </c>
      <c r="T1893" t="n">
        <v>226.773</v>
      </c>
      <c r="U1893" t="n">
        <v>0.7773</v>
      </c>
      <c r="V1893" t="b">
        <v>1</v>
      </c>
      <c r="X1893" t="b">
        <v>1</v>
      </c>
      <c r="Z1893" t="n">
        <v>935</v>
      </c>
      <c r="AA1893" t="n">
        <v>2.5</v>
      </c>
      <c r="AB1893" t="n">
        <v>9.5</v>
      </c>
    </row>
    <row r="1894">
      <c r="A1894" t="inlineStr">
        <is>
          <t>2026-09-24 18:00:52</t>
        </is>
      </c>
      <c r="B1894" t="inlineStr">
        <is>
          <t>MLLB_000_y1.0.3</t>
        </is>
      </c>
      <c r="C1894" t="inlineStr">
        <is>
          <t>WHITE</t>
        </is>
      </c>
      <c r="D1894" t="inlineStr">
        <is>
          <t>v4_white_MLLB_000_y103_0924</t>
        </is>
      </c>
      <c r="E1894" t="n">
        <v>3</v>
      </c>
      <c r="F1894" t="n">
        <v>3.008</v>
      </c>
      <c r="G1894" t="n">
        <v>100</v>
      </c>
      <c r="H1894" t="n">
        <v>80</v>
      </c>
      <c r="I1894" t="n">
        <v>48</v>
      </c>
      <c r="J1894" t="inlineStr">
        <is>
          <t>kaba</t>
        </is>
      </c>
      <c r="K1894" t="b">
        <v>1</v>
      </c>
      <c r="M1894" t="n">
        <v>34</v>
      </c>
      <c r="N1894" t="n">
        <v>32</v>
      </c>
      <c r="O1894" t="n">
        <v>14</v>
      </c>
      <c r="P1894" t="n">
        <v>968</v>
      </c>
      <c r="Q1894" t="n">
        <v>1002</v>
      </c>
      <c r="R1894" t="n">
        <v>1.065</v>
      </c>
      <c r="S1894" t="n">
        <v>241.586</v>
      </c>
      <c r="T1894" t="n">
        <v>226.771</v>
      </c>
      <c r="U1894" t="n">
        <v>0.7773</v>
      </c>
      <c r="V1894" t="b">
        <v>1</v>
      </c>
      <c r="X1894" t="b">
        <v>1</v>
      </c>
      <c r="Z1894" t="n">
        <v>935</v>
      </c>
      <c r="AA1894" t="n">
        <v>2.5</v>
      </c>
      <c r="AB1894" t="n">
        <v>9.5</v>
      </c>
    </row>
    <row r="1895">
      <c r="A1895" t="inlineStr">
        <is>
          <t>2026-09-24 18:01:04</t>
        </is>
      </c>
      <c r="B1895" t="inlineStr">
        <is>
          <t>MLLB_000_y1.0.3</t>
        </is>
      </c>
      <c r="C1895" t="inlineStr">
        <is>
          <t>WHITE</t>
        </is>
      </c>
      <c r="D1895" t="inlineStr">
        <is>
          <t>v4_white_MLLB_000_y103_0924</t>
        </is>
      </c>
      <c r="E1895" t="n">
        <v>3</v>
      </c>
      <c r="F1895" t="n">
        <v>3.008</v>
      </c>
      <c r="G1895" t="n">
        <v>100</v>
      </c>
      <c r="H1895" t="n">
        <v>80</v>
      </c>
      <c r="I1895" t="n">
        <v>52</v>
      </c>
      <c r="J1895" t="inlineStr">
        <is>
          <t>kaba</t>
        </is>
      </c>
      <c r="K1895" t="b">
        <v>1</v>
      </c>
      <c r="M1895" t="n">
        <v>34</v>
      </c>
      <c r="N1895" t="n">
        <v>32</v>
      </c>
      <c r="O1895" t="n">
        <v>14</v>
      </c>
      <c r="P1895" t="n">
        <v>968</v>
      </c>
      <c r="Q1895" t="n">
        <v>1002</v>
      </c>
      <c r="R1895" t="n">
        <v>1.069</v>
      </c>
      <c r="S1895" t="n">
        <v>242.323</v>
      </c>
      <c r="T1895" t="n">
        <v>226.767</v>
      </c>
      <c r="U1895" t="n">
        <v>0.7776</v>
      </c>
      <c r="V1895" t="b">
        <v>1</v>
      </c>
      <c r="X1895" t="b">
        <v>1</v>
      </c>
      <c r="Z1895" t="n">
        <v>935</v>
      </c>
      <c r="AA1895" t="n">
        <v>2.5</v>
      </c>
      <c r="AB1895" t="n">
        <v>9.5</v>
      </c>
    </row>
    <row r="1896">
      <c r="A1896" t="inlineStr">
        <is>
          <t>2026-09-24 18:01:20</t>
        </is>
      </c>
      <c r="B1896" t="inlineStr">
        <is>
          <t>MLLB_000_y1.0.3</t>
        </is>
      </c>
      <c r="C1896" t="inlineStr">
        <is>
          <t>WHITE</t>
        </is>
      </c>
      <c r="D1896" t="inlineStr">
        <is>
          <t>v4_white_MLLB_000_y103_0924</t>
        </is>
      </c>
      <c r="E1896" t="n">
        <v>3</v>
      </c>
      <c r="F1896" t="n">
        <v>3.008</v>
      </c>
      <c r="G1896" t="n">
        <v>100</v>
      </c>
      <c r="H1896" t="n">
        <v>80</v>
      </c>
      <c r="I1896" t="n">
        <v>56</v>
      </c>
      <c r="J1896" t="inlineStr">
        <is>
          <t>kaba</t>
        </is>
      </c>
      <c r="K1896" t="b">
        <v>1</v>
      </c>
      <c r="M1896" t="n">
        <v>34</v>
      </c>
      <c r="N1896" t="n">
        <v>32</v>
      </c>
      <c r="O1896" t="n">
        <v>14</v>
      </c>
      <c r="P1896" t="n">
        <v>968</v>
      </c>
      <c r="Q1896" t="n">
        <v>1002</v>
      </c>
      <c r="R1896" t="n">
        <v>1.065</v>
      </c>
      <c r="S1896" t="n">
        <v>241.761</v>
      </c>
      <c r="T1896" t="n">
        <v>227.016</v>
      </c>
      <c r="U1896" t="n">
        <v>0.7779</v>
      </c>
      <c r="V1896" t="b">
        <v>1</v>
      </c>
      <c r="X1896" t="b">
        <v>1</v>
      </c>
      <c r="Z1896" t="n">
        <v>935</v>
      </c>
      <c r="AA1896" t="n">
        <v>2.5</v>
      </c>
      <c r="AB1896" t="n">
        <v>9.5</v>
      </c>
    </row>
    <row r="1897">
      <c r="A1897" t="inlineStr">
        <is>
          <t>2026-09-24 18:01:36</t>
        </is>
      </c>
      <c r="B1897" t="inlineStr">
        <is>
          <t>MLLB_000_y1.0.3</t>
        </is>
      </c>
      <c r="C1897" t="inlineStr">
        <is>
          <t>WHITE</t>
        </is>
      </c>
      <c r="D1897" t="inlineStr">
        <is>
          <t>v4_white_MLLB_000_y103_0924</t>
        </is>
      </c>
      <c r="E1897" t="n">
        <v>3</v>
      </c>
      <c r="F1897" t="n">
        <v>3.008</v>
      </c>
      <c r="G1897" t="n">
        <v>100</v>
      </c>
      <c r="H1897" t="n">
        <v>80</v>
      </c>
      <c r="I1897" t="n">
        <v>58</v>
      </c>
      <c r="J1897" t="inlineStr">
        <is>
          <t>kaba</t>
        </is>
      </c>
      <c r="K1897" t="b">
        <v>1</v>
      </c>
      <c r="M1897" t="n">
        <v>34</v>
      </c>
      <c r="N1897" t="n">
        <v>34</v>
      </c>
      <c r="O1897" t="n">
        <v>14</v>
      </c>
      <c r="P1897" t="n">
        <v>968</v>
      </c>
      <c r="Q1897" t="n">
        <v>1002</v>
      </c>
      <c r="R1897" t="n">
        <v>1.068</v>
      </c>
      <c r="S1897" t="n">
        <v>242.323</v>
      </c>
      <c r="T1897" t="n">
        <v>226.852</v>
      </c>
      <c r="U1897" t="n">
        <v>0.7785</v>
      </c>
      <c r="V1897" t="b">
        <v>1</v>
      </c>
      <c r="X1897" t="b">
        <v>1</v>
      </c>
      <c r="Z1897" t="n">
        <v>935</v>
      </c>
      <c r="AA1897" t="n">
        <v>2.5</v>
      </c>
      <c r="AB1897" t="n">
        <v>9.5</v>
      </c>
    </row>
    <row r="1898">
      <c r="A1898" t="inlineStr">
        <is>
          <t>2026-09-24 18:01:36</t>
        </is>
      </c>
      <c r="B1898" t="inlineStr">
        <is>
          <t>MLLB_000_y1.0.3</t>
        </is>
      </c>
      <c r="C1898" t="inlineStr">
        <is>
          <t>WHITE</t>
        </is>
      </c>
      <c r="D1898" t="inlineStr">
        <is>
          <t>v4_white_MLLB_000_y103_0924</t>
        </is>
      </c>
      <c r="E1898" t="n">
        <v>3</v>
      </c>
      <c r="F1898" t="n">
        <v>3.008</v>
      </c>
      <c r="G1898" t="n">
        <v>100</v>
      </c>
      <c r="H1898" t="n">
        <v>80</v>
      </c>
      <c r="I1898" t="n">
        <v>13</v>
      </c>
      <c r="J1898" t="inlineStr">
        <is>
          <t>ince</t>
        </is>
      </c>
      <c r="K1898" t="b">
        <v>0</v>
      </c>
      <c r="L1898" t="inlineStr">
        <is>
          <t>iki-OK-arasi-monotonluk</t>
        </is>
      </c>
      <c r="X1898" t="b">
        <v>1</v>
      </c>
      <c r="Z1898" t="n">
        <v>935</v>
      </c>
      <c r="AA1898" t="n">
        <v>2.5</v>
      </c>
      <c r="AB1898" t="n">
        <v>9.5</v>
      </c>
    </row>
    <row r="1899">
      <c r="A1899" t="inlineStr">
        <is>
          <t>2026-09-24 18:01:36</t>
        </is>
      </c>
      <c r="B1899" t="inlineStr">
        <is>
          <t>MLLB_000_y1.0.3</t>
        </is>
      </c>
      <c r="C1899" t="inlineStr">
        <is>
          <t>WHITE</t>
        </is>
      </c>
      <c r="D1899" t="inlineStr">
        <is>
          <t>v4_white_MLLB_000_y103_0924</t>
        </is>
      </c>
      <c r="E1899" t="n">
        <v>3</v>
      </c>
      <c r="F1899" t="n">
        <v>3.008</v>
      </c>
      <c r="G1899" t="n">
        <v>100</v>
      </c>
      <c r="H1899" t="n">
        <v>80</v>
      </c>
      <c r="I1899" t="n">
        <v>14</v>
      </c>
      <c r="J1899" t="inlineStr">
        <is>
          <t>ince</t>
        </is>
      </c>
      <c r="K1899" t="b">
        <v>0</v>
      </c>
      <c r="L1899" t="inlineStr">
        <is>
          <t>iki-OK-arasi-monotonluk</t>
        </is>
      </c>
      <c r="X1899" t="b">
        <v>1</v>
      </c>
      <c r="Z1899" t="n">
        <v>935</v>
      </c>
      <c r="AA1899" t="n">
        <v>2.5</v>
      </c>
      <c r="AB1899" t="n">
        <v>9.5</v>
      </c>
    </row>
    <row r="1900">
      <c r="A1900" t="inlineStr">
        <is>
          <t>2026-09-24 18:01:36</t>
        </is>
      </c>
      <c r="B1900" t="inlineStr">
        <is>
          <t>MLLB_000_y1.0.3</t>
        </is>
      </c>
      <c r="C1900" t="inlineStr">
        <is>
          <t>WHITE</t>
        </is>
      </c>
      <c r="D1900" t="inlineStr">
        <is>
          <t>v4_white_MLLB_000_y103_0924</t>
        </is>
      </c>
      <c r="E1900" t="n">
        <v>3</v>
      </c>
      <c r="F1900" t="n">
        <v>3.008</v>
      </c>
      <c r="G1900" t="n">
        <v>100</v>
      </c>
      <c r="H1900" t="n">
        <v>80</v>
      </c>
      <c r="I1900" t="n">
        <v>15</v>
      </c>
      <c r="J1900" t="inlineStr">
        <is>
          <t>ince</t>
        </is>
      </c>
      <c r="K1900" t="b">
        <v>0</v>
      </c>
      <c r="L1900" t="inlineStr">
        <is>
          <t>iki-OK-arasi-monotonluk</t>
        </is>
      </c>
      <c r="X1900" t="b">
        <v>1</v>
      </c>
      <c r="Z1900" t="n">
        <v>935</v>
      </c>
      <c r="AA1900" t="n">
        <v>2.5</v>
      </c>
      <c r="AB1900" t="n">
        <v>9.5</v>
      </c>
    </row>
    <row r="1901">
      <c r="A1901" t="inlineStr">
        <is>
          <t>2026-09-24 18:01:36</t>
        </is>
      </c>
      <c r="B1901" t="inlineStr">
        <is>
          <t>MLLB_000_y1.0.3</t>
        </is>
      </c>
      <c r="C1901" t="inlineStr">
        <is>
          <t>WHITE</t>
        </is>
      </c>
      <c r="D1901" t="inlineStr">
        <is>
          <t>v4_white_MLLB_000_y103_0924</t>
        </is>
      </c>
      <c r="E1901" t="n">
        <v>3</v>
      </c>
      <c r="F1901" t="n">
        <v>3.008</v>
      </c>
      <c r="G1901" t="n">
        <v>100</v>
      </c>
      <c r="H1901" t="n">
        <v>80</v>
      </c>
      <c r="I1901" t="n">
        <v>17</v>
      </c>
      <c r="J1901" t="inlineStr">
        <is>
          <t>ince</t>
        </is>
      </c>
      <c r="K1901" t="b">
        <v>0</v>
      </c>
      <c r="L1901" t="inlineStr">
        <is>
          <t>iki-OK-arasi-monotonluk</t>
        </is>
      </c>
      <c r="X1901" t="b">
        <v>1</v>
      </c>
      <c r="Z1901" t="n">
        <v>935</v>
      </c>
      <c r="AA1901" t="n">
        <v>2.5</v>
      </c>
      <c r="AB1901" t="n">
        <v>9.5</v>
      </c>
    </row>
    <row r="1902">
      <c r="A1902" t="inlineStr">
        <is>
          <t>2026-09-24 18:01:36</t>
        </is>
      </c>
      <c r="B1902" t="inlineStr">
        <is>
          <t>MLLB_000_y1.0.3</t>
        </is>
      </c>
      <c r="C1902" t="inlineStr">
        <is>
          <t>WHITE</t>
        </is>
      </c>
      <c r="D1902" t="inlineStr">
        <is>
          <t>v4_white_MLLB_000_y103_0924</t>
        </is>
      </c>
      <c r="E1902" t="n">
        <v>3</v>
      </c>
      <c r="F1902" t="n">
        <v>3.008</v>
      </c>
      <c r="G1902" t="n">
        <v>100</v>
      </c>
      <c r="H1902" t="n">
        <v>80</v>
      </c>
      <c r="I1902" t="n">
        <v>18</v>
      </c>
      <c r="J1902" t="inlineStr">
        <is>
          <t>ince</t>
        </is>
      </c>
      <c r="K1902" t="b">
        <v>0</v>
      </c>
      <c r="L1902" t="inlineStr">
        <is>
          <t>iki-OK-arasi-monotonluk</t>
        </is>
      </c>
      <c r="X1902" t="b">
        <v>1</v>
      </c>
      <c r="Z1902" t="n">
        <v>935</v>
      </c>
      <c r="AA1902" t="n">
        <v>2.5</v>
      </c>
      <c r="AB1902" t="n">
        <v>9.5</v>
      </c>
    </row>
    <row r="1903">
      <c r="A1903" t="inlineStr">
        <is>
          <t>2026-09-24 18:01:36</t>
        </is>
      </c>
      <c r="B1903" t="inlineStr">
        <is>
          <t>MLLB_000_y1.0.3</t>
        </is>
      </c>
      <c r="C1903" t="inlineStr">
        <is>
          <t>WHITE</t>
        </is>
      </c>
      <c r="D1903" t="inlineStr">
        <is>
          <t>v4_white_MLLB_000_y103_0924</t>
        </is>
      </c>
      <c r="E1903" t="n">
        <v>3</v>
      </c>
      <c r="F1903" t="n">
        <v>3.008</v>
      </c>
      <c r="G1903" t="n">
        <v>100</v>
      </c>
      <c r="H1903" t="n">
        <v>80</v>
      </c>
      <c r="I1903" t="n">
        <v>19</v>
      </c>
      <c r="J1903" t="inlineStr">
        <is>
          <t>ince</t>
        </is>
      </c>
      <c r="K1903" t="b">
        <v>0</v>
      </c>
      <c r="L1903" t="inlineStr">
        <is>
          <t>iki-OK-arasi-monotonluk</t>
        </is>
      </c>
      <c r="X1903" t="b">
        <v>1</v>
      </c>
      <c r="Z1903" t="n">
        <v>935</v>
      </c>
      <c r="AA1903" t="n">
        <v>2.5</v>
      </c>
      <c r="AB1903" t="n">
        <v>9.5</v>
      </c>
    </row>
    <row r="1904">
      <c r="A1904" t="inlineStr">
        <is>
          <t>2026-09-24 18:01:36</t>
        </is>
      </c>
      <c r="B1904" t="inlineStr">
        <is>
          <t>MLLB_000_y1.0.3</t>
        </is>
      </c>
      <c r="C1904" t="inlineStr">
        <is>
          <t>WHITE</t>
        </is>
      </c>
      <c r="D1904" t="inlineStr">
        <is>
          <t>v4_white_MLLB_000_y103_0924</t>
        </is>
      </c>
      <c r="E1904" t="n">
        <v>3</v>
      </c>
      <c r="F1904" t="n">
        <v>3.008</v>
      </c>
      <c r="G1904" t="n">
        <v>100</v>
      </c>
      <c r="H1904" t="n">
        <v>80</v>
      </c>
      <c r="I1904" t="n">
        <v>21</v>
      </c>
      <c r="J1904" t="inlineStr">
        <is>
          <t>ince</t>
        </is>
      </c>
      <c r="K1904" t="b">
        <v>0</v>
      </c>
      <c r="L1904" t="inlineStr">
        <is>
          <t>iki-OK-arasi-monotonluk</t>
        </is>
      </c>
      <c r="X1904" t="b">
        <v>1</v>
      </c>
      <c r="Z1904" t="n">
        <v>935</v>
      </c>
      <c r="AA1904" t="n">
        <v>2.5</v>
      </c>
      <c r="AB1904" t="n">
        <v>9.5</v>
      </c>
    </row>
    <row r="1905">
      <c r="A1905" t="inlineStr">
        <is>
          <t>2026-09-24 18:01:36</t>
        </is>
      </c>
      <c r="B1905" t="inlineStr">
        <is>
          <t>MLLB_000_y1.0.3</t>
        </is>
      </c>
      <c r="C1905" t="inlineStr">
        <is>
          <t>WHITE</t>
        </is>
      </c>
      <c r="D1905" t="inlineStr">
        <is>
          <t>v4_white_MLLB_000_y103_0924</t>
        </is>
      </c>
      <c r="E1905" t="n">
        <v>3</v>
      </c>
      <c r="F1905" t="n">
        <v>3.008</v>
      </c>
      <c r="G1905" t="n">
        <v>100</v>
      </c>
      <c r="H1905" t="n">
        <v>80</v>
      </c>
      <c r="I1905" t="n">
        <v>22</v>
      </c>
      <c r="J1905" t="inlineStr">
        <is>
          <t>ince</t>
        </is>
      </c>
      <c r="K1905" t="b">
        <v>0</v>
      </c>
      <c r="L1905" t="inlineStr">
        <is>
          <t>iki-OK-arasi-monotonluk</t>
        </is>
      </c>
      <c r="X1905" t="b">
        <v>1</v>
      </c>
      <c r="Z1905" t="n">
        <v>935</v>
      </c>
      <c r="AA1905" t="n">
        <v>2.5</v>
      </c>
      <c r="AB1905" t="n">
        <v>9.5</v>
      </c>
    </row>
    <row r="1906">
      <c r="A1906" t="inlineStr">
        <is>
          <t>2026-09-24 18:01:36</t>
        </is>
      </c>
      <c r="B1906" t="inlineStr">
        <is>
          <t>MLLB_000_y1.0.3</t>
        </is>
      </c>
      <c r="C1906" t="inlineStr">
        <is>
          <t>WHITE</t>
        </is>
      </c>
      <c r="D1906" t="inlineStr">
        <is>
          <t>v4_white_MLLB_000_y103_0924</t>
        </is>
      </c>
      <c r="E1906" t="n">
        <v>3</v>
      </c>
      <c r="F1906" t="n">
        <v>3.008</v>
      </c>
      <c r="G1906" t="n">
        <v>100</v>
      </c>
      <c r="H1906" t="n">
        <v>80</v>
      </c>
      <c r="I1906" t="n">
        <v>23</v>
      </c>
      <c r="J1906" t="inlineStr">
        <is>
          <t>ince</t>
        </is>
      </c>
      <c r="K1906" t="b">
        <v>0</v>
      </c>
      <c r="L1906" t="inlineStr">
        <is>
          <t>iki-OK-arasi-monotonluk</t>
        </is>
      </c>
      <c r="X1906" t="b">
        <v>1</v>
      </c>
      <c r="Z1906" t="n">
        <v>935</v>
      </c>
      <c r="AA1906" t="n">
        <v>2.5</v>
      </c>
      <c r="AB1906" t="n">
        <v>9.5</v>
      </c>
    </row>
    <row r="1907">
      <c r="A1907" t="inlineStr">
        <is>
          <t>2026-09-24 18:01:36</t>
        </is>
      </c>
      <c r="B1907" t="inlineStr">
        <is>
          <t>MLLB_000_y1.0.3</t>
        </is>
      </c>
      <c r="C1907" t="inlineStr">
        <is>
          <t>WHITE</t>
        </is>
      </c>
      <c r="D1907" t="inlineStr">
        <is>
          <t>v4_white_MLLB_000_y103_0924</t>
        </is>
      </c>
      <c r="E1907" t="n">
        <v>3</v>
      </c>
      <c r="F1907" t="n">
        <v>3.008</v>
      </c>
      <c r="G1907" t="n">
        <v>100</v>
      </c>
      <c r="H1907" t="n">
        <v>80</v>
      </c>
      <c r="I1907" t="n">
        <v>25</v>
      </c>
      <c r="J1907" t="inlineStr">
        <is>
          <t>ince</t>
        </is>
      </c>
      <c r="K1907" t="b">
        <v>0</v>
      </c>
      <c r="L1907" t="inlineStr">
        <is>
          <t>iki-OK-arasi-monotonluk</t>
        </is>
      </c>
      <c r="X1907" t="b">
        <v>1</v>
      </c>
      <c r="Z1907" t="n">
        <v>935</v>
      </c>
      <c r="AA1907" t="n">
        <v>2.5</v>
      </c>
      <c r="AB1907" t="n">
        <v>9.5</v>
      </c>
    </row>
    <row r="1908">
      <c r="A1908" t="inlineStr">
        <is>
          <t>2026-09-24 18:01:36</t>
        </is>
      </c>
      <c r="B1908" t="inlineStr">
        <is>
          <t>MLLB_000_y1.0.3</t>
        </is>
      </c>
      <c r="C1908" t="inlineStr">
        <is>
          <t>WHITE</t>
        </is>
      </c>
      <c r="D1908" t="inlineStr">
        <is>
          <t>v4_white_MLLB_000_y103_0924</t>
        </is>
      </c>
      <c r="E1908" t="n">
        <v>3</v>
      </c>
      <c r="F1908" t="n">
        <v>3.008</v>
      </c>
      <c r="G1908" t="n">
        <v>100</v>
      </c>
      <c r="H1908" t="n">
        <v>80</v>
      </c>
      <c r="I1908" t="n">
        <v>26</v>
      </c>
      <c r="J1908" t="inlineStr">
        <is>
          <t>ince</t>
        </is>
      </c>
      <c r="K1908" t="b">
        <v>0</v>
      </c>
      <c r="L1908" t="inlineStr">
        <is>
          <t>iki-OK-arasi-monotonluk</t>
        </is>
      </c>
      <c r="X1908" t="b">
        <v>1</v>
      </c>
      <c r="Z1908" t="n">
        <v>935</v>
      </c>
      <c r="AA1908" t="n">
        <v>2.5</v>
      </c>
      <c r="AB1908" t="n">
        <v>9.5</v>
      </c>
    </row>
    <row r="1909">
      <c r="A1909" t="inlineStr">
        <is>
          <t>2026-09-24 18:01:36</t>
        </is>
      </c>
      <c r="B1909" t="inlineStr">
        <is>
          <t>MLLB_000_y1.0.3</t>
        </is>
      </c>
      <c r="C1909" t="inlineStr">
        <is>
          <t>WHITE</t>
        </is>
      </c>
      <c r="D1909" t="inlineStr">
        <is>
          <t>v4_white_MLLB_000_y103_0924</t>
        </is>
      </c>
      <c r="E1909" t="n">
        <v>3</v>
      </c>
      <c r="F1909" t="n">
        <v>3.008</v>
      </c>
      <c r="G1909" t="n">
        <v>100</v>
      </c>
      <c r="H1909" t="n">
        <v>80</v>
      </c>
      <c r="I1909" t="n">
        <v>27</v>
      </c>
      <c r="J1909" t="inlineStr">
        <is>
          <t>ince</t>
        </is>
      </c>
      <c r="K1909" t="b">
        <v>0</v>
      </c>
      <c r="L1909" t="inlineStr">
        <is>
          <t>iki-OK-arasi-monotonluk</t>
        </is>
      </c>
      <c r="X1909" t="b">
        <v>1</v>
      </c>
      <c r="Z1909" t="n">
        <v>935</v>
      </c>
      <c r="AA1909" t="n">
        <v>2.5</v>
      </c>
      <c r="AB1909" t="n">
        <v>9.5</v>
      </c>
    </row>
    <row r="1910">
      <c r="A1910" t="inlineStr">
        <is>
          <t>2026-09-24 18:01:36</t>
        </is>
      </c>
      <c r="B1910" t="inlineStr">
        <is>
          <t>MLLB_000_y1.0.3</t>
        </is>
      </c>
      <c r="C1910" t="inlineStr">
        <is>
          <t>WHITE</t>
        </is>
      </c>
      <c r="D1910" t="inlineStr">
        <is>
          <t>v4_white_MLLB_000_y103_0924</t>
        </is>
      </c>
      <c r="E1910" t="n">
        <v>3</v>
      </c>
      <c r="F1910" t="n">
        <v>3.008</v>
      </c>
      <c r="G1910" t="n">
        <v>100</v>
      </c>
      <c r="H1910" t="n">
        <v>80</v>
      </c>
      <c r="I1910" t="n">
        <v>29</v>
      </c>
      <c r="J1910" t="inlineStr">
        <is>
          <t>ince</t>
        </is>
      </c>
      <c r="K1910" t="b">
        <v>0</v>
      </c>
      <c r="L1910" t="inlineStr">
        <is>
          <t>iki-OK-arasi-monotonluk</t>
        </is>
      </c>
      <c r="X1910" t="b">
        <v>1</v>
      </c>
      <c r="Z1910" t="n">
        <v>935</v>
      </c>
      <c r="AA1910" t="n">
        <v>2.5</v>
      </c>
      <c r="AB1910" t="n">
        <v>9.5</v>
      </c>
    </row>
    <row r="1911">
      <c r="A1911" t="inlineStr">
        <is>
          <t>2026-09-24 18:01:36</t>
        </is>
      </c>
      <c r="B1911" t="inlineStr">
        <is>
          <t>MLLB_000_y1.0.3</t>
        </is>
      </c>
      <c r="C1911" t="inlineStr">
        <is>
          <t>WHITE</t>
        </is>
      </c>
      <c r="D1911" t="inlineStr">
        <is>
          <t>v4_white_MLLB_000_y103_0924</t>
        </is>
      </c>
      <c r="E1911" t="n">
        <v>3</v>
      </c>
      <c r="F1911" t="n">
        <v>3.008</v>
      </c>
      <c r="G1911" t="n">
        <v>100</v>
      </c>
      <c r="H1911" t="n">
        <v>80</v>
      </c>
      <c r="I1911" t="n">
        <v>30</v>
      </c>
      <c r="J1911" t="inlineStr">
        <is>
          <t>ince</t>
        </is>
      </c>
      <c r="K1911" t="b">
        <v>0</v>
      </c>
      <c r="L1911" t="inlineStr">
        <is>
          <t>iki-OK-arasi-monotonluk</t>
        </is>
      </c>
      <c r="X1911" t="b">
        <v>1</v>
      </c>
      <c r="Z1911" t="n">
        <v>935</v>
      </c>
      <c r="AA1911" t="n">
        <v>2.5</v>
      </c>
      <c r="AB1911" t="n">
        <v>9.5</v>
      </c>
    </row>
    <row r="1912">
      <c r="A1912" t="inlineStr">
        <is>
          <t>2026-09-24 18:01:36</t>
        </is>
      </c>
      <c r="B1912" t="inlineStr">
        <is>
          <t>MLLB_000_y1.0.3</t>
        </is>
      </c>
      <c r="C1912" t="inlineStr">
        <is>
          <t>WHITE</t>
        </is>
      </c>
      <c r="D1912" t="inlineStr">
        <is>
          <t>v4_white_MLLB_000_y103_0924</t>
        </is>
      </c>
      <c r="E1912" t="n">
        <v>3</v>
      </c>
      <c r="F1912" t="n">
        <v>3.008</v>
      </c>
      <c r="G1912" t="n">
        <v>100</v>
      </c>
      <c r="H1912" t="n">
        <v>80</v>
      </c>
      <c r="I1912" t="n">
        <v>31</v>
      </c>
      <c r="J1912" t="inlineStr">
        <is>
          <t>ince</t>
        </is>
      </c>
      <c r="K1912" t="b">
        <v>0</v>
      </c>
      <c r="L1912" t="inlineStr">
        <is>
          <t>iki-OK-arasi-monotonluk</t>
        </is>
      </c>
      <c r="X1912" t="b">
        <v>1</v>
      </c>
      <c r="Z1912" t="n">
        <v>935</v>
      </c>
      <c r="AA1912" t="n">
        <v>2.5</v>
      </c>
      <c r="AB1912" t="n">
        <v>9.5</v>
      </c>
    </row>
    <row r="1913">
      <c r="A1913" t="inlineStr">
        <is>
          <t>2026-09-24 18:01:36</t>
        </is>
      </c>
      <c r="B1913" t="inlineStr">
        <is>
          <t>MLLB_000_y1.0.3</t>
        </is>
      </c>
      <c r="C1913" t="inlineStr">
        <is>
          <t>WHITE</t>
        </is>
      </c>
      <c r="D1913" t="inlineStr">
        <is>
          <t>v4_white_MLLB_000_y103_0924</t>
        </is>
      </c>
      <c r="E1913" t="n">
        <v>3</v>
      </c>
      <c r="F1913" t="n">
        <v>3.008</v>
      </c>
      <c r="G1913" t="n">
        <v>100</v>
      </c>
      <c r="H1913" t="n">
        <v>80</v>
      </c>
      <c r="I1913" t="n">
        <v>33</v>
      </c>
      <c r="J1913" t="inlineStr">
        <is>
          <t>ince</t>
        </is>
      </c>
      <c r="K1913" t="b">
        <v>0</v>
      </c>
      <c r="L1913" t="inlineStr">
        <is>
          <t>iki-OK-arasi-monotonluk</t>
        </is>
      </c>
      <c r="X1913" t="b">
        <v>1</v>
      </c>
      <c r="Z1913" t="n">
        <v>935</v>
      </c>
      <c r="AA1913" t="n">
        <v>2.5</v>
      </c>
      <c r="AB1913" t="n">
        <v>9.5</v>
      </c>
    </row>
    <row r="1914">
      <c r="A1914" t="inlineStr">
        <is>
          <t>2026-09-24 18:01:36</t>
        </is>
      </c>
      <c r="B1914" t="inlineStr">
        <is>
          <t>MLLB_000_y1.0.3</t>
        </is>
      </c>
      <c r="C1914" t="inlineStr">
        <is>
          <t>WHITE</t>
        </is>
      </c>
      <c r="D1914" t="inlineStr">
        <is>
          <t>v4_white_MLLB_000_y103_0924</t>
        </is>
      </c>
      <c r="E1914" t="n">
        <v>3</v>
      </c>
      <c r="F1914" t="n">
        <v>3.008</v>
      </c>
      <c r="G1914" t="n">
        <v>100</v>
      </c>
      <c r="H1914" t="n">
        <v>80</v>
      </c>
      <c r="I1914" t="n">
        <v>34</v>
      </c>
      <c r="J1914" t="inlineStr">
        <is>
          <t>ince</t>
        </is>
      </c>
      <c r="K1914" t="b">
        <v>0</v>
      </c>
      <c r="L1914" t="inlineStr">
        <is>
          <t>iki-OK-arasi-monotonluk</t>
        </is>
      </c>
      <c r="X1914" t="b">
        <v>1</v>
      </c>
      <c r="Z1914" t="n">
        <v>935</v>
      </c>
      <c r="AA1914" t="n">
        <v>2.5</v>
      </c>
      <c r="AB1914" t="n">
        <v>9.5</v>
      </c>
    </row>
    <row r="1915">
      <c r="A1915" t="inlineStr">
        <is>
          <t>2026-09-24 18:01:36</t>
        </is>
      </c>
      <c r="B1915" t="inlineStr">
        <is>
          <t>MLLB_000_y1.0.3</t>
        </is>
      </c>
      <c r="C1915" t="inlineStr">
        <is>
          <t>WHITE</t>
        </is>
      </c>
      <c r="D1915" t="inlineStr">
        <is>
          <t>v4_white_MLLB_000_y103_0924</t>
        </is>
      </c>
      <c r="E1915" t="n">
        <v>3</v>
      </c>
      <c r="F1915" t="n">
        <v>3.008</v>
      </c>
      <c r="G1915" t="n">
        <v>100</v>
      </c>
      <c r="H1915" t="n">
        <v>80</v>
      </c>
      <c r="I1915" t="n">
        <v>35</v>
      </c>
      <c r="J1915" t="inlineStr">
        <is>
          <t>ince</t>
        </is>
      </c>
      <c r="K1915" t="b">
        <v>0</v>
      </c>
      <c r="L1915" t="inlineStr">
        <is>
          <t>iki-OK-arasi-monotonluk</t>
        </is>
      </c>
      <c r="X1915" t="b">
        <v>1</v>
      </c>
      <c r="Z1915" t="n">
        <v>935</v>
      </c>
      <c r="AA1915" t="n">
        <v>2.5</v>
      </c>
      <c r="AB1915" t="n">
        <v>9.5</v>
      </c>
    </row>
    <row r="1916">
      <c r="A1916" t="inlineStr">
        <is>
          <t>2026-09-24 18:01:36</t>
        </is>
      </c>
      <c r="B1916" t="inlineStr">
        <is>
          <t>MLLB_000_y1.0.3</t>
        </is>
      </c>
      <c r="C1916" t="inlineStr">
        <is>
          <t>WHITE</t>
        </is>
      </c>
      <c r="D1916" t="inlineStr">
        <is>
          <t>v4_white_MLLB_000_y103_0924</t>
        </is>
      </c>
      <c r="E1916" t="n">
        <v>3</v>
      </c>
      <c r="F1916" t="n">
        <v>3.008</v>
      </c>
      <c r="G1916" t="n">
        <v>100</v>
      </c>
      <c r="H1916" t="n">
        <v>80</v>
      </c>
      <c r="I1916" t="n">
        <v>37</v>
      </c>
      <c r="J1916" t="inlineStr">
        <is>
          <t>ince</t>
        </is>
      </c>
      <c r="K1916" t="b">
        <v>0</v>
      </c>
      <c r="L1916" t="inlineStr">
        <is>
          <t>iki-OK-arasi-monotonluk</t>
        </is>
      </c>
      <c r="X1916" t="b">
        <v>1</v>
      </c>
      <c r="Z1916" t="n">
        <v>935</v>
      </c>
      <c r="AA1916" t="n">
        <v>2.5</v>
      </c>
      <c r="AB1916" t="n">
        <v>9.5</v>
      </c>
    </row>
    <row r="1917">
      <c r="A1917" t="inlineStr">
        <is>
          <t>2026-09-24 18:01:36</t>
        </is>
      </c>
      <c r="B1917" t="inlineStr">
        <is>
          <t>MLLB_000_y1.0.3</t>
        </is>
      </c>
      <c r="C1917" t="inlineStr">
        <is>
          <t>WHITE</t>
        </is>
      </c>
      <c r="D1917" t="inlineStr">
        <is>
          <t>v4_white_MLLB_000_y103_0924</t>
        </is>
      </c>
      <c r="E1917" t="n">
        <v>3</v>
      </c>
      <c r="F1917" t="n">
        <v>3.008</v>
      </c>
      <c r="G1917" t="n">
        <v>100</v>
      </c>
      <c r="H1917" t="n">
        <v>80</v>
      </c>
      <c r="I1917" t="n">
        <v>38</v>
      </c>
      <c r="J1917" t="inlineStr">
        <is>
          <t>ince</t>
        </is>
      </c>
      <c r="K1917" t="b">
        <v>0</v>
      </c>
      <c r="L1917" t="inlineStr">
        <is>
          <t>iki-OK-arasi-monotonluk</t>
        </is>
      </c>
      <c r="X1917" t="b">
        <v>1</v>
      </c>
      <c r="Z1917" t="n">
        <v>935</v>
      </c>
      <c r="AA1917" t="n">
        <v>2.5</v>
      </c>
      <c r="AB1917" t="n">
        <v>9.5</v>
      </c>
    </row>
    <row r="1918">
      <c r="A1918" t="inlineStr">
        <is>
          <t>2026-09-24 18:01:36</t>
        </is>
      </c>
      <c r="B1918" t="inlineStr">
        <is>
          <t>MLLB_000_y1.0.3</t>
        </is>
      </c>
      <c r="C1918" t="inlineStr">
        <is>
          <t>WHITE</t>
        </is>
      </c>
      <c r="D1918" t="inlineStr">
        <is>
          <t>v4_white_MLLB_000_y103_0924</t>
        </is>
      </c>
      <c r="E1918" t="n">
        <v>3</v>
      </c>
      <c r="F1918" t="n">
        <v>3.008</v>
      </c>
      <c r="G1918" t="n">
        <v>100</v>
      </c>
      <c r="H1918" t="n">
        <v>80</v>
      </c>
      <c r="I1918" t="n">
        <v>39</v>
      </c>
      <c r="J1918" t="inlineStr">
        <is>
          <t>ince</t>
        </is>
      </c>
      <c r="K1918" t="b">
        <v>0</v>
      </c>
      <c r="L1918" t="inlineStr">
        <is>
          <t>iki-OK-arasi-monotonluk</t>
        </is>
      </c>
      <c r="X1918" t="b">
        <v>1</v>
      </c>
      <c r="Z1918" t="n">
        <v>935</v>
      </c>
      <c r="AA1918" t="n">
        <v>2.5</v>
      </c>
      <c r="AB1918" t="n">
        <v>9.5</v>
      </c>
    </row>
    <row r="1919">
      <c r="A1919" t="inlineStr">
        <is>
          <t>2026-09-24 18:01:36</t>
        </is>
      </c>
      <c r="B1919" t="inlineStr">
        <is>
          <t>MLLB_000_y1.0.3</t>
        </is>
      </c>
      <c r="C1919" t="inlineStr">
        <is>
          <t>WHITE</t>
        </is>
      </c>
      <c r="D1919" t="inlineStr">
        <is>
          <t>v4_white_MLLB_000_y103_0924</t>
        </is>
      </c>
      <c r="E1919" t="n">
        <v>3</v>
      </c>
      <c r="F1919" t="n">
        <v>3.008</v>
      </c>
      <c r="G1919" t="n">
        <v>100</v>
      </c>
      <c r="H1919" t="n">
        <v>80</v>
      </c>
      <c r="I1919" t="n">
        <v>41</v>
      </c>
      <c r="J1919" t="inlineStr">
        <is>
          <t>ince</t>
        </is>
      </c>
      <c r="K1919" t="b">
        <v>0</v>
      </c>
      <c r="L1919" t="inlineStr">
        <is>
          <t>iki-OK-arasi-monotonluk</t>
        </is>
      </c>
      <c r="X1919" t="b">
        <v>1</v>
      </c>
      <c r="Z1919" t="n">
        <v>935</v>
      </c>
      <c r="AA1919" t="n">
        <v>2.5</v>
      </c>
      <c r="AB1919" t="n">
        <v>9.5</v>
      </c>
    </row>
    <row r="1920">
      <c r="A1920" t="inlineStr">
        <is>
          <t>2026-09-24 18:01:36</t>
        </is>
      </c>
      <c r="B1920" t="inlineStr">
        <is>
          <t>MLLB_000_y1.0.3</t>
        </is>
      </c>
      <c r="C1920" t="inlineStr">
        <is>
          <t>WHITE</t>
        </is>
      </c>
      <c r="D1920" t="inlineStr">
        <is>
          <t>v4_white_MLLB_000_y103_0924</t>
        </is>
      </c>
      <c r="E1920" t="n">
        <v>3</v>
      </c>
      <c r="F1920" t="n">
        <v>3.008</v>
      </c>
      <c r="G1920" t="n">
        <v>100</v>
      </c>
      <c r="H1920" t="n">
        <v>80</v>
      </c>
      <c r="I1920" t="n">
        <v>42</v>
      </c>
      <c r="J1920" t="inlineStr">
        <is>
          <t>ince</t>
        </is>
      </c>
      <c r="K1920" t="b">
        <v>0</v>
      </c>
      <c r="L1920" t="inlineStr">
        <is>
          <t>iki-OK-arasi-monotonluk</t>
        </is>
      </c>
      <c r="X1920" t="b">
        <v>1</v>
      </c>
      <c r="Z1920" t="n">
        <v>935</v>
      </c>
      <c r="AA1920" t="n">
        <v>2.5</v>
      </c>
      <c r="AB1920" t="n">
        <v>9.5</v>
      </c>
    </row>
    <row r="1921">
      <c r="A1921" t="inlineStr">
        <is>
          <t>2026-09-24 18:01:36</t>
        </is>
      </c>
      <c r="B1921" t="inlineStr">
        <is>
          <t>MLLB_000_y1.0.3</t>
        </is>
      </c>
      <c r="C1921" t="inlineStr">
        <is>
          <t>WHITE</t>
        </is>
      </c>
      <c r="D1921" t="inlineStr">
        <is>
          <t>v4_white_MLLB_000_y103_0924</t>
        </is>
      </c>
      <c r="E1921" t="n">
        <v>3</v>
      </c>
      <c r="F1921" t="n">
        <v>3.008</v>
      </c>
      <c r="G1921" t="n">
        <v>100</v>
      </c>
      <c r="H1921" t="n">
        <v>80</v>
      </c>
      <c r="I1921" t="n">
        <v>43</v>
      </c>
      <c r="J1921" t="inlineStr">
        <is>
          <t>ince</t>
        </is>
      </c>
      <c r="K1921" t="b">
        <v>0</v>
      </c>
      <c r="L1921" t="inlineStr">
        <is>
          <t>iki-OK-arasi-monotonluk</t>
        </is>
      </c>
      <c r="X1921" t="b">
        <v>1</v>
      </c>
      <c r="Z1921" t="n">
        <v>935</v>
      </c>
      <c r="AA1921" t="n">
        <v>2.5</v>
      </c>
      <c r="AB1921" t="n">
        <v>9.5</v>
      </c>
    </row>
    <row r="1922">
      <c r="A1922" t="inlineStr">
        <is>
          <t>2026-09-24 18:01:36</t>
        </is>
      </c>
      <c r="B1922" t="inlineStr">
        <is>
          <t>MLLB_000_y1.0.3</t>
        </is>
      </c>
      <c r="C1922" t="inlineStr">
        <is>
          <t>WHITE</t>
        </is>
      </c>
      <c r="D1922" t="inlineStr">
        <is>
          <t>v4_white_MLLB_000_y103_0924</t>
        </is>
      </c>
      <c r="E1922" t="n">
        <v>3</v>
      </c>
      <c r="F1922" t="n">
        <v>3.008</v>
      </c>
      <c r="G1922" t="n">
        <v>100</v>
      </c>
      <c r="H1922" t="n">
        <v>80</v>
      </c>
      <c r="I1922" t="n">
        <v>45</v>
      </c>
      <c r="J1922" t="inlineStr">
        <is>
          <t>ince</t>
        </is>
      </c>
      <c r="K1922" t="b">
        <v>0</v>
      </c>
      <c r="L1922" t="inlineStr">
        <is>
          <t>iki-OK-arasi-monotonluk</t>
        </is>
      </c>
      <c r="X1922" t="b">
        <v>1</v>
      </c>
      <c r="Z1922" t="n">
        <v>935</v>
      </c>
      <c r="AA1922" t="n">
        <v>2.5</v>
      </c>
      <c r="AB1922" t="n">
        <v>9.5</v>
      </c>
    </row>
    <row r="1923">
      <c r="A1923" t="inlineStr">
        <is>
          <t>2026-09-24 18:01:36</t>
        </is>
      </c>
      <c r="B1923" t="inlineStr">
        <is>
          <t>MLLB_000_y1.0.3</t>
        </is>
      </c>
      <c r="C1923" t="inlineStr">
        <is>
          <t>WHITE</t>
        </is>
      </c>
      <c r="D1923" t="inlineStr">
        <is>
          <t>v4_white_MLLB_000_y103_0924</t>
        </is>
      </c>
      <c r="E1923" t="n">
        <v>3</v>
      </c>
      <c r="F1923" t="n">
        <v>3.008</v>
      </c>
      <c r="G1923" t="n">
        <v>100</v>
      </c>
      <c r="H1923" t="n">
        <v>80</v>
      </c>
      <c r="I1923" t="n">
        <v>46</v>
      </c>
      <c r="J1923" t="inlineStr">
        <is>
          <t>ince</t>
        </is>
      </c>
      <c r="K1923" t="b">
        <v>0</v>
      </c>
      <c r="L1923" t="inlineStr">
        <is>
          <t>iki-OK-arasi-monotonluk</t>
        </is>
      </c>
      <c r="X1923" t="b">
        <v>1</v>
      </c>
      <c r="Z1923" t="n">
        <v>935</v>
      </c>
      <c r="AA1923" t="n">
        <v>2.5</v>
      </c>
      <c r="AB1923" t="n">
        <v>9.5</v>
      </c>
    </row>
    <row r="1924">
      <c r="A1924" t="inlineStr">
        <is>
          <t>2026-09-24 18:01:36</t>
        </is>
      </c>
      <c r="B1924" t="inlineStr">
        <is>
          <t>MLLB_000_y1.0.3</t>
        </is>
      </c>
      <c r="C1924" t="inlineStr">
        <is>
          <t>WHITE</t>
        </is>
      </c>
      <c r="D1924" t="inlineStr">
        <is>
          <t>v4_white_MLLB_000_y103_0924</t>
        </is>
      </c>
      <c r="E1924" t="n">
        <v>3</v>
      </c>
      <c r="F1924" t="n">
        <v>3.008</v>
      </c>
      <c r="G1924" t="n">
        <v>100</v>
      </c>
      <c r="H1924" t="n">
        <v>80</v>
      </c>
      <c r="I1924" t="n">
        <v>47</v>
      </c>
      <c r="J1924" t="inlineStr">
        <is>
          <t>ince</t>
        </is>
      </c>
      <c r="K1924" t="b">
        <v>0</v>
      </c>
      <c r="L1924" t="inlineStr">
        <is>
          <t>iki-OK-arasi-monotonluk</t>
        </is>
      </c>
      <c r="X1924" t="b">
        <v>1</v>
      </c>
      <c r="Z1924" t="n">
        <v>935</v>
      </c>
      <c r="AA1924" t="n">
        <v>2.5</v>
      </c>
      <c r="AB1924" t="n">
        <v>9.5</v>
      </c>
    </row>
    <row r="1925">
      <c r="A1925" t="inlineStr">
        <is>
          <t>2026-09-24 18:01:36</t>
        </is>
      </c>
      <c r="B1925" t="inlineStr">
        <is>
          <t>MLLB_000_y1.0.3</t>
        </is>
      </c>
      <c r="C1925" t="inlineStr">
        <is>
          <t>WHITE</t>
        </is>
      </c>
      <c r="D1925" t="inlineStr">
        <is>
          <t>v4_white_MLLB_000_y103_0924</t>
        </is>
      </c>
      <c r="E1925" t="n">
        <v>3</v>
      </c>
      <c r="F1925" t="n">
        <v>3.008</v>
      </c>
      <c r="G1925" t="n">
        <v>100</v>
      </c>
      <c r="H1925" t="n">
        <v>80</v>
      </c>
      <c r="I1925" t="n">
        <v>49</v>
      </c>
      <c r="J1925" t="inlineStr">
        <is>
          <t>ince</t>
        </is>
      </c>
      <c r="K1925" t="b">
        <v>0</v>
      </c>
      <c r="L1925" t="inlineStr">
        <is>
          <t>iki-OK-arasi-monotonluk</t>
        </is>
      </c>
      <c r="X1925" t="b">
        <v>1</v>
      </c>
      <c r="Z1925" t="n">
        <v>935</v>
      </c>
      <c r="AA1925" t="n">
        <v>2.5</v>
      </c>
      <c r="AB1925" t="n">
        <v>9.5</v>
      </c>
    </row>
    <row r="1926">
      <c r="A1926" t="inlineStr">
        <is>
          <t>2026-09-24 18:01:36</t>
        </is>
      </c>
      <c r="B1926" t="inlineStr">
        <is>
          <t>MLLB_000_y1.0.3</t>
        </is>
      </c>
      <c r="C1926" t="inlineStr">
        <is>
          <t>WHITE</t>
        </is>
      </c>
      <c r="D1926" t="inlineStr">
        <is>
          <t>v4_white_MLLB_000_y103_0924</t>
        </is>
      </c>
      <c r="E1926" t="n">
        <v>3</v>
      </c>
      <c r="F1926" t="n">
        <v>3.008</v>
      </c>
      <c r="G1926" t="n">
        <v>100</v>
      </c>
      <c r="H1926" t="n">
        <v>80</v>
      </c>
      <c r="I1926" t="n">
        <v>50</v>
      </c>
      <c r="J1926" t="inlineStr">
        <is>
          <t>ince</t>
        </is>
      </c>
      <c r="K1926" t="b">
        <v>0</v>
      </c>
      <c r="L1926" t="inlineStr">
        <is>
          <t>iki-OK-arasi-monotonluk</t>
        </is>
      </c>
      <c r="X1926" t="b">
        <v>1</v>
      </c>
      <c r="Z1926" t="n">
        <v>935</v>
      </c>
      <c r="AA1926" t="n">
        <v>2.5</v>
      </c>
      <c r="AB1926" t="n">
        <v>9.5</v>
      </c>
    </row>
    <row r="1927">
      <c r="A1927" t="inlineStr">
        <is>
          <t>2026-09-24 18:01:36</t>
        </is>
      </c>
      <c r="B1927" t="inlineStr">
        <is>
          <t>MLLB_000_y1.0.3</t>
        </is>
      </c>
      <c r="C1927" t="inlineStr">
        <is>
          <t>WHITE</t>
        </is>
      </c>
      <c r="D1927" t="inlineStr">
        <is>
          <t>v4_white_MLLB_000_y103_0924</t>
        </is>
      </c>
      <c r="E1927" t="n">
        <v>3</v>
      </c>
      <c r="F1927" t="n">
        <v>3.008</v>
      </c>
      <c r="G1927" t="n">
        <v>100</v>
      </c>
      <c r="H1927" t="n">
        <v>80</v>
      </c>
      <c r="I1927" t="n">
        <v>51</v>
      </c>
      <c r="J1927" t="inlineStr">
        <is>
          <t>ince</t>
        </is>
      </c>
      <c r="K1927" t="b">
        <v>0</v>
      </c>
      <c r="L1927" t="inlineStr">
        <is>
          <t>iki-OK-arasi-monotonluk</t>
        </is>
      </c>
      <c r="X1927" t="b">
        <v>1</v>
      </c>
      <c r="Z1927" t="n">
        <v>935</v>
      </c>
      <c r="AA1927" t="n">
        <v>2.5</v>
      </c>
      <c r="AB1927" t="n">
        <v>9.5</v>
      </c>
    </row>
    <row r="1928">
      <c r="A1928" t="inlineStr">
        <is>
          <t>2026-09-24 18:01:36</t>
        </is>
      </c>
      <c r="B1928" t="inlineStr">
        <is>
          <t>MLLB_000_y1.0.3</t>
        </is>
      </c>
      <c r="C1928" t="inlineStr">
        <is>
          <t>WHITE</t>
        </is>
      </c>
      <c r="D1928" t="inlineStr">
        <is>
          <t>v4_white_MLLB_000_y103_0924</t>
        </is>
      </c>
      <c r="E1928" t="n">
        <v>3</v>
      </c>
      <c r="F1928" t="n">
        <v>3.008</v>
      </c>
      <c r="G1928" t="n">
        <v>100</v>
      </c>
      <c r="H1928" t="n">
        <v>80</v>
      </c>
      <c r="I1928" t="n">
        <v>53</v>
      </c>
      <c r="J1928" t="inlineStr">
        <is>
          <t>ince</t>
        </is>
      </c>
      <c r="K1928" t="b">
        <v>0</v>
      </c>
      <c r="L1928" t="inlineStr">
        <is>
          <t>iki-OK-arasi-monotonluk</t>
        </is>
      </c>
      <c r="X1928" t="b">
        <v>1</v>
      </c>
      <c r="Z1928" t="n">
        <v>935</v>
      </c>
      <c r="AA1928" t="n">
        <v>2.5</v>
      </c>
      <c r="AB1928" t="n">
        <v>9.5</v>
      </c>
    </row>
    <row r="1929">
      <c r="A1929" t="inlineStr">
        <is>
          <t>2026-09-24 18:01:36</t>
        </is>
      </c>
      <c r="B1929" t="inlineStr">
        <is>
          <t>MLLB_000_y1.0.3</t>
        </is>
      </c>
      <c r="C1929" t="inlineStr">
        <is>
          <t>WHITE</t>
        </is>
      </c>
      <c r="D1929" t="inlineStr">
        <is>
          <t>v4_white_MLLB_000_y103_0924</t>
        </is>
      </c>
      <c r="E1929" t="n">
        <v>3</v>
      </c>
      <c r="F1929" t="n">
        <v>3.008</v>
      </c>
      <c r="G1929" t="n">
        <v>100</v>
      </c>
      <c r="H1929" t="n">
        <v>80</v>
      </c>
      <c r="I1929" t="n">
        <v>54</v>
      </c>
      <c r="J1929" t="inlineStr">
        <is>
          <t>ince</t>
        </is>
      </c>
      <c r="K1929" t="b">
        <v>0</v>
      </c>
      <c r="L1929" t="inlineStr">
        <is>
          <t>iki-OK-arasi-monotonluk</t>
        </is>
      </c>
      <c r="X1929" t="b">
        <v>1</v>
      </c>
      <c r="Z1929" t="n">
        <v>935</v>
      </c>
      <c r="AA1929" t="n">
        <v>2.5</v>
      </c>
      <c r="AB1929" t="n">
        <v>9.5</v>
      </c>
    </row>
    <row r="1930">
      <c r="A1930" t="inlineStr">
        <is>
          <t>2026-09-24 18:01:36</t>
        </is>
      </c>
      <c r="B1930" t="inlineStr">
        <is>
          <t>MLLB_000_y1.0.3</t>
        </is>
      </c>
      <c r="C1930" t="inlineStr">
        <is>
          <t>WHITE</t>
        </is>
      </c>
      <c r="D1930" t="inlineStr">
        <is>
          <t>v4_white_MLLB_000_y103_0924</t>
        </is>
      </c>
      <c r="E1930" t="n">
        <v>3</v>
      </c>
      <c r="F1930" t="n">
        <v>3.008</v>
      </c>
      <c r="G1930" t="n">
        <v>100</v>
      </c>
      <c r="H1930" t="n">
        <v>80</v>
      </c>
      <c r="I1930" t="n">
        <v>55</v>
      </c>
      <c r="J1930" t="inlineStr">
        <is>
          <t>ince</t>
        </is>
      </c>
      <c r="K1930" t="b">
        <v>0</v>
      </c>
      <c r="L1930" t="inlineStr">
        <is>
          <t>iki-OK-arasi-monotonluk</t>
        </is>
      </c>
      <c r="X1930" t="b">
        <v>1</v>
      </c>
      <c r="Z1930" t="n">
        <v>935</v>
      </c>
      <c r="AA1930" t="n">
        <v>2.5</v>
      </c>
      <c r="AB1930" t="n">
        <v>9.5</v>
      </c>
    </row>
    <row r="1931">
      <c r="A1931" t="inlineStr">
        <is>
          <t>2026-09-24 18:01:36</t>
        </is>
      </c>
      <c r="B1931" t="inlineStr">
        <is>
          <t>MLLB_000_y1.0.3</t>
        </is>
      </c>
      <c r="C1931" t="inlineStr">
        <is>
          <t>WHITE</t>
        </is>
      </c>
      <c r="D1931" t="inlineStr">
        <is>
          <t>v4_white_MLLB_000_y103_0924</t>
        </is>
      </c>
      <c r="E1931" t="n">
        <v>3</v>
      </c>
      <c r="F1931" t="n">
        <v>3.008</v>
      </c>
      <c r="G1931" t="n">
        <v>100</v>
      </c>
      <c r="H1931" t="n">
        <v>80</v>
      </c>
      <c r="I1931" t="n">
        <v>57</v>
      </c>
      <c r="J1931" t="inlineStr">
        <is>
          <t>ince</t>
        </is>
      </c>
      <c r="K1931" t="b">
        <v>0</v>
      </c>
      <c r="L1931" t="inlineStr">
        <is>
          <t>iki-OK-arasi-monotonluk</t>
        </is>
      </c>
      <c r="X1931" t="b">
        <v>1</v>
      </c>
      <c r="Z1931" t="n">
        <v>935</v>
      </c>
      <c r="AA1931" t="n">
        <v>2.5</v>
      </c>
      <c r="AB1931" t="n">
        <v>9.5</v>
      </c>
    </row>
    <row r="1932">
      <c r="A1932" t="inlineStr">
        <is>
          <t>2026-09-24 18:01:36</t>
        </is>
      </c>
      <c r="B1932" t="inlineStr">
        <is>
          <t>MLLB_000_y1.0.3</t>
        </is>
      </c>
      <c r="C1932" t="inlineStr">
        <is>
          <t>WHITE</t>
        </is>
      </c>
      <c r="D1932" t="inlineStr">
        <is>
          <t>v4_white_MLLB_000_y103_0924</t>
        </is>
      </c>
      <c r="E1932" t="n">
        <v>3</v>
      </c>
      <c r="F1932" t="n">
        <v>3.008</v>
      </c>
      <c r="G1932" t="n">
        <v>100</v>
      </c>
      <c r="H1932" t="n">
        <v>80</v>
      </c>
      <c r="J1932" t="inlineStr">
        <is>
          <t>bitti</t>
        </is>
      </c>
      <c r="K1932" t="b">
        <v>0</v>
      </c>
      <c r="Z1932" t="n">
        <v>935</v>
      </c>
      <c r="AA1932" t="n">
        <v>2.5</v>
      </c>
      <c r="AB1932" t="n">
        <v>9.5</v>
      </c>
    </row>
    <row r="1933">
      <c r="A1933" t="inlineStr">
        <is>
          <t>2026-09-24 18:01:48</t>
        </is>
      </c>
      <c r="B1933" t="inlineStr">
        <is>
          <t>MLLB_000_y1.0.3</t>
        </is>
      </c>
      <c r="C1933" t="inlineStr">
        <is>
          <t>WHITE</t>
        </is>
      </c>
      <c r="D1933" t="inlineStr">
        <is>
          <t>v4_white_MLLB_000_y103_0924</t>
        </is>
      </c>
      <c r="E1933" t="n">
        <v>3</v>
      </c>
      <c r="F1933" t="n">
        <v>3.008</v>
      </c>
      <c r="G1933" t="n">
        <v>100</v>
      </c>
      <c r="H1933" t="n">
        <v>60</v>
      </c>
      <c r="I1933" t="n">
        <v>12</v>
      </c>
      <c r="J1933" t="inlineStr">
        <is>
          <t>kaba</t>
        </is>
      </c>
      <c r="K1933" t="b">
        <v>1</v>
      </c>
      <c r="M1933" t="n">
        <v>34</v>
      </c>
      <c r="N1933" t="n">
        <v>32</v>
      </c>
      <c r="O1933" t="n">
        <v>14</v>
      </c>
      <c r="P1933" t="n">
        <v>968</v>
      </c>
      <c r="Q1933" t="n">
        <v>1002</v>
      </c>
      <c r="R1933" t="n">
        <v>1.068</v>
      </c>
      <c r="S1933" t="n">
        <v>242.323</v>
      </c>
      <c r="T1933" t="n">
        <v>226.896</v>
      </c>
      <c r="U1933" t="n">
        <v>0.7779</v>
      </c>
      <c r="V1933" t="b">
        <v>1</v>
      </c>
      <c r="X1933" t="b">
        <v>1</v>
      </c>
      <c r="Z1933" t="n">
        <v>935</v>
      </c>
      <c r="AA1933" t="n">
        <v>2.5</v>
      </c>
      <c r="AB1933" t="n">
        <v>9.5</v>
      </c>
    </row>
    <row r="1934">
      <c r="A1934" t="inlineStr">
        <is>
          <t>2026-09-24 18:02:04</t>
        </is>
      </c>
      <c r="B1934" t="inlineStr">
        <is>
          <t>MLLB_000_y1.0.3</t>
        </is>
      </c>
      <c r="C1934" t="inlineStr">
        <is>
          <t>WHITE</t>
        </is>
      </c>
      <c r="D1934" t="inlineStr">
        <is>
          <t>v4_white_MLLB_000_y103_0924</t>
        </is>
      </c>
      <c r="E1934" t="n">
        <v>3</v>
      </c>
      <c r="F1934" t="n">
        <v>3.008</v>
      </c>
      <c r="G1934" t="n">
        <v>100</v>
      </c>
      <c r="H1934" t="n">
        <v>60</v>
      </c>
      <c r="I1934" t="n">
        <v>16</v>
      </c>
      <c r="J1934" t="inlineStr">
        <is>
          <t>kaba</t>
        </is>
      </c>
      <c r="K1934" t="b">
        <v>1</v>
      </c>
      <c r="M1934" t="n">
        <v>34</v>
      </c>
      <c r="N1934" t="n">
        <v>32</v>
      </c>
      <c r="O1934" t="n">
        <v>14</v>
      </c>
      <c r="P1934" t="n">
        <v>968</v>
      </c>
      <c r="Q1934" t="n">
        <v>1002</v>
      </c>
      <c r="R1934" t="n">
        <v>1.069</v>
      </c>
      <c r="S1934" t="n">
        <v>242.47</v>
      </c>
      <c r="T1934" t="n">
        <v>226.777</v>
      </c>
      <c r="U1934" t="n">
        <v>0.7783</v>
      </c>
      <c r="V1934" t="b">
        <v>1</v>
      </c>
      <c r="X1934" t="b">
        <v>1</v>
      </c>
      <c r="Z1934" t="n">
        <v>935</v>
      </c>
      <c r="AA1934" t="n">
        <v>2.5</v>
      </c>
      <c r="AB1934" t="n">
        <v>9.5</v>
      </c>
    </row>
    <row r="1935">
      <c r="A1935" t="inlineStr">
        <is>
          <t>2026-09-24 18:02:20</t>
        </is>
      </c>
      <c r="B1935" t="inlineStr">
        <is>
          <t>MLLB_000_y1.0.3</t>
        </is>
      </c>
      <c r="C1935" t="inlineStr">
        <is>
          <t>WHITE</t>
        </is>
      </c>
      <c r="D1935" t="inlineStr">
        <is>
          <t>v4_white_MLLB_000_y103_0924</t>
        </is>
      </c>
      <c r="E1935" t="n">
        <v>3</v>
      </c>
      <c r="F1935" t="n">
        <v>3.008</v>
      </c>
      <c r="G1935" t="n">
        <v>100</v>
      </c>
      <c r="H1935" t="n">
        <v>60</v>
      </c>
      <c r="I1935" t="n">
        <v>20</v>
      </c>
      <c r="J1935" t="inlineStr">
        <is>
          <t>kaba</t>
        </is>
      </c>
      <c r="K1935" t="b">
        <v>1</v>
      </c>
      <c r="M1935" t="n">
        <v>34</v>
      </c>
      <c r="N1935" t="n">
        <v>34</v>
      </c>
      <c r="O1935" t="n">
        <v>14</v>
      </c>
      <c r="P1935" t="n">
        <v>968</v>
      </c>
      <c r="Q1935" t="n">
        <v>1002</v>
      </c>
      <c r="R1935" t="n">
        <v>1.068</v>
      </c>
      <c r="S1935" t="n">
        <v>242.462</v>
      </c>
      <c r="T1935" t="n">
        <v>227.055</v>
      </c>
      <c r="U1935" t="n">
        <v>0.778</v>
      </c>
      <c r="V1935" t="b">
        <v>1</v>
      </c>
      <c r="X1935" t="b">
        <v>1</v>
      </c>
      <c r="Z1935" t="n">
        <v>935</v>
      </c>
      <c r="AA1935" t="n">
        <v>2.5</v>
      </c>
      <c r="AB1935" t="n">
        <v>9.5</v>
      </c>
    </row>
    <row r="1936">
      <c r="A1936" t="inlineStr">
        <is>
          <t>2026-09-24 18:02:36</t>
        </is>
      </c>
      <c r="B1936" t="inlineStr">
        <is>
          <t>MLLB_000_y1.0.3</t>
        </is>
      </c>
      <c r="C1936" t="inlineStr">
        <is>
          <t>WHITE</t>
        </is>
      </c>
      <c r="D1936" t="inlineStr">
        <is>
          <t>v4_white_MLLB_000_y103_0924</t>
        </is>
      </c>
      <c r="E1936" t="n">
        <v>3</v>
      </c>
      <c r="F1936" t="n">
        <v>3.008</v>
      </c>
      <c r="G1936" t="n">
        <v>100</v>
      </c>
      <c r="H1936" t="n">
        <v>60</v>
      </c>
      <c r="I1936" t="n">
        <v>24</v>
      </c>
      <c r="J1936" t="inlineStr">
        <is>
          <t>kaba</t>
        </is>
      </c>
      <c r="K1936" t="b">
        <v>1</v>
      </c>
      <c r="M1936" t="n">
        <v>34</v>
      </c>
      <c r="N1936" t="n">
        <v>34</v>
      </c>
      <c r="O1936" t="n">
        <v>14</v>
      </c>
      <c r="P1936" t="n">
        <v>968</v>
      </c>
      <c r="Q1936" t="n">
        <v>1002</v>
      </c>
      <c r="R1936" t="n">
        <v>1.068</v>
      </c>
      <c r="S1936" t="n">
        <v>242.323</v>
      </c>
      <c r="T1936" t="n">
        <v>226.956</v>
      </c>
      <c r="U1936" t="n">
        <v>0.7775</v>
      </c>
      <c r="V1936" t="b">
        <v>1</v>
      </c>
      <c r="X1936" t="b">
        <v>1</v>
      </c>
      <c r="Z1936" t="n">
        <v>935</v>
      </c>
      <c r="AA1936" t="n">
        <v>2.5</v>
      </c>
      <c r="AB1936" t="n">
        <v>9.5</v>
      </c>
    </row>
    <row r="1937">
      <c r="A1937" t="inlineStr">
        <is>
          <t>2026-09-24 18:02:52</t>
        </is>
      </c>
      <c r="B1937" t="inlineStr">
        <is>
          <t>MLLB_000_y1.0.3</t>
        </is>
      </c>
      <c r="C1937" t="inlineStr">
        <is>
          <t>WHITE</t>
        </is>
      </c>
      <c r="D1937" t="inlineStr">
        <is>
          <t>v4_white_MLLB_000_y103_0924</t>
        </is>
      </c>
      <c r="E1937" t="n">
        <v>3</v>
      </c>
      <c r="F1937" t="n">
        <v>3.008</v>
      </c>
      <c r="G1937" t="n">
        <v>100</v>
      </c>
      <c r="H1937" t="n">
        <v>60</v>
      </c>
      <c r="I1937" t="n">
        <v>28</v>
      </c>
      <c r="J1937" t="inlineStr">
        <is>
          <t>kaba</t>
        </is>
      </c>
      <c r="K1937" t="b">
        <v>1</v>
      </c>
      <c r="M1937" t="n">
        <v>34</v>
      </c>
      <c r="N1937" t="n">
        <v>32</v>
      </c>
      <c r="O1937" t="n">
        <v>14</v>
      </c>
      <c r="P1937" t="n">
        <v>968</v>
      </c>
      <c r="Q1937" t="n">
        <v>1002</v>
      </c>
      <c r="R1937" t="n">
        <v>1.069</v>
      </c>
      <c r="S1937" t="n">
        <v>242.725</v>
      </c>
      <c r="T1937" t="n">
        <v>227.096</v>
      </c>
      <c r="U1937" t="n">
        <v>0.7779</v>
      </c>
      <c r="V1937" t="b">
        <v>1</v>
      </c>
      <c r="X1937" t="b">
        <v>1</v>
      </c>
      <c r="Z1937" t="n">
        <v>935</v>
      </c>
      <c r="AA1937" t="n">
        <v>2.5</v>
      </c>
      <c r="AB1937" t="n">
        <v>9.5</v>
      </c>
    </row>
    <row r="1938">
      <c r="A1938" t="inlineStr">
        <is>
          <t>2026-09-24 18:03:08</t>
        </is>
      </c>
      <c r="B1938" t="inlineStr">
        <is>
          <t>MLLB_000_y1.0.3</t>
        </is>
      </c>
      <c r="C1938" t="inlineStr">
        <is>
          <t>WHITE</t>
        </is>
      </c>
      <c r="D1938" t="inlineStr">
        <is>
          <t>v4_white_MLLB_000_y103_0924</t>
        </is>
      </c>
      <c r="E1938" t="n">
        <v>3</v>
      </c>
      <c r="F1938" t="n">
        <v>3.008</v>
      </c>
      <c r="G1938" t="n">
        <v>100</v>
      </c>
      <c r="H1938" t="n">
        <v>60</v>
      </c>
      <c r="I1938" t="n">
        <v>32</v>
      </c>
      <c r="J1938" t="inlineStr">
        <is>
          <t>kaba</t>
        </is>
      </c>
      <c r="K1938" t="b">
        <v>1</v>
      </c>
      <c r="M1938" t="n">
        <v>34</v>
      </c>
      <c r="N1938" t="n">
        <v>34</v>
      </c>
      <c r="O1938" t="n">
        <v>14</v>
      </c>
      <c r="P1938" t="n">
        <v>968</v>
      </c>
      <c r="Q1938" t="n">
        <v>1002</v>
      </c>
      <c r="R1938" t="n">
        <v>1.067</v>
      </c>
      <c r="S1938" t="n">
        <v>242.323</v>
      </c>
      <c r="T1938" t="n">
        <v>227.034</v>
      </c>
      <c r="U1938" t="n">
        <v>0.7774</v>
      </c>
      <c r="V1938" t="b">
        <v>1</v>
      </c>
      <c r="X1938" t="b">
        <v>1</v>
      </c>
      <c r="Z1938" t="n">
        <v>935</v>
      </c>
      <c r="AA1938" t="n">
        <v>2.5</v>
      </c>
      <c r="AB1938" t="n">
        <v>9.5</v>
      </c>
    </row>
    <row r="1939">
      <c r="A1939" t="inlineStr">
        <is>
          <t>2026-09-24 18:03:24</t>
        </is>
      </c>
      <c r="B1939" t="inlineStr">
        <is>
          <t>MLLB_000_y1.0.3</t>
        </is>
      </c>
      <c r="C1939" t="inlineStr">
        <is>
          <t>WHITE</t>
        </is>
      </c>
      <c r="D1939" t="inlineStr">
        <is>
          <t>v4_white_MLLB_000_y103_0924</t>
        </is>
      </c>
      <c r="E1939" t="n">
        <v>3</v>
      </c>
      <c r="F1939" t="n">
        <v>3.008</v>
      </c>
      <c r="G1939" t="n">
        <v>100</v>
      </c>
      <c r="H1939" t="n">
        <v>60</v>
      </c>
      <c r="I1939" t="n">
        <v>36</v>
      </c>
      <c r="J1939" t="inlineStr">
        <is>
          <t>kaba</t>
        </is>
      </c>
      <c r="K1939" t="b">
        <v>1</v>
      </c>
      <c r="M1939" t="n">
        <v>34</v>
      </c>
      <c r="N1939" t="n">
        <v>34</v>
      </c>
      <c r="O1939" t="n">
        <v>14</v>
      </c>
      <c r="P1939" t="n">
        <v>968</v>
      </c>
      <c r="Q1939" t="n">
        <v>1002</v>
      </c>
      <c r="R1939" t="n">
        <v>1.068</v>
      </c>
      <c r="S1939" t="n">
        <v>242.323</v>
      </c>
      <c r="T1939" t="n">
        <v>226.9</v>
      </c>
      <c r="U1939" t="n">
        <v>0.7776</v>
      </c>
      <c r="V1939" t="b">
        <v>1</v>
      </c>
      <c r="X1939" t="b">
        <v>1</v>
      </c>
      <c r="Z1939" t="n">
        <v>935</v>
      </c>
      <c r="AA1939" t="n">
        <v>2.5</v>
      </c>
      <c r="AB1939" t="n">
        <v>9.5</v>
      </c>
    </row>
    <row r="1940">
      <c r="A1940" t="inlineStr">
        <is>
          <t>2026-09-24 18:03:40</t>
        </is>
      </c>
      <c r="B1940" t="inlineStr">
        <is>
          <t>MLLB_000_y1.0.3</t>
        </is>
      </c>
      <c r="C1940" t="inlineStr">
        <is>
          <t>WHITE</t>
        </is>
      </c>
      <c r="D1940" t="inlineStr">
        <is>
          <t>v4_white_MLLB_000_y103_0924</t>
        </is>
      </c>
      <c r="E1940" t="n">
        <v>3</v>
      </c>
      <c r="F1940" t="n">
        <v>3.008</v>
      </c>
      <c r="G1940" t="n">
        <v>100</v>
      </c>
      <c r="H1940" t="n">
        <v>60</v>
      </c>
      <c r="I1940" t="n">
        <v>40</v>
      </c>
      <c r="J1940" t="inlineStr">
        <is>
          <t>kaba</t>
        </is>
      </c>
      <c r="K1940" t="b">
        <v>1</v>
      </c>
      <c r="M1940" t="n">
        <v>34</v>
      </c>
      <c r="N1940" t="n">
        <v>34</v>
      </c>
      <c r="O1940" t="n">
        <v>14</v>
      </c>
      <c r="P1940" t="n">
        <v>968</v>
      </c>
      <c r="Q1940" t="n">
        <v>1002</v>
      </c>
      <c r="R1940" t="n">
        <v>1.068</v>
      </c>
      <c r="S1940" t="n">
        <v>242.323</v>
      </c>
      <c r="T1940" t="n">
        <v>226.871</v>
      </c>
      <c r="U1940" t="n">
        <v>0.7774</v>
      </c>
      <c r="V1940" t="b">
        <v>1</v>
      </c>
      <c r="X1940" t="b">
        <v>1</v>
      </c>
      <c r="Z1940" t="n">
        <v>935</v>
      </c>
      <c r="AA1940" t="n">
        <v>2.5</v>
      </c>
      <c r="AB1940" t="n">
        <v>9.5</v>
      </c>
    </row>
    <row r="1941">
      <c r="A1941" t="inlineStr">
        <is>
          <t>2026-09-24 18:03:56</t>
        </is>
      </c>
      <c r="B1941" t="inlineStr">
        <is>
          <t>MLLB_000_y1.0.3</t>
        </is>
      </c>
      <c r="C1941" t="inlineStr">
        <is>
          <t>WHITE</t>
        </is>
      </c>
      <c r="D1941" t="inlineStr">
        <is>
          <t>v4_white_MLLB_000_y103_0924</t>
        </is>
      </c>
      <c r="E1941" t="n">
        <v>3</v>
      </c>
      <c r="F1941" t="n">
        <v>3.008</v>
      </c>
      <c r="G1941" t="n">
        <v>100</v>
      </c>
      <c r="H1941" t="n">
        <v>60</v>
      </c>
      <c r="I1941" t="n">
        <v>44</v>
      </c>
      <c r="J1941" t="inlineStr">
        <is>
          <t>kaba</t>
        </is>
      </c>
      <c r="K1941" t="b">
        <v>1</v>
      </c>
      <c r="M1941" t="n">
        <v>34</v>
      </c>
      <c r="N1941" t="n">
        <v>32</v>
      </c>
      <c r="O1941" t="n">
        <v>14</v>
      </c>
      <c r="P1941" t="n">
        <v>968</v>
      </c>
      <c r="Q1941" t="n">
        <v>1002</v>
      </c>
      <c r="R1941" t="n">
        <v>1.068</v>
      </c>
      <c r="S1941" t="n">
        <v>242.323</v>
      </c>
      <c r="T1941" t="n">
        <v>226.822</v>
      </c>
      <c r="U1941" t="n">
        <v>0.7776</v>
      </c>
      <c r="V1941" t="b">
        <v>1</v>
      </c>
      <c r="X1941" t="b">
        <v>1</v>
      </c>
      <c r="Z1941" t="n">
        <v>935</v>
      </c>
      <c r="AA1941" t="n">
        <v>2.5</v>
      </c>
      <c r="AB1941" t="n">
        <v>9.5</v>
      </c>
    </row>
    <row r="1942">
      <c r="A1942" t="inlineStr">
        <is>
          <t>2026-09-24 18:04:12</t>
        </is>
      </c>
      <c r="B1942" t="inlineStr">
        <is>
          <t>MLLB_000_y1.0.3</t>
        </is>
      </c>
      <c r="C1942" t="inlineStr">
        <is>
          <t>WHITE</t>
        </is>
      </c>
      <c r="D1942" t="inlineStr">
        <is>
          <t>v4_white_MLLB_000_y103_0924</t>
        </is>
      </c>
      <c r="E1942" t="n">
        <v>3</v>
      </c>
      <c r="F1942" t="n">
        <v>3.008</v>
      </c>
      <c r="G1942" t="n">
        <v>100</v>
      </c>
      <c r="H1942" t="n">
        <v>60</v>
      </c>
      <c r="I1942" t="n">
        <v>48</v>
      </c>
      <c r="J1942" t="inlineStr">
        <is>
          <t>kaba</t>
        </is>
      </c>
      <c r="K1942" t="b">
        <v>1</v>
      </c>
      <c r="M1942" t="n">
        <v>34</v>
      </c>
      <c r="N1942" t="n">
        <v>34</v>
      </c>
      <c r="O1942" t="n">
        <v>14</v>
      </c>
      <c r="P1942" t="n">
        <v>968</v>
      </c>
      <c r="Q1942" t="n">
        <v>1002</v>
      </c>
      <c r="R1942" t="n">
        <v>1.068</v>
      </c>
      <c r="S1942" t="n">
        <v>242.323</v>
      </c>
      <c r="T1942" t="n">
        <v>226.865</v>
      </c>
      <c r="U1942" t="n">
        <v>0.777</v>
      </c>
      <c r="V1942" t="b">
        <v>1</v>
      </c>
      <c r="X1942" t="b">
        <v>1</v>
      </c>
      <c r="Z1942" t="n">
        <v>935</v>
      </c>
      <c r="AA1942" t="n">
        <v>2.5</v>
      </c>
      <c r="AB1942" t="n">
        <v>9.5</v>
      </c>
    </row>
    <row r="1943">
      <c r="A1943" t="inlineStr">
        <is>
          <t>2026-09-24 18:04:28</t>
        </is>
      </c>
      <c r="B1943" t="inlineStr">
        <is>
          <t>MLLB_000_y1.0.3</t>
        </is>
      </c>
      <c r="C1943" t="inlineStr">
        <is>
          <t>WHITE</t>
        </is>
      </c>
      <c r="D1943" t="inlineStr">
        <is>
          <t>v4_white_MLLB_000_y103_0924</t>
        </is>
      </c>
      <c r="E1943" t="n">
        <v>3</v>
      </c>
      <c r="F1943" t="n">
        <v>3.008</v>
      </c>
      <c r="G1943" t="n">
        <v>100</v>
      </c>
      <c r="H1943" t="n">
        <v>60</v>
      </c>
      <c r="I1943" t="n">
        <v>52</v>
      </c>
      <c r="J1943" t="inlineStr">
        <is>
          <t>kaba</t>
        </is>
      </c>
      <c r="K1943" t="b">
        <v>1</v>
      </c>
      <c r="M1943" t="n">
        <v>34</v>
      </c>
      <c r="N1943" t="n">
        <v>34</v>
      </c>
      <c r="O1943" t="n">
        <v>14</v>
      </c>
      <c r="P1943" t="n">
        <v>968</v>
      </c>
      <c r="Q1943" t="n">
        <v>1002</v>
      </c>
      <c r="R1943" t="n">
        <v>1.069</v>
      </c>
      <c r="S1943" t="n">
        <v>242.323</v>
      </c>
      <c r="T1943" t="n">
        <v>226.706</v>
      </c>
      <c r="U1943" t="n">
        <v>0.7776999999999999</v>
      </c>
      <c r="V1943" t="b">
        <v>1</v>
      </c>
      <c r="X1943" t="b">
        <v>1</v>
      </c>
      <c r="Z1943" t="n">
        <v>935</v>
      </c>
      <c r="AA1943" t="n">
        <v>2.5</v>
      </c>
      <c r="AB1943" t="n">
        <v>9.5</v>
      </c>
    </row>
    <row r="1944">
      <c r="A1944" t="inlineStr">
        <is>
          <t>2026-09-24 18:04:44</t>
        </is>
      </c>
      <c r="B1944" t="inlineStr">
        <is>
          <t>MLLB_000_y1.0.3</t>
        </is>
      </c>
      <c r="C1944" t="inlineStr">
        <is>
          <t>WHITE</t>
        </is>
      </c>
      <c r="D1944" t="inlineStr">
        <is>
          <t>v4_white_MLLB_000_y103_0924</t>
        </is>
      </c>
      <c r="E1944" t="n">
        <v>3</v>
      </c>
      <c r="F1944" t="n">
        <v>3.008</v>
      </c>
      <c r="G1944" t="n">
        <v>100</v>
      </c>
      <c r="H1944" t="n">
        <v>60</v>
      </c>
      <c r="I1944" t="n">
        <v>56</v>
      </c>
      <c r="J1944" t="inlineStr">
        <is>
          <t>kaba</t>
        </is>
      </c>
      <c r="K1944" t="b">
        <v>1</v>
      </c>
      <c r="M1944" t="n">
        <v>34</v>
      </c>
      <c r="N1944" t="n">
        <v>34</v>
      </c>
      <c r="O1944" t="n">
        <v>14</v>
      </c>
      <c r="P1944" t="n">
        <v>968</v>
      </c>
      <c r="Q1944" t="n">
        <v>1002</v>
      </c>
      <c r="R1944" t="n">
        <v>1.076</v>
      </c>
      <c r="S1944" t="n">
        <v>243.864</v>
      </c>
      <c r="T1944" t="n">
        <v>226.694</v>
      </c>
      <c r="U1944" t="n">
        <v>0.7774</v>
      </c>
      <c r="V1944" t="b">
        <v>1</v>
      </c>
      <c r="X1944" t="b">
        <v>1</v>
      </c>
      <c r="Z1944" t="n">
        <v>935</v>
      </c>
      <c r="AA1944" t="n">
        <v>2.5</v>
      </c>
      <c r="AB1944" t="n">
        <v>9.5</v>
      </c>
    </row>
    <row r="1945">
      <c r="A1945" t="inlineStr">
        <is>
          <t>2026-09-24 18:05:00</t>
        </is>
      </c>
      <c r="B1945" t="inlineStr">
        <is>
          <t>MLLB_000_y1.0.3</t>
        </is>
      </c>
      <c r="C1945" t="inlineStr">
        <is>
          <t>WHITE</t>
        </is>
      </c>
      <c r="D1945" t="inlineStr">
        <is>
          <t>v4_white_MLLB_000_y103_0924</t>
        </is>
      </c>
      <c r="E1945" t="n">
        <v>3</v>
      </c>
      <c r="F1945" t="n">
        <v>3.008</v>
      </c>
      <c r="G1945" t="n">
        <v>100</v>
      </c>
      <c r="H1945" t="n">
        <v>60</v>
      </c>
      <c r="I1945" t="n">
        <v>58</v>
      </c>
      <c r="J1945" t="inlineStr">
        <is>
          <t>kaba</t>
        </is>
      </c>
      <c r="K1945" t="b">
        <v>1</v>
      </c>
      <c r="M1945" t="n">
        <v>34</v>
      </c>
      <c r="N1945" t="n">
        <v>32</v>
      </c>
      <c r="O1945" t="n">
        <v>14</v>
      </c>
      <c r="P1945" t="n">
        <v>968</v>
      </c>
      <c r="Q1945" t="n">
        <v>1002</v>
      </c>
      <c r="R1945" t="n">
        <v>1.066</v>
      </c>
      <c r="S1945" t="n">
        <v>241.609</v>
      </c>
      <c r="T1945" t="n">
        <v>226.747</v>
      </c>
      <c r="U1945" t="n">
        <v>0.7772</v>
      </c>
      <c r="V1945" t="b">
        <v>1</v>
      </c>
      <c r="X1945" t="b">
        <v>1</v>
      </c>
      <c r="Z1945" t="n">
        <v>935</v>
      </c>
      <c r="AA1945" t="n">
        <v>2.5</v>
      </c>
      <c r="AB1945" t="n">
        <v>9.5</v>
      </c>
    </row>
    <row r="1946">
      <c r="A1946" t="inlineStr">
        <is>
          <t>2026-09-24 18:05:00</t>
        </is>
      </c>
      <c r="B1946" t="inlineStr">
        <is>
          <t>MLLB_000_y1.0.3</t>
        </is>
      </c>
      <c r="C1946" t="inlineStr">
        <is>
          <t>WHITE</t>
        </is>
      </c>
      <c r="D1946" t="inlineStr">
        <is>
          <t>v4_white_MLLB_000_y103_0924</t>
        </is>
      </c>
      <c r="E1946" t="n">
        <v>3</v>
      </c>
      <c r="F1946" t="n">
        <v>3.008</v>
      </c>
      <c r="G1946" t="n">
        <v>100</v>
      </c>
      <c r="H1946" t="n">
        <v>60</v>
      </c>
      <c r="I1946" t="n">
        <v>13</v>
      </c>
      <c r="J1946" t="inlineStr">
        <is>
          <t>ince</t>
        </is>
      </c>
      <c r="K1946" t="b">
        <v>0</v>
      </c>
      <c r="L1946" t="inlineStr">
        <is>
          <t>iki-OK-arasi-monotonluk</t>
        </is>
      </c>
      <c r="X1946" t="b">
        <v>1</v>
      </c>
      <c r="Z1946" t="n">
        <v>935</v>
      </c>
      <c r="AA1946" t="n">
        <v>2.5</v>
      </c>
      <c r="AB1946" t="n">
        <v>9.5</v>
      </c>
    </row>
    <row r="1947">
      <c r="A1947" t="inlineStr">
        <is>
          <t>2026-09-24 18:05:00</t>
        </is>
      </c>
      <c r="B1947" t="inlineStr">
        <is>
          <t>MLLB_000_y1.0.3</t>
        </is>
      </c>
      <c r="C1947" t="inlineStr">
        <is>
          <t>WHITE</t>
        </is>
      </c>
      <c r="D1947" t="inlineStr">
        <is>
          <t>v4_white_MLLB_000_y103_0924</t>
        </is>
      </c>
      <c r="E1947" t="n">
        <v>3</v>
      </c>
      <c r="F1947" t="n">
        <v>3.008</v>
      </c>
      <c r="G1947" t="n">
        <v>100</v>
      </c>
      <c r="H1947" t="n">
        <v>60</v>
      </c>
      <c r="I1947" t="n">
        <v>14</v>
      </c>
      <c r="J1947" t="inlineStr">
        <is>
          <t>ince</t>
        </is>
      </c>
      <c r="K1947" t="b">
        <v>0</v>
      </c>
      <c r="L1947" t="inlineStr">
        <is>
          <t>iki-OK-arasi-monotonluk</t>
        </is>
      </c>
      <c r="X1947" t="b">
        <v>1</v>
      </c>
      <c r="Z1947" t="n">
        <v>935</v>
      </c>
      <c r="AA1947" t="n">
        <v>2.5</v>
      </c>
      <c r="AB1947" t="n">
        <v>9.5</v>
      </c>
    </row>
    <row r="1948">
      <c r="A1948" t="inlineStr">
        <is>
          <t>2026-09-24 18:05:00</t>
        </is>
      </c>
      <c r="B1948" t="inlineStr">
        <is>
          <t>MLLB_000_y1.0.3</t>
        </is>
      </c>
      <c r="C1948" t="inlineStr">
        <is>
          <t>WHITE</t>
        </is>
      </c>
      <c r="D1948" t="inlineStr">
        <is>
          <t>v4_white_MLLB_000_y103_0924</t>
        </is>
      </c>
      <c r="E1948" t="n">
        <v>3</v>
      </c>
      <c r="F1948" t="n">
        <v>3.008</v>
      </c>
      <c r="G1948" t="n">
        <v>100</v>
      </c>
      <c r="H1948" t="n">
        <v>60</v>
      </c>
      <c r="I1948" t="n">
        <v>15</v>
      </c>
      <c r="J1948" t="inlineStr">
        <is>
          <t>ince</t>
        </is>
      </c>
      <c r="K1948" t="b">
        <v>0</v>
      </c>
      <c r="L1948" t="inlineStr">
        <is>
          <t>iki-OK-arasi-monotonluk</t>
        </is>
      </c>
      <c r="X1948" t="b">
        <v>1</v>
      </c>
      <c r="Z1948" t="n">
        <v>935</v>
      </c>
      <c r="AA1948" t="n">
        <v>2.5</v>
      </c>
      <c r="AB1948" t="n">
        <v>9.5</v>
      </c>
    </row>
    <row r="1949">
      <c r="A1949" t="inlineStr">
        <is>
          <t>2026-09-24 18:05:00</t>
        </is>
      </c>
      <c r="B1949" t="inlineStr">
        <is>
          <t>MLLB_000_y1.0.3</t>
        </is>
      </c>
      <c r="C1949" t="inlineStr">
        <is>
          <t>WHITE</t>
        </is>
      </c>
      <c r="D1949" t="inlineStr">
        <is>
          <t>v4_white_MLLB_000_y103_0924</t>
        </is>
      </c>
      <c r="E1949" t="n">
        <v>3</v>
      </c>
      <c r="F1949" t="n">
        <v>3.008</v>
      </c>
      <c r="G1949" t="n">
        <v>100</v>
      </c>
      <c r="H1949" t="n">
        <v>60</v>
      </c>
      <c r="I1949" t="n">
        <v>17</v>
      </c>
      <c r="J1949" t="inlineStr">
        <is>
          <t>ince</t>
        </is>
      </c>
      <c r="K1949" t="b">
        <v>0</v>
      </c>
      <c r="L1949" t="inlineStr">
        <is>
          <t>iki-OK-arasi-monotonluk</t>
        </is>
      </c>
      <c r="X1949" t="b">
        <v>1</v>
      </c>
      <c r="Z1949" t="n">
        <v>935</v>
      </c>
      <c r="AA1949" t="n">
        <v>2.5</v>
      </c>
      <c r="AB1949" t="n">
        <v>9.5</v>
      </c>
    </row>
    <row r="1950">
      <c r="A1950" t="inlineStr">
        <is>
          <t>2026-09-24 18:05:00</t>
        </is>
      </c>
      <c r="B1950" t="inlineStr">
        <is>
          <t>MLLB_000_y1.0.3</t>
        </is>
      </c>
      <c r="C1950" t="inlineStr">
        <is>
          <t>WHITE</t>
        </is>
      </c>
      <c r="D1950" t="inlineStr">
        <is>
          <t>v4_white_MLLB_000_y103_0924</t>
        </is>
      </c>
      <c r="E1950" t="n">
        <v>3</v>
      </c>
      <c r="F1950" t="n">
        <v>3.008</v>
      </c>
      <c r="G1950" t="n">
        <v>100</v>
      </c>
      <c r="H1950" t="n">
        <v>60</v>
      </c>
      <c r="I1950" t="n">
        <v>18</v>
      </c>
      <c r="J1950" t="inlineStr">
        <is>
          <t>ince</t>
        </is>
      </c>
      <c r="K1950" t="b">
        <v>0</v>
      </c>
      <c r="L1950" t="inlineStr">
        <is>
          <t>iki-OK-arasi-monotonluk</t>
        </is>
      </c>
      <c r="X1950" t="b">
        <v>1</v>
      </c>
      <c r="Z1950" t="n">
        <v>935</v>
      </c>
      <c r="AA1950" t="n">
        <v>2.5</v>
      </c>
      <c r="AB1950" t="n">
        <v>9.5</v>
      </c>
    </row>
    <row r="1951">
      <c r="A1951" t="inlineStr">
        <is>
          <t>2026-09-24 18:05:00</t>
        </is>
      </c>
      <c r="B1951" t="inlineStr">
        <is>
          <t>MLLB_000_y1.0.3</t>
        </is>
      </c>
      <c r="C1951" t="inlineStr">
        <is>
          <t>WHITE</t>
        </is>
      </c>
      <c r="D1951" t="inlineStr">
        <is>
          <t>v4_white_MLLB_000_y103_0924</t>
        </is>
      </c>
      <c r="E1951" t="n">
        <v>3</v>
      </c>
      <c r="F1951" t="n">
        <v>3.008</v>
      </c>
      <c r="G1951" t="n">
        <v>100</v>
      </c>
      <c r="H1951" t="n">
        <v>60</v>
      </c>
      <c r="I1951" t="n">
        <v>19</v>
      </c>
      <c r="J1951" t="inlineStr">
        <is>
          <t>ince</t>
        </is>
      </c>
      <c r="K1951" t="b">
        <v>0</v>
      </c>
      <c r="L1951" t="inlineStr">
        <is>
          <t>iki-OK-arasi-monotonluk</t>
        </is>
      </c>
      <c r="X1951" t="b">
        <v>1</v>
      </c>
      <c r="Z1951" t="n">
        <v>935</v>
      </c>
      <c r="AA1951" t="n">
        <v>2.5</v>
      </c>
      <c r="AB1951" t="n">
        <v>9.5</v>
      </c>
    </row>
    <row r="1952">
      <c r="A1952" t="inlineStr">
        <is>
          <t>2026-09-24 18:05:00</t>
        </is>
      </c>
      <c r="B1952" t="inlineStr">
        <is>
          <t>MLLB_000_y1.0.3</t>
        </is>
      </c>
      <c r="C1952" t="inlineStr">
        <is>
          <t>WHITE</t>
        </is>
      </c>
      <c r="D1952" t="inlineStr">
        <is>
          <t>v4_white_MLLB_000_y103_0924</t>
        </is>
      </c>
      <c r="E1952" t="n">
        <v>3</v>
      </c>
      <c r="F1952" t="n">
        <v>3.008</v>
      </c>
      <c r="G1952" t="n">
        <v>100</v>
      </c>
      <c r="H1952" t="n">
        <v>60</v>
      </c>
      <c r="I1952" t="n">
        <v>21</v>
      </c>
      <c r="J1952" t="inlineStr">
        <is>
          <t>ince</t>
        </is>
      </c>
      <c r="K1952" t="b">
        <v>0</v>
      </c>
      <c r="L1952" t="inlineStr">
        <is>
          <t>iki-OK-arasi-monotonluk</t>
        </is>
      </c>
      <c r="X1952" t="b">
        <v>1</v>
      </c>
      <c r="Z1952" t="n">
        <v>935</v>
      </c>
      <c r="AA1952" t="n">
        <v>2.5</v>
      </c>
      <c r="AB1952" t="n">
        <v>9.5</v>
      </c>
    </row>
    <row r="1953">
      <c r="A1953" t="inlineStr">
        <is>
          <t>2026-09-24 18:05:00</t>
        </is>
      </c>
      <c r="B1953" t="inlineStr">
        <is>
          <t>MLLB_000_y1.0.3</t>
        </is>
      </c>
      <c r="C1953" t="inlineStr">
        <is>
          <t>WHITE</t>
        </is>
      </c>
      <c r="D1953" t="inlineStr">
        <is>
          <t>v4_white_MLLB_000_y103_0924</t>
        </is>
      </c>
      <c r="E1953" t="n">
        <v>3</v>
      </c>
      <c r="F1953" t="n">
        <v>3.008</v>
      </c>
      <c r="G1953" t="n">
        <v>100</v>
      </c>
      <c r="H1953" t="n">
        <v>60</v>
      </c>
      <c r="I1953" t="n">
        <v>22</v>
      </c>
      <c r="J1953" t="inlineStr">
        <is>
          <t>ince</t>
        </is>
      </c>
      <c r="K1953" t="b">
        <v>0</v>
      </c>
      <c r="L1953" t="inlineStr">
        <is>
          <t>iki-OK-arasi-monotonluk</t>
        </is>
      </c>
      <c r="X1953" t="b">
        <v>1</v>
      </c>
      <c r="Z1953" t="n">
        <v>935</v>
      </c>
      <c r="AA1953" t="n">
        <v>2.5</v>
      </c>
      <c r="AB1953" t="n">
        <v>9.5</v>
      </c>
    </row>
    <row r="1954">
      <c r="A1954" t="inlineStr">
        <is>
          <t>2026-09-24 18:05:00</t>
        </is>
      </c>
      <c r="B1954" t="inlineStr">
        <is>
          <t>MLLB_000_y1.0.3</t>
        </is>
      </c>
      <c r="C1954" t="inlineStr">
        <is>
          <t>WHITE</t>
        </is>
      </c>
      <c r="D1954" t="inlineStr">
        <is>
          <t>v4_white_MLLB_000_y103_0924</t>
        </is>
      </c>
      <c r="E1954" t="n">
        <v>3</v>
      </c>
      <c r="F1954" t="n">
        <v>3.008</v>
      </c>
      <c r="G1954" t="n">
        <v>100</v>
      </c>
      <c r="H1954" t="n">
        <v>60</v>
      </c>
      <c r="I1954" t="n">
        <v>23</v>
      </c>
      <c r="J1954" t="inlineStr">
        <is>
          <t>ince</t>
        </is>
      </c>
      <c r="K1954" t="b">
        <v>0</v>
      </c>
      <c r="L1954" t="inlineStr">
        <is>
          <t>iki-OK-arasi-monotonluk</t>
        </is>
      </c>
      <c r="X1954" t="b">
        <v>1</v>
      </c>
      <c r="Z1954" t="n">
        <v>935</v>
      </c>
      <c r="AA1954" t="n">
        <v>2.5</v>
      </c>
      <c r="AB1954" t="n">
        <v>9.5</v>
      </c>
    </row>
    <row r="1955">
      <c r="A1955" t="inlineStr">
        <is>
          <t>2026-09-24 18:05:00</t>
        </is>
      </c>
      <c r="B1955" t="inlineStr">
        <is>
          <t>MLLB_000_y1.0.3</t>
        </is>
      </c>
      <c r="C1955" t="inlineStr">
        <is>
          <t>WHITE</t>
        </is>
      </c>
      <c r="D1955" t="inlineStr">
        <is>
          <t>v4_white_MLLB_000_y103_0924</t>
        </is>
      </c>
      <c r="E1955" t="n">
        <v>3</v>
      </c>
      <c r="F1955" t="n">
        <v>3.008</v>
      </c>
      <c r="G1955" t="n">
        <v>100</v>
      </c>
      <c r="H1955" t="n">
        <v>60</v>
      </c>
      <c r="I1955" t="n">
        <v>25</v>
      </c>
      <c r="J1955" t="inlineStr">
        <is>
          <t>ince</t>
        </is>
      </c>
      <c r="K1955" t="b">
        <v>0</v>
      </c>
      <c r="L1955" t="inlineStr">
        <is>
          <t>iki-OK-arasi-monotonluk</t>
        </is>
      </c>
      <c r="X1955" t="b">
        <v>1</v>
      </c>
      <c r="Z1955" t="n">
        <v>935</v>
      </c>
      <c r="AA1955" t="n">
        <v>2.5</v>
      </c>
      <c r="AB1955" t="n">
        <v>9.5</v>
      </c>
    </row>
    <row r="1956">
      <c r="A1956" t="inlineStr">
        <is>
          <t>2026-09-24 18:05:00</t>
        </is>
      </c>
      <c r="B1956" t="inlineStr">
        <is>
          <t>MLLB_000_y1.0.3</t>
        </is>
      </c>
      <c r="C1956" t="inlineStr">
        <is>
          <t>WHITE</t>
        </is>
      </c>
      <c r="D1956" t="inlineStr">
        <is>
          <t>v4_white_MLLB_000_y103_0924</t>
        </is>
      </c>
      <c r="E1956" t="n">
        <v>3</v>
      </c>
      <c r="F1956" t="n">
        <v>3.008</v>
      </c>
      <c r="G1956" t="n">
        <v>100</v>
      </c>
      <c r="H1956" t="n">
        <v>60</v>
      </c>
      <c r="I1956" t="n">
        <v>26</v>
      </c>
      <c r="J1956" t="inlineStr">
        <is>
          <t>ince</t>
        </is>
      </c>
      <c r="K1956" t="b">
        <v>0</v>
      </c>
      <c r="L1956" t="inlineStr">
        <is>
          <t>iki-OK-arasi-monotonluk</t>
        </is>
      </c>
      <c r="X1956" t="b">
        <v>1</v>
      </c>
      <c r="Z1956" t="n">
        <v>935</v>
      </c>
      <c r="AA1956" t="n">
        <v>2.5</v>
      </c>
      <c r="AB1956" t="n">
        <v>9.5</v>
      </c>
    </row>
    <row r="1957">
      <c r="A1957" t="inlineStr">
        <is>
          <t>2026-09-24 18:05:00</t>
        </is>
      </c>
      <c r="B1957" t="inlineStr">
        <is>
          <t>MLLB_000_y1.0.3</t>
        </is>
      </c>
      <c r="C1957" t="inlineStr">
        <is>
          <t>WHITE</t>
        </is>
      </c>
      <c r="D1957" t="inlineStr">
        <is>
          <t>v4_white_MLLB_000_y103_0924</t>
        </is>
      </c>
      <c r="E1957" t="n">
        <v>3</v>
      </c>
      <c r="F1957" t="n">
        <v>3.008</v>
      </c>
      <c r="G1957" t="n">
        <v>100</v>
      </c>
      <c r="H1957" t="n">
        <v>60</v>
      </c>
      <c r="I1957" t="n">
        <v>27</v>
      </c>
      <c r="J1957" t="inlineStr">
        <is>
          <t>ince</t>
        </is>
      </c>
      <c r="K1957" t="b">
        <v>0</v>
      </c>
      <c r="L1957" t="inlineStr">
        <is>
          <t>iki-OK-arasi-monotonluk</t>
        </is>
      </c>
      <c r="X1957" t="b">
        <v>1</v>
      </c>
      <c r="Z1957" t="n">
        <v>935</v>
      </c>
      <c r="AA1957" t="n">
        <v>2.5</v>
      </c>
      <c r="AB1957" t="n">
        <v>9.5</v>
      </c>
    </row>
    <row r="1958">
      <c r="A1958" t="inlineStr">
        <is>
          <t>2026-09-24 18:05:00</t>
        </is>
      </c>
      <c r="B1958" t="inlineStr">
        <is>
          <t>MLLB_000_y1.0.3</t>
        </is>
      </c>
      <c r="C1958" t="inlineStr">
        <is>
          <t>WHITE</t>
        </is>
      </c>
      <c r="D1958" t="inlineStr">
        <is>
          <t>v4_white_MLLB_000_y103_0924</t>
        </is>
      </c>
      <c r="E1958" t="n">
        <v>3</v>
      </c>
      <c r="F1958" t="n">
        <v>3.008</v>
      </c>
      <c r="G1958" t="n">
        <v>100</v>
      </c>
      <c r="H1958" t="n">
        <v>60</v>
      </c>
      <c r="I1958" t="n">
        <v>29</v>
      </c>
      <c r="J1958" t="inlineStr">
        <is>
          <t>ince</t>
        </is>
      </c>
      <c r="K1958" t="b">
        <v>0</v>
      </c>
      <c r="L1958" t="inlineStr">
        <is>
          <t>iki-OK-arasi-monotonluk</t>
        </is>
      </c>
      <c r="X1958" t="b">
        <v>1</v>
      </c>
      <c r="Z1958" t="n">
        <v>935</v>
      </c>
      <c r="AA1958" t="n">
        <v>2.5</v>
      </c>
      <c r="AB1958" t="n">
        <v>9.5</v>
      </c>
    </row>
    <row r="1959">
      <c r="A1959" t="inlineStr">
        <is>
          <t>2026-09-24 18:05:00</t>
        </is>
      </c>
      <c r="B1959" t="inlineStr">
        <is>
          <t>MLLB_000_y1.0.3</t>
        </is>
      </c>
      <c r="C1959" t="inlineStr">
        <is>
          <t>WHITE</t>
        </is>
      </c>
      <c r="D1959" t="inlineStr">
        <is>
          <t>v4_white_MLLB_000_y103_0924</t>
        </is>
      </c>
      <c r="E1959" t="n">
        <v>3</v>
      </c>
      <c r="F1959" t="n">
        <v>3.008</v>
      </c>
      <c r="G1959" t="n">
        <v>100</v>
      </c>
      <c r="H1959" t="n">
        <v>60</v>
      </c>
      <c r="I1959" t="n">
        <v>30</v>
      </c>
      <c r="J1959" t="inlineStr">
        <is>
          <t>ince</t>
        </is>
      </c>
      <c r="K1959" t="b">
        <v>0</v>
      </c>
      <c r="L1959" t="inlineStr">
        <is>
          <t>iki-OK-arasi-monotonluk</t>
        </is>
      </c>
      <c r="X1959" t="b">
        <v>1</v>
      </c>
      <c r="Z1959" t="n">
        <v>935</v>
      </c>
      <c r="AA1959" t="n">
        <v>2.5</v>
      </c>
      <c r="AB1959" t="n">
        <v>9.5</v>
      </c>
    </row>
    <row r="1960">
      <c r="A1960" t="inlineStr">
        <is>
          <t>2026-09-24 18:05:00</t>
        </is>
      </c>
      <c r="B1960" t="inlineStr">
        <is>
          <t>MLLB_000_y1.0.3</t>
        </is>
      </c>
      <c r="C1960" t="inlineStr">
        <is>
          <t>WHITE</t>
        </is>
      </c>
      <c r="D1960" t="inlineStr">
        <is>
          <t>v4_white_MLLB_000_y103_0924</t>
        </is>
      </c>
      <c r="E1960" t="n">
        <v>3</v>
      </c>
      <c r="F1960" t="n">
        <v>3.008</v>
      </c>
      <c r="G1960" t="n">
        <v>100</v>
      </c>
      <c r="H1960" t="n">
        <v>60</v>
      </c>
      <c r="I1960" t="n">
        <v>31</v>
      </c>
      <c r="J1960" t="inlineStr">
        <is>
          <t>ince</t>
        </is>
      </c>
      <c r="K1960" t="b">
        <v>0</v>
      </c>
      <c r="L1960" t="inlineStr">
        <is>
          <t>iki-OK-arasi-monotonluk</t>
        </is>
      </c>
      <c r="X1960" t="b">
        <v>1</v>
      </c>
      <c r="Z1960" t="n">
        <v>935</v>
      </c>
      <c r="AA1960" t="n">
        <v>2.5</v>
      </c>
      <c r="AB1960" t="n">
        <v>9.5</v>
      </c>
    </row>
    <row r="1961">
      <c r="A1961" t="inlineStr">
        <is>
          <t>2026-09-24 18:05:00</t>
        </is>
      </c>
      <c r="B1961" t="inlineStr">
        <is>
          <t>MLLB_000_y1.0.3</t>
        </is>
      </c>
      <c r="C1961" t="inlineStr">
        <is>
          <t>WHITE</t>
        </is>
      </c>
      <c r="D1961" t="inlineStr">
        <is>
          <t>v4_white_MLLB_000_y103_0924</t>
        </is>
      </c>
      <c r="E1961" t="n">
        <v>3</v>
      </c>
      <c r="F1961" t="n">
        <v>3.008</v>
      </c>
      <c r="G1961" t="n">
        <v>100</v>
      </c>
      <c r="H1961" t="n">
        <v>60</v>
      </c>
      <c r="I1961" t="n">
        <v>33</v>
      </c>
      <c r="J1961" t="inlineStr">
        <is>
          <t>ince</t>
        </is>
      </c>
      <c r="K1961" t="b">
        <v>0</v>
      </c>
      <c r="L1961" t="inlineStr">
        <is>
          <t>iki-OK-arasi-monotonluk</t>
        </is>
      </c>
      <c r="X1961" t="b">
        <v>1</v>
      </c>
      <c r="Z1961" t="n">
        <v>935</v>
      </c>
      <c r="AA1961" t="n">
        <v>2.5</v>
      </c>
      <c r="AB1961" t="n">
        <v>9.5</v>
      </c>
    </row>
    <row r="1962">
      <c r="A1962" t="inlineStr">
        <is>
          <t>2026-09-24 18:05:00</t>
        </is>
      </c>
      <c r="B1962" t="inlineStr">
        <is>
          <t>MLLB_000_y1.0.3</t>
        </is>
      </c>
      <c r="C1962" t="inlineStr">
        <is>
          <t>WHITE</t>
        </is>
      </c>
      <c r="D1962" t="inlineStr">
        <is>
          <t>v4_white_MLLB_000_y103_0924</t>
        </is>
      </c>
      <c r="E1962" t="n">
        <v>3</v>
      </c>
      <c r="F1962" t="n">
        <v>3.008</v>
      </c>
      <c r="G1962" t="n">
        <v>100</v>
      </c>
      <c r="H1962" t="n">
        <v>60</v>
      </c>
      <c r="I1962" t="n">
        <v>34</v>
      </c>
      <c r="J1962" t="inlineStr">
        <is>
          <t>ince</t>
        </is>
      </c>
      <c r="K1962" t="b">
        <v>0</v>
      </c>
      <c r="L1962" t="inlineStr">
        <is>
          <t>iki-OK-arasi-monotonluk</t>
        </is>
      </c>
      <c r="X1962" t="b">
        <v>1</v>
      </c>
      <c r="Z1962" t="n">
        <v>935</v>
      </c>
      <c r="AA1962" t="n">
        <v>2.5</v>
      </c>
      <c r="AB1962" t="n">
        <v>9.5</v>
      </c>
    </row>
    <row r="1963">
      <c r="A1963" t="inlineStr">
        <is>
          <t>2026-09-24 18:05:00</t>
        </is>
      </c>
      <c r="B1963" t="inlineStr">
        <is>
          <t>MLLB_000_y1.0.3</t>
        </is>
      </c>
      <c r="C1963" t="inlineStr">
        <is>
          <t>WHITE</t>
        </is>
      </c>
      <c r="D1963" t="inlineStr">
        <is>
          <t>v4_white_MLLB_000_y103_0924</t>
        </is>
      </c>
      <c r="E1963" t="n">
        <v>3</v>
      </c>
      <c r="F1963" t="n">
        <v>3.008</v>
      </c>
      <c r="G1963" t="n">
        <v>100</v>
      </c>
      <c r="H1963" t="n">
        <v>60</v>
      </c>
      <c r="I1963" t="n">
        <v>35</v>
      </c>
      <c r="J1963" t="inlineStr">
        <is>
          <t>ince</t>
        </is>
      </c>
      <c r="K1963" t="b">
        <v>0</v>
      </c>
      <c r="L1963" t="inlineStr">
        <is>
          <t>iki-OK-arasi-monotonluk</t>
        </is>
      </c>
      <c r="X1963" t="b">
        <v>1</v>
      </c>
      <c r="Z1963" t="n">
        <v>935</v>
      </c>
      <c r="AA1963" t="n">
        <v>2.5</v>
      </c>
      <c r="AB1963" t="n">
        <v>9.5</v>
      </c>
    </row>
    <row r="1964">
      <c r="A1964" t="inlineStr">
        <is>
          <t>2026-09-24 18:05:00</t>
        </is>
      </c>
      <c r="B1964" t="inlineStr">
        <is>
          <t>MLLB_000_y1.0.3</t>
        </is>
      </c>
      <c r="C1964" t="inlineStr">
        <is>
          <t>WHITE</t>
        </is>
      </c>
      <c r="D1964" t="inlineStr">
        <is>
          <t>v4_white_MLLB_000_y103_0924</t>
        </is>
      </c>
      <c r="E1964" t="n">
        <v>3</v>
      </c>
      <c r="F1964" t="n">
        <v>3.008</v>
      </c>
      <c r="G1964" t="n">
        <v>100</v>
      </c>
      <c r="H1964" t="n">
        <v>60</v>
      </c>
      <c r="I1964" t="n">
        <v>37</v>
      </c>
      <c r="J1964" t="inlineStr">
        <is>
          <t>ince</t>
        </is>
      </c>
      <c r="K1964" t="b">
        <v>0</v>
      </c>
      <c r="L1964" t="inlineStr">
        <is>
          <t>iki-OK-arasi-monotonluk</t>
        </is>
      </c>
      <c r="X1964" t="b">
        <v>1</v>
      </c>
      <c r="Z1964" t="n">
        <v>935</v>
      </c>
      <c r="AA1964" t="n">
        <v>2.5</v>
      </c>
      <c r="AB1964" t="n">
        <v>9.5</v>
      </c>
    </row>
    <row r="1965">
      <c r="A1965" t="inlineStr">
        <is>
          <t>2026-09-24 18:05:00</t>
        </is>
      </c>
      <c r="B1965" t="inlineStr">
        <is>
          <t>MLLB_000_y1.0.3</t>
        </is>
      </c>
      <c r="C1965" t="inlineStr">
        <is>
          <t>WHITE</t>
        </is>
      </c>
      <c r="D1965" t="inlineStr">
        <is>
          <t>v4_white_MLLB_000_y103_0924</t>
        </is>
      </c>
      <c r="E1965" t="n">
        <v>3</v>
      </c>
      <c r="F1965" t="n">
        <v>3.008</v>
      </c>
      <c r="G1965" t="n">
        <v>100</v>
      </c>
      <c r="H1965" t="n">
        <v>60</v>
      </c>
      <c r="I1965" t="n">
        <v>38</v>
      </c>
      <c r="J1965" t="inlineStr">
        <is>
          <t>ince</t>
        </is>
      </c>
      <c r="K1965" t="b">
        <v>0</v>
      </c>
      <c r="L1965" t="inlineStr">
        <is>
          <t>iki-OK-arasi-monotonluk</t>
        </is>
      </c>
      <c r="X1965" t="b">
        <v>1</v>
      </c>
      <c r="Z1965" t="n">
        <v>935</v>
      </c>
      <c r="AA1965" t="n">
        <v>2.5</v>
      </c>
      <c r="AB1965" t="n">
        <v>9.5</v>
      </c>
    </row>
    <row r="1966">
      <c r="A1966" t="inlineStr">
        <is>
          <t>2026-09-24 18:05:00</t>
        </is>
      </c>
      <c r="B1966" t="inlineStr">
        <is>
          <t>MLLB_000_y1.0.3</t>
        </is>
      </c>
      <c r="C1966" t="inlineStr">
        <is>
          <t>WHITE</t>
        </is>
      </c>
      <c r="D1966" t="inlineStr">
        <is>
          <t>v4_white_MLLB_000_y103_0924</t>
        </is>
      </c>
      <c r="E1966" t="n">
        <v>3</v>
      </c>
      <c r="F1966" t="n">
        <v>3.008</v>
      </c>
      <c r="G1966" t="n">
        <v>100</v>
      </c>
      <c r="H1966" t="n">
        <v>60</v>
      </c>
      <c r="I1966" t="n">
        <v>39</v>
      </c>
      <c r="J1966" t="inlineStr">
        <is>
          <t>ince</t>
        </is>
      </c>
      <c r="K1966" t="b">
        <v>0</v>
      </c>
      <c r="L1966" t="inlineStr">
        <is>
          <t>iki-OK-arasi-monotonluk</t>
        </is>
      </c>
      <c r="X1966" t="b">
        <v>1</v>
      </c>
      <c r="Z1966" t="n">
        <v>935</v>
      </c>
      <c r="AA1966" t="n">
        <v>2.5</v>
      </c>
      <c r="AB1966" t="n">
        <v>9.5</v>
      </c>
    </row>
    <row r="1967">
      <c r="A1967" t="inlineStr">
        <is>
          <t>2026-09-24 18:05:00</t>
        </is>
      </c>
      <c r="B1967" t="inlineStr">
        <is>
          <t>MLLB_000_y1.0.3</t>
        </is>
      </c>
      <c r="C1967" t="inlineStr">
        <is>
          <t>WHITE</t>
        </is>
      </c>
      <c r="D1967" t="inlineStr">
        <is>
          <t>v4_white_MLLB_000_y103_0924</t>
        </is>
      </c>
      <c r="E1967" t="n">
        <v>3</v>
      </c>
      <c r="F1967" t="n">
        <v>3.008</v>
      </c>
      <c r="G1967" t="n">
        <v>100</v>
      </c>
      <c r="H1967" t="n">
        <v>60</v>
      </c>
      <c r="I1967" t="n">
        <v>41</v>
      </c>
      <c r="J1967" t="inlineStr">
        <is>
          <t>ince</t>
        </is>
      </c>
      <c r="K1967" t="b">
        <v>0</v>
      </c>
      <c r="L1967" t="inlineStr">
        <is>
          <t>iki-OK-arasi-monotonluk</t>
        </is>
      </c>
      <c r="X1967" t="b">
        <v>1</v>
      </c>
      <c r="Z1967" t="n">
        <v>935</v>
      </c>
      <c r="AA1967" t="n">
        <v>2.5</v>
      </c>
      <c r="AB1967" t="n">
        <v>9.5</v>
      </c>
    </row>
    <row r="1968">
      <c r="A1968" t="inlineStr">
        <is>
          <t>2026-09-24 18:05:00</t>
        </is>
      </c>
      <c r="B1968" t="inlineStr">
        <is>
          <t>MLLB_000_y1.0.3</t>
        </is>
      </c>
      <c r="C1968" t="inlineStr">
        <is>
          <t>WHITE</t>
        </is>
      </c>
      <c r="D1968" t="inlineStr">
        <is>
          <t>v4_white_MLLB_000_y103_0924</t>
        </is>
      </c>
      <c r="E1968" t="n">
        <v>3</v>
      </c>
      <c r="F1968" t="n">
        <v>3.008</v>
      </c>
      <c r="G1968" t="n">
        <v>100</v>
      </c>
      <c r="H1968" t="n">
        <v>60</v>
      </c>
      <c r="I1968" t="n">
        <v>42</v>
      </c>
      <c r="J1968" t="inlineStr">
        <is>
          <t>ince</t>
        </is>
      </c>
      <c r="K1968" t="b">
        <v>0</v>
      </c>
      <c r="L1968" t="inlineStr">
        <is>
          <t>iki-OK-arasi-monotonluk</t>
        </is>
      </c>
      <c r="X1968" t="b">
        <v>1</v>
      </c>
      <c r="Z1968" t="n">
        <v>935</v>
      </c>
      <c r="AA1968" t="n">
        <v>2.5</v>
      </c>
      <c r="AB1968" t="n">
        <v>9.5</v>
      </c>
    </row>
    <row r="1969">
      <c r="A1969" t="inlineStr">
        <is>
          <t>2026-09-24 18:05:00</t>
        </is>
      </c>
      <c r="B1969" t="inlineStr">
        <is>
          <t>MLLB_000_y1.0.3</t>
        </is>
      </c>
      <c r="C1969" t="inlineStr">
        <is>
          <t>WHITE</t>
        </is>
      </c>
      <c r="D1969" t="inlineStr">
        <is>
          <t>v4_white_MLLB_000_y103_0924</t>
        </is>
      </c>
      <c r="E1969" t="n">
        <v>3</v>
      </c>
      <c r="F1969" t="n">
        <v>3.008</v>
      </c>
      <c r="G1969" t="n">
        <v>100</v>
      </c>
      <c r="H1969" t="n">
        <v>60</v>
      </c>
      <c r="I1969" t="n">
        <v>43</v>
      </c>
      <c r="J1969" t="inlineStr">
        <is>
          <t>ince</t>
        </is>
      </c>
      <c r="K1969" t="b">
        <v>0</v>
      </c>
      <c r="L1969" t="inlineStr">
        <is>
          <t>iki-OK-arasi-monotonluk</t>
        </is>
      </c>
      <c r="X1969" t="b">
        <v>1</v>
      </c>
      <c r="Z1969" t="n">
        <v>935</v>
      </c>
      <c r="AA1969" t="n">
        <v>2.5</v>
      </c>
      <c r="AB1969" t="n">
        <v>9.5</v>
      </c>
    </row>
    <row r="1970">
      <c r="A1970" t="inlineStr">
        <is>
          <t>2026-09-24 18:05:00</t>
        </is>
      </c>
      <c r="B1970" t="inlineStr">
        <is>
          <t>MLLB_000_y1.0.3</t>
        </is>
      </c>
      <c r="C1970" t="inlineStr">
        <is>
          <t>WHITE</t>
        </is>
      </c>
      <c r="D1970" t="inlineStr">
        <is>
          <t>v4_white_MLLB_000_y103_0924</t>
        </is>
      </c>
      <c r="E1970" t="n">
        <v>3</v>
      </c>
      <c r="F1970" t="n">
        <v>3.008</v>
      </c>
      <c r="G1970" t="n">
        <v>100</v>
      </c>
      <c r="H1970" t="n">
        <v>60</v>
      </c>
      <c r="I1970" t="n">
        <v>45</v>
      </c>
      <c r="J1970" t="inlineStr">
        <is>
          <t>ince</t>
        </is>
      </c>
      <c r="K1970" t="b">
        <v>0</v>
      </c>
      <c r="L1970" t="inlineStr">
        <is>
          <t>iki-OK-arasi-monotonluk</t>
        </is>
      </c>
      <c r="X1970" t="b">
        <v>1</v>
      </c>
      <c r="Z1970" t="n">
        <v>935</v>
      </c>
      <c r="AA1970" t="n">
        <v>2.5</v>
      </c>
      <c r="AB1970" t="n">
        <v>9.5</v>
      </c>
    </row>
    <row r="1971">
      <c r="A1971" t="inlineStr">
        <is>
          <t>2026-09-24 18:05:00</t>
        </is>
      </c>
      <c r="B1971" t="inlineStr">
        <is>
          <t>MLLB_000_y1.0.3</t>
        </is>
      </c>
      <c r="C1971" t="inlineStr">
        <is>
          <t>WHITE</t>
        </is>
      </c>
      <c r="D1971" t="inlineStr">
        <is>
          <t>v4_white_MLLB_000_y103_0924</t>
        </is>
      </c>
      <c r="E1971" t="n">
        <v>3</v>
      </c>
      <c r="F1971" t="n">
        <v>3.008</v>
      </c>
      <c r="G1971" t="n">
        <v>100</v>
      </c>
      <c r="H1971" t="n">
        <v>60</v>
      </c>
      <c r="I1971" t="n">
        <v>46</v>
      </c>
      <c r="J1971" t="inlineStr">
        <is>
          <t>ince</t>
        </is>
      </c>
      <c r="K1971" t="b">
        <v>0</v>
      </c>
      <c r="L1971" t="inlineStr">
        <is>
          <t>iki-OK-arasi-monotonluk</t>
        </is>
      </c>
      <c r="X1971" t="b">
        <v>1</v>
      </c>
      <c r="Z1971" t="n">
        <v>935</v>
      </c>
      <c r="AA1971" t="n">
        <v>2.5</v>
      </c>
      <c r="AB1971" t="n">
        <v>9.5</v>
      </c>
    </row>
    <row r="1972">
      <c r="A1972" t="inlineStr">
        <is>
          <t>2026-09-24 18:05:00</t>
        </is>
      </c>
      <c r="B1972" t="inlineStr">
        <is>
          <t>MLLB_000_y1.0.3</t>
        </is>
      </c>
      <c r="C1972" t="inlineStr">
        <is>
          <t>WHITE</t>
        </is>
      </c>
      <c r="D1972" t="inlineStr">
        <is>
          <t>v4_white_MLLB_000_y103_0924</t>
        </is>
      </c>
      <c r="E1972" t="n">
        <v>3</v>
      </c>
      <c r="F1972" t="n">
        <v>3.008</v>
      </c>
      <c r="G1972" t="n">
        <v>100</v>
      </c>
      <c r="H1972" t="n">
        <v>60</v>
      </c>
      <c r="I1972" t="n">
        <v>47</v>
      </c>
      <c r="J1972" t="inlineStr">
        <is>
          <t>ince</t>
        </is>
      </c>
      <c r="K1972" t="b">
        <v>0</v>
      </c>
      <c r="L1972" t="inlineStr">
        <is>
          <t>iki-OK-arasi-monotonluk</t>
        </is>
      </c>
      <c r="X1972" t="b">
        <v>1</v>
      </c>
      <c r="Z1972" t="n">
        <v>935</v>
      </c>
      <c r="AA1972" t="n">
        <v>2.5</v>
      </c>
      <c r="AB1972" t="n">
        <v>9.5</v>
      </c>
    </row>
    <row r="1973">
      <c r="A1973" t="inlineStr">
        <is>
          <t>2026-09-24 18:05:00</t>
        </is>
      </c>
      <c r="B1973" t="inlineStr">
        <is>
          <t>MLLB_000_y1.0.3</t>
        </is>
      </c>
      <c r="C1973" t="inlineStr">
        <is>
          <t>WHITE</t>
        </is>
      </c>
      <c r="D1973" t="inlineStr">
        <is>
          <t>v4_white_MLLB_000_y103_0924</t>
        </is>
      </c>
      <c r="E1973" t="n">
        <v>3</v>
      </c>
      <c r="F1973" t="n">
        <v>3.008</v>
      </c>
      <c r="G1973" t="n">
        <v>100</v>
      </c>
      <c r="H1973" t="n">
        <v>60</v>
      </c>
      <c r="I1973" t="n">
        <v>49</v>
      </c>
      <c r="J1973" t="inlineStr">
        <is>
          <t>ince</t>
        </is>
      </c>
      <c r="K1973" t="b">
        <v>0</v>
      </c>
      <c r="L1973" t="inlineStr">
        <is>
          <t>iki-OK-arasi-monotonluk</t>
        </is>
      </c>
      <c r="X1973" t="b">
        <v>1</v>
      </c>
      <c r="Z1973" t="n">
        <v>935</v>
      </c>
      <c r="AA1973" t="n">
        <v>2.5</v>
      </c>
      <c r="AB1973" t="n">
        <v>9.5</v>
      </c>
    </row>
    <row r="1974">
      <c r="A1974" t="inlineStr">
        <is>
          <t>2026-09-24 18:05:00</t>
        </is>
      </c>
      <c r="B1974" t="inlineStr">
        <is>
          <t>MLLB_000_y1.0.3</t>
        </is>
      </c>
      <c r="C1974" t="inlineStr">
        <is>
          <t>WHITE</t>
        </is>
      </c>
      <c r="D1974" t="inlineStr">
        <is>
          <t>v4_white_MLLB_000_y103_0924</t>
        </is>
      </c>
      <c r="E1974" t="n">
        <v>3</v>
      </c>
      <c r="F1974" t="n">
        <v>3.008</v>
      </c>
      <c r="G1974" t="n">
        <v>100</v>
      </c>
      <c r="H1974" t="n">
        <v>60</v>
      </c>
      <c r="I1974" t="n">
        <v>50</v>
      </c>
      <c r="J1974" t="inlineStr">
        <is>
          <t>ince</t>
        </is>
      </c>
      <c r="K1974" t="b">
        <v>0</v>
      </c>
      <c r="L1974" t="inlineStr">
        <is>
          <t>iki-OK-arasi-monotonluk</t>
        </is>
      </c>
      <c r="X1974" t="b">
        <v>1</v>
      </c>
      <c r="Z1974" t="n">
        <v>935</v>
      </c>
      <c r="AA1974" t="n">
        <v>2.5</v>
      </c>
      <c r="AB1974" t="n">
        <v>9.5</v>
      </c>
    </row>
    <row r="1975">
      <c r="A1975" t="inlineStr">
        <is>
          <t>2026-09-24 18:05:00</t>
        </is>
      </c>
      <c r="B1975" t="inlineStr">
        <is>
          <t>MLLB_000_y1.0.3</t>
        </is>
      </c>
      <c r="C1975" t="inlineStr">
        <is>
          <t>WHITE</t>
        </is>
      </c>
      <c r="D1975" t="inlineStr">
        <is>
          <t>v4_white_MLLB_000_y103_0924</t>
        </is>
      </c>
      <c r="E1975" t="n">
        <v>3</v>
      </c>
      <c r="F1975" t="n">
        <v>3.008</v>
      </c>
      <c r="G1975" t="n">
        <v>100</v>
      </c>
      <c r="H1975" t="n">
        <v>60</v>
      </c>
      <c r="I1975" t="n">
        <v>51</v>
      </c>
      <c r="J1975" t="inlineStr">
        <is>
          <t>ince</t>
        </is>
      </c>
      <c r="K1975" t="b">
        <v>0</v>
      </c>
      <c r="L1975" t="inlineStr">
        <is>
          <t>iki-OK-arasi-monotonluk</t>
        </is>
      </c>
      <c r="X1975" t="b">
        <v>1</v>
      </c>
      <c r="Z1975" t="n">
        <v>935</v>
      </c>
      <c r="AA1975" t="n">
        <v>2.5</v>
      </c>
      <c r="AB1975" t="n">
        <v>9.5</v>
      </c>
    </row>
    <row r="1976">
      <c r="A1976" t="inlineStr">
        <is>
          <t>2026-09-24 18:05:00</t>
        </is>
      </c>
      <c r="B1976" t="inlineStr">
        <is>
          <t>MLLB_000_y1.0.3</t>
        </is>
      </c>
      <c r="C1976" t="inlineStr">
        <is>
          <t>WHITE</t>
        </is>
      </c>
      <c r="D1976" t="inlineStr">
        <is>
          <t>v4_white_MLLB_000_y103_0924</t>
        </is>
      </c>
      <c r="E1976" t="n">
        <v>3</v>
      </c>
      <c r="F1976" t="n">
        <v>3.008</v>
      </c>
      <c r="G1976" t="n">
        <v>100</v>
      </c>
      <c r="H1976" t="n">
        <v>60</v>
      </c>
      <c r="I1976" t="n">
        <v>53</v>
      </c>
      <c r="J1976" t="inlineStr">
        <is>
          <t>ince</t>
        </is>
      </c>
      <c r="K1976" t="b">
        <v>0</v>
      </c>
      <c r="L1976" t="inlineStr">
        <is>
          <t>iki-OK-arasi-monotonluk</t>
        </is>
      </c>
      <c r="X1976" t="b">
        <v>1</v>
      </c>
      <c r="Z1976" t="n">
        <v>935</v>
      </c>
      <c r="AA1976" t="n">
        <v>2.5</v>
      </c>
      <c r="AB1976" t="n">
        <v>9.5</v>
      </c>
    </row>
    <row r="1977">
      <c r="A1977" t="inlineStr">
        <is>
          <t>2026-09-24 18:05:00</t>
        </is>
      </c>
      <c r="B1977" t="inlineStr">
        <is>
          <t>MLLB_000_y1.0.3</t>
        </is>
      </c>
      <c r="C1977" t="inlineStr">
        <is>
          <t>WHITE</t>
        </is>
      </c>
      <c r="D1977" t="inlineStr">
        <is>
          <t>v4_white_MLLB_000_y103_0924</t>
        </is>
      </c>
      <c r="E1977" t="n">
        <v>3</v>
      </c>
      <c r="F1977" t="n">
        <v>3.008</v>
      </c>
      <c r="G1977" t="n">
        <v>100</v>
      </c>
      <c r="H1977" t="n">
        <v>60</v>
      </c>
      <c r="I1977" t="n">
        <v>54</v>
      </c>
      <c r="J1977" t="inlineStr">
        <is>
          <t>ince</t>
        </is>
      </c>
      <c r="K1977" t="b">
        <v>0</v>
      </c>
      <c r="L1977" t="inlineStr">
        <is>
          <t>iki-OK-arasi-monotonluk</t>
        </is>
      </c>
      <c r="X1977" t="b">
        <v>1</v>
      </c>
      <c r="Z1977" t="n">
        <v>935</v>
      </c>
      <c r="AA1977" t="n">
        <v>2.5</v>
      </c>
      <c r="AB1977" t="n">
        <v>9.5</v>
      </c>
    </row>
    <row r="1978">
      <c r="A1978" t="inlineStr">
        <is>
          <t>2026-09-24 18:05:00</t>
        </is>
      </c>
      <c r="B1978" t="inlineStr">
        <is>
          <t>MLLB_000_y1.0.3</t>
        </is>
      </c>
      <c r="C1978" t="inlineStr">
        <is>
          <t>WHITE</t>
        </is>
      </c>
      <c r="D1978" t="inlineStr">
        <is>
          <t>v4_white_MLLB_000_y103_0924</t>
        </is>
      </c>
      <c r="E1978" t="n">
        <v>3</v>
      </c>
      <c r="F1978" t="n">
        <v>3.008</v>
      </c>
      <c r="G1978" t="n">
        <v>100</v>
      </c>
      <c r="H1978" t="n">
        <v>60</v>
      </c>
      <c r="I1978" t="n">
        <v>55</v>
      </c>
      <c r="J1978" t="inlineStr">
        <is>
          <t>ince</t>
        </is>
      </c>
      <c r="K1978" t="b">
        <v>0</v>
      </c>
      <c r="L1978" t="inlineStr">
        <is>
          <t>iki-OK-arasi-monotonluk</t>
        </is>
      </c>
      <c r="X1978" t="b">
        <v>1</v>
      </c>
      <c r="Z1978" t="n">
        <v>935</v>
      </c>
      <c r="AA1978" t="n">
        <v>2.5</v>
      </c>
      <c r="AB1978" t="n">
        <v>9.5</v>
      </c>
    </row>
    <row r="1979">
      <c r="A1979" t="inlineStr">
        <is>
          <t>2026-09-24 18:05:00</t>
        </is>
      </c>
      <c r="B1979" t="inlineStr">
        <is>
          <t>MLLB_000_y1.0.3</t>
        </is>
      </c>
      <c r="C1979" t="inlineStr">
        <is>
          <t>WHITE</t>
        </is>
      </c>
      <c r="D1979" t="inlineStr">
        <is>
          <t>v4_white_MLLB_000_y103_0924</t>
        </is>
      </c>
      <c r="E1979" t="n">
        <v>3</v>
      </c>
      <c r="F1979" t="n">
        <v>3.008</v>
      </c>
      <c r="G1979" t="n">
        <v>100</v>
      </c>
      <c r="H1979" t="n">
        <v>60</v>
      </c>
      <c r="I1979" t="n">
        <v>57</v>
      </c>
      <c r="J1979" t="inlineStr">
        <is>
          <t>ince</t>
        </is>
      </c>
      <c r="K1979" t="b">
        <v>0</v>
      </c>
      <c r="L1979" t="inlineStr">
        <is>
          <t>iki-OK-arasi-monotonluk</t>
        </is>
      </c>
      <c r="X1979" t="b">
        <v>1</v>
      </c>
      <c r="Z1979" t="n">
        <v>935</v>
      </c>
      <c r="AA1979" t="n">
        <v>2.5</v>
      </c>
      <c r="AB1979" t="n">
        <v>9.5</v>
      </c>
    </row>
    <row r="1980">
      <c r="A1980" t="inlineStr">
        <is>
          <t>2026-09-24 18:05:00</t>
        </is>
      </c>
      <c r="B1980" t="inlineStr">
        <is>
          <t>MLLB_000_y1.0.3</t>
        </is>
      </c>
      <c r="C1980" t="inlineStr">
        <is>
          <t>WHITE</t>
        </is>
      </c>
      <c r="D1980" t="inlineStr">
        <is>
          <t>v4_white_MLLB_000_y103_0924</t>
        </is>
      </c>
      <c r="E1980" t="n">
        <v>3</v>
      </c>
      <c r="F1980" t="n">
        <v>3.008</v>
      </c>
      <c r="G1980" t="n">
        <v>100</v>
      </c>
      <c r="H1980" t="n">
        <v>60</v>
      </c>
      <c r="J1980" t="inlineStr">
        <is>
          <t>bitti</t>
        </is>
      </c>
      <c r="K1980" t="b">
        <v>0</v>
      </c>
      <c r="Z1980" t="n">
        <v>935</v>
      </c>
      <c r="AA1980" t="n">
        <v>2.5</v>
      </c>
      <c r="AB1980" t="n">
        <v>9.5</v>
      </c>
    </row>
    <row r="1981">
      <c r="A1981" t="inlineStr">
        <is>
          <t>2026-09-24 18:05:30</t>
        </is>
      </c>
      <c r="B1981" t="inlineStr">
        <is>
          <t>MLLB_000_y1.0.3</t>
        </is>
      </c>
      <c r="C1981" t="inlineStr">
        <is>
          <t>WHITE</t>
        </is>
      </c>
      <c r="D1981" t="inlineStr">
        <is>
          <t>v4_white_MLLB_000_y103_0924</t>
        </is>
      </c>
      <c r="E1981" t="n">
        <v>2.8</v>
      </c>
      <c r="F1981" t="n">
        <v>2.808</v>
      </c>
      <c r="G1981" t="n">
        <v>6</v>
      </c>
      <c r="H1981" t="n">
        <v>100</v>
      </c>
      <c r="I1981" t="n">
        <v>12</v>
      </c>
      <c r="J1981" t="inlineStr">
        <is>
          <t>kaba</t>
        </is>
      </c>
      <c r="K1981" t="b">
        <v>1</v>
      </c>
      <c r="M1981" t="n">
        <v>414</v>
      </c>
      <c r="N1981" t="n">
        <v>40</v>
      </c>
      <c r="O1981" t="n">
        <v>390</v>
      </c>
      <c r="P1981" t="n">
        <v>588</v>
      </c>
      <c r="Q1981" t="n">
        <v>1002</v>
      </c>
      <c r="R1981" t="n">
        <v>1.106</v>
      </c>
      <c r="S1981" t="n">
        <v>10.234</v>
      </c>
      <c r="T1981" t="n">
        <v>9.250999999999999</v>
      </c>
      <c r="U1981" t="n">
        <v>0.7778</v>
      </c>
      <c r="V1981" t="b">
        <v>1</v>
      </c>
      <c r="X1981" t="b">
        <v>0</v>
      </c>
      <c r="Y1981" t="inlineStr">
        <is>
          <t>AKIM</t>
        </is>
      </c>
      <c r="Z1981" t="n">
        <v>935</v>
      </c>
      <c r="AA1981" t="n">
        <v>2.5</v>
      </c>
      <c r="AB1981" t="n">
        <v>9.5</v>
      </c>
    </row>
    <row r="1982">
      <c r="A1982" t="inlineStr">
        <is>
          <t>2026-09-24 18:05:46</t>
        </is>
      </c>
      <c r="B1982" t="inlineStr">
        <is>
          <t>MLLB_000_y1.0.3</t>
        </is>
      </c>
      <c r="C1982" t="inlineStr">
        <is>
          <t>WHITE</t>
        </is>
      </c>
      <c r="D1982" t="inlineStr">
        <is>
          <t>v4_white_MLLB_000_y103_0924</t>
        </is>
      </c>
      <c r="E1982" t="n">
        <v>2.8</v>
      </c>
      <c r="F1982" t="n">
        <v>2.808</v>
      </c>
      <c r="G1982" t="n">
        <v>6</v>
      </c>
      <c r="H1982" t="n">
        <v>100</v>
      </c>
      <c r="I1982" t="n">
        <v>16</v>
      </c>
      <c r="J1982" t="inlineStr">
        <is>
          <t>kaba</t>
        </is>
      </c>
      <c r="K1982" t="b">
        <v>1</v>
      </c>
      <c r="M1982" t="n">
        <v>328</v>
      </c>
      <c r="N1982" t="n">
        <v>38</v>
      </c>
      <c r="O1982" t="n">
        <v>304</v>
      </c>
      <c r="P1982" t="n">
        <v>674</v>
      </c>
      <c r="Q1982" t="n">
        <v>1002</v>
      </c>
      <c r="R1982" t="n">
        <v>1.106</v>
      </c>
      <c r="S1982" t="n">
        <v>10.279</v>
      </c>
      <c r="T1982" t="n">
        <v>9.295</v>
      </c>
      <c r="U1982" t="n">
        <v>0.7775</v>
      </c>
      <c r="V1982" t="b">
        <v>1</v>
      </c>
      <c r="X1982" t="b">
        <v>0</v>
      </c>
      <c r="Y1982" t="inlineStr">
        <is>
          <t>AKIM</t>
        </is>
      </c>
      <c r="Z1982" t="n">
        <v>935</v>
      </c>
      <c r="AA1982" t="n">
        <v>2.5</v>
      </c>
      <c r="AB1982" t="n">
        <v>9.5</v>
      </c>
    </row>
    <row r="1983">
      <c r="A1983" t="inlineStr">
        <is>
          <t>2026-09-24 18:06:02</t>
        </is>
      </c>
      <c r="B1983" t="inlineStr">
        <is>
          <t>MLLB_000_y1.0.3</t>
        </is>
      </c>
      <c r="C1983" t="inlineStr">
        <is>
          <t>WHITE</t>
        </is>
      </c>
      <c r="D1983" t="inlineStr">
        <is>
          <t>v4_white_MLLB_000_y103_0924</t>
        </is>
      </c>
      <c r="E1983" t="n">
        <v>2.8</v>
      </c>
      <c r="F1983" t="n">
        <v>2.808</v>
      </c>
      <c r="G1983" t="n">
        <v>6</v>
      </c>
      <c r="H1983" t="n">
        <v>100</v>
      </c>
      <c r="I1983" t="n">
        <v>20</v>
      </c>
      <c r="J1983" t="inlineStr">
        <is>
          <t>kaba</t>
        </is>
      </c>
      <c r="K1983" t="b">
        <v>1</v>
      </c>
      <c r="M1983" t="n">
        <v>242</v>
      </c>
      <c r="N1983" t="n">
        <v>40</v>
      </c>
      <c r="O1983" t="n">
        <v>218</v>
      </c>
      <c r="P1983" t="n">
        <v>760</v>
      </c>
      <c r="Q1983" t="n">
        <v>1002</v>
      </c>
      <c r="R1983" t="n">
        <v>1.09</v>
      </c>
      <c r="S1983" t="n">
        <v>10.234</v>
      </c>
      <c r="T1983" t="n">
        <v>9.385</v>
      </c>
      <c r="U1983" t="n">
        <v>0.7776999999999999</v>
      </c>
      <c r="V1983" t="b">
        <v>1</v>
      </c>
      <c r="X1983" t="b">
        <v>0</v>
      </c>
      <c r="Y1983" t="inlineStr">
        <is>
          <t>AKIM</t>
        </is>
      </c>
      <c r="Z1983" t="n">
        <v>935</v>
      </c>
      <c r="AA1983" t="n">
        <v>2.5</v>
      </c>
      <c r="AB1983" t="n">
        <v>9.5</v>
      </c>
    </row>
    <row r="1984">
      <c r="A1984" t="inlineStr">
        <is>
          <t>2026-09-24 18:06:18</t>
        </is>
      </c>
      <c r="B1984" t="inlineStr">
        <is>
          <t>MLLB_000_y1.0.3</t>
        </is>
      </c>
      <c r="C1984" t="inlineStr">
        <is>
          <t>WHITE</t>
        </is>
      </c>
      <c r="D1984" t="inlineStr">
        <is>
          <t>v4_white_MLLB_000_y103_0924</t>
        </is>
      </c>
      <c r="E1984" t="n">
        <v>2.8</v>
      </c>
      <c r="F1984" t="n">
        <v>2.808</v>
      </c>
      <c r="G1984" t="n">
        <v>6</v>
      </c>
      <c r="H1984" t="n">
        <v>100</v>
      </c>
      <c r="I1984" t="n">
        <v>24</v>
      </c>
      <c r="J1984" t="inlineStr">
        <is>
          <t>kaba</t>
        </is>
      </c>
      <c r="K1984" t="b">
        <v>1</v>
      </c>
      <c r="M1984" t="n">
        <v>156</v>
      </c>
      <c r="N1984" t="n">
        <v>36</v>
      </c>
      <c r="O1984" t="n">
        <v>134</v>
      </c>
      <c r="P1984" t="n">
        <v>846</v>
      </c>
      <c r="Q1984" t="n">
        <v>1002</v>
      </c>
      <c r="R1984" t="n">
        <v>1.088</v>
      </c>
      <c r="S1984" t="n">
        <v>10.234</v>
      </c>
      <c r="T1984" t="n">
        <v>9.407999999999999</v>
      </c>
      <c r="U1984" t="n">
        <v>0.777</v>
      </c>
      <c r="V1984" t="b">
        <v>1</v>
      </c>
      <c r="X1984" t="b">
        <v>0</v>
      </c>
      <c r="Y1984" t="inlineStr">
        <is>
          <t>AKIM</t>
        </is>
      </c>
      <c r="Z1984" t="n">
        <v>935</v>
      </c>
      <c r="AA1984" t="n">
        <v>2.5</v>
      </c>
      <c r="AB1984" t="n">
        <v>9.5</v>
      </c>
    </row>
    <row r="1985">
      <c r="A1985" t="inlineStr">
        <is>
          <t>2026-09-24 18:06:34</t>
        </is>
      </c>
      <c r="B1985" t="inlineStr">
        <is>
          <t>MLLB_000_y1.0.3</t>
        </is>
      </c>
      <c r="C1985" t="inlineStr">
        <is>
          <t>WHITE</t>
        </is>
      </c>
      <c r="D1985" t="inlineStr">
        <is>
          <t>v4_white_MLLB_000_y103_0924</t>
        </is>
      </c>
      <c r="E1985" t="n">
        <v>2.8</v>
      </c>
      <c r="F1985" t="n">
        <v>2.808</v>
      </c>
      <c r="G1985" t="n">
        <v>6</v>
      </c>
      <c r="H1985" t="n">
        <v>100</v>
      </c>
      <c r="I1985" t="n">
        <v>28</v>
      </c>
      <c r="J1985" t="inlineStr">
        <is>
          <t>kaba</t>
        </is>
      </c>
      <c r="K1985" t="b">
        <v>1</v>
      </c>
      <c r="M1985" t="n">
        <v>64</v>
      </c>
      <c r="N1985" t="n">
        <v>42</v>
      </c>
      <c r="O1985" t="n">
        <v>42</v>
      </c>
      <c r="P1985" t="n">
        <v>938</v>
      </c>
      <c r="Q1985" t="n">
        <v>1002</v>
      </c>
      <c r="R1985" t="n">
        <v>1.089</v>
      </c>
      <c r="S1985" t="n">
        <v>10.25</v>
      </c>
      <c r="T1985" t="n">
        <v>9.409000000000001</v>
      </c>
      <c r="U1985" t="n">
        <v>0.7774</v>
      </c>
      <c r="V1985" t="b">
        <v>1</v>
      </c>
      <c r="X1985" t="b">
        <v>0</v>
      </c>
      <c r="Y1985" t="inlineStr">
        <is>
          <t>AKIM</t>
        </is>
      </c>
      <c r="Z1985" t="n">
        <v>935</v>
      </c>
      <c r="AA1985" t="n">
        <v>2.5</v>
      </c>
      <c r="AB1985" t="n">
        <v>9.5</v>
      </c>
    </row>
    <row r="1986">
      <c r="A1986" t="inlineStr">
        <is>
          <t>2026-09-24 18:06:50</t>
        </is>
      </c>
      <c r="B1986" t="inlineStr">
        <is>
          <t>MLLB_000_y1.0.3</t>
        </is>
      </c>
      <c r="C1986" t="inlineStr">
        <is>
          <t>WHITE</t>
        </is>
      </c>
      <c r="D1986" t="inlineStr">
        <is>
          <t>v4_white_MLLB_000_y103_0924</t>
        </is>
      </c>
      <c r="E1986" t="n">
        <v>2.8</v>
      </c>
      <c r="F1986" t="n">
        <v>2.808</v>
      </c>
      <c r="G1986" t="n">
        <v>6</v>
      </c>
      <c r="H1986" t="n">
        <v>100</v>
      </c>
      <c r="I1986" t="n">
        <v>32</v>
      </c>
      <c r="J1986" t="inlineStr">
        <is>
          <t>kaba</t>
        </is>
      </c>
      <c r="K1986" t="b">
        <v>1</v>
      </c>
      <c r="M1986" t="n">
        <v>38</v>
      </c>
      <c r="N1986" t="n">
        <v>28</v>
      </c>
      <c r="O1986" t="n">
        <v>18</v>
      </c>
      <c r="P1986" t="n">
        <v>964</v>
      </c>
      <c r="Q1986" t="n">
        <v>1002</v>
      </c>
      <c r="R1986" t="n">
        <v>10.78</v>
      </c>
      <c r="S1986" t="n">
        <v>101.459</v>
      </c>
      <c r="T1986" t="n">
        <v>9.412000000000001</v>
      </c>
      <c r="U1986" t="n">
        <v>0.7776999999999999</v>
      </c>
      <c r="V1986" t="b">
        <v>1</v>
      </c>
      <c r="X1986" t="b">
        <v>0</v>
      </c>
      <c r="Y1986" t="inlineStr">
        <is>
          <t>AKIM</t>
        </is>
      </c>
      <c r="Z1986" t="n">
        <v>935</v>
      </c>
      <c r="AA1986" t="n">
        <v>2.5</v>
      </c>
      <c r="AB1986" t="n">
        <v>9.5</v>
      </c>
    </row>
    <row r="1987">
      <c r="A1987" t="inlineStr">
        <is>
          <t>2026-09-24 18:07:06</t>
        </is>
      </c>
      <c r="B1987" t="inlineStr">
        <is>
          <t>MLLB_000_y1.0.3</t>
        </is>
      </c>
      <c r="C1987" t="inlineStr">
        <is>
          <t>WHITE</t>
        </is>
      </c>
      <c r="D1987" t="inlineStr">
        <is>
          <t>v4_white_MLLB_000_y103_0924</t>
        </is>
      </c>
      <c r="E1987" t="n">
        <v>2.8</v>
      </c>
      <c r="F1987" t="n">
        <v>2.808</v>
      </c>
      <c r="G1987" t="n">
        <v>6</v>
      </c>
      <c r="H1987" t="n">
        <v>100</v>
      </c>
      <c r="I1987" t="n">
        <v>25</v>
      </c>
      <c r="J1987" t="inlineStr">
        <is>
          <t>ince</t>
        </is>
      </c>
      <c r="K1987" t="b">
        <v>1</v>
      </c>
      <c r="M1987" t="n">
        <v>134</v>
      </c>
      <c r="N1987" t="n">
        <v>40</v>
      </c>
      <c r="O1987" t="n">
        <v>110</v>
      </c>
      <c r="P1987" t="n">
        <v>868</v>
      </c>
      <c r="Q1987" t="n">
        <v>1002</v>
      </c>
      <c r="R1987" t="n">
        <v>1.089</v>
      </c>
      <c r="S1987" t="n">
        <v>10.271</v>
      </c>
      <c r="T1987" t="n">
        <v>9.435</v>
      </c>
      <c r="U1987" t="n">
        <v>0.7779</v>
      </c>
      <c r="V1987" t="b">
        <v>1</v>
      </c>
      <c r="X1987" t="b">
        <v>0</v>
      </c>
      <c r="Y1987" t="inlineStr">
        <is>
          <t>AKIM</t>
        </is>
      </c>
      <c r="Z1987" t="n">
        <v>935</v>
      </c>
      <c r="AA1987" t="n">
        <v>2.5</v>
      </c>
      <c r="AB1987" t="n">
        <v>9.5</v>
      </c>
    </row>
    <row r="1988">
      <c r="A1988" t="inlineStr">
        <is>
          <t>2026-09-24 18:07:22</t>
        </is>
      </c>
      <c r="B1988" t="inlineStr">
        <is>
          <t>MLLB_000_y1.0.3</t>
        </is>
      </c>
      <c r="C1988" t="inlineStr">
        <is>
          <t>WHITE</t>
        </is>
      </c>
      <c r="D1988" t="inlineStr">
        <is>
          <t>v4_white_MLLB_000_y103_0924</t>
        </is>
      </c>
      <c r="E1988" t="n">
        <v>2.8</v>
      </c>
      <c r="F1988" t="n">
        <v>2.808</v>
      </c>
      <c r="G1988" t="n">
        <v>6</v>
      </c>
      <c r="H1988" t="n">
        <v>100</v>
      </c>
      <c r="I1988" t="n">
        <v>26</v>
      </c>
      <c r="J1988" t="inlineStr">
        <is>
          <t>ince</t>
        </is>
      </c>
      <c r="K1988" t="b">
        <v>1</v>
      </c>
      <c r="M1988" t="n">
        <v>110</v>
      </c>
      <c r="N1988" t="n">
        <v>40</v>
      </c>
      <c r="O1988" t="n">
        <v>86</v>
      </c>
      <c r="P1988" t="n">
        <v>892</v>
      </c>
      <c r="Q1988" t="n">
        <v>1002</v>
      </c>
      <c r="R1988" t="n">
        <v>1.085</v>
      </c>
      <c r="S1988" t="n">
        <v>10.246</v>
      </c>
      <c r="T1988" t="n">
        <v>9.444000000000001</v>
      </c>
      <c r="U1988" t="n">
        <v>0.7771</v>
      </c>
      <c r="V1988" t="b">
        <v>1</v>
      </c>
      <c r="X1988" t="b">
        <v>0</v>
      </c>
      <c r="Y1988" t="inlineStr">
        <is>
          <t>AKIM</t>
        </is>
      </c>
      <c r="Z1988" t="n">
        <v>935</v>
      </c>
      <c r="AA1988" t="n">
        <v>2.5</v>
      </c>
      <c r="AB1988" t="n">
        <v>9.5</v>
      </c>
    </row>
    <row r="1989">
      <c r="A1989" t="inlineStr">
        <is>
          <t>2026-09-24 18:07:38</t>
        </is>
      </c>
      <c r="B1989" t="inlineStr">
        <is>
          <t>MLLB_000_y1.0.3</t>
        </is>
      </c>
      <c r="C1989" t="inlineStr">
        <is>
          <t>WHITE</t>
        </is>
      </c>
      <c r="D1989" t="inlineStr">
        <is>
          <t>v4_white_MLLB_000_y103_0924</t>
        </is>
      </c>
      <c r="E1989" t="n">
        <v>2.8</v>
      </c>
      <c r="F1989" t="n">
        <v>2.808</v>
      </c>
      <c r="G1989" t="n">
        <v>6</v>
      </c>
      <c r="H1989" t="n">
        <v>100</v>
      </c>
      <c r="I1989" t="n">
        <v>27</v>
      </c>
      <c r="J1989" t="inlineStr">
        <is>
          <t>ince</t>
        </is>
      </c>
      <c r="K1989" t="b">
        <v>1</v>
      </c>
      <c r="M1989" t="n">
        <v>88</v>
      </c>
      <c r="N1989" t="n">
        <v>42</v>
      </c>
      <c r="O1989" t="n">
        <v>66</v>
      </c>
      <c r="P1989" t="n">
        <v>914</v>
      </c>
      <c r="Q1989" t="n">
        <v>1002</v>
      </c>
      <c r="R1989" t="n">
        <v>1.084</v>
      </c>
      <c r="S1989" t="n">
        <v>10.234</v>
      </c>
      <c r="T1989" t="n">
        <v>9.441000000000001</v>
      </c>
      <c r="U1989" t="n">
        <v>0.7775</v>
      </c>
      <c r="V1989" t="b">
        <v>1</v>
      </c>
      <c r="X1989" t="b">
        <v>0</v>
      </c>
      <c r="Y1989" t="inlineStr">
        <is>
          <t>AKIM</t>
        </is>
      </c>
      <c r="Z1989" t="n">
        <v>935</v>
      </c>
      <c r="AA1989" t="n">
        <v>2.5</v>
      </c>
      <c r="AB1989" t="n">
        <v>9.5</v>
      </c>
    </row>
    <row r="1990">
      <c r="A1990" t="inlineStr">
        <is>
          <t>2026-09-24 18:07:54</t>
        </is>
      </c>
      <c r="B1990" t="inlineStr">
        <is>
          <t>MLLB_000_y1.0.3</t>
        </is>
      </c>
      <c r="C1990" t="inlineStr">
        <is>
          <t>WHITE</t>
        </is>
      </c>
      <c r="D1990" t="inlineStr">
        <is>
          <t>v4_white_MLLB_000_y103_0924</t>
        </is>
      </c>
      <c r="E1990" t="n">
        <v>2.8</v>
      </c>
      <c r="F1990" t="n">
        <v>2.808</v>
      </c>
      <c r="G1990" t="n">
        <v>6</v>
      </c>
      <c r="H1990" t="n">
        <v>100</v>
      </c>
      <c r="I1990" t="n">
        <v>29</v>
      </c>
      <c r="J1990" t="inlineStr">
        <is>
          <t>ince</t>
        </is>
      </c>
      <c r="K1990" t="b">
        <v>1</v>
      </c>
      <c r="M1990" t="n">
        <v>40</v>
      </c>
      <c r="N1990" t="n">
        <v>42</v>
      </c>
      <c r="O1990" t="n">
        <v>18</v>
      </c>
      <c r="P1990" t="n">
        <v>962</v>
      </c>
      <c r="Q1990" t="n">
        <v>1002</v>
      </c>
      <c r="R1990" t="n">
        <v>1.084</v>
      </c>
      <c r="S1990" t="n">
        <v>10.234</v>
      </c>
      <c r="T1990" t="n">
        <v>9.44</v>
      </c>
      <c r="U1990" t="n">
        <v>0.7776</v>
      </c>
      <c r="V1990" t="b">
        <v>1</v>
      </c>
      <c r="X1990" t="b">
        <v>0</v>
      </c>
      <c r="Y1990" t="inlineStr">
        <is>
          <t>AKIM</t>
        </is>
      </c>
      <c r="Z1990" t="n">
        <v>935</v>
      </c>
      <c r="AA1990" t="n">
        <v>2.5</v>
      </c>
      <c r="AB1990" t="n">
        <v>9.5</v>
      </c>
    </row>
    <row r="1991">
      <c r="A1991" t="inlineStr">
        <is>
          <t>2026-09-24 18:08:10</t>
        </is>
      </c>
      <c r="B1991" t="inlineStr">
        <is>
          <t>MLLB_000_y1.0.3</t>
        </is>
      </c>
      <c r="C1991" t="inlineStr">
        <is>
          <t>WHITE</t>
        </is>
      </c>
      <c r="D1991" t="inlineStr">
        <is>
          <t>v4_white_MLLB_000_y103_0924</t>
        </is>
      </c>
      <c r="E1991" t="n">
        <v>2.8</v>
      </c>
      <c r="F1991" t="n">
        <v>2.808</v>
      </c>
      <c r="G1991" t="n">
        <v>6</v>
      </c>
      <c r="H1991" t="n">
        <v>100</v>
      </c>
      <c r="I1991" t="n">
        <v>30</v>
      </c>
      <c r="J1991" t="inlineStr">
        <is>
          <t>ince</t>
        </is>
      </c>
      <c r="K1991" t="b">
        <v>1</v>
      </c>
      <c r="M1991" t="n">
        <v>38</v>
      </c>
      <c r="N1991" t="n">
        <v>28</v>
      </c>
      <c r="O1991" t="n">
        <v>18</v>
      </c>
      <c r="P1991" t="n">
        <v>964</v>
      </c>
      <c r="Q1991" t="n">
        <v>1002</v>
      </c>
      <c r="R1991" t="n">
        <v>2.749</v>
      </c>
      <c r="S1991" t="n">
        <v>25.954</v>
      </c>
      <c r="T1991" t="n">
        <v>9.442</v>
      </c>
      <c r="U1991" t="n">
        <v>0.7776</v>
      </c>
      <c r="V1991" t="b">
        <v>1</v>
      </c>
      <c r="X1991" t="b">
        <v>0</v>
      </c>
      <c r="Y1991" t="inlineStr">
        <is>
          <t>AKIM</t>
        </is>
      </c>
      <c r="Z1991" t="n">
        <v>935</v>
      </c>
      <c r="AA1991" t="n">
        <v>2.5</v>
      </c>
      <c r="AB1991" t="n">
        <v>9.5</v>
      </c>
    </row>
    <row r="1992">
      <c r="A1992" t="inlineStr">
        <is>
          <t>2026-09-24 18:08:26</t>
        </is>
      </c>
      <c r="B1992" t="inlineStr">
        <is>
          <t>MLLB_000_y1.0.3</t>
        </is>
      </c>
      <c r="C1992" t="inlineStr">
        <is>
          <t>WHITE</t>
        </is>
      </c>
      <c r="D1992" t="inlineStr">
        <is>
          <t>v4_white_MLLB_000_y103_0924</t>
        </is>
      </c>
      <c r="E1992" t="n">
        <v>2.8</v>
      </c>
      <c r="F1992" t="n">
        <v>2.808</v>
      </c>
      <c r="G1992" t="n">
        <v>6</v>
      </c>
      <c r="H1992" t="n">
        <v>100</v>
      </c>
      <c r="I1992" t="n">
        <v>31</v>
      </c>
      <c r="J1992" t="inlineStr">
        <is>
          <t>ince</t>
        </is>
      </c>
      <c r="K1992" t="b">
        <v>1</v>
      </c>
      <c r="M1992" t="n">
        <v>38</v>
      </c>
      <c r="N1992" t="n">
        <v>28</v>
      </c>
      <c r="O1992" t="n">
        <v>18</v>
      </c>
      <c r="P1992" t="n">
        <v>964</v>
      </c>
      <c r="Q1992" t="n">
        <v>1002</v>
      </c>
      <c r="R1992" t="n">
        <v>8.109999999999999</v>
      </c>
      <c r="S1992" t="n">
        <v>76.66200000000001</v>
      </c>
      <c r="T1992" t="n">
        <v>9.452999999999999</v>
      </c>
      <c r="U1992" t="n">
        <v>0.7779</v>
      </c>
      <c r="V1992" t="b">
        <v>1</v>
      </c>
      <c r="X1992" t="b">
        <v>0</v>
      </c>
      <c r="Y1992" t="inlineStr">
        <is>
          <t>AKIM</t>
        </is>
      </c>
      <c r="Z1992" t="n">
        <v>935</v>
      </c>
      <c r="AA1992" t="n">
        <v>2.5</v>
      </c>
      <c r="AB1992" t="n">
        <v>9.5</v>
      </c>
    </row>
    <row r="1993">
      <c r="A1993" t="inlineStr">
        <is>
          <t>2026-09-24 18:08:26</t>
        </is>
      </c>
      <c r="B1993" t="inlineStr">
        <is>
          <t>MLLB_000_y1.0.3</t>
        </is>
      </c>
      <c r="C1993" t="inlineStr">
        <is>
          <t>WHITE</t>
        </is>
      </c>
      <c r="D1993" t="inlineStr">
        <is>
          <t>v4_white_MLLB_000_y103_0924</t>
        </is>
      </c>
      <c r="E1993" t="n">
        <v>2.8</v>
      </c>
      <c r="F1993" t="n">
        <v>2.808</v>
      </c>
      <c r="G1993" t="n">
        <v>6</v>
      </c>
      <c r="H1993" t="n">
        <v>100</v>
      </c>
      <c r="J1993" t="inlineStr">
        <is>
          <t>bitti</t>
        </is>
      </c>
      <c r="K1993" t="b">
        <v>0</v>
      </c>
      <c r="Z1993" t="n">
        <v>935</v>
      </c>
      <c r="AA1993" t="n">
        <v>2.5</v>
      </c>
      <c r="AB1993" t="n">
        <v>9.5</v>
      </c>
    </row>
    <row r="1994">
      <c r="A1994" t="inlineStr">
        <is>
          <t>2026-09-24 18:08:42</t>
        </is>
      </c>
      <c r="B1994" t="inlineStr">
        <is>
          <t>MLLB_000_y1.0.3</t>
        </is>
      </c>
      <c r="C1994" t="inlineStr">
        <is>
          <t>WHITE</t>
        </is>
      </c>
      <c r="D1994" t="inlineStr">
        <is>
          <t>v4_white_MLLB_000_y103_0924</t>
        </is>
      </c>
      <c r="E1994" t="n">
        <v>2.8</v>
      </c>
      <c r="F1994" t="n">
        <v>2.808</v>
      </c>
      <c r="G1994" t="n">
        <v>6</v>
      </c>
      <c r="H1994" t="n">
        <v>80</v>
      </c>
      <c r="I1994" t="n">
        <v>12</v>
      </c>
      <c r="J1994" t="inlineStr">
        <is>
          <t>kaba</t>
        </is>
      </c>
      <c r="K1994" t="b">
        <v>1</v>
      </c>
      <c r="M1994" t="n">
        <v>456</v>
      </c>
      <c r="N1994" t="n">
        <v>42</v>
      </c>
      <c r="O1994" t="n">
        <v>434</v>
      </c>
      <c r="P1994" t="n">
        <v>546</v>
      </c>
      <c r="Q1994" t="n">
        <v>1002</v>
      </c>
      <c r="R1994" t="n">
        <v>1.109</v>
      </c>
      <c r="S1994" t="n">
        <v>10.234</v>
      </c>
      <c r="T1994" t="n">
        <v>9.23</v>
      </c>
      <c r="U1994" t="n">
        <v>0.7775</v>
      </c>
      <c r="V1994" t="b">
        <v>1</v>
      </c>
      <c r="X1994" t="b">
        <v>0</v>
      </c>
      <c r="Y1994" t="inlineStr">
        <is>
          <t>AKIM</t>
        </is>
      </c>
      <c r="Z1994" t="n">
        <v>935</v>
      </c>
      <c r="AA1994" t="n">
        <v>2.5</v>
      </c>
      <c r="AB1994" t="n">
        <v>9.5</v>
      </c>
    </row>
    <row r="1995">
      <c r="A1995" t="inlineStr">
        <is>
          <t>2026-09-24 18:08:58</t>
        </is>
      </c>
      <c r="B1995" t="inlineStr">
        <is>
          <t>MLLB_000_y1.0.3</t>
        </is>
      </c>
      <c r="C1995" t="inlineStr">
        <is>
          <t>WHITE</t>
        </is>
      </c>
      <c r="D1995" t="inlineStr">
        <is>
          <t>v4_white_MLLB_000_y103_0924</t>
        </is>
      </c>
      <c r="E1995" t="n">
        <v>2.8</v>
      </c>
      <c r="F1995" t="n">
        <v>2.808</v>
      </c>
      <c r="G1995" t="n">
        <v>6</v>
      </c>
      <c r="H1995" t="n">
        <v>80</v>
      </c>
      <c r="I1995" t="n">
        <v>16</v>
      </c>
      <c r="J1995" t="inlineStr">
        <is>
          <t>kaba</t>
        </is>
      </c>
      <c r="K1995" t="b">
        <v>1</v>
      </c>
      <c r="M1995" t="n">
        <v>388</v>
      </c>
      <c r="N1995" t="n">
        <v>38</v>
      </c>
      <c r="O1995" t="n">
        <v>364</v>
      </c>
      <c r="P1995" t="n">
        <v>614</v>
      </c>
      <c r="Q1995" t="n">
        <v>1002</v>
      </c>
      <c r="R1995" t="n">
        <v>1.1</v>
      </c>
      <c r="S1995" t="n">
        <v>10.234</v>
      </c>
      <c r="T1995" t="n">
        <v>9.302</v>
      </c>
      <c r="U1995" t="n">
        <v>0.7779</v>
      </c>
      <c r="V1995" t="b">
        <v>1</v>
      </c>
      <c r="X1995" t="b">
        <v>0</v>
      </c>
      <c r="Y1995" t="inlineStr">
        <is>
          <t>AKIM</t>
        </is>
      </c>
      <c r="Z1995" t="n">
        <v>935</v>
      </c>
      <c r="AA1995" t="n">
        <v>2.5</v>
      </c>
      <c r="AB1995" t="n">
        <v>9.5</v>
      </c>
    </row>
    <row r="1996">
      <c r="A1996" t="inlineStr">
        <is>
          <t>2026-09-24 18:09:14</t>
        </is>
      </c>
      <c r="B1996" t="inlineStr">
        <is>
          <t>MLLB_000_y1.0.3</t>
        </is>
      </c>
      <c r="C1996" t="inlineStr">
        <is>
          <t>WHITE</t>
        </is>
      </c>
      <c r="D1996" t="inlineStr">
        <is>
          <t>v4_white_MLLB_000_y103_0924</t>
        </is>
      </c>
      <c r="E1996" t="n">
        <v>2.8</v>
      </c>
      <c r="F1996" t="n">
        <v>2.808</v>
      </c>
      <c r="G1996" t="n">
        <v>6</v>
      </c>
      <c r="H1996" t="n">
        <v>80</v>
      </c>
      <c r="I1996" t="n">
        <v>20</v>
      </c>
      <c r="J1996" t="inlineStr">
        <is>
          <t>kaba</t>
        </is>
      </c>
      <c r="K1996" t="b">
        <v>1</v>
      </c>
      <c r="M1996" t="n">
        <v>318</v>
      </c>
      <c r="N1996" t="n">
        <v>40</v>
      </c>
      <c r="O1996" t="n">
        <v>294</v>
      </c>
      <c r="P1996" t="n">
        <v>684</v>
      </c>
      <c r="Q1996" t="n">
        <v>1002</v>
      </c>
      <c r="R1996" t="n">
        <v>1.098</v>
      </c>
      <c r="S1996" t="n">
        <v>10.254</v>
      </c>
      <c r="T1996" t="n">
        <v>9.342000000000001</v>
      </c>
      <c r="U1996" t="n">
        <v>0.778</v>
      </c>
      <c r="V1996" t="b">
        <v>1</v>
      </c>
      <c r="X1996" t="b">
        <v>0</v>
      </c>
      <c r="Y1996" t="inlineStr">
        <is>
          <t>AKIM</t>
        </is>
      </c>
      <c r="Z1996" t="n">
        <v>935</v>
      </c>
      <c r="AA1996" t="n">
        <v>2.5</v>
      </c>
      <c r="AB1996" t="n">
        <v>9.5</v>
      </c>
    </row>
    <row r="1997">
      <c r="A1997" t="inlineStr">
        <is>
          <t>2026-09-24 18:09:30</t>
        </is>
      </c>
      <c r="B1997" t="inlineStr">
        <is>
          <t>MLLB_000_y1.0.3</t>
        </is>
      </c>
      <c r="C1997" t="inlineStr">
        <is>
          <t>WHITE</t>
        </is>
      </c>
      <c r="D1997" t="inlineStr">
        <is>
          <t>v4_white_MLLB_000_y103_0924</t>
        </is>
      </c>
      <c r="E1997" t="n">
        <v>2.8</v>
      </c>
      <c r="F1997" t="n">
        <v>2.808</v>
      </c>
      <c r="G1997" t="n">
        <v>6</v>
      </c>
      <c r="H1997" t="n">
        <v>80</v>
      </c>
      <c r="I1997" t="n">
        <v>24</v>
      </c>
      <c r="J1997" t="inlineStr">
        <is>
          <t>kaba</t>
        </is>
      </c>
      <c r="K1997" t="b">
        <v>1</v>
      </c>
      <c r="M1997" t="n">
        <v>248</v>
      </c>
      <c r="N1997" t="n">
        <v>42</v>
      </c>
      <c r="O1997" t="n">
        <v>226</v>
      </c>
      <c r="P1997" t="n">
        <v>754</v>
      </c>
      <c r="Q1997" t="n">
        <v>1002</v>
      </c>
      <c r="R1997" t="n">
        <v>1.094</v>
      </c>
      <c r="S1997" t="n">
        <v>10.262</v>
      </c>
      <c r="T1997" t="n">
        <v>9.382</v>
      </c>
      <c r="U1997" t="n">
        <v>0.778</v>
      </c>
      <c r="V1997" t="b">
        <v>1</v>
      </c>
      <c r="X1997" t="b">
        <v>0</v>
      </c>
      <c r="Y1997" t="inlineStr">
        <is>
          <t>AKIM</t>
        </is>
      </c>
      <c r="Z1997" t="n">
        <v>935</v>
      </c>
      <c r="AA1997" t="n">
        <v>2.5</v>
      </c>
      <c r="AB1997" t="n">
        <v>9.5</v>
      </c>
    </row>
    <row r="1998">
      <c r="A1998" t="inlineStr">
        <is>
          <t>2026-09-24 18:09:46</t>
        </is>
      </c>
      <c r="B1998" t="inlineStr">
        <is>
          <t>MLLB_000_y1.0.3</t>
        </is>
      </c>
      <c r="C1998" t="inlineStr">
        <is>
          <t>WHITE</t>
        </is>
      </c>
      <c r="D1998" t="inlineStr">
        <is>
          <t>v4_white_MLLB_000_y103_0924</t>
        </is>
      </c>
      <c r="E1998" t="n">
        <v>2.8</v>
      </c>
      <c r="F1998" t="n">
        <v>2.808</v>
      </c>
      <c r="G1998" t="n">
        <v>6</v>
      </c>
      <c r="H1998" t="n">
        <v>80</v>
      </c>
      <c r="I1998" t="n">
        <v>28</v>
      </c>
      <c r="J1998" t="inlineStr">
        <is>
          <t>kaba</t>
        </is>
      </c>
      <c r="K1998" t="b">
        <v>1</v>
      </c>
      <c r="M1998" t="n">
        <v>178</v>
      </c>
      <c r="N1998" t="n">
        <v>40</v>
      </c>
      <c r="O1998" t="n">
        <v>154</v>
      </c>
      <c r="P1998" t="n">
        <v>824</v>
      </c>
      <c r="Q1998" t="n">
        <v>1002</v>
      </c>
      <c r="R1998" t="n">
        <v>1.088</v>
      </c>
      <c r="S1998" t="n">
        <v>10.234</v>
      </c>
      <c r="T1998" t="n">
        <v>9.407</v>
      </c>
      <c r="U1998" t="n">
        <v>0.7772</v>
      </c>
      <c r="V1998" t="b">
        <v>1</v>
      </c>
      <c r="X1998" t="b">
        <v>0</v>
      </c>
      <c r="Y1998" t="inlineStr">
        <is>
          <t>AKIM</t>
        </is>
      </c>
      <c r="Z1998" t="n">
        <v>935</v>
      </c>
      <c r="AA1998" t="n">
        <v>2.5</v>
      </c>
      <c r="AB1998" t="n">
        <v>9.5</v>
      </c>
    </row>
    <row r="1999">
      <c r="A1999" t="inlineStr">
        <is>
          <t>2026-09-24 18:10:02</t>
        </is>
      </c>
      <c r="B1999" t="inlineStr">
        <is>
          <t>MLLB_000_y1.0.3</t>
        </is>
      </c>
      <c r="C1999" t="inlineStr">
        <is>
          <t>WHITE</t>
        </is>
      </c>
      <c r="D1999" t="inlineStr">
        <is>
          <t>v4_white_MLLB_000_y103_0924</t>
        </is>
      </c>
      <c r="E1999" t="n">
        <v>2.8</v>
      </c>
      <c r="F1999" t="n">
        <v>2.808</v>
      </c>
      <c r="G1999" t="n">
        <v>6</v>
      </c>
      <c r="H1999" t="n">
        <v>80</v>
      </c>
      <c r="I1999" t="n">
        <v>32</v>
      </c>
      <c r="J1999" t="inlineStr">
        <is>
          <t>kaba</t>
        </is>
      </c>
      <c r="K1999" t="b">
        <v>1</v>
      </c>
      <c r="M1999" t="n">
        <v>104</v>
      </c>
      <c r="N1999" t="n">
        <v>42</v>
      </c>
      <c r="O1999" t="n">
        <v>82</v>
      </c>
      <c r="P1999" t="n">
        <v>898</v>
      </c>
      <c r="Q1999" t="n">
        <v>1002</v>
      </c>
      <c r="R1999" t="n">
        <v>1.085</v>
      </c>
      <c r="S1999" t="n">
        <v>10.234</v>
      </c>
      <c r="T1999" t="n">
        <v>9.430999999999999</v>
      </c>
      <c r="U1999" t="n">
        <v>0.7771</v>
      </c>
      <c r="V1999" t="b">
        <v>1</v>
      </c>
      <c r="X1999" t="b">
        <v>0</v>
      </c>
      <c r="Y1999" t="inlineStr">
        <is>
          <t>AKIM</t>
        </is>
      </c>
      <c r="Z1999" t="n">
        <v>935</v>
      </c>
      <c r="AA1999" t="n">
        <v>2.5</v>
      </c>
      <c r="AB1999" t="n">
        <v>9.5</v>
      </c>
    </row>
    <row r="2000">
      <c r="A2000" t="inlineStr">
        <is>
          <t>2026-09-24 18:10:18</t>
        </is>
      </c>
      <c r="B2000" t="inlineStr">
        <is>
          <t>MLLB_000_y1.0.3</t>
        </is>
      </c>
      <c r="C2000" t="inlineStr">
        <is>
          <t>WHITE</t>
        </is>
      </c>
      <c r="D2000" t="inlineStr">
        <is>
          <t>v4_white_MLLB_000_y103_0924</t>
        </is>
      </c>
      <c r="E2000" t="n">
        <v>2.8</v>
      </c>
      <c r="F2000" t="n">
        <v>2.808</v>
      </c>
      <c r="G2000" t="n">
        <v>6</v>
      </c>
      <c r="H2000" t="n">
        <v>80</v>
      </c>
      <c r="I2000" t="n">
        <v>36</v>
      </c>
      <c r="J2000" t="inlineStr">
        <is>
          <t>kaba</t>
        </is>
      </c>
      <c r="K2000" t="b">
        <v>1</v>
      </c>
      <c r="M2000" t="n">
        <v>42</v>
      </c>
      <c r="N2000" t="n">
        <v>28</v>
      </c>
      <c r="O2000" t="n">
        <v>22</v>
      </c>
      <c r="P2000" t="n">
        <v>960</v>
      </c>
      <c r="Q2000" t="n">
        <v>1002</v>
      </c>
      <c r="R2000" t="n">
        <v>1.914</v>
      </c>
      <c r="S2000" t="n">
        <v>18.118</v>
      </c>
      <c r="T2000" t="n">
        <v>9.468999999999999</v>
      </c>
      <c r="U2000" t="n">
        <v>0.7774</v>
      </c>
      <c r="V2000" t="b">
        <v>1</v>
      </c>
      <c r="X2000" t="b">
        <v>0</v>
      </c>
      <c r="Y2000" t="inlineStr">
        <is>
          <t>AKIM</t>
        </is>
      </c>
      <c r="Z2000" t="n">
        <v>935</v>
      </c>
      <c r="AA2000" t="n">
        <v>2.5</v>
      </c>
      <c r="AB2000" t="n">
        <v>9.5</v>
      </c>
    </row>
    <row r="2001">
      <c r="A2001" t="inlineStr">
        <is>
          <t>2026-09-24 18:10:30</t>
        </is>
      </c>
      <c r="B2001" t="inlineStr">
        <is>
          <t>MLLB_000_y1.0.3</t>
        </is>
      </c>
      <c r="C2001" t="inlineStr">
        <is>
          <t>WHITE</t>
        </is>
      </c>
      <c r="D2001" t="inlineStr">
        <is>
          <t>v4_white_MLLB_000_y103_0924</t>
        </is>
      </c>
      <c r="E2001" t="n">
        <v>2.8</v>
      </c>
      <c r="F2001" t="n">
        <v>2.808</v>
      </c>
      <c r="G2001" t="n">
        <v>6</v>
      </c>
      <c r="H2001" t="n">
        <v>80</v>
      </c>
      <c r="I2001" t="n">
        <v>40</v>
      </c>
      <c r="J2001" t="inlineStr">
        <is>
          <t>kaba</t>
        </is>
      </c>
      <c r="K2001" t="b">
        <v>1</v>
      </c>
      <c r="M2001" t="n">
        <v>42</v>
      </c>
      <c r="N2001" t="n">
        <v>28</v>
      </c>
      <c r="O2001" t="n">
        <v>22</v>
      </c>
      <c r="P2001" t="n">
        <v>960</v>
      </c>
      <c r="Q2001" t="n">
        <v>1002</v>
      </c>
      <c r="R2001" t="n">
        <v>11.93</v>
      </c>
      <c r="S2001" t="n">
        <v>112.737</v>
      </c>
      <c r="T2001" t="n">
        <v>9.449999999999999</v>
      </c>
      <c r="U2001" t="n">
        <v>0.7773</v>
      </c>
      <c r="V2001" t="b">
        <v>1</v>
      </c>
      <c r="X2001" t="b">
        <v>0</v>
      </c>
      <c r="Y2001" t="inlineStr">
        <is>
          <t>AKIM</t>
        </is>
      </c>
      <c r="Z2001" t="n">
        <v>935</v>
      </c>
      <c r="AA2001" t="n">
        <v>2.5</v>
      </c>
      <c r="AB2001" t="n">
        <v>9.5</v>
      </c>
    </row>
    <row r="2002">
      <c r="A2002" t="inlineStr">
        <is>
          <t>2026-09-24 18:10:46</t>
        </is>
      </c>
      <c r="B2002" t="inlineStr">
        <is>
          <t>MLLB_000_y1.0.3</t>
        </is>
      </c>
      <c r="C2002" t="inlineStr">
        <is>
          <t>WHITE</t>
        </is>
      </c>
      <c r="D2002" t="inlineStr">
        <is>
          <t>v4_white_MLLB_000_y103_0924</t>
        </is>
      </c>
      <c r="E2002" t="n">
        <v>2.8</v>
      </c>
      <c r="F2002" t="n">
        <v>2.808</v>
      </c>
      <c r="G2002" t="n">
        <v>6</v>
      </c>
      <c r="H2002" t="n">
        <v>80</v>
      </c>
      <c r="I2002" t="n">
        <v>33</v>
      </c>
      <c r="J2002" t="inlineStr">
        <is>
          <t>ince</t>
        </is>
      </c>
      <c r="K2002" t="b">
        <v>1</v>
      </c>
      <c r="M2002" t="n">
        <v>86</v>
      </c>
      <c r="N2002" t="n">
        <v>40</v>
      </c>
      <c r="O2002" t="n">
        <v>62</v>
      </c>
      <c r="P2002" t="n">
        <v>916</v>
      </c>
      <c r="Q2002" t="n">
        <v>1002</v>
      </c>
      <c r="R2002" t="n">
        <v>1.085</v>
      </c>
      <c r="S2002" t="n">
        <v>10.234</v>
      </c>
      <c r="T2002" t="n">
        <v>9.429</v>
      </c>
      <c r="U2002" t="n">
        <v>0.7772</v>
      </c>
      <c r="V2002" t="b">
        <v>1</v>
      </c>
      <c r="X2002" t="b">
        <v>0</v>
      </c>
      <c r="Y2002" t="inlineStr">
        <is>
          <t>AKIM</t>
        </is>
      </c>
      <c r="Z2002" t="n">
        <v>935</v>
      </c>
      <c r="AA2002" t="n">
        <v>2.5</v>
      </c>
      <c r="AB2002" t="n">
        <v>9.5</v>
      </c>
    </row>
    <row r="2003">
      <c r="A2003" t="inlineStr">
        <is>
          <t>2026-09-24 18:11:02</t>
        </is>
      </c>
      <c r="B2003" t="inlineStr">
        <is>
          <t>MLLB_000_y1.0.3</t>
        </is>
      </c>
      <c r="C2003" t="inlineStr">
        <is>
          <t>WHITE</t>
        </is>
      </c>
      <c r="D2003" t="inlineStr">
        <is>
          <t>v4_white_MLLB_000_y103_0924</t>
        </is>
      </c>
      <c r="E2003" t="n">
        <v>2.8</v>
      </c>
      <c r="F2003" t="n">
        <v>2.808</v>
      </c>
      <c r="G2003" t="n">
        <v>6</v>
      </c>
      <c r="H2003" t="n">
        <v>80</v>
      </c>
      <c r="I2003" t="n">
        <v>34</v>
      </c>
      <c r="J2003" t="inlineStr">
        <is>
          <t>ince</t>
        </is>
      </c>
      <c r="K2003" t="b">
        <v>1</v>
      </c>
      <c r="M2003" t="n">
        <v>66</v>
      </c>
      <c r="N2003" t="n">
        <v>40</v>
      </c>
      <c r="O2003" t="n">
        <v>42</v>
      </c>
      <c r="P2003" t="n">
        <v>936</v>
      </c>
      <c r="Q2003" t="n">
        <v>1002</v>
      </c>
      <c r="R2003" t="n">
        <v>1.084</v>
      </c>
      <c r="S2003" t="n">
        <v>10.235</v>
      </c>
      <c r="T2003" t="n">
        <v>9.439</v>
      </c>
      <c r="U2003" t="n">
        <v>0.7771</v>
      </c>
      <c r="V2003" t="b">
        <v>1</v>
      </c>
      <c r="X2003" t="b">
        <v>0</v>
      </c>
      <c r="Y2003" t="inlineStr">
        <is>
          <t>AKIM</t>
        </is>
      </c>
      <c r="Z2003" t="n">
        <v>935</v>
      </c>
      <c r="AA2003" t="n">
        <v>2.5</v>
      </c>
      <c r="AB2003" t="n">
        <v>9.5</v>
      </c>
    </row>
    <row r="2004">
      <c r="A2004" t="inlineStr">
        <is>
          <t>2026-09-24 18:11:18</t>
        </is>
      </c>
      <c r="B2004" t="inlineStr">
        <is>
          <t>MLLB_000_y1.0.3</t>
        </is>
      </c>
      <c r="C2004" t="inlineStr">
        <is>
          <t>WHITE</t>
        </is>
      </c>
      <c r="D2004" t="inlineStr">
        <is>
          <t>v4_white_MLLB_000_y103_0924</t>
        </is>
      </c>
      <c r="E2004" t="n">
        <v>2.8</v>
      </c>
      <c r="F2004" t="n">
        <v>2.808</v>
      </c>
      <c r="G2004" t="n">
        <v>6</v>
      </c>
      <c r="H2004" t="n">
        <v>80</v>
      </c>
      <c r="I2004" t="n">
        <v>35</v>
      </c>
      <c r="J2004" t="inlineStr">
        <is>
          <t>ince</t>
        </is>
      </c>
      <c r="K2004" t="b">
        <v>1</v>
      </c>
      <c r="M2004" t="n">
        <v>46</v>
      </c>
      <c r="N2004" t="n">
        <v>38</v>
      </c>
      <c r="O2004" t="n">
        <v>24</v>
      </c>
      <c r="P2004" t="n">
        <v>956</v>
      </c>
      <c r="Q2004" t="n">
        <v>1002</v>
      </c>
      <c r="R2004" t="n">
        <v>1.085</v>
      </c>
      <c r="S2004" t="n">
        <v>10.246</v>
      </c>
      <c r="T2004" t="n">
        <v>9.446</v>
      </c>
      <c r="U2004" t="n">
        <v>0.7774</v>
      </c>
      <c r="V2004" t="b">
        <v>1</v>
      </c>
      <c r="X2004" t="b">
        <v>0</v>
      </c>
      <c r="Y2004" t="inlineStr">
        <is>
          <t>AKIM</t>
        </is>
      </c>
      <c r="Z2004" t="n">
        <v>935</v>
      </c>
      <c r="AA2004" t="n">
        <v>2.5</v>
      </c>
      <c r="AB2004" t="n">
        <v>9.5</v>
      </c>
    </row>
    <row r="2005">
      <c r="A2005" t="inlineStr">
        <is>
          <t>2026-09-24 18:11:34</t>
        </is>
      </c>
      <c r="B2005" t="inlineStr">
        <is>
          <t>MLLB_000_y1.0.3</t>
        </is>
      </c>
      <c r="C2005" t="inlineStr">
        <is>
          <t>WHITE</t>
        </is>
      </c>
      <c r="D2005" t="inlineStr">
        <is>
          <t>v4_white_MLLB_000_y103_0924</t>
        </is>
      </c>
      <c r="E2005" t="n">
        <v>2.8</v>
      </c>
      <c r="F2005" t="n">
        <v>2.808</v>
      </c>
      <c r="G2005" t="n">
        <v>6</v>
      </c>
      <c r="H2005" t="n">
        <v>80</v>
      </c>
      <c r="I2005" t="n">
        <v>37</v>
      </c>
      <c r="J2005" t="inlineStr">
        <is>
          <t>ince</t>
        </is>
      </c>
      <c r="K2005" t="b">
        <v>1</v>
      </c>
      <c r="M2005" t="n">
        <v>42</v>
      </c>
      <c r="N2005" t="n">
        <v>28</v>
      </c>
      <c r="O2005" t="n">
        <v>22</v>
      </c>
      <c r="P2005" t="n">
        <v>960</v>
      </c>
      <c r="Q2005" t="n">
        <v>1002</v>
      </c>
      <c r="R2005" t="n">
        <v>4.916</v>
      </c>
      <c r="S2005" t="n">
        <v>46.478</v>
      </c>
      <c r="T2005" t="n">
        <v>9.454000000000001</v>
      </c>
      <c r="U2005" t="n">
        <v>0.7769</v>
      </c>
      <c r="V2005" t="b">
        <v>1</v>
      </c>
      <c r="X2005" t="b">
        <v>0</v>
      </c>
      <c r="Y2005" t="inlineStr">
        <is>
          <t>AKIM</t>
        </is>
      </c>
      <c r="Z2005" t="n">
        <v>935</v>
      </c>
      <c r="AA2005" t="n">
        <v>2.5</v>
      </c>
      <c r="AB2005" t="n">
        <v>9.5</v>
      </c>
    </row>
    <row r="2006">
      <c r="A2006" t="inlineStr">
        <is>
          <t>2026-09-24 18:11:50</t>
        </is>
      </c>
      <c r="B2006" t="inlineStr">
        <is>
          <t>MLLB_000_y1.0.3</t>
        </is>
      </c>
      <c r="C2006" t="inlineStr">
        <is>
          <t>WHITE</t>
        </is>
      </c>
      <c r="D2006" t="inlineStr">
        <is>
          <t>v4_white_MLLB_000_y103_0924</t>
        </is>
      </c>
      <c r="E2006" t="n">
        <v>2.8</v>
      </c>
      <c r="F2006" t="n">
        <v>2.808</v>
      </c>
      <c r="G2006" t="n">
        <v>6</v>
      </c>
      <c r="H2006" t="n">
        <v>80</v>
      </c>
      <c r="I2006" t="n">
        <v>38</v>
      </c>
      <c r="J2006" t="inlineStr">
        <is>
          <t>ince</t>
        </is>
      </c>
      <c r="K2006" t="b">
        <v>1</v>
      </c>
      <c r="M2006" t="n">
        <v>42</v>
      </c>
      <c r="N2006" t="n">
        <v>28</v>
      </c>
      <c r="O2006" t="n">
        <v>22</v>
      </c>
      <c r="P2006" t="n">
        <v>960</v>
      </c>
      <c r="Q2006" t="n">
        <v>1002</v>
      </c>
      <c r="R2006" t="n">
        <v>9.404</v>
      </c>
      <c r="S2006" t="n">
        <v>88.65600000000001</v>
      </c>
      <c r="T2006" t="n">
        <v>9.427</v>
      </c>
      <c r="U2006" t="n">
        <v>0.7779</v>
      </c>
      <c r="V2006" t="b">
        <v>1</v>
      </c>
      <c r="X2006" t="b">
        <v>0</v>
      </c>
      <c r="Y2006" t="inlineStr">
        <is>
          <t>AKIM</t>
        </is>
      </c>
      <c r="Z2006" t="n">
        <v>935</v>
      </c>
      <c r="AA2006" t="n">
        <v>2.5</v>
      </c>
      <c r="AB2006" t="n">
        <v>9.5</v>
      </c>
    </row>
    <row r="2007">
      <c r="A2007" t="inlineStr">
        <is>
          <t>2026-09-24 18:12:06</t>
        </is>
      </c>
      <c r="B2007" t="inlineStr">
        <is>
          <t>MLLB_000_y1.0.3</t>
        </is>
      </c>
      <c r="C2007" t="inlineStr">
        <is>
          <t>WHITE</t>
        </is>
      </c>
      <c r="D2007" t="inlineStr">
        <is>
          <t>v4_white_MLLB_000_y103_0924</t>
        </is>
      </c>
      <c r="E2007" t="n">
        <v>2.8</v>
      </c>
      <c r="F2007" t="n">
        <v>2.808</v>
      </c>
      <c r="G2007" t="n">
        <v>6</v>
      </c>
      <c r="H2007" t="n">
        <v>80</v>
      </c>
      <c r="I2007" t="n">
        <v>39</v>
      </c>
      <c r="J2007" t="inlineStr">
        <is>
          <t>ince</t>
        </is>
      </c>
      <c r="K2007" t="b">
        <v>1</v>
      </c>
      <c r="M2007" t="n">
        <v>42</v>
      </c>
      <c r="N2007" t="n">
        <v>28</v>
      </c>
      <c r="O2007" t="n">
        <v>22</v>
      </c>
      <c r="P2007" t="n">
        <v>960</v>
      </c>
      <c r="Q2007" t="n">
        <v>1002</v>
      </c>
      <c r="R2007" t="n">
        <v>10.757</v>
      </c>
      <c r="S2007" t="n">
        <v>101.437</v>
      </c>
      <c r="T2007" t="n">
        <v>9.43</v>
      </c>
      <c r="U2007" t="n">
        <v>0.7773</v>
      </c>
      <c r="V2007" t="b">
        <v>1</v>
      </c>
      <c r="X2007" t="b">
        <v>0</v>
      </c>
      <c r="Y2007" t="inlineStr">
        <is>
          <t>AKIM</t>
        </is>
      </c>
      <c r="Z2007" t="n">
        <v>935</v>
      </c>
      <c r="AA2007" t="n">
        <v>2.5</v>
      </c>
      <c r="AB2007" t="n">
        <v>9.5</v>
      </c>
    </row>
    <row r="2008">
      <c r="A2008" t="inlineStr">
        <is>
          <t>2026-09-24 18:12:06</t>
        </is>
      </c>
      <c r="B2008" t="inlineStr">
        <is>
          <t>MLLB_000_y1.0.3</t>
        </is>
      </c>
      <c r="C2008" t="inlineStr">
        <is>
          <t>WHITE</t>
        </is>
      </c>
      <c r="D2008" t="inlineStr">
        <is>
          <t>v4_white_MLLB_000_y103_0924</t>
        </is>
      </c>
      <c r="E2008" t="n">
        <v>2.8</v>
      </c>
      <c r="F2008" t="n">
        <v>2.808</v>
      </c>
      <c r="G2008" t="n">
        <v>6</v>
      </c>
      <c r="H2008" t="n">
        <v>80</v>
      </c>
      <c r="J2008" t="inlineStr">
        <is>
          <t>bitti</t>
        </is>
      </c>
      <c r="K2008" t="b">
        <v>0</v>
      </c>
      <c r="Z2008" t="n">
        <v>935</v>
      </c>
      <c r="AA2008" t="n">
        <v>2.5</v>
      </c>
      <c r="AB2008" t="n">
        <v>9.5</v>
      </c>
    </row>
    <row r="2009">
      <c r="A2009" t="inlineStr">
        <is>
          <t>2026-09-24 18:12:22</t>
        </is>
      </c>
      <c r="B2009" t="inlineStr">
        <is>
          <t>MLLB_000_y1.0.3</t>
        </is>
      </c>
      <c r="C2009" t="inlineStr">
        <is>
          <t>WHITE</t>
        </is>
      </c>
      <c r="D2009" t="inlineStr">
        <is>
          <t>v4_white_MLLB_000_y103_0924</t>
        </is>
      </c>
      <c r="E2009" t="n">
        <v>2.8</v>
      </c>
      <c r="F2009" t="n">
        <v>2.808</v>
      </c>
      <c r="G2009" t="n">
        <v>6</v>
      </c>
      <c r="H2009" t="n">
        <v>60</v>
      </c>
      <c r="I2009" t="n">
        <v>12</v>
      </c>
      <c r="J2009" t="inlineStr">
        <is>
          <t>kaba</t>
        </is>
      </c>
      <c r="K2009" t="b">
        <v>1</v>
      </c>
      <c r="M2009" t="n">
        <v>502</v>
      </c>
      <c r="N2009" t="n">
        <v>42</v>
      </c>
      <c r="O2009" t="n">
        <v>478</v>
      </c>
      <c r="P2009" t="n">
        <v>500</v>
      </c>
      <c r="Q2009" t="n">
        <v>1002</v>
      </c>
      <c r="R2009" t="n">
        <v>1.114</v>
      </c>
      <c r="S2009" t="n">
        <v>10.234</v>
      </c>
      <c r="T2009" t="n">
        <v>9.183999999999999</v>
      </c>
      <c r="U2009" t="n">
        <v>0.7775</v>
      </c>
      <c r="V2009" t="b">
        <v>1</v>
      </c>
      <c r="X2009" t="b">
        <v>0</v>
      </c>
      <c r="Y2009" t="inlineStr">
        <is>
          <t>AKIM</t>
        </is>
      </c>
      <c r="Z2009" t="n">
        <v>935</v>
      </c>
      <c r="AA2009" t="n">
        <v>2.5</v>
      </c>
      <c r="AB2009" t="n">
        <v>9.5</v>
      </c>
    </row>
    <row r="2010">
      <c r="A2010" t="inlineStr">
        <is>
          <t>2026-09-24 18:12:34</t>
        </is>
      </c>
      <c r="B2010" t="inlineStr">
        <is>
          <t>MLLB_000_y1.0.3</t>
        </is>
      </c>
      <c r="C2010" t="inlineStr">
        <is>
          <t>WHITE</t>
        </is>
      </c>
      <c r="D2010" t="inlineStr">
        <is>
          <t>v4_white_MLLB_000_y103_0924</t>
        </is>
      </c>
      <c r="E2010" t="n">
        <v>2.8</v>
      </c>
      <c r="F2010" t="n">
        <v>2.808</v>
      </c>
      <c r="G2010" t="n">
        <v>6</v>
      </c>
      <c r="H2010" t="n">
        <v>60</v>
      </c>
      <c r="I2010" t="n">
        <v>16</v>
      </c>
      <c r="J2010" t="inlineStr">
        <is>
          <t>kaba</t>
        </is>
      </c>
      <c r="K2010" t="b">
        <v>1</v>
      </c>
      <c r="M2010" t="n">
        <v>454</v>
      </c>
      <c r="N2010" t="n">
        <v>42</v>
      </c>
      <c r="O2010" t="n">
        <v>430</v>
      </c>
      <c r="P2010" t="n">
        <v>548</v>
      </c>
      <c r="Q2010" t="n">
        <v>1002</v>
      </c>
      <c r="R2010" t="n">
        <v>1.08</v>
      </c>
      <c r="S2010" t="n">
        <v>10.249</v>
      </c>
      <c r="T2010" t="n">
        <v>9.49</v>
      </c>
      <c r="U2010" t="n">
        <v>0.7776</v>
      </c>
      <c r="V2010" t="b">
        <v>1</v>
      </c>
      <c r="X2010" t="b">
        <v>0</v>
      </c>
      <c r="Y2010" t="inlineStr">
        <is>
          <t>AKIM</t>
        </is>
      </c>
      <c r="Z2010" t="n">
        <v>935</v>
      </c>
      <c r="AA2010" t="n">
        <v>2.5</v>
      </c>
      <c r="AB2010" t="n">
        <v>9.5</v>
      </c>
    </row>
    <row r="2011">
      <c r="A2011" t="inlineStr">
        <is>
          <t>2026-09-24 18:12:50</t>
        </is>
      </c>
      <c r="B2011" t="inlineStr">
        <is>
          <t>MLLB_000_y1.0.3</t>
        </is>
      </c>
      <c r="C2011" t="inlineStr">
        <is>
          <t>WHITE</t>
        </is>
      </c>
      <c r="D2011" t="inlineStr">
        <is>
          <t>v4_white_MLLB_000_y103_0924</t>
        </is>
      </c>
      <c r="E2011" t="n">
        <v>2.8</v>
      </c>
      <c r="F2011" t="n">
        <v>2.808</v>
      </c>
      <c r="G2011" t="n">
        <v>6</v>
      </c>
      <c r="H2011" t="n">
        <v>60</v>
      </c>
      <c r="I2011" t="n">
        <v>20</v>
      </c>
      <c r="J2011" t="inlineStr">
        <is>
          <t>kaba</t>
        </is>
      </c>
      <c r="K2011" t="b">
        <v>1</v>
      </c>
      <c r="M2011" t="n">
        <v>402</v>
      </c>
      <c r="N2011" t="n">
        <v>40</v>
      </c>
      <c r="O2011" t="n">
        <v>378</v>
      </c>
      <c r="P2011" t="n">
        <v>600</v>
      </c>
      <c r="Q2011" t="n">
        <v>1002</v>
      </c>
      <c r="R2011" t="n">
        <v>1.104</v>
      </c>
      <c r="S2011" t="n">
        <v>10.234</v>
      </c>
      <c r="T2011" t="n">
        <v>9.266</v>
      </c>
      <c r="U2011" t="n">
        <v>0.7776</v>
      </c>
      <c r="V2011" t="b">
        <v>1</v>
      </c>
      <c r="X2011" t="b">
        <v>0</v>
      </c>
      <c r="Y2011" t="inlineStr">
        <is>
          <t>AKIM</t>
        </is>
      </c>
      <c r="Z2011" t="n">
        <v>935</v>
      </c>
      <c r="AA2011" t="n">
        <v>2.5</v>
      </c>
      <c r="AB2011" t="n">
        <v>9.5</v>
      </c>
    </row>
    <row r="2012">
      <c r="A2012" t="inlineStr">
        <is>
          <t>2026-09-24 18:13:06</t>
        </is>
      </c>
      <c r="B2012" t="inlineStr">
        <is>
          <t>MLLB_000_y1.0.3</t>
        </is>
      </c>
      <c r="C2012" t="inlineStr">
        <is>
          <t>WHITE</t>
        </is>
      </c>
      <c r="D2012" t="inlineStr">
        <is>
          <t>v4_white_MLLB_000_y103_0924</t>
        </is>
      </c>
      <c r="E2012" t="n">
        <v>2.8</v>
      </c>
      <c r="F2012" t="n">
        <v>2.808</v>
      </c>
      <c r="G2012" t="n">
        <v>6</v>
      </c>
      <c r="H2012" t="n">
        <v>60</v>
      </c>
      <c r="I2012" t="n">
        <v>24</v>
      </c>
      <c r="J2012" t="inlineStr">
        <is>
          <t>kaba</t>
        </is>
      </c>
      <c r="K2012" t="b">
        <v>1</v>
      </c>
      <c r="M2012" t="n">
        <v>352</v>
      </c>
      <c r="N2012" t="n">
        <v>36</v>
      </c>
      <c r="O2012" t="n">
        <v>330</v>
      </c>
      <c r="P2012" t="n">
        <v>650</v>
      </c>
      <c r="Q2012" t="n">
        <v>1002</v>
      </c>
      <c r="R2012" t="n">
        <v>1.097</v>
      </c>
      <c r="S2012" t="n">
        <v>10.234</v>
      </c>
      <c r="T2012" t="n">
        <v>9.326000000000001</v>
      </c>
      <c r="U2012" t="n">
        <v>0.7774</v>
      </c>
      <c r="V2012" t="b">
        <v>1</v>
      </c>
      <c r="X2012" t="b">
        <v>0</v>
      </c>
      <c r="Y2012" t="inlineStr">
        <is>
          <t>AKIM</t>
        </is>
      </c>
      <c r="Z2012" t="n">
        <v>935</v>
      </c>
      <c r="AA2012" t="n">
        <v>2.5</v>
      </c>
      <c r="AB2012" t="n">
        <v>9.5</v>
      </c>
    </row>
    <row r="2013">
      <c r="A2013" t="inlineStr">
        <is>
          <t>2026-09-24 18:13:18</t>
        </is>
      </c>
      <c r="B2013" t="inlineStr">
        <is>
          <t>MLLB_000_y1.0.3</t>
        </is>
      </c>
      <c r="C2013" t="inlineStr">
        <is>
          <t>WHITE</t>
        </is>
      </c>
      <c r="D2013" t="inlineStr">
        <is>
          <t>v4_white_MLLB_000_y103_0924</t>
        </is>
      </c>
      <c r="E2013" t="n">
        <v>2.8</v>
      </c>
      <c r="F2013" t="n">
        <v>2.808</v>
      </c>
      <c r="G2013" t="n">
        <v>6</v>
      </c>
      <c r="H2013" t="n">
        <v>60</v>
      </c>
      <c r="I2013" t="n">
        <v>28</v>
      </c>
      <c r="J2013" t="inlineStr">
        <is>
          <t>kaba</t>
        </is>
      </c>
      <c r="K2013" t="b">
        <v>1</v>
      </c>
      <c r="M2013" t="n">
        <v>300</v>
      </c>
      <c r="N2013" t="n">
        <v>42</v>
      </c>
      <c r="O2013" t="n">
        <v>278</v>
      </c>
      <c r="P2013" t="n">
        <v>702</v>
      </c>
      <c r="Q2013" t="n">
        <v>1002</v>
      </c>
      <c r="R2013" t="n">
        <v>1.102</v>
      </c>
      <c r="S2013" t="n">
        <v>10.279</v>
      </c>
      <c r="T2013" t="n">
        <v>9.33</v>
      </c>
      <c r="U2013" t="n">
        <v>0.7776</v>
      </c>
      <c r="V2013" t="b">
        <v>1</v>
      </c>
      <c r="X2013" t="b">
        <v>0</v>
      </c>
      <c r="Y2013" t="inlineStr">
        <is>
          <t>AKIM</t>
        </is>
      </c>
      <c r="Z2013" t="n">
        <v>935</v>
      </c>
      <c r="AA2013" t="n">
        <v>2.5</v>
      </c>
      <c r="AB2013" t="n">
        <v>9.5</v>
      </c>
    </row>
    <row r="2014">
      <c r="A2014" t="inlineStr">
        <is>
          <t>2026-09-24 18:13:34</t>
        </is>
      </c>
      <c r="B2014" t="inlineStr">
        <is>
          <t>MLLB_000_y1.0.3</t>
        </is>
      </c>
      <c r="C2014" t="inlineStr">
        <is>
          <t>WHITE</t>
        </is>
      </c>
      <c r="D2014" t="inlineStr">
        <is>
          <t>v4_white_MLLB_000_y103_0924</t>
        </is>
      </c>
      <c r="E2014" t="n">
        <v>2.8</v>
      </c>
      <c r="F2014" t="n">
        <v>2.808</v>
      </c>
      <c r="G2014" t="n">
        <v>6</v>
      </c>
      <c r="H2014" t="n">
        <v>60</v>
      </c>
      <c r="I2014" t="n">
        <v>32</v>
      </c>
      <c r="J2014" t="inlineStr">
        <is>
          <t>kaba</t>
        </is>
      </c>
      <c r="K2014" t="b">
        <v>1</v>
      </c>
      <c r="M2014" t="n">
        <v>248</v>
      </c>
      <c r="N2014" t="n">
        <v>42</v>
      </c>
      <c r="O2014" t="n">
        <v>226</v>
      </c>
      <c r="P2014" t="n">
        <v>754</v>
      </c>
      <c r="Q2014" t="n">
        <v>1002</v>
      </c>
      <c r="R2014" t="n">
        <v>1.091</v>
      </c>
      <c r="S2014" t="n">
        <v>10.236</v>
      </c>
      <c r="T2014" t="n">
        <v>9.385999999999999</v>
      </c>
      <c r="U2014" t="n">
        <v>0.7772</v>
      </c>
      <c r="V2014" t="b">
        <v>1</v>
      </c>
      <c r="X2014" t="b">
        <v>0</v>
      </c>
      <c r="Y2014" t="inlineStr">
        <is>
          <t>AKIM</t>
        </is>
      </c>
      <c r="Z2014" t="n">
        <v>935</v>
      </c>
      <c r="AA2014" t="n">
        <v>2.5</v>
      </c>
      <c r="AB2014" t="n">
        <v>9.5</v>
      </c>
    </row>
    <row r="2015">
      <c r="A2015" t="inlineStr">
        <is>
          <t>2026-09-24 18:13:50</t>
        </is>
      </c>
      <c r="B2015" t="inlineStr">
        <is>
          <t>MLLB_000_y1.0.3</t>
        </is>
      </c>
      <c r="C2015" t="inlineStr">
        <is>
          <t>WHITE</t>
        </is>
      </c>
      <c r="D2015" t="inlineStr">
        <is>
          <t>v4_white_MLLB_000_y103_0924</t>
        </is>
      </c>
      <c r="E2015" t="n">
        <v>2.8</v>
      </c>
      <c r="F2015" t="n">
        <v>2.808</v>
      </c>
      <c r="G2015" t="n">
        <v>6</v>
      </c>
      <c r="H2015" t="n">
        <v>60</v>
      </c>
      <c r="I2015" t="n">
        <v>36</v>
      </c>
      <c r="J2015" t="inlineStr">
        <is>
          <t>kaba</t>
        </is>
      </c>
      <c r="K2015" t="b">
        <v>1</v>
      </c>
      <c r="M2015" t="n">
        <v>196</v>
      </c>
      <c r="N2015" t="n">
        <v>42</v>
      </c>
      <c r="O2015" t="n">
        <v>174</v>
      </c>
      <c r="P2015" t="n">
        <v>806</v>
      </c>
      <c r="Q2015" t="n">
        <v>1002</v>
      </c>
      <c r="R2015" t="n">
        <v>1.089</v>
      </c>
      <c r="S2015" t="n">
        <v>10.234</v>
      </c>
      <c r="T2015" t="n">
        <v>9.398</v>
      </c>
      <c r="U2015" t="n">
        <v>0.7772</v>
      </c>
      <c r="V2015" t="b">
        <v>1</v>
      </c>
      <c r="X2015" t="b">
        <v>0</v>
      </c>
      <c r="Y2015" t="inlineStr">
        <is>
          <t>AKIM</t>
        </is>
      </c>
      <c r="Z2015" t="n">
        <v>935</v>
      </c>
      <c r="AA2015" t="n">
        <v>2.5</v>
      </c>
      <c r="AB2015" t="n">
        <v>9.5</v>
      </c>
    </row>
    <row r="2016">
      <c r="A2016" t="inlineStr">
        <is>
          <t>2026-09-24 18:14:06</t>
        </is>
      </c>
      <c r="B2016" t="inlineStr">
        <is>
          <t>MLLB_000_y1.0.3</t>
        </is>
      </c>
      <c r="C2016" t="inlineStr">
        <is>
          <t>WHITE</t>
        </is>
      </c>
      <c r="D2016" t="inlineStr">
        <is>
          <t>v4_white_MLLB_000_y103_0924</t>
        </is>
      </c>
      <c r="E2016" t="n">
        <v>2.8</v>
      </c>
      <c r="F2016" t="n">
        <v>2.808</v>
      </c>
      <c r="G2016" t="n">
        <v>6</v>
      </c>
      <c r="H2016" t="n">
        <v>60</v>
      </c>
      <c r="I2016" t="n">
        <v>40</v>
      </c>
      <c r="J2016" t="inlineStr">
        <is>
          <t>kaba</t>
        </is>
      </c>
      <c r="K2016" t="b">
        <v>1</v>
      </c>
      <c r="M2016" t="n">
        <v>142</v>
      </c>
      <c r="N2016" t="n">
        <v>38</v>
      </c>
      <c r="O2016" t="n">
        <v>120</v>
      </c>
      <c r="P2016" t="n">
        <v>860</v>
      </c>
      <c r="Q2016" t="n">
        <v>1002</v>
      </c>
      <c r="R2016" t="n">
        <v>1.088</v>
      </c>
      <c r="S2016" t="n">
        <v>10.234</v>
      </c>
      <c r="T2016" t="n">
        <v>9.409000000000001</v>
      </c>
      <c r="U2016" t="n">
        <v>0.7774</v>
      </c>
      <c r="V2016" t="b">
        <v>1</v>
      </c>
      <c r="X2016" t="b">
        <v>0</v>
      </c>
      <c r="Y2016" t="inlineStr">
        <is>
          <t>AKIM</t>
        </is>
      </c>
      <c r="Z2016" t="n">
        <v>935</v>
      </c>
      <c r="AA2016" t="n">
        <v>2.5</v>
      </c>
      <c r="AB2016" t="n">
        <v>9.5</v>
      </c>
    </row>
    <row r="2017">
      <c r="A2017" t="inlineStr">
        <is>
          <t>2026-09-24 18:14:22</t>
        </is>
      </c>
      <c r="B2017" t="inlineStr">
        <is>
          <t>MLLB_000_y1.0.3</t>
        </is>
      </c>
      <c r="C2017" t="inlineStr">
        <is>
          <t>WHITE</t>
        </is>
      </c>
      <c r="D2017" t="inlineStr">
        <is>
          <t>v4_white_MLLB_000_y103_0924</t>
        </is>
      </c>
      <c r="E2017" t="n">
        <v>2.8</v>
      </c>
      <c r="F2017" t="n">
        <v>2.808</v>
      </c>
      <c r="G2017" t="n">
        <v>6</v>
      </c>
      <c r="H2017" t="n">
        <v>60</v>
      </c>
      <c r="I2017" t="n">
        <v>44</v>
      </c>
      <c r="J2017" t="inlineStr">
        <is>
          <t>kaba</t>
        </is>
      </c>
      <c r="K2017" t="b">
        <v>1</v>
      </c>
      <c r="M2017" t="n">
        <v>90</v>
      </c>
      <c r="N2017" t="n">
        <v>40</v>
      </c>
      <c r="O2017" t="n">
        <v>66</v>
      </c>
      <c r="P2017" t="n">
        <v>912</v>
      </c>
      <c r="Q2017" t="n">
        <v>1002</v>
      </c>
      <c r="R2017" t="n">
        <v>1.085</v>
      </c>
      <c r="S2017" t="n">
        <v>10.234</v>
      </c>
      <c r="T2017" t="n">
        <v>9.43</v>
      </c>
      <c r="U2017" t="n">
        <v>0.7774</v>
      </c>
      <c r="V2017" t="b">
        <v>1</v>
      </c>
      <c r="X2017" t="b">
        <v>0</v>
      </c>
      <c r="Y2017" t="inlineStr">
        <is>
          <t>AKIM</t>
        </is>
      </c>
      <c r="Z2017" t="n">
        <v>935</v>
      </c>
      <c r="AA2017" t="n">
        <v>2.5</v>
      </c>
      <c r="AB2017" t="n">
        <v>9.5</v>
      </c>
    </row>
    <row r="2018">
      <c r="A2018" t="inlineStr">
        <is>
          <t>2026-09-24 18:14:38</t>
        </is>
      </c>
      <c r="B2018" t="inlineStr">
        <is>
          <t>MLLB_000_y1.0.3</t>
        </is>
      </c>
      <c r="C2018" t="inlineStr">
        <is>
          <t>WHITE</t>
        </is>
      </c>
      <c r="D2018" t="inlineStr">
        <is>
          <t>v4_white_MLLB_000_y103_0924</t>
        </is>
      </c>
      <c r="E2018" t="n">
        <v>2.8</v>
      </c>
      <c r="F2018" t="n">
        <v>2.808</v>
      </c>
      <c r="G2018" t="n">
        <v>6</v>
      </c>
      <c r="H2018" t="n">
        <v>60</v>
      </c>
      <c r="I2018" t="n">
        <v>48</v>
      </c>
      <c r="J2018" t="inlineStr">
        <is>
          <t>kaba</t>
        </is>
      </c>
      <c r="K2018" t="b">
        <v>1</v>
      </c>
      <c r="M2018" t="n">
        <v>54</v>
      </c>
      <c r="N2018" t="n">
        <v>28</v>
      </c>
      <c r="O2018" t="n">
        <v>34</v>
      </c>
      <c r="P2018" t="n">
        <v>948</v>
      </c>
      <c r="Q2018" t="n">
        <v>1002</v>
      </c>
      <c r="R2018" t="n">
        <v>2.973</v>
      </c>
      <c r="S2018" t="n">
        <v>28.106</v>
      </c>
      <c r="T2018" t="n">
        <v>9.452999999999999</v>
      </c>
      <c r="U2018" t="n">
        <v>0.7774</v>
      </c>
      <c r="V2018" t="b">
        <v>1</v>
      </c>
      <c r="X2018" t="b">
        <v>0</v>
      </c>
      <c r="Y2018" t="inlineStr">
        <is>
          <t>AKIM</t>
        </is>
      </c>
      <c r="Z2018" t="n">
        <v>935</v>
      </c>
      <c r="AA2018" t="n">
        <v>2.5</v>
      </c>
      <c r="AB2018" t="n">
        <v>9.5</v>
      </c>
    </row>
    <row r="2019">
      <c r="A2019" t="inlineStr">
        <is>
          <t>2026-09-24 18:14:54</t>
        </is>
      </c>
      <c r="B2019" t="inlineStr">
        <is>
          <t>MLLB_000_y1.0.3</t>
        </is>
      </c>
      <c r="C2019" t="inlineStr">
        <is>
          <t>WHITE</t>
        </is>
      </c>
      <c r="D2019" t="inlineStr">
        <is>
          <t>v4_white_MLLB_000_y103_0924</t>
        </is>
      </c>
      <c r="E2019" t="n">
        <v>2.8</v>
      </c>
      <c r="F2019" t="n">
        <v>2.808</v>
      </c>
      <c r="G2019" t="n">
        <v>6</v>
      </c>
      <c r="H2019" t="n">
        <v>60</v>
      </c>
      <c r="I2019" t="n">
        <v>52</v>
      </c>
      <c r="J2019" t="inlineStr">
        <is>
          <t>kaba</t>
        </is>
      </c>
      <c r="K2019" t="b">
        <v>1</v>
      </c>
      <c r="M2019" t="n">
        <v>54</v>
      </c>
      <c r="N2019" t="n">
        <v>28</v>
      </c>
      <c r="O2019" t="n">
        <v>34</v>
      </c>
      <c r="P2019" t="n">
        <v>948</v>
      </c>
      <c r="Q2019" t="n">
        <v>1002</v>
      </c>
      <c r="R2019" t="n">
        <v>10.438</v>
      </c>
      <c r="S2019" t="n">
        <v>98.633</v>
      </c>
      <c r="T2019" t="n">
        <v>9.449999999999999</v>
      </c>
      <c r="U2019" t="n">
        <v>0.7774</v>
      </c>
      <c r="V2019" t="b">
        <v>1</v>
      </c>
      <c r="X2019" t="b">
        <v>0</v>
      </c>
      <c r="Y2019" t="inlineStr">
        <is>
          <t>AKIM</t>
        </is>
      </c>
      <c r="Z2019" t="n">
        <v>935</v>
      </c>
      <c r="AA2019" t="n">
        <v>2.5</v>
      </c>
      <c r="AB2019" t="n">
        <v>9.5</v>
      </c>
    </row>
    <row r="2020">
      <c r="A2020" t="inlineStr">
        <is>
          <t>2026-09-24 18:15:10</t>
        </is>
      </c>
      <c r="B2020" t="inlineStr">
        <is>
          <t>MLLB_000_y1.0.3</t>
        </is>
      </c>
      <c r="C2020" t="inlineStr">
        <is>
          <t>WHITE</t>
        </is>
      </c>
      <c r="D2020" t="inlineStr">
        <is>
          <t>v4_white_MLLB_000_y103_0924</t>
        </is>
      </c>
      <c r="E2020" t="n">
        <v>2.8</v>
      </c>
      <c r="F2020" t="n">
        <v>2.808</v>
      </c>
      <c r="G2020" t="n">
        <v>6</v>
      </c>
      <c r="H2020" t="n">
        <v>60</v>
      </c>
      <c r="I2020" t="n">
        <v>45</v>
      </c>
      <c r="J2020" t="inlineStr">
        <is>
          <t>ince</t>
        </is>
      </c>
      <c r="K2020" t="b">
        <v>1</v>
      </c>
      <c r="M2020" t="n">
        <v>74</v>
      </c>
      <c r="N2020" t="n">
        <v>40</v>
      </c>
      <c r="O2020" t="n">
        <v>50</v>
      </c>
      <c r="P2020" t="n">
        <v>928</v>
      </c>
      <c r="Q2020" t="n">
        <v>1002</v>
      </c>
      <c r="R2020" t="n">
        <v>1.097</v>
      </c>
      <c r="S2020" t="n">
        <v>10.337</v>
      </c>
      <c r="T2020" t="n">
        <v>9.426</v>
      </c>
      <c r="U2020" t="n">
        <v>0.7776</v>
      </c>
      <c r="V2020" t="b">
        <v>1</v>
      </c>
      <c r="X2020" t="b">
        <v>0</v>
      </c>
      <c r="Y2020" t="inlineStr">
        <is>
          <t>AKIM</t>
        </is>
      </c>
      <c r="Z2020" t="n">
        <v>935</v>
      </c>
      <c r="AA2020" t="n">
        <v>2.5</v>
      </c>
      <c r="AB2020" t="n">
        <v>9.5</v>
      </c>
    </row>
    <row r="2021">
      <c r="A2021" t="inlineStr">
        <is>
          <t>2026-09-24 18:15:26</t>
        </is>
      </c>
      <c r="B2021" t="inlineStr">
        <is>
          <t>MLLB_000_y1.0.3</t>
        </is>
      </c>
      <c r="C2021" t="inlineStr">
        <is>
          <t>WHITE</t>
        </is>
      </c>
      <c r="D2021" t="inlineStr">
        <is>
          <t>v4_white_MLLB_000_y103_0924</t>
        </is>
      </c>
      <c r="E2021" t="n">
        <v>2.8</v>
      </c>
      <c r="F2021" t="n">
        <v>2.808</v>
      </c>
      <c r="G2021" t="n">
        <v>6</v>
      </c>
      <c r="H2021" t="n">
        <v>60</v>
      </c>
      <c r="I2021" t="n">
        <v>46</v>
      </c>
      <c r="J2021" t="inlineStr">
        <is>
          <t>ince</t>
        </is>
      </c>
      <c r="K2021" t="b">
        <v>1</v>
      </c>
      <c r="M2021" t="n">
        <v>60</v>
      </c>
      <c r="N2021" t="n">
        <v>44</v>
      </c>
      <c r="O2021" t="n">
        <v>36</v>
      </c>
      <c r="P2021" t="n">
        <v>942</v>
      </c>
      <c r="Q2021" t="n">
        <v>1002</v>
      </c>
      <c r="R2021" t="n">
        <v>1.084</v>
      </c>
      <c r="S2021" t="n">
        <v>10.241</v>
      </c>
      <c r="T2021" t="n">
        <v>9.449999999999999</v>
      </c>
      <c r="U2021" t="n">
        <v>0.7763</v>
      </c>
      <c r="V2021" t="b">
        <v>1</v>
      </c>
      <c r="X2021" t="b">
        <v>0</v>
      </c>
      <c r="Y2021" t="inlineStr">
        <is>
          <t>AKIM</t>
        </is>
      </c>
      <c r="Z2021" t="n">
        <v>935</v>
      </c>
      <c r="AA2021" t="n">
        <v>2.5</v>
      </c>
      <c r="AB2021" t="n">
        <v>9.5</v>
      </c>
    </row>
    <row r="2022">
      <c r="A2022" t="inlineStr">
        <is>
          <t>2026-09-24 18:15:42</t>
        </is>
      </c>
      <c r="B2022" t="inlineStr">
        <is>
          <t>MLLB_000_y1.0.3</t>
        </is>
      </c>
      <c r="C2022" t="inlineStr">
        <is>
          <t>WHITE</t>
        </is>
      </c>
      <c r="D2022" t="inlineStr">
        <is>
          <t>v4_white_MLLB_000_y103_0924</t>
        </is>
      </c>
      <c r="E2022" t="n">
        <v>2.8</v>
      </c>
      <c r="F2022" t="n">
        <v>2.808</v>
      </c>
      <c r="G2022" t="n">
        <v>6</v>
      </c>
      <c r="H2022" t="n">
        <v>60</v>
      </c>
      <c r="I2022" t="n">
        <v>47</v>
      </c>
      <c r="J2022" t="inlineStr">
        <is>
          <t>ince</t>
        </is>
      </c>
      <c r="K2022" t="b">
        <v>1</v>
      </c>
      <c r="M2022" t="n">
        <v>54</v>
      </c>
      <c r="N2022" t="n">
        <v>28</v>
      </c>
      <c r="O2022" t="n">
        <v>34</v>
      </c>
      <c r="P2022" t="n">
        <v>948</v>
      </c>
      <c r="Q2022" t="n">
        <v>1002</v>
      </c>
      <c r="R2022" t="n">
        <v>1.083</v>
      </c>
      <c r="S2022" t="n">
        <v>10.237</v>
      </c>
      <c r="T2022" t="n">
        <v>9.452999999999999</v>
      </c>
      <c r="U2022" t="n">
        <v>0.7769</v>
      </c>
      <c r="V2022" t="b">
        <v>1</v>
      </c>
      <c r="X2022" t="b">
        <v>0</v>
      </c>
      <c r="Y2022" t="inlineStr">
        <is>
          <t>AKIM</t>
        </is>
      </c>
      <c r="Z2022" t="n">
        <v>935</v>
      </c>
      <c r="AA2022" t="n">
        <v>2.5</v>
      </c>
      <c r="AB2022" t="n">
        <v>9.5</v>
      </c>
    </row>
    <row r="2023">
      <c r="A2023" t="inlineStr">
        <is>
          <t>2026-09-24 18:15:42</t>
        </is>
      </c>
      <c r="B2023" t="inlineStr">
        <is>
          <t>MLLB_000_y1.0.3</t>
        </is>
      </c>
      <c r="C2023" t="inlineStr">
        <is>
          <t>WHITE</t>
        </is>
      </c>
      <c r="D2023" t="inlineStr">
        <is>
          <t>v4_white_MLLB_000_y103_0924</t>
        </is>
      </c>
      <c r="E2023" t="n">
        <v>2.8</v>
      </c>
      <c r="F2023" t="n">
        <v>2.808</v>
      </c>
      <c r="G2023" t="n">
        <v>6</v>
      </c>
      <c r="H2023" t="n">
        <v>60</v>
      </c>
      <c r="J2023" t="inlineStr">
        <is>
          <t>bitti</t>
        </is>
      </c>
      <c r="K2023" t="b">
        <v>0</v>
      </c>
      <c r="Z2023" t="n">
        <v>935</v>
      </c>
      <c r="AA2023" t="n">
        <v>2.5</v>
      </c>
      <c r="AB2023" t="n">
        <v>9.5</v>
      </c>
    </row>
    <row r="2024">
      <c r="A2024" t="inlineStr">
        <is>
          <t>2026-09-24 18:16:04</t>
        </is>
      </c>
      <c r="B2024" t="inlineStr">
        <is>
          <t>MLLB_000_y1.0.3</t>
        </is>
      </c>
      <c r="C2024" t="inlineStr">
        <is>
          <t>WHITE</t>
        </is>
      </c>
      <c r="D2024" t="inlineStr">
        <is>
          <t>v4_white_MLLB_000_y103_0924</t>
        </is>
      </c>
      <c r="E2024" t="n">
        <v>2.8</v>
      </c>
      <c r="F2024" t="n">
        <v>2.808</v>
      </c>
      <c r="G2024" t="n">
        <v>7</v>
      </c>
      <c r="H2024" t="n">
        <v>100</v>
      </c>
      <c r="I2024" t="n">
        <v>12</v>
      </c>
      <c r="J2024" t="inlineStr">
        <is>
          <t>kaba</t>
        </is>
      </c>
      <c r="K2024" t="b">
        <v>1</v>
      </c>
      <c r="M2024" t="n">
        <v>338</v>
      </c>
      <c r="N2024" t="n">
        <v>40</v>
      </c>
      <c r="O2024" t="n">
        <v>316</v>
      </c>
      <c r="P2024" t="n">
        <v>664</v>
      </c>
      <c r="Q2024" t="n">
        <v>1002</v>
      </c>
      <c r="R2024" t="n">
        <v>1.095</v>
      </c>
      <c r="S2024" t="n">
        <v>12.671</v>
      </c>
      <c r="T2024" t="n">
        <v>11.57</v>
      </c>
      <c r="U2024" t="n">
        <v>0.7778</v>
      </c>
      <c r="V2024" t="b">
        <v>1</v>
      </c>
      <c r="X2024" t="b">
        <v>0</v>
      </c>
      <c r="Y2024" t="inlineStr">
        <is>
          <t>ON</t>
        </is>
      </c>
      <c r="Z2024" t="n">
        <v>935</v>
      </c>
      <c r="AA2024" t="n">
        <v>2.5</v>
      </c>
      <c r="AB2024" t="n">
        <v>9.5</v>
      </c>
    </row>
    <row r="2025">
      <c r="A2025" t="inlineStr">
        <is>
          <t>2026-09-24 18:16:20</t>
        </is>
      </c>
      <c r="B2025" t="inlineStr">
        <is>
          <t>MLLB_000_y1.0.3</t>
        </is>
      </c>
      <c r="C2025" t="inlineStr">
        <is>
          <t>WHITE</t>
        </is>
      </c>
      <c r="D2025" t="inlineStr">
        <is>
          <t>v4_white_MLLB_000_y103_0924</t>
        </is>
      </c>
      <c r="E2025" t="n">
        <v>2.8</v>
      </c>
      <c r="F2025" t="n">
        <v>2.808</v>
      </c>
      <c r="G2025" t="n">
        <v>7</v>
      </c>
      <c r="H2025" t="n">
        <v>100</v>
      </c>
      <c r="I2025" t="n">
        <v>16</v>
      </c>
      <c r="J2025" t="inlineStr">
        <is>
          <t>kaba</t>
        </is>
      </c>
      <c r="K2025" t="b">
        <v>1</v>
      </c>
      <c r="M2025" t="n">
        <v>270</v>
      </c>
      <c r="N2025" t="n">
        <v>40</v>
      </c>
      <c r="O2025" t="n">
        <v>248</v>
      </c>
      <c r="P2025" t="n">
        <v>732</v>
      </c>
      <c r="Q2025" t="n">
        <v>1002</v>
      </c>
      <c r="R2025" t="n">
        <v>1.094</v>
      </c>
      <c r="S2025" t="n">
        <v>12.717</v>
      </c>
      <c r="T2025" t="n">
        <v>11.627</v>
      </c>
      <c r="U2025" t="n">
        <v>0.7773</v>
      </c>
      <c r="V2025" t="b">
        <v>1</v>
      </c>
      <c r="X2025" t="b">
        <v>0</v>
      </c>
      <c r="Y2025" t="inlineStr">
        <is>
          <t>ON</t>
        </is>
      </c>
      <c r="Z2025" t="n">
        <v>935</v>
      </c>
      <c r="AA2025" t="n">
        <v>2.5</v>
      </c>
      <c r="AB2025" t="n">
        <v>9.5</v>
      </c>
    </row>
    <row r="2026">
      <c r="A2026" t="inlineStr">
        <is>
          <t>2026-09-24 18:16:36</t>
        </is>
      </c>
      <c r="B2026" t="inlineStr">
        <is>
          <t>MLLB_000_y1.0.3</t>
        </is>
      </c>
      <c r="C2026" t="inlineStr">
        <is>
          <t>WHITE</t>
        </is>
      </c>
      <c r="D2026" t="inlineStr">
        <is>
          <t>v4_white_MLLB_000_y103_0924</t>
        </is>
      </c>
      <c r="E2026" t="n">
        <v>2.8</v>
      </c>
      <c r="F2026" t="n">
        <v>2.808</v>
      </c>
      <c r="G2026" t="n">
        <v>7</v>
      </c>
      <c r="H2026" t="n">
        <v>100</v>
      </c>
      <c r="I2026" t="n">
        <v>20</v>
      </c>
      <c r="J2026" t="inlineStr">
        <is>
          <t>kaba</t>
        </is>
      </c>
      <c r="K2026" t="b">
        <v>1</v>
      </c>
      <c r="M2026" t="n">
        <v>202</v>
      </c>
      <c r="N2026" t="n">
        <v>34</v>
      </c>
      <c r="O2026" t="n">
        <v>180</v>
      </c>
      <c r="P2026" t="n">
        <v>800</v>
      </c>
      <c r="Q2026" t="n">
        <v>1002</v>
      </c>
      <c r="R2026" t="n">
        <v>1.09</v>
      </c>
      <c r="S2026" t="n">
        <v>12.717</v>
      </c>
      <c r="T2026" t="n">
        <v>11.671</v>
      </c>
      <c r="U2026" t="n">
        <v>0.7771</v>
      </c>
      <c r="V2026" t="b">
        <v>1</v>
      </c>
      <c r="X2026" t="b">
        <v>0</v>
      </c>
      <c r="Y2026" t="inlineStr">
        <is>
          <t>ON</t>
        </is>
      </c>
      <c r="Z2026" t="n">
        <v>935</v>
      </c>
      <c r="AA2026" t="n">
        <v>2.5</v>
      </c>
      <c r="AB2026" t="n">
        <v>9.5</v>
      </c>
    </row>
    <row r="2027">
      <c r="A2027" t="inlineStr">
        <is>
          <t>2026-09-24 18:16:52</t>
        </is>
      </c>
      <c r="B2027" t="inlineStr">
        <is>
          <t>MLLB_000_y1.0.3</t>
        </is>
      </c>
      <c r="C2027" t="inlineStr">
        <is>
          <t>WHITE</t>
        </is>
      </c>
      <c r="D2027" t="inlineStr">
        <is>
          <t>v4_white_MLLB_000_y103_0924</t>
        </is>
      </c>
      <c r="E2027" t="n">
        <v>2.8</v>
      </c>
      <c r="F2027" t="n">
        <v>2.808</v>
      </c>
      <c r="G2027" t="n">
        <v>7</v>
      </c>
      <c r="H2027" t="n">
        <v>100</v>
      </c>
      <c r="I2027" t="n">
        <v>24</v>
      </c>
      <c r="J2027" t="inlineStr">
        <is>
          <t>kaba</t>
        </is>
      </c>
      <c r="K2027" t="b">
        <v>1</v>
      </c>
      <c r="M2027" t="n">
        <v>132</v>
      </c>
      <c r="N2027" t="n">
        <v>36</v>
      </c>
      <c r="O2027" t="n">
        <v>110</v>
      </c>
      <c r="P2027" t="n">
        <v>870</v>
      </c>
      <c r="Q2027" t="n">
        <v>1002</v>
      </c>
      <c r="R2027" t="n">
        <v>1.082</v>
      </c>
      <c r="S2027" t="n">
        <v>12.671</v>
      </c>
      <c r="T2027" t="n">
        <v>11.709</v>
      </c>
      <c r="U2027" t="n">
        <v>0.7775</v>
      </c>
      <c r="V2027" t="b">
        <v>1</v>
      </c>
      <c r="X2027" t="b">
        <v>0</v>
      </c>
      <c r="Y2027" t="inlineStr">
        <is>
          <t>ON</t>
        </is>
      </c>
      <c r="Z2027" t="n">
        <v>935</v>
      </c>
      <c r="AA2027" t="n">
        <v>2.5</v>
      </c>
      <c r="AB2027" t="n">
        <v>9.5</v>
      </c>
    </row>
    <row r="2028">
      <c r="A2028" t="inlineStr">
        <is>
          <t>2026-09-24 18:17:08</t>
        </is>
      </c>
      <c r="B2028" t="inlineStr">
        <is>
          <t>MLLB_000_y1.0.3</t>
        </is>
      </c>
      <c r="C2028" t="inlineStr">
        <is>
          <t>WHITE</t>
        </is>
      </c>
      <c r="D2028" t="inlineStr">
        <is>
          <t>v4_white_MLLB_000_y103_0924</t>
        </is>
      </c>
      <c r="E2028" t="n">
        <v>2.8</v>
      </c>
      <c r="F2028" t="n">
        <v>2.808</v>
      </c>
      <c r="G2028" t="n">
        <v>7</v>
      </c>
      <c r="H2028" t="n">
        <v>100</v>
      </c>
      <c r="I2028" t="n">
        <v>28</v>
      </c>
      <c r="J2028" t="inlineStr">
        <is>
          <t>kaba</t>
        </is>
      </c>
      <c r="K2028" t="b">
        <v>1</v>
      </c>
      <c r="M2028" t="n">
        <v>60</v>
      </c>
      <c r="N2028" t="n">
        <v>36</v>
      </c>
      <c r="O2028" t="n">
        <v>38</v>
      </c>
      <c r="P2028" t="n">
        <v>942</v>
      </c>
      <c r="Q2028" t="n">
        <v>1002</v>
      </c>
      <c r="R2028" t="n">
        <v>1.084</v>
      </c>
      <c r="S2028" t="n">
        <v>12.717</v>
      </c>
      <c r="T2028" t="n">
        <v>11.728</v>
      </c>
      <c r="U2028" t="n">
        <v>0.7769</v>
      </c>
      <c r="V2028" t="b">
        <v>1</v>
      </c>
      <c r="X2028" t="b">
        <v>1</v>
      </c>
      <c r="Z2028" t="n">
        <v>935</v>
      </c>
      <c r="AA2028" t="n">
        <v>2.5</v>
      </c>
      <c r="AB2028" t="n">
        <v>9.5</v>
      </c>
    </row>
    <row r="2029">
      <c r="A2029" t="inlineStr">
        <is>
          <t>2026-09-24 18:17:20</t>
        </is>
      </c>
      <c r="B2029" t="inlineStr">
        <is>
          <t>MLLB_000_y1.0.3</t>
        </is>
      </c>
      <c r="C2029" t="inlineStr">
        <is>
          <t>WHITE</t>
        </is>
      </c>
      <c r="D2029" t="inlineStr">
        <is>
          <t>v4_white_MLLB_000_y103_0924</t>
        </is>
      </c>
      <c r="E2029" t="n">
        <v>2.8</v>
      </c>
      <c r="F2029" t="n">
        <v>2.808</v>
      </c>
      <c r="G2029" t="n">
        <v>7</v>
      </c>
      <c r="H2029" t="n">
        <v>100</v>
      </c>
      <c r="I2029" t="n">
        <v>32</v>
      </c>
      <c r="J2029" t="inlineStr">
        <is>
          <t>kaba</t>
        </is>
      </c>
      <c r="K2029" t="b">
        <v>1</v>
      </c>
      <c r="M2029" t="n">
        <v>38</v>
      </c>
      <c r="N2029" t="n">
        <v>28</v>
      </c>
      <c r="O2029" t="n">
        <v>18</v>
      </c>
      <c r="P2029" t="n">
        <v>964</v>
      </c>
      <c r="Q2029" t="n">
        <v>1002</v>
      </c>
      <c r="R2029" t="n">
        <v>8.715</v>
      </c>
      <c r="S2029" t="n">
        <v>102.14</v>
      </c>
      <c r="T2029" t="n">
        <v>11.72</v>
      </c>
      <c r="U2029" t="n">
        <v>0.7778</v>
      </c>
      <c r="V2029" t="b">
        <v>1</v>
      </c>
      <c r="X2029" t="b">
        <v>0</v>
      </c>
      <c r="Y2029" t="inlineStr">
        <is>
          <t>FLAS</t>
        </is>
      </c>
      <c r="Z2029" t="n">
        <v>935</v>
      </c>
      <c r="AA2029" t="n">
        <v>2.5</v>
      </c>
      <c r="AB2029" t="n">
        <v>9.5</v>
      </c>
    </row>
    <row r="2030">
      <c r="A2030" t="inlineStr">
        <is>
          <t>2026-09-24 18:17:36</t>
        </is>
      </c>
      <c r="B2030" t="inlineStr">
        <is>
          <t>MLLB_000_y1.0.3</t>
        </is>
      </c>
      <c r="C2030" t="inlineStr">
        <is>
          <t>WHITE</t>
        </is>
      </c>
      <c r="D2030" t="inlineStr">
        <is>
          <t>v4_white_MLLB_000_y103_0924</t>
        </is>
      </c>
      <c r="E2030" t="n">
        <v>2.8</v>
      </c>
      <c r="F2030" t="n">
        <v>2.808</v>
      </c>
      <c r="G2030" t="n">
        <v>7</v>
      </c>
      <c r="H2030" t="n">
        <v>100</v>
      </c>
      <c r="I2030" t="n">
        <v>25</v>
      </c>
      <c r="J2030" t="inlineStr">
        <is>
          <t>ince</t>
        </is>
      </c>
      <c r="K2030" t="b">
        <v>1</v>
      </c>
      <c r="M2030" t="n">
        <v>114</v>
      </c>
      <c r="N2030" t="n">
        <v>38</v>
      </c>
      <c r="O2030" t="n">
        <v>92</v>
      </c>
      <c r="P2030" t="n">
        <v>888</v>
      </c>
      <c r="Q2030" t="n">
        <v>1002</v>
      </c>
      <c r="R2030" t="n">
        <v>1.085</v>
      </c>
      <c r="S2030" t="n">
        <v>12.717</v>
      </c>
      <c r="T2030" t="n">
        <v>11.717</v>
      </c>
      <c r="U2030" t="n">
        <v>0.7782</v>
      </c>
      <c r="V2030" t="b">
        <v>1</v>
      </c>
      <c r="X2030" t="b">
        <v>0</v>
      </c>
      <c r="Y2030" t="inlineStr">
        <is>
          <t>ON</t>
        </is>
      </c>
      <c r="Z2030" t="n">
        <v>935</v>
      </c>
      <c r="AA2030" t="n">
        <v>2.5</v>
      </c>
      <c r="AB2030" t="n">
        <v>9.5</v>
      </c>
    </row>
    <row r="2031">
      <c r="A2031" t="inlineStr">
        <is>
          <t>2026-09-24 18:17:52</t>
        </is>
      </c>
      <c r="B2031" t="inlineStr">
        <is>
          <t>MLLB_000_y1.0.3</t>
        </is>
      </c>
      <c r="C2031" t="inlineStr">
        <is>
          <t>WHITE</t>
        </is>
      </c>
      <c r="D2031" t="inlineStr">
        <is>
          <t>v4_white_MLLB_000_y103_0924</t>
        </is>
      </c>
      <c r="E2031" t="n">
        <v>2.8</v>
      </c>
      <c r="F2031" t="n">
        <v>2.808</v>
      </c>
      <c r="G2031" t="n">
        <v>7</v>
      </c>
      <c r="H2031" t="n">
        <v>100</v>
      </c>
      <c r="I2031" t="n">
        <v>26</v>
      </c>
      <c r="J2031" t="inlineStr">
        <is>
          <t>ince</t>
        </is>
      </c>
      <c r="K2031" t="b">
        <v>1</v>
      </c>
      <c r="M2031" t="n">
        <v>96</v>
      </c>
      <c r="N2031" t="n">
        <v>36</v>
      </c>
      <c r="O2031" t="n">
        <v>74</v>
      </c>
      <c r="P2031" t="n">
        <v>906</v>
      </c>
      <c r="Q2031" t="n">
        <v>1002</v>
      </c>
      <c r="R2031" t="n">
        <v>1.082</v>
      </c>
      <c r="S2031" t="n">
        <v>12.697</v>
      </c>
      <c r="T2031" t="n">
        <v>11.735</v>
      </c>
      <c r="U2031" t="n">
        <v>0.7779</v>
      </c>
      <c r="V2031" t="b">
        <v>1</v>
      </c>
      <c r="X2031" t="b">
        <v>0</v>
      </c>
      <c r="Y2031" t="inlineStr">
        <is>
          <t>ON</t>
        </is>
      </c>
      <c r="Z2031" t="n">
        <v>935</v>
      </c>
      <c r="AA2031" t="n">
        <v>2.5</v>
      </c>
      <c r="AB2031" t="n">
        <v>9.5</v>
      </c>
    </row>
    <row r="2032">
      <c r="A2032" t="inlineStr">
        <is>
          <t>2026-09-24 18:18:08</t>
        </is>
      </c>
      <c r="B2032" t="inlineStr">
        <is>
          <t>MLLB_000_y1.0.3</t>
        </is>
      </c>
      <c r="C2032" t="inlineStr">
        <is>
          <t>WHITE</t>
        </is>
      </c>
      <c r="D2032" t="inlineStr">
        <is>
          <t>v4_white_MLLB_000_y103_0924</t>
        </is>
      </c>
      <c r="E2032" t="n">
        <v>2.8</v>
      </c>
      <c r="F2032" t="n">
        <v>2.808</v>
      </c>
      <c r="G2032" t="n">
        <v>7</v>
      </c>
      <c r="H2032" t="n">
        <v>100</v>
      </c>
      <c r="I2032" t="n">
        <v>27</v>
      </c>
      <c r="J2032" t="inlineStr">
        <is>
          <t>ince</t>
        </is>
      </c>
      <c r="K2032" t="b">
        <v>1</v>
      </c>
      <c r="M2032" t="n">
        <v>78</v>
      </c>
      <c r="N2032" t="n">
        <v>38</v>
      </c>
      <c r="O2032" t="n">
        <v>56</v>
      </c>
      <c r="P2032" t="n">
        <v>924</v>
      </c>
      <c r="Q2032" t="n">
        <v>1002</v>
      </c>
      <c r="R2032" t="n">
        <v>1.084</v>
      </c>
      <c r="S2032" t="n">
        <v>12.738</v>
      </c>
      <c r="T2032" t="n">
        <v>11.75</v>
      </c>
      <c r="U2032" t="n">
        <v>0.778</v>
      </c>
      <c r="V2032" t="b">
        <v>1</v>
      </c>
      <c r="X2032" t="b">
        <v>0</v>
      </c>
      <c r="Y2032" t="inlineStr">
        <is>
          <t>ON</t>
        </is>
      </c>
      <c r="Z2032" t="n">
        <v>935</v>
      </c>
      <c r="AA2032" t="n">
        <v>2.5</v>
      </c>
      <c r="AB2032" t="n">
        <v>9.5</v>
      </c>
    </row>
    <row r="2033">
      <c r="A2033" t="inlineStr">
        <is>
          <t>2026-09-24 18:18:24</t>
        </is>
      </c>
      <c r="B2033" t="inlineStr">
        <is>
          <t>MLLB_000_y1.0.3</t>
        </is>
      </c>
      <c r="C2033" t="inlineStr">
        <is>
          <t>WHITE</t>
        </is>
      </c>
      <c r="D2033" t="inlineStr">
        <is>
          <t>v4_white_MLLB_000_y103_0924</t>
        </is>
      </c>
      <c r="E2033" t="n">
        <v>2.8</v>
      </c>
      <c r="F2033" t="n">
        <v>2.808</v>
      </c>
      <c r="G2033" t="n">
        <v>7</v>
      </c>
      <c r="H2033" t="n">
        <v>100</v>
      </c>
      <c r="I2033" t="n">
        <v>29</v>
      </c>
      <c r="J2033" t="inlineStr">
        <is>
          <t>ince</t>
        </is>
      </c>
      <c r="K2033" t="b">
        <v>1</v>
      </c>
      <c r="M2033" t="n">
        <v>40</v>
      </c>
      <c r="N2033" t="n">
        <v>34</v>
      </c>
      <c r="O2033" t="n">
        <v>20</v>
      </c>
      <c r="P2033" t="n">
        <v>962</v>
      </c>
      <c r="Q2033" t="n">
        <v>1002</v>
      </c>
      <c r="R2033" t="n">
        <v>1.081</v>
      </c>
      <c r="S2033" t="n">
        <v>12.717</v>
      </c>
      <c r="T2033" t="n">
        <v>11.76</v>
      </c>
      <c r="U2033" t="n">
        <v>0.7776</v>
      </c>
      <c r="V2033" t="b">
        <v>1</v>
      </c>
      <c r="X2033" t="b">
        <v>1</v>
      </c>
      <c r="Z2033" t="n">
        <v>935</v>
      </c>
      <c r="AA2033" t="n">
        <v>2.5</v>
      </c>
      <c r="AB2033" t="n">
        <v>9.5</v>
      </c>
    </row>
    <row r="2034">
      <c r="A2034" t="inlineStr">
        <is>
          <t>2026-09-24 18:18:40</t>
        </is>
      </c>
      <c r="B2034" t="inlineStr">
        <is>
          <t>MLLB_000_y1.0.3</t>
        </is>
      </c>
      <c r="C2034" t="inlineStr">
        <is>
          <t>WHITE</t>
        </is>
      </c>
      <c r="D2034" t="inlineStr">
        <is>
          <t>v4_white_MLLB_000_y103_0924</t>
        </is>
      </c>
      <c r="E2034" t="n">
        <v>2.8</v>
      </c>
      <c r="F2034" t="n">
        <v>2.808</v>
      </c>
      <c r="G2034" t="n">
        <v>7</v>
      </c>
      <c r="H2034" t="n">
        <v>100</v>
      </c>
      <c r="I2034" t="n">
        <v>30</v>
      </c>
      <c r="J2034" t="inlineStr">
        <is>
          <t>ince</t>
        </is>
      </c>
      <c r="K2034" t="b">
        <v>1</v>
      </c>
      <c r="M2034" t="n">
        <v>38</v>
      </c>
      <c r="N2034" t="n">
        <v>28</v>
      </c>
      <c r="O2034" t="n">
        <v>18</v>
      </c>
      <c r="P2034" t="n">
        <v>964</v>
      </c>
      <c r="Q2034" t="n">
        <v>1002</v>
      </c>
      <c r="R2034" t="n">
        <v>1.981</v>
      </c>
      <c r="S2034" t="n">
        <v>23.243</v>
      </c>
      <c r="T2034" t="n">
        <v>11.735</v>
      </c>
      <c r="U2034" t="n">
        <v>0.7775</v>
      </c>
      <c r="V2034" t="b">
        <v>1</v>
      </c>
      <c r="X2034" t="b">
        <v>1</v>
      </c>
      <c r="Z2034" t="n">
        <v>935</v>
      </c>
      <c r="AA2034" t="n">
        <v>2.5</v>
      </c>
      <c r="AB2034" t="n">
        <v>9.5</v>
      </c>
    </row>
    <row r="2035">
      <c r="A2035" t="inlineStr">
        <is>
          <t>2026-09-24 18:18:56</t>
        </is>
      </c>
      <c r="B2035" t="inlineStr">
        <is>
          <t>MLLB_000_y1.0.3</t>
        </is>
      </c>
      <c r="C2035" t="inlineStr">
        <is>
          <t>WHITE</t>
        </is>
      </c>
      <c r="D2035" t="inlineStr">
        <is>
          <t>v4_white_MLLB_000_y103_0924</t>
        </is>
      </c>
      <c r="E2035" t="n">
        <v>2.8</v>
      </c>
      <c r="F2035" t="n">
        <v>2.808</v>
      </c>
      <c r="G2035" t="n">
        <v>7</v>
      </c>
      <c r="H2035" t="n">
        <v>100</v>
      </c>
      <c r="I2035" t="n">
        <v>31</v>
      </c>
      <c r="J2035" t="inlineStr">
        <is>
          <t>ince</t>
        </is>
      </c>
      <c r="K2035" t="b">
        <v>1</v>
      </c>
      <c r="M2035" t="n">
        <v>38</v>
      </c>
      <c r="N2035" t="n">
        <v>28</v>
      </c>
      <c r="O2035" t="n">
        <v>18</v>
      </c>
      <c r="P2035" t="n">
        <v>964</v>
      </c>
      <c r="Q2035" t="n">
        <v>1002</v>
      </c>
      <c r="R2035" t="n">
        <v>5.218</v>
      </c>
      <c r="S2035" t="n">
        <v>61.244</v>
      </c>
      <c r="T2035" t="n">
        <v>11.738</v>
      </c>
      <c r="U2035" t="n">
        <v>0.7774</v>
      </c>
      <c r="V2035" t="b">
        <v>1</v>
      </c>
      <c r="X2035" t="b">
        <v>0</v>
      </c>
      <c r="Y2035" t="inlineStr">
        <is>
          <t>FLAS</t>
        </is>
      </c>
      <c r="Z2035" t="n">
        <v>935</v>
      </c>
      <c r="AA2035" t="n">
        <v>2.5</v>
      </c>
      <c r="AB2035" t="n">
        <v>9.5</v>
      </c>
    </row>
    <row r="2036">
      <c r="A2036" t="inlineStr">
        <is>
          <t>2026-09-24 18:18:56</t>
        </is>
      </c>
      <c r="B2036" t="inlineStr">
        <is>
          <t>MLLB_000_y1.0.3</t>
        </is>
      </c>
      <c r="C2036" t="inlineStr">
        <is>
          <t>WHITE</t>
        </is>
      </c>
      <c r="D2036" t="inlineStr">
        <is>
          <t>v4_white_MLLB_000_y103_0924</t>
        </is>
      </c>
      <c r="E2036" t="n">
        <v>2.8</v>
      </c>
      <c r="F2036" t="n">
        <v>2.808</v>
      </c>
      <c r="G2036" t="n">
        <v>7</v>
      </c>
      <c r="H2036" t="n">
        <v>100</v>
      </c>
      <c r="J2036" t="inlineStr">
        <is>
          <t>bitti</t>
        </is>
      </c>
      <c r="K2036" t="b">
        <v>0</v>
      </c>
      <c r="Z2036" t="n">
        <v>935</v>
      </c>
      <c r="AA2036" t="n">
        <v>2.5</v>
      </c>
      <c r="AB2036" t="n">
        <v>9.5</v>
      </c>
    </row>
    <row r="2037">
      <c r="A2037" t="inlineStr">
        <is>
          <t>2026-09-24 18:19:08</t>
        </is>
      </c>
      <c r="B2037" t="inlineStr">
        <is>
          <t>MLLB_000_y1.0.3</t>
        </is>
      </c>
      <c r="C2037" t="inlineStr">
        <is>
          <t>WHITE</t>
        </is>
      </c>
      <c r="D2037" t="inlineStr">
        <is>
          <t>v4_white_MLLB_000_y103_0924</t>
        </is>
      </c>
      <c r="E2037" t="n">
        <v>2.8</v>
      </c>
      <c r="F2037" t="n">
        <v>2.808</v>
      </c>
      <c r="G2037" t="n">
        <v>7</v>
      </c>
      <c r="H2037" t="n">
        <v>80</v>
      </c>
      <c r="I2037" t="n">
        <v>12</v>
      </c>
      <c r="J2037" t="inlineStr">
        <is>
          <t>kaba</t>
        </is>
      </c>
      <c r="K2037" t="b">
        <v>1</v>
      </c>
      <c r="M2037" t="n">
        <v>374</v>
      </c>
      <c r="N2037" t="n">
        <v>40</v>
      </c>
      <c r="O2037" t="n">
        <v>352</v>
      </c>
      <c r="P2037" t="n">
        <v>628</v>
      </c>
      <c r="Q2037" t="n">
        <v>1002</v>
      </c>
      <c r="R2037" t="n">
        <v>1.102</v>
      </c>
      <c r="S2037" t="n">
        <v>12.718</v>
      </c>
      <c r="T2037" t="n">
        <v>11.541</v>
      </c>
      <c r="U2037" t="n">
        <v>0.7776999999999999</v>
      </c>
      <c r="V2037" t="b">
        <v>1</v>
      </c>
      <c r="X2037" t="b">
        <v>0</v>
      </c>
      <c r="Y2037" t="inlineStr">
        <is>
          <t>ON</t>
        </is>
      </c>
      <c r="Z2037" t="n">
        <v>935</v>
      </c>
      <c r="AA2037" t="n">
        <v>2.5</v>
      </c>
      <c r="AB2037" t="n">
        <v>9.5</v>
      </c>
    </row>
    <row r="2038">
      <c r="A2038" t="inlineStr">
        <is>
          <t>2026-09-24 18:19:21</t>
        </is>
      </c>
      <c r="B2038" t="inlineStr">
        <is>
          <t>MLLB_000_y1.0.3</t>
        </is>
      </c>
      <c r="C2038" t="inlineStr">
        <is>
          <t>WHITE</t>
        </is>
      </c>
      <c r="D2038" t="inlineStr">
        <is>
          <t>v4_white_MLLB_000_y103_0924</t>
        </is>
      </c>
      <c r="E2038" t="n">
        <v>2.8</v>
      </c>
      <c r="F2038" t="n">
        <v>2.808</v>
      </c>
      <c r="G2038" t="n">
        <v>7</v>
      </c>
      <c r="H2038" t="n">
        <v>80</v>
      </c>
      <c r="I2038" t="n">
        <v>16</v>
      </c>
      <c r="J2038" t="inlineStr">
        <is>
          <t>kaba</t>
        </is>
      </c>
      <c r="K2038" t="b">
        <v>1</v>
      </c>
      <c r="M2038" t="n">
        <v>318</v>
      </c>
      <c r="N2038" t="n">
        <v>36</v>
      </c>
      <c r="O2038" t="n">
        <v>294</v>
      </c>
      <c r="P2038" t="n">
        <v>684</v>
      </c>
      <c r="Q2038" t="n">
        <v>1002</v>
      </c>
      <c r="R2038" t="n">
        <v>1.098</v>
      </c>
      <c r="S2038" t="n">
        <v>12.717</v>
      </c>
      <c r="T2038" t="n">
        <v>11.579</v>
      </c>
      <c r="U2038" t="n">
        <v>0.7778</v>
      </c>
      <c r="V2038" t="b">
        <v>1</v>
      </c>
      <c r="X2038" t="b">
        <v>0</v>
      </c>
      <c r="Y2038" t="inlineStr">
        <is>
          <t>ON</t>
        </is>
      </c>
      <c r="Z2038" t="n">
        <v>935</v>
      </c>
      <c r="AA2038" t="n">
        <v>2.5</v>
      </c>
      <c r="AB2038" t="n">
        <v>9.5</v>
      </c>
    </row>
    <row r="2039">
      <c r="A2039" t="inlineStr">
        <is>
          <t>2026-09-24 18:19:36</t>
        </is>
      </c>
      <c r="B2039" t="inlineStr">
        <is>
          <t>MLLB_000_y1.0.3</t>
        </is>
      </c>
      <c r="C2039" t="inlineStr">
        <is>
          <t>WHITE</t>
        </is>
      </c>
      <c r="D2039" t="inlineStr">
        <is>
          <t>v4_white_MLLB_000_y103_0924</t>
        </is>
      </c>
      <c r="E2039" t="n">
        <v>2.8</v>
      </c>
      <c r="F2039" t="n">
        <v>2.808</v>
      </c>
      <c r="G2039" t="n">
        <v>7</v>
      </c>
      <c r="H2039" t="n">
        <v>80</v>
      </c>
      <c r="I2039" t="n">
        <v>20</v>
      </c>
      <c r="J2039" t="inlineStr">
        <is>
          <t>kaba</t>
        </is>
      </c>
      <c r="K2039" t="b">
        <v>1</v>
      </c>
      <c r="M2039" t="n">
        <v>262</v>
      </c>
      <c r="N2039" t="n">
        <v>40</v>
      </c>
      <c r="O2039" t="n">
        <v>240</v>
      </c>
      <c r="P2039" t="n">
        <v>740</v>
      </c>
      <c r="Q2039" t="n">
        <v>1002</v>
      </c>
      <c r="R2039" t="n">
        <v>1.09</v>
      </c>
      <c r="S2039" t="n">
        <v>12.671</v>
      </c>
      <c r="T2039" t="n">
        <v>11.625</v>
      </c>
      <c r="U2039" t="n">
        <v>0.7773</v>
      </c>
      <c r="V2039" t="b">
        <v>1</v>
      </c>
      <c r="X2039" t="b">
        <v>0</v>
      </c>
      <c r="Y2039" t="inlineStr">
        <is>
          <t>ON</t>
        </is>
      </c>
      <c r="Z2039" t="n">
        <v>935</v>
      </c>
      <c r="AA2039" t="n">
        <v>2.5</v>
      </c>
      <c r="AB2039" t="n">
        <v>9.5</v>
      </c>
    </row>
    <row r="2040">
      <c r="A2040" t="inlineStr">
        <is>
          <t>2026-09-24 18:19:52</t>
        </is>
      </c>
      <c r="B2040" t="inlineStr">
        <is>
          <t>MLLB_000_y1.0.3</t>
        </is>
      </c>
      <c r="C2040" t="inlineStr">
        <is>
          <t>WHITE</t>
        </is>
      </c>
      <c r="D2040" t="inlineStr">
        <is>
          <t>v4_white_MLLB_000_y103_0924</t>
        </is>
      </c>
      <c r="E2040" t="n">
        <v>2.8</v>
      </c>
      <c r="F2040" t="n">
        <v>2.808</v>
      </c>
      <c r="G2040" t="n">
        <v>7</v>
      </c>
      <c r="H2040" t="n">
        <v>80</v>
      </c>
      <c r="I2040" t="n">
        <v>24</v>
      </c>
      <c r="J2040" t="inlineStr">
        <is>
          <t>kaba</t>
        </is>
      </c>
      <c r="K2040" t="b">
        <v>1</v>
      </c>
      <c r="M2040" t="n">
        <v>206</v>
      </c>
      <c r="N2040" t="n">
        <v>42</v>
      </c>
      <c r="O2040" t="n">
        <v>182</v>
      </c>
      <c r="P2040" t="n">
        <v>796</v>
      </c>
      <c r="Q2040" t="n">
        <v>1002</v>
      </c>
      <c r="R2040" t="n">
        <v>1.09</v>
      </c>
      <c r="S2040" t="n">
        <v>12.718</v>
      </c>
      <c r="T2040" t="n">
        <v>11.664</v>
      </c>
      <c r="U2040" t="n">
        <v>0.7778</v>
      </c>
      <c r="V2040" t="b">
        <v>1</v>
      </c>
      <c r="X2040" t="b">
        <v>0</v>
      </c>
      <c r="Y2040" t="inlineStr">
        <is>
          <t>ON</t>
        </is>
      </c>
      <c r="Z2040" t="n">
        <v>935</v>
      </c>
      <c r="AA2040" t="n">
        <v>2.5</v>
      </c>
      <c r="AB2040" t="n">
        <v>9.5</v>
      </c>
    </row>
    <row r="2041">
      <c r="A2041" t="inlineStr">
        <is>
          <t>2026-09-24 18:20:08</t>
        </is>
      </c>
      <c r="B2041" t="inlineStr">
        <is>
          <t>MLLB_000_y1.0.3</t>
        </is>
      </c>
      <c r="C2041" t="inlineStr">
        <is>
          <t>WHITE</t>
        </is>
      </c>
      <c r="D2041" t="inlineStr">
        <is>
          <t>v4_white_MLLB_000_y103_0924</t>
        </is>
      </c>
      <c r="E2041" t="n">
        <v>2.8</v>
      </c>
      <c r="F2041" t="n">
        <v>2.808</v>
      </c>
      <c r="G2041" t="n">
        <v>7</v>
      </c>
      <c r="H2041" t="n">
        <v>80</v>
      </c>
      <c r="I2041" t="n">
        <v>28</v>
      </c>
      <c r="J2041" t="inlineStr">
        <is>
          <t>kaba</t>
        </is>
      </c>
      <c r="K2041" t="b">
        <v>1</v>
      </c>
      <c r="M2041" t="n">
        <v>150</v>
      </c>
      <c r="N2041" t="n">
        <v>40</v>
      </c>
      <c r="O2041" t="n">
        <v>128</v>
      </c>
      <c r="P2041" t="n">
        <v>852</v>
      </c>
      <c r="Q2041" t="n">
        <v>1002</v>
      </c>
      <c r="R2041" t="n">
        <v>1.085</v>
      </c>
      <c r="S2041" t="n">
        <v>12.671</v>
      </c>
      <c r="T2041" t="n">
        <v>11.68</v>
      </c>
      <c r="U2041" t="n">
        <v>0.7778</v>
      </c>
      <c r="V2041" t="b">
        <v>1</v>
      </c>
      <c r="X2041" t="b">
        <v>0</v>
      </c>
      <c r="Y2041" t="inlineStr">
        <is>
          <t>ON</t>
        </is>
      </c>
      <c r="Z2041" t="n">
        <v>935</v>
      </c>
      <c r="AA2041" t="n">
        <v>2.5</v>
      </c>
      <c r="AB2041" t="n">
        <v>9.5</v>
      </c>
    </row>
    <row r="2042">
      <c r="A2042" t="inlineStr">
        <is>
          <t>2026-09-24 18:20:24</t>
        </is>
      </c>
      <c r="B2042" t="inlineStr">
        <is>
          <t>MLLB_000_y1.0.3</t>
        </is>
      </c>
      <c r="C2042" t="inlineStr">
        <is>
          <t>WHITE</t>
        </is>
      </c>
      <c r="D2042" t="inlineStr">
        <is>
          <t>v4_white_MLLB_000_y103_0924</t>
        </is>
      </c>
      <c r="E2042" t="n">
        <v>2.8</v>
      </c>
      <c r="F2042" t="n">
        <v>2.808</v>
      </c>
      <c r="G2042" t="n">
        <v>7</v>
      </c>
      <c r="H2042" t="n">
        <v>80</v>
      </c>
      <c r="I2042" t="n">
        <v>32</v>
      </c>
      <c r="J2042" t="inlineStr">
        <is>
          <t>kaba</t>
        </is>
      </c>
      <c r="K2042" t="b">
        <v>1</v>
      </c>
      <c r="M2042" t="n">
        <v>92</v>
      </c>
      <c r="N2042" t="n">
        <v>36</v>
      </c>
      <c r="O2042" t="n">
        <v>70</v>
      </c>
      <c r="P2042" t="n">
        <v>910</v>
      </c>
      <c r="Q2042" t="n">
        <v>1002</v>
      </c>
      <c r="R2042" t="n">
        <v>1.083</v>
      </c>
      <c r="S2042" t="n">
        <v>12.733</v>
      </c>
      <c r="T2042" t="n">
        <v>11.754</v>
      </c>
      <c r="U2042" t="n">
        <v>0.7776</v>
      </c>
      <c r="V2042" t="b">
        <v>1</v>
      </c>
      <c r="X2042" t="b">
        <v>0</v>
      </c>
      <c r="Y2042" t="inlineStr">
        <is>
          <t>ON</t>
        </is>
      </c>
      <c r="Z2042" t="n">
        <v>935</v>
      </c>
      <c r="AA2042" t="n">
        <v>2.5</v>
      </c>
      <c r="AB2042" t="n">
        <v>9.5</v>
      </c>
    </row>
    <row r="2043">
      <c r="A2043" t="inlineStr">
        <is>
          <t>2026-09-24 18:20:36</t>
        </is>
      </c>
      <c r="B2043" t="inlineStr">
        <is>
          <t>MLLB_000_y1.0.3</t>
        </is>
      </c>
      <c r="C2043" t="inlineStr">
        <is>
          <t>WHITE</t>
        </is>
      </c>
      <c r="D2043" t="inlineStr">
        <is>
          <t>v4_white_MLLB_000_y103_0924</t>
        </is>
      </c>
      <c r="E2043" t="n">
        <v>2.8</v>
      </c>
      <c r="F2043" t="n">
        <v>2.808</v>
      </c>
      <c r="G2043" t="n">
        <v>7</v>
      </c>
      <c r="H2043" t="n">
        <v>80</v>
      </c>
      <c r="I2043" t="n">
        <v>36</v>
      </c>
      <c r="J2043" t="inlineStr">
        <is>
          <t>kaba</t>
        </is>
      </c>
      <c r="K2043" t="b">
        <v>1</v>
      </c>
      <c r="M2043" t="n">
        <v>42</v>
      </c>
      <c r="N2043" t="n">
        <v>28</v>
      </c>
      <c r="O2043" t="n">
        <v>22</v>
      </c>
      <c r="P2043" t="n">
        <v>960</v>
      </c>
      <c r="Q2043" t="n">
        <v>1002</v>
      </c>
      <c r="R2043" t="n">
        <v>1.401</v>
      </c>
      <c r="S2043" t="n">
        <v>16.41</v>
      </c>
      <c r="T2043" t="n">
        <v>11.717</v>
      </c>
      <c r="U2043" t="n">
        <v>0.7781</v>
      </c>
      <c r="V2043" t="b">
        <v>1</v>
      </c>
      <c r="X2043" t="b">
        <v>1</v>
      </c>
      <c r="Z2043" t="n">
        <v>935</v>
      </c>
      <c r="AA2043" t="n">
        <v>2.5</v>
      </c>
      <c r="AB2043" t="n">
        <v>9.5</v>
      </c>
    </row>
    <row r="2044">
      <c r="A2044" t="inlineStr">
        <is>
          <t>2026-09-24 18:20:52</t>
        </is>
      </c>
      <c r="B2044" t="inlineStr">
        <is>
          <t>MLLB_000_y1.0.3</t>
        </is>
      </c>
      <c r="C2044" t="inlineStr">
        <is>
          <t>WHITE</t>
        </is>
      </c>
      <c r="D2044" t="inlineStr">
        <is>
          <t>v4_white_MLLB_000_y103_0924</t>
        </is>
      </c>
      <c r="E2044" t="n">
        <v>2.8</v>
      </c>
      <c r="F2044" t="n">
        <v>2.808</v>
      </c>
      <c r="G2044" t="n">
        <v>7</v>
      </c>
      <c r="H2044" t="n">
        <v>80</v>
      </c>
      <c r="I2044" t="n">
        <v>40</v>
      </c>
      <c r="J2044" t="inlineStr">
        <is>
          <t>kaba</t>
        </is>
      </c>
      <c r="K2044" t="b">
        <v>1</v>
      </c>
      <c r="M2044" t="n">
        <v>42</v>
      </c>
      <c r="N2044" t="n">
        <v>28</v>
      </c>
      <c r="O2044" t="n">
        <v>22</v>
      </c>
      <c r="P2044" t="n">
        <v>960</v>
      </c>
      <c r="Q2044" t="n">
        <v>1002</v>
      </c>
      <c r="R2044" t="n">
        <v>9.622</v>
      </c>
      <c r="S2044" t="n">
        <v>112.737</v>
      </c>
      <c r="T2044" t="n">
        <v>11.717</v>
      </c>
      <c r="U2044" t="n">
        <v>0.7775</v>
      </c>
      <c r="V2044" t="b">
        <v>1</v>
      </c>
      <c r="X2044" t="b">
        <v>0</v>
      </c>
      <c r="Y2044" t="inlineStr">
        <is>
          <t>FLAS</t>
        </is>
      </c>
      <c r="Z2044" t="n">
        <v>935</v>
      </c>
      <c r="AA2044" t="n">
        <v>2.5</v>
      </c>
      <c r="AB2044" t="n">
        <v>9.5</v>
      </c>
    </row>
    <row r="2045">
      <c r="A2045" t="inlineStr">
        <is>
          <t>2026-09-24 18:21:08</t>
        </is>
      </c>
      <c r="B2045" t="inlineStr">
        <is>
          <t>MLLB_000_y1.0.3</t>
        </is>
      </c>
      <c r="C2045" t="inlineStr">
        <is>
          <t>WHITE</t>
        </is>
      </c>
      <c r="D2045" t="inlineStr">
        <is>
          <t>v4_white_MLLB_000_y103_0924</t>
        </is>
      </c>
      <c r="E2045" t="n">
        <v>2.8</v>
      </c>
      <c r="F2045" t="n">
        <v>2.808</v>
      </c>
      <c r="G2045" t="n">
        <v>7</v>
      </c>
      <c r="H2045" t="n">
        <v>80</v>
      </c>
      <c r="I2045" t="n">
        <v>33</v>
      </c>
      <c r="J2045" t="inlineStr">
        <is>
          <t>ince</t>
        </is>
      </c>
      <c r="K2045" t="b">
        <v>1</v>
      </c>
      <c r="M2045" t="n">
        <v>78</v>
      </c>
      <c r="N2045" t="n">
        <v>42</v>
      </c>
      <c r="O2045" t="n">
        <v>54</v>
      </c>
      <c r="P2045" t="n">
        <v>924</v>
      </c>
      <c r="Q2045" t="n">
        <v>1002</v>
      </c>
      <c r="R2045" t="n">
        <v>1.084</v>
      </c>
      <c r="S2045" t="n">
        <v>12.745</v>
      </c>
      <c r="T2045" t="n">
        <v>11.757</v>
      </c>
      <c r="U2045" t="n">
        <v>0.7774</v>
      </c>
      <c r="V2045" t="b">
        <v>1</v>
      </c>
      <c r="X2045" t="b">
        <v>0</v>
      </c>
      <c r="Y2045" t="inlineStr">
        <is>
          <t>ON</t>
        </is>
      </c>
      <c r="Z2045" t="n">
        <v>935</v>
      </c>
      <c r="AA2045" t="n">
        <v>2.5</v>
      </c>
      <c r="AB2045" t="n">
        <v>9.5</v>
      </c>
    </row>
    <row r="2046">
      <c r="A2046" t="inlineStr">
        <is>
          <t>2026-09-24 18:21:24</t>
        </is>
      </c>
      <c r="B2046" t="inlineStr">
        <is>
          <t>MLLB_000_y1.0.3</t>
        </is>
      </c>
      <c r="C2046" t="inlineStr">
        <is>
          <t>WHITE</t>
        </is>
      </c>
      <c r="D2046" t="inlineStr">
        <is>
          <t>v4_white_MLLB_000_y103_0924</t>
        </is>
      </c>
      <c r="E2046" t="n">
        <v>2.8</v>
      </c>
      <c r="F2046" t="n">
        <v>2.808</v>
      </c>
      <c r="G2046" t="n">
        <v>7</v>
      </c>
      <c r="H2046" t="n">
        <v>80</v>
      </c>
      <c r="I2046" t="n">
        <v>34</v>
      </c>
      <c r="J2046" t="inlineStr">
        <is>
          <t>ince</t>
        </is>
      </c>
      <c r="K2046" t="b">
        <v>1</v>
      </c>
      <c r="M2046" t="n">
        <v>62</v>
      </c>
      <c r="N2046" t="n">
        <v>40</v>
      </c>
      <c r="O2046" t="n">
        <v>40</v>
      </c>
      <c r="P2046" t="n">
        <v>940</v>
      </c>
      <c r="Q2046" t="n">
        <v>1002</v>
      </c>
      <c r="R2046" t="n">
        <v>1.083</v>
      </c>
      <c r="S2046" t="n">
        <v>12.697</v>
      </c>
      <c r="T2046" t="n">
        <v>11.729</v>
      </c>
      <c r="U2046" t="n">
        <v>0.7776</v>
      </c>
      <c r="V2046" t="b">
        <v>1</v>
      </c>
      <c r="X2046" t="b">
        <v>1</v>
      </c>
      <c r="Z2046" t="n">
        <v>935</v>
      </c>
      <c r="AA2046" t="n">
        <v>2.5</v>
      </c>
      <c r="AB2046" t="n">
        <v>9.5</v>
      </c>
    </row>
    <row r="2047">
      <c r="A2047" t="inlineStr">
        <is>
          <t>2026-09-24 18:21:40</t>
        </is>
      </c>
      <c r="B2047" t="inlineStr">
        <is>
          <t>MLLB_000_y1.0.3</t>
        </is>
      </c>
      <c r="C2047" t="inlineStr">
        <is>
          <t>WHITE</t>
        </is>
      </c>
      <c r="D2047" t="inlineStr">
        <is>
          <t>v4_white_MLLB_000_y103_0924</t>
        </is>
      </c>
      <c r="E2047" t="n">
        <v>2.8</v>
      </c>
      <c r="F2047" t="n">
        <v>2.808</v>
      </c>
      <c r="G2047" t="n">
        <v>7</v>
      </c>
      <c r="H2047" t="n">
        <v>80</v>
      </c>
      <c r="I2047" t="n">
        <v>35</v>
      </c>
      <c r="J2047" t="inlineStr">
        <is>
          <t>ince</t>
        </is>
      </c>
      <c r="K2047" t="b">
        <v>1</v>
      </c>
      <c r="M2047" t="n">
        <v>46</v>
      </c>
      <c r="N2047" t="n">
        <v>38</v>
      </c>
      <c r="O2047" t="n">
        <v>24</v>
      </c>
      <c r="P2047" t="n">
        <v>956</v>
      </c>
      <c r="Q2047" t="n">
        <v>1002</v>
      </c>
      <c r="R2047" t="n">
        <v>1.081</v>
      </c>
      <c r="S2047" t="n">
        <v>12.671</v>
      </c>
      <c r="T2047" t="n">
        <v>11.722</v>
      </c>
      <c r="U2047" t="n">
        <v>0.7772</v>
      </c>
      <c r="V2047" t="b">
        <v>1</v>
      </c>
      <c r="X2047" t="b">
        <v>1</v>
      </c>
      <c r="Z2047" t="n">
        <v>935</v>
      </c>
      <c r="AA2047" t="n">
        <v>2.5</v>
      </c>
      <c r="AB2047" t="n">
        <v>9.5</v>
      </c>
    </row>
    <row r="2048">
      <c r="A2048" t="inlineStr">
        <is>
          <t>2026-09-24 18:21:56</t>
        </is>
      </c>
      <c r="B2048" t="inlineStr">
        <is>
          <t>MLLB_000_y1.0.3</t>
        </is>
      </c>
      <c r="C2048" t="inlineStr">
        <is>
          <t>WHITE</t>
        </is>
      </c>
      <c r="D2048" t="inlineStr">
        <is>
          <t>v4_white_MLLB_000_y103_0924</t>
        </is>
      </c>
      <c r="E2048" t="n">
        <v>2.8</v>
      </c>
      <c r="F2048" t="n">
        <v>2.808</v>
      </c>
      <c r="G2048" t="n">
        <v>7</v>
      </c>
      <c r="H2048" t="n">
        <v>80</v>
      </c>
      <c r="I2048" t="n">
        <v>37</v>
      </c>
      <c r="J2048" t="inlineStr">
        <is>
          <t>ince</t>
        </is>
      </c>
      <c r="K2048" t="b">
        <v>1</v>
      </c>
      <c r="M2048" t="n">
        <v>42</v>
      </c>
      <c r="N2048" t="n">
        <v>28</v>
      </c>
      <c r="O2048" t="n">
        <v>22</v>
      </c>
      <c r="P2048" t="n">
        <v>960</v>
      </c>
      <c r="Q2048" t="n">
        <v>1002</v>
      </c>
      <c r="R2048" t="n">
        <v>3.877</v>
      </c>
      <c r="S2048" t="n">
        <v>45.445</v>
      </c>
      <c r="T2048" t="n">
        <v>11.721</v>
      </c>
      <c r="U2048" t="n">
        <v>0.7774</v>
      </c>
      <c r="V2048" t="b">
        <v>1</v>
      </c>
      <c r="X2048" t="b">
        <v>0</v>
      </c>
      <c r="Y2048" t="inlineStr">
        <is>
          <t>FLAS</t>
        </is>
      </c>
      <c r="Z2048" t="n">
        <v>935</v>
      </c>
      <c r="AA2048" t="n">
        <v>2.5</v>
      </c>
      <c r="AB2048" t="n">
        <v>9.5</v>
      </c>
    </row>
    <row r="2049">
      <c r="A2049" t="inlineStr">
        <is>
          <t>2026-09-24 18:22:12</t>
        </is>
      </c>
      <c r="B2049" t="inlineStr">
        <is>
          <t>MLLB_000_y1.0.3</t>
        </is>
      </c>
      <c r="C2049" t="inlineStr">
        <is>
          <t>WHITE</t>
        </is>
      </c>
      <c r="D2049" t="inlineStr">
        <is>
          <t>v4_white_MLLB_000_y103_0924</t>
        </is>
      </c>
      <c r="E2049" t="n">
        <v>2.8</v>
      </c>
      <c r="F2049" t="n">
        <v>2.808</v>
      </c>
      <c r="G2049" t="n">
        <v>7</v>
      </c>
      <c r="H2049" t="n">
        <v>80</v>
      </c>
      <c r="I2049" t="n">
        <v>38</v>
      </c>
      <c r="J2049" t="inlineStr">
        <is>
          <t>ince</t>
        </is>
      </c>
      <c r="K2049" t="b">
        <v>1</v>
      </c>
      <c r="M2049" t="n">
        <v>42</v>
      </c>
      <c r="N2049" t="n">
        <v>28</v>
      </c>
      <c r="O2049" t="n">
        <v>22</v>
      </c>
      <c r="P2049" t="n">
        <v>960</v>
      </c>
      <c r="Q2049" t="n">
        <v>1002</v>
      </c>
      <c r="R2049" t="n">
        <v>7.328</v>
      </c>
      <c r="S2049" t="n">
        <v>85.87</v>
      </c>
      <c r="T2049" t="n">
        <v>11.719</v>
      </c>
      <c r="U2049" t="n">
        <v>0.7771</v>
      </c>
      <c r="V2049" t="b">
        <v>1</v>
      </c>
      <c r="X2049" t="b">
        <v>0</v>
      </c>
      <c r="Y2049" t="inlineStr">
        <is>
          <t>FLAS</t>
        </is>
      </c>
      <c r="Z2049" t="n">
        <v>935</v>
      </c>
      <c r="AA2049" t="n">
        <v>2.5</v>
      </c>
      <c r="AB2049" t="n">
        <v>9.5</v>
      </c>
    </row>
    <row r="2050">
      <c r="A2050" t="inlineStr">
        <is>
          <t>2026-09-24 18:22:28</t>
        </is>
      </c>
      <c r="B2050" t="inlineStr">
        <is>
          <t>MLLB_000_y1.0.3</t>
        </is>
      </c>
      <c r="C2050" t="inlineStr">
        <is>
          <t>WHITE</t>
        </is>
      </c>
      <c r="D2050" t="inlineStr">
        <is>
          <t>v4_white_MLLB_000_y103_0924</t>
        </is>
      </c>
      <c r="E2050" t="n">
        <v>2.8</v>
      </c>
      <c r="F2050" t="n">
        <v>2.808</v>
      </c>
      <c r="G2050" t="n">
        <v>7</v>
      </c>
      <c r="H2050" t="n">
        <v>80</v>
      </c>
      <c r="I2050" t="n">
        <v>39</v>
      </c>
      <c r="J2050" t="inlineStr">
        <is>
          <t>ince</t>
        </is>
      </c>
      <c r="K2050" t="b">
        <v>1</v>
      </c>
      <c r="M2050" t="n">
        <v>42</v>
      </c>
      <c r="N2050" t="n">
        <v>28</v>
      </c>
      <c r="O2050" t="n">
        <v>22</v>
      </c>
      <c r="P2050" t="n">
        <v>960</v>
      </c>
      <c r="Q2050" t="n">
        <v>1002</v>
      </c>
      <c r="R2050" t="n">
        <v>8.653</v>
      </c>
      <c r="S2050" t="n">
        <v>101.437</v>
      </c>
      <c r="T2050" t="n">
        <v>11.723</v>
      </c>
      <c r="U2050" t="n">
        <v>0.7776</v>
      </c>
      <c r="V2050" t="b">
        <v>1</v>
      </c>
      <c r="X2050" t="b">
        <v>0</v>
      </c>
      <c r="Y2050" t="inlineStr">
        <is>
          <t>FLAS</t>
        </is>
      </c>
      <c r="Z2050" t="n">
        <v>935</v>
      </c>
      <c r="AA2050" t="n">
        <v>2.5</v>
      </c>
      <c r="AB2050" t="n">
        <v>9.5</v>
      </c>
    </row>
    <row r="2051">
      <c r="A2051" t="inlineStr">
        <is>
          <t>2026-09-24 18:22:28</t>
        </is>
      </c>
      <c r="B2051" t="inlineStr">
        <is>
          <t>MLLB_000_y1.0.3</t>
        </is>
      </c>
      <c r="C2051" t="inlineStr">
        <is>
          <t>WHITE</t>
        </is>
      </c>
      <c r="D2051" t="inlineStr">
        <is>
          <t>v4_white_MLLB_000_y103_0924</t>
        </is>
      </c>
      <c r="E2051" t="n">
        <v>2.8</v>
      </c>
      <c r="F2051" t="n">
        <v>2.808</v>
      </c>
      <c r="G2051" t="n">
        <v>7</v>
      </c>
      <c r="H2051" t="n">
        <v>80</v>
      </c>
      <c r="J2051" t="inlineStr">
        <is>
          <t>bitti</t>
        </is>
      </c>
      <c r="K2051" t="b">
        <v>0</v>
      </c>
      <c r="Z2051" t="n">
        <v>935</v>
      </c>
      <c r="AA2051" t="n">
        <v>2.5</v>
      </c>
      <c r="AB2051" t="n">
        <v>9.5</v>
      </c>
    </row>
    <row r="2052">
      <c r="A2052" t="inlineStr">
        <is>
          <t>2026-09-24 18:22:44</t>
        </is>
      </c>
      <c r="B2052" t="inlineStr">
        <is>
          <t>MLLB_000_y1.0.3</t>
        </is>
      </c>
      <c r="C2052" t="inlineStr">
        <is>
          <t>WHITE</t>
        </is>
      </c>
      <c r="D2052" t="inlineStr">
        <is>
          <t>v4_white_MLLB_000_y103_0924</t>
        </is>
      </c>
      <c r="E2052" t="n">
        <v>2.8</v>
      </c>
      <c r="F2052" t="n">
        <v>2.808</v>
      </c>
      <c r="G2052" t="n">
        <v>7</v>
      </c>
      <c r="H2052" t="n">
        <v>60</v>
      </c>
      <c r="I2052" t="n">
        <v>12</v>
      </c>
      <c r="J2052" t="inlineStr">
        <is>
          <t>kaba</t>
        </is>
      </c>
      <c r="K2052" t="b">
        <v>1</v>
      </c>
      <c r="M2052" t="n">
        <v>410</v>
      </c>
      <c r="N2052" t="n">
        <v>40</v>
      </c>
      <c r="O2052" t="n">
        <v>388</v>
      </c>
      <c r="P2052" t="n">
        <v>592</v>
      </c>
      <c r="Q2052" t="n">
        <v>1002</v>
      </c>
      <c r="R2052" t="n">
        <v>1.099</v>
      </c>
      <c r="S2052" t="n">
        <v>12.625</v>
      </c>
      <c r="T2052" t="n">
        <v>11.487</v>
      </c>
      <c r="U2052" t="n">
        <v>0.7776</v>
      </c>
      <c r="V2052" t="b">
        <v>1</v>
      </c>
      <c r="X2052" t="b">
        <v>0</v>
      </c>
      <c r="Y2052" t="inlineStr">
        <is>
          <t>ON</t>
        </is>
      </c>
      <c r="Z2052" t="n">
        <v>935</v>
      </c>
      <c r="AA2052" t="n">
        <v>2.5</v>
      </c>
      <c r="AB2052" t="n">
        <v>9.5</v>
      </c>
    </row>
    <row r="2053">
      <c r="A2053" t="inlineStr">
        <is>
          <t>2026-09-24 18:23:00</t>
        </is>
      </c>
      <c r="B2053" t="inlineStr">
        <is>
          <t>MLLB_000_y1.0.3</t>
        </is>
      </c>
      <c r="C2053" t="inlineStr">
        <is>
          <t>WHITE</t>
        </is>
      </c>
      <c r="D2053" t="inlineStr">
        <is>
          <t>v4_white_MLLB_000_y103_0924</t>
        </is>
      </c>
      <c r="E2053" t="n">
        <v>2.8</v>
      </c>
      <c r="F2053" t="n">
        <v>2.808</v>
      </c>
      <c r="G2053" t="n">
        <v>7</v>
      </c>
      <c r="H2053" t="n">
        <v>60</v>
      </c>
      <c r="I2053" t="n">
        <v>16</v>
      </c>
      <c r="J2053" t="inlineStr">
        <is>
          <t>kaba</t>
        </is>
      </c>
      <c r="K2053" t="b">
        <v>1</v>
      </c>
      <c r="M2053" t="n">
        <v>370</v>
      </c>
      <c r="N2053" t="n">
        <v>34</v>
      </c>
      <c r="O2053" t="n">
        <v>348</v>
      </c>
      <c r="P2053" t="n">
        <v>632</v>
      </c>
      <c r="Q2053" t="n">
        <v>1002</v>
      </c>
      <c r="R2053" t="n">
        <v>1.097</v>
      </c>
      <c r="S2053" t="n">
        <v>12.671</v>
      </c>
      <c r="T2053" t="n">
        <v>11.551</v>
      </c>
      <c r="U2053" t="n">
        <v>0.7776</v>
      </c>
      <c r="V2053" t="b">
        <v>1</v>
      </c>
      <c r="X2053" t="b">
        <v>0</v>
      </c>
      <c r="Y2053" t="inlineStr">
        <is>
          <t>ON</t>
        </is>
      </c>
      <c r="Z2053" t="n">
        <v>935</v>
      </c>
      <c r="AA2053" t="n">
        <v>2.5</v>
      </c>
      <c r="AB2053" t="n">
        <v>9.5</v>
      </c>
    </row>
    <row r="2054">
      <c r="A2054" t="inlineStr">
        <is>
          <t>2026-09-24 18:23:16</t>
        </is>
      </c>
      <c r="B2054" t="inlineStr">
        <is>
          <t>MLLB_000_y1.0.3</t>
        </is>
      </c>
      <c r="C2054" t="inlineStr">
        <is>
          <t>WHITE</t>
        </is>
      </c>
      <c r="D2054" t="inlineStr">
        <is>
          <t>v4_white_MLLB_000_y103_0924</t>
        </is>
      </c>
      <c r="E2054" t="n">
        <v>2.8</v>
      </c>
      <c r="F2054" t="n">
        <v>2.808</v>
      </c>
      <c r="G2054" t="n">
        <v>7</v>
      </c>
      <c r="H2054" t="n">
        <v>60</v>
      </c>
      <c r="I2054" t="n">
        <v>20</v>
      </c>
      <c r="J2054" t="inlineStr">
        <is>
          <t>kaba</t>
        </is>
      </c>
      <c r="K2054" t="b">
        <v>1</v>
      </c>
      <c r="M2054" t="n">
        <v>330</v>
      </c>
      <c r="N2054" t="n">
        <v>34</v>
      </c>
      <c r="O2054" t="n">
        <v>308</v>
      </c>
      <c r="P2054" t="n">
        <v>672</v>
      </c>
      <c r="Q2054" t="n">
        <v>1002</v>
      </c>
      <c r="R2054" t="n">
        <v>1.076</v>
      </c>
      <c r="S2054" t="n">
        <v>12.757</v>
      </c>
      <c r="T2054" t="n">
        <v>11.852</v>
      </c>
      <c r="U2054" t="n">
        <v>0.7772</v>
      </c>
      <c r="V2054" t="b">
        <v>1</v>
      </c>
      <c r="X2054" t="b">
        <v>0</v>
      </c>
      <c r="Y2054" t="inlineStr">
        <is>
          <t>ON</t>
        </is>
      </c>
      <c r="Z2054" t="n">
        <v>935</v>
      </c>
      <c r="AA2054" t="n">
        <v>2.5</v>
      </c>
      <c r="AB2054" t="n">
        <v>9.5</v>
      </c>
    </row>
    <row r="2055">
      <c r="A2055" t="inlineStr">
        <is>
          <t>2026-09-24 18:23:32</t>
        </is>
      </c>
      <c r="B2055" t="inlineStr">
        <is>
          <t>MLLB_000_y1.0.3</t>
        </is>
      </c>
      <c r="C2055" t="inlineStr">
        <is>
          <t>WHITE</t>
        </is>
      </c>
      <c r="D2055" t="inlineStr">
        <is>
          <t>v4_white_MLLB_000_y103_0924</t>
        </is>
      </c>
      <c r="E2055" t="n">
        <v>2.8</v>
      </c>
      <c r="F2055" t="n">
        <v>2.808</v>
      </c>
      <c r="G2055" t="n">
        <v>7</v>
      </c>
      <c r="H2055" t="n">
        <v>60</v>
      </c>
      <c r="I2055" t="n">
        <v>24</v>
      </c>
      <c r="J2055" t="inlineStr">
        <is>
          <t>kaba</t>
        </is>
      </c>
      <c r="K2055" t="b">
        <v>1</v>
      </c>
      <c r="M2055" t="n">
        <v>290</v>
      </c>
      <c r="N2055" t="n">
        <v>34</v>
      </c>
      <c r="O2055" t="n">
        <v>268</v>
      </c>
      <c r="P2055" t="n">
        <v>712</v>
      </c>
      <c r="Q2055" t="n">
        <v>1002</v>
      </c>
      <c r="R2055" t="n">
        <v>1.094</v>
      </c>
      <c r="S2055" t="n">
        <v>12.717</v>
      </c>
      <c r="T2055" t="n">
        <v>11.628</v>
      </c>
      <c r="U2055" t="n">
        <v>0.7773</v>
      </c>
      <c r="V2055" t="b">
        <v>1</v>
      </c>
      <c r="X2055" t="b">
        <v>0</v>
      </c>
      <c r="Y2055" t="inlineStr">
        <is>
          <t>ON</t>
        </is>
      </c>
      <c r="Z2055" t="n">
        <v>935</v>
      </c>
      <c r="AA2055" t="n">
        <v>2.5</v>
      </c>
      <c r="AB2055" t="n">
        <v>9.5</v>
      </c>
    </row>
    <row r="2056">
      <c r="A2056" t="inlineStr">
        <is>
          <t>2026-09-24 18:23:48</t>
        </is>
      </c>
      <c r="B2056" t="inlineStr">
        <is>
          <t>MLLB_000_y1.0.3</t>
        </is>
      </c>
      <c r="C2056" t="inlineStr">
        <is>
          <t>WHITE</t>
        </is>
      </c>
      <c r="D2056" t="inlineStr">
        <is>
          <t>v4_white_MLLB_000_y103_0924</t>
        </is>
      </c>
      <c r="E2056" t="n">
        <v>2.8</v>
      </c>
      <c r="F2056" t="n">
        <v>2.808</v>
      </c>
      <c r="G2056" t="n">
        <v>7</v>
      </c>
      <c r="H2056" t="n">
        <v>60</v>
      </c>
      <c r="I2056" t="n">
        <v>28</v>
      </c>
      <c r="J2056" t="inlineStr">
        <is>
          <t>kaba</t>
        </is>
      </c>
      <c r="K2056" t="b">
        <v>1</v>
      </c>
      <c r="M2056" t="n">
        <v>248</v>
      </c>
      <c r="N2056" t="n">
        <v>36</v>
      </c>
      <c r="O2056" t="n">
        <v>226</v>
      </c>
      <c r="P2056" t="n">
        <v>754</v>
      </c>
      <c r="Q2056" t="n">
        <v>1002</v>
      </c>
      <c r="R2056" t="n">
        <v>1.09</v>
      </c>
      <c r="S2056" t="n">
        <v>12.683</v>
      </c>
      <c r="T2056" t="n">
        <v>11.633</v>
      </c>
      <c r="U2056" t="n">
        <v>0.777</v>
      </c>
      <c r="V2056" t="b">
        <v>1</v>
      </c>
      <c r="X2056" t="b">
        <v>0</v>
      </c>
      <c r="Y2056" t="inlineStr">
        <is>
          <t>ON</t>
        </is>
      </c>
      <c r="Z2056" t="n">
        <v>935</v>
      </c>
      <c r="AA2056" t="n">
        <v>2.5</v>
      </c>
      <c r="AB2056" t="n">
        <v>9.5</v>
      </c>
    </row>
    <row r="2057">
      <c r="A2057" t="inlineStr">
        <is>
          <t>2026-09-24 18:24:04</t>
        </is>
      </c>
      <c r="B2057" t="inlineStr">
        <is>
          <t>MLLB_000_y1.0.3</t>
        </is>
      </c>
      <c r="C2057" t="inlineStr">
        <is>
          <t>WHITE</t>
        </is>
      </c>
      <c r="D2057" t="inlineStr">
        <is>
          <t>v4_white_MLLB_000_y103_0924</t>
        </is>
      </c>
      <c r="E2057" t="n">
        <v>2.8</v>
      </c>
      <c r="F2057" t="n">
        <v>2.808</v>
      </c>
      <c r="G2057" t="n">
        <v>7</v>
      </c>
      <c r="H2057" t="n">
        <v>60</v>
      </c>
      <c r="I2057" t="n">
        <v>32</v>
      </c>
      <c r="J2057" t="inlineStr">
        <is>
          <t>kaba</t>
        </is>
      </c>
      <c r="K2057" t="b">
        <v>1</v>
      </c>
      <c r="M2057" t="n">
        <v>208</v>
      </c>
      <c r="N2057" t="n">
        <v>36</v>
      </c>
      <c r="O2057" t="n">
        <v>186</v>
      </c>
      <c r="P2057" t="n">
        <v>794</v>
      </c>
      <c r="Q2057" t="n">
        <v>1002</v>
      </c>
      <c r="R2057" t="n">
        <v>1.091</v>
      </c>
      <c r="S2057" t="n">
        <v>12.717</v>
      </c>
      <c r="T2057" t="n">
        <v>11.653</v>
      </c>
      <c r="U2057" t="n">
        <v>0.7776999999999999</v>
      </c>
      <c r="V2057" t="b">
        <v>1</v>
      </c>
      <c r="X2057" t="b">
        <v>0</v>
      </c>
      <c r="Y2057" t="inlineStr">
        <is>
          <t>ON</t>
        </is>
      </c>
      <c r="Z2057" t="n">
        <v>935</v>
      </c>
      <c r="AA2057" t="n">
        <v>2.5</v>
      </c>
      <c r="AB2057" t="n">
        <v>9.5</v>
      </c>
    </row>
    <row r="2058">
      <c r="A2058" t="inlineStr">
        <is>
          <t>2026-09-24 18:24:20</t>
        </is>
      </c>
      <c r="B2058" t="inlineStr">
        <is>
          <t>MLLB_000_y1.0.3</t>
        </is>
      </c>
      <c r="C2058" t="inlineStr">
        <is>
          <t>WHITE</t>
        </is>
      </c>
      <c r="D2058" t="inlineStr">
        <is>
          <t>v4_white_MLLB_000_y103_0924</t>
        </is>
      </c>
      <c r="E2058" t="n">
        <v>2.8</v>
      </c>
      <c r="F2058" t="n">
        <v>2.808</v>
      </c>
      <c r="G2058" t="n">
        <v>7</v>
      </c>
      <c r="H2058" t="n">
        <v>60</v>
      </c>
      <c r="I2058" t="n">
        <v>36</v>
      </c>
      <c r="J2058" t="inlineStr">
        <is>
          <t>kaba</t>
        </is>
      </c>
      <c r="K2058" t="b">
        <v>1</v>
      </c>
      <c r="M2058" t="n">
        <v>166</v>
      </c>
      <c r="N2058" t="n">
        <v>40</v>
      </c>
      <c r="O2058" t="n">
        <v>144</v>
      </c>
      <c r="P2058" t="n">
        <v>836</v>
      </c>
      <c r="Q2058" t="n">
        <v>1002</v>
      </c>
      <c r="R2058" t="n">
        <v>1.086</v>
      </c>
      <c r="S2058" t="n">
        <v>12.717</v>
      </c>
      <c r="T2058" t="n">
        <v>11.713</v>
      </c>
      <c r="U2058" t="n">
        <v>0.7775</v>
      </c>
      <c r="V2058" t="b">
        <v>1</v>
      </c>
      <c r="X2058" t="b">
        <v>0</v>
      </c>
      <c r="Y2058" t="inlineStr">
        <is>
          <t>ON</t>
        </is>
      </c>
      <c r="Z2058" t="n">
        <v>935</v>
      </c>
      <c r="AA2058" t="n">
        <v>2.5</v>
      </c>
      <c r="AB2058" t="n">
        <v>9.5</v>
      </c>
    </row>
    <row r="2059">
      <c r="A2059" t="inlineStr">
        <is>
          <t>2026-09-24 18:24:36</t>
        </is>
      </c>
      <c r="B2059" t="inlineStr">
        <is>
          <t>MLLB_000_y1.0.3</t>
        </is>
      </c>
      <c r="C2059" t="inlineStr">
        <is>
          <t>WHITE</t>
        </is>
      </c>
      <c r="D2059" t="inlineStr">
        <is>
          <t>v4_white_MLLB_000_y103_0924</t>
        </is>
      </c>
      <c r="E2059" t="n">
        <v>2.8</v>
      </c>
      <c r="F2059" t="n">
        <v>2.808</v>
      </c>
      <c r="G2059" t="n">
        <v>7</v>
      </c>
      <c r="H2059" t="n">
        <v>60</v>
      </c>
      <c r="I2059" t="n">
        <v>40</v>
      </c>
      <c r="J2059" t="inlineStr">
        <is>
          <t>kaba</t>
        </is>
      </c>
      <c r="K2059" t="b">
        <v>1</v>
      </c>
      <c r="M2059" t="n">
        <v>124</v>
      </c>
      <c r="N2059" t="n">
        <v>36</v>
      </c>
      <c r="O2059" t="n">
        <v>102</v>
      </c>
      <c r="P2059" t="n">
        <v>878</v>
      </c>
      <c r="Q2059" t="n">
        <v>1002</v>
      </c>
      <c r="R2059" t="n">
        <v>1.082</v>
      </c>
      <c r="S2059" t="n">
        <v>12.682</v>
      </c>
      <c r="T2059" t="n">
        <v>11.722</v>
      </c>
      <c r="U2059" t="n">
        <v>0.7776</v>
      </c>
      <c r="V2059" t="b">
        <v>1</v>
      </c>
      <c r="X2059" t="b">
        <v>0</v>
      </c>
      <c r="Y2059" t="inlineStr">
        <is>
          <t>ON</t>
        </is>
      </c>
      <c r="Z2059" t="n">
        <v>935</v>
      </c>
      <c r="AA2059" t="n">
        <v>2.5</v>
      </c>
      <c r="AB2059" t="n">
        <v>9.5</v>
      </c>
    </row>
    <row r="2060">
      <c r="A2060" t="inlineStr">
        <is>
          <t>2026-09-24 18:24:52</t>
        </is>
      </c>
      <c r="B2060" t="inlineStr">
        <is>
          <t>MLLB_000_y1.0.3</t>
        </is>
      </c>
      <c r="C2060" t="inlineStr">
        <is>
          <t>WHITE</t>
        </is>
      </c>
      <c r="D2060" t="inlineStr">
        <is>
          <t>v4_white_MLLB_000_y103_0924</t>
        </is>
      </c>
      <c r="E2060" t="n">
        <v>2.8</v>
      </c>
      <c r="F2060" t="n">
        <v>2.808</v>
      </c>
      <c r="G2060" t="n">
        <v>7</v>
      </c>
      <c r="H2060" t="n">
        <v>60</v>
      </c>
      <c r="I2060" t="n">
        <v>44</v>
      </c>
      <c r="J2060" t="inlineStr">
        <is>
          <t>kaba</t>
        </is>
      </c>
      <c r="K2060" t="b">
        <v>1</v>
      </c>
      <c r="M2060" t="n">
        <v>82</v>
      </c>
      <c r="N2060" t="n">
        <v>40</v>
      </c>
      <c r="O2060" t="n">
        <v>60</v>
      </c>
      <c r="P2060" t="n">
        <v>920</v>
      </c>
      <c r="Q2060" t="n">
        <v>1002</v>
      </c>
      <c r="R2060" t="n">
        <v>1.087</v>
      </c>
      <c r="S2060" t="n">
        <v>12.764</v>
      </c>
      <c r="T2060" t="n">
        <v>11.742</v>
      </c>
      <c r="U2060" t="n">
        <v>0.7779</v>
      </c>
      <c r="V2060" t="b">
        <v>1</v>
      </c>
      <c r="X2060" t="b">
        <v>0</v>
      </c>
      <c r="Y2060" t="inlineStr">
        <is>
          <t>ON</t>
        </is>
      </c>
      <c r="Z2060" t="n">
        <v>935</v>
      </c>
      <c r="AA2060" t="n">
        <v>2.5</v>
      </c>
      <c r="AB2060" t="n">
        <v>9.5</v>
      </c>
    </row>
    <row r="2061">
      <c r="A2061" t="inlineStr">
        <is>
          <t>2026-09-24 18:25:08</t>
        </is>
      </c>
      <c r="B2061" t="inlineStr">
        <is>
          <t>MLLB_000_y1.0.3</t>
        </is>
      </c>
      <c r="C2061" t="inlineStr">
        <is>
          <t>WHITE</t>
        </is>
      </c>
      <c r="D2061" t="inlineStr">
        <is>
          <t>v4_white_MLLB_000_y103_0924</t>
        </is>
      </c>
      <c r="E2061" t="n">
        <v>2.8</v>
      </c>
      <c r="F2061" t="n">
        <v>2.808</v>
      </c>
      <c r="G2061" t="n">
        <v>7</v>
      </c>
      <c r="H2061" t="n">
        <v>60</v>
      </c>
      <c r="I2061" t="n">
        <v>48</v>
      </c>
      <c r="J2061" t="inlineStr">
        <is>
          <t>kaba</t>
        </is>
      </c>
      <c r="K2061" t="b">
        <v>1</v>
      </c>
      <c r="M2061" t="n">
        <v>54</v>
      </c>
      <c r="N2061" t="n">
        <v>28</v>
      </c>
      <c r="O2061" t="n">
        <v>34</v>
      </c>
      <c r="P2061" t="n">
        <v>948</v>
      </c>
      <c r="Q2061" t="n">
        <v>1002</v>
      </c>
      <c r="R2061" t="n">
        <v>2.198</v>
      </c>
      <c r="S2061" t="n">
        <v>25.774</v>
      </c>
      <c r="T2061" t="n">
        <v>11.727</v>
      </c>
      <c r="U2061" t="n">
        <v>0.7772</v>
      </c>
      <c r="V2061" t="b">
        <v>1</v>
      </c>
      <c r="X2061" t="b">
        <v>1</v>
      </c>
      <c r="Z2061" t="n">
        <v>935</v>
      </c>
      <c r="AA2061" t="n">
        <v>2.5</v>
      </c>
      <c r="AB2061" t="n">
        <v>9.5</v>
      </c>
    </row>
    <row r="2062">
      <c r="A2062" t="inlineStr">
        <is>
          <t>2026-09-24 18:25:24</t>
        </is>
      </c>
      <c r="B2062" t="inlineStr">
        <is>
          <t>MLLB_000_y1.0.3</t>
        </is>
      </c>
      <c r="C2062" t="inlineStr">
        <is>
          <t>WHITE</t>
        </is>
      </c>
      <c r="D2062" t="inlineStr">
        <is>
          <t>v4_white_MLLB_000_y103_0924</t>
        </is>
      </c>
      <c r="E2062" t="n">
        <v>2.8</v>
      </c>
      <c r="F2062" t="n">
        <v>2.808</v>
      </c>
      <c r="G2062" t="n">
        <v>7</v>
      </c>
      <c r="H2062" t="n">
        <v>60</v>
      </c>
      <c r="I2062" t="n">
        <v>52</v>
      </c>
      <c r="J2062" t="inlineStr">
        <is>
          <t>kaba</t>
        </is>
      </c>
      <c r="K2062" t="b">
        <v>1</v>
      </c>
      <c r="M2062" t="n">
        <v>54</v>
      </c>
      <c r="N2062" t="n">
        <v>28</v>
      </c>
      <c r="O2062" t="n">
        <v>34</v>
      </c>
      <c r="P2062" t="n">
        <v>948</v>
      </c>
      <c r="Q2062" t="n">
        <v>1002</v>
      </c>
      <c r="R2062" t="n">
        <v>8.468</v>
      </c>
      <c r="S2062" t="n">
        <v>99.179</v>
      </c>
      <c r="T2062" t="n">
        <v>11.712</v>
      </c>
      <c r="U2062" t="n">
        <v>0.7773</v>
      </c>
      <c r="V2062" t="b">
        <v>1</v>
      </c>
      <c r="X2062" t="b">
        <v>0</v>
      </c>
      <c r="Y2062" t="inlineStr">
        <is>
          <t>FLAS</t>
        </is>
      </c>
      <c r="Z2062" t="n">
        <v>935</v>
      </c>
      <c r="AA2062" t="n">
        <v>2.5</v>
      </c>
      <c r="AB2062" t="n">
        <v>9.5</v>
      </c>
    </row>
    <row r="2063">
      <c r="A2063" t="inlineStr">
        <is>
          <t>2026-09-24 18:25:40</t>
        </is>
      </c>
      <c r="B2063" t="inlineStr">
        <is>
          <t>MLLB_000_y1.0.3</t>
        </is>
      </c>
      <c r="C2063" t="inlineStr">
        <is>
          <t>WHITE</t>
        </is>
      </c>
      <c r="D2063" t="inlineStr">
        <is>
          <t>v4_white_MLLB_000_y103_0924</t>
        </is>
      </c>
      <c r="E2063" t="n">
        <v>2.8</v>
      </c>
      <c r="F2063" t="n">
        <v>2.808</v>
      </c>
      <c r="G2063" t="n">
        <v>7</v>
      </c>
      <c r="H2063" t="n">
        <v>60</v>
      </c>
      <c r="I2063" t="n">
        <v>45</v>
      </c>
      <c r="J2063" t="inlineStr">
        <is>
          <t>ince</t>
        </is>
      </c>
      <c r="K2063" t="b">
        <v>1</v>
      </c>
      <c r="M2063" t="n">
        <v>70</v>
      </c>
      <c r="N2063" t="n">
        <v>36</v>
      </c>
      <c r="O2063" t="n">
        <v>50</v>
      </c>
      <c r="P2063" t="n">
        <v>932</v>
      </c>
      <c r="Q2063" t="n">
        <v>1002</v>
      </c>
      <c r="R2063" t="n">
        <v>1.085</v>
      </c>
      <c r="S2063" t="n">
        <v>12.717</v>
      </c>
      <c r="T2063" t="n">
        <v>11.72</v>
      </c>
      <c r="U2063" t="n">
        <v>0.7773</v>
      </c>
      <c r="V2063" t="b">
        <v>1</v>
      </c>
      <c r="X2063" t="b">
        <v>0</v>
      </c>
      <c r="Y2063" t="inlineStr">
        <is>
          <t>ON</t>
        </is>
      </c>
      <c r="Z2063" t="n">
        <v>935</v>
      </c>
      <c r="AA2063" t="n">
        <v>2.5</v>
      </c>
      <c r="AB2063" t="n">
        <v>9.5</v>
      </c>
    </row>
    <row r="2064">
      <c r="A2064" t="inlineStr">
        <is>
          <t>2026-09-24 18:25:56</t>
        </is>
      </c>
      <c r="B2064" t="inlineStr">
        <is>
          <t>MLLB_000_y1.0.3</t>
        </is>
      </c>
      <c r="C2064" t="inlineStr">
        <is>
          <t>WHITE</t>
        </is>
      </c>
      <c r="D2064" t="inlineStr">
        <is>
          <t>v4_white_MLLB_000_y103_0924</t>
        </is>
      </c>
      <c r="E2064" t="n">
        <v>2.8</v>
      </c>
      <c r="F2064" t="n">
        <v>2.808</v>
      </c>
      <c r="G2064" t="n">
        <v>7</v>
      </c>
      <c r="H2064" t="n">
        <v>60</v>
      </c>
      <c r="I2064" t="n">
        <v>46</v>
      </c>
      <c r="J2064" t="inlineStr">
        <is>
          <t>ince</t>
        </is>
      </c>
      <c r="K2064" t="b">
        <v>1</v>
      </c>
      <c r="M2064" t="n">
        <v>58</v>
      </c>
      <c r="N2064" t="n">
        <v>38</v>
      </c>
      <c r="O2064" t="n">
        <v>36</v>
      </c>
      <c r="P2064" t="n">
        <v>944</v>
      </c>
      <c r="Q2064" t="n">
        <v>1002</v>
      </c>
      <c r="R2064" t="n">
        <v>1.09</v>
      </c>
      <c r="S2064" t="n">
        <v>12.764</v>
      </c>
      <c r="T2064" t="n">
        <v>11.714</v>
      </c>
      <c r="U2064" t="n">
        <v>0.7775</v>
      </c>
      <c r="V2064" t="b">
        <v>1</v>
      </c>
      <c r="X2064" t="b">
        <v>1</v>
      </c>
      <c r="Z2064" t="n">
        <v>935</v>
      </c>
      <c r="AA2064" t="n">
        <v>2.5</v>
      </c>
      <c r="AB2064" t="n">
        <v>9.5</v>
      </c>
    </row>
    <row r="2065">
      <c r="A2065" t="inlineStr">
        <is>
          <t>2026-09-24 18:26:12</t>
        </is>
      </c>
      <c r="B2065" t="inlineStr">
        <is>
          <t>MLLB_000_y1.0.3</t>
        </is>
      </c>
      <c r="C2065" t="inlineStr">
        <is>
          <t>WHITE</t>
        </is>
      </c>
      <c r="D2065" t="inlineStr">
        <is>
          <t>v4_white_MLLB_000_y103_0924</t>
        </is>
      </c>
      <c r="E2065" t="n">
        <v>2.8</v>
      </c>
      <c r="F2065" t="n">
        <v>2.808</v>
      </c>
      <c r="G2065" t="n">
        <v>7</v>
      </c>
      <c r="H2065" t="n">
        <v>60</v>
      </c>
      <c r="I2065" t="n">
        <v>47</v>
      </c>
      <c r="J2065" t="inlineStr">
        <is>
          <t>ince</t>
        </is>
      </c>
      <c r="K2065" t="b">
        <v>1</v>
      </c>
      <c r="M2065" t="n">
        <v>54</v>
      </c>
      <c r="N2065" t="n">
        <v>28</v>
      </c>
      <c r="O2065" t="n">
        <v>34</v>
      </c>
      <c r="P2065" t="n">
        <v>948</v>
      </c>
      <c r="Q2065" t="n">
        <v>1002</v>
      </c>
      <c r="R2065" t="n">
        <v>1.084</v>
      </c>
      <c r="S2065" t="n">
        <v>12.717</v>
      </c>
      <c r="T2065" t="n">
        <v>11.735</v>
      </c>
      <c r="U2065" t="n">
        <v>0.7776</v>
      </c>
      <c r="V2065" t="b">
        <v>1</v>
      </c>
      <c r="X2065" t="b">
        <v>1</v>
      </c>
      <c r="Z2065" t="n">
        <v>935</v>
      </c>
      <c r="AA2065" t="n">
        <v>2.5</v>
      </c>
      <c r="AB2065" t="n">
        <v>9.5</v>
      </c>
    </row>
    <row r="2066">
      <c r="A2066" t="inlineStr">
        <is>
          <t>2026-09-24 18:26:28</t>
        </is>
      </c>
      <c r="B2066" t="inlineStr">
        <is>
          <t>MLLB_000_y1.0.3</t>
        </is>
      </c>
      <c r="C2066" t="inlineStr">
        <is>
          <t>WHITE</t>
        </is>
      </c>
      <c r="D2066" t="inlineStr">
        <is>
          <t>v4_white_MLLB_000_y103_0924</t>
        </is>
      </c>
      <c r="E2066" t="n">
        <v>2.8</v>
      </c>
      <c r="F2066" t="n">
        <v>2.808</v>
      </c>
      <c r="G2066" t="n">
        <v>7</v>
      </c>
      <c r="H2066" t="n">
        <v>60</v>
      </c>
      <c r="I2066" t="n">
        <v>49</v>
      </c>
      <c r="J2066" t="inlineStr">
        <is>
          <t>ince</t>
        </is>
      </c>
      <c r="K2066" t="b">
        <v>1</v>
      </c>
      <c r="M2066" t="n">
        <v>54</v>
      </c>
      <c r="N2066" t="n">
        <v>28</v>
      </c>
      <c r="O2066" t="n">
        <v>34</v>
      </c>
      <c r="P2066" t="n">
        <v>948</v>
      </c>
      <c r="Q2066" t="n">
        <v>1002</v>
      </c>
      <c r="R2066" t="n">
        <v>3.838</v>
      </c>
      <c r="S2066" t="n">
        <v>45.043</v>
      </c>
      <c r="T2066" t="n">
        <v>11.736</v>
      </c>
      <c r="U2066" t="n">
        <v>0.7778</v>
      </c>
      <c r="V2066" t="b">
        <v>1</v>
      </c>
      <c r="X2066" t="b">
        <v>0</v>
      </c>
      <c r="Y2066" t="inlineStr">
        <is>
          <t>FLAS</t>
        </is>
      </c>
      <c r="Z2066" t="n">
        <v>935</v>
      </c>
      <c r="AA2066" t="n">
        <v>2.5</v>
      </c>
      <c r="AB2066" t="n">
        <v>9.5</v>
      </c>
    </row>
    <row r="2067">
      <c r="A2067" t="inlineStr">
        <is>
          <t>2026-09-24 18:26:44</t>
        </is>
      </c>
      <c r="B2067" t="inlineStr">
        <is>
          <t>MLLB_000_y1.0.3</t>
        </is>
      </c>
      <c r="C2067" t="inlineStr">
        <is>
          <t>WHITE</t>
        </is>
      </c>
      <c r="D2067" t="inlineStr">
        <is>
          <t>v4_white_MLLB_000_y103_0924</t>
        </is>
      </c>
      <c r="E2067" t="n">
        <v>2.8</v>
      </c>
      <c r="F2067" t="n">
        <v>2.808</v>
      </c>
      <c r="G2067" t="n">
        <v>7</v>
      </c>
      <c r="H2067" t="n">
        <v>60</v>
      </c>
      <c r="I2067" t="n">
        <v>50</v>
      </c>
      <c r="J2067" t="inlineStr">
        <is>
          <t>ince</t>
        </is>
      </c>
      <c r="K2067" t="b">
        <v>1</v>
      </c>
      <c r="M2067" t="n">
        <v>54</v>
      </c>
      <c r="N2067" t="n">
        <v>28</v>
      </c>
      <c r="O2067" t="n">
        <v>34</v>
      </c>
      <c r="P2067" t="n">
        <v>948</v>
      </c>
      <c r="Q2067" t="n">
        <v>1002</v>
      </c>
      <c r="R2067" t="n">
        <v>6.663</v>
      </c>
      <c r="S2067" t="n">
        <v>78.152</v>
      </c>
      <c r="T2067" t="n">
        <v>11.729</v>
      </c>
      <c r="U2067" t="n">
        <v>0.7774</v>
      </c>
      <c r="V2067" t="b">
        <v>1</v>
      </c>
      <c r="X2067" t="b">
        <v>0</v>
      </c>
      <c r="Y2067" t="inlineStr">
        <is>
          <t>FLAS</t>
        </is>
      </c>
      <c r="Z2067" t="n">
        <v>935</v>
      </c>
      <c r="AA2067" t="n">
        <v>2.5</v>
      </c>
      <c r="AB2067" t="n">
        <v>9.5</v>
      </c>
    </row>
    <row r="2068">
      <c r="A2068" t="inlineStr">
        <is>
          <t>2026-09-24 18:27:00</t>
        </is>
      </c>
      <c r="B2068" t="inlineStr">
        <is>
          <t>MLLB_000_y1.0.3</t>
        </is>
      </c>
      <c r="C2068" t="inlineStr">
        <is>
          <t>WHITE</t>
        </is>
      </c>
      <c r="D2068" t="inlineStr">
        <is>
          <t>v4_white_MLLB_000_y103_0924</t>
        </is>
      </c>
      <c r="E2068" t="n">
        <v>2.8</v>
      </c>
      <c r="F2068" t="n">
        <v>2.808</v>
      </c>
      <c r="G2068" t="n">
        <v>7</v>
      </c>
      <c r="H2068" t="n">
        <v>60</v>
      </c>
      <c r="I2068" t="n">
        <v>51</v>
      </c>
      <c r="J2068" t="inlineStr">
        <is>
          <t>ince</t>
        </is>
      </c>
      <c r="K2068" t="b">
        <v>1</v>
      </c>
      <c r="M2068" t="n">
        <v>54</v>
      </c>
      <c r="N2068" t="n">
        <v>28</v>
      </c>
      <c r="O2068" t="n">
        <v>34</v>
      </c>
      <c r="P2068" t="n">
        <v>948</v>
      </c>
      <c r="Q2068" t="n">
        <v>1002</v>
      </c>
      <c r="R2068" t="n">
        <v>7.895</v>
      </c>
      <c r="S2068" t="n">
        <v>92.41200000000001</v>
      </c>
      <c r="T2068" t="n">
        <v>11.706</v>
      </c>
      <c r="U2068" t="n">
        <v>0.7772</v>
      </c>
      <c r="V2068" t="b">
        <v>1</v>
      </c>
      <c r="X2068" t="b">
        <v>0</v>
      </c>
      <c r="Y2068" t="inlineStr">
        <is>
          <t>FLAS</t>
        </is>
      </c>
      <c r="Z2068" t="n">
        <v>935</v>
      </c>
      <c r="AA2068" t="n">
        <v>2.5</v>
      </c>
      <c r="AB2068" t="n">
        <v>9.5</v>
      </c>
    </row>
    <row r="2069">
      <c r="A2069" t="inlineStr">
        <is>
          <t>2026-09-24 18:27:00</t>
        </is>
      </c>
      <c r="B2069" t="inlineStr">
        <is>
          <t>MLLB_000_y1.0.3</t>
        </is>
      </c>
      <c r="C2069" t="inlineStr">
        <is>
          <t>WHITE</t>
        </is>
      </c>
      <c r="D2069" t="inlineStr">
        <is>
          <t>v4_white_MLLB_000_y103_0924</t>
        </is>
      </c>
      <c r="E2069" t="n">
        <v>2.8</v>
      </c>
      <c r="F2069" t="n">
        <v>2.808</v>
      </c>
      <c r="G2069" t="n">
        <v>7</v>
      </c>
      <c r="H2069" t="n">
        <v>60</v>
      </c>
      <c r="J2069" t="inlineStr">
        <is>
          <t>bitti</t>
        </is>
      </c>
      <c r="K2069" t="b">
        <v>0</v>
      </c>
      <c r="Z2069" t="n">
        <v>935</v>
      </c>
      <c r="AA2069" t="n">
        <v>2.5</v>
      </c>
      <c r="AB2069" t="n">
        <v>9.5</v>
      </c>
    </row>
    <row r="2070">
      <c r="A2070" t="inlineStr">
        <is>
          <t>2026-09-24 18:27:22</t>
        </is>
      </c>
      <c r="B2070" t="inlineStr">
        <is>
          <t>MLLB_000_y1.0.3</t>
        </is>
      </c>
      <c r="C2070" t="inlineStr">
        <is>
          <t>WHITE</t>
        </is>
      </c>
      <c r="D2070" t="inlineStr">
        <is>
          <t>v4_white_MLLB_000_y103_0924</t>
        </is>
      </c>
      <c r="E2070" t="n">
        <v>2.8</v>
      </c>
      <c r="F2070" t="n">
        <v>2.808</v>
      </c>
      <c r="G2070" t="n">
        <v>8</v>
      </c>
      <c r="H2070" t="n">
        <v>100</v>
      </c>
      <c r="I2070" t="n">
        <v>12</v>
      </c>
      <c r="J2070" t="inlineStr">
        <is>
          <t>kaba</t>
        </is>
      </c>
      <c r="K2070" t="b">
        <v>1</v>
      </c>
      <c r="M2070" t="n">
        <v>286</v>
      </c>
      <c r="N2070" t="n">
        <v>32</v>
      </c>
      <c r="O2070" t="n">
        <v>266</v>
      </c>
      <c r="P2070" t="n">
        <v>716</v>
      </c>
      <c r="Q2070" t="n">
        <v>1002</v>
      </c>
      <c r="R2070" t="n">
        <v>1.159</v>
      </c>
      <c r="S2070" t="n">
        <v>16.127</v>
      </c>
      <c r="T2070" t="n">
        <v>13.916</v>
      </c>
      <c r="U2070" t="n">
        <v>0.7782</v>
      </c>
      <c r="V2070" t="b">
        <v>1</v>
      </c>
      <c r="X2070" t="b">
        <v>0</v>
      </c>
      <c r="Y2070" t="inlineStr">
        <is>
          <t>ON</t>
        </is>
      </c>
      <c r="Z2070" t="n">
        <v>935</v>
      </c>
      <c r="AA2070" t="n">
        <v>2.5</v>
      </c>
      <c r="AB2070" t="n">
        <v>9.5</v>
      </c>
    </row>
    <row r="2071">
      <c r="A2071" t="inlineStr">
        <is>
          <t>2026-09-24 18:27:38</t>
        </is>
      </c>
      <c r="B2071" t="inlineStr">
        <is>
          <t>MLLB_000_y1.0.3</t>
        </is>
      </c>
      <c r="C2071" t="inlineStr">
        <is>
          <t>WHITE</t>
        </is>
      </c>
      <c r="D2071" t="inlineStr">
        <is>
          <t>v4_white_MLLB_000_y103_0924</t>
        </is>
      </c>
      <c r="E2071" t="n">
        <v>2.8</v>
      </c>
      <c r="F2071" t="n">
        <v>2.808</v>
      </c>
      <c r="G2071" t="n">
        <v>8</v>
      </c>
      <c r="H2071" t="n">
        <v>100</v>
      </c>
      <c r="I2071" t="n">
        <v>16</v>
      </c>
      <c r="J2071" t="inlineStr">
        <is>
          <t>kaba</t>
        </is>
      </c>
      <c r="K2071" t="b">
        <v>1</v>
      </c>
      <c r="M2071" t="n">
        <v>230</v>
      </c>
      <c r="N2071" t="n">
        <v>34</v>
      </c>
      <c r="O2071" t="n">
        <v>208</v>
      </c>
      <c r="P2071" t="n">
        <v>772</v>
      </c>
      <c r="Q2071" t="n">
        <v>1002</v>
      </c>
      <c r="R2071" t="n">
        <v>1.146</v>
      </c>
      <c r="S2071" t="n">
        <v>16.023</v>
      </c>
      <c r="T2071" t="n">
        <v>13.976</v>
      </c>
      <c r="U2071" t="n">
        <v>0.7778</v>
      </c>
      <c r="V2071" t="b">
        <v>1</v>
      </c>
      <c r="X2071" t="b">
        <v>0</v>
      </c>
      <c r="Y2071" t="inlineStr">
        <is>
          <t>ON</t>
        </is>
      </c>
      <c r="Z2071" t="n">
        <v>935</v>
      </c>
      <c r="AA2071" t="n">
        <v>2.5</v>
      </c>
      <c r="AB2071" t="n">
        <v>9.5</v>
      </c>
    </row>
    <row r="2072">
      <c r="A2072" t="inlineStr">
        <is>
          <t>2026-09-24 18:27:54</t>
        </is>
      </c>
      <c r="B2072" t="inlineStr">
        <is>
          <t>MLLB_000_y1.0.3</t>
        </is>
      </c>
      <c r="C2072" t="inlineStr">
        <is>
          <t>WHITE</t>
        </is>
      </c>
      <c r="D2072" t="inlineStr">
        <is>
          <t>v4_white_MLLB_000_y103_0924</t>
        </is>
      </c>
      <c r="E2072" t="n">
        <v>2.8</v>
      </c>
      <c r="F2072" t="n">
        <v>2.808</v>
      </c>
      <c r="G2072" t="n">
        <v>8</v>
      </c>
      <c r="H2072" t="n">
        <v>100</v>
      </c>
      <c r="I2072" t="n">
        <v>20</v>
      </c>
      <c r="J2072" t="inlineStr">
        <is>
          <t>kaba</t>
        </is>
      </c>
      <c r="K2072" t="b">
        <v>1</v>
      </c>
      <c r="M2072" t="n">
        <v>172</v>
      </c>
      <c r="N2072" t="n">
        <v>36</v>
      </c>
      <c r="O2072" t="n">
        <v>150</v>
      </c>
      <c r="P2072" t="n">
        <v>830</v>
      </c>
      <c r="Q2072" t="n">
        <v>1002</v>
      </c>
      <c r="R2072" t="n">
        <v>1.149</v>
      </c>
      <c r="S2072" t="n">
        <v>16.08</v>
      </c>
      <c r="T2072" t="n">
        <v>13.996</v>
      </c>
      <c r="U2072" t="n">
        <v>0.7776</v>
      </c>
      <c r="V2072" t="b">
        <v>1</v>
      </c>
      <c r="X2072" t="b">
        <v>0</v>
      </c>
      <c r="Y2072" t="inlineStr">
        <is>
          <t>ON</t>
        </is>
      </c>
      <c r="Z2072" t="n">
        <v>935</v>
      </c>
      <c r="AA2072" t="n">
        <v>2.5</v>
      </c>
      <c r="AB2072" t="n">
        <v>9.5</v>
      </c>
    </row>
    <row r="2073">
      <c r="A2073" t="inlineStr">
        <is>
          <t>2026-09-24 18:28:10</t>
        </is>
      </c>
      <c r="B2073" t="inlineStr">
        <is>
          <t>MLLB_000_y1.0.3</t>
        </is>
      </c>
      <c r="C2073" t="inlineStr">
        <is>
          <t>WHITE</t>
        </is>
      </c>
      <c r="D2073" t="inlineStr">
        <is>
          <t>v4_white_MLLB_000_y103_0924</t>
        </is>
      </c>
      <c r="E2073" t="n">
        <v>2.8</v>
      </c>
      <c r="F2073" t="n">
        <v>2.808</v>
      </c>
      <c r="G2073" t="n">
        <v>8</v>
      </c>
      <c r="H2073" t="n">
        <v>100</v>
      </c>
      <c r="I2073" t="n">
        <v>24</v>
      </c>
      <c r="J2073" t="inlineStr">
        <is>
          <t>kaba</t>
        </is>
      </c>
      <c r="K2073" t="b">
        <v>1</v>
      </c>
      <c r="M2073" t="n">
        <v>116</v>
      </c>
      <c r="N2073" t="n">
        <v>36</v>
      </c>
      <c r="O2073" t="n">
        <v>94</v>
      </c>
      <c r="P2073" t="n">
        <v>886</v>
      </c>
      <c r="Q2073" t="n">
        <v>1002</v>
      </c>
      <c r="R2073" t="n">
        <v>1.138</v>
      </c>
      <c r="S2073" t="n">
        <v>15.985</v>
      </c>
      <c r="T2073" t="n">
        <v>14.043</v>
      </c>
      <c r="U2073" t="n">
        <v>0.7774</v>
      </c>
      <c r="V2073" t="b">
        <v>1</v>
      </c>
      <c r="X2073" t="b">
        <v>0</v>
      </c>
      <c r="Y2073" t="inlineStr">
        <is>
          <t>ON</t>
        </is>
      </c>
      <c r="Z2073" t="n">
        <v>935</v>
      </c>
      <c r="AA2073" t="n">
        <v>2.5</v>
      </c>
      <c r="AB2073" t="n">
        <v>9.5</v>
      </c>
    </row>
    <row r="2074">
      <c r="A2074" t="inlineStr">
        <is>
          <t>2026-09-24 18:28:26</t>
        </is>
      </c>
      <c r="B2074" t="inlineStr">
        <is>
          <t>MLLB_000_y1.0.3</t>
        </is>
      </c>
      <c r="C2074" t="inlineStr">
        <is>
          <t>WHITE</t>
        </is>
      </c>
      <c r="D2074" t="inlineStr">
        <is>
          <t>v4_white_MLLB_000_y103_0924</t>
        </is>
      </c>
      <c r="E2074" t="n">
        <v>2.8</v>
      </c>
      <c r="F2074" t="n">
        <v>2.808</v>
      </c>
      <c r="G2074" t="n">
        <v>8</v>
      </c>
      <c r="H2074" t="n">
        <v>100</v>
      </c>
      <c r="I2074" t="n">
        <v>28</v>
      </c>
      <c r="J2074" t="inlineStr">
        <is>
          <t>kaba</t>
        </is>
      </c>
      <c r="K2074" t="b">
        <v>1</v>
      </c>
      <c r="M2074" t="n">
        <v>56</v>
      </c>
      <c r="N2074" t="n">
        <v>36</v>
      </c>
      <c r="O2074" t="n">
        <v>34</v>
      </c>
      <c r="P2074" t="n">
        <v>946</v>
      </c>
      <c r="Q2074" t="n">
        <v>1002</v>
      </c>
      <c r="R2074" t="n">
        <v>1.142</v>
      </c>
      <c r="S2074" t="n">
        <v>16.102</v>
      </c>
      <c r="T2074" t="n">
        <v>14.096</v>
      </c>
      <c r="U2074" t="n">
        <v>0.7776999999999999</v>
      </c>
      <c r="V2074" t="b">
        <v>1</v>
      </c>
      <c r="X2074" t="b">
        <v>1</v>
      </c>
      <c r="Z2074" t="n">
        <v>935</v>
      </c>
      <c r="AA2074" t="n">
        <v>2.5</v>
      </c>
      <c r="AB2074" t="n">
        <v>9.5</v>
      </c>
    </row>
    <row r="2075">
      <c r="A2075" t="inlineStr">
        <is>
          <t>2026-09-24 18:28:42</t>
        </is>
      </c>
      <c r="B2075" t="inlineStr">
        <is>
          <t>MLLB_000_y1.0.3</t>
        </is>
      </c>
      <c r="C2075" t="inlineStr">
        <is>
          <t>WHITE</t>
        </is>
      </c>
      <c r="D2075" t="inlineStr">
        <is>
          <t>v4_white_MLLB_000_y103_0924</t>
        </is>
      </c>
      <c r="E2075" t="n">
        <v>2.8</v>
      </c>
      <c r="F2075" t="n">
        <v>2.808</v>
      </c>
      <c r="G2075" t="n">
        <v>8</v>
      </c>
      <c r="H2075" t="n">
        <v>100</v>
      </c>
      <c r="I2075" t="n">
        <v>32</v>
      </c>
      <c r="J2075" t="inlineStr">
        <is>
          <t>kaba</t>
        </is>
      </c>
      <c r="K2075" t="b">
        <v>1</v>
      </c>
      <c r="M2075" t="n">
        <v>38</v>
      </c>
      <c r="N2075" t="n">
        <v>28</v>
      </c>
      <c r="O2075" t="n">
        <v>18</v>
      </c>
      <c r="P2075" t="n">
        <v>964</v>
      </c>
      <c r="Q2075" t="n">
        <v>1002</v>
      </c>
      <c r="R2075" t="n">
        <v>7.189</v>
      </c>
      <c r="S2075" t="n">
        <v>101.461</v>
      </c>
      <c r="T2075" t="n">
        <v>14.114</v>
      </c>
      <c r="U2075" t="n">
        <v>0.7776999999999999</v>
      </c>
      <c r="V2075" t="b">
        <v>1</v>
      </c>
      <c r="X2075" t="b">
        <v>0</v>
      </c>
      <c r="Y2075" t="inlineStr">
        <is>
          <t>FLAS</t>
        </is>
      </c>
      <c r="Z2075" t="n">
        <v>935</v>
      </c>
      <c r="AA2075" t="n">
        <v>2.5</v>
      </c>
      <c r="AB2075" t="n">
        <v>9.5</v>
      </c>
    </row>
    <row r="2076">
      <c r="A2076" t="inlineStr">
        <is>
          <t>2026-09-24 18:28:58</t>
        </is>
      </c>
      <c r="B2076" t="inlineStr">
        <is>
          <t>MLLB_000_y1.0.3</t>
        </is>
      </c>
      <c r="C2076" t="inlineStr">
        <is>
          <t>WHITE</t>
        </is>
      </c>
      <c r="D2076" t="inlineStr">
        <is>
          <t>v4_white_MLLB_000_y103_0924</t>
        </is>
      </c>
      <c r="E2076" t="n">
        <v>2.8</v>
      </c>
      <c r="F2076" t="n">
        <v>2.808</v>
      </c>
      <c r="G2076" t="n">
        <v>8</v>
      </c>
      <c r="H2076" t="n">
        <v>100</v>
      </c>
      <c r="I2076" t="n">
        <v>25</v>
      </c>
      <c r="J2076" t="inlineStr">
        <is>
          <t>ince</t>
        </is>
      </c>
      <c r="K2076" t="b">
        <v>1</v>
      </c>
      <c r="M2076" t="n">
        <v>100</v>
      </c>
      <c r="N2076" t="n">
        <v>34</v>
      </c>
      <c r="O2076" t="n">
        <v>80</v>
      </c>
      <c r="P2076" t="n">
        <v>902</v>
      </c>
      <c r="Q2076" t="n">
        <v>1002</v>
      </c>
      <c r="R2076" t="n">
        <v>1.144</v>
      </c>
      <c r="S2076" t="n">
        <v>16.127</v>
      </c>
      <c r="T2076" t="n">
        <v>14.097</v>
      </c>
      <c r="U2076" t="n">
        <v>0.7775</v>
      </c>
      <c r="V2076" t="b">
        <v>1</v>
      </c>
      <c r="X2076" t="b">
        <v>0</v>
      </c>
      <c r="Y2076" t="inlineStr">
        <is>
          <t>ON</t>
        </is>
      </c>
      <c r="Z2076" t="n">
        <v>935</v>
      </c>
      <c r="AA2076" t="n">
        <v>2.5</v>
      </c>
      <c r="AB2076" t="n">
        <v>9.5</v>
      </c>
    </row>
    <row r="2077">
      <c r="A2077" t="inlineStr">
        <is>
          <t>2026-09-24 18:29:14</t>
        </is>
      </c>
      <c r="B2077" t="inlineStr">
        <is>
          <t>MLLB_000_y1.0.3</t>
        </is>
      </c>
      <c r="C2077" t="inlineStr">
        <is>
          <t>WHITE</t>
        </is>
      </c>
      <c r="D2077" t="inlineStr">
        <is>
          <t>v4_white_MLLB_000_y103_0924</t>
        </is>
      </c>
      <c r="E2077" t="n">
        <v>2.8</v>
      </c>
      <c r="F2077" t="n">
        <v>2.808</v>
      </c>
      <c r="G2077" t="n">
        <v>8</v>
      </c>
      <c r="H2077" t="n">
        <v>100</v>
      </c>
      <c r="I2077" t="n">
        <v>26</v>
      </c>
      <c r="J2077" t="inlineStr">
        <is>
          <t>ince</t>
        </is>
      </c>
      <c r="K2077" t="b">
        <v>1</v>
      </c>
      <c r="M2077" t="n">
        <v>86</v>
      </c>
      <c r="N2077" t="n">
        <v>32</v>
      </c>
      <c r="O2077" t="n">
        <v>66</v>
      </c>
      <c r="P2077" t="n">
        <v>916</v>
      </c>
      <c r="Q2077" t="n">
        <v>1002</v>
      </c>
      <c r="R2077" t="n">
        <v>1.137</v>
      </c>
      <c r="S2077" t="n">
        <v>16.033</v>
      </c>
      <c r="T2077" t="n">
        <v>14.106</v>
      </c>
      <c r="U2077" t="n">
        <v>0.7778</v>
      </c>
      <c r="V2077" t="b">
        <v>1</v>
      </c>
      <c r="X2077" t="b">
        <v>0</v>
      </c>
      <c r="Y2077" t="inlineStr">
        <is>
          <t>ON</t>
        </is>
      </c>
      <c r="Z2077" t="n">
        <v>935</v>
      </c>
      <c r="AA2077" t="n">
        <v>2.5</v>
      </c>
      <c r="AB2077" t="n">
        <v>9.5</v>
      </c>
    </row>
    <row r="2078">
      <c r="A2078" t="inlineStr">
        <is>
          <t>2026-09-24 18:29:30</t>
        </is>
      </c>
      <c r="B2078" t="inlineStr">
        <is>
          <t>MLLB_000_y1.0.3</t>
        </is>
      </c>
      <c r="C2078" t="inlineStr">
        <is>
          <t>WHITE</t>
        </is>
      </c>
      <c r="D2078" t="inlineStr">
        <is>
          <t>v4_white_MLLB_000_y103_0924</t>
        </is>
      </c>
      <c r="E2078" t="n">
        <v>2.8</v>
      </c>
      <c r="F2078" t="n">
        <v>2.808</v>
      </c>
      <c r="G2078" t="n">
        <v>8</v>
      </c>
      <c r="H2078" t="n">
        <v>100</v>
      </c>
      <c r="I2078" t="n">
        <v>27</v>
      </c>
      <c r="J2078" t="inlineStr">
        <is>
          <t>ince</t>
        </is>
      </c>
      <c r="K2078" t="b">
        <v>1</v>
      </c>
      <c r="M2078" t="n">
        <v>72</v>
      </c>
      <c r="N2078" t="n">
        <v>38</v>
      </c>
      <c r="O2078" t="n">
        <v>50</v>
      </c>
      <c r="P2078" t="n">
        <v>930</v>
      </c>
      <c r="Q2078" t="n">
        <v>1002</v>
      </c>
      <c r="R2078" t="n">
        <v>1.133</v>
      </c>
      <c r="S2078" t="n">
        <v>15.985</v>
      </c>
      <c r="T2078" t="n">
        <v>14.104</v>
      </c>
      <c r="U2078" t="n">
        <v>0.7774</v>
      </c>
      <c r="V2078" t="b">
        <v>1</v>
      </c>
      <c r="X2078" t="b">
        <v>0</v>
      </c>
      <c r="Y2078" t="inlineStr">
        <is>
          <t>ON</t>
        </is>
      </c>
      <c r="Z2078" t="n">
        <v>935</v>
      </c>
      <c r="AA2078" t="n">
        <v>2.5</v>
      </c>
      <c r="AB2078" t="n">
        <v>9.5</v>
      </c>
    </row>
    <row r="2079">
      <c r="A2079" t="inlineStr">
        <is>
          <t>2026-09-24 18:29:46</t>
        </is>
      </c>
      <c r="B2079" t="inlineStr">
        <is>
          <t>MLLB_000_y1.0.3</t>
        </is>
      </c>
      <c r="C2079" t="inlineStr">
        <is>
          <t>WHITE</t>
        </is>
      </c>
      <c r="D2079" t="inlineStr">
        <is>
          <t>v4_white_MLLB_000_y103_0924</t>
        </is>
      </c>
      <c r="E2079" t="n">
        <v>2.8</v>
      </c>
      <c r="F2079" t="n">
        <v>2.808</v>
      </c>
      <c r="G2079" t="n">
        <v>8</v>
      </c>
      <c r="H2079" t="n">
        <v>100</v>
      </c>
      <c r="I2079" t="n">
        <v>29</v>
      </c>
      <c r="J2079" t="inlineStr">
        <is>
          <t>ince</t>
        </is>
      </c>
      <c r="K2079" t="b">
        <v>1</v>
      </c>
      <c r="M2079" t="n">
        <v>40</v>
      </c>
      <c r="N2079" t="n">
        <v>34</v>
      </c>
      <c r="O2079" t="n">
        <v>20</v>
      </c>
      <c r="P2079" t="n">
        <v>962</v>
      </c>
      <c r="Q2079" t="n">
        <v>1002</v>
      </c>
      <c r="R2079" t="n">
        <v>1.138</v>
      </c>
      <c r="S2079" t="n">
        <v>16.036</v>
      </c>
      <c r="T2079" t="n">
        <v>14.086</v>
      </c>
      <c r="U2079" t="n">
        <v>0.7773</v>
      </c>
      <c r="V2079" t="b">
        <v>1</v>
      </c>
      <c r="X2079" t="b">
        <v>1</v>
      </c>
      <c r="Z2079" t="n">
        <v>935</v>
      </c>
      <c r="AA2079" t="n">
        <v>2.5</v>
      </c>
      <c r="AB2079" t="n">
        <v>9.5</v>
      </c>
    </row>
    <row r="2080">
      <c r="A2080" t="inlineStr">
        <is>
          <t>2026-09-24 18:30:02</t>
        </is>
      </c>
      <c r="B2080" t="inlineStr">
        <is>
          <t>MLLB_000_y1.0.3</t>
        </is>
      </c>
      <c r="C2080" t="inlineStr">
        <is>
          <t>WHITE</t>
        </is>
      </c>
      <c r="D2080" t="inlineStr">
        <is>
          <t>v4_white_MLLB_000_y103_0924</t>
        </is>
      </c>
      <c r="E2080" t="n">
        <v>2.8</v>
      </c>
      <c r="F2080" t="n">
        <v>2.808</v>
      </c>
      <c r="G2080" t="n">
        <v>8</v>
      </c>
      <c r="H2080" t="n">
        <v>100</v>
      </c>
      <c r="I2080" t="n">
        <v>30</v>
      </c>
      <c r="J2080" t="inlineStr">
        <is>
          <t>ince</t>
        </is>
      </c>
      <c r="K2080" t="b">
        <v>1</v>
      </c>
      <c r="M2080" t="n">
        <v>38</v>
      </c>
      <c r="N2080" t="n">
        <v>28</v>
      </c>
      <c r="O2080" t="n">
        <v>18</v>
      </c>
      <c r="P2080" t="n">
        <v>964</v>
      </c>
      <c r="Q2080" t="n">
        <v>1002</v>
      </c>
      <c r="R2080" t="n">
        <v>1.541</v>
      </c>
      <c r="S2080" t="n">
        <v>21.721</v>
      </c>
      <c r="T2080" t="n">
        <v>14.095</v>
      </c>
      <c r="U2080" t="n">
        <v>0.778</v>
      </c>
      <c r="V2080" t="b">
        <v>1</v>
      </c>
      <c r="X2080" t="b">
        <v>1</v>
      </c>
      <c r="Z2080" t="n">
        <v>935</v>
      </c>
      <c r="AA2080" t="n">
        <v>2.5</v>
      </c>
      <c r="AB2080" t="n">
        <v>9.5</v>
      </c>
    </row>
    <row r="2081">
      <c r="A2081" t="inlineStr">
        <is>
          <t>2026-09-24 18:30:18</t>
        </is>
      </c>
      <c r="B2081" t="inlineStr">
        <is>
          <t>MLLB_000_y1.0.3</t>
        </is>
      </c>
      <c r="C2081" t="inlineStr">
        <is>
          <t>WHITE</t>
        </is>
      </c>
      <c r="D2081" t="inlineStr">
        <is>
          <t>v4_white_MLLB_000_y103_0924</t>
        </is>
      </c>
      <c r="E2081" t="n">
        <v>2.8</v>
      </c>
      <c r="F2081" t="n">
        <v>2.808</v>
      </c>
      <c r="G2081" t="n">
        <v>8</v>
      </c>
      <c r="H2081" t="n">
        <v>100</v>
      </c>
      <c r="I2081" t="n">
        <v>31</v>
      </c>
      <c r="J2081" t="inlineStr">
        <is>
          <t>ince</t>
        </is>
      </c>
      <c r="K2081" t="b">
        <v>1</v>
      </c>
      <c r="M2081" t="n">
        <v>38</v>
      </c>
      <c r="N2081" t="n">
        <v>28</v>
      </c>
      <c r="O2081" t="n">
        <v>18</v>
      </c>
      <c r="P2081" t="n">
        <v>964</v>
      </c>
      <c r="Q2081" t="n">
        <v>1002</v>
      </c>
      <c r="R2081" t="n">
        <v>4.276</v>
      </c>
      <c r="S2081" t="n">
        <v>60.223</v>
      </c>
      <c r="T2081" t="n">
        <v>14.083</v>
      </c>
      <c r="U2081" t="n">
        <v>0.7778</v>
      </c>
      <c r="V2081" t="b">
        <v>1</v>
      </c>
      <c r="X2081" t="b">
        <v>0</v>
      </c>
      <c r="Y2081" t="inlineStr">
        <is>
          <t>FLAS</t>
        </is>
      </c>
      <c r="Z2081" t="n">
        <v>935</v>
      </c>
      <c r="AA2081" t="n">
        <v>2.5</v>
      </c>
      <c r="AB2081" t="n">
        <v>9.5</v>
      </c>
    </row>
    <row r="2082">
      <c r="A2082" t="inlineStr">
        <is>
          <t>2026-09-24 18:30:18</t>
        </is>
      </c>
      <c r="B2082" t="inlineStr">
        <is>
          <t>MLLB_000_y1.0.3</t>
        </is>
      </c>
      <c r="C2082" t="inlineStr">
        <is>
          <t>WHITE</t>
        </is>
      </c>
      <c r="D2082" t="inlineStr">
        <is>
          <t>v4_white_MLLB_000_y103_0924</t>
        </is>
      </c>
      <c r="E2082" t="n">
        <v>2.8</v>
      </c>
      <c r="F2082" t="n">
        <v>2.808</v>
      </c>
      <c r="G2082" t="n">
        <v>8</v>
      </c>
      <c r="H2082" t="n">
        <v>100</v>
      </c>
      <c r="J2082" t="inlineStr">
        <is>
          <t>bitti</t>
        </is>
      </c>
      <c r="K2082" t="b">
        <v>0</v>
      </c>
      <c r="Z2082" t="n">
        <v>935</v>
      </c>
      <c r="AA2082" t="n">
        <v>2.5</v>
      </c>
      <c r="AB2082" t="n">
        <v>9.5</v>
      </c>
    </row>
    <row r="2083">
      <c r="A2083" t="inlineStr">
        <is>
          <t>2026-09-24 18:30:34</t>
        </is>
      </c>
      <c r="B2083" t="inlineStr">
        <is>
          <t>MLLB_000_y1.0.3</t>
        </is>
      </c>
      <c r="C2083" t="inlineStr">
        <is>
          <t>WHITE</t>
        </is>
      </c>
      <c r="D2083" t="inlineStr">
        <is>
          <t>v4_white_MLLB_000_y103_0924</t>
        </is>
      </c>
      <c r="E2083" t="n">
        <v>2.8</v>
      </c>
      <c r="F2083" t="n">
        <v>2.808</v>
      </c>
      <c r="G2083" t="n">
        <v>8</v>
      </c>
      <c r="H2083" t="n">
        <v>80</v>
      </c>
      <c r="I2083" t="n">
        <v>12</v>
      </c>
      <c r="J2083" t="inlineStr">
        <is>
          <t>kaba</t>
        </is>
      </c>
      <c r="K2083" t="b">
        <v>1</v>
      </c>
      <c r="M2083" t="n">
        <v>314</v>
      </c>
      <c r="N2083" t="n">
        <v>32</v>
      </c>
      <c r="O2083" t="n">
        <v>294</v>
      </c>
      <c r="P2083" t="n">
        <v>688</v>
      </c>
      <c r="Q2083" t="n">
        <v>1002</v>
      </c>
      <c r="R2083" t="n">
        <v>1.149</v>
      </c>
      <c r="S2083" t="n">
        <v>15.985</v>
      </c>
      <c r="T2083" t="n">
        <v>13.912</v>
      </c>
      <c r="U2083" t="n">
        <v>0.7776999999999999</v>
      </c>
      <c r="V2083" t="b">
        <v>1</v>
      </c>
      <c r="X2083" t="b">
        <v>0</v>
      </c>
      <c r="Y2083" t="inlineStr">
        <is>
          <t>ON</t>
        </is>
      </c>
      <c r="Z2083" t="n">
        <v>935</v>
      </c>
      <c r="AA2083" t="n">
        <v>2.5</v>
      </c>
      <c r="AB2083" t="n">
        <v>9.5</v>
      </c>
    </row>
    <row r="2084">
      <c r="A2084" t="inlineStr">
        <is>
          <t>2026-09-24 18:30:50</t>
        </is>
      </c>
      <c r="B2084" t="inlineStr">
        <is>
          <t>MLLB_000_y1.0.3</t>
        </is>
      </c>
      <c r="C2084" t="inlineStr">
        <is>
          <t>WHITE</t>
        </is>
      </c>
      <c r="D2084" t="inlineStr">
        <is>
          <t>v4_white_MLLB_000_y103_0924</t>
        </is>
      </c>
      <c r="E2084" t="n">
        <v>2.8</v>
      </c>
      <c r="F2084" t="n">
        <v>2.808</v>
      </c>
      <c r="G2084" t="n">
        <v>8</v>
      </c>
      <c r="H2084" t="n">
        <v>80</v>
      </c>
      <c r="I2084" t="n">
        <v>16</v>
      </c>
      <c r="J2084" t="inlineStr">
        <is>
          <t>kaba</t>
        </is>
      </c>
      <c r="K2084" t="b">
        <v>1</v>
      </c>
      <c r="M2084" t="n">
        <v>270</v>
      </c>
      <c r="N2084" t="n">
        <v>34</v>
      </c>
      <c r="O2084" t="n">
        <v>248</v>
      </c>
      <c r="P2084" t="n">
        <v>732</v>
      </c>
      <c r="Q2084" t="n">
        <v>1002</v>
      </c>
      <c r="R2084" t="n">
        <v>1.142</v>
      </c>
      <c r="S2084" t="n">
        <v>15.898</v>
      </c>
      <c r="T2084" t="n">
        <v>13.916</v>
      </c>
      <c r="U2084" t="n">
        <v>0.7776999999999999</v>
      </c>
      <c r="V2084" t="b">
        <v>1</v>
      </c>
      <c r="X2084" t="b">
        <v>0</v>
      </c>
      <c r="Y2084" t="inlineStr">
        <is>
          <t>ON</t>
        </is>
      </c>
      <c r="Z2084" t="n">
        <v>935</v>
      </c>
      <c r="AA2084" t="n">
        <v>2.5</v>
      </c>
      <c r="AB2084" t="n">
        <v>9.5</v>
      </c>
    </row>
    <row r="2085">
      <c r="A2085" t="inlineStr">
        <is>
          <t>2026-09-24 18:31:06</t>
        </is>
      </c>
      <c r="B2085" t="inlineStr">
        <is>
          <t>MLLB_000_y1.0.3</t>
        </is>
      </c>
      <c r="C2085" t="inlineStr">
        <is>
          <t>WHITE</t>
        </is>
      </c>
      <c r="D2085" t="inlineStr">
        <is>
          <t>v4_white_MLLB_000_y103_0924</t>
        </is>
      </c>
      <c r="E2085" t="n">
        <v>2.8</v>
      </c>
      <c r="F2085" t="n">
        <v>2.808</v>
      </c>
      <c r="G2085" t="n">
        <v>8</v>
      </c>
      <c r="H2085" t="n">
        <v>80</v>
      </c>
      <c r="I2085" t="n">
        <v>20</v>
      </c>
      <c r="J2085" t="inlineStr">
        <is>
          <t>kaba</t>
        </is>
      </c>
      <c r="K2085" t="b">
        <v>1</v>
      </c>
      <c r="M2085" t="n">
        <v>224</v>
      </c>
      <c r="N2085" t="n">
        <v>38</v>
      </c>
      <c r="O2085" t="n">
        <v>202</v>
      </c>
      <c r="P2085" t="n">
        <v>778</v>
      </c>
      <c r="Q2085" t="n">
        <v>1002</v>
      </c>
      <c r="R2085" t="n">
        <v>1.146</v>
      </c>
      <c r="S2085" t="n">
        <v>16.033</v>
      </c>
      <c r="T2085" t="n">
        <v>13.992</v>
      </c>
      <c r="U2085" t="n">
        <v>0.7775</v>
      </c>
      <c r="V2085" t="b">
        <v>1</v>
      </c>
      <c r="X2085" t="b">
        <v>0</v>
      </c>
      <c r="Y2085" t="inlineStr">
        <is>
          <t>ON</t>
        </is>
      </c>
      <c r="Z2085" t="n">
        <v>935</v>
      </c>
      <c r="AA2085" t="n">
        <v>2.5</v>
      </c>
      <c r="AB2085" t="n">
        <v>9.5</v>
      </c>
    </row>
    <row r="2086">
      <c r="A2086" t="inlineStr">
        <is>
          <t>2026-09-24 18:31:22</t>
        </is>
      </c>
      <c r="B2086" t="inlineStr">
        <is>
          <t>MLLB_000_y1.0.3</t>
        </is>
      </c>
      <c r="C2086" t="inlineStr">
        <is>
          <t>WHITE</t>
        </is>
      </c>
      <c r="D2086" t="inlineStr">
        <is>
          <t>v4_white_MLLB_000_y103_0924</t>
        </is>
      </c>
      <c r="E2086" t="n">
        <v>2.8</v>
      </c>
      <c r="F2086" t="n">
        <v>2.808</v>
      </c>
      <c r="G2086" t="n">
        <v>8</v>
      </c>
      <c r="H2086" t="n">
        <v>80</v>
      </c>
      <c r="I2086" t="n">
        <v>24</v>
      </c>
      <c r="J2086" t="inlineStr">
        <is>
          <t>kaba</t>
        </is>
      </c>
      <c r="K2086" t="b">
        <v>1</v>
      </c>
      <c r="M2086" t="n">
        <v>178</v>
      </c>
      <c r="N2086" t="n">
        <v>34</v>
      </c>
      <c r="O2086" t="n">
        <v>156</v>
      </c>
      <c r="P2086" t="n">
        <v>824</v>
      </c>
      <c r="Q2086" t="n">
        <v>1002</v>
      </c>
      <c r="R2086" t="n">
        <v>1.144</v>
      </c>
      <c r="S2086" t="n">
        <v>16.08</v>
      </c>
      <c r="T2086" t="n">
        <v>14.061</v>
      </c>
      <c r="U2086" t="n">
        <v>0.7776999999999999</v>
      </c>
      <c r="V2086" t="b">
        <v>1</v>
      </c>
      <c r="X2086" t="b">
        <v>0</v>
      </c>
      <c r="Y2086" t="inlineStr">
        <is>
          <t>ON</t>
        </is>
      </c>
      <c r="Z2086" t="n">
        <v>935</v>
      </c>
      <c r="AA2086" t="n">
        <v>2.5</v>
      </c>
      <c r="AB2086" t="n">
        <v>9.5</v>
      </c>
    </row>
    <row r="2087">
      <c r="A2087" t="inlineStr">
        <is>
          <t>2026-09-24 18:31:38</t>
        </is>
      </c>
      <c r="B2087" t="inlineStr">
        <is>
          <t>MLLB_000_y1.0.3</t>
        </is>
      </c>
      <c r="C2087" t="inlineStr">
        <is>
          <t>WHITE</t>
        </is>
      </c>
      <c r="D2087" t="inlineStr">
        <is>
          <t>v4_white_MLLB_000_y103_0924</t>
        </is>
      </c>
      <c r="E2087" t="n">
        <v>2.8</v>
      </c>
      <c r="F2087" t="n">
        <v>2.808</v>
      </c>
      <c r="G2087" t="n">
        <v>8</v>
      </c>
      <c r="H2087" t="n">
        <v>80</v>
      </c>
      <c r="I2087" t="n">
        <v>28</v>
      </c>
      <c r="J2087" t="inlineStr">
        <is>
          <t>kaba</t>
        </is>
      </c>
      <c r="K2087" t="b">
        <v>1</v>
      </c>
      <c r="M2087" t="n">
        <v>130</v>
      </c>
      <c r="N2087" t="n">
        <v>32</v>
      </c>
      <c r="O2087" t="n">
        <v>110</v>
      </c>
      <c r="P2087" t="n">
        <v>872</v>
      </c>
      <c r="Q2087" t="n">
        <v>1002</v>
      </c>
      <c r="R2087" t="n">
        <v>1.151</v>
      </c>
      <c r="S2087" t="n">
        <v>16.174</v>
      </c>
      <c r="T2087" t="n">
        <v>14.053</v>
      </c>
      <c r="U2087" t="n">
        <v>0.7775</v>
      </c>
      <c r="V2087" t="b">
        <v>1</v>
      </c>
      <c r="X2087" t="b">
        <v>0</v>
      </c>
      <c r="Y2087" t="inlineStr">
        <is>
          <t>ON</t>
        </is>
      </c>
      <c r="Z2087" t="n">
        <v>935</v>
      </c>
      <c r="AA2087" t="n">
        <v>2.5</v>
      </c>
      <c r="AB2087" t="n">
        <v>9.5</v>
      </c>
    </row>
    <row r="2088">
      <c r="A2088" t="inlineStr">
        <is>
          <t>2026-09-24 18:31:54</t>
        </is>
      </c>
      <c r="B2088" t="inlineStr">
        <is>
          <t>MLLB_000_y1.0.3</t>
        </is>
      </c>
      <c r="C2088" t="inlineStr">
        <is>
          <t>WHITE</t>
        </is>
      </c>
      <c r="D2088" t="inlineStr">
        <is>
          <t>v4_white_MLLB_000_y103_0924</t>
        </is>
      </c>
      <c r="E2088" t="n">
        <v>2.8</v>
      </c>
      <c r="F2088" t="n">
        <v>2.808</v>
      </c>
      <c r="G2088" t="n">
        <v>8</v>
      </c>
      <c r="H2088" t="n">
        <v>80</v>
      </c>
      <c r="I2088" t="n">
        <v>32</v>
      </c>
      <c r="J2088" t="inlineStr">
        <is>
          <t>kaba</t>
        </is>
      </c>
      <c r="K2088" t="b">
        <v>1</v>
      </c>
      <c r="M2088" t="n">
        <v>84</v>
      </c>
      <c r="N2088" t="n">
        <v>36</v>
      </c>
      <c r="O2088" t="n">
        <v>62</v>
      </c>
      <c r="P2088" t="n">
        <v>918</v>
      </c>
      <c r="Q2088" t="n">
        <v>1002</v>
      </c>
      <c r="R2088" t="n">
        <v>1.135</v>
      </c>
      <c r="S2088" t="n">
        <v>15.985</v>
      </c>
      <c r="T2088" t="n">
        <v>14.083</v>
      </c>
      <c r="U2088" t="n">
        <v>0.7776</v>
      </c>
      <c r="V2088" t="b">
        <v>1</v>
      </c>
      <c r="X2088" t="b">
        <v>0</v>
      </c>
      <c r="Y2088" t="inlineStr">
        <is>
          <t>ON</t>
        </is>
      </c>
      <c r="Z2088" t="n">
        <v>935</v>
      </c>
      <c r="AA2088" t="n">
        <v>2.5</v>
      </c>
      <c r="AB2088" t="n">
        <v>9.5</v>
      </c>
    </row>
    <row r="2089">
      <c r="A2089" t="inlineStr">
        <is>
          <t>2026-09-24 18:32:10</t>
        </is>
      </c>
      <c r="B2089" t="inlineStr">
        <is>
          <t>MLLB_000_y1.0.3</t>
        </is>
      </c>
      <c r="C2089" t="inlineStr">
        <is>
          <t>WHITE</t>
        </is>
      </c>
      <c r="D2089" t="inlineStr">
        <is>
          <t>v4_white_MLLB_000_y103_0924</t>
        </is>
      </c>
      <c r="E2089" t="n">
        <v>2.8</v>
      </c>
      <c r="F2089" t="n">
        <v>2.808</v>
      </c>
      <c r="G2089" t="n">
        <v>8</v>
      </c>
      <c r="H2089" t="n">
        <v>80</v>
      </c>
      <c r="I2089" t="n">
        <v>36</v>
      </c>
      <c r="J2089" t="inlineStr">
        <is>
          <t>kaba</t>
        </is>
      </c>
      <c r="K2089" t="b">
        <v>1</v>
      </c>
      <c r="M2089" t="n">
        <v>42</v>
      </c>
      <c r="N2089" t="n">
        <v>28</v>
      </c>
      <c r="O2089" t="n">
        <v>22</v>
      </c>
      <c r="P2089" t="n">
        <v>960</v>
      </c>
      <c r="Q2089" t="n">
        <v>1002</v>
      </c>
      <c r="R2089" t="n">
        <v>1.138</v>
      </c>
      <c r="S2089" t="n">
        <v>16.033</v>
      </c>
      <c r="T2089" t="n">
        <v>14.092</v>
      </c>
      <c r="U2089" t="n">
        <v>0.7775</v>
      </c>
      <c r="V2089" t="b">
        <v>1</v>
      </c>
      <c r="X2089" t="b">
        <v>1</v>
      </c>
      <c r="Z2089" t="n">
        <v>935</v>
      </c>
      <c r="AA2089" t="n">
        <v>2.5</v>
      </c>
      <c r="AB2089" t="n">
        <v>9.5</v>
      </c>
    </row>
    <row r="2090">
      <c r="A2090" t="inlineStr">
        <is>
          <t>2026-09-24 18:32:26</t>
        </is>
      </c>
      <c r="B2090" t="inlineStr">
        <is>
          <t>MLLB_000_y1.0.3</t>
        </is>
      </c>
      <c r="C2090" t="inlineStr">
        <is>
          <t>WHITE</t>
        </is>
      </c>
      <c r="D2090" t="inlineStr">
        <is>
          <t>v4_white_MLLB_000_y103_0924</t>
        </is>
      </c>
      <c r="E2090" t="n">
        <v>2.8</v>
      </c>
      <c r="F2090" t="n">
        <v>2.808</v>
      </c>
      <c r="G2090" t="n">
        <v>8</v>
      </c>
      <c r="H2090" t="n">
        <v>80</v>
      </c>
      <c r="I2090" t="n">
        <v>40</v>
      </c>
      <c r="J2090" t="inlineStr">
        <is>
          <t>kaba</t>
        </is>
      </c>
      <c r="K2090" t="b">
        <v>1</v>
      </c>
      <c r="M2090" t="n">
        <v>42</v>
      </c>
      <c r="N2090" t="n">
        <v>28</v>
      </c>
      <c r="O2090" t="n">
        <v>22</v>
      </c>
      <c r="P2090" t="n">
        <v>960</v>
      </c>
      <c r="Q2090" t="n">
        <v>1002</v>
      </c>
      <c r="R2090" t="n">
        <v>8.003</v>
      </c>
      <c r="S2090" t="n">
        <v>112.737</v>
      </c>
      <c r="T2090" t="n">
        <v>14.088</v>
      </c>
      <c r="U2090" t="n">
        <v>0.7776999999999999</v>
      </c>
      <c r="V2090" t="b">
        <v>1</v>
      </c>
      <c r="X2090" t="b">
        <v>0</v>
      </c>
      <c r="Y2090" t="inlineStr">
        <is>
          <t>FLAS</t>
        </is>
      </c>
      <c r="Z2090" t="n">
        <v>935</v>
      </c>
      <c r="AA2090" t="n">
        <v>2.5</v>
      </c>
      <c r="AB2090" t="n">
        <v>9.5</v>
      </c>
    </row>
    <row r="2091">
      <c r="A2091" t="inlineStr">
        <is>
          <t>2026-09-24 18:32:42</t>
        </is>
      </c>
      <c r="B2091" t="inlineStr">
        <is>
          <t>MLLB_000_y1.0.3</t>
        </is>
      </c>
      <c r="C2091" t="inlineStr">
        <is>
          <t>WHITE</t>
        </is>
      </c>
      <c r="D2091" t="inlineStr">
        <is>
          <t>v4_white_MLLB_000_y103_0924</t>
        </is>
      </c>
      <c r="E2091" t="n">
        <v>2.8</v>
      </c>
      <c r="F2091" t="n">
        <v>2.808</v>
      </c>
      <c r="G2091" t="n">
        <v>8</v>
      </c>
      <c r="H2091" t="n">
        <v>80</v>
      </c>
      <c r="I2091" t="n">
        <v>33</v>
      </c>
      <c r="J2091" t="inlineStr">
        <is>
          <t>ince</t>
        </is>
      </c>
      <c r="K2091" t="b">
        <v>1</v>
      </c>
      <c r="M2091" t="n">
        <v>72</v>
      </c>
      <c r="N2091" t="n">
        <v>36</v>
      </c>
      <c r="O2091" t="n">
        <v>50</v>
      </c>
      <c r="P2091" t="n">
        <v>930</v>
      </c>
      <c r="Q2091" t="n">
        <v>1002</v>
      </c>
      <c r="R2091" t="n">
        <v>1.14</v>
      </c>
      <c r="S2091" t="n">
        <v>16.046</v>
      </c>
      <c r="T2091" t="n">
        <v>14.076</v>
      </c>
      <c r="U2091" t="n">
        <v>0.7779</v>
      </c>
      <c r="V2091" t="b">
        <v>1</v>
      </c>
      <c r="X2091" t="b">
        <v>0</v>
      </c>
      <c r="Y2091" t="inlineStr">
        <is>
          <t>ON</t>
        </is>
      </c>
      <c r="Z2091" t="n">
        <v>935</v>
      </c>
      <c r="AA2091" t="n">
        <v>2.5</v>
      </c>
      <c r="AB2091" t="n">
        <v>9.5</v>
      </c>
    </row>
    <row r="2092">
      <c r="A2092" t="inlineStr">
        <is>
          <t>2026-09-24 18:32:58</t>
        </is>
      </c>
      <c r="B2092" t="inlineStr">
        <is>
          <t>MLLB_000_y1.0.3</t>
        </is>
      </c>
      <c r="C2092" t="inlineStr">
        <is>
          <t>WHITE</t>
        </is>
      </c>
      <c r="D2092" t="inlineStr">
        <is>
          <t>v4_white_MLLB_000_y103_0924</t>
        </is>
      </c>
      <c r="E2092" t="n">
        <v>2.8</v>
      </c>
      <c r="F2092" t="n">
        <v>2.808</v>
      </c>
      <c r="G2092" t="n">
        <v>8</v>
      </c>
      <c r="H2092" t="n">
        <v>80</v>
      </c>
      <c r="I2092" t="n">
        <v>34</v>
      </c>
      <c r="J2092" t="inlineStr">
        <is>
          <t>ince</t>
        </is>
      </c>
      <c r="K2092" t="b">
        <v>1</v>
      </c>
      <c r="M2092" t="n">
        <v>60</v>
      </c>
      <c r="N2092" t="n">
        <v>38</v>
      </c>
      <c r="O2092" t="n">
        <v>38</v>
      </c>
      <c r="P2092" t="n">
        <v>942</v>
      </c>
      <c r="Q2092" t="n">
        <v>1002</v>
      </c>
      <c r="R2092" t="n">
        <v>1.139</v>
      </c>
      <c r="S2092" t="n">
        <v>16.033</v>
      </c>
      <c r="T2092" t="n">
        <v>14.078</v>
      </c>
      <c r="U2092" t="n">
        <v>0.7776</v>
      </c>
      <c r="V2092" t="b">
        <v>1</v>
      </c>
      <c r="X2092" t="b">
        <v>1</v>
      </c>
      <c r="Z2092" t="n">
        <v>935</v>
      </c>
      <c r="AA2092" t="n">
        <v>2.5</v>
      </c>
      <c r="AB2092" t="n">
        <v>9.5</v>
      </c>
    </row>
    <row r="2093">
      <c r="A2093" t="inlineStr">
        <is>
          <t>2026-09-24 18:33:14</t>
        </is>
      </c>
      <c r="B2093" t="inlineStr">
        <is>
          <t>MLLB_000_y1.0.3</t>
        </is>
      </c>
      <c r="C2093" t="inlineStr">
        <is>
          <t>WHITE</t>
        </is>
      </c>
      <c r="D2093" t="inlineStr">
        <is>
          <t>v4_white_MLLB_000_y103_0924</t>
        </is>
      </c>
      <c r="E2093" t="n">
        <v>2.8</v>
      </c>
      <c r="F2093" t="n">
        <v>2.808</v>
      </c>
      <c r="G2093" t="n">
        <v>8</v>
      </c>
      <c r="H2093" t="n">
        <v>80</v>
      </c>
      <c r="I2093" t="n">
        <v>35</v>
      </c>
      <c r="J2093" t="inlineStr">
        <is>
          <t>ince</t>
        </is>
      </c>
      <c r="K2093" t="b">
        <v>1</v>
      </c>
      <c r="M2093" t="n">
        <v>46</v>
      </c>
      <c r="N2093" t="n">
        <v>34</v>
      </c>
      <c r="O2093" t="n">
        <v>24</v>
      </c>
      <c r="P2093" t="n">
        <v>956</v>
      </c>
      <c r="Q2093" t="n">
        <v>1002</v>
      </c>
      <c r="R2093" t="n">
        <v>1.136</v>
      </c>
      <c r="S2093" t="n">
        <v>15.985</v>
      </c>
      <c r="T2093" t="n">
        <v>14.074</v>
      </c>
      <c r="U2093" t="n">
        <v>0.778</v>
      </c>
      <c r="V2093" t="b">
        <v>1</v>
      </c>
      <c r="X2093" t="b">
        <v>1</v>
      </c>
      <c r="Z2093" t="n">
        <v>935</v>
      </c>
      <c r="AA2093" t="n">
        <v>2.5</v>
      </c>
      <c r="AB2093" t="n">
        <v>9.5</v>
      </c>
    </row>
    <row r="2094">
      <c r="A2094" t="inlineStr">
        <is>
          <t>2026-09-24 18:33:26</t>
        </is>
      </c>
      <c r="B2094" t="inlineStr">
        <is>
          <t>MLLB_000_y1.0.3</t>
        </is>
      </c>
      <c r="C2094" t="inlineStr">
        <is>
          <t>WHITE</t>
        </is>
      </c>
      <c r="D2094" t="inlineStr">
        <is>
          <t>v4_white_MLLB_000_y103_0924</t>
        </is>
      </c>
      <c r="E2094" t="n">
        <v>2.8</v>
      </c>
      <c r="F2094" t="n">
        <v>2.808</v>
      </c>
      <c r="G2094" t="n">
        <v>8</v>
      </c>
      <c r="H2094" t="n">
        <v>80</v>
      </c>
      <c r="I2094" t="n">
        <v>37</v>
      </c>
      <c r="J2094" t="inlineStr">
        <is>
          <t>ince</t>
        </is>
      </c>
      <c r="K2094" t="b">
        <v>1</v>
      </c>
      <c r="M2094" t="n">
        <v>42</v>
      </c>
      <c r="N2094" t="n">
        <v>28</v>
      </c>
      <c r="O2094" t="n">
        <v>22</v>
      </c>
      <c r="P2094" t="n">
        <v>960</v>
      </c>
      <c r="Q2094" t="n">
        <v>1002</v>
      </c>
      <c r="R2094" t="n">
        <v>3.139</v>
      </c>
      <c r="S2094" t="n">
        <v>44.161</v>
      </c>
      <c r="T2094" t="n">
        <v>14.067</v>
      </c>
      <c r="U2094" t="n">
        <v>0.778</v>
      </c>
      <c r="V2094" t="b">
        <v>1</v>
      </c>
      <c r="X2094" t="b">
        <v>0</v>
      </c>
      <c r="Y2094" t="inlineStr">
        <is>
          <t>FLAS</t>
        </is>
      </c>
      <c r="Z2094" t="n">
        <v>935</v>
      </c>
      <c r="AA2094" t="n">
        <v>2.5</v>
      </c>
      <c r="AB2094" t="n">
        <v>9.5</v>
      </c>
    </row>
    <row r="2095">
      <c r="A2095" t="inlineStr">
        <is>
          <t>2026-09-24 18:33:42</t>
        </is>
      </c>
      <c r="B2095" t="inlineStr">
        <is>
          <t>MLLB_000_y1.0.3</t>
        </is>
      </c>
      <c r="C2095" t="inlineStr">
        <is>
          <t>WHITE</t>
        </is>
      </c>
      <c r="D2095" t="inlineStr">
        <is>
          <t>v4_white_MLLB_000_y103_0924</t>
        </is>
      </c>
      <c r="E2095" t="n">
        <v>2.8</v>
      </c>
      <c r="F2095" t="n">
        <v>2.808</v>
      </c>
      <c r="G2095" t="n">
        <v>8</v>
      </c>
      <c r="H2095" t="n">
        <v>80</v>
      </c>
      <c r="I2095" t="n">
        <v>38</v>
      </c>
      <c r="J2095" t="inlineStr">
        <is>
          <t>ince</t>
        </is>
      </c>
      <c r="K2095" t="b">
        <v>1</v>
      </c>
      <c r="M2095" t="n">
        <v>42</v>
      </c>
      <c r="N2095" t="n">
        <v>28</v>
      </c>
      <c r="O2095" t="n">
        <v>22</v>
      </c>
      <c r="P2095" t="n">
        <v>960</v>
      </c>
      <c r="Q2095" t="n">
        <v>1002</v>
      </c>
      <c r="R2095" t="n">
        <v>6.135</v>
      </c>
      <c r="S2095" t="n">
        <v>86.404</v>
      </c>
      <c r="T2095" t="n">
        <v>14.085</v>
      </c>
      <c r="U2095" t="n">
        <v>0.7776999999999999</v>
      </c>
      <c r="V2095" t="b">
        <v>1</v>
      </c>
      <c r="X2095" t="b">
        <v>0</v>
      </c>
      <c r="Y2095" t="inlineStr">
        <is>
          <t>FLAS</t>
        </is>
      </c>
      <c r="Z2095" t="n">
        <v>935</v>
      </c>
      <c r="AA2095" t="n">
        <v>2.5</v>
      </c>
      <c r="AB2095" t="n">
        <v>9.5</v>
      </c>
    </row>
    <row r="2096">
      <c r="A2096" t="inlineStr">
        <is>
          <t>2026-09-24 18:33:54</t>
        </is>
      </c>
      <c r="B2096" t="inlineStr">
        <is>
          <t>MLLB_000_y1.0.3</t>
        </is>
      </c>
      <c r="C2096" t="inlineStr">
        <is>
          <t>WHITE</t>
        </is>
      </c>
      <c r="D2096" t="inlineStr">
        <is>
          <t>v4_white_MLLB_000_y103_0924</t>
        </is>
      </c>
      <c r="E2096" t="n">
        <v>2.8</v>
      </c>
      <c r="F2096" t="n">
        <v>2.808</v>
      </c>
      <c r="G2096" t="n">
        <v>8</v>
      </c>
      <c r="H2096" t="n">
        <v>80</v>
      </c>
      <c r="I2096" t="n">
        <v>39</v>
      </c>
      <c r="J2096" t="inlineStr">
        <is>
          <t>ince</t>
        </is>
      </c>
      <c r="K2096" t="b">
        <v>1</v>
      </c>
      <c r="M2096" t="n">
        <v>42</v>
      </c>
      <c r="N2096" t="n">
        <v>28</v>
      </c>
      <c r="O2096" t="n">
        <v>22</v>
      </c>
      <c r="P2096" t="n">
        <v>960</v>
      </c>
      <c r="Q2096" t="n">
        <v>1002</v>
      </c>
      <c r="R2096" t="n">
        <v>7.211</v>
      </c>
      <c r="S2096" t="n">
        <v>101.603</v>
      </c>
      <c r="T2096" t="n">
        <v>14.091</v>
      </c>
      <c r="U2096" t="n">
        <v>0.7776999999999999</v>
      </c>
      <c r="V2096" t="b">
        <v>1</v>
      </c>
      <c r="X2096" t="b">
        <v>0</v>
      </c>
      <c r="Y2096" t="inlineStr">
        <is>
          <t>FLAS</t>
        </is>
      </c>
      <c r="Z2096" t="n">
        <v>935</v>
      </c>
      <c r="AA2096" t="n">
        <v>2.5</v>
      </c>
      <c r="AB2096" t="n">
        <v>9.5</v>
      </c>
    </row>
    <row r="2097">
      <c r="A2097" t="inlineStr">
        <is>
          <t>2026-09-24 18:33:54</t>
        </is>
      </c>
      <c r="B2097" t="inlineStr">
        <is>
          <t>MLLB_000_y1.0.3</t>
        </is>
      </c>
      <c r="C2097" t="inlineStr">
        <is>
          <t>WHITE</t>
        </is>
      </c>
      <c r="D2097" t="inlineStr">
        <is>
          <t>v4_white_MLLB_000_y103_0924</t>
        </is>
      </c>
      <c r="E2097" t="n">
        <v>2.8</v>
      </c>
      <c r="F2097" t="n">
        <v>2.808</v>
      </c>
      <c r="G2097" t="n">
        <v>8</v>
      </c>
      <c r="H2097" t="n">
        <v>80</v>
      </c>
      <c r="J2097" t="inlineStr">
        <is>
          <t>bitti</t>
        </is>
      </c>
      <c r="K2097" t="b">
        <v>0</v>
      </c>
      <c r="Z2097" t="n">
        <v>935</v>
      </c>
      <c r="AA2097" t="n">
        <v>2.5</v>
      </c>
      <c r="AB2097" t="n">
        <v>9.5</v>
      </c>
    </row>
    <row r="2098">
      <c r="A2098" t="inlineStr">
        <is>
          <t>2026-09-24 18:34:10</t>
        </is>
      </c>
      <c r="B2098" t="inlineStr">
        <is>
          <t>MLLB_000_y1.0.3</t>
        </is>
      </c>
      <c r="C2098" t="inlineStr">
        <is>
          <t>WHITE</t>
        </is>
      </c>
      <c r="D2098" t="inlineStr">
        <is>
          <t>v4_white_MLLB_000_y103_0924</t>
        </is>
      </c>
      <c r="E2098" t="n">
        <v>2.8</v>
      </c>
      <c r="F2098" t="n">
        <v>2.808</v>
      </c>
      <c r="G2098" t="n">
        <v>8</v>
      </c>
      <c r="H2098" t="n">
        <v>60</v>
      </c>
      <c r="I2098" t="n">
        <v>12</v>
      </c>
      <c r="J2098" t="inlineStr">
        <is>
          <t>kaba</t>
        </is>
      </c>
      <c r="K2098" t="b">
        <v>1</v>
      </c>
      <c r="M2098" t="n">
        <v>346</v>
      </c>
      <c r="N2098" t="n">
        <v>34</v>
      </c>
      <c r="O2098" t="n">
        <v>324</v>
      </c>
      <c r="P2098" t="n">
        <v>656</v>
      </c>
      <c r="Q2098" t="n">
        <v>1002</v>
      </c>
      <c r="R2098" t="n">
        <v>1.151</v>
      </c>
      <c r="S2098" t="n">
        <v>15.985</v>
      </c>
      <c r="T2098" t="n">
        <v>13.89</v>
      </c>
      <c r="U2098" t="n">
        <v>0.7776999999999999</v>
      </c>
      <c r="V2098" t="b">
        <v>1</v>
      </c>
      <c r="X2098" t="b">
        <v>0</v>
      </c>
      <c r="Y2098" t="inlineStr">
        <is>
          <t>ON</t>
        </is>
      </c>
      <c r="Z2098" t="n">
        <v>935</v>
      </c>
      <c r="AA2098" t="n">
        <v>2.5</v>
      </c>
      <c r="AB2098" t="n">
        <v>9.5</v>
      </c>
    </row>
    <row r="2099">
      <c r="A2099" t="inlineStr">
        <is>
          <t>2026-09-24 18:34:26</t>
        </is>
      </c>
      <c r="B2099" t="inlineStr">
        <is>
          <t>MLLB_000_y1.0.3</t>
        </is>
      </c>
      <c r="C2099" t="inlineStr">
        <is>
          <t>WHITE</t>
        </is>
      </c>
      <c r="D2099" t="inlineStr">
        <is>
          <t>v4_white_MLLB_000_y103_0924</t>
        </is>
      </c>
      <c r="E2099" t="n">
        <v>2.8</v>
      </c>
      <c r="F2099" t="n">
        <v>2.808</v>
      </c>
      <c r="G2099" t="n">
        <v>8</v>
      </c>
      <c r="H2099" t="n">
        <v>60</v>
      </c>
      <c r="I2099" t="n">
        <v>16</v>
      </c>
      <c r="J2099" t="inlineStr">
        <is>
          <t>kaba</t>
        </is>
      </c>
      <c r="K2099" t="b">
        <v>1</v>
      </c>
      <c r="M2099" t="n">
        <v>314</v>
      </c>
      <c r="N2099" t="n">
        <v>34</v>
      </c>
      <c r="O2099" t="n">
        <v>292</v>
      </c>
      <c r="P2099" t="n">
        <v>688</v>
      </c>
      <c r="Q2099" t="n">
        <v>1002</v>
      </c>
      <c r="R2099" t="n">
        <v>1.149</v>
      </c>
      <c r="S2099" t="n">
        <v>15.995</v>
      </c>
      <c r="T2099" t="n">
        <v>13.915</v>
      </c>
      <c r="U2099" t="n">
        <v>0.7776999999999999</v>
      </c>
      <c r="V2099" t="b">
        <v>1</v>
      </c>
      <c r="X2099" t="b">
        <v>0</v>
      </c>
      <c r="Y2099" t="inlineStr">
        <is>
          <t>ON</t>
        </is>
      </c>
      <c r="Z2099" t="n">
        <v>935</v>
      </c>
      <c r="AA2099" t="n">
        <v>2.5</v>
      </c>
      <c r="AB2099" t="n">
        <v>9.5</v>
      </c>
    </row>
    <row r="2100">
      <c r="A2100" t="inlineStr">
        <is>
          <t>2026-09-24 18:34:42</t>
        </is>
      </c>
      <c r="B2100" t="inlineStr">
        <is>
          <t>MLLB_000_y1.0.3</t>
        </is>
      </c>
      <c r="C2100" t="inlineStr">
        <is>
          <t>WHITE</t>
        </is>
      </c>
      <c r="D2100" t="inlineStr">
        <is>
          <t>v4_white_MLLB_000_y103_0924</t>
        </is>
      </c>
      <c r="E2100" t="n">
        <v>2.8</v>
      </c>
      <c r="F2100" t="n">
        <v>2.808</v>
      </c>
      <c r="G2100" t="n">
        <v>8</v>
      </c>
      <c r="H2100" t="n">
        <v>60</v>
      </c>
      <c r="I2100" t="n">
        <v>20</v>
      </c>
      <c r="J2100" t="inlineStr">
        <is>
          <t>kaba</t>
        </is>
      </c>
      <c r="K2100" t="b">
        <v>1</v>
      </c>
      <c r="M2100" t="n">
        <v>280</v>
      </c>
      <c r="N2100" t="n">
        <v>36</v>
      </c>
      <c r="O2100" t="n">
        <v>258</v>
      </c>
      <c r="P2100" t="n">
        <v>722</v>
      </c>
      <c r="Q2100" t="n">
        <v>1002</v>
      </c>
      <c r="R2100" t="n">
        <v>1.149</v>
      </c>
      <c r="S2100" t="n">
        <v>16.08</v>
      </c>
      <c r="T2100" t="n">
        <v>13.988</v>
      </c>
      <c r="U2100" t="n">
        <v>0.7776999999999999</v>
      </c>
      <c r="V2100" t="b">
        <v>1</v>
      </c>
      <c r="X2100" t="b">
        <v>0</v>
      </c>
      <c r="Y2100" t="inlineStr">
        <is>
          <t>ON</t>
        </is>
      </c>
      <c r="Z2100" t="n">
        <v>935</v>
      </c>
      <c r="AA2100" t="n">
        <v>2.5</v>
      </c>
      <c r="AB2100" t="n">
        <v>9.5</v>
      </c>
    </row>
    <row r="2101">
      <c r="A2101" t="inlineStr">
        <is>
          <t>2026-09-24 18:34:58</t>
        </is>
      </c>
      <c r="B2101" t="inlineStr">
        <is>
          <t>MLLB_000_y1.0.3</t>
        </is>
      </c>
      <c r="C2101" t="inlineStr">
        <is>
          <t>WHITE</t>
        </is>
      </c>
      <c r="D2101" t="inlineStr">
        <is>
          <t>v4_white_MLLB_000_y103_0924</t>
        </is>
      </c>
      <c r="E2101" t="n">
        <v>2.8</v>
      </c>
      <c r="F2101" t="n">
        <v>2.808</v>
      </c>
      <c r="G2101" t="n">
        <v>8</v>
      </c>
      <c r="H2101" t="n">
        <v>60</v>
      </c>
      <c r="I2101" t="n">
        <v>24</v>
      </c>
      <c r="J2101" t="inlineStr">
        <is>
          <t>kaba</t>
        </is>
      </c>
      <c r="K2101" t="b">
        <v>1</v>
      </c>
      <c r="M2101" t="n">
        <v>246</v>
      </c>
      <c r="N2101" t="n">
        <v>32</v>
      </c>
      <c r="O2101" t="n">
        <v>226</v>
      </c>
      <c r="P2101" t="n">
        <v>756</v>
      </c>
      <c r="Q2101" t="n">
        <v>1002</v>
      </c>
      <c r="R2101" t="n">
        <v>1.154</v>
      </c>
      <c r="S2101" t="n">
        <v>16.127</v>
      </c>
      <c r="T2101" t="n">
        <v>13.98</v>
      </c>
      <c r="U2101" t="n">
        <v>0.7775</v>
      </c>
      <c r="V2101" t="b">
        <v>1</v>
      </c>
      <c r="X2101" t="b">
        <v>0</v>
      </c>
      <c r="Y2101" t="inlineStr">
        <is>
          <t>ON</t>
        </is>
      </c>
      <c r="Z2101" t="n">
        <v>935</v>
      </c>
      <c r="AA2101" t="n">
        <v>2.5</v>
      </c>
      <c r="AB2101" t="n">
        <v>9.5</v>
      </c>
    </row>
    <row r="2102">
      <c r="A2102" t="inlineStr">
        <is>
          <t>2026-09-24 18:35:14</t>
        </is>
      </c>
      <c r="B2102" t="inlineStr">
        <is>
          <t>MLLB_000_y1.0.3</t>
        </is>
      </c>
      <c r="C2102" t="inlineStr">
        <is>
          <t>WHITE</t>
        </is>
      </c>
      <c r="D2102" t="inlineStr">
        <is>
          <t>v4_white_MLLB_000_y103_0924</t>
        </is>
      </c>
      <c r="E2102" t="n">
        <v>2.8</v>
      </c>
      <c r="F2102" t="n">
        <v>2.808</v>
      </c>
      <c r="G2102" t="n">
        <v>8</v>
      </c>
      <c r="H2102" t="n">
        <v>60</v>
      </c>
      <c r="I2102" t="n">
        <v>28</v>
      </c>
      <c r="J2102" t="inlineStr">
        <is>
          <t>kaba</t>
        </is>
      </c>
      <c r="K2102" t="b">
        <v>1</v>
      </c>
      <c r="M2102" t="n">
        <v>214</v>
      </c>
      <c r="N2102" t="n">
        <v>34</v>
      </c>
      <c r="O2102" t="n">
        <v>192</v>
      </c>
      <c r="P2102" t="n">
        <v>788</v>
      </c>
      <c r="Q2102" t="n">
        <v>1002</v>
      </c>
      <c r="R2102" t="n">
        <v>1.146</v>
      </c>
      <c r="S2102" t="n">
        <v>16.046</v>
      </c>
      <c r="T2102" t="n">
        <v>14.005</v>
      </c>
      <c r="U2102" t="n">
        <v>0.7771</v>
      </c>
      <c r="V2102" t="b">
        <v>1</v>
      </c>
      <c r="X2102" t="b">
        <v>0</v>
      </c>
      <c r="Y2102" t="inlineStr">
        <is>
          <t>ON</t>
        </is>
      </c>
      <c r="Z2102" t="n">
        <v>935</v>
      </c>
      <c r="AA2102" t="n">
        <v>2.5</v>
      </c>
      <c r="AB2102" t="n">
        <v>9.5</v>
      </c>
    </row>
    <row r="2103">
      <c r="A2103" t="inlineStr">
        <is>
          <t>2026-09-24 18:35:30</t>
        </is>
      </c>
      <c r="B2103" t="inlineStr">
        <is>
          <t>MLLB_000_y1.0.3</t>
        </is>
      </c>
      <c r="C2103" t="inlineStr">
        <is>
          <t>WHITE</t>
        </is>
      </c>
      <c r="D2103" t="inlineStr">
        <is>
          <t>v4_white_MLLB_000_y103_0924</t>
        </is>
      </c>
      <c r="E2103" t="n">
        <v>2.8</v>
      </c>
      <c r="F2103" t="n">
        <v>2.808</v>
      </c>
      <c r="G2103" t="n">
        <v>8</v>
      </c>
      <c r="H2103" t="n">
        <v>60</v>
      </c>
      <c r="I2103" t="n">
        <v>32</v>
      </c>
      <c r="J2103" t="inlineStr">
        <is>
          <t>kaba</t>
        </is>
      </c>
      <c r="K2103" t="b">
        <v>1</v>
      </c>
      <c r="M2103" t="n">
        <v>180</v>
      </c>
      <c r="N2103" t="n">
        <v>38</v>
      </c>
      <c r="O2103" t="n">
        <v>158</v>
      </c>
      <c r="P2103" t="n">
        <v>822</v>
      </c>
      <c r="Q2103" t="n">
        <v>1002</v>
      </c>
      <c r="R2103" t="n">
        <v>1.141</v>
      </c>
      <c r="S2103" t="n">
        <v>15.999</v>
      </c>
      <c r="T2103" t="n">
        <v>14.028</v>
      </c>
      <c r="U2103" t="n">
        <v>0.7778</v>
      </c>
      <c r="V2103" t="b">
        <v>1</v>
      </c>
      <c r="X2103" t="b">
        <v>0</v>
      </c>
      <c r="Y2103" t="inlineStr">
        <is>
          <t>ON</t>
        </is>
      </c>
      <c r="Z2103" t="n">
        <v>935</v>
      </c>
      <c r="AA2103" t="n">
        <v>2.5</v>
      </c>
      <c r="AB2103" t="n">
        <v>9.5</v>
      </c>
    </row>
    <row r="2104">
      <c r="A2104" t="inlineStr">
        <is>
          <t>2026-09-24 18:35:46</t>
        </is>
      </c>
      <c r="B2104" t="inlineStr">
        <is>
          <t>MLLB_000_y1.0.3</t>
        </is>
      </c>
      <c r="C2104" t="inlineStr">
        <is>
          <t>WHITE</t>
        </is>
      </c>
      <c r="D2104" t="inlineStr">
        <is>
          <t>v4_white_MLLB_000_y103_0924</t>
        </is>
      </c>
      <c r="E2104" t="n">
        <v>2.8</v>
      </c>
      <c r="F2104" t="n">
        <v>2.808</v>
      </c>
      <c r="G2104" t="n">
        <v>8</v>
      </c>
      <c r="H2104" t="n">
        <v>60</v>
      </c>
      <c r="I2104" t="n">
        <v>36</v>
      </c>
      <c r="J2104" t="inlineStr">
        <is>
          <t>kaba</t>
        </is>
      </c>
      <c r="K2104" t="b">
        <v>1</v>
      </c>
      <c r="M2104" t="n">
        <v>146</v>
      </c>
      <c r="N2104" t="n">
        <v>32</v>
      </c>
      <c r="O2104" t="n">
        <v>126</v>
      </c>
      <c r="P2104" t="n">
        <v>856</v>
      </c>
      <c r="Q2104" t="n">
        <v>1002</v>
      </c>
      <c r="R2104" t="n">
        <v>1.138</v>
      </c>
      <c r="S2104" t="n">
        <v>15.985</v>
      </c>
      <c r="T2104" t="n">
        <v>14.053</v>
      </c>
      <c r="U2104" t="n">
        <v>0.7773</v>
      </c>
      <c r="V2104" t="b">
        <v>1</v>
      </c>
      <c r="X2104" t="b">
        <v>0</v>
      </c>
      <c r="Y2104" t="inlineStr">
        <is>
          <t>ON</t>
        </is>
      </c>
      <c r="Z2104" t="n">
        <v>935</v>
      </c>
      <c r="AA2104" t="n">
        <v>2.5</v>
      </c>
      <c r="AB2104" t="n">
        <v>9.5</v>
      </c>
    </row>
    <row r="2105">
      <c r="A2105" t="inlineStr">
        <is>
          <t>2026-09-24 18:36:02</t>
        </is>
      </c>
      <c r="B2105" t="inlineStr">
        <is>
          <t>MLLB_000_y1.0.3</t>
        </is>
      </c>
      <c r="C2105" t="inlineStr">
        <is>
          <t>WHITE</t>
        </is>
      </c>
      <c r="D2105" t="inlineStr">
        <is>
          <t>v4_white_MLLB_000_y103_0924</t>
        </is>
      </c>
      <c r="E2105" t="n">
        <v>2.8</v>
      </c>
      <c r="F2105" t="n">
        <v>2.808</v>
      </c>
      <c r="G2105" t="n">
        <v>8</v>
      </c>
      <c r="H2105" t="n">
        <v>60</v>
      </c>
      <c r="I2105" t="n">
        <v>40</v>
      </c>
      <c r="J2105" t="inlineStr">
        <is>
          <t>kaba</t>
        </is>
      </c>
      <c r="K2105" t="b">
        <v>1</v>
      </c>
      <c r="M2105" t="n">
        <v>112</v>
      </c>
      <c r="N2105" t="n">
        <v>36</v>
      </c>
      <c r="O2105" t="n">
        <v>90</v>
      </c>
      <c r="P2105" t="n">
        <v>890</v>
      </c>
      <c r="Q2105" t="n">
        <v>1002</v>
      </c>
      <c r="R2105" t="n">
        <v>1.14</v>
      </c>
      <c r="S2105" t="n">
        <v>16.039</v>
      </c>
      <c r="T2105" t="n">
        <v>14.071</v>
      </c>
      <c r="U2105" t="n">
        <v>0.7774</v>
      </c>
      <c r="V2105" t="b">
        <v>1</v>
      </c>
      <c r="X2105" t="b">
        <v>0</v>
      </c>
      <c r="Y2105" t="inlineStr">
        <is>
          <t>ON</t>
        </is>
      </c>
      <c r="Z2105" t="n">
        <v>935</v>
      </c>
      <c r="AA2105" t="n">
        <v>2.5</v>
      </c>
      <c r="AB2105" t="n">
        <v>9.5</v>
      </c>
    </row>
    <row r="2106">
      <c r="A2106" t="inlineStr">
        <is>
          <t>2026-09-24 18:36:18</t>
        </is>
      </c>
      <c r="B2106" t="inlineStr">
        <is>
          <t>MLLB_000_y1.0.3</t>
        </is>
      </c>
      <c r="C2106" t="inlineStr">
        <is>
          <t>WHITE</t>
        </is>
      </c>
      <c r="D2106" t="inlineStr">
        <is>
          <t>v4_white_MLLB_000_y103_0924</t>
        </is>
      </c>
      <c r="E2106" t="n">
        <v>2.8</v>
      </c>
      <c r="F2106" t="n">
        <v>2.808</v>
      </c>
      <c r="G2106" t="n">
        <v>8</v>
      </c>
      <c r="H2106" t="n">
        <v>60</v>
      </c>
      <c r="I2106" t="n">
        <v>44</v>
      </c>
      <c r="J2106" t="inlineStr">
        <is>
          <t>kaba</t>
        </is>
      </c>
      <c r="K2106" t="b">
        <v>1</v>
      </c>
      <c r="M2106" t="n">
        <v>78</v>
      </c>
      <c r="N2106" t="n">
        <v>36</v>
      </c>
      <c r="O2106" t="n">
        <v>54</v>
      </c>
      <c r="P2106" t="n">
        <v>924</v>
      </c>
      <c r="Q2106" t="n">
        <v>1002</v>
      </c>
      <c r="R2106" t="n">
        <v>1.135</v>
      </c>
      <c r="S2106" t="n">
        <v>15.985</v>
      </c>
      <c r="T2106" t="n">
        <v>14.081</v>
      </c>
      <c r="U2106" t="n">
        <v>0.7775</v>
      </c>
      <c r="V2106" t="b">
        <v>1</v>
      </c>
      <c r="X2106" t="b">
        <v>0</v>
      </c>
      <c r="Y2106" t="inlineStr">
        <is>
          <t>ON</t>
        </is>
      </c>
      <c r="Z2106" t="n">
        <v>935</v>
      </c>
      <c r="AA2106" t="n">
        <v>2.5</v>
      </c>
      <c r="AB2106" t="n">
        <v>9.5</v>
      </c>
    </row>
    <row r="2107">
      <c r="A2107" t="inlineStr">
        <is>
          <t>2026-09-24 18:36:34</t>
        </is>
      </c>
      <c r="B2107" t="inlineStr">
        <is>
          <t>MLLB_000_y1.0.3</t>
        </is>
      </c>
      <c r="C2107" t="inlineStr">
        <is>
          <t>WHITE</t>
        </is>
      </c>
      <c r="D2107" t="inlineStr">
        <is>
          <t>v4_white_MLLB_000_y103_0924</t>
        </is>
      </c>
      <c r="E2107" t="n">
        <v>2.8</v>
      </c>
      <c r="F2107" t="n">
        <v>2.808</v>
      </c>
      <c r="G2107" t="n">
        <v>8</v>
      </c>
      <c r="H2107" t="n">
        <v>60</v>
      </c>
      <c r="I2107" t="n">
        <v>48</v>
      </c>
      <c r="J2107" t="inlineStr">
        <is>
          <t>kaba</t>
        </is>
      </c>
      <c r="K2107" t="b">
        <v>1</v>
      </c>
      <c r="M2107" t="n">
        <v>54</v>
      </c>
      <c r="N2107" t="n">
        <v>28</v>
      </c>
      <c r="O2107" t="n">
        <v>34</v>
      </c>
      <c r="P2107" t="n">
        <v>948</v>
      </c>
      <c r="Q2107" t="n">
        <v>1002</v>
      </c>
      <c r="R2107" t="n">
        <v>1.724</v>
      </c>
      <c r="S2107" t="n">
        <v>24.266</v>
      </c>
      <c r="T2107" t="n">
        <v>14.073</v>
      </c>
      <c r="U2107" t="n">
        <v>0.7781</v>
      </c>
      <c r="V2107" t="b">
        <v>1</v>
      </c>
      <c r="X2107" t="b">
        <v>1</v>
      </c>
      <c r="Z2107" t="n">
        <v>935</v>
      </c>
      <c r="AA2107" t="n">
        <v>2.5</v>
      </c>
      <c r="AB2107" t="n">
        <v>9.5</v>
      </c>
    </row>
    <row r="2108">
      <c r="A2108" t="inlineStr">
        <is>
          <t>2026-09-24 18:36:50</t>
        </is>
      </c>
      <c r="B2108" t="inlineStr">
        <is>
          <t>MLLB_000_y1.0.3</t>
        </is>
      </c>
      <c r="C2108" t="inlineStr">
        <is>
          <t>WHITE</t>
        </is>
      </c>
      <c r="D2108" t="inlineStr">
        <is>
          <t>v4_white_MLLB_000_y103_0924</t>
        </is>
      </c>
      <c r="E2108" t="n">
        <v>2.8</v>
      </c>
      <c r="F2108" t="n">
        <v>2.808</v>
      </c>
      <c r="G2108" t="n">
        <v>8</v>
      </c>
      <c r="H2108" t="n">
        <v>60</v>
      </c>
      <c r="I2108" t="n">
        <v>52</v>
      </c>
      <c r="J2108" t="inlineStr">
        <is>
          <t>kaba</t>
        </is>
      </c>
      <c r="K2108" t="b">
        <v>1</v>
      </c>
      <c r="M2108" t="n">
        <v>54</v>
      </c>
      <c r="N2108" t="n">
        <v>28</v>
      </c>
      <c r="O2108" t="n">
        <v>34</v>
      </c>
      <c r="P2108" t="n">
        <v>948</v>
      </c>
      <c r="Q2108" t="n">
        <v>1002</v>
      </c>
      <c r="R2108" t="n">
        <v>6.982</v>
      </c>
      <c r="S2108" t="n">
        <v>98.42700000000001</v>
      </c>
      <c r="T2108" t="n">
        <v>14.097</v>
      </c>
      <c r="U2108" t="n">
        <v>0.7781</v>
      </c>
      <c r="V2108" t="b">
        <v>1</v>
      </c>
      <c r="X2108" t="b">
        <v>0</v>
      </c>
      <c r="Y2108" t="inlineStr">
        <is>
          <t>FLAS</t>
        </is>
      </c>
      <c r="Z2108" t="n">
        <v>935</v>
      </c>
      <c r="AA2108" t="n">
        <v>2.5</v>
      </c>
      <c r="AB2108" t="n">
        <v>9.5</v>
      </c>
    </row>
    <row r="2109">
      <c r="A2109" t="inlineStr">
        <is>
          <t>2026-09-24 18:37:06</t>
        </is>
      </c>
      <c r="B2109" t="inlineStr">
        <is>
          <t>MLLB_000_y1.0.3</t>
        </is>
      </c>
      <c r="C2109" t="inlineStr">
        <is>
          <t>WHITE</t>
        </is>
      </c>
      <c r="D2109" t="inlineStr">
        <is>
          <t>v4_white_MLLB_000_y103_0924</t>
        </is>
      </c>
      <c r="E2109" t="n">
        <v>2.8</v>
      </c>
      <c r="F2109" t="n">
        <v>2.808</v>
      </c>
      <c r="G2109" t="n">
        <v>8</v>
      </c>
      <c r="H2109" t="n">
        <v>60</v>
      </c>
      <c r="I2109" t="n">
        <v>45</v>
      </c>
      <c r="J2109" t="inlineStr">
        <is>
          <t>ince</t>
        </is>
      </c>
      <c r="K2109" t="b">
        <v>1</v>
      </c>
      <c r="M2109" t="n">
        <v>68</v>
      </c>
      <c r="N2109" t="n">
        <v>36</v>
      </c>
      <c r="O2109" t="n">
        <v>46</v>
      </c>
      <c r="P2109" t="n">
        <v>934</v>
      </c>
      <c r="Q2109" t="n">
        <v>1002</v>
      </c>
      <c r="R2109" t="n">
        <v>1.136</v>
      </c>
      <c r="S2109" t="n">
        <v>16.002</v>
      </c>
      <c r="T2109" t="n">
        <v>14.082</v>
      </c>
      <c r="U2109" t="n">
        <v>0.7781</v>
      </c>
      <c r="V2109" t="b">
        <v>1</v>
      </c>
      <c r="X2109" t="b">
        <v>0</v>
      </c>
      <c r="Y2109" t="inlineStr">
        <is>
          <t>ON</t>
        </is>
      </c>
      <c r="Z2109" t="n">
        <v>935</v>
      </c>
      <c r="AA2109" t="n">
        <v>2.5</v>
      </c>
      <c r="AB2109" t="n">
        <v>9.5</v>
      </c>
    </row>
    <row r="2110">
      <c r="A2110" t="inlineStr">
        <is>
          <t>2026-09-24 18:37:22</t>
        </is>
      </c>
      <c r="B2110" t="inlineStr">
        <is>
          <t>MLLB_000_y1.0.3</t>
        </is>
      </c>
      <c r="C2110" t="inlineStr">
        <is>
          <t>WHITE</t>
        </is>
      </c>
      <c r="D2110" t="inlineStr">
        <is>
          <t>v4_white_MLLB_000_y103_0924</t>
        </is>
      </c>
      <c r="E2110" t="n">
        <v>2.8</v>
      </c>
      <c r="F2110" t="n">
        <v>2.808</v>
      </c>
      <c r="G2110" t="n">
        <v>8</v>
      </c>
      <c r="H2110" t="n">
        <v>60</v>
      </c>
      <c r="I2110" t="n">
        <v>46</v>
      </c>
      <c r="J2110" t="inlineStr">
        <is>
          <t>ince</t>
        </is>
      </c>
      <c r="K2110" t="b">
        <v>1</v>
      </c>
      <c r="M2110" t="n">
        <v>58</v>
      </c>
      <c r="N2110" t="n">
        <v>34</v>
      </c>
      <c r="O2110" t="n">
        <v>36</v>
      </c>
      <c r="P2110" t="n">
        <v>944</v>
      </c>
      <c r="Q2110" t="n">
        <v>1002</v>
      </c>
      <c r="R2110" t="n">
        <v>1.148</v>
      </c>
      <c r="S2110" t="n">
        <v>16.174</v>
      </c>
      <c r="T2110" t="n">
        <v>14.094</v>
      </c>
      <c r="U2110" t="n">
        <v>0.7776</v>
      </c>
      <c r="V2110" t="b">
        <v>1</v>
      </c>
      <c r="X2110" t="b">
        <v>1</v>
      </c>
      <c r="Z2110" t="n">
        <v>935</v>
      </c>
      <c r="AA2110" t="n">
        <v>2.5</v>
      </c>
      <c r="AB2110" t="n">
        <v>9.5</v>
      </c>
    </row>
    <row r="2111">
      <c r="A2111" t="inlineStr">
        <is>
          <t>2026-09-24 18:37:38</t>
        </is>
      </c>
      <c r="B2111" t="inlineStr">
        <is>
          <t>MLLB_000_y1.0.3</t>
        </is>
      </c>
      <c r="C2111" t="inlineStr">
        <is>
          <t>WHITE</t>
        </is>
      </c>
      <c r="D2111" t="inlineStr">
        <is>
          <t>v4_white_MLLB_000_y103_0924</t>
        </is>
      </c>
      <c r="E2111" t="n">
        <v>2.8</v>
      </c>
      <c r="F2111" t="n">
        <v>2.808</v>
      </c>
      <c r="G2111" t="n">
        <v>8</v>
      </c>
      <c r="H2111" t="n">
        <v>60</v>
      </c>
      <c r="I2111" t="n">
        <v>47</v>
      </c>
      <c r="J2111" t="inlineStr">
        <is>
          <t>ince</t>
        </is>
      </c>
      <c r="K2111" t="b">
        <v>1</v>
      </c>
      <c r="M2111" t="n">
        <v>54</v>
      </c>
      <c r="N2111" t="n">
        <v>28</v>
      </c>
      <c r="O2111" t="n">
        <v>34</v>
      </c>
      <c r="P2111" t="n">
        <v>948</v>
      </c>
      <c r="Q2111" t="n">
        <v>1002</v>
      </c>
      <c r="R2111" t="n">
        <v>1.142</v>
      </c>
      <c r="S2111" t="n">
        <v>16.08</v>
      </c>
      <c r="T2111" t="n">
        <v>14.084</v>
      </c>
      <c r="U2111" t="n">
        <v>0.778</v>
      </c>
      <c r="V2111" t="b">
        <v>1</v>
      </c>
      <c r="X2111" t="b">
        <v>1</v>
      </c>
      <c r="Z2111" t="n">
        <v>935</v>
      </c>
      <c r="AA2111" t="n">
        <v>2.5</v>
      </c>
      <c r="AB2111" t="n">
        <v>9.5</v>
      </c>
    </row>
    <row r="2112">
      <c r="A2112" t="inlineStr">
        <is>
          <t>2026-09-24 18:37:54</t>
        </is>
      </c>
      <c r="B2112" t="inlineStr">
        <is>
          <t>MLLB_000_y1.0.3</t>
        </is>
      </c>
      <c r="C2112" t="inlineStr">
        <is>
          <t>WHITE</t>
        </is>
      </c>
      <c r="D2112" t="inlineStr">
        <is>
          <t>v4_white_MLLB_000_y103_0924</t>
        </is>
      </c>
      <c r="E2112" t="n">
        <v>2.8</v>
      </c>
      <c r="F2112" t="n">
        <v>2.808</v>
      </c>
      <c r="G2112" t="n">
        <v>8</v>
      </c>
      <c r="H2112" t="n">
        <v>60</v>
      </c>
      <c r="I2112" t="n">
        <v>49</v>
      </c>
      <c r="J2112" t="inlineStr">
        <is>
          <t>ince</t>
        </is>
      </c>
      <c r="K2112" t="b">
        <v>1</v>
      </c>
      <c r="M2112" t="n">
        <v>54</v>
      </c>
      <c r="N2112" t="n">
        <v>28</v>
      </c>
      <c r="O2112" t="n">
        <v>34</v>
      </c>
      <c r="P2112" t="n">
        <v>948</v>
      </c>
      <c r="Q2112" t="n">
        <v>1002</v>
      </c>
      <c r="R2112" t="n">
        <v>3.141</v>
      </c>
      <c r="S2112" t="n">
        <v>44.215</v>
      </c>
      <c r="T2112" t="n">
        <v>14.076</v>
      </c>
      <c r="U2112" t="n">
        <v>0.7782</v>
      </c>
      <c r="V2112" t="b">
        <v>1</v>
      </c>
      <c r="X2112" t="b">
        <v>0</v>
      </c>
      <c r="Y2112" t="inlineStr">
        <is>
          <t>FLAS</t>
        </is>
      </c>
      <c r="Z2112" t="n">
        <v>935</v>
      </c>
      <c r="AA2112" t="n">
        <v>2.5</v>
      </c>
      <c r="AB2112" t="n">
        <v>9.5</v>
      </c>
    </row>
    <row r="2113">
      <c r="A2113" t="inlineStr">
        <is>
          <t>2026-09-24 18:38:10</t>
        </is>
      </c>
      <c r="B2113" t="inlineStr">
        <is>
          <t>MLLB_000_y1.0.3</t>
        </is>
      </c>
      <c r="C2113" t="inlineStr">
        <is>
          <t>WHITE</t>
        </is>
      </c>
      <c r="D2113" t="inlineStr">
        <is>
          <t>v4_white_MLLB_000_y103_0924</t>
        </is>
      </c>
      <c r="E2113" t="n">
        <v>2.8</v>
      </c>
      <c r="F2113" t="n">
        <v>2.808</v>
      </c>
      <c r="G2113" t="n">
        <v>8</v>
      </c>
      <c r="H2113" t="n">
        <v>60</v>
      </c>
      <c r="I2113" t="n">
        <v>50</v>
      </c>
      <c r="J2113" t="inlineStr">
        <is>
          <t>ince</t>
        </is>
      </c>
      <c r="K2113" t="b">
        <v>1</v>
      </c>
      <c r="M2113" t="n">
        <v>54</v>
      </c>
      <c r="N2113" t="n">
        <v>28</v>
      </c>
      <c r="O2113" t="n">
        <v>34</v>
      </c>
      <c r="P2113" t="n">
        <v>948</v>
      </c>
      <c r="Q2113" t="n">
        <v>1002</v>
      </c>
      <c r="R2113" t="n">
        <v>5.543</v>
      </c>
      <c r="S2113" t="n">
        <v>78.152</v>
      </c>
      <c r="T2113" t="n">
        <v>14.099</v>
      </c>
      <c r="U2113" t="n">
        <v>0.7779</v>
      </c>
      <c r="V2113" t="b">
        <v>1</v>
      </c>
      <c r="X2113" t="b">
        <v>0</v>
      </c>
      <c r="Y2113" t="inlineStr">
        <is>
          <t>FLAS</t>
        </is>
      </c>
      <c r="Z2113" t="n">
        <v>935</v>
      </c>
      <c r="AA2113" t="n">
        <v>2.5</v>
      </c>
      <c r="AB2113" t="n">
        <v>9.5</v>
      </c>
    </row>
    <row r="2114">
      <c r="A2114" t="inlineStr">
        <is>
          <t>2026-09-24 18:38:26</t>
        </is>
      </c>
      <c r="B2114" t="inlineStr">
        <is>
          <t>MLLB_000_y1.0.3</t>
        </is>
      </c>
      <c r="C2114" t="inlineStr">
        <is>
          <t>WHITE</t>
        </is>
      </c>
      <c r="D2114" t="inlineStr">
        <is>
          <t>v4_white_MLLB_000_y103_0924</t>
        </is>
      </c>
      <c r="E2114" t="n">
        <v>2.8</v>
      </c>
      <c r="F2114" t="n">
        <v>2.808</v>
      </c>
      <c r="G2114" t="n">
        <v>8</v>
      </c>
      <c r="H2114" t="n">
        <v>60</v>
      </c>
      <c r="I2114" t="n">
        <v>51</v>
      </c>
      <c r="J2114" t="inlineStr">
        <is>
          <t>ince</t>
        </is>
      </c>
      <c r="K2114" t="b">
        <v>1</v>
      </c>
      <c r="M2114" t="n">
        <v>54</v>
      </c>
      <c r="N2114" t="n">
        <v>28</v>
      </c>
      <c r="O2114" t="n">
        <v>34</v>
      </c>
      <c r="P2114" t="n">
        <v>948</v>
      </c>
      <c r="Q2114" t="n">
        <v>1002</v>
      </c>
      <c r="R2114" t="n">
        <v>6.574</v>
      </c>
      <c r="S2114" t="n">
        <v>92.53700000000001</v>
      </c>
      <c r="T2114" t="n">
        <v>14.077</v>
      </c>
      <c r="U2114" t="n">
        <v>0.7779</v>
      </c>
      <c r="V2114" t="b">
        <v>1</v>
      </c>
      <c r="X2114" t="b">
        <v>0</v>
      </c>
      <c r="Y2114" t="inlineStr">
        <is>
          <t>FLAS</t>
        </is>
      </c>
      <c r="Z2114" t="n">
        <v>935</v>
      </c>
      <c r="AA2114" t="n">
        <v>2.5</v>
      </c>
      <c r="AB2114" t="n">
        <v>9.5</v>
      </c>
    </row>
    <row r="2115">
      <c r="A2115" t="inlineStr">
        <is>
          <t>2026-09-24 18:38:26</t>
        </is>
      </c>
      <c r="B2115" t="inlineStr">
        <is>
          <t>MLLB_000_y1.0.3</t>
        </is>
      </c>
      <c r="C2115" t="inlineStr">
        <is>
          <t>WHITE</t>
        </is>
      </c>
      <c r="D2115" t="inlineStr">
        <is>
          <t>v4_white_MLLB_000_y103_0924</t>
        </is>
      </c>
      <c r="E2115" t="n">
        <v>2.8</v>
      </c>
      <c r="F2115" t="n">
        <v>2.808</v>
      </c>
      <c r="G2115" t="n">
        <v>8</v>
      </c>
      <c r="H2115" t="n">
        <v>60</v>
      </c>
      <c r="J2115" t="inlineStr">
        <is>
          <t>bitti</t>
        </is>
      </c>
      <c r="K2115" t="b">
        <v>0</v>
      </c>
      <c r="Z2115" t="n">
        <v>935</v>
      </c>
      <c r="AA2115" t="n">
        <v>2.5</v>
      </c>
      <c r="AB2115" t="n">
        <v>9.5</v>
      </c>
    </row>
    <row r="2116">
      <c r="A2116" t="inlineStr">
        <is>
          <t>2026-09-24 18:38:45</t>
        </is>
      </c>
      <c r="B2116" t="inlineStr">
        <is>
          <t>MLLB_000_y1.0.3</t>
        </is>
      </c>
      <c r="C2116" t="inlineStr">
        <is>
          <t>WHITE</t>
        </is>
      </c>
      <c r="D2116" t="inlineStr">
        <is>
          <t>v4_white_MLLB_000_y103_0924</t>
        </is>
      </c>
      <c r="E2116" t="n">
        <v>2.8</v>
      </c>
      <c r="F2116" t="n">
        <v>2.808</v>
      </c>
      <c r="G2116" t="n">
        <v>10</v>
      </c>
      <c r="H2116" t="n">
        <v>100</v>
      </c>
      <c r="I2116" t="n">
        <v>12</v>
      </c>
      <c r="J2116" t="inlineStr">
        <is>
          <t>kaba</t>
        </is>
      </c>
      <c r="K2116" t="b">
        <v>1</v>
      </c>
      <c r="M2116" t="n">
        <v>222</v>
      </c>
      <c r="N2116" t="n">
        <v>34</v>
      </c>
      <c r="O2116" t="n">
        <v>200</v>
      </c>
      <c r="P2116" t="n">
        <v>780</v>
      </c>
      <c r="Q2116" t="n">
        <v>1002</v>
      </c>
      <c r="R2116" t="n">
        <v>1.092</v>
      </c>
      <c r="S2116" t="n">
        <v>20.316</v>
      </c>
      <c r="T2116" t="n">
        <v>18.612</v>
      </c>
      <c r="U2116" t="n">
        <v>0.778</v>
      </c>
      <c r="V2116" t="b">
        <v>1</v>
      </c>
      <c r="X2116" t="b">
        <v>0</v>
      </c>
      <c r="Y2116" t="inlineStr">
        <is>
          <t>ON</t>
        </is>
      </c>
      <c r="Z2116" t="n">
        <v>935</v>
      </c>
      <c r="AA2116" t="n">
        <v>2.5</v>
      </c>
      <c r="AB2116" t="n">
        <v>9.5</v>
      </c>
    </row>
    <row r="2117">
      <c r="A2117" t="inlineStr">
        <is>
          <t>2026-09-24 18:39:02</t>
        </is>
      </c>
      <c r="B2117" t="inlineStr">
        <is>
          <t>MLLB_000_y1.0.3</t>
        </is>
      </c>
      <c r="C2117" t="inlineStr">
        <is>
          <t>WHITE</t>
        </is>
      </c>
      <c r="D2117" t="inlineStr">
        <is>
          <t>v4_white_MLLB_000_y103_0924</t>
        </is>
      </c>
      <c r="E2117" t="n">
        <v>2.8</v>
      </c>
      <c r="F2117" t="n">
        <v>2.808</v>
      </c>
      <c r="G2117" t="n">
        <v>10</v>
      </c>
      <c r="H2117" t="n">
        <v>100</v>
      </c>
      <c r="I2117" t="n">
        <v>16</v>
      </c>
      <c r="J2117" t="inlineStr">
        <is>
          <t>kaba</t>
        </is>
      </c>
      <c r="K2117" t="b">
        <v>1</v>
      </c>
      <c r="M2117" t="n">
        <v>180</v>
      </c>
      <c r="N2117" t="n">
        <v>32</v>
      </c>
      <c r="O2117" t="n">
        <v>158</v>
      </c>
      <c r="P2117" t="n">
        <v>822</v>
      </c>
      <c r="Q2117" t="n">
        <v>1002</v>
      </c>
      <c r="R2117" t="n">
        <v>1.089</v>
      </c>
      <c r="S2117" t="n">
        <v>20.333</v>
      </c>
      <c r="T2117" t="n">
        <v>18.671</v>
      </c>
      <c r="U2117" t="n">
        <v>0.7782</v>
      </c>
      <c r="V2117" t="b">
        <v>1</v>
      </c>
      <c r="X2117" t="b">
        <v>0</v>
      </c>
      <c r="Y2117" t="inlineStr">
        <is>
          <t>ON</t>
        </is>
      </c>
      <c r="Z2117" t="n">
        <v>935</v>
      </c>
      <c r="AA2117" t="n">
        <v>2.5</v>
      </c>
      <c r="AB2117" t="n">
        <v>9.5</v>
      </c>
    </row>
    <row r="2118">
      <c r="A2118" t="inlineStr">
        <is>
          <t>2026-09-24 18:39:18</t>
        </is>
      </c>
      <c r="B2118" t="inlineStr">
        <is>
          <t>MLLB_000_y1.0.3</t>
        </is>
      </c>
      <c r="C2118" t="inlineStr">
        <is>
          <t>WHITE</t>
        </is>
      </c>
      <c r="D2118" t="inlineStr">
        <is>
          <t>v4_white_MLLB_000_y103_0924</t>
        </is>
      </c>
      <c r="E2118" t="n">
        <v>2.8</v>
      </c>
      <c r="F2118" t="n">
        <v>2.808</v>
      </c>
      <c r="G2118" t="n">
        <v>10</v>
      </c>
      <c r="H2118" t="n">
        <v>100</v>
      </c>
      <c r="I2118" t="n">
        <v>20</v>
      </c>
      <c r="J2118" t="inlineStr">
        <is>
          <t>kaba</t>
        </is>
      </c>
      <c r="K2118" t="b">
        <v>1</v>
      </c>
      <c r="M2118" t="n">
        <v>136</v>
      </c>
      <c r="N2118" t="n">
        <v>34</v>
      </c>
      <c r="O2118" t="n">
        <v>116</v>
      </c>
      <c r="P2118" t="n">
        <v>866</v>
      </c>
      <c r="Q2118" t="n">
        <v>1002</v>
      </c>
      <c r="R2118" t="n">
        <v>1.086</v>
      </c>
      <c r="S2118" t="n">
        <v>20.316</v>
      </c>
      <c r="T2118" t="n">
        <v>18.714</v>
      </c>
      <c r="U2118" t="n">
        <v>0.778</v>
      </c>
      <c r="V2118" t="b">
        <v>1</v>
      </c>
      <c r="X2118" t="b">
        <v>0</v>
      </c>
      <c r="Y2118" t="inlineStr">
        <is>
          <t>ON</t>
        </is>
      </c>
      <c r="Z2118" t="n">
        <v>935</v>
      </c>
      <c r="AA2118" t="n">
        <v>2.5</v>
      </c>
      <c r="AB2118" t="n">
        <v>9.5</v>
      </c>
    </row>
    <row r="2119">
      <c r="A2119" t="inlineStr">
        <is>
          <t>2026-09-24 18:39:34</t>
        </is>
      </c>
      <c r="B2119" t="inlineStr">
        <is>
          <t>MLLB_000_y1.0.3</t>
        </is>
      </c>
      <c r="C2119" t="inlineStr">
        <is>
          <t>WHITE</t>
        </is>
      </c>
      <c r="D2119" t="inlineStr">
        <is>
          <t>v4_white_MLLB_000_y103_0924</t>
        </is>
      </c>
      <c r="E2119" t="n">
        <v>2.8</v>
      </c>
      <c r="F2119" t="n">
        <v>2.808</v>
      </c>
      <c r="G2119" t="n">
        <v>10</v>
      </c>
      <c r="H2119" t="n">
        <v>100</v>
      </c>
      <c r="I2119" t="n">
        <v>24</v>
      </c>
      <c r="J2119" t="inlineStr">
        <is>
          <t>kaba</t>
        </is>
      </c>
      <c r="K2119" t="b">
        <v>1</v>
      </c>
      <c r="M2119" t="n">
        <v>94</v>
      </c>
      <c r="N2119" t="n">
        <v>32</v>
      </c>
      <c r="O2119" t="n">
        <v>74</v>
      </c>
      <c r="P2119" t="n">
        <v>908</v>
      </c>
      <c r="Q2119" t="n">
        <v>1002</v>
      </c>
      <c r="R2119" t="n">
        <v>1.085</v>
      </c>
      <c r="S2119" t="n">
        <v>20.364</v>
      </c>
      <c r="T2119" t="n">
        <v>18.769</v>
      </c>
      <c r="U2119" t="n">
        <v>0.7778</v>
      </c>
      <c r="V2119" t="b">
        <v>1</v>
      </c>
      <c r="X2119" t="b">
        <v>0</v>
      </c>
      <c r="Y2119" t="inlineStr">
        <is>
          <t>ON</t>
        </is>
      </c>
      <c r="Z2119" t="n">
        <v>935</v>
      </c>
      <c r="AA2119" t="n">
        <v>2.5</v>
      </c>
      <c r="AB2119" t="n">
        <v>9.5</v>
      </c>
    </row>
    <row r="2120">
      <c r="A2120" t="inlineStr">
        <is>
          <t>2026-09-24 18:39:50</t>
        </is>
      </c>
      <c r="B2120" t="inlineStr">
        <is>
          <t>MLLB_000_y1.0.3</t>
        </is>
      </c>
      <c r="C2120" t="inlineStr">
        <is>
          <t>WHITE</t>
        </is>
      </c>
      <c r="D2120" t="inlineStr">
        <is>
          <t>v4_white_MLLB_000_y103_0924</t>
        </is>
      </c>
      <c r="E2120" t="n">
        <v>2.8</v>
      </c>
      <c r="F2120" t="n">
        <v>2.808</v>
      </c>
      <c r="G2120" t="n">
        <v>10</v>
      </c>
      <c r="H2120" t="n">
        <v>100</v>
      </c>
      <c r="I2120" t="n">
        <v>28</v>
      </c>
      <c r="J2120" t="inlineStr">
        <is>
          <t>kaba</t>
        </is>
      </c>
      <c r="K2120" t="b">
        <v>1</v>
      </c>
      <c r="M2120" t="n">
        <v>50</v>
      </c>
      <c r="N2120" t="n">
        <v>32</v>
      </c>
      <c r="O2120" t="n">
        <v>30</v>
      </c>
      <c r="P2120" t="n">
        <v>952</v>
      </c>
      <c r="Q2120" t="n">
        <v>1002</v>
      </c>
      <c r="R2120" t="n">
        <v>1.084</v>
      </c>
      <c r="S2120" t="n">
        <v>20.364</v>
      </c>
      <c r="T2120" t="n">
        <v>18.792</v>
      </c>
      <c r="U2120" t="n">
        <v>0.777</v>
      </c>
      <c r="V2120" t="b">
        <v>1</v>
      </c>
      <c r="X2120" t="b">
        <v>1</v>
      </c>
      <c r="Z2120" t="n">
        <v>935</v>
      </c>
      <c r="AA2120" t="n">
        <v>2.5</v>
      </c>
      <c r="AB2120" t="n">
        <v>9.5</v>
      </c>
    </row>
    <row r="2121">
      <c r="A2121" t="inlineStr">
        <is>
          <t>2026-09-24 18:40:06</t>
        </is>
      </c>
      <c r="B2121" t="inlineStr">
        <is>
          <t>MLLB_000_y1.0.3</t>
        </is>
      </c>
      <c r="C2121" t="inlineStr">
        <is>
          <t>WHITE</t>
        </is>
      </c>
      <c r="D2121" t="inlineStr">
        <is>
          <t>v4_white_MLLB_000_y103_0924</t>
        </is>
      </c>
      <c r="E2121" t="n">
        <v>2.8</v>
      </c>
      <c r="F2121" t="n">
        <v>2.808</v>
      </c>
      <c r="G2121" t="n">
        <v>10</v>
      </c>
      <c r="H2121" t="n">
        <v>100</v>
      </c>
      <c r="I2121" t="n">
        <v>32</v>
      </c>
      <c r="J2121" t="inlineStr">
        <is>
          <t>kaba</t>
        </is>
      </c>
      <c r="K2121" t="b">
        <v>1</v>
      </c>
      <c r="M2121" t="n">
        <v>38</v>
      </c>
      <c r="N2121" t="n">
        <v>28</v>
      </c>
      <c r="O2121" t="n">
        <v>18</v>
      </c>
      <c r="P2121" t="n">
        <v>964</v>
      </c>
      <c r="Q2121" t="n">
        <v>1002</v>
      </c>
      <c r="R2121" t="n">
        <v>5.374</v>
      </c>
      <c r="S2121" t="n">
        <v>100.684</v>
      </c>
      <c r="T2121" t="n">
        <v>18.737</v>
      </c>
      <c r="U2121" t="n">
        <v>0.7778</v>
      </c>
      <c r="V2121" t="b">
        <v>1</v>
      </c>
      <c r="X2121" t="b">
        <v>0</v>
      </c>
      <c r="Y2121" t="inlineStr">
        <is>
          <t>FLAS</t>
        </is>
      </c>
      <c r="Z2121" t="n">
        <v>935</v>
      </c>
      <c r="AA2121" t="n">
        <v>2.5</v>
      </c>
      <c r="AB2121" t="n">
        <v>9.5</v>
      </c>
    </row>
    <row r="2122">
      <c r="A2122" t="inlineStr">
        <is>
          <t>2026-09-24 18:40:22</t>
        </is>
      </c>
      <c r="B2122" t="inlineStr">
        <is>
          <t>MLLB_000_y1.0.3</t>
        </is>
      </c>
      <c r="C2122" t="inlineStr">
        <is>
          <t>WHITE</t>
        </is>
      </c>
      <c r="D2122" t="inlineStr">
        <is>
          <t>v4_white_MLLB_000_y103_0924</t>
        </is>
      </c>
      <c r="E2122" t="n">
        <v>2.8</v>
      </c>
      <c r="F2122" t="n">
        <v>2.808</v>
      </c>
      <c r="G2122" t="n">
        <v>10</v>
      </c>
      <c r="H2122" t="n">
        <v>100</v>
      </c>
      <c r="I2122" t="n">
        <v>36</v>
      </c>
      <c r="J2122" t="inlineStr">
        <is>
          <t>kaba</t>
        </is>
      </c>
      <c r="K2122" t="b">
        <v>1</v>
      </c>
      <c r="M2122" t="n">
        <v>38</v>
      </c>
      <c r="N2122" t="n">
        <v>28</v>
      </c>
      <c r="O2122" t="n">
        <v>18</v>
      </c>
      <c r="P2122" t="n">
        <v>964</v>
      </c>
      <c r="Q2122" t="n">
        <v>1002</v>
      </c>
      <c r="R2122" t="n">
        <v>8.747999999999999</v>
      </c>
      <c r="S2122" t="n">
        <v>164.236</v>
      </c>
      <c r="T2122" t="n">
        <v>18.774</v>
      </c>
      <c r="U2122" t="n">
        <v>0.7779</v>
      </c>
      <c r="V2122" t="b">
        <v>1</v>
      </c>
      <c r="X2122" t="b">
        <v>0</v>
      </c>
      <c r="Y2122" t="inlineStr">
        <is>
          <t>FLAS</t>
        </is>
      </c>
      <c r="Z2122" t="n">
        <v>935</v>
      </c>
      <c r="AA2122" t="n">
        <v>2.5</v>
      </c>
      <c r="AB2122" t="n">
        <v>9.5</v>
      </c>
    </row>
    <row r="2123">
      <c r="A2123" t="inlineStr">
        <is>
          <t>2026-09-24 18:40:38</t>
        </is>
      </c>
      <c r="B2123" t="inlineStr">
        <is>
          <t>MLLB_000_y1.0.3</t>
        </is>
      </c>
      <c r="C2123" t="inlineStr">
        <is>
          <t>WHITE</t>
        </is>
      </c>
      <c r="D2123" t="inlineStr">
        <is>
          <t>v4_white_MLLB_000_y103_0924</t>
        </is>
      </c>
      <c r="E2123" t="n">
        <v>2.8</v>
      </c>
      <c r="F2123" t="n">
        <v>2.808</v>
      </c>
      <c r="G2123" t="n">
        <v>10</v>
      </c>
      <c r="H2123" t="n">
        <v>100</v>
      </c>
      <c r="I2123" t="n">
        <v>25</v>
      </c>
      <c r="J2123" t="inlineStr">
        <is>
          <t>ince</t>
        </is>
      </c>
      <c r="K2123" t="b">
        <v>1</v>
      </c>
      <c r="M2123" t="n">
        <v>84</v>
      </c>
      <c r="N2123" t="n">
        <v>30</v>
      </c>
      <c r="O2123" t="n">
        <v>64</v>
      </c>
      <c r="P2123" t="n">
        <v>918</v>
      </c>
      <c r="Q2123" t="n">
        <v>1002</v>
      </c>
      <c r="R2123" t="n">
        <v>1.086</v>
      </c>
      <c r="S2123" t="n">
        <v>20.369</v>
      </c>
      <c r="T2123" t="n">
        <v>18.752</v>
      </c>
      <c r="U2123" t="n">
        <v>0.778</v>
      </c>
      <c r="V2123" t="b">
        <v>1</v>
      </c>
      <c r="X2123" t="b">
        <v>0</v>
      </c>
      <c r="Y2123" t="inlineStr">
        <is>
          <t>ON</t>
        </is>
      </c>
      <c r="Z2123" t="n">
        <v>935</v>
      </c>
      <c r="AA2123" t="n">
        <v>2.5</v>
      </c>
      <c r="AB2123" t="n">
        <v>9.5</v>
      </c>
    </row>
    <row r="2124">
      <c r="A2124" t="inlineStr">
        <is>
          <t>2026-09-24 18:40:54</t>
        </is>
      </c>
      <c r="B2124" t="inlineStr">
        <is>
          <t>MLLB_000_y1.0.3</t>
        </is>
      </c>
      <c r="C2124" t="inlineStr">
        <is>
          <t>WHITE</t>
        </is>
      </c>
      <c r="D2124" t="inlineStr">
        <is>
          <t>v4_white_MLLB_000_y103_0924</t>
        </is>
      </c>
      <c r="E2124" t="n">
        <v>2.8</v>
      </c>
      <c r="F2124" t="n">
        <v>2.808</v>
      </c>
      <c r="G2124" t="n">
        <v>10</v>
      </c>
      <c r="H2124" t="n">
        <v>100</v>
      </c>
      <c r="I2124" t="n">
        <v>26</v>
      </c>
      <c r="J2124" t="inlineStr">
        <is>
          <t>ince</t>
        </is>
      </c>
      <c r="K2124" t="b">
        <v>1</v>
      </c>
      <c r="M2124" t="n">
        <v>72</v>
      </c>
      <c r="N2124" t="n">
        <v>34</v>
      </c>
      <c r="O2124" t="n">
        <v>52</v>
      </c>
      <c r="P2124" t="n">
        <v>930</v>
      </c>
      <c r="Q2124" t="n">
        <v>1002</v>
      </c>
      <c r="R2124" t="n">
        <v>1.081</v>
      </c>
      <c r="S2124" t="n">
        <v>20.281</v>
      </c>
      <c r="T2124" t="n">
        <v>18.767</v>
      </c>
      <c r="U2124" t="n">
        <v>0.7782</v>
      </c>
      <c r="V2124" t="b">
        <v>1</v>
      </c>
      <c r="X2124" t="b">
        <v>0</v>
      </c>
      <c r="Y2124" t="inlineStr">
        <is>
          <t>ON</t>
        </is>
      </c>
      <c r="Z2124" t="n">
        <v>935</v>
      </c>
      <c r="AA2124" t="n">
        <v>2.5</v>
      </c>
      <c r="AB2124" t="n">
        <v>9.5</v>
      </c>
    </row>
    <row r="2125">
      <c r="A2125" t="inlineStr">
        <is>
          <t>2026-09-24 18:41:10</t>
        </is>
      </c>
      <c r="B2125" t="inlineStr">
        <is>
          <t>MLLB_000_y1.0.3</t>
        </is>
      </c>
      <c r="C2125" t="inlineStr">
        <is>
          <t>WHITE</t>
        </is>
      </c>
      <c r="D2125" t="inlineStr">
        <is>
          <t>v4_white_MLLB_000_y103_0924</t>
        </is>
      </c>
      <c r="E2125" t="n">
        <v>2.8</v>
      </c>
      <c r="F2125" t="n">
        <v>2.808</v>
      </c>
      <c r="G2125" t="n">
        <v>10</v>
      </c>
      <c r="H2125" t="n">
        <v>100</v>
      </c>
      <c r="I2125" t="n">
        <v>27</v>
      </c>
      <c r="J2125" t="inlineStr">
        <is>
          <t>ince</t>
        </is>
      </c>
      <c r="K2125" t="b">
        <v>1</v>
      </c>
      <c r="M2125" t="n">
        <v>62</v>
      </c>
      <c r="N2125" t="n">
        <v>32</v>
      </c>
      <c r="O2125" t="n">
        <v>42</v>
      </c>
      <c r="P2125" t="n">
        <v>940</v>
      </c>
      <c r="Q2125" t="n">
        <v>1002</v>
      </c>
      <c r="R2125" t="n">
        <v>1.08</v>
      </c>
      <c r="S2125" t="n">
        <v>20.268</v>
      </c>
      <c r="T2125" t="n">
        <v>18.764</v>
      </c>
      <c r="U2125" t="n">
        <v>0.777</v>
      </c>
      <c r="V2125" t="b">
        <v>1</v>
      </c>
      <c r="X2125" t="b">
        <v>1</v>
      </c>
      <c r="Z2125" t="n">
        <v>935</v>
      </c>
      <c r="AA2125" t="n">
        <v>2.5</v>
      </c>
      <c r="AB2125" t="n">
        <v>9.5</v>
      </c>
    </row>
    <row r="2126">
      <c r="A2126" t="inlineStr">
        <is>
          <t>2026-09-24 18:41:26</t>
        </is>
      </c>
      <c r="B2126" t="inlineStr">
        <is>
          <t>MLLB_000_y1.0.3</t>
        </is>
      </c>
      <c r="C2126" t="inlineStr">
        <is>
          <t>WHITE</t>
        </is>
      </c>
      <c r="D2126" t="inlineStr">
        <is>
          <t>v4_white_MLLB_000_y103_0924</t>
        </is>
      </c>
      <c r="E2126" t="n">
        <v>2.8</v>
      </c>
      <c r="F2126" t="n">
        <v>2.808</v>
      </c>
      <c r="G2126" t="n">
        <v>10</v>
      </c>
      <c r="H2126" t="n">
        <v>100</v>
      </c>
      <c r="I2126" t="n">
        <v>29</v>
      </c>
      <c r="J2126" t="inlineStr">
        <is>
          <t>ince</t>
        </is>
      </c>
      <c r="K2126" t="b">
        <v>1</v>
      </c>
      <c r="M2126" t="n">
        <v>40</v>
      </c>
      <c r="N2126" t="n">
        <v>30</v>
      </c>
      <c r="O2126" t="n">
        <v>20</v>
      </c>
      <c r="P2126" t="n">
        <v>962</v>
      </c>
      <c r="Q2126" t="n">
        <v>1002</v>
      </c>
      <c r="R2126" t="n">
        <v>1.08</v>
      </c>
      <c r="S2126" t="n">
        <v>20.274</v>
      </c>
      <c r="T2126" t="n">
        <v>18.768</v>
      </c>
      <c r="U2126" t="n">
        <v>0.7775</v>
      </c>
      <c r="V2126" t="b">
        <v>1</v>
      </c>
      <c r="X2126" t="b">
        <v>1</v>
      </c>
      <c r="Z2126" t="n">
        <v>935</v>
      </c>
      <c r="AA2126" t="n">
        <v>2.5</v>
      </c>
      <c r="AB2126" t="n">
        <v>9.5</v>
      </c>
    </row>
    <row r="2127">
      <c r="A2127" t="inlineStr">
        <is>
          <t>2026-09-24 18:41:42</t>
        </is>
      </c>
      <c r="B2127" t="inlineStr">
        <is>
          <t>MLLB_000_y1.0.3</t>
        </is>
      </c>
      <c r="C2127" t="inlineStr">
        <is>
          <t>WHITE</t>
        </is>
      </c>
      <c r="D2127" t="inlineStr">
        <is>
          <t>v4_white_MLLB_000_y103_0924</t>
        </is>
      </c>
      <c r="E2127" t="n">
        <v>2.8</v>
      </c>
      <c r="F2127" t="n">
        <v>2.808</v>
      </c>
      <c r="G2127" t="n">
        <v>10</v>
      </c>
      <c r="H2127" t="n">
        <v>100</v>
      </c>
      <c r="I2127" t="n">
        <v>30</v>
      </c>
      <c r="J2127" t="inlineStr">
        <is>
          <t>ince</t>
        </is>
      </c>
      <c r="K2127" t="b">
        <v>1</v>
      </c>
      <c r="M2127" t="n">
        <v>38</v>
      </c>
      <c r="N2127" t="n">
        <v>28</v>
      </c>
      <c r="O2127" t="n">
        <v>18</v>
      </c>
      <c r="P2127" t="n">
        <v>964</v>
      </c>
      <c r="Q2127" t="n">
        <v>1002</v>
      </c>
      <c r="R2127" t="n">
        <v>1.093</v>
      </c>
      <c r="S2127" t="n">
        <v>20.528</v>
      </c>
      <c r="T2127" t="n">
        <v>18.773</v>
      </c>
      <c r="U2127" t="n">
        <v>0.778</v>
      </c>
      <c r="V2127" t="b">
        <v>1</v>
      </c>
      <c r="X2127" t="b">
        <v>1</v>
      </c>
      <c r="Z2127" t="n">
        <v>935</v>
      </c>
      <c r="AA2127" t="n">
        <v>2.5</v>
      </c>
      <c r="AB2127" t="n">
        <v>9.5</v>
      </c>
    </row>
    <row r="2128">
      <c r="A2128" t="inlineStr">
        <is>
          <t>2026-09-24 18:41:58</t>
        </is>
      </c>
      <c r="B2128" t="inlineStr">
        <is>
          <t>MLLB_000_y1.0.3</t>
        </is>
      </c>
      <c r="C2128" t="inlineStr">
        <is>
          <t>WHITE</t>
        </is>
      </c>
      <c r="D2128" t="inlineStr">
        <is>
          <t>v4_white_MLLB_000_y103_0924</t>
        </is>
      </c>
      <c r="E2128" t="n">
        <v>2.8</v>
      </c>
      <c r="F2128" t="n">
        <v>2.808</v>
      </c>
      <c r="G2128" t="n">
        <v>10</v>
      </c>
      <c r="H2128" t="n">
        <v>100</v>
      </c>
      <c r="I2128" t="n">
        <v>31</v>
      </c>
      <c r="J2128" t="inlineStr">
        <is>
          <t>ince</t>
        </is>
      </c>
      <c r="K2128" t="b">
        <v>1</v>
      </c>
      <c r="M2128" t="n">
        <v>38</v>
      </c>
      <c r="N2128" t="n">
        <v>28</v>
      </c>
      <c r="O2128" t="n">
        <v>18</v>
      </c>
      <c r="P2128" t="n">
        <v>964</v>
      </c>
      <c r="Q2128" t="n">
        <v>1002</v>
      </c>
      <c r="R2128" t="n">
        <v>3.152</v>
      </c>
      <c r="S2128" t="n">
        <v>59.262</v>
      </c>
      <c r="T2128" t="n">
        <v>18.801</v>
      </c>
      <c r="U2128" t="n">
        <v>0.7778</v>
      </c>
      <c r="V2128" t="b">
        <v>1</v>
      </c>
      <c r="X2128" t="b">
        <v>0</v>
      </c>
      <c r="Y2128" t="inlineStr">
        <is>
          <t>FLAS</t>
        </is>
      </c>
      <c r="Z2128" t="n">
        <v>935</v>
      </c>
      <c r="AA2128" t="n">
        <v>2.5</v>
      </c>
      <c r="AB2128" t="n">
        <v>9.5</v>
      </c>
    </row>
    <row r="2129">
      <c r="A2129" t="inlineStr">
        <is>
          <t>2026-09-24 18:41:58</t>
        </is>
      </c>
      <c r="B2129" t="inlineStr">
        <is>
          <t>MLLB_000_y1.0.3</t>
        </is>
      </c>
      <c r="C2129" t="inlineStr">
        <is>
          <t>WHITE</t>
        </is>
      </c>
      <c r="D2129" t="inlineStr">
        <is>
          <t>v4_white_MLLB_000_y103_0924</t>
        </is>
      </c>
      <c r="E2129" t="n">
        <v>2.8</v>
      </c>
      <c r="F2129" t="n">
        <v>2.808</v>
      </c>
      <c r="G2129" t="n">
        <v>10</v>
      </c>
      <c r="H2129" t="n">
        <v>100</v>
      </c>
      <c r="J2129" t="inlineStr">
        <is>
          <t>bitti</t>
        </is>
      </c>
      <c r="K2129" t="b">
        <v>0</v>
      </c>
      <c r="Z2129" t="n">
        <v>935</v>
      </c>
      <c r="AA2129" t="n">
        <v>2.5</v>
      </c>
      <c r="AB2129" t="n">
        <v>9.5</v>
      </c>
    </row>
    <row r="2130">
      <c r="A2130" t="inlineStr">
        <is>
          <t>2026-09-24 18:42:14</t>
        </is>
      </c>
      <c r="B2130" t="inlineStr">
        <is>
          <t>MLLB_000_y1.0.3</t>
        </is>
      </c>
      <c r="C2130" t="inlineStr">
        <is>
          <t>WHITE</t>
        </is>
      </c>
      <c r="D2130" t="inlineStr">
        <is>
          <t>v4_white_MLLB_000_y103_0924</t>
        </is>
      </c>
      <c r="E2130" t="n">
        <v>2.8</v>
      </c>
      <c r="F2130" t="n">
        <v>2.808</v>
      </c>
      <c r="G2130" t="n">
        <v>10</v>
      </c>
      <c r="H2130" t="n">
        <v>80</v>
      </c>
      <c r="I2130" t="n">
        <v>12</v>
      </c>
      <c r="J2130" t="inlineStr">
        <is>
          <t>kaba</t>
        </is>
      </c>
      <c r="K2130" t="b">
        <v>1</v>
      </c>
      <c r="M2130" t="n">
        <v>242</v>
      </c>
      <c r="N2130" t="n">
        <v>32</v>
      </c>
      <c r="O2130" t="n">
        <v>222</v>
      </c>
      <c r="P2130" t="n">
        <v>760</v>
      </c>
      <c r="Q2130" t="n">
        <v>1002</v>
      </c>
      <c r="R2130" t="n">
        <v>1.093</v>
      </c>
      <c r="S2130" t="n">
        <v>20.34</v>
      </c>
      <c r="T2130" t="n">
        <v>18.613</v>
      </c>
      <c r="U2130" t="n">
        <v>0.7779</v>
      </c>
      <c r="V2130" t="b">
        <v>1</v>
      </c>
      <c r="X2130" t="b">
        <v>0</v>
      </c>
      <c r="Y2130" t="inlineStr">
        <is>
          <t>ON</t>
        </is>
      </c>
      <c r="Z2130" t="n">
        <v>935</v>
      </c>
      <c r="AA2130" t="n">
        <v>2.5</v>
      </c>
      <c r="AB2130" t="n">
        <v>9.5</v>
      </c>
    </row>
    <row r="2131">
      <c r="A2131" t="inlineStr">
        <is>
          <t>2026-09-24 18:42:30</t>
        </is>
      </c>
      <c r="B2131" t="inlineStr">
        <is>
          <t>MLLB_000_y1.0.3</t>
        </is>
      </c>
      <c r="C2131" t="inlineStr">
        <is>
          <t>WHITE</t>
        </is>
      </c>
      <c r="D2131" t="inlineStr">
        <is>
          <t>v4_white_MLLB_000_y103_0924</t>
        </is>
      </c>
      <c r="E2131" t="n">
        <v>2.8</v>
      </c>
      <c r="F2131" t="n">
        <v>2.808</v>
      </c>
      <c r="G2131" t="n">
        <v>10</v>
      </c>
      <c r="H2131" t="n">
        <v>80</v>
      </c>
      <c r="I2131" t="n">
        <v>16</v>
      </c>
      <c r="J2131" t="inlineStr">
        <is>
          <t>kaba</t>
        </is>
      </c>
      <c r="K2131" t="b">
        <v>1</v>
      </c>
      <c r="M2131" t="n">
        <v>208</v>
      </c>
      <c r="N2131" t="n">
        <v>36</v>
      </c>
      <c r="O2131" t="n">
        <v>188</v>
      </c>
      <c r="P2131" t="n">
        <v>794</v>
      </c>
      <c r="Q2131" t="n">
        <v>1002</v>
      </c>
      <c r="R2131" t="n">
        <v>1.088</v>
      </c>
      <c r="S2131" t="n">
        <v>20.319</v>
      </c>
      <c r="T2131" t="n">
        <v>18.668</v>
      </c>
      <c r="U2131" t="n">
        <v>0.7784</v>
      </c>
      <c r="V2131" t="b">
        <v>1</v>
      </c>
      <c r="X2131" t="b">
        <v>0</v>
      </c>
      <c r="Y2131" t="inlineStr">
        <is>
          <t>ON</t>
        </is>
      </c>
      <c r="Z2131" t="n">
        <v>935</v>
      </c>
      <c r="AA2131" t="n">
        <v>2.5</v>
      </c>
      <c r="AB2131" t="n">
        <v>9.5</v>
      </c>
    </row>
    <row r="2132">
      <c r="A2132" t="inlineStr">
        <is>
          <t>2026-09-24 18:42:46</t>
        </is>
      </c>
      <c r="B2132" t="inlineStr">
        <is>
          <t>MLLB_000_y1.0.3</t>
        </is>
      </c>
      <c r="C2132" t="inlineStr">
        <is>
          <t>WHITE</t>
        </is>
      </c>
      <c r="D2132" t="inlineStr">
        <is>
          <t>v4_white_MLLB_000_y103_0924</t>
        </is>
      </c>
      <c r="E2132" t="n">
        <v>2.8</v>
      </c>
      <c r="F2132" t="n">
        <v>2.808</v>
      </c>
      <c r="G2132" t="n">
        <v>10</v>
      </c>
      <c r="H2132" t="n">
        <v>80</v>
      </c>
      <c r="I2132" t="n">
        <v>20</v>
      </c>
      <c r="J2132" t="inlineStr">
        <is>
          <t>kaba</t>
        </is>
      </c>
      <c r="K2132" t="b">
        <v>1</v>
      </c>
      <c r="M2132" t="n">
        <v>176</v>
      </c>
      <c r="N2132" t="n">
        <v>32</v>
      </c>
      <c r="O2132" t="n">
        <v>154</v>
      </c>
      <c r="P2132" t="n">
        <v>826</v>
      </c>
      <c r="Q2132" t="n">
        <v>1002</v>
      </c>
      <c r="R2132" t="n">
        <v>1.086</v>
      </c>
      <c r="S2132" t="n">
        <v>20.268</v>
      </c>
      <c r="T2132" t="n">
        <v>18.658</v>
      </c>
      <c r="U2132" t="n">
        <v>0.7773</v>
      </c>
      <c r="V2132" t="b">
        <v>1</v>
      </c>
      <c r="X2132" t="b">
        <v>0</v>
      </c>
      <c r="Y2132" t="inlineStr">
        <is>
          <t>ON</t>
        </is>
      </c>
      <c r="Z2132" t="n">
        <v>935</v>
      </c>
      <c r="AA2132" t="n">
        <v>2.5</v>
      </c>
      <c r="AB2132" t="n">
        <v>9.5</v>
      </c>
    </row>
    <row r="2133">
      <c r="A2133" t="inlineStr">
        <is>
          <t>2026-09-24 18:43:02</t>
        </is>
      </c>
      <c r="B2133" t="inlineStr">
        <is>
          <t>MLLB_000_y1.0.3</t>
        </is>
      </c>
      <c r="C2133" t="inlineStr">
        <is>
          <t>WHITE</t>
        </is>
      </c>
      <c r="D2133" t="inlineStr">
        <is>
          <t>v4_white_MLLB_000_y103_0924</t>
        </is>
      </c>
      <c r="E2133" t="n">
        <v>2.8</v>
      </c>
      <c r="F2133" t="n">
        <v>2.808</v>
      </c>
      <c r="G2133" t="n">
        <v>10</v>
      </c>
      <c r="H2133" t="n">
        <v>80</v>
      </c>
      <c r="I2133" t="n">
        <v>24</v>
      </c>
      <c r="J2133" t="inlineStr">
        <is>
          <t>kaba</t>
        </is>
      </c>
      <c r="K2133" t="b">
        <v>1</v>
      </c>
      <c r="M2133" t="n">
        <v>142</v>
      </c>
      <c r="N2133" t="n">
        <v>32</v>
      </c>
      <c r="O2133" t="n">
        <v>122</v>
      </c>
      <c r="P2133" t="n">
        <v>860</v>
      </c>
      <c r="Q2133" t="n">
        <v>1002</v>
      </c>
      <c r="R2133" t="n">
        <v>1.087</v>
      </c>
      <c r="S2133" t="n">
        <v>20.324</v>
      </c>
      <c r="T2133" t="n">
        <v>18.695</v>
      </c>
      <c r="U2133" t="n">
        <v>0.7781</v>
      </c>
      <c r="V2133" t="b">
        <v>1</v>
      </c>
      <c r="X2133" t="b">
        <v>0</v>
      </c>
      <c r="Y2133" t="inlineStr">
        <is>
          <t>ON</t>
        </is>
      </c>
      <c r="Z2133" t="n">
        <v>935</v>
      </c>
      <c r="AA2133" t="n">
        <v>2.5</v>
      </c>
      <c r="AB2133" t="n">
        <v>9.5</v>
      </c>
    </row>
    <row r="2134">
      <c r="A2134" t="inlineStr">
        <is>
          <t>2026-09-24 18:43:18</t>
        </is>
      </c>
      <c r="B2134" t="inlineStr">
        <is>
          <t>MLLB_000_y1.0.3</t>
        </is>
      </c>
      <c r="C2134" t="inlineStr">
        <is>
          <t>WHITE</t>
        </is>
      </c>
      <c r="D2134" t="inlineStr">
        <is>
          <t>v4_white_MLLB_000_y103_0924</t>
        </is>
      </c>
      <c r="E2134" t="n">
        <v>2.8</v>
      </c>
      <c r="F2134" t="n">
        <v>2.808</v>
      </c>
      <c r="G2134" t="n">
        <v>10</v>
      </c>
      <c r="H2134" t="n">
        <v>80</v>
      </c>
      <c r="I2134" t="n">
        <v>28</v>
      </c>
      <c r="J2134" t="inlineStr">
        <is>
          <t>kaba</t>
        </is>
      </c>
      <c r="K2134" t="b">
        <v>1</v>
      </c>
      <c r="M2134" t="n">
        <v>108</v>
      </c>
      <c r="N2134" t="n">
        <v>30</v>
      </c>
      <c r="O2134" t="n">
        <v>88</v>
      </c>
      <c r="P2134" t="n">
        <v>894</v>
      </c>
      <c r="Q2134" t="n">
        <v>1002</v>
      </c>
      <c r="R2134" t="n">
        <v>1.086</v>
      </c>
      <c r="S2134" t="n">
        <v>20.364</v>
      </c>
      <c r="T2134" t="n">
        <v>18.749</v>
      </c>
      <c r="U2134" t="n">
        <v>0.7779</v>
      </c>
      <c r="V2134" t="b">
        <v>1</v>
      </c>
      <c r="X2134" t="b">
        <v>0</v>
      </c>
      <c r="Y2134" t="inlineStr">
        <is>
          <t>ON</t>
        </is>
      </c>
      <c r="Z2134" t="n">
        <v>935</v>
      </c>
      <c r="AA2134" t="n">
        <v>2.5</v>
      </c>
      <c r="AB2134" t="n">
        <v>9.5</v>
      </c>
    </row>
    <row r="2135">
      <c r="A2135" t="inlineStr">
        <is>
          <t>2026-09-24 18:43:34</t>
        </is>
      </c>
      <c r="B2135" t="inlineStr">
        <is>
          <t>MLLB_000_y1.0.3</t>
        </is>
      </c>
      <c r="C2135" t="inlineStr">
        <is>
          <t>WHITE</t>
        </is>
      </c>
      <c r="D2135" t="inlineStr">
        <is>
          <t>v4_white_MLLB_000_y103_0924</t>
        </is>
      </c>
      <c r="E2135" t="n">
        <v>2.8</v>
      </c>
      <c r="F2135" t="n">
        <v>2.808</v>
      </c>
      <c r="G2135" t="n">
        <v>10</v>
      </c>
      <c r="H2135" t="n">
        <v>80</v>
      </c>
      <c r="I2135" t="n">
        <v>32</v>
      </c>
      <c r="J2135" t="inlineStr">
        <is>
          <t>kaba</t>
        </is>
      </c>
      <c r="K2135" t="b">
        <v>1</v>
      </c>
      <c r="M2135" t="n">
        <v>72</v>
      </c>
      <c r="N2135" t="n">
        <v>36</v>
      </c>
      <c r="O2135" t="n">
        <v>52</v>
      </c>
      <c r="P2135" t="n">
        <v>930</v>
      </c>
      <c r="Q2135" t="n">
        <v>1002</v>
      </c>
      <c r="R2135" t="n">
        <v>1.084</v>
      </c>
      <c r="S2135" t="n">
        <v>20.364</v>
      </c>
      <c r="T2135" t="n">
        <v>18.785</v>
      </c>
      <c r="U2135" t="n">
        <v>0.7778</v>
      </c>
      <c r="V2135" t="b">
        <v>1</v>
      </c>
      <c r="X2135" t="b">
        <v>0</v>
      </c>
      <c r="Y2135" t="inlineStr">
        <is>
          <t>ON</t>
        </is>
      </c>
      <c r="Z2135" t="n">
        <v>935</v>
      </c>
      <c r="AA2135" t="n">
        <v>2.5</v>
      </c>
      <c r="AB2135" t="n">
        <v>9.5</v>
      </c>
    </row>
    <row r="2136">
      <c r="A2136" t="inlineStr">
        <is>
          <t>2026-09-24 18:43:50</t>
        </is>
      </c>
      <c r="B2136" t="inlineStr">
        <is>
          <t>MLLB_000_y1.0.3</t>
        </is>
      </c>
      <c r="C2136" t="inlineStr">
        <is>
          <t>WHITE</t>
        </is>
      </c>
      <c r="D2136" t="inlineStr">
        <is>
          <t>v4_white_MLLB_000_y103_0924</t>
        </is>
      </c>
      <c r="E2136" t="n">
        <v>2.8</v>
      </c>
      <c r="F2136" t="n">
        <v>2.808</v>
      </c>
      <c r="G2136" t="n">
        <v>10</v>
      </c>
      <c r="H2136" t="n">
        <v>80</v>
      </c>
      <c r="I2136" t="n">
        <v>36</v>
      </c>
      <c r="J2136" t="inlineStr">
        <is>
          <t>kaba</t>
        </is>
      </c>
      <c r="K2136" t="b">
        <v>1</v>
      </c>
      <c r="M2136" t="n">
        <v>42</v>
      </c>
      <c r="N2136" t="n">
        <v>28</v>
      </c>
      <c r="O2136" t="n">
        <v>22</v>
      </c>
      <c r="P2136" t="n">
        <v>960</v>
      </c>
      <c r="Q2136" t="n">
        <v>1002</v>
      </c>
      <c r="R2136" t="n">
        <v>1.08</v>
      </c>
      <c r="S2136" t="n">
        <v>20.268</v>
      </c>
      <c r="T2136" t="n">
        <v>18.766</v>
      </c>
      <c r="U2136" t="n">
        <v>0.7783</v>
      </c>
      <c r="V2136" t="b">
        <v>1</v>
      </c>
      <c r="X2136" t="b">
        <v>1</v>
      </c>
      <c r="Z2136" t="n">
        <v>935</v>
      </c>
      <c r="AA2136" t="n">
        <v>2.5</v>
      </c>
      <c r="AB2136" t="n">
        <v>9.5</v>
      </c>
    </row>
    <row r="2137">
      <c r="A2137" t="inlineStr">
        <is>
          <t>2026-09-24 18:44:06</t>
        </is>
      </c>
      <c r="B2137" t="inlineStr">
        <is>
          <t>MLLB_000_y1.0.3</t>
        </is>
      </c>
      <c r="C2137" t="inlineStr">
        <is>
          <t>WHITE</t>
        </is>
      </c>
      <c r="D2137" t="inlineStr">
        <is>
          <t>v4_white_MLLB_000_y103_0924</t>
        </is>
      </c>
      <c r="E2137" t="n">
        <v>2.8</v>
      </c>
      <c r="F2137" t="n">
        <v>2.808</v>
      </c>
      <c r="G2137" t="n">
        <v>10</v>
      </c>
      <c r="H2137" t="n">
        <v>80</v>
      </c>
      <c r="I2137" t="n">
        <v>40</v>
      </c>
      <c r="J2137" t="inlineStr">
        <is>
          <t>kaba</t>
        </is>
      </c>
      <c r="K2137" t="b">
        <v>1</v>
      </c>
      <c r="M2137" t="n">
        <v>42</v>
      </c>
      <c r="N2137" t="n">
        <v>28</v>
      </c>
      <c r="O2137" t="n">
        <v>22</v>
      </c>
      <c r="P2137" t="n">
        <v>960</v>
      </c>
      <c r="Q2137" t="n">
        <v>1002</v>
      </c>
      <c r="R2137" t="n">
        <v>5.936</v>
      </c>
      <c r="S2137" t="n">
        <v>111.418</v>
      </c>
      <c r="T2137" t="n">
        <v>18.769</v>
      </c>
      <c r="U2137" t="n">
        <v>0.7776</v>
      </c>
      <c r="V2137" t="b">
        <v>1</v>
      </c>
      <c r="X2137" t="b">
        <v>0</v>
      </c>
      <c r="Y2137" t="inlineStr">
        <is>
          <t>FLAS</t>
        </is>
      </c>
      <c r="Z2137" t="n">
        <v>935</v>
      </c>
      <c r="AA2137" t="n">
        <v>2.5</v>
      </c>
      <c r="AB2137" t="n">
        <v>9.5</v>
      </c>
    </row>
    <row r="2138">
      <c r="A2138" t="inlineStr">
        <is>
          <t>2026-09-24 18:44:22</t>
        </is>
      </c>
      <c r="B2138" t="inlineStr">
        <is>
          <t>MLLB_000_y1.0.3</t>
        </is>
      </c>
      <c r="C2138" t="inlineStr">
        <is>
          <t>WHITE</t>
        </is>
      </c>
      <c r="D2138" t="inlineStr">
        <is>
          <t>v4_white_MLLB_000_y103_0924</t>
        </is>
      </c>
      <c r="E2138" t="n">
        <v>2.8</v>
      </c>
      <c r="F2138" t="n">
        <v>2.808</v>
      </c>
      <c r="G2138" t="n">
        <v>10</v>
      </c>
      <c r="H2138" t="n">
        <v>80</v>
      </c>
      <c r="I2138" t="n">
        <v>44</v>
      </c>
      <c r="J2138" t="inlineStr">
        <is>
          <t>kaba</t>
        </is>
      </c>
      <c r="K2138" t="b">
        <v>1</v>
      </c>
      <c r="M2138" t="n">
        <v>42</v>
      </c>
      <c r="N2138" t="n">
        <v>28</v>
      </c>
      <c r="O2138" t="n">
        <v>22</v>
      </c>
      <c r="P2138" t="n">
        <v>960</v>
      </c>
      <c r="Q2138" t="n">
        <v>1002</v>
      </c>
      <c r="R2138" t="n">
        <v>7.954</v>
      </c>
      <c r="S2138" t="n">
        <v>149.043</v>
      </c>
      <c r="T2138" t="n">
        <v>18.739</v>
      </c>
      <c r="U2138" t="n">
        <v>0.7774</v>
      </c>
      <c r="V2138" t="b">
        <v>1</v>
      </c>
      <c r="X2138" t="b">
        <v>0</v>
      </c>
      <c r="Y2138" t="inlineStr">
        <is>
          <t>FLAS</t>
        </is>
      </c>
      <c r="Z2138" t="n">
        <v>935</v>
      </c>
      <c r="AA2138" t="n">
        <v>2.5</v>
      </c>
      <c r="AB2138" t="n">
        <v>9.5</v>
      </c>
    </row>
    <row r="2139">
      <c r="A2139" t="inlineStr">
        <is>
          <t>2026-09-24 18:44:38</t>
        </is>
      </c>
      <c r="B2139" t="inlineStr">
        <is>
          <t>MLLB_000_y1.0.3</t>
        </is>
      </c>
      <c r="C2139" t="inlineStr">
        <is>
          <t>WHITE</t>
        </is>
      </c>
      <c r="D2139" t="inlineStr">
        <is>
          <t>v4_white_MLLB_000_y103_0924</t>
        </is>
      </c>
      <c r="E2139" t="n">
        <v>2.8</v>
      </c>
      <c r="F2139" t="n">
        <v>2.808</v>
      </c>
      <c r="G2139" t="n">
        <v>10</v>
      </c>
      <c r="H2139" t="n">
        <v>80</v>
      </c>
      <c r="I2139" t="n">
        <v>33</v>
      </c>
      <c r="J2139" t="inlineStr">
        <is>
          <t>ince</t>
        </is>
      </c>
      <c r="K2139" t="b">
        <v>1</v>
      </c>
      <c r="M2139" t="n">
        <v>64</v>
      </c>
      <c r="N2139" t="n">
        <v>30</v>
      </c>
      <c r="O2139" t="n">
        <v>44</v>
      </c>
      <c r="P2139" t="n">
        <v>938</v>
      </c>
      <c r="Q2139" t="n">
        <v>1002</v>
      </c>
      <c r="R2139" t="n">
        <v>1.08</v>
      </c>
      <c r="S2139" t="n">
        <v>20.268</v>
      </c>
      <c r="T2139" t="n">
        <v>18.764</v>
      </c>
      <c r="U2139" t="n">
        <v>0.778</v>
      </c>
      <c r="V2139" t="b">
        <v>1</v>
      </c>
      <c r="X2139" t="b">
        <v>1</v>
      </c>
      <c r="Z2139" t="n">
        <v>935</v>
      </c>
      <c r="AA2139" t="n">
        <v>2.5</v>
      </c>
      <c r="AB2139" t="n">
        <v>9.5</v>
      </c>
    </row>
    <row r="2140">
      <c r="A2140" t="inlineStr">
        <is>
          <t>2026-09-24 18:44:50</t>
        </is>
      </c>
      <c r="B2140" t="inlineStr">
        <is>
          <t>MLLB_000_y1.0.3</t>
        </is>
      </c>
      <c r="C2140" t="inlineStr">
        <is>
          <t>WHITE</t>
        </is>
      </c>
      <c r="D2140" t="inlineStr">
        <is>
          <t>v4_white_MLLB_000_y103_0924</t>
        </is>
      </c>
      <c r="E2140" t="n">
        <v>2.8</v>
      </c>
      <c r="F2140" t="n">
        <v>2.808</v>
      </c>
      <c r="G2140" t="n">
        <v>10</v>
      </c>
      <c r="H2140" t="n">
        <v>80</v>
      </c>
      <c r="I2140" t="n">
        <v>34</v>
      </c>
      <c r="J2140" t="inlineStr">
        <is>
          <t>ince</t>
        </is>
      </c>
      <c r="K2140" t="b">
        <v>1</v>
      </c>
      <c r="M2140" t="n">
        <v>54</v>
      </c>
      <c r="N2140" t="n">
        <v>32</v>
      </c>
      <c r="O2140" t="n">
        <v>34</v>
      </c>
      <c r="P2140" t="n">
        <v>948</v>
      </c>
      <c r="Q2140" t="n">
        <v>1002</v>
      </c>
      <c r="R2140" t="n">
        <v>1.085</v>
      </c>
      <c r="S2140" t="n">
        <v>20.364</v>
      </c>
      <c r="T2140" t="n">
        <v>18.761</v>
      </c>
      <c r="U2140" t="n">
        <v>0.7782</v>
      </c>
      <c r="V2140" t="b">
        <v>1</v>
      </c>
      <c r="X2140" t="b">
        <v>1</v>
      </c>
      <c r="Z2140" t="n">
        <v>935</v>
      </c>
      <c r="AA2140" t="n">
        <v>2.5</v>
      </c>
      <c r="AB2140" t="n">
        <v>9.5</v>
      </c>
    </row>
    <row r="2141">
      <c r="A2141" t="inlineStr">
        <is>
          <t>2026-09-24 18:45:06</t>
        </is>
      </c>
      <c r="B2141" t="inlineStr">
        <is>
          <t>MLLB_000_y1.0.3</t>
        </is>
      </c>
      <c r="C2141" t="inlineStr">
        <is>
          <t>WHITE</t>
        </is>
      </c>
      <c r="D2141" t="inlineStr">
        <is>
          <t>v4_white_MLLB_000_y103_0924</t>
        </is>
      </c>
      <c r="E2141" t="n">
        <v>2.8</v>
      </c>
      <c r="F2141" t="n">
        <v>2.808</v>
      </c>
      <c r="G2141" t="n">
        <v>10</v>
      </c>
      <c r="H2141" t="n">
        <v>80</v>
      </c>
      <c r="I2141" t="n">
        <v>35</v>
      </c>
      <c r="J2141" t="inlineStr">
        <is>
          <t>ince</t>
        </is>
      </c>
      <c r="K2141" t="b">
        <v>1</v>
      </c>
      <c r="M2141" t="n">
        <v>44</v>
      </c>
      <c r="N2141" t="n">
        <v>34</v>
      </c>
      <c r="O2141" t="n">
        <v>24</v>
      </c>
      <c r="P2141" t="n">
        <v>958</v>
      </c>
      <c r="Q2141" t="n">
        <v>1002</v>
      </c>
      <c r="R2141" t="n">
        <v>1.087</v>
      </c>
      <c r="S2141" t="n">
        <v>20.384</v>
      </c>
      <c r="T2141" t="n">
        <v>18.748</v>
      </c>
      <c r="U2141" t="n">
        <v>0.7771</v>
      </c>
      <c r="V2141" t="b">
        <v>1</v>
      </c>
      <c r="X2141" t="b">
        <v>1</v>
      </c>
      <c r="Z2141" t="n">
        <v>935</v>
      </c>
      <c r="AA2141" t="n">
        <v>2.5</v>
      </c>
      <c r="AB2141" t="n">
        <v>9.5</v>
      </c>
    </row>
    <row r="2142">
      <c r="A2142" t="inlineStr">
        <is>
          <t>2026-09-24 18:45:22</t>
        </is>
      </c>
      <c r="B2142" t="inlineStr">
        <is>
          <t>MLLB_000_y1.0.3</t>
        </is>
      </c>
      <c r="C2142" t="inlineStr">
        <is>
          <t>WHITE</t>
        </is>
      </c>
      <c r="D2142" t="inlineStr">
        <is>
          <t>v4_white_MLLB_000_y103_0924</t>
        </is>
      </c>
      <c r="E2142" t="n">
        <v>2.8</v>
      </c>
      <c r="F2142" t="n">
        <v>2.808</v>
      </c>
      <c r="G2142" t="n">
        <v>10</v>
      </c>
      <c r="H2142" t="n">
        <v>80</v>
      </c>
      <c r="I2142" t="n">
        <v>37</v>
      </c>
      <c r="J2142" t="inlineStr">
        <is>
          <t>ince</t>
        </is>
      </c>
      <c r="K2142" t="b">
        <v>1</v>
      </c>
      <c r="M2142" t="n">
        <v>42</v>
      </c>
      <c r="N2142" t="n">
        <v>28</v>
      </c>
      <c r="O2142" t="n">
        <v>22</v>
      </c>
      <c r="P2142" t="n">
        <v>960</v>
      </c>
      <c r="Q2142" t="n">
        <v>1002</v>
      </c>
      <c r="R2142" t="n">
        <v>2.35</v>
      </c>
      <c r="S2142" t="n">
        <v>44.13</v>
      </c>
      <c r="T2142" t="n">
        <v>18.781</v>
      </c>
      <c r="U2142" t="n">
        <v>0.7783</v>
      </c>
      <c r="V2142" t="b">
        <v>1</v>
      </c>
      <c r="X2142" t="b">
        <v>1</v>
      </c>
      <c r="Z2142" t="n">
        <v>935</v>
      </c>
      <c r="AA2142" t="n">
        <v>2.5</v>
      </c>
      <c r="AB2142" t="n">
        <v>9.5</v>
      </c>
    </row>
    <row r="2143">
      <c r="A2143" t="inlineStr">
        <is>
          <t>2026-09-24 18:45:38</t>
        </is>
      </c>
      <c r="B2143" t="inlineStr">
        <is>
          <t>MLLB_000_y1.0.3</t>
        </is>
      </c>
      <c r="C2143" t="inlineStr">
        <is>
          <t>WHITE</t>
        </is>
      </c>
      <c r="D2143" t="inlineStr">
        <is>
          <t>v4_white_MLLB_000_y103_0924</t>
        </is>
      </c>
      <c r="E2143" t="n">
        <v>2.8</v>
      </c>
      <c r="F2143" t="n">
        <v>2.808</v>
      </c>
      <c r="G2143" t="n">
        <v>10</v>
      </c>
      <c r="H2143" t="n">
        <v>80</v>
      </c>
      <c r="I2143" t="n">
        <v>38</v>
      </c>
      <c r="J2143" t="inlineStr">
        <is>
          <t>ince</t>
        </is>
      </c>
      <c r="K2143" t="b">
        <v>1</v>
      </c>
      <c r="M2143" t="n">
        <v>42</v>
      </c>
      <c r="N2143" t="n">
        <v>28</v>
      </c>
      <c r="O2143" t="n">
        <v>22</v>
      </c>
      <c r="P2143" t="n">
        <v>960</v>
      </c>
      <c r="Q2143" t="n">
        <v>1002</v>
      </c>
      <c r="R2143" t="n">
        <v>4.604</v>
      </c>
      <c r="S2143" t="n">
        <v>86.404</v>
      </c>
      <c r="T2143" t="n">
        <v>18.768</v>
      </c>
      <c r="U2143" t="n">
        <v>0.7775</v>
      </c>
      <c r="V2143" t="b">
        <v>1</v>
      </c>
      <c r="X2143" t="b">
        <v>0</v>
      </c>
      <c r="Y2143" t="inlineStr">
        <is>
          <t>FLAS</t>
        </is>
      </c>
      <c r="Z2143" t="n">
        <v>935</v>
      </c>
      <c r="AA2143" t="n">
        <v>2.5</v>
      </c>
      <c r="AB2143" t="n">
        <v>9.5</v>
      </c>
    </row>
    <row r="2144">
      <c r="A2144" t="inlineStr">
        <is>
          <t>2026-09-24 18:45:54</t>
        </is>
      </c>
      <c r="B2144" t="inlineStr">
        <is>
          <t>MLLB_000_y1.0.3</t>
        </is>
      </c>
      <c r="C2144" t="inlineStr">
        <is>
          <t>WHITE</t>
        </is>
      </c>
      <c r="D2144" t="inlineStr">
        <is>
          <t>v4_white_MLLB_000_y103_0924</t>
        </is>
      </c>
      <c r="E2144" t="n">
        <v>2.8</v>
      </c>
      <c r="F2144" t="n">
        <v>2.808</v>
      </c>
      <c r="G2144" t="n">
        <v>10</v>
      </c>
      <c r="H2144" t="n">
        <v>80</v>
      </c>
      <c r="I2144" t="n">
        <v>39</v>
      </c>
      <c r="J2144" t="inlineStr">
        <is>
          <t>ince</t>
        </is>
      </c>
      <c r="K2144" t="b">
        <v>1</v>
      </c>
      <c r="M2144" t="n">
        <v>42</v>
      </c>
      <c r="N2144" t="n">
        <v>28</v>
      </c>
      <c r="O2144" t="n">
        <v>22</v>
      </c>
      <c r="P2144" t="n">
        <v>960</v>
      </c>
      <c r="Q2144" t="n">
        <v>1002</v>
      </c>
      <c r="R2144" t="n">
        <v>5.362</v>
      </c>
      <c r="S2144" t="n">
        <v>100.684</v>
      </c>
      <c r="T2144" t="n">
        <v>18.779</v>
      </c>
      <c r="U2144" t="n">
        <v>0.7773</v>
      </c>
      <c r="V2144" t="b">
        <v>1</v>
      </c>
      <c r="X2144" t="b">
        <v>0</v>
      </c>
      <c r="Y2144" t="inlineStr">
        <is>
          <t>FLAS</t>
        </is>
      </c>
      <c r="Z2144" t="n">
        <v>935</v>
      </c>
      <c r="AA2144" t="n">
        <v>2.5</v>
      </c>
      <c r="AB2144" t="n">
        <v>9.5</v>
      </c>
    </row>
    <row r="2145">
      <c r="A2145" t="inlineStr">
        <is>
          <t>2026-09-24 18:45:54</t>
        </is>
      </c>
      <c r="B2145" t="inlineStr">
        <is>
          <t>MLLB_000_y1.0.3</t>
        </is>
      </c>
      <c r="C2145" t="inlineStr">
        <is>
          <t>WHITE</t>
        </is>
      </c>
      <c r="D2145" t="inlineStr">
        <is>
          <t>v4_white_MLLB_000_y103_0924</t>
        </is>
      </c>
      <c r="E2145" t="n">
        <v>2.8</v>
      </c>
      <c r="F2145" t="n">
        <v>2.808</v>
      </c>
      <c r="G2145" t="n">
        <v>10</v>
      </c>
      <c r="H2145" t="n">
        <v>80</v>
      </c>
      <c r="J2145" t="inlineStr">
        <is>
          <t>bitti</t>
        </is>
      </c>
      <c r="K2145" t="b">
        <v>0</v>
      </c>
      <c r="Z2145" t="n">
        <v>935</v>
      </c>
      <c r="AA2145" t="n">
        <v>2.5</v>
      </c>
      <c r="AB2145" t="n">
        <v>9.5</v>
      </c>
    </row>
    <row r="2146">
      <c r="A2146" t="inlineStr">
        <is>
          <t>2026-09-24 18:46:10</t>
        </is>
      </c>
      <c r="B2146" t="inlineStr">
        <is>
          <t>MLLB_000_y1.0.3</t>
        </is>
      </c>
      <c r="C2146" t="inlineStr">
        <is>
          <t>WHITE</t>
        </is>
      </c>
      <c r="D2146" t="inlineStr">
        <is>
          <t>v4_white_MLLB_000_y103_0924</t>
        </is>
      </c>
      <c r="E2146" t="n">
        <v>2.8</v>
      </c>
      <c r="F2146" t="n">
        <v>2.808</v>
      </c>
      <c r="G2146" t="n">
        <v>10</v>
      </c>
      <c r="H2146" t="n">
        <v>60</v>
      </c>
      <c r="I2146" t="n">
        <v>12</v>
      </c>
      <c r="J2146" t="inlineStr">
        <is>
          <t>kaba</t>
        </is>
      </c>
      <c r="K2146" t="b">
        <v>1</v>
      </c>
      <c r="M2146" t="n">
        <v>266</v>
      </c>
      <c r="N2146" t="n">
        <v>32</v>
      </c>
      <c r="O2146" t="n">
        <v>246</v>
      </c>
      <c r="P2146" t="n">
        <v>736</v>
      </c>
      <c r="Q2146" t="n">
        <v>1002</v>
      </c>
      <c r="R2146" t="n">
        <v>1.094</v>
      </c>
      <c r="S2146" t="n">
        <v>20.364</v>
      </c>
      <c r="T2146" t="n">
        <v>18.609</v>
      </c>
      <c r="U2146" t="n">
        <v>0.7776</v>
      </c>
      <c r="V2146" t="b">
        <v>1</v>
      </c>
      <c r="X2146" t="b">
        <v>0</v>
      </c>
      <c r="Y2146" t="inlineStr">
        <is>
          <t>ON</t>
        </is>
      </c>
      <c r="Z2146" t="n">
        <v>935</v>
      </c>
      <c r="AA2146" t="n">
        <v>2.5</v>
      </c>
      <c r="AB2146" t="n">
        <v>9.5</v>
      </c>
    </row>
    <row r="2147">
      <c r="A2147" t="inlineStr">
        <is>
          <t>2026-09-24 18:46:26</t>
        </is>
      </c>
      <c r="B2147" t="inlineStr">
        <is>
          <t>MLLB_000_y1.0.3</t>
        </is>
      </c>
      <c r="C2147" t="inlineStr">
        <is>
          <t>WHITE</t>
        </is>
      </c>
      <c r="D2147" t="inlineStr">
        <is>
          <t>v4_white_MLLB_000_y103_0924</t>
        </is>
      </c>
      <c r="E2147" t="n">
        <v>2.8</v>
      </c>
      <c r="F2147" t="n">
        <v>2.808</v>
      </c>
      <c r="G2147" t="n">
        <v>10</v>
      </c>
      <c r="H2147" t="n">
        <v>60</v>
      </c>
      <c r="I2147" t="n">
        <v>16</v>
      </c>
      <c r="J2147" t="inlineStr">
        <is>
          <t>kaba</t>
        </is>
      </c>
      <c r="K2147" t="b">
        <v>1</v>
      </c>
      <c r="M2147" t="n">
        <v>242</v>
      </c>
      <c r="N2147" t="n">
        <v>32</v>
      </c>
      <c r="O2147" t="n">
        <v>222</v>
      </c>
      <c r="P2147" t="n">
        <v>760</v>
      </c>
      <c r="Q2147" t="n">
        <v>1002</v>
      </c>
      <c r="R2147" t="n">
        <v>1.086</v>
      </c>
      <c r="S2147" t="n">
        <v>20.224</v>
      </c>
      <c r="T2147" t="n">
        <v>18.617</v>
      </c>
      <c r="U2147" t="n">
        <v>0.778</v>
      </c>
      <c r="V2147" t="b">
        <v>1</v>
      </c>
      <c r="X2147" t="b">
        <v>0</v>
      </c>
      <c r="Y2147" t="inlineStr">
        <is>
          <t>ON</t>
        </is>
      </c>
      <c r="Z2147" t="n">
        <v>935</v>
      </c>
      <c r="AA2147" t="n">
        <v>2.5</v>
      </c>
      <c r="AB2147" t="n">
        <v>9.5</v>
      </c>
    </row>
    <row r="2148">
      <c r="A2148" t="inlineStr">
        <is>
          <t>2026-09-24 18:46:42</t>
        </is>
      </c>
      <c r="B2148" t="inlineStr">
        <is>
          <t>MLLB_000_y1.0.3</t>
        </is>
      </c>
      <c r="C2148" t="inlineStr">
        <is>
          <t>WHITE</t>
        </is>
      </c>
      <c r="D2148" t="inlineStr">
        <is>
          <t>v4_white_MLLB_000_y103_0924</t>
        </is>
      </c>
      <c r="E2148" t="n">
        <v>2.8</v>
      </c>
      <c r="F2148" t="n">
        <v>2.808</v>
      </c>
      <c r="G2148" t="n">
        <v>10</v>
      </c>
      <c r="H2148" t="n">
        <v>60</v>
      </c>
      <c r="I2148" t="n">
        <v>20</v>
      </c>
      <c r="J2148" t="inlineStr">
        <is>
          <t>kaba</t>
        </is>
      </c>
      <c r="K2148" t="b">
        <v>1</v>
      </c>
      <c r="M2148" t="n">
        <v>218</v>
      </c>
      <c r="N2148" t="n">
        <v>32</v>
      </c>
      <c r="O2148" t="n">
        <v>198</v>
      </c>
      <c r="P2148" t="n">
        <v>784</v>
      </c>
      <c r="Q2148" t="n">
        <v>1002</v>
      </c>
      <c r="R2148" t="n">
        <v>1.089</v>
      </c>
      <c r="S2148" t="n">
        <v>20.268</v>
      </c>
      <c r="T2148" t="n">
        <v>18.611</v>
      </c>
      <c r="U2148" t="n">
        <v>0.7776</v>
      </c>
      <c r="V2148" t="b">
        <v>1</v>
      </c>
      <c r="X2148" t="b">
        <v>0</v>
      </c>
      <c r="Y2148" t="inlineStr">
        <is>
          <t>ON</t>
        </is>
      </c>
      <c r="Z2148" t="n">
        <v>935</v>
      </c>
      <c r="AA2148" t="n">
        <v>2.5</v>
      </c>
      <c r="AB2148" t="n">
        <v>9.5</v>
      </c>
    </row>
    <row r="2149">
      <c r="A2149" t="inlineStr">
        <is>
          <t>2026-09-24 18:46:58</t>
        </is>
      </c>
      <c r="B2149" t="inlineStr">
        <is>
          <t>MLLB_000_y1.0.3</t>
        </is>
      </c>
      <c r="C2149" t="inlineStr">
        <is>
          <t>WHITE</t>
        </is>
      </c>
      <c r="D2149" t="inlineStr">
        <is>
          <t>v4_white_MLLB_000_y103_0924</t>
        </is>
      </c>
      <c r="E2149" t="n">
        <v>2.8</v>
      </c>
      <c r="F2149" t="n">
        <v>2.808</v>
      </c>
      <c r="G2149" t="n">
        <v>10</v>
      </c>
      <c r="H2149" t="n">
        <v>60</v>
      </c>
      <c r="I2149" t="n">
        <v>24</v>
      </c>
      <c r="J2149" t="inlineStr">
        <is>
          <t>kaba</t>
        </is>
      </c>
      <c r="K2149" t="b">
        <v>1</v>
      </c>
      <c r="M2149" t="n">
        <v>194</v>
      </c>
      <c r="N2149" t="n">
        <v>32</v>
      </c>
      <c r="O2149" t="n">
        <v>174</v>
      </c>
      <c r="P2149" t="n">
        <v>808</v>
      </c>
      <c r="Q2149" t="n">
        <v>1002</v>
      </c>
      <c r="R2149" t="n">
        <v>1.091</v>
      </c>
      <c r="S2149" t="n">
        <v>20.364</v>
      </c>
      <c r="T2149" t="n">
        <v>18.658</v>
      </c>
      <c r="U2149" t="n">
        <v>0.7778</v>
      </c>
      <c r="V2149" t="b">
        <v>1</v>
      </c>
      <c r="X2149" t="b">
        <v>0</v>
      </c>
      <c r="Y2149" t="inlineStr">
        <is>
          <t>ON</t>
        </is>
      </c>
      <c r="Z2149" t="n">
        <v>935</v>
      </c>
      <c r="AA2149" t="n">
        <v>2.5</v>
      </c>
      <c r="AB2149" t="n">
        <v>9.5</v>
      </c>
    </row>
    <row r="2150">
      <c r="A2150" t="inlineStr">
        <is>
          <t>2026-09-24 18:47:14</t>
        </is>
      </c>
      <c r="B2150" t="inlineStr">
        <is>
          <t>MLLB_000_y1.0.3</t>
        </is>
      </c>
      <c r="C2150" t="inlineStr">
        <is>
          <t>WHITE</t>
        </is>
      </c>
      <c r="D2150" t="inlineStr">
        <is>
          <t>v4_white_MLLB_000_y103_0924</t>
        </is>
      </c>
      <c r="E2150" t="n">
        <v>2.8</v>
      </c>
      <c r="F2150" t="n">
        <v>2.808</v>
      </c>
      <c r="G2150" t="n">
        <v>10</v>
      </c>
      <c r="H2150" t="n">
        <v>60</v>
      </c>
      <c r="I2150" t="n">
        <v>28</v>
      </c>
      <c r="J2150" t="inlineStr">
        <is>
          <t>kaba</t>
        </is>
      </c>
      <c r="K2150" t="b">
        <v>1</v>
      </c>
      <c r="M2150" t="n">
        <v>170</v>
      </c>
      <c r="N2150" t="n">
        <v>32</v>
      </c>
      <c r="O2150" t="n">
        <v>150</v>
      </c>
      <c r="P2150" t="n">
        <v>832</v>
      </c>
      <c r="Q2150" t="n">
        <v>1002</v>
      </c>
      <c r="R2150" t="n">
        <v>1.085</v>
      </c>
      <c r="S2150" t="n">
        <v>20.268</v>
      </c>
      <c r="T2150" t="n">
        <v>18.687</v>
      </c>
      <c r="U2150" t="n">
        <v>0.7778</v>
      </c>
      <c r="V2150" t="b">
        <v>1</v>
      </c>
      <c r="X2150" t="b">
        <v>0</v>
      </c>
      <c r="Y2150" t="inlineStr">
        <is>
          <t>ON</t>
        </is>
      </c>
      <c r="Z2150" t="n">
        <v>935</v>
      </c>
      <c r="AA2150" t="n">
        <v>2.5</v>
      </c>
      <c r="AB2150" t="n">
        <v>9.5</v>
      </c>
    </row>
    <row r="2151">
      <c r="A2151" t="inlineStr">
        <is>
          <t>2026-09-24 18:47:30</t>
        </is>
      </c>
      <c r="B2151" t="inlineStr">
        <is>
          <t>MLLB_000_y1.0.3</t>
        </is>
      </c>
      <c r="C2151" t="inlineStr">
        <is>
          <t>WHITE</t>
        </is>
      </c>
      <c r="D2151" t="inlineStr">
        <is>
          <t>v4_white_MLLB_000_y103_0924</t>
        </is>
      </c>
      <c r="E2151" t="n">
        <v>2.8</v>
      </c>
      <c r="F2151" t="n">
        <v>2.808</v>
      </c>
      <c r="G2151" t="n">
        <v>10</v>
      </c>
      <c r="H2151" t="n">
        <v>60</v>
      </c>
      <c r="I2151" t="n">
        <v>32</v>
      </c>
      <c r="J2151" t="inlineStr">
        <is>
          <t>kaba</t>
        </is>
      </c>
      <c r="K2151" t="b">
        <v>1</v>
      </c>
      <c r="M2151" t="n">
        <v>146</v>
      </c>
      <c r="N2151" t="n">
        <v>34</v>
      </c>
      <c r="O2151" t="n">
        <v>124</v>
      </c>
      <c r="P2151" t="n">
        <v>856</v>
      </c>
      <c r="Q2151" t="n">
        <v>1002</v>
      </c>
      <c r="R2151" t="n">
        <v>1.082</v>
      </c>
      <c r="S2151" t="n">
        <v>20.268</v>
      </c>
      <c r="T2151" t="n">
        <v>18.723</v>
      </c>
      <c r="U2151" t="n">
        <v>0.7782</v>
      </c>
      <c r="V2151" t="b">
        <v>1</v>
      </c>
      <c r="X2151" t="b">
        <v>0</v>
      </c>
      <c r="Y2151" t="inlineStr">
        <is>
          <t>ON</t>
        </is>
      </c>
      <c r="Z2151" t="n">
        <v>935</v>
      </c>
      <c r="AA2151" t="n">
        <v>2.5</v>
      </c>
      <c r="AB2151" t="n">
        <v>9.5</v>
      </c>
    </row>
    <row r="2152">
      <c r="A2152" t="inlineStr">
        <is>
          <t>2026-09-24 18:47:42</t>
        </is>
      </c>
      <c r="B2152" t="inlineStr">
        <is>
          <t>MLLB_000_y1.0.3</t>
        </is>
      </c>
      <c r="C2152" t="inlineStr">
        <is>
          <t>WHITE</t>
        </is>
      </c>
      <c r="D2152" t="inlineStr">
        <is>
          <t>v4_white_MLLB_000_y103_0924</t>
        </is>
      </c>
      <c r="E2152" t="n">
        <v>2.8</v>
      </c>
      <c r="F2152" t="n">
        <v>2.808</v>
      </c>
      <c r="G2152" t="n">
        <v>10</v>
      </c>
      <c r="H2152" t="n">
        <v>60</v>
      </c>
      <c r="I2152" t="n">
        <v>36</v>
      </c>
      <c r="J2152" t="inlineStr">
        <is>
          <t>kaba</t>
        </is>
      </c>
      <c r="K2152" t="b">
        <v>1</v>
      </c>
      <c r="M2152" t="n">
        <v>120</v>
      </c>
      <c r="N2152" t="n">
        <v>36</v>
      </c>
      <c r="O2152" t="n">
        <v>100</v>
      </c>
      <c r="P2152" t="n">
        <v>882</v>
      </c>
      <c r="Q2152" t="n">
        <v>1002</v>
      </c>
      <c r="R2152" t="n">
        <v>1.082</v>
      </c>
      <c r="S2152" t="n">
        <v>20.268</v>
      </c>
      <c r="T2152" t="n">
        <v>18.731</v>
      </c>
      <c r="U2152" t="n">
        <v>0.7779</v>
      </c>
      <c r="V2152" t="b">
        <v>1</v>
      </c>
      <c r="X2152" t="b">
        <v>0</v>
      </c>
      <c r="Y2152" t="inlineStr">
        <is>
          <t>ON</t>
        </is>
      </c>
      <c r="Z2152" t="n">
        <v>935</v>
      </c>
      <c r="AA2152" t="n">
        <v>2.5</v>
      </c>
      <c r="AB2152" t="n">
        <v>9.5</v>
      </c>
    </row>
    <row r="2153">
      <c r="A2153" t="inlineStr">
        <is>
          <t>2026-09-24 18:47:58</t>
        </is>
      </c>
      <c r="B2153" t="inlineStr">
        <is>
          <t>MLLB_000_y1.0.3</t>
        </is>
      </c>
      <c r="C2153" t="inlineStr">
        <is>
          <t>WHITE</t>
        </is>
      </c>
      <c r="D2153" t="inlineStr">
        <is>
          <t>v4_white_MLLB_000_y103_0924</t>
        </is>
      </c>
      <c r="E2153" t="n">
        <v>2.8</v>
      </c>
      <c r="F2153" t="n">
        <v>2.808</v>
      </c>
      <c r="G2153" t="n">
        <v>10</v>
      </c>
      <c r="H2153" t="n">
        <v>60</v>
      </c>
      <c r="I2153" t="n">
        <v>40</v>
      </c>
      <c r="J2153" t="inlineStr">
        <is>
          <t>kaba</t>
        </is>
      </c>
      <c r="K2153" t="b">
        <v>1</v>
      </c>
      <c r="M2153" t="n">
        <v>96</v>
      </c>
      <c r="N2153" t="n">
        <v>30</v>
      </c>
      <c r="O2153" t="n">
        <v>76</v>
      </c>
      <c r="P2153" t="n">
        <v>906</v>
      </c>
      <c r="Q2153" t="n">
        <v>1002</v>
      </c>
      <c r="R2153" t="n">
        <v>1.082</v>
      </c>
      <c r="S2153" t="n">
        <v>20.291</v>
      </c>
      <c r="T2153" t="n">
        <v>18.751</v>
      </c>
      <c r="U2153" t="n">
        <v>0.7782</v>
      </c>
      <c r="V2153" t="b">
        <v>1</v>
      </c>
      <c r="X2153" t="b">
        <v>0</v>
      </c>
      <c r="Y2153" t="inlineStr">
        <is>
          <t>ON</t>
        </is>
      </c>
      <c r="Z2153" t="n">
        <v>935</v>
      </c>
      <c r="AA2153" t="n">
        <v>2.5</v>
      </c>
      <c r="AB2153" t="n">
        <v>9.5</v>
      </c>
    </row>
    <row r="2154">
      <c r="A2154" t="inlineStr">
        <is>
          <t>2026-09-24 18:48:14</t>
        </is>
      </c>
      <c r="B2154" t="inlineStr">
        <is>
          <t>MLLB_000_y1.0.3</t>
        </is>
      </c>
      <c r="C2154" t="inlineStr">
        <is>
          <t>WHITE</t>
        </is>
      </c>
      <c r="D2154" t="inlineStr">
        <is>
          <t>v4_white_MLLB_000_y103_0924</t>
        </is>
      </c>
      <c r="E2154" t="n">
        <v>2.8</v>
      </c>
      <c r="F2154" t="n">
        <v>2.808</v>
      </c>
      <c r="G2154" t="n">
        <v>10</v>
      </c>
      <c r="H2154" t="n">
        <v>60</v>
      </c>
      <c r="I2154" t="n">
        <v>44</v>
      </c>
      <c r="J2154" t="inlineStr">
        <is>
          <t>kaba</t>
        </is>
      </c>
      <c r="K2154" t="b">
        <v>1</v>
      </c>
      <c r="M2154" t="n">
        <v>70</v>
      </c>
      <c r="N2154" t="n">
        <v>32</v>
      </c>
      <c r="O2154" t="n">
        <v>50</v>
      </c>
      <c r="P2154" t="n">
        <v>932</v>
      </c>
      <c r="Q2154" t="n">
        <v>1002</v>
      </c>
      <c r="R2154" t="n">
        <v>1.085</v>
      </c>
      <c r="S2154" t="n">
        <v>20.364</v>
      </c>
      <c r="T2154" t="n">
        <v>18.776</v>
      </c>
      <c r="U2154" t="n">
        <v>0.7773</v>
      </c>
      <c r="V2154" t="b">
        <v>1</v>
      </c>
      <c r="X2154" t="b">
        <v>0</v>
      </c>
      <c r="Y2154" t="inlineStr">
        <is>
          <t>ON</t>
        </is>
      </c>
      <c r="Z2154" t="n">
        <v>935</v>
      </c>
      <c r="AA2154" t="n">
        <v>2.5</v>
      </c>
      <c r="AB2154" t="n">
        <v>9.5</v>
      </c>
    </row>
    <row r="2155">
      <c r="A2155" t="inlineStr">
        <is>
          <t>2026-09-24 18:48:30</t>
        </is>
      </c>
      <c r="B2155" t="inlineStr">
        <is>
          <t>MLLB_000_y1.0.3</t>
        </is>
      </c>
      <c r="C2155" t="inlineStr">
        <is>
          <t>WHITE</t>
        </is>
      </c>
      <c r="D2155" t="inlineStr">
        <is>
          <t>v4_white_MLLB_000_y103_0924</t>
        </is>
      </c>
      <c r="E2155" t="n">
        <v>2.8</v>
      </c>
      <c r="F2155" t="n">
        <v>2.808</v>
      </c>
      <c r="G2155" t="n">
        <v>10</v>
      </c>
      <c r="H2155" t="n">
        <v>60</v>
      </c>
      <c r="I2155" t="n">
        <v>48</v>
      </c>
      <c r="J2155" t="inlineStr">
        <is>
          <t>kaba</t>
        </is>
      </c>
      <c r="K2155" t="b">
        <v>1</v>
      </c>
      <c r="M2155" t="n">
        <v>54</v>
      </c>
      <c r="N2155" t="n">
        <v>28</v>
      </c>
      <c r="O2155" t="n">
        <v>34</v>
      </c>
      <c r="P2155" t="n">
        <v>948</v>
      </c>
      <c r="Q2155" t="n">
        <v>1002</v>
      </c>
      <c r="R2155" t="n">
        <v>1.266</v>
      </c>
      <c r="S2155" t="n">
        <v>23.731</v>
      </c>
      <c r="T2155" t="n">
        <v>18.738</v>
      </c>
      <c r="U2155" t="n">
        <v>0.7774</v>
      </c>
      <c r="V2155" t="b">
        <v>1</v>
      </c>
      <c r="X2155" t="b">
        <v>1</v>
      </c>
      <c r="Z2155" t="n">
        <v>935</v>
      </c>
      <c r="AA2155" t="n">
        <v>2.5</v>
      </c>
      <c r="AB2155" t="n">
        <v>9.5</v>
      </c>
    </row>
    <row r="2156">
      <c r="A2156" t="inlineStr">
        <is>
          <t>2026-09-24 18:48:46</t>
        </is>
      </c>
      <c r="B2156" t="inlineStr">
        <is>
          <t>MLLB_000_y1.0.3</t>
        </is>
      </c>
      <c r="C2156" t="inlineStr">
        <is>
          <t>WHITE</t>
        </is>
      </c>
      <c r="D2156" t="inlineStr">
        <is>
          <t>v4_white_MLLB_000_y103_0924</t>
        </is>
      </c>
      <c r="E2156" t="n">
        <v>2.8</v>
      </c>
      <c r="F2156" t="n">
        <v>2.808</v>
      </c>
      <c r="G2156" t="n">
        <v>10</v>
      </c>
      <c r="H2156" t="n">
        <v>60</v>
      </c>
      <c r="I2156" t="n">
        <v>52</v>
      </c>
      <c r="J2156" t="inlineStr">
        <is>
          <t>kaba</t>
        </is>
      </c>
      <c r="K2156" t="b">
        <v>1</v>
      </c>
      <c r="M2156" t="n">
        <v>54</v>
      </c>
      <c r="N2156" t="n">
        <v>28</v>
      </c>
      <c r="O2156" t="n">
        <v>34</v>
      </c>
      <c r="P2156" t="n">
        <v>948</v>
      </c>
      <c r="Q2156" t="n">
        <v>1002</v>
      </c>
      <c r="R2156" t="n">
        <v>5.245</v>
      </c>
      <c r="S2156" t="n">
        <v>98.42700000000001</v>
      </c>
      <c r="T2156" t="n">
        <v>18.766</v>
      </c>
      <c r="U2156" t="n">
        <v>0.7776</v>
      </c>
      <c r="V2156" t="b">
        <v>1</v>
      </c>
      <c r="X2156" t="b">
        <v>0</v>
      </c>
      <c r="Y2156" t="inlineStr">
        <is>
          <t>FLAS</t>
        </is>
      </c>
      <c r="Z2156" t="n">
        <v>935</v>
      </c>
      <c r="AA2156" t="n">
        <v>2.5</v>
      </c>
      <c r="AB2156" t="n">
        <v>9.5</v>
      </c>
    </row>
    <row r="2157">
      <c r="A2157" t="inlineStr">
        <is>
          <t>2026-09-24 18:49:02</t>
        </is>
      </c>
      <c r="B2157" t="inlineStr">
        <is>
          <t>MLLB_000_y1.0.3</t>
        </is>
      </c>
      <c r="C2157" t="inlineStr">
        <is>
          <t>WHITE</t>
        </is>
      </c>
      <c r="D2157" t="inlineStr">
        <is>
          <t>v4_white_MLLB_000_y103_0924</t>
        </is>
      </c>
      <c r="E2157" t="n">
        <v>2.8</v>
      </c>
      <c r="F2157" t="n">
        <v>2.808</v>
      </c>
      <c r="G2157" t="n">
        <v>10</v>
      </c>
      <c r="H2157" t="n">
        <v>60</v>
      </c>
      <c r="I2157" t="n">
        <v>56</v>
      </c>
      <c r="J2157" t="inlineStr">
        <is>
          <t>kaba</t>
        </is>
      </c>
      <c r="K2157" t="b">
        <v>1</v>
      </c>
      <c r="M2157" t="n">
        <v>54</v>
      </c>
      <c r="N2157" t="n">
        <v>28</v>
      </c>
      <c r="O2157" t="n">
        <v>34</v>
      </c>
      <c r="P2157" t="n">
        <v>948</v>
      </c>
      <c r="Q2157" t="n">
        <v>1002</v>
      </c>
      <c r="R2157" t="n">
        <v>6.252</v>
      </c>
      <c r="S2157" t="n">
        <v>117.347</v>
      </c>
      <c r="T2157" t="n">
        <v>18.771</v>
      </c>
      <c r="U2157" t="n">
        <v>0.7776999999999999</v>
      </c>
      <c r="V2157" t="b">
        <v>1</v>
      </c>
      <c r="X2157" t="b">
        <v>0</v>
      </c>
      <c r="Y2157" t="inlineStr">
        <is>
          <t>FLAS</t>
        </is>
      </c>
      <c r="Z2157" t="n">
        <v>935</v>
      </c>
      <c r="AA2157" t="n">
        <v>2.5</v>
      </c>
      <c r="AB2157" t="n">
        <v>9.5</v>
      </c>
    </row>
    <row r="2158">
      <c r="A2158" t="inlineStr">
        <is>
          <t>2026-09-24 18:49:18</t>
        </is>
      </c>
      <c r="B2158" t="inlineStr">
        <is>
          <t>MLLB_000_y1.0.3</t>
        </is>
      </c>
      <c r="C2158" t="inlineStr">
        <is>
          <t>WHITE</t>
        </is>
      </c>
      <c r="D2158" t="inlineStr">
        <is>
          <t>v4_white_MLLB_000_y103_0924</t>
        </is>
      </c>
      <c r="E2158" t="n">
        <v>2.8</v>
      </c>
      <c r="F2158" t="n">
        <v>2.808</v>
      </c>
      <c r="G2158" t="n">
        <v>10</v>
      </c>
      <c r="H2158" t="n">
        <v>60</v>
      </c>
      <c r="I2158" t="n">
        <v>45</v>
      </c>
      <c r="J2158" t="inlineStr">
        <is>
          <t>ince</t>
        </is>
      </c>
      <c r="K2158" t="b">
        <v>1</v>
      </c>
      <c r="M2158" t="n">
        <v>64</v>
      </c>
      <c r="N2158" t="n">
        <v>30</v>
      </c>
      <c r="O2158" t="n">
        <v>44</v>
      </c>
      <c r="P2158" t="n">
        <v>938</v>
      </c>
      <c r="Q2158" t="n">
        <v>1002</v>
      </c>
      <c r="R2158" t="n">
        <v>1.079</v>
      </c>
      <c r="S2158" t="n">
        <v>20.268</v>
      </c>
      <c r="T2158" t="n">
        <v>18.782</v>
      </c>
      <c r="U2158" t="n">
        <v>0.7781</v>
      </c>
      <c r="V2158" t="b">
        <v>1</v>
      </c>
      <c r="X2158" t="b">
        <v>1</v>
      </c>
      <c r="Z2158" t="n">
        <v>935</v>
      </c>
      <c r="AA2158" t="n">
        <v>2.5</v>
      </c>
      <c r="AB2158" t="n">
        <v>9.5</v>
      </c>
    </row>
    <row r="2159">
      <c r="A2159" t="inlineStr">
        <is>
          <t>2026-09-24 18:49:34</t>
        </is>
      </c>
      <c r="B2159" t="inlineStr">
        <is>
          <t>MLLB_000_y1.0.3</t>
        </is>
      </c>
      <c r="C2159" t="inlineStr">
        <is>
          <t>WHITE</t>
        </is>
      </c>
      <c r="D2159" t="inlineStr">
        <is>
          <t>v4_white_MLLB_000_y103_0924</t>
        </is>
      </c>
      <c r="E2159" t="n">
        <v>2.8</v>
      </c>
      <c r="F2159" t="n">
        <v>2.808</v>
      </c>
      <c r="G2159" t="n">
        <v>10</v>
      </c>
      <c r="H2159" t="n">
        <v>60</v>
      </c>
      <c r="I2159" t="n">
        <v>46</v>
      </c>
      <c r="J2159" t="inlineStr">
        <is>
          <t>ince</t>
        </is>
      </c>
      <c r="K2159" t="b">
        <v>1</v>
      </c>
      <c r="M2159" t="n">
        <v>58</v>
      </c>
      <c r="N2159" t="n">
        <v>34</v>
      </c>
      <c r="O2159" t="n">
        <v>36</v>
      </c>
      <c r="P2159" t="n">
        <v>944</v>
      </c>
      <c r="Q2159" t="n">
        <v>1002</v>
      </c>
      <c r="R2159" t="n">
        <v>1.082</v>
      </c>
      <c r="S2159" t="n">
        <v>20.316</v>
      </c>
      <c r="T2159" t="n">
        <v>18.785</v>
      </c>
      <c r="U2159" t="n">
        <v>0.7782</v>
      </c>
      <c r="V2159" t="b">
        <v>1</v>
      </c>
      <c r="X2159" t="b">
        <v>1</v>
      </c>
      <c r="Z2159" t="n">
        <v>935</v>
      </c>
      <c r="AA2159" t="n">
        <v>2.5</v>
      </c>
      <c r="AB2159" t="n">
        <v>9.5</v>
      </c>
    </row>
    <row r="2160">
      <c r="A2160" t="inlineStr">
        <is>
          <t>2026-09-24 18:49:50</t>
        </is>
      </c>
      <c r="B2160" t="inlineStr">
        <is>
          <t>MLLB_000_y1.0.3</t>
        </is>
      </c>
      <c r="C2160" t="inlineStr">
        <is>
          <t>WHITE</t>
        </is>
      </c>
      <c r="D2160" t="inlineStr">
        <is>
          <t>v4_white_MLLB_000_y103_0924</t>
        </is>
      </c>
      <c r="E2160" t="n">
        <v>2.8</v>
      </c>
      <c r="F2160" t="n">
        <v>2.808</v>
      </c>
      <c r="G2160" t="n">
        <v>10</v>
      </c>
      <c r="H2160" t="n">
        <v>60</v>
      </c>
      <c r="I2160" t="n">
        <v>47</v>
      </c>
      <c r="J2160" t="inlineStr">
        <is>
          <t>ince</t>
        </is>
      </c>
      <c r="K2160" t="b">
        <v>1</v>
      </c>
      <c r="M2160" t="n">
        <v>54</v>
      </c>
      <c r="N2160" t="n">
        <v>28</v>
      </c>
      <c r="O2160" t="n">
        <v>34</v>
      </c>
      <c r="P2160" t="n">
        <v>948</v>
      </c>
      <c r="Q2160" t="n">
        <v>1002</v>
      </c>
      <c r="R2160" t="n">
        <v>1.082</v>
      </c>
      <c r="S2160" t="n">
        <v>20.316</v>
      </c>
      <c r="T2160" t="n">
        <v>18.779</v>
      </c>
      <c r="U2160" t="n">
        <v>0.778</v>
      </c>
      <c r="V2160" t="b">
        <v>1</v>
      </c>
      <c r="X2160" t="b">
        <v>1</v>
      </c>
      <c r="Z2160" t="n">
        <v>935</v>
      </c>
      <c r="AA2160" t="n">
        <v>2.5</v>
      </c>
      <c r="AB2160" t="n">
        <v>9.5</v>
      </c>
    </row>
    <row r="2161">
      <c r="A2161" t="inlineStr">
        <is>
          <t>2026-09-24 18:50:06</t>
        </is>
      </c>
      <c r="B2161" t="inlineStr">
        <is>
          <t>MLLB_000_y1.0.3</t>
        </is>
      </c>
      <c r="C2161" t="inlineStr">
        <is>
          <t>WHITE</t>
        </is>
      </c>
      <c r="D2161" t="inlineStr">
        <is>
          <t>v4_white_MLLB_000_y103_0924</t>
        </is>
      </c>
      <c r="E2161" t="n">
        <v>2.8</v>
      </c>
      <c r="F2161" t="n">
        <v>2.808</v>
      </c>
      <c r="G2161" t="n">
        <v>10</v>
      </c>
      <c r="H2161" t="n">
        <v>60</v>
      </c>
      <c r="I2161" t="n">
        <v>49</v>
      </c>
      <c r="J2161" t="inlineStr">
        <is>
          <t>ince</t>
        </is>
      </c>
      <c r="K2161" t="b">
        <v>1</v>
      </c>
      <c r="M2161" t="n">
        <v>54</v>
      </c>
      <c r="N2161" t="n">
        <v>28</v>
      </c>
      <c r="O2161" t="n">
        <v>34</v>
      </c>
      <c r="P2161" t="n">
        <v>948</v>
      </c>
      <c r="Q2161" t="n">
        <v>1002</v>
      </c>
      <c r="R2161" t="n">
        <v>2.361</v>
      </c>
      <c r="S2161" t="n">
        <v>44.392</v>
      </c>
      <c r="T2161" t="n">
        <v>18.801</v>
      </c>
      <c r="U2161" t="n">
        <v>0.7783</v>
      </c>
      <c r="V2161" t="b">
        <v>1</v>
      </c>
      <c r="X2161" t="b">
        <v>1</v>
      </c>
      <c r="Z2161" t="n">
        <v>935</v>
      </c>
      <c r="AA2161" t="n">
        <v>2.5</v>
      </c>
      <c r="AB2161" t="n">
        <v>9.5</v>
      </c>
    </row>
    <row r="2162">
      <c r="A2162" t="inlineStr">
        <is>
          <t>2026-09-24 18:50:22</t>
        </is>
      </c>
      <c r="B2162" t="inlineStr">
        <is>
          <t>MLLB_000_y1.0.3</t>
        </is>
      </c>
      <c r="C2162" t="inlineStr">
        <is>
          <t>WHITE</t>
        </is>
      </c>
      <c r="D2162" t="inlineStr">
        <is>
          <t>v4_white_MLLB_000_y103_0924</t>
        </is>
      </c>
      <c r="E2162" t="n">
        <v>2.8</v>
      </c>
      <c r="F2162" t="n">
        <v>2.808</v>
      </c>
      <c r="G2162" t="n">
        <v>10</v>
      </c>
      <c r="H2162" t="n">
        <v>60</v>
      </c>
      <c r="I2162" t="n">
        <v>50</v>
      </c>
      <c r="J2162" t="inlineStr">
        <is>
          <t>ince</t>
        </is>
      </c>
      <c r="K2162" t="b">
        <v>1</v>
      </c>
      <c r="M2162" t="n">
        <v>54</v>
      </c>
      <c r="N2162" t="n">
        <v>28</v>
      </c>
      <c r="O2162" t="n">
        <v>34</v>
      </c>
      <c r="P2162" t="n">
        <v>948</v>
      </c>
      <c r="Q2162" t="n">
        <v>1002</v>
      </c>
      <c r="R2162" t="n">
        <v>4.125</v>
      </c>
      <c r="S2162" t="n">
        <v>77.40300000000001</v>
      </c>
      <c r="T2162" t="n">
        <v>18.765</v>
      </c>
      <c r="U2162" t="n">
        <v>0.7781</v>
      </c>
      <c r="V2162" t="b">
        <v>1</v>
      </c>
      <c r="X2162" t="b">
        <v>0</v>
      </c>
      <c r="Y2162" t="inlineStr">
        <is>
          <t>FLAS</t>
        </is>
      </c>
      <c r="Z2162" t="n">
        <v>935</v>
      </c>
      <c r="AA2162" t="n">
        <v>2.5</v>
      </c>
      <c r="AB2162" t="n">
        <v>9.5</v>
      </c>
    </row>
    <row r="2163">
      <c r="A2163" t="inlineStr">
        <is>
          <t>2026-09-24 18:50:38</t>
        </is>
      </c>
      <c r="B2163" t="inlineStr">
        <is>
          <t>MLLB_000_y1.0.3</t>
        </is>
      </c>
      <c r="C2163" t="inlineStr">
        <is>
          <t>WHITE</t>
        </is>
      </c>
      <c r="D2163" t="inlineStr">
        <is>
          <t>v4_white_MLLB_000_y103_0924</t>
        </is>
      </c>
      <c r="E2163" t="n">
        <v>2.8</v>
      </c>
      <c r="F2163" t="n">
        <v>2.808</v>
      </c>
      <c r="G2163" t="n">
        <v>10</v>
      </c>
      <c r="H2163" t="n">
        <v>60</v>
      </c>
      <c r="I2163" t="n">
        <v>51</v>
      </c>
      <c r="J2163" t="inlineStr">
        <is>
          <t>ince</t>
        </is>
      </c>
      <c r="K2163" t="b">
        <v>1</v>
      </c>
      <c r="M2163" t="n">
        <v>54</v>
      </c>
      <c r="N2163" t="n">
        <v>28</v>
      </c>
      <c r="O2163" t="n">
        <v>34</v>
      </c>
      <c r="P2163" t="n">
        <v>948</v>
      </c>
      <c r="Q2163" t="n">
        <v>1002</v>
      </c>
      <c r="R2163" t="n">
        <v>4.889</v>
      </c>
      <c r="S2163" t="n">
        <v>91.718</v>
      </c>
      <c r="T2163" t="n">
        <v>18.762</v>
      </c>
      <c r="U2163" t="n">
        <v>0.7785</v>
      </c>
      <c r="V2163" t="b">
        <v>1</v>
      </c>
      <c r="X2163" t="b">
        <v>0</v>
      </c>
      <c r="Y2163" t="inlineStr">
        <is>
          <t>FLAS</t>
        </is>
      </c>
      <c r="Z2163" t="n">
        <v>935</v>
      </c>
      <c r="AA2163" t="n">
        <v>2.5</v>
      </c>
      <c r="AB2163" t="n">
        <v>9.5</v>
      </c>
    </row>
    <row r="2164">
      <c r="A2164" t="inlineStr">
        <is>
          <t>2026-09-24 18:50:38</t>
        </is>
      </c>
      <c r="B2164" t="inlineStr">
        <is>
          <t>MLLB_000_y1.0.3</t>
        </is>
      </c>
      <c r="C2164" t="inlineStr">
        <is>
          <t>WHITE</t>
        </is>
      </c>
      <c r="D2164" t="inlineStr">
        <is>
          <t>v4_white_MLLB_000_y103_0924</t>
        </is>
      </c>
      <c r="E2164" t="n">
        <v>2.8</v>
      </c>
      <c r="F2164" t="n">
        <v>2.808</v>
      </c>
      <c r="G2164" t="n">
        <v>10</v>
      </c>
      <c r="H2164" t="n">
        <v>60</v>
      </c>
      <c r="J2164" t="inlineStr">
        <is>
          <t>bitti</t>
        </is>
      </c>
      <c r="K2164" t="b">
        <v>0</v>
      </c>
      <c r="Z2164" t="n">
        <v>935</v>
      </c>
      <c r="AA2164" t="n">
        <v>2.5</v>
      </c>
      <c r="AB2164" t="n">
        <v>9.5</v>
      </c>
    </row>
    <row r="2165">
      <c r="A2165" t="inlineStr">
        <is>
          <t>2026-09-24 18:51:00</t>
        </is>
      </c>
      <c r="B2165" t="inlineStr">
        <is>
          <t>MLLB_000_y1.0.3</t>
        </is>
      </c>
      <c r="C2165" t="inlineStr">
        <is>
          <t>WHITE</t>
        </is>
      </c>
      <c r="D2165" t="inlineStr">
        <is>
          <t>v4_white_MLLB_000_y103_0924</t>
        </is>
      </c>
      <c r="E2165" t="n">
        <v>2.8</v>
      </c>
      <c r="F2165" t="n">
        <v>2.808</v>
      </c>
      <c r="G2165" t="n">
        <v>15</v>
      </c>
      <c r="H2165" t="n">
        <v>100</v>
      </c>
      <c r="I2165" t="n">
        <v>12</v>
      </c>
      <c r="J2165" t="inlineStr">
        <is>
          <t>kaba</t>
        </is>
      </c>
      <c r="K2165" t="b">
        <v>1</v>
      </c>
      <c r="M2165" t="n">
        <v>144</v>
      </c>
      <c r="N2165" t="n">
        <v>30</v>
      </c>
      <c r="O2165" t="n">
        <v>124</v>
      </c>
      <c r="P2165" t="n">
        <v>858</v>
      </c>
      <c r="Q2165" t="n">
        <v>1002</v>
      </c>
      <c r="R2165" t="n">
        <v>1.081</v>
      </c>
      <c r="S2165" t="n">
        <v>33.462</v>
      </c>
      <c r="T2165" t="n">
        <v>30.963</v>
      </c>
      <c r="U2165" t="n">
        <v>0.7782</v>
      </c>
      <c r="V2165" t="b">
        <v>1</v>
      </c>
      <c r="X2165" t="b">
        <v>0</v>
      </c>
      <c r="Y2165" t="inlineStr">
        <is>
          <t>ON</t>
        </is>
      </c>
      <c r="Z2165" t="n">
        <v>935</v>
      </c>
      <c r="AA2165" t="n">
        <v>2.5</v>
      </c>
      <c r="AB2165" t="n">
        <v>9.5</v>
      </c>
    </row>
    <row r="2166">
      <c r="A2166" t="inlineStr">
        <is>
          <t>2026-09-24 18:51:16</t>
        </is>
      </c>
      <c r="B2166" t="inlineStr">
        <is>
          <t>MLLB_000_y1.0.3</t>
        </is>
      </c>
      <c r="C2166" t="inlineStr">
        <is>
          <t>WHITE</t>
        </is>
      </c>
      <c r="D2166" t="inlineStr">
        <is>
          <t>v4_white_MLLB_000_y103_0924</t>
        </is>
      </c>
      <c r="E2166" t="n">
        <v>2.8</v>
      </c>
      <c r="F2166" t="n">
        <v>2.808</v>
      </c>
      <c r="G2166" t="n">
        <v>15</v>
      </c>
      <c r="H2166" t="n">
        <v>100</v>
      </c>
      <c r="I2166" t="n">
        <v>16</v>
      </c>
      <c r="J2166" t="inlineStr">
        <is>
          <t>kaba</t>
        </is>
      </c>
      <c r="K2166" t="b">
        <v>1</v>
      </c>
      <c r="M2166" t="n">
        <v>120</v>
      </c>
      <c r="N2166" t="n">
        <v>30</v>
      </c>
      <c r="O2166" t="n">
        <v>100</v>
      </c>
      <c r="P2166" t="n">
        <v>882</v>
      </c>
      <c r="Q2166" t="n">
        <v>1002</v>
      </c>
      <c r="R2166" t="n">
        <v>1.084</v>
      </c>
      <c r="S2166" t="n">
        <v>33.616</v>
      </c>
      <c r="T2166" t="n">
        <v>31.008</v>
      </c>
      <c r="U2166" t="n">
        <v>0.7786999999999999</v>
      </c>
      <c r="V2166" t="b">
        <v>1</v>
      </c>
      <c r="X2166" t="b">
        <v>0</v>
      </c>
      <c r="Y2166" t="inlineStr">
        <is>
          <t>ON</t>
        </is>
      </c>
      <c r="Z2166" t="n">
        <v>935</v>
      </c>
      <c r="AA2166" t="n">
        <v>2.5</v>
      </c>
      <c r="AB2166" t="n">
        <v>9.5</v>
      </c>
    </row>
    <row r="2167">
      <c r="A2167" t="inlineStr">
        <is>
          <t>2026-09-24 18:51:32</t>
        </is>
      </c>
      <c r="B2167" t="inlineStr">
        <is>
          <t>MLLB_000_y1.0.3</t>
        </is>
      </c>
      <c r="C2167" t="inlineStr">
        <is>
          <t>WHITE</t>
        </is>
      </c>
      <c r="D2167" t="inlineStr">
        <is>
          <t>v4_white_MLLB_000_y103_0924</t>
        </is>
      </c>
      <c r="E2167" t="n">
        <v>2.8</v>
      </c>
      <c r="F2167" t="n">
        <v>2.808</v>
      </c>
      <c r="G2167" t="n">
        <v>15</v>
      </c>
      <c r="H2167" t="n">
        <v>100</v>
      </c>
      <c r="I2167" t="n">
        <v>20</v>
      </c>
      <c r="J2167" t="inlineStr">
        <is>
          <t>kaba</t>
        </is>
      </c>
      <c r="K2167" t="b">
        <v>1</v>
      </c>
      <c r="M2167" t="n">
        <v>96</v>
      </c>
      <c r="N2167" t="n">
        <v>32</v>
      </c>
      <c r="O2167" t="n">
        <v>74</v>
      </c>
      <c r="P2167" t="n">
        <v>906</v>
      </c>
      <c r="Q2167" t="n">
        <v>1002</v>
      </c>
      <c r="R2167" t="n">
        <v>1.078</v>
      </c>
      <c r="S2167" t="n">
        <v>33.456</v>
      </c>
      <c r="T2167" t="n">
        <v>31.021</v>
      </c>
      <c r="U2167" t="n">
        <v>0.779</v>
      </c>
      <c r="V2167" t="b">
        <v>1</v>
      </c>
      <c r="X2167" t="b">
        <v>0</v>
      </c>
      <c r="Y2167" t="inlineStr">
        <is>
          <t>ON</t>
        </is>
      </c>
      <c r="Z2167" t="n">
        <v>935</v>
      </c>
      <c r="AA2167" t="n">
        <v>2.5</v>
      </c>
      <c r="AB2167" t="n">
        <v>9.5</v>
      </c>
    </row>
    <row r="2168">
      <c r="A2168" t="inlineStr">
        <is>
          <t>2026-09-24 18:51:48</t>
        </is>
      </c>
      <c r="B2168" t="inlineStr">
        <is>
          <t>MLLB_000_y1.0.3</t>
        </is>
      </c>
      <c r="C2168" t="inlineStr">
        <is>
          <t>WHITE</t>
        </is>
      </c>
      <c r="D2168" t="inlineStr">
        <is>
          <t>v4_white_MLLB_000_y103_0924</t>
        </is>
      </c>
      <c r="E2168" t="n">
        <v>2.8</v>
      </c>
      <c r="F2168" t="n">
        <v>2.808</v>
      </c>
      <c r="G2168" t="n">
        <v>15</v>
      </c>
      <c r="H2168" t="n">
        <v>100</v>
      </c>
      <c r="I2168" t="n">
        <v>24</v>
      </c>
      <c r="J2168" t="inlineStr">
        <is>
          <t>kaba</t>
        </is>
      </c>
      <c r="K2168" t="b">
        <v>1</v>
      </c>
      <c r="M2168" t="n">
        <v>70</v>
      </c>
      <c r="N2168" t="n">
        <v>32</v>
      </c>
      <c r="O2168" t="n">
        <v>50</v>
      </c>
      <c r="P2168" t="n">
        <v>932</v>
      </c>
      <c r="Q2168" t="n">
        <v>1002</v>
      </c>
      <c r="R2168" t="n">
        <v>1.084</v>
      </c>
      <c r="S2168" t="n">
        <v>33.661</v>
      </c>
      <c r="T2168" t="n">
        <v>31.058</v>
      </c>
      <c r="U2168" t="n">
        <v>0.7784</v>
      </c>
      <c r="V2168" t="b">
        <v>1</v>
      </c>
      <c r="X2168" t="b">
        <v>0</v>
      </c>
      <c r="Y2168" t="inlineStr">
        <is>
          <t>ON</t>
        </is>
      </c>
      <c r="Z2168" t="n">
        <v>935</v>
      </c>
      <c r="AA2168" t="n">
        <v>2.5</v>
      </c>
      <c r="AB2168" t="n">
        <v>9.5</v>
      </c>
    </row>
    <row r="2169">
      <c r="A2169" t="inlineStr">
        <is>
          <t>2026-09-24 18:52:04</t>
        </is>
      </c>
      <c r="B2169" t="inlineStr">
        <is>
          <t>MLLB_000_y1.0.3</t>
        </is>
      </c>
      <c r="C2169" t="inlineStr">
        <is>
          <t>WHITE</t>
        </is>
      </c>
      <c r="D2169" t="inlineStr">
        <is>
          <t>v4_white_MLLB_000_y103_0924</t>
        </is>
      </c>
      <c r="E2169" t="n">
        <v>2.8</v>
      </c>
      <c r="F2169" t="n">
        <v>2.808</v>
      </c>
      <c r="G2169" t="n">
        <v>15</v>
      </c>
      <c r="H2169" t="n">
        <v>100</v>
      </c>
      <c r="I2169" t="n">
        <v>28</v>
      </c>
      <c r="J2169" t="inlineStr">
        <is>
          <t>kaba</t>
        </is>
      </c>
      <c r="K2169" t="b">
        <v>1</v>
      </c>
      <c r="M2169" t="n">
        <v>44</v>
      </c>
      <c r="N2169" t="n">
        <v>28</v>
      </c>
      <c r="O2169" t="n">
        <v>26</v>
      </c>
      <c r="P2169" t="n">
        <v>958</v>
      </c>
      <c r="Q2169" t="n">
        <v>1002</v>
      </c>
      <c r="R2169" t="n">
        <v>1.077</v>
      </c>
      <c r="S2169" t="n">
        <v>33.466</v>
      </c>
      <c r="T2169" t="n">
        <v>31.079</v>
      </c>
      <c r="U2169" t="n">
        <v>0.7784</v>
      </c>
      <c r="V2169" t="b">
        <v>1</v>
      </c>
      <c r="X2169" t="b">
        <v>1</v>
      </c>
      <c r="Z2169" t="n">
        <v>935</v>
      </c>
      <c r="AA2169" t="n">
        <v>2.5</v>
      </c>
      <c r="AB2169" t="n">
        <v>9.5</v>
      </c>
    </row>
    <row r="2170">
      <c r="A2170" t="inlineStr">
        <is>
          <t>2026-09-24 18:52:20</t>
        </is>
      </c>
      <c r="B2170" t="inlineStr">
        <is>
          <t>MLLB_000_y1.0.3</t>
        </is>
      </c>
      <c r="C2170" t="inlineStr">
        <is>
          <t>WHITE</t>
        </is>
      </c>
      <c r="D2170" t="inlineStr">
        <is>
          <t>v4_white_MLLB_000_y103_0924</t>
        </is>
      </c>
      <c r="E2170" t="n">
        <v>2.8</v>
      </c>
      <c r="F2170" t="n">
        <v>2.808</v>
      </c>
      <c r="G2170" t="n">
        <v>15</v>
      </c>
      <c r="H2170" t="n">
        <v>100</v>
      </c>
      <c r="I2170" t="n">
        <v>32</v>
      </c>
      <c r="J2170" t="inlineStr">
        <is>
          <t>kaba</t>
        </is>
      </c>
      <c r="K2170" t="b">
        <v>1</v>
      </c>
      <c r="M2170" t="n">
        <v>38</v>
      </c>
      <c r="N2170" t="n">
        <v>28</v>
      </c>
      <c r="O2170" t="n">
        <v>18</v>
      </c>
      <c r="P2170" t="n">
        <v>964</v>
      </c>
      <c r="Q2170" t="n">
        <v>1002</v>
      </c>
      <c r="R2170" t="n">
        <v>3.24</v>
      </c>
      <c r="S2170" t="n">
        <v>100.684</v>
      </c>
      <c r="T2170" t="n">
        <v>31.074</v>
      </c>
      <c r="U2170" t="n">
        <v>0.778</v>
      </c>
      <c r="V2170" t="b">
        <v>1</v>
      </c>
      <c r="X2170" t="b">
        <v>0</v>
      </c>
      <c r="Y2170" t="inlineStr">
        <is>
          <t>FLAS</t>
        </is>
      </c>
      <c r="Z2170" t="n">
        <v>935</v>
      </c>
      <c r="AA2170" t="n">
        <v>2.5</v>
      </c>
      <c r="AB2170" t="n">
        <v>9.5</v>
      </c>
    </row>
    <row r="2171">
      <c r="A2171" t="inlineStr">
        <is>
          <t>2026-09-24 18:52:36</t>
        </is>
      </c>
      <c r="B2171" t="inlineStr">
        <is>
          <t>MLLB_000_y1.0.3</t>
        </is>
      </c>
      <c r="C2171" t="inlineStr">
        <is>
          <t>WHITE</t>
        </is>
      </c>
      <c r="D2171" t="inlineStr">
        <is>
          <t>v4_white_MLLB_000_y103_0924</t>
        </is>
      </c>
      <c r="E2171" t="n">
        <v>2.8</v>
      </c>
      <c r="F2171" t="n">
        <v>2.808</v>
      </c>
      <c r="G2171" t="n">
        <v>15</v>
      </c>
      <c r="H2171" t="n">
        <v>100</v>
      </c>
      <c r="I2171" t="n">
        <v>36</v>
      </c>
      <c r="J2171" t="inlineStr">
        <is>
          <t>kaba</t>
        </is>
      </c>
      <c r="K2171" t="b">
        <v>1</v>
      </c>
      <c r="M2171" t="n">
        <v>38</v>
      </c>
      <c r="N2171" t="n">
        <v>28</v>
      </c>
      <c r="O2171" t="n">
        <v>18</v>
      </c>
      <c r="P2171" t="n">
        <v>964</v>
      </c>
      <c r="Q2171" t="n">
        <v>1002</v>
      </c>
      <c r="R2171" t="n">
        <v>5.213</v>
      </c>
      <c r="S2171" t="n">
        <v>162.021</v>
      </c>
      <c r="T2171" t="n">
        <v>31.08</v>
      </c>
      <c r="U2171" t="n">
        <v>0.7786</v>
      </c>
      <c r="V2171" t="b">
        <v>1</v>
      </c>
      <c r="X2171" t="b">
        <v>0</v>
      </c>
      <c r="Y2171" t="inlineStr">
        <is>
          <t>FLAS</t>
        </is>
      </c>
      <c r="Z2171" t="n">
        <v>935</v>
      </c>
      <c r="AA2171" t="n">
        <v>2.5</v>
      </c>
      <c r="AB2171" t="n">
        <v>9.5</v>
      </c>
    </row>
    <row r="2172">
      <c r="A2172" t="inlineStr">
        <is>
          <t>2026-09-24 18:52:52</t>
        </is>
      </c>
      <c r="B2172" t="inlineStr">
        <is>
          <t>MLLB_000_y1.0.3</t>
        </is>
      </c>
      <c r="C2172" t="inlineStr">
        <is>
          <t>WHITE</t>
        </is>
      </c>
      <c r="D2172" t="inlineStr">
        <is>
          <t>v4_white_MLLB_000_y103_0924</t>
        </is>
      </c>
      <c r="E2172" t="n">
        <v>2.8</v>
      </c>
      <c r="F2172" t="n">
        <v>2.808</v>
      </c>
      <c r="G2172" t="n">
        <v>15</v>
      </c>
      <c r="H2172" t="n">
        <v>100</v>
      </c>
      <c r="I2172" t="n">
        <v>25</v>
      </c>
      <c r="J2172" t="inlineStr">
        <is>
          <t>ince</t>
        </is>
      </c>
      <c r="K2172" t="b">
        <v>1</v>
      </c>
      <c r="M2172" t="n">
        <v>64</v>
      </c>
      <c r="N2172" t="n">
        <v>30</v>
      </c>
      <c r="O2172" t="n">
        <v>44</v>
      </c>
      <c r="P2172" t="n">
        <v>938</v>
      </c>
      <c r="Q2172" t="n">
        <v>1002</v>
      </c>
      <c r="R2172" t="n">
        <v>1.083</v>
      </c>
      <c r="S2172" t="n">
        <v>33.661</v>
      </c>
      <c r="T2172" t="n">
        <v>31.087</v>
      </c>
      <c r="U2172" t="n">
        <v>0.7782</v>
      </c>
      <c r="V2172" t="b">
        <v>1</v>
      </c>
      <c r="X2172" t="b">
        <v>1</v>
      </c>
      <c r="Z2172" t="n">
        <v>935</v>
      </c>
      <c r="AA2172" t="n">
        <v>2.5</v>
      </c>
      <c r="AB2172" t="n">
        <v>9.5</v>
      </c>
    </row>
    <row r="2173">
      <c r="A2173" t="inlineStr">
        <is>
          <t>2026-09-24 18:53:04</t>
        </is>
      </c>
      <c r="B2173" t="inlineStr">
        <is>
          <t>MLLB_000_y1.0.3</t>
        </is>
      </c>
      <c r="C2173" t="inlineStr">
        <is>
          <t>WHITE</t>
        </is>
      </c>
      <c r="D2173" t="inlineStr">
        <is>
          <t>v4_white_MLLB_000_y103_0924</t>
        </is>
      </c>
      <c r="E2173" t="n">
        <v>2.8</v>
      </c>
      <c r="F2173" t="n">
        <v>2.808</v>
      </c>
      <c r="G2173" t="n">
        <v>15</v>
      </c>
      <c r="H2173" t="n">
        <v>100</v>
      </c>
      <c r="I2173" t="n">
        <v>26</v>
      </c>
      <c r="J2173" t="inlineStr">
        <is>
          <t>ince</t>
        </is>
      </c>
      <c r="K2173" t="b">
        <v>1</v>
      </c>
      <c r="M2173" t="n">
        <v>58</v>
      </c>
      <c r="N2173" t="n">
        <v>28</v>
      </c>
      <c r="O2173" t="n">
        <v>38</v>
      </c>
      <c r="P2173" t="n">
        <v>944</v>
      </c>
      <c r="Q2173" t="n">
        <v>1002</v>
      </c>
      <c r="R2173" t="n">
        <v>1.084</v>
      </c>
      <c r="S2173" t="n">
        <v>33.661</v>
      </c>
      <c r="T2173" t="n">
        <v>31.064</v>
      </c>
      <c r="U2173" t="n">
        <v>0.7778</v>
      </c>
      <c r="V2173" t="b">
        <v>1</v>
      </c>
      <c r="X2173" t="b">
        <v>1</v>
      </c>
      <c r="Z2173" t="n">
        <v>935</v>
      </c>
      <c r="AA2173" t="n">
        <v>2.5</v>
      </c>
      <c r="AB2173" t="n">
        <v>9.5</v>
      </c>
    </row>
    <row r="2174">
      <c r="A2174" t="inlineStr">
        <is>
          <t>2026-09-24 18:53:20</t>
        </is>
      </c>
      <c r="B2174" t="inlineStr">
        <is>
          <t>MLLB_000_y1.0.3</t>
        </is>
      </c>
      <c r="C2174" t="inlineStr">
        <is>
          <t>WHITE</t>
        </is>
      </c>
      <c r="D2174" t="inlineStr">
        <is>
          <t>v4_white_MLLB_000_y103_0924</t>
        </is>
      </c>
      <c r="E2174" t="n">
        <v>2.8</v>
      </c>
      <c r="F2174" t="n">
        <v>2.808</v>
      </c>
      <c r="G2174" t="n">
        <v>15</v>
      </c>
      <c r="H2174" t="n">
        <v>100</v>
      </c>
      <c r="I2174" t="n">
        <v>27</v>
      </c>
      <c r="J2174" t="inlineStr">
        <is>
          <t>ince</t>
        </is>
      </c>
      <c r="K2174" t="b">
        <v>1</v>
      </c>
      <c r="M2174" t="n">
        <v>52</v>
      </c>
      <c r="N2174" t="n">
        <v>30</v>
      </c>
      <c r="O2174" t="n">
        <v>32</v>
      </c>
      <c r="P2174" t="n">
        <v>950</v>
      </c>
      <c r="Q2174" t="n">
        <v>1002</v>
      </c>
      <c r="R2174" t="n">
        <v>1.077</v>
      </c>
      <c r="S2174" t="n">
        <v>33.464</v>
      </c>
      <c r="T2174" t="n">
        <v>31.075</v>
      </c>
      <c r="U2174" t="n">
        <v>0.7778</v>
      </c>
      <c r="V2174" t="b">
        <v>1</v>
      </c>
      <c r="X2174" t="b">
        <v>1</v>
      </c>
      <c r="Z2174" t="n">
        <v>935</v>
      </c>
      <c r="AA2174" t="n">
        <v>2.5</v>
      </c>
      <c r="AB2174" t="n">
        <v>9.5</v>
      </c>
    </row>
    <row r="2175">
      <c r="A2175" t="inlineStr">
        <is>
          <t>2026-09-24 18:53:36</t>
        </is>
      </c>
      <c r="B2175" t="inlineStr">
        <is>
          <t>MLLB_000_y1.0.3</t>
        </is>
      </c>
      <c r="C2175" t="inlineStr">
        <is>
          <t>WHITE</t>
        </is>
      </c>
      <c r="D2175" t="inlineStr">
        <is>
          <t>v4_white_MLLB_000_y103_0924</t>
        </is>
      </c>
      <c r="E2175" t="n">
        <v>2.8</v>
      </c>
      <c r="F2175" t="n">
        <v>2.808</v>
      </c>
      <c r="G2175" t="n">
        <v>15</v>
      </c>
      <c r="H2175" t="n">
        <v>100</v>
      </c>
      <c r="I2175" t="n">
        <v>29</v>
      </c>
      <c r="J2175" t="inlineStr">
        <is>
          <t>ince</t>
        </is>
      </c>
      <c r="K2175" t="b">
        <v>1</v>
      </c>
      <c r="M2175" t="n">
        <v>38</v>
      </c>
      <c r="N2175" t="n">
        <v>32</v>
      </c>
      <c r="O2175" t="n">
        <v>18</v>
      </c>
      <c r="P2175" t="n">
        <v>964</v>
      </c>
      <c r="Q2175" t="n">
        <v>1002</v>
      </c>
      <c r="R2175" t="n">
        <v>1.078</v>
      </c>
      <c r="S2175" t="n">
        <v>33.507</v>
      </c>
      <c r="T2175" t="n">
        <v>31.071</v>
      </c>
      <c r="U2175" t="n">
        <v>0.7781</v>
      </c>
      <c r="V2175" t="b">
        <v>1</v>
      </c>
      <c r="X2175" t="b">
        <v>1</v>
      </c>
      <c r="Z2175" t="n">
        <v>935</v>
      </c>
      <c r="AA2175" t="n">
        <v>2.5</v>
      </c>
      <c r="AB2175" t="n">
        <v>9.5</v>
      </c>
    </row>
    <row r="2176">
      <c r="A2176" t="inlineStr">
        <is>
          <t>2026-09-24 18:53:52</t>
        </is>
      </c>
      <c r="B2176" t="inlineStr">
        <is>
          <t>MLLB_000_y1.0.3</t>
        </is>
      </c>
      <c r="C2176" t="inlineStr">
        <is>
          <t>WHITE</t>
        </is>
      </c>
      <c r="D2176" t="inlineStr">
        <is>
          <t>v4_white_MLLB_000_y103_0924</t>
        </is>
      </c>
      <c r="E2176" t="n">
        <v>2.8</v>
      </c>
      <c r="F2176" t="n">
        <v>2.808</v>
      </c>
      <c r="G2176" t="n">
        <v>15</v>
      </c>
      <c r="H2176" t="n">
        <v>100</v>
      </c>
      <c r="I2176" t="n">
        <v>30</v>
      </c>
      <c r="J2176" t="inlineStr">
        <is>
          <t>ince</t>
        </is>
      </c>
      <c r="K2176" t="b">
        <v>1</v>
      </c>
      <c r="M2176" t="n">
        <v>38</v>
      </c>
      <c r="N2176" t="n">
        <v>28</v>
      </c>
      <c r="O2176" t="n">
        <v>18</v>
      </c>
      <c r="P2176" t="n">
        <v>964</v>
      </c>
      <c r="Q2176" t="n">
        <v>1002</v>
      </c>
      <c r="R2176" t="n">
        <v>1.077</v>
      </c>
      <c r="S2176" t="n">
        <v>33.456</v>
      </c>
      <c r="T2176" t="n">
        <v>31.067</v>
      </c>
      <c r="U2176" t="n">
        <v>0.778</v>
      </c>
      <c r="V2176" t="b">
        <v>1</v>
      </c>
      <c r="X2176" t="b">
        <v>1</v>
      </c>
      <c r="Z2176" t="n">
        <v>935</v>
      </c>
      <c r="AA2176" t="n">
        <v>2.5</v>
      </c>
      <c r="AB2176" t="n">
        <v>9.5</v>
      </c>
    </row>
    <row r="2177">
      <c r="A2177" t="inlineStr">
        <is>
          <t>2026-09-24 18:54:08</t>
        </is>
      </c>
      <c r="B2177" t="inlineStr">
        <is>
          <t>MLLB_000_y1.0.3</t>
        </is>
      </c>
      <c r="C2177" t="inlineStr">
        <is>
          <t>WHITE</t>
        </is>
      </c>
      <c r="D2177" t="inlineStr">
        <is>
          <t>v4_white_MLLB_000_y103_0924</t>
        </is>
      </c>
      <c r="E2177" t="n">
        <v>2.8</v>
      </c>
      <c r="F2177" t="n">
        <v>2.808</v>
      </c>
      <c r="G2177" t="n">
        <v>15</v>
      </c>
      <c r="H2177" t="n">
        <v>100</v>
      </c>
      <c r="I2177" t="n">
        <v>31</v>
      </c>
      <c r="J2177" t="inlineStr">
        <is>
          <t>ince</t>
        </is>
      </c>
      <c r="K2177" t="b">
        <v>1</v>
      </c>
      <c r="M2177" t="n">
        <v>38</v>
      </c>
      <c r="N2177" t="n">
        <v>28</v>
      </c>
      <c r="O2177" t="n">
        <v>18</v>
      </c>
      <c r="P2177" t="n">
        <v>964</v>
      </c>
      <c r="Q2177" t="n">
        <v>1002</v>
      </c>
      <c r="R2177" t="n">
        <v>1.855</v>
      </c>
      <c r="S2177" t="n">
        <v>57.629</v>
      </c>
      <c r="T2177" t="n">
        <v>31.07</v>
      </c>
      <c r="U2177" t="n">
        <v>0.7776</v>
      </c>
      <c r="V2177" t="b">
        <v>1</v>
      </c>
      <c r="X2177" t="b">
        <v>1</v>
      </c>
      <c r="Z2177" t="n">
        <v>935</v>
      </c>
      <c r="AA2177" t="n">
        <v>2.5</v>
      </c>
      <c r="AB2177" t="n">
        <v>9.5</v>
      </c>
    </row>
    <row r="2178">
      <c r="A2178" t="inlineStr">
        <is>
          <t>2026-09-24 18:54:08</t>
        </is>
      </c>
      <c r="B2178" t="inlineStr">
        <is>
          <t>MLLB_000_y1.0.3</t>
        </is>
      </c>
      <c r="C2178" t="inlineStr">
        <is>
          <t>WHITE</t>
        </is>
      </c>
      <c r="D2178" t="inlineStr">
        <is>
          <t>v4_white_MLLB_000_y103_0924</t>
        </is>
      </c>
      <c r="E2178" t="n">
        <v>2.8</v>
      </c>
      <c r="F2178" t="n">
        <v>2.808</v>
      </c>
      <c r="G2178" t="n">
        <v>15</v>
      </c>
      <c r="H2178" t="n">
        <v>100</v>
      </c>
      <c r="J2178" t="inlineStr">
        <is>
          <t>bitti</t>
        </is>
      </c>
      <c r="K2178" t="b">
        <v>0</v>
      </c>
      <c r="Z2178" t="n">
        <v>935</v>
      </c>
      <c r="AA2178" t="n">
        <v>2.5</v>
      </c>
      <c r="AB2178" t="n">
        <v>9.5</v>
      </c>
    </row>
    <row r="2179">
      <c r="A2179" t="inlineStr">
        <is>
          <t>2026-09-24 18:54:24</t>
        </is>
      </c>
      <c r="B2179" t="inlineStr">
        <is>
          <t>MLLB_000_y1.0.3</t>
        </is>
      </c>
      <c r="C2179" t="inlineStr">
        <is>
          <t>WHITE</t>
        </is>
      </c>
      <c r="D2179" t="inlineStr">
        <is>
          <t>v4_white_MLLB_000_y103_0924</t>
        </is>
      </c>
      <c r="E2179" t="n">
        <v>2.8</v>
      </c>
      <c r="F2179" t="n">
        <v>2.808</v>
      </c>
      <c r="G2179" t="n">
        <v>15</v>
      </c>
      <c r="H2179" t="n">
        <v>80</v>
      </c>
      <c r="I2179" t="n">
        <v>12</v>
      </c>
      <c r="J2179" t="inlineStr">
        <is>
          <t>kaba</t>
        </is>
      </c>
      <c r="K2179" t="b">
        <v>1</v>
      </c>
      <c r="M2179" t="n">
        <v>158</v>
      </c>
      <c r="N2179" t="n">
        <v>28</v>
      </c>
      <c r="O2179" t="n">
        <v>138</v>
      </c>
      <c r="P2179" t="n">
        <v>844</v>
      </c>
      <c r="Q2179" t="n">
        <v>1002</v>
      </c>
      <c r="R2179" t="n">
        <v>1.081</v>
      </c>
      <c r="S2179" t="n">
        <v>33.459</v>
      </c>
      <c r="T2179" t="n">
        <v>30.943</v>
      </c>
      <c r="U2179" t="n">
        <v>0.7784</v>
      </c>
      <c r="V2179" t="b">
        <v>1</v>
      </c>
      <c r="X2179" t="b">
        <v>0</v>
      </c>
      <c r="Y2179" t="inlineStr">
        <is>
          <t>ON</t>
        </is>
      </c>
      <c r="Z2179" t="n">
        <v>935</v>
      </c>
      <c r="AA2179" t="n">
        <v>2.5</v>
      </c>
      <c r="AB2179" t="n">
        <v>9.5</v>
      </c>
    </row>
    <row r="2180">
      <c r="A2180" t="inlineStr">
        <is>
          <t>2026-09-24 18:54:40</t>
        </is>
      </c>
      <c r="B2180" t="inlineStr">
        <is>
          <t>MLLB_000_y1.0.3</t>
        </is>
      </c>
      <c r="C2180" t="inlineStr">
        <is>
          <t>WHITE</t>
        </is>
      </c>
      <c r="D2180" t="inlineStr">
        <is>
          <t>v4_white_MLLB_000_y103_0924</t>
        </is>
      </c>
      <c r="E2180" t="n">
        <v>2.8</v>
      </c>
      <c r="F2180" t="n">
        <v>2.808</v>
      </c>
      <c r="G2180" t="n">
        <v>15</v>
      </c>
      <c r="H2180" t="n">
        <v>80</v>
      </c>
      <c r="I2180" t="n">
        <v>16</v>
      </c>
      <c r="J2180" t="inlineStr">
        <is>
          <t>kaba</t>
        </is>
      </c>
      <c r="K2180" t="b">
        <v>1</v>
      </c>
      <c r="M2180" t="n">
        <v>138</v>
      </c>
      <c r="N2180" t="n">
        <v>32</v>
      </c>
      <c r="O2180" t="n">
        <v>118</v>
      </c>
      <c r="P2180" t="n">
        <v>864</v>
      </c>
      <c r="Q2180" t="n">
        <v>1002</v>
      </c>
      <c r="R2180" t="n">
        <v>1.087</v>
      </c>
      <c r="S2180" t="n">
        <v>33.661</v>
      </c>
      <c r="T2180" t="n">
        <v>30.972</v>
      </c>
      <c r="U2180" t="n">
        <v>0.7786</v>
      </c>
      <c r="V2180" t="b">
        <v>1</v>
      </c>
      <c r="X2180" t="b">
        <v>0</v>
      </c>
      <c r="Y2180" t="inlineStr">
        <is>
          <t>ON</t>
        </is>
      </c>
      <c r="Z2180" t="n">
        <v>935</v>
      </c>
      <c r="AA2180" t="n">
        <v>2.5</v>
      </c>
      <c r="AB2180" t="n">
        <v>9.5</v>
      </c>
    </row>
    <row r="2181">
      <c r="A2181" t="inlineStr">
        <is>
          <t>2026-09-24 18:54:56</t>
        </is>
      </c>
      <c r="B2181" t="inlineStr">
        <is>
          <t>MLLB_000_y1.0.3</t>
        </is>
      </c>
      <c r="C2181" t="inlineStr">
        <is>
          <t>WHITE</t>
        </is>
      </c>
      <c r="D2181" t="inlineStr">
        <is>
          <t>v4_white_MLLB_000_y103_0924</t>
        </is>
      </c>
      <c r="E2181" t="n">
        <v>2.8</v>
      </c>
      <c r="F2181" t="n">
        <v>2.808</v>
      </c>
      <c r="G2181" t="n">
        <v>15</v>
      </c>
      <c r="H2181" t="n">
        <v>80</v>
      </c>
      <c r="I2181" t="n">
        <v>20</v>
      </c>
      <c r="J2181" t="inlineStr">
        <is>
          <t>kaba</t>
        </is>
      </c>
      <c r="K2181" t="b">
        <v>1</v>
      </c>
      <c r="M2181" t="n">
        <v>118</v>
      </c>
      <c r="N2181" t="n">
        <v>32</v>
      </c>
      <c r="O2181" t="n">
        <v>98</v>
      </c>
      <c r="P2181" t="n">
        <v>884</v>
      </c>
      <c r="Q2181" t="n">
        <v>1002</v>
      </c>
      <c r="R2181" t="n">
        <v>1.083</v>
      </c>
      <c r="S2181" t="n">
        <v>33.563</v>
      </c>
      <c r="T2181" t="n">
        <v>30.983</v>
      </c>
      <c r="U2181" t="n">
        <v>0.7786999999999999</v>
      </c>
      <c r="V2181" t="b">
        <v>1</v>
      </c>
      <c r="X2181" t="b">
        <v>0</v>
      </c>
      <c r="Y2181" t="inlineStr">
        <is>
          <t>ON</t>
        </is>
      </c>
      <c r="Z2181" t="n">
        <v>935</v>
      </c>
      <c r="AA2181" t="n">
        <v>2.5</v>
      </c>
      <c r="AB2181" t="n">
        <v>9.5</v>
      </c>
    </row>
    <row r="2182">
      <c r="A2182" t="inlineStr">
        <is>
          <t>2026-09-24 18:55:12</t>
        </is>
      </c>
      <c r="B2182" t="inlineStr">
        <is>
          <t>MLLB_000_y1.0.3</t>
        </is>
      </c>
      <c r="C2182" t="inlineStr">
        <is>
          <t>WHITE</t>
        </is>
      </c>
      <c r="D2182" t="inlineStr">
        <is>
          <t>v4_white_MLLB_000_y103_0924</t>
        </is>
      </c>
      <c r="E2182" t="n">
        <v>2.8</v>
      </c>
      <c r="F2182" t="n">
        <v>2.808</v>
      </c>
      <c r="G2182" t="n">
        <v>15</v>
      </c>
      <c r="H2182" t="n">
        <v>80</v>
      </c>
      <c r="I2182" t="n">
        <v>24</v>
      </c>
      <c r="J2182" t="inlineStr">
        <is>
          <t>kaba</t>
        </is>
      </c>
      <c r="K2182" t="b">
        <v>1</v>
      </c>
      <c r="M2182" t="n">
        <v>100</v>
      </c>
      <c r="N2182" t="n">
        <v>32</v>
      </c>
      <c r="O2182" t="n">
        <v>78</v>
      </c>
      <c r="P2182" t="n">
        <v>902</v>
      </c>
      <c r="Q2182" t="n">
        <v>1002</v>
      </c>
      <c r="R2182" t="n">
        <v>1.08</v>
      </c>
      <c r="S2182" t="n">
        <v>33.479</v>
      </c>
      <c r="T2182" t="n">
        <v>31.011</v>
      </c>
      <c r="U2182" t="n">
        <v>0.7786</v>
      </c>
      <c r="V2182" t="b">
        <v>1</v>
      </c>
      <c r="X2182" t="b">
        <v>0</v>
      </c>
      <c r="Y2182" t="inlineStr">
        <is>
          <t>ON</t>
        </is>
      </c>
      <c r="Z2182" t="n">
        <v>935</v>
      </c>
      <c r="AA2182" t="n">
        <v>2.5</v>
      </c>
      <c r="AB2182" t="n">
        <v>9.5</v>
      </c>
    </row>
    <row r="2183">
      <c r="A2183" t="inlineStr">
        <is>
          <t>2026-09-24 18:55:28</t>
        </is>
      </c>
      <c r="B2183" t="inlineStr">
        <is>
          <t>MLLB_000_y1.0.3</t>
        </is>
      </c>
      <c r="C2183" t="inlineStr">
        <is>
          <t>WHITE</t>
        </is>
      </c>
      <c r="D2183" t="inlineStr">
        <is>
          <t>v4_white_MLLB_000_y103_0924</t>
        </is>
      </c>
      <c r="E2183" t="n">
        <v>2.8</v>
      </c>
      <c r="F2183" t="n">
        <v>2.808</v>
      </c>
      <c r="G2183" t="n">
        <v>15</v>
      </c>
      <c r="H2183" t="n">
        <v>80</v>
      </c>
      <c r="I2183" t="n">
        <v>28</v>
      </c>
      <c r="J2183" t="inlineStr">
        <is>
          <t>kaba</t>
        </is>
      </c>
      <c r="K2183" t="b">
        <v>1</v>
      </c>
      <c r="M2183" t="n">
        <v>80</v>
      </c>
      <c r="N2183" t="n">
        <v>30</v>
      </c>
      <c r="O2183" t="n">
        <v>60</v>
      </c>
      <c r="P2183" t="n">
        <v>922</v>
      </c>
      <c r="Q2183" t="n">
        <v>1002</v>
      </c>
      <c r="R2183" t="n">
        <v>1.077</v>
      </c>
      <c r="S2183" t="n">
        <v>33.456</v>
      </c>
      <c r="T2183" t="n">
        <v>31.051</v>
      </c>
      <c r="U2183" t="n">
        <v>0.7783</v>
      </c>
      <c r="V2183" t="b">
        <v>1</v>
      </c>
      <c r="X2183" t="b">
        <v>0</v>
      </c>
      <c r="Y2183" t="inlineStr">
        <is>
          <t>ON</t>
        </is>
      </c>
      <c r="Z2183" t="n">
        <v>935</v>
      </c>
      <c r="AA2183" t="n">
        <v>2.5</v>
      </c>
      <c r="AB2183" t="n">
        <v>9.5</v>
      </c>
    </row>
    <row r="2184">
      <c r="A2184" t="inlineStr">
        <is>
          <t>2026-09-24 18:55:44</t>
        </is>
      </c>
      <c r="B2184" t="inlineStr">
        <is>
          <t>MLLB_000_y1.0.3</t>
        </is>
      </c>
      <c r="C2184" t="inlineStr">
        <is>
          <t>WHITE</t>
        </is>
      </c>
      <c r="D2184" t="inlineStr">
        <is>
          <t>v4_white_MLLB_000_y103_0924</t>
        </is>
      </c>
      <c r="E2184" t="n">
        <v>2.8</v>
      </c>
      <c r="F2184" t="n">
        <v>2.808</v>
      </c>
      <c r="G2184" t="n">
        <v>15</v>
      </c>
      <c r="H2184" t="n">
        <v>80</v>
      </c>
      <c r="I2184" t="n">
        <v>32</v>
      </c>
      <c r="J2184" t="inlineStr">
        <is>
          <t>kaba</t>
        </is>
      </c>
      <c r="K2184" t="b">
        <v>1</v>
      </c>
      <c r="M2184" t="n">
        <v>60</v>
      </c>
      <c r="N2184" t="n">
        <v>30</v>
      </c>
      <c r="O2184" t="n">
        <v>40</v>
      </c>
      <c r="P2184" t="n">
        <v>942</v>
      </c>
      <c r="Q2184" t="n">
        <v>1002</v>
      </c>
      <c r="R2184" t="n">
        <v>1.079</v>
      </c>
      <c r="S2184" t="n">
        <v>33.547</v>
      </c>
      <c r="T2184" t="n">
        <v>31.092</v>
      </c>
      <c r="U2184" t="n">
        <v>0.7788</v>
      </c>
      <c r="V2184" t="b">
        <v>1</v>
      </c>
      <c r="X2184" t="b">
        <v>1</v>
      </c>
      <c r="Z2184" t="n">
        <v>935</v>
      </c>
      <c r="AA2184" t="n">
        <v>2.5</v>
      </c>
      <c r="AB2184" t="n">
        <v>9.5</v>
      </c>
    </row>
    <row r="2185">
      <c r="A2185" t="inlineStr">
        <is>
          <t>2026-09-24 18:56:00</t>
        </is>
      </c>
      <c r="B2185" t="inlineStr">
        <is>
          <t>MLLB_000_y1.0.3</t>
        </is>
      </c>
      <c r="C2185" t="inlineStr">
        <is>
          <t>WHITE</t>
        </is>
      </c>
      <c r="D2185" t="inlineStr">
        <is>
          <t>v4_white_MLLB_000_y103_0924</t>
        </is>
      </c>
      <c r="E2185" t="n">
        <v>2.8</v>
      </c>
      <c r="F2185" t="n">
        <v>2.808</v>
      </c>
      <c r="G2185" t="n">
        <v>15</v>
      </c>
      <c r="H2185" t="n">
        <v>80</v>
      </c>
      <c r="I2185" t="n">
        <v>36</v>
      </c>
      <c r="J2185" t="inlineStr">
        <is>
          <t>kaba</t>
        </is>
      </c>
      <c r="K2185" t="b">
        <v>1</v>
      </c>
      <c r="M2185" t="n">
        <v>42</v>
      </c>
      <c r="N2185" t="n">
        <v>28</v>
      </c>
      <c r="O2185" t="n">
        <v>22</v>
      </c>
      <c r="P2185" t="n">
        <v>960</v>
      </c>
      <c r="Q2185" t="n">
        <v>1002</v>
      </c>
      <c r="R2185" t="n">
        <v>1.08</v>
      </c>
      <c r="S2185" t="n">
        <v>33.574</v>
      </c>
      <c r="T2185" t="n">
        <v>31.078</v>
      </c>
      <c r="U2185" t="n">
        <v>0.778</v>
      </c>
      <c r="V2185" t="b">
        <v>1</v>
      </c>
      <c r="X2185" t="b">
        <v>1</v>
      </c>
      <c r="Z2185" t="n">
        <v>935</v>
      </c>
      <c r="AA2185" t="n">
        <v>2.5</v>
      </c>
      <c r="AB2185" t="n">
        <v>9.5</v>
      </c>
    </row>
    <row r="2186">
      <c r="A2186" t="inlineStr">
        <is>
          <t>2026-09-24 18:56:16</t>
        </is>
      </c>
      <c r="B2186" t="inlineStr">
        <is>
          <t>MLLB_000_y1.0.3</t>
        </is>
      </c>
      <c r="C2186" t="inlineStr">
        <is>
          <t>WHITE</t>
        </is>
      </c>
      <c r="D2186" t="inlineStr">
        <is>
          <t>v4_white_MLLB_000_y103_0924</t>
        </is>
      </c>
      <c r="E2186" t="n">
        <v>2.8</v>
      </c>
      <c r="F2186" t="n">
        <v>2.808</v>
      </c>
      <c r="G2186" t="n">
        <v>15</v>
      </c>
      <c r="H2186" t="n">
        <v>80</v>
      </c>
      <c r="I2186" t="n">
        <v>40</v>
      </c>
      <c r="J2186" t="inlineStr">
        <is>
          <t>kaba</t>
        </is>
      </c>
      <c r="K2186" t="b">
        <v>1</v>
      </c>
      <c r="M2186" t="n">
        <v>42</v>
      </c>
      <c r="N2186" t="n">
        <v>28</v>
      </c>
      <c r="O2186" t="n">
        <v>22</v>
      </c>
      <c r="P2186" t="n">
        <v>960</v>
      </c>
      <c r="Q2186" t="n">
        <v>1002</v>
      </c>
      <c r="R2186" t="n">
        <v>3.628</v>
      </c>
      <c r="S2186" t="n">
        <v>112.737</v>
      </c>
      <c r="T2186" t="n">
        <v>31.07</v>
      </c>
      <c r="U2186" t="n">
        <v>0.7776</v>
      </c>
      <c r="V2186" t="b">
        <v>1</v>
      </c>
      <c r="X2186" t="b">
        <v>0</v>
      </c>
      <c r="Y2186" t="inlineStr">
        <is>
          <t>FLAS</t>
        </is>
      </c>
      <c r="Z2186" t="n">
        <v>935</v>
      </c>
      <c r="AA2186" t="n">
        <v>2.5</v>
      </c>
      <c r="AB2186" t="n">
        <v>9.5</v>
      </c>
    </row>
    <row r="2187">
      <c r="A2187" t="inlineStr">
        <is>
          <t>2026-09-24 18:56:32</t>
        </is>
      </c>
      <c r="B2187" t="inlineStr">
        <is>
          <t>MLLB_000_y1.0.3</t>
        </is>
      </c>
      <c r="C2187" t="inlineStr">
        <is>
          <t>WHITE</t>
        </is>
      </c>
      <c r="D2187" t="inlineStr">
        <is>
          <t>v4_white_MLLB_000_y103_0924</t>
        </is>
      </c>
      <c r="E2187" t="n">
        <v>2.8</v>
      </c>
      <c r="F2187" t="n">
        <v>2.808</v>
      </c>
      <c r="G2187" t="n">
        <v>15</v>
      </c>
      <c r="H2187" t="n">
        <v>80</v>
      </c>
      <c r="I2187" t="n">
        <v>44</v>
      </c>
      <c r="J2187" t="inlineStr">
        <is>
          <t>kaba</t>
        </is>
      </c>
      <c r="K2187" t="b">
        <v>1</v>
      </c>
      <c r="M2187" t="n">
        <v>42</v>
      </c>
      <c r="N2187" t="n">
        <v>28</v>
      </c>
      <c r="O2187" t="n">
        <v>22</v>
      </c>
      <c r="P2187" t="n">
        <v>960</v>
      </c>
      <c r="Q2187" t="n">
        <v>1002</v>
      </c>
      <c r="R2187" t="n">
        <v>4.898</v>
      </c>
      <c r="S2187" t="n">
        <v>152.078</v>
      </c>
      <c r="T2187" t="n">
        <v>31.049</v>
      </c>
      <c r="U2187" t="n">
        <v>0.7788</v>
      </c>
      <c r="V2187" t="b">
        <v>1</v>
      </c>
      <c r="X2187" t="b">
        <v>0</v>
      </c>
      <c r="Y2187" t="inlineStr">
        <is>
          <t>FLAS</t>
        </is>
      </c>
      <c r="Z2187" t="n">
        <v>935</v>
      </c>
      <c r="AA2187" t="n">
        <v>2.5</v>
      </c>
      <c r="AB2187" t="n">
        <v>9.5</v>
      </c>
    </row>
    <row r="2188">
      <c r="A2188" t="inlineStr">
        <is>
          <t>2026-09-24 18:56:48</t>
        </is>
      </c>
      <c r="B2188" t="inlineStr">
        <is>
          <t>MLLB_000_y1.0.3</t>
        </is>
      </c>
      <c r="C2188" t="inlineStr">
        <is>
          <t>WHITE</t>
        </is>
      </c>
      <c r="D2188" t="inlineStr">
        <is>
          <t>v4_white_MLLB_000_y103_0924</t>
        </is>
      </c>
      <c r="E2188" t="n">
        <v>2.8</v>
      </c>
      <c r="F2188" t="n">
        <v>2.808</v>
      </c>
      <c r="G2188" t="n">
        <v>15</v>
      </c>
      <c r="H2188" t="n">
        <v>80</v>
      </c>
      <c r="I2188" t="n">
        <v>29</v>
      </c>
      <c r="J2188" t="inlineStr">
        <is>
          <t>ince</t>
        </is>
      </c>
      <c r="K2188" t="b">
        <v>1</v>
      </c>
      <c r="M2188" t="n">
        <v>76</v>
      </c>
      <c r="N2188" t="n">
        <v>32</v>
      </c>
      <c r="O2188" t="n">
        <v>54</v>
      </c>
      <c r="P2188" t="n">
        <v>926</v>
      </c>
      <c r="Q2188" t="n">
        <v>1002</v>
      </c>
      <c r="R2188" t="n">
        <v>1.078</v>
      </c>
      <c r="S2188" t="n">
        <v>33.456</v>
      </c>
      <c r="T2188" t="n">
        <v>31.039</v>
      </c>
      <c r="U2188" t="n">
        <v>0.7785</v>
      </c>
      <c r="V2188" t="b">
        <v>1</v>
      </c>
      <c r="X2188" t="b">
        <v>0</v>
      </c>
      <c r="Y2188" t="inlineStr">
        <is>
          <t>ON</t>
        </is>
      </c>
      <c r="Z2188" t="n">
        <v>935</v>
      </c>
      <c r="AA2188" t="n">
        <v>2.5</v>
      </c>
      <c r="AB2188" t="n">
        <v>9.5</v>
      </c>
    </row>
    <row r="2189">
      <c r="A2189" t="inlineStr">
        <is>
          <t>2026-09-24 18:57:04</t>
        </is>
      </c>
      <c r="B2189" t="inlineStr">
        <is>
          <t>MLLB_000_y1.0.3</t>
        </is>
      </c>
      <c r="C2189" t="inlineStr">
        <is>
          <t>WHITE</t>
        </is>
      </c>
      <c r="D2189" t="inlineStr">
        <is>
          <t>v4_white_MLLB_000_y103_0924</t>
        </is>
      </c>
      <c r="E2189" t="n">
        <v>2.8</v>
      </c>
      <c r="F2189" t="n">
        <v>2.808</v>
      </c>
      <c r="G2189" t="n">
        <v>15</v>
      </c>
      <c r="H2189" t="n">
        <v>80</v>
      </c>
      <c r="I2189" t="n">
        <v>30</v>
      </c>
      <c r="J2189" t="inlineStr">
        <is>
          <t>ince</t>
        </is>
      </c>
      <c r="K2189" t="b">
        <v>1</v>
      </c>
      <c r="M2189" t="n">
        <v>70</v>
      </c>
      <c r="N2189" t="n">
        <v>28</v>
      </c>
      <c r="O2189" t="n">
        <v>50</v>
      </c>
      <c r="P2189" t="n">
        <v>932</v>
      </c>
      <c r="Q2189" t="n">
        <v>1002</v>
      </c>
      <c r="R2189" t="n">
        <v>1.08</v>
      </c>
      <c r="S2189" t="n">
        <v>33.514</v>
      </c>
      <c r="T2189" t="n">
        <v>31.038</v>
      </c>
      <c r="U2189" t="n">
        <v>0.7782</v>
      </c>
      <c r="V2189" t="b">
        <v>1</v>
      </c>
      <c r="X2189" t="b">
        <v>0</v>
      </c>
      <c r="Y2189" t="inlineStr">
        <is>
          <t>ON</t>
        </is>
      </c>
      <c r="Z2189" t="n">
        <v>935</v>
      </c>
      <c r="AA2189" t="n">
        <v>2.5</v>
      </c>
      <c r="AB2189" t="n">
        <v>9.5</v>
      </c>
    </row>
    <row r="2190">
      <c r="A2190" t="inlineStr">
        <is>
          <t>2026-09-24 18:57:20</t>
        </is>
      </c>
      <c r="B2190" t="inlineStr">
        <is>
          <t>MLLB_000_y1.0.3</t>
        </is>
      </c>
      <c r="C2190" t="inlineStr">
        <is>
          <t>WHITE</t>
        </is>
      </c>
      <c r="D2190" t="inlineStr">
        <is>
          <t>v4_white_MLLB_000_y103_0924</t>
        </is>
      </c>
      <c r="E2190" t="n">
        <v>2.8</v>
      </c>
      <c r="F2190" t="n">
        <v>2.808</v>
      </c>
      <c r="G2190" t="n">
        <v>15</v>
      </c>
      <c r="H2190" t="n">
        <v>80</v>
      </c>
      <c r="I2190" t="n">
        <v>31</v>
      </c>
      <c r="J2190" t="inlineStr">
        <is>
          <t>ince</t>
        </is>
      </c>
      <c r="K2190" t="b">
        <v>1</v>
      </c>
      <c r="M2190" t="n">
        <v>64</v>
      </c>
      <c r="N2190" t="n">
        <v>28</v>
      </c>
      <c r="O2190" t="n">
        <v>46</v>
      </c>
      <c r="P2190" t="n">
        <v>938</v>
      </c>
      <c r="Q2190" t="n">
        <v>1002</v>
      </c>
      <c r="R2190" t="n">
        <v>1.084</v>
      </c>
      <c r="S2190" t="n">
        <v>33.661</v>
      </c>
      <c r="T2190" t="n">
        <v>31.062</v>
      </c>
      <c r="U2190" t="n">
        <v>0.7782</v>
      </c>
      <c r="V2190" t="b">
        <v>1</v>
      </c>
      <c r="X2190" t="b">
        <v>1</v>
      </c>
      <c r="Z2190" t="n">
        <v>935</v>
      </c>
      <c r="AA2190" t="n">
        <v>2.5</v>
      </c>
      <c r="AB2190" t="n">
        <v>9.5</v>
      </c>
    </row>
    <row r="2191">
      <c r="A2191" t="inlineStr">
        <is>
          <t>2026-09-24 18:57:20</t>
        </is>
      </c>
      <c r="B2191" t="inlineStr">
        <is>
          <t>MLLB_000_y1.0.3</t>
        </is>
      </c>
      <c r="C2191" t="inlineStr">
        <is>
          <t>WHITE</t>
        </is>
      </c>
      <c r="D2191" t="inlineStr">
        <is>
          <t>v4_white_MLLB_000_y103_0924</t>
        </is>
      </c>
      <c r="E2191" t="n">
        <v>2.8</v>
      </c>
      <c r="F2191" t="n">
        <v>2.808</v>
      </c>
      <c r="G2191" t="n">
        <v>15</v>
      </c>
      <c r="H2191" t="n">
        <v>80</v>
      </c>
      <c r="I2191" t="n">
        <v>33</v>
      </c>
      <c r="J2191" t="inlineStr">
        <is>
          <t>ince</t>
        </is>
      </c>
      <c r="K2191" t="b">
        <v>0</v>
      </c>
      <c r="L2191" t="inlineStr">
        <is>
          <t>iki-OK-arasi-monotonluk</t>
        </is>
      </c>
      <c r="X2191" t="b">
        <v>1</v>
      </c>
      <c r="Z2191" t="n">
        <v>935</v>
      </c>
      <c r="AA2191" t="n">
        <v>2.5</v>
      </c>
      <c r="AB2191" t="n">
        <v>9.5</v>
      </c>
    </row>
    <row r="2192">
      <c r="A2192" t="inlineStr">
        <is>
          <t>2026-09-24 18:57:20</t>
        </is>
      </c>
      <c r="B2192" t="inlineStr">
        <is>
          <t>MLLB_000_y1.0.3</t>
        </is>
      </c>
      <c r="C2192" t="inlineStr">
        <is>
          <t>WHITE</t>
        </is>
      </c>
      <c r="D2192" t="inlineStr">
        <is>
          <t>v4_white_MLLB_000_y103_0924</t>
        </is>
      </c>
      <c r="E2192" t="n">
        <v>2.8</v>
      </c>
      <c r="F2192" t="n">
        <v>2.808</v>
      </c>
      <c r="G2192" t="n">
        <v>15</v>
      </c>
      <c r="H2192" t="n">
        <v>80</v>
      </c>
      <c r="I2192" t="n">
        <v>34</v>
      </c>
      <c r="J2192" t="inlineStr">
        <is>
          <t>ince</t>
        </is>
      </c>
      <c r="K2192" t="b">
        <v>0</v>
      </c>
      <c r="L2192" t="inlineStr">
        <is>
          <t>iki-OK-arasi-monotonluk</t>
        </is>
      </c>
      <c r="X2192" t="b">
        <v>1</v>
      </c>
      <c r="Z2192" t="n">
        <v>935</v>
      </c>
      <c r="AA2192" t="n">
        <v>2.5</v>
      </c>
      <c r="AB2192" t="n">
        <v>9.5</v>
      </c>
    </row>
    <row r="2193">
      <c r="A2193" t="inlineStr">
        <is>
          <t>2026-09-24 18:57:20</t>
        </is>
      </c>
      <c r="B2193" t="inlineStr">
        <is>
          <t>MLLB_000_y1.0.3</t>
        </is>
      </c>
      <c r="C2193" t="inlineStr">
        <is>
          <t>WHITE</t>
        </is>
      </c>
      <c r="D2193" t="inlineStr">
        <is>
          <t>v4_white_MLLB_000_y103_0924</t>
        </is>
      </c>
      <c r="E2193" t="n">
        <v>2.8</v>
      </c>
      <c r="F2193" t="n">
        <v>2.808</v>
      </c>
      <c r="G2193" t="n">
        <v>15</v>
      </c>
      <c r="H2193" t="n">
        <v>80</v>
      </c>
      <c r="I2193" t="n">
        <v>35</v>
      </c>
      <c r="J2193" t="inlineStr">
        <is>
          <t>ince</t>
        </is>
      </c>
      <c r="K2193" t="b">
        <v>0</v>
      </c>
      <c r="L2193" t="inlineStr">
        <is>
          <t>iki-OK-arasi-monotonluk</t>
        </is>
      </c>
      <c r="X2193" t="b">
        <v>1</v>
      </c>
      <c r="Z2193" t="n">
        <v>935</v>
      </c>
      <c r="AA2193" t="n">
        <v>2.5</v>
      </c>
      <c r="AB2193" t="n">
        <v>9.5</v>
      </c>
    </row>
    <row r="2194">
      <c r="A2194" t="inlineStr">
        <is>
          <t>2026-09-24 18:57:32</t>
        </is>
      </c>
      <c r="B2194" t="inlineStr">
        <is>
          <t>MLLB_000_y1.0.3</t>
        </is>
      </c>
      <c r="C2194" t="inlineStr">
        <is>
          <t>WHITE</t>
        </is>
      </c>
      <c r="D2194" t="inlineStr">
        <is>
          <t>v4_white_MLLB_000_y103_0924</t>
        </is>
      </c>
      <c r="E2194" t="n">
        <v>2.8</v>
      </c>
      <c r="F2194" t="n">
        <v>2.808</v>
      </c>
      <c r="G2194" t="n">
        <v>15</v>
      </c>
      <c r="H2194" t="n">
        <v>80</v>
      </c>
      <c r="I2194" t="n">
        <v>37</v>
      </c>
      <c r="J2194" t="inlineStr">
        <is>
          <t>ince</t>
        </is>
      </c>
      <c r="K2194" t="b">
        <v>1</v>
      </c>
      <c r="M2194" t="n">
        <v>42</v>
      </c>
      <c r="N2194" t="n">
        <v>28</v>
      </c>
      <c r="O2194" t="n">
        <v>22</v>
      </c>
      <c r="P2194" t="n">
        <v>960</v>
      </c>
      <c r="Q2194" t="n">
        <v>1002</v>
      </c>
      <c r="R2194" t="n">
        <v>1.392</v>
      </c>
      <c r="S2194" t="n">
        <v>43.252</v>
      </c>
      <c r="T2194" t="n">
        <v>31.079</v>
      </c>
      <c r="U2194" t="n">
        <v>0.7786</v>
      </c>
      <c r="V2194" t="b">
        <v>1</v>
      </c>
      <c r="X2194" t="b">
        <v>1</v>
      </c>
      <c r="Z2194" t="n">
        <v>935</v>
      </c>
      <c r="AA2194" t="n">
        <v>2.5</v>
      </c>
      <c r="AB2194" t="n">
        <v>9.5</v>
      </c>
    </row>
    <row r="2195">
      <c r="A2195" t="inlineStr">
        <is>
          <t>2026-09-24 18:57:48</t>
        </is>
      </c>
      <c r="B2195" t="inlineStr">
        <is>
          <t>MLLB_000_y1.0.3</t>
        </is>
      </c>
      <c r="C2195" t="inlineStr">
        <is>
          <t>WHITE</t>
        </is>
      </c>
      <c r="D2195" t="inlineStr">
        <is>
          <t>v4_white_MLLB_000_y103_0924</t>
        </is>
      </c>
      <c r="E2195" t="n">
        <v>2.8</v>
      </c>
      <c r="F2195" t="n">
        <v>2.808</v>
      </c>
      <c r="G2195" t="n">
        <v>15</v>
      </c>
      <c r="H2195" t="n">
        <v>80</v>
      </c>
      <c r="I2195" t="n">
        <v>38</v>
      </c>
      <c r="J2195" t="inlineStr">
        <is>
          <t>ince</t>
        </is>
      </c>
      <c r="K2195" t="b">
        <v>1</v>
      </c>
      <c r="M2195" t="n">
        <v>42</v>
      </c>
      <c r="N2195" t="n">
        <v>28</v>
      </c>
      <c r="O2195" t="n">
        <v>22</v>
      </c>
      <c r="P2195" t="n">
        <v>960</v>
      </c>
      <c r="Q2195" t="n">
        <v>1002</v>
      </c>
      <c r="R2195" t="n">
        <v>2.754</v>
      </c>
      <c r="S2195" t="n">
        <v>85.65300000000001</v>
      </c>
      <c r="T2195" t="n">
        <v>31.099</v>
      </c>
      <c r="U2195" t="n">
        <v>0.7782</v>
      </c>
      <c r="V2195" t="b">
        <v>1</v>
      </c>
      <c r="X2195" t="b">
        <v>0</v>
      </c>
      <c r="Y2195" t="inlineStr">
        <is>
          <t>FLAS</t>
        </is>
      </c>
      <c r="Z2195" t="n">
        <v>935</v>
      </c>
      <c r="AA2195" t="n">
        <v>2.5</v>
      </c>
      <c r="AB2195" t="n">
        <v>9.5</v>
      </c>
    </row>
    <row r="2196">
      <c r="A2196" t="inlineStr">
        <is>
          <t>2026-09-24 18:58:04</t>
        </is>
      </c>
      <c r="B2196" t="inlineStr">
        <is>
          <t>MLLB_000_y1.0.3</t>
        </is>
      </c>
      <c r="C2196" t="inlineStr">
        <is>
          <t>WHITE</t>
        </is>
      </c>
      <c r="D2196" t="inlineStr">
        <is>
          <t>v4_white_MLLB_000_y103_0924</t>
        </is>
      </c>
      <c r="E2196" t="n">
        <v>2.8</v>
      </c>
      <c r="F2196" t="n">
        <v>2.808</v>
      </c>
      <c r="G2196" t="n">
        <v>15</v>
      </c>
      <c r="H2196" t="n">
        <v>80</v>
      </c>
      <c r="I2196" t="n">
        <v>39</v>
      </c>
      <c r="J2196" t="inlineStr">
        <is>
          <t>ince</t>
        </is>
      </c>
      <c r="K2196" t="b">
        <v>1</v>
      </c>
      <c r="M2196" t="n">
        <v>42</v>
      </c>
      <c r="N2196" t="n">
        <v>28</v>
      </c>
      <c r="O2196" t="n">
        <v>22</v>
      </c>
      <c r="P2196" t="n">
        <v>960</v>
      </c>
      <c r="Q2196" t="n">
        <v>1002</v>
      </c>
      <c r="R2196" t="n">
        <v>3.266</v>
      </c>
      <c r="S2196" t="n">
        <v>101.437</v>
      </c>
      <c r="T2196" t="n">
        <v>31.055</v>
      </c>
      <c r="U2196" t="n">
        <v>0.7782</v>
      </c>
      <c r="V2196" t="b">
        <v>1</v>
      </c>
      <c r="X2196" t="b">
        <v>0</v>
      </c>
      <c r="Y2196" t="inlineStr">
        <is>
          <t>FLAS</t>
        </is>
      </c>
      <c r="Z2196" t="n">
        <v>935</v>
      </c>
      <c r="AA2196" t="n">
        <v>2.5</v>
      </c>
      <c r="AB2196" t="n">
        <v>9.5</v>
      </c>
    </row>
    <row r="2197">
      <c r="A2197" t="inlineStr">
        <is>
          <t>2026-09-24 18:58:04</t>
        </is>
      </c>
      <c r="B2197" t="inlineStr">
        <is>
          <t>MLLB_000_y1.0.3</t>
        </is>
      </c>
      <c r="C2197" t="inlineStr">
        <is>
          <t>WHITE</t>
        </is>
      </c>
      <c r="D2197" t="inlineStr">
        <is>
          <t>v4_white_MLLB_000_y103_0924</t>
        </is>
      </c>
      <c r="E2197" t="n">
        <v>2.8</v>
      </c>
      <c r="F2197" t="n">
        <v>2.808</v>
      </c>
      <c r="G2197" t="n">
        <v>15</v>
      </c>
      <c r="H2197" t="n">
        <v>80</v>
      </c>
      <c r="J2197" t="inlineStr">
        <is>
          <t>bitti</t>
        </is>
      </c>
      <c r="K2197" t="b">
        <v>0</v>
      </c>
      <c r="Z2197" t="n">
        <v>935</v>
      </c>
      <c r="AA2197" t="n">
        <v>2.5</v>
      </c>
      <c r="AB2197" t="n">
        <v>9.5</v>
      </c>
    </row>
    <row r="2198">
      <c r="A2198" t="inlineStr">
        <is>
          <t>2026-09-24 18:58:20</t>
        </is>
      </c>
      <c r="B2198" t="inlineStr">
        <is>
          <t>MLLB_000_y1.0.3</t>
        </is>
      </c>
      <c r="C2198" t="inlineStr">
        <is>
          <t>WHITE</t>
        </is>
      </c>
      <c r="D2198" t="inlineStr">
        <is>
          <t>v4_white_MLLB_000_y103_0924</t>
        </is>
      </c>
      <c r="E2198" t="n">
        <v>2.8</v>
      </c>
      <c r="F2198" t="n">
        <v>2.808</v>
      </c>
      <c r="G2198" t="n">
        <v>15</v>
      </c>
      <c r="H2198" t="n">
        <v>60</v>
      </c>
      <c r="I2198" t="n">
        <v>12</v>
      </c>
      <c r="J2198" t="inlineStr">
        <is>
          <t>kaba</t>
        </is>
      </c>
      <c r="K2198" t="b">
        <v>1</v>
      </c>
      <c r="M2198" t="n">
        <v>172</v>
      </c>
      <c r="N2198" t="n">
        <v>30</v>
      </c>
      <c r="O2198" t="n">
        <v>152</v>
      </c>
      <c r="P2198" t="n">
        <v>830</v>
      </c>
      <c r="Q2198" t="n">
        <v>1002</v>
      </c>
      <c r="R2198" t="n">
        <v>1.088</v>
      </c>
      <c r="S2198" t="n">
        <v>33.661</v>
      </c>
      <c r="T2198" t="n">
        <v>30.932</v>
      </c>
      <c r="U2198" t="n">
        <v>0.7786999999999999</v>
      </c>
      <c r="V2198" t="b">
        <v>1</v>
      </c>
      <c r="X2198" t="b">
        <v>0</v>
      </c>
      <c r="Y2198" t="inlineStr">
        <is>
          <t>ON</t>
        </is>
      </c>
      <c r="Z2198" t="n">
        <v>935</v>
      </c>
      <c r="AA2198" t="n">
        <v>2.5</v>
      </c>
      <c r="AB2198" t="n">
        <v>9.5</v>
      </c>
    </row>
    <row r="2199">
      <c r="A2199" t="inlineStr">
        <is>
          <t>2026-09-24 18:58:36</t>
        </is>
      </c>
      <c r="B2199" t="inlineStr">
        <is>
          <t>MLLB_000_y1.0.3</t>
        </is>
      </c>
      <c r="C2199" t="inlineStr">
        <is>
          <t>WHITE</t>
        </is>
      </c>
      <c r="D2199" t="inlineStr">
        <is>
          <t>v4_white_MLLB_000_y103_0924</t>
        </is>
      </c>
      <c r="E2199" t="n">
        <v>2.8</v>
      </c>
      <c r="F2199" t="n">
        <v>2.808</v>
      </c>
      <c r="G2199" t="n">
        <v>15</v>
      </c>
      <c r="H2199" t="n">
        <v>60</v>
      </c>
      <c r="I2199" t="n">
        <v>16</v>
      </c>
      <c r="J2199" t="inlineStr">
        <is>
          <t>kaba</t>
        </is>
      </c>
      <c r="K2199" t="b">
        <v>1</v>
      </c>
      <c r="M2199" t="n">
        <v>160</v>
      </c>
      <c r="N2199" t="n">
        <v>32</v>
      </c>
      <c r="O2199" t="n">
        <v>138</v>
      </c>
      <c r="P2199" t="n">
        <v>842</v>
      </c>
      <c r="Q2199" t="n">
        <v>1002</v>
      </c>
      <c r="R2199" t="n">
        <v>1.082</v>
      </c>
      <c r="S2199" t="n">
        <v>33.456</v>
      </c>
      <c r="T2199" t="n">
        <v>30.911</v>
      </c>
      <c r="U2199" t="n">
        <v>0.7779</v>
      </c>
      <c r="V2199" t="b">
        <v>1</v>
      </c>
      <c r="X2199" t="b">
        <v>0</v>
      </c>
      <c r="Y2199" t="inlineStr">
        <is>
          <t>ON</t>
        </is>
      </c>
      <c r="Z2199" t="n">
        <v>935</v>
      </c>
      <c r="AA2199" t="n">
        <v>2.5</v>
      </c>
      <c r="AB2199" t="n">
        <v>9.5</v>
      </c>
    </row>
    <row r="2200">
      <c r="A2200" t="inlineStr">
        <is>
          <t>2026-09-24 18:58:52</t>
        </is>
      </c>
      <c r="B2200" t="inlineStr">
        <is>
          <t>MLLB_000_y1.0.3</t>
        </is>
      </c>
      <c r="C2200" t="inlineStr">
        <is>
          <t>WHITE</t>
        </is>
      </c>
      <c r="D2200" t="inlineStr">
        <is>
          <t>v4_white_MLLB_000_y103_0924</t>
        </is>
      </c>
      <c r="E2200" t="n">
        <v>2.8</v>
      </c>
      <c r="F2200" t="n">
        <v>2.808</v>
      </c>
      <c r="G2200" t="n">
        <v>15</v>
      </c>
      <c r="H2200" t="n">
        <v>60</v>
      </c>
      <c r="I2200" t="n">
        <v>20</v>
      </c>
      <c r="J2200" t="inlineStr">
        <is>
          <t>kaba</t>
        </is>
      </c>
      <c r="K2200" t="b">
        <v>1</v>
      </c>
      <c r="M2200" t="n">
        <v>146</v>
      </c>
      <c r="N2200" t="n">
        <v>28</v>
      </c>
      <c r="O2200" t="n">
        <v>126</v>
      </c>
      <c r="P2200" t="n">
        <v>856</v>
      </c>
      <c r="Q2200" t="n">
        <v>1002</v>
      </c>
      <c r="R2200" t="n">
        <v>1.085</v>
      </c>
      <c r="S2200" t="n">
        <v>33.576</v>
      </c>
      <c r="T2200" t="n">
        <v>30.937</v>
      </c>
      <c r="U2200" t="n">
        <v>0.7781</v>
      </c>
      <c r="V2200" t="b">
        <v>1</v>
      </c>
      <c r="X2200" t="b">
        <v>0</v>
      </c>
      <c r="Y2200" t="inlineStr">
        <is>
          <t>ON</t>
        </is>
      </c>
      <c r="Z2200" t="n">
        <v>935</v>
      </c>
      <c r="AA2200" t="n">
        <v>2.5</v>
      </c>
      <c r="AB2200" t="n">
        <v>9.5</v>
      </c>
    </row>
    <row r="2201">
      <c r="A2201" t="inlineStr">
        <is>
          <t>2026-09-24 18:59:08</t>
        </is>
      </c>
      <c r="B2201" t="inlineStr">
        <is>
          <t>MLLB_000_y1.0.3</t>
        </is>
      </c>
      <c r="C2201" t="inlineStr">
        <is>
          <t>WHITE</t>
        </is>
      </c>
      <c r="D2201" t="inlineStr">
        <is>
          <t>v4_white_MLLB_000_y103_0924</t>
        </is>
      </c>
      <c r="E2201" t="n">
        <v>2.8</v>
      </c>
      <c r="F2201" t="n">
        <v>2.808</v>
      </c>
      <c r="G2201" t="n">
        <v>15</v>
      </c>
      <c r="H2201" t="n">
        <v>60</v>
      </c>
      <c r="I2201" t="n">
        <v>24</v>
      </c>
      <c r="J2201" t="inlineStr">
        <is>
          <t>kaba</t>
        </is>
      </c>
      <c r="K2201" t="b">
        <v>1</v>
      </c>
      <c r="M2201" t="n">
        <v>132</v>
      </c>
      <c r="N2201" t="n">
        <v>30</v>
      </c>
      <c r="O2201" t="n">
        <v>112</v>
      </c>
      <c r="P2201" t="n">
        <v>870</v>
      </c>
      <c r="Q2201" t="n">
        <v>1002</v>
      </c>
      <c r="R2201" t="n">
        <v>1.082</v>
      </c>
      <c r="S2201" t="n">
        <v>33.513</v>
      </c>
      <c r="T2201" t="n">
        <v>30.979</v>
      </c>
      <c r="U2201" t="n">
        <v>0.7784</v>
      </c>
      <c r="V2201" t="b">
        <v>1</v>
      </c>
      <c r="X2201" t="b">
        <v>0</v>
      </c>
      <c r="Y2201" t="inlineStr">
        <is>
          <t>ON</t>
        </is>
      </c>
      <c r="Z2201" t="n">
        <v>935</v>
      </c>
      <c r="AA2201" t="n">
        <v>2.5</v>
      </c>
      <c r="AB2201" t="n">
        <v>9.5</v>
      </c>
    </row>
    <row r="2202">
      <c r="A2202" t="inlineStr">
        <is>
          <t>2026-09-24 18:59:24</t>
        </is>
      </c>
      <c r="B2202" t="inlineStr">
        <is>
          <t>MLLB_000_y1.0.3</t>
        </is>
      </c>
      <c r="C2202" t="inlineStr">
        <is>
          <t>WHITE</t>
        </is>
      </c>
      <c r="D2202" t="inlineStr">
        <is>
          <t>v4_white_MLLB_000_y103_0924</t>
        </is>
      </c>
      <c r="E2202" t="n">
        <v>2.8</v>
      </c>
      <c r="F2202" t="n">
        <v>2.808</v>
      </c>
      <c r="G2202" t="n">
        <v>15</v>
      </c>
      <c r="H2202" t="n">
        <v>60</v>
      </c>
      <c r="I2202" t="n">
        <v>28</v>
      </c>
      <c r="J2202" t="inlineStr">
        <is>
          <t>kaba</t>
        </is>
      </c>
      <c r="K2202" t="b">
        <v>1</v>
      </c>
      <c r="M2202" t="n">
        <v>118</v>
      </c>
      <c r="N2202" t="n">
        <v>32</v>
      </c>
      <c r="O2202" t="n">
        <v>98</v>
      </c>
      <c r="P2202" t="n">
        <v>884</v>
      </c>
      <c r="Q2202" t="n">
        <v>1002</v>
      </c>
      <c r="R2202" t="n">
        <v>1.082</v>
      </c>
      <c r="S2202" t="n">
        <v>33.558</v>
      </c>
      <c r="T2202" t="n">
        <v>31.003</v>
      </c>
      <c r="U2202" t="n">
        <v>0.778</v>
      </c>
      <c r="V2202" t="b">
        <v>1</v>
      </c>
      <c r="X2202" t="b">
        <v>0</v>
      </c>
      <c r="Y2202" t="inlineStr">
        <is>
          <t>ON</t>
        </is>
      </c>
      <c r="Z2202" t="n">
        <v>935</v>
      </c>
      <c r="AA2202" t="n">
        <v>2.5</v>
      </c>
      <c r="AB2202" t="n">
        <v>9.5</v>
      </c>
    </row>
    <row r="2203">
      <c r="A2203" t="inlineStr">
        <is>
          <t>2026-09-24 18:59:40</t>
        </is>
      </c>
      <c r="B2203" t="inlineStr">
        <is>
          <t>MLLB_000_y1.0.3</t>
        </is>
      </c>
      <c r="C2203" t="inlineStr">
        <is>
          <t>WHITE</t>
        </is>
      </c>
      <c r="D2203" t="inlineStr">
        <is>
          <t>v4_white_MLLB_000_y103_0924</t>
        </is>
      </c>
      <c r="E2203" t="n">
        <v>2.8</v>
      </c>
      <c r="F2203" t="n">
        <v>2.808</v>
      </c>
      <c r="G2203" t="n">
        <v>15</v>
      </c>
      <c r="H2203" t="n">
        <v>60</v>
      </c>
      <c r="I2203" t="n">
        <v>32</v>
      </c>
      <c r="J2203" t="inlineStr">
        <is>
          <t>kaba</t>
        </is>
      </c>
      <c r="K2203" t="b">
        <v>1</v>
      </c>
      <c r="M2203" t="n">
        <v>104</v>
      </c>
      <c r="N2203" t="n">
        <v>30</v>
      </c>
      <c r="O2203" t="n">
        <v>84</v>
      </c>
      <c r="P2203" t="n">
        <v>898</v>
      </c>
      <c r="Q2203" t="n">
        <v>1002</v>
      </c>
      <c r="R2203" t="n">
        <v>1.079</v>
      </c>
      <c r="S2203" t="n">
        <v>33.456</v>
      </c>
      <c r="T2203" t="n">
        <v>31.009</v>
      </c>
      <c r="U2203" t="n">
        <v>0.7779</v>
      </c>
      <c r="V2203" t="b">
        <v>1</v>
      </c>
      <c r="X2203" t="b">
        <v>0</v>
      </c>
      <c r="Y2203" t="inlineStr">
        <is>
          <t>ON</t>
        </is>
      </c>
      <c r="Z2203" t="n">
        <v>935</v>
      </c>
      <c r="AA2203" t="n">
        <v>2.5</v>
      </c>
      <c r="AB2203" t="n">
        <v>9.5</v>
      </c>
    </row>
    <row r="2204">
      <c r="A2204" t="inlineStr">
        <is>
          <t>2026-09-24 18:59:56</t>
        </is>
      </c>
      <c r="B2204" t="inlineStr">
        <is>
          <t>MLLB_000_y1.0.3</t>
        </is>
      </c>
      <c r="C2204" t="inlineStr">
        <is>
          <t>WHITE</t>
        </is>
      </c>
      <c r="D2204" t="inlineStr">
        <is>
          <t>v4_white_MLLB_000_y103_0924</t>
        </is>
      </c>
      <c r="E2204" t="n">
        <v>2.8</v>
      </c>
      <c r="F2204" t="n">
        <v>2.808</v>
      </c>
      <c r="G2204" t="n">
        <v>15</v>
      </c>
      <c r="H2204" t="n">
        <v>60</v>
      </c>
      <c r="I2204" t="n">
        <v>36</v>
      </c>
      <c r="J2204" t="inlineStr">
        <is>
          <t>kaba</t>
        </is>
      </c>
      <c r="K2204" t="b">
        <v>1</v>
      </c>
      <c r="M2204" t="n">
        <v>92</v>
      </c>
      <c r="N2204" t="n">
        <v>32</v>
      </c>
      <c r="O2204" t="n">
        <v>70</v>
      </c>
      <c r="P2204" t="n">
        <v>910</v>
      </c>
      <c r="Q2204" t="n">
        <v>1002</v>
      </c>
      <c r="R2204" t="n">
        <v>1.078</v>
      </c>
      <c r="S2204" t="n">
        <v>33.456</v>
      </c>
      <c r="T2204" t="n">
        <v>31.034</v>
      </c>
      <c r="U2204" t="n">
        <v>0.7773</v>
      </c>
      <c r="V2204" t="b">
        <v>1</v>
      </c>
      <c r="X2204" t="b">
        <v>0</v>
      </c>
      <c r="Y2204" t="inlineStr">
        <is>
          <t>ON</t>
        </is>
      </c>
      <c r="Z2204" t="n">
        <v>935</v>
      </c>
      <c r="AA2204" t="n">
        <v>2.5</v>
      </c>
      <c r="AB2204" t="n">
        <v>9.5</v>
      </c>
    </row>
    <row r="2205">
      <c r="A2205" t="inlineStr">
        <is>
          <t>2026-09-24 19:00:12</t>
        </is>
      </c>
      <c r="B2205" t="inlineStr">
        <is>
          <t>MLLB_000_y1.0.3</t>
        </is>
      </c>
      <c r="C2205" t="inlineStr">
        <is>
          <t>WHITE</t>
        </is>
      </c>
      <c r="D2205" t="inlineStr">
        <is>
          <t>v4_white_MLLB_000_y103_0924</t>
        </is>
      </c>
      <c r="E2205" t="n">
        <v>2.8</v>
      </c>
      <c r="F2205" t="n">
        <v>2.808</v>
      </c>
      <c r="G2205" t="n">
        <v>15</v>
      </c>
      <c r="H2205" t="n">
        <v>60</v>
      </c>
      <c r="I2205" t="n">
        <v>40</v>
      </c>
      <c r="J2205" t="inlineStr">
        <is>
          <t>kaba</t>
        </is>
      </c>
      <c r="K2205" t="b">
        <v>1</v>
      </c>
      <c r="M2205" t="n">
        <v>78</v>
      </c>
      <c r="N2205" t="n">
        <v>28</v>
      </c>
      <c r="O2205" t="n">
        <v>58</v>
      </c>
      <c r="P2205" t="n">
        <v>924</v>
      </c>
      <c r="Q2205" t="n">
        <v>1002</v>
      </c>
      <c r="R2205" t="n">
        <v>1.079</v>
      </c>
      <c r="S2205" t="n">
        <v>33.507</v>
      </c>
      <c r="T2205" t="n">
        <v>31.04</v>
      </c>
      <c r="U2205" t="n">
        <v>0.7778</v>
      </c>
      <c r="V2205" t="b">
        <v>1</v>
      </c>
      <c r="X2205" t="b">
        <v>0</v>
      </c>
      <c r="Y2205" t="inlineStr">
        <is>
          <t>ON</t>
        </is>
      </c>
      <c r="Z2205" t="n">
        <v>935</v>
      </c>
      <c r="AA2205" t="n">
        <v>2.5</v>
      </c>
      <c r="AB2205" t="n">
        <v>9.5</v>
      </c>
    </row>
    <row r="2206">
      <c r="A2206" t="inlineStr">
        <is>
          <t>2026-09-24 19:00:28</t>
        </is>
      </c>
      <c r="B2206" t="inlineStr">
        <is>
          <t>MLLB_000_y1.0.3</t>
        </is>
      </c>
      <c r="C2206" t="inlineStr">
        <is>
          <t>WHITE</t>
        </is>
      </c>
      <c r="D2206" t="inlineStr">
        <is>
          <t>v4_white_MLLB_000_y103_0924</t>
        </is>
      </c>
      <c r="E2206" t="n">
        <v>2.8</v>
      </c>
      <c r="F2206" t="n">
        <v>2.808</v>
      </c>
      <c r="G2206" t="n">
        <v>15</v>
      </c>
      <c r="H2206" t="n">
        <v>60</v>
      </c>
      <c r="I2206" t="n">
        <v>44</v>
      </c>
      <c r="J2206" t="inlineStr">
        <is>
          <t>kaba</t>
        </is>
      </c>
      <c r="K2206" t="b">
        <v>1</v>
      </c>
      <c r="M2206" t="n">
        <v>64</v>
      </c>
      <c r="N2206" t="n">
        <v>30</v>
      </c>
      <c r="O2206" t="n">
        <v>44</v>
      </c>
      <c r="P2206" t="n">
        <v>938</v>
      </c>
      <c r="Q2206" t="n">
        <v>1002</v>
      </c>
      <c r="R2206" t="n">
        <v>1.081</v>
      </c>
      <c r="S2206" t="n">
        <v>33.56</v>
      </c>
      <c r="T2206" t="n">
        <v>31.039</v>
      </c>
      <c r="U2206" t="n">
        <v>0.7774</v>
      </c>
      <c r="V2206" t="b">
        <v>1</v>
      </c>
      <c r="X2206" t="b">
        <v>1</v>
      </c>
      <c r="Z2206" t="n">
        <v>935</v>
      </c>
      <c r="AA2206" t="n">
        <v>2.5</v>
      </c>
      <c r="AB2206" t="n">
        <v>9.5</v>
      </c>
    </row>
    <row r="2207">
      <c r="A2207" t="inlineStr">
        <is>
          <t>2026-09-24 19:00:44</t>
        </is>
      </c>
      <c r="B2207" t="inlineStr">
        <is>
          <t>MLLB_000_y1.0.3</t>
        </is>
      </c>
      <c r="C2207" t="inlineStr">
        <is>
          <t>WHITE</t>
        </is>
      </c>
      <c r="D2207" t="inlineStr">
        <is>
          <t>v4_white_MLLB_000_y103_0924</t>
        </is>
      </c>
      <c r="E2207" t="n">
        <v>2.8</v>
      </c>
      <c r="F2207" t="n">
        <v>2.808</v>
      </c>
      <c r="G2207" t="n">
        <v>15</v>
      </c>
      <c r="H2207" t="n">
        <v>60</v>
      </c>
      <c r="I2207" t="n">
        <v>48</v>
      </c>
      <c r="J2207" t="inlineStr">
        <is>
          <t>kaba</t>
        </is>
      </c>
      <c r="K2207" t="b">
        <v>1</v>
      </c>
      <c r="M2207" t="n">
        <v>54</v>
      </c>
      <c r="N2207" t="n">
        <v>28</v>
      </c>
      <c r="O2207" t="n">
        <v>34</v>
      </c>
      <c r="P2207" t="n">
        <v>948</v>
      </c>
      <c r="Q2207" t="n">
        <v>1002</v>
      </c>
      <c r="R2207" t="n">
        <v>1.08</v>
      </c>
      <c r="S2207" t="n">
        <v>33.558</v>
      </c>
      <c r="T2207" t="n">
        <v>31.079</v>
      </c>
      <c r="U2207" t="n">
        <v>0.7781</v>
      </c>
      <c r="V2207" t="b">
        <v>1</v>
      </c>
      <c r="X2207" t="b">
        <v>1</v>
      </c>
      <c r="Z2207" t="n">
        <v>935</v>
      </c>
      <c r="AA2207" t="n">
        <v>2.5</v>
      </c>
      <c r="AB2207" t="n">
        <v>9.5</v>
      </c>
    </row>
    <row r="2208">
      <c r="A2208" t="inlineStr">
        <is>
          <t>2026-09-24 19:01:00</t>
        </is>
      </c>
      <c r="B2208" t="inlineStr">
        <is>
          <t>MLLB_000_y1.0.3</t>
        </is>
      </c>
      <c r="C2208" t="inlineStr">
        <is>
          <t>WHITE</t>
        </is>
      </c>
      <c r="D2208" t="inlineStr">
        <is>
          <t>v4_white_MLLB_000_y103_0924</t>
        </is>
      </c>
      <c r="E2208" t="n">
        <v>2.8</v>
      </c>
      <c r="F2208" t="n">
        <v>2.808</v>
      </c>
      <c r="G2208" t="n">
        <v>15</v>
      </c>
      <c r="H2208" t="n">
        <v>60</v>
      </c>
      <c r="I2208" t="n">
        <v>52</v>
      </c>
      <c r="J2208" t="inlineStr">
        <is>
          <t>kaba</t>
        </is>
      </c>
      <c r="K2208" t="b">
        <v>1</v>
      </c>
      <c r="M2208" t="n">
        <v>54</v>
      </c>
      <c r="N2208" t="n">
        <v>28</v>
      </c>
      <c r="O2208" t="n">
        <v>34</v>
      </c>
      <c r="P2208" t="n">
        <v>948</v>
      </c>
      <c r="Q2208" t="n">
        <v>1002</v>
      </c>
      <c r="R2208" t="n">
        <v>3.194</v>
      </c>
      <c r="S2208" t="n">
        <v>99.179</v>
      </c>
      <c r="T2208" t="n">
        <v>31.053</v>
      </c>
      <c r="U2208" t="n">
        <v>0.7782</v>
      </c>
      <c r="V2208" t="b">
        <v>1</v>
      </c>
      <c r="X2208" t="b">
        <v>0</v>
      </c>
      <c r="Y2208" t="inlineStr">
        <is>
          <t>FLAS</t>
        </is>
      </c>
      <c r="Z2208" t="n">
        <v>935</v>
      </c>
      <c r="AA2208" t="n">
        <v>2.5</v>
      </c>
      <c r="AB2208" t="n">
        <v>9.5</v>
      </c>
    </row>
    <row r="2209">
      <c r="A2209" t="inlineStr">
        <is>
          <t>2026-09-24 19:01:16</t>
        </is>
      </c>
      <c r="B2209" t="inlineStr">
        <is>
          <t>MLLB_000_y1.0.3</t>
        </is>
      </c>
      <c r="C2209" t="inlineStr">
        <is>
          <t>WHITE</t>
        </is>
      </c>
      <c r="D2209" t="inlineStr">
        <is>
          <t>v4_white_MLLB_000_y103_0924</t>
        </is>
      </c>
      <c r="E2209" t="n">
        <v>2.8</v>
      </c>
      <c r="F2209" t="n">
        <v>2.808</v>
      </c>
      <c r="G2209" t="n">
        <v>15</v>
      </c>
      <c r="H2209" t="n">
        <v>60</v>
      </c>
      <c r="I2209" t="n">
        <v>56</v>
      </c>
      <c r="J2209" t="inlineStr">
        <is>
          <t>kaba</t>
        </is>
      </c>
      <c r="K2209" t="b">
        <v>1</v>
      </c>
      <c r="M2209" t="n">
        <v>54</v>
      </c>
      <c r="N2209" t="n">
        <v>28</v>
      </c>
      <c r="O2209" t="n">
        <v>34</v>
      </c>
      <c r="P2209" t="n">
        <v>948</v>
      </c>
      <c r="Q2209" t="n">
        <v>1002</v>
      </c>
      <c r="R2209" t="n">
        <v>3.749</v>
      </c>
      <c r="S2209" t="n">
        <v>116.508</v>
      </c>
      <c r="T2209" t="n">
        <v>31.074</v>
      </c>
      <c r="U2209" t="n">
        <v>0.778</v>
      </c>
      <c r="V2209" t="b">
        <v>1</v>
      </c>
      <c r="X2209" t="b">
        <v>0</v>
      </c>
      <c r="Y2209" t="inlineStr">
        <is>
          <t>FLAS</t>
        </is>
      </c>
      <c r="Z2209" t="n">
        <v>935</v>
      </c>
      <c r="AA2209" t="n">
        <v>2.5</v>
      </c>
      <c r="AB2209" t="n">
        <v>9.5</v>
      </c>
    </row>
    <row r="2210">
      <c r="A2210" t="inlineStr">
        <is>
          <t>2026-09-24 19:01:32</t>
        </is>
      </c>
      <c r="B2210" t="inlineStr">
        <is>
          <t>MLLB_000_y1.0.3</t>
        </is>
      </c>
      <c r="C2210" t="inlineStr">
        <is>
          <t>WHITE</t>
        </is>
      </c>
      <c r="D2210" t="inlineStr">
        <is>
          <t>v4_white_MLLB_000_y103_0924</t>
        </is>
      </c>
      <c r="E2210" t="n">
        <v>2.8</v>
      </c>
      <c r="F2210" t="n">
        <v>2.808</v>
      </c>
      <c r="G2210" t="n">
        <v>15</v>
      </c>
      <c r="H2210" t="n">
        <v>60</v>
      </c>
      <c r="I2210" t="n">
        <v>41</v>
      </c>
      <c r="J2210" t="inlineStr">
        <is>
          <t>ince</t>
        </is>
      </c>
      <c r="K2210" t="b">
        <v>1</v>
      </c>
      <c r="M2210" t="n">
        <v>74</v>
      </c>
      <c r="N2210" t="n">
        <v>28</v>
      </c>
      <c r="O2210" t="n">
        <v>54</v>
      </c>
      <c r="P2210" t="n">
        <v>928</v>
      </c>
      <c r="Q2210" t="n">
        <v>1002</v>
      </c>
      <c r="R2210" t="n">
        <v>1.079</v>
      </c>
      <c r="S2210" t="n">
        <v>33.507</v>
      </c>
      <c r="T2210" t="n">
        <v>31.042</v>
      </c>
      <c r="U2210" t="n">
        <v>0.778</v>
      </c>
      <c r="V2210" t="b">
        <v>1</v>
      </c>
      <c r="X2210" t="b">
        <v>0</v>
      </c>
      <c r="Y2210" t="inlineStr">
        <is>
          <t>ON</t>
        </is>
      </c>
      <c r="Z2210" t="n">
        <v>935</v>
      </c>
      <c r="AA2210" t="n">
        <v>2.5</v>
      </c>
      <c r="AB2210" t="n">
        <v>9.5</v>
      </c>
    </row>
    <row r="2211">
      <c r="A2211" t="inlineStr">
        <is>
          <t>2026-09-24 19:01:48</t>
        </is>
      </c>
      <c r="B2211" t="inlineStr">
        <is>
          <t>MLLB_000_y1.0.3</t>
        </is>
      </c>
      <c r="C2211" t="inlineStr">
        <is>
          <t>WHITE</t>
        </is>
      </c>
      <c r="D2211" t="inlineStr">
        <is>
          <t>v4_white_MLLB_000_y103_0924</t>
        </is>
      </c>
      <c r="E2211" t="n">
        <v>2.8</v>
      </c>
      <c r="F2211" t="n">
        <v>2.808</v>
      </c>
      <c r="G2211" t="n">
        <v>15</v>
      </c>
      <c r="H2211" t="n">
        <v>60</v>
      </c>
      <c r="I2211" t="n">
        <v>42</v>
      </c>
      <c r="J2211" t="inlineStr">
        <is>
          <t>ince</t>
        </is>
      </c>
      <c r="K2211" t="b">
        <v>1</v>
      </c>
      <c r="M2211" t="n">
        <v>70</v>
      </c>
      <c r="N2211" t="n">
        <v>32</v>
      </c>
      <c r="O2211" t="n">
        <v>50</v>
      </c>
      <c r="P2211" t="n">
        <v>932</v>
      </c>
      <c r="Q2211" t="n">
        <v>1002</v>
      </c>
      <c r="R2211" t="n">
        <v>1.083</v>
      </c>
      <c r="S2211" t="n">
        <v>33.641</v>
      </c>
      <c r="T2211" t="n">
        <v>31.059</v>
      </c>
      <c r="U2211" t="n">
        <v>0.7779</v>
      </c>
      <c r="V2211" t="b">
        <v>1</v>
      </c>
      <c r="X2211" t="b">
        <v>0</v>
      </c>
      <c r="Y2211" t="inlineStr">
        <is>
          <t>ON</t>
        </is>
      </c>
      <c r="Z2211" t="n">
        <v>935</v>
      </c>
      <c r="AA2211" t="n">
        <v>2.5</v>
      </c>
      <c r="AB2211" t="n">
        <v>9.5</v>
      </c>
    </row>
    <row r="2212">
      <c r="A2212" t="inlineStr">
        <is>
          <t>2026-09-24 19:02:04</t>
        </is>
      </c>
      <c r="B2212" t="inlineStr">
        <is>
          <t>MLLB_000_y1.0.3</t>
        </is>
      </c>
      <c r="C2212" t="inlineStr">
        <is>
          <t>WHITE</t>
        </is>
      </c>
      <c r="D2212" t="inlineStr">
        <is>
          <t>v4_white_MLLB_000_y103_0924</t>
        </is>
      </c>
      <c r="E2212" t="n">
        <v>2.8</v>
      </c>
      <c r="F2212" t="n">
        <v>2.808</v>
      </c>
      <c r="G2212" t="n">
        <v>15</v>
      </c>
      <c r="H2212" t="n">
        <v>60</v>
      </c>
      <c r="I2212" t="n">
        <v>43</v>
      </c>
      <c r="J2212" t="inlineStr">
        <is>
          <t>ince</t>
        </is>
      </c>
      <c r="K2212" t="b">
        <v>1</v>
      </c>
      <c r="M2212" t="n">
        <v>68</v>
      </c>
      <c r="N2212" t="n">
        <v>32</v>
      </c>
      <c r="O2212" t="n">
        <v>46</v>
      </c>
      <c r="P2212" t="n">
        <v>934</v>
      </c>
      <c r="Q2212" t="n">
        <v>1002</v>
      </c>
      <c r="R2212" t="n">
        <v>1.078</v>
      </c>
      <c r="S2212" t="n">
        <v>33.48</v>
      </c>
      <c r="T2212" t="n">
        <v>31.05</v>
      </c>
      <c r="U2212" t="n">
        <v>0.7778</v>
      </c>
      <c r="V2212" t="b">
        <v>1</v>
      </c>
      <c r="X2212" t="b">
        <v>0</v>
      </c>
      <c r="Y2212" t="inlineStr">
        <is>
          <t>ON</t>
        </is>
      </c>
      <c r="Z2212" t="n">
        <v>935</v>
      </c>
      <c r="AA2212" t="n">
        <v>2.5</v>
      </c>
      <c r="AB2212" t="n">
        <v>9.5</v>
      </c>
    </row>
    <row r="2213">
      <c r="A2213" t="inlineStr">
        <is>
          <t>2026-09-24 19:02:04</t>
        </is>
      </c>
      <c r="B2213" t="inlineStr">
        <is>
          <t>MLLB_000_y1.0.3</t>
        </is>
      </c>
      <c r="C2213" t="inlineStr">
        <is>
          <t>WHITE</t>
        </is>
      </c>
      <c r="D2213" t="inlineStr">
        <is>
          <t>v4_white_MLLB_000_y103_0924</t>
        </is>
      </c>
      <c r="E2213" t="n">
        <v>2.8</v>
      </c>
      <c r="F2213" t="n">
        <v>2.808</v>
      </c>
      <c r="G2213" t="n">
        <v>15</v>
      </c>
      <c r="H2213" t="n">
        <v>60</v>
      </c>
      <c r="I2213" t="n">
        <v>45</v>
      </c>
      <c r="J2213" t="inlineStr">
        <is>
          <t>ince</t>
        </is>
      </c>
      <c r="K2213" t="b">
        <v>0</v>
      </c>
      <c r="L2213" t="inlineStr">
        <is>
          <t>iki-OK-arasi-monotonluk</t>
        </is>
      </c>
      <c r="X2213" t="b">
        <v>1</v>
      </c>
      <c r="Z2213" t="n">
        <v>935</v>
      </c>
      <c r="AA2213" t="n">
        <v>2.5</v>
      </c>
      <c r="AB2213" t="n">
        <v>9.5</v>
      </c>
    </row>
    <row r="2214">
      <c r="A2214" t="inlineStr">
        <is>
          <t>2026-09-24 19:02:04</t>
        </is>
      </c>
      <c r="B2214" t="inlineStr">
        <is>
          <t>MLLB_000_y1.0.3</t>
        </is>
      </c>
      <c r="C2214" t="inlineStr">
        <is>
          <t>WHITE</t>
        </is>
      </c>
      <c r="D2214" t="inlineStr">
        <is>
          <t>v4_white_MLLB_000_y103_0924</t>
        </is>
      </c>
      <c r="E2214" t="n">
        <v>2.8</v>
      </c>
      <c r="F2214" t="n">
        <v>2.808</v>
      </c>
      <c r="G2214" t="n">
        <v>15</v>
      </c>
      <c r="H2214" t="n">
        <v>60</v>
      </c>
      <c r="I2214" t="n">
        <v>46</v>
      </c>
      <c r="J2214" t="inlineStr">
        <is>
          <t>ince</t>
        </is>
      </c>
      <c r="K2214" t="b">
        <v>0</v>
      </c>
      <c r="L2214" t="inlineStr">
        <is>
          <t>iki-OK-arasi-monotonluk</t>
        </is>
      </c>
      <c r="X2214" t="b">
        <v>1</v>
      </c>
      <c r="Z2214" t="n">
        <v>935</v>
      </c>
      <c r="AA2214" t="n">
        <v>2.5</v>
      </c>
      <c r="AB2214" t="n">
        <v>9.5</v>
      </c>
    </row>
    <row r="2215">
      <c r="A2215" t="inlineStr">
        <is>
          <t>2026-09-24 19:02:04</t>
        </is>
      </c>
      <c r="B2215" t="inlineStr">
        <is>
          <t>MLLB_000_y1.0.3</t>
        </is>
      </c>
      <c r="C2215" t="inlineStr">
        <is>
          <t>WHITE</t>
        </is>
      </c>
      <c r="D2215" t="inlineStr">
        <is>
          <t>v4_white_MLLB_000_y103_0924</t>
        </is>
      </c>
      <c r="E2215" t="n">
        <v>2.8</v>
      </c>
      <c r="F2215" t="n">
        <v>2.808</v>
      </c>
      <c r="G2215" t="n">
        <v>15</v>
      </c>
      <c r="H2215" t="n">
        <v>60</v>
      </c>
      <c r="I2215" t="n">
        <v>47</v>
      </c>
      <c r="J2215" t="inlineStr">
        <is>
          <t>ince</t>
        </is>
      </c>
      <c r="K2215" t="b">
        <v>0</v>
      </c>
      <c r="L2215" t="inlineStr">
        <is>
          <t>iki-OK-arasi-monotonluk</t>
        </is>
      </c>
      <c r="X2215" t="b">
        <v>1</v>
      </c>
      <c r="Z2215" t="n">
        <v>935</v>
      </c>
      <c r="AA2215" t="n">
        <v>2.5</v>
      </c>
      <c r="AB2215" t="n">
        <v>9.5</v>
      </c>
    </row>
    <row r="2216">
      <c r="A2216" t="inlineStr">
        <is>
          <t>2026-09-24 19:02:20</t>
        </is>
      </c>
      <c r="B2216" t="inlineStr">
        <is>
          <t>MLLB_000_y1.0.3</t>
        </is>
      </c>
      <c r="C2216" t="inlineStr">
        <is>
          <t>WHITE</t>
        </is>
      </c>
      <c r="D2216" t="inlineStr">
        <is>
          <t>v4_white_MLLB_000_y103_0924</t>
        </is>
      </c>
      <c r="E2216" t="n">
        <v>2.8</v>
      </c>
      <c r="F2216" t="n">
        <v>2.808</v>
      </c>
      <c r="G2216" t="n">
        <v>15</v>
      </c>
      <c r="H2216" t="n">
        <v>60</v>
      </c>
      <c r="I2216" t="n">
        <v>49</v>
      </c>
      <c r="J2216" t="inlineStr">
        <is>
          <t>ince</t>
        </is>
      </c>
      <c r="K2216" t="b">
        <v>1</v>
      </c>
      <c r="M2216" t="n">
        <v>54</v>
      </c>
      <c r="N2216" t="n">
        <v>28</v>
      </c>
      <c r="O2216" t="n">
        <v>34</v>
      </c>
      <c r="P2216" t="n">
        <v>948</v>
      </c>
      <c r="Q2216" t="n">
        <v>1002</v>
      </c>
      <c r="R2216" t="n">
        <v>1.42</v>
      </c>
      <c r="S2216" t="n">
        <v>44.127</v>
      </c>
      <c r="T2216" t="n">
        <v>31.078</v>
      </c>
      <c r="U2216" t="n">
        <v>0.7776999999999999</v>
      </c>
      <c r="V2216" t="b">
        <v>1</v>
      </c>
      <c r="X2216" t="b">
        <v>1</v>
      </c>
      <c r="Z2216" t="n">
        <v>935</v>
      </c>
      <c r="AA2216" t="n">
        <v>2.5</v>
      </c>
      <c r="AB2216" t="n">
        <v>9.5</v>
      </c>
    </row>
    <row r="2217">
      <c r="A2217" t="inlineStr">
        <is>
          <t>2026-09-24 19:02:36</t>
        </is>
      </c>
      <c r="B2217" t="inlineStr">
        <is>
          <t>MLLB_000_y1.0.3</t>
        </is>
      </c>
      <c r="C2217" t="inlineStr">
        <is>
          <t>WHITE</t>
        </is>
      </c>
      <c r="D2217" t="inlineStr">
        <is>
          <t>v4_white_MLLB_000_y103_0924</t>
        </is>
      </c>
      <c r="E2217" t="n">
        <v>2.8</v>
      </c>
      <c r="F2217" t="n">
        <v>2.808</v>
      </c>
      <c r="G2217" t="n">
        <v>15</v>
      </c>
      <c r="H2217" t="n">
        <v>60</v>
      </c>
      <c r="I2217" t="n">
        <v>50</v>
      </c>
      <c r="J2217" t="inlineStr">
        <is>
          <t>ince</t>
        </is>
      </c>
      <c r="K2217" t="b">
        <v>1</v>
      </c>
      <c r="M2217" t="n">
        <v>54</v>
      </c>
      <c r="N2217" t="n">
        <v>28</v>
      </c>
      <c r="O2217" t="n">
        <v>34</v>
      </c>
      <c r="P2217" t="n">
        <v>948</v>
      </c>
      <c r="Q2217" t="n">
        <v>1002</v>
      </c>
      <c r="R2217" t="n">
        <v>2.492</v>
      </c>
      <c r="S2217" t="n">
        <v>77.40300000000001</v>
      </c>
      <c r="T2217" t="n">
        <v>31.063</v>
      </c>
      <c r="U2217" t="n">
        <v>0.7778</v>
      </c>
      <c r="V2217" t="b">
        <v>1</v>
      </c>
      <c r="X2217" t="b">
        <v>1</v>
      </c>
      <c r="Z2217" t="n">
        <v>935</v>
      </c>
      <c r="AA2217" t="n">
        <v>2.5</v>
      </c>
      <c r="AB2217" t="n">
        <v>9.5</v>
      </c>
    </row>
    <row r="2218">
      <c r="A2218" t="inlineStr">
        <is>
          <t>2026-09-24 19:02:52</t>
        </is>
      </c>
      <c r="B2218" t="inlineStr">
        <is>
          <t>MLLB_000_y1.0.3</t>
        </is>
      </c>
      <c r="C2218" t="inlineStr">
        <is>
          <t>WHITE</t>
        </is>
      </c>
      <c r="D2218" t="inlineStr">
        <is>
          <t>v4_white_MLLB_000_y103_0924</t>
        </is>
      </c>
      <c r="E2218" t="n">
        <v>2.8</v>
      </c>
      <c r="F2218" t="n">
        <v>2.808</v>
      </c>
      <c r="G2218" t="n">
        <v>15</v>
      </c>
      <c r="H2218" t="n">
        <v>60</v>
      </c>
      <c r="I2218" t="n">
        <v>51</v>
      </c>
      <c r="J2218" t="inlineStr">
        <is>
          <t>ince</t>
        </is>
      </c>
      <c r="K2218" t="b">
        <v>1</v>
      </c>
      <c r="M2218" t="n">
        <v>54</v>
      </c>
      <c r="N2218" t="n">
        <v>28</v>
      </c>
      <c r="O2218" t="n">
        <v>34</v>
      </c>
      <c r="P2218" t="n">
        <v>948</v>
      </c>
      <c r="Q2218" t="n">
        <v>1002</v>
      </c>
      <c r="R2218" t="n">
        <v>2.972</v>
      </c>
      <c r="S2218" t="n">
        <v>92.41200000000001</v>
      </c>
      <c r="T2218" t="n">
        <v>31.095</v>
      </c>
      <c r="U2218" t="n">
        <v>0.7784</v>
      </c>
      <c r="V2218" t="b">
        <v>1</v>
      </c>
      <c r="X2218" t="b">
        <v>0</v>
      </c>
      <c r="Y2218" t="inlineStr">
        <is>
          <t>FLAS</t>
        </is>
      </c>
      <c r="Z2218" t="n">
        <v>935</v>
      </c>
      <c r="AA2218" t="n">
        <v>2.5</v>
      </c>
      <c r="AB2218" t="n">
        <v>9.5</v>
      </c>
    </row>
    <row r="2219">
      <c r="A2219" t="inlineStr">
        <is>
          <t>2026-09-24 19:02:52</t>
        </is>
      </c>
      <c r="B2219" t="inlineStr">
        <is>
          <t>MLLB_000_y1.0.3</t>
        </is>
      </c>
      <c r="C2219" t="inlineStr">
        <is>
          <t>WHITE</t>
        </is>
      </c>
      <c r="D2219" t="inlineStr">
        <is>
          <t>v4_white_MLLB_000_y103_0924</t>
        </is>
      </c>
      <c r="E2219" t="n">
        <v>2.8</v>
      </c>
      <c r="F2219" t="n">
        <v>2.808</v>
      </c>
      <c r="G2219" t="n">
        <v>15</v>
      </c>
      <c r="H2219" t="n">
        <v>60</v>
      </c>
      <c r="J2219" t="inlineStr">
        <is>
          <t>bitti</t>
        </is>
      </c>
      <c r="K2219" t="b">
        <v>0</v>
      </c>
      <c r="Z2219" t="n">
        <v>935</v>
      </c>
      <c r="AA2219" t="n">
        <v>2.5</v>
      </c>
      <c r="AB2219" t="n">
        <v>9.5</v>
      </c>
    </row>
    <row r="2220">
      <c r="A2220" t="inlineStr">
        <is>
          <t>2026-09-24 19:03:14</t>
        </is>
      </c>
      <c r="B2220" t="inlineStr">
        <is>
          <t>MLLB_000_y1.0.3</t>
        </is>
      </c>
      <c r="C2220" t="inlineStr">
        <is>
          <t>WHITE</t>
        </is>
      </c>
      <c r="D2220" t="inlineStr">
        <is>
          <t>v4_white_MLLB_000_y103_0924</t>
        </is>
      </c>
      <c r="E2220" t="n">
        <v>2.8</v>
      </c>
      <c r="F2220" t="n">
        <v>2.808</v>
      </c>
      <c r="G2220" t="n">
        <v>100</v>
      </c>
      <c r="H2220" t="n">
        <v>100</v>
      </c>
      <c r="I2220" t="n">
        <v>12</v>
      </c>
      <c r="J2220" t="inlineStr">
        <is>
          <t>kaba</t>
        </is>
      </c>
      <c r="K2220" t="b">
        <v>1</v>
      </c>
      <c r="M2220" t="n">
        <v>38</v>
      </c>
      <c r="N2220" t="n">
        <v>28</v>
      </c>
      <c r="O2220" t="n">
        <v>18</v>
      </c>
      <c r="P2220" t="n">
        <v>964</v>
      </c>
      <c r="Q2220" t="n">
        <v>1002</v>
      </c>
      <c r="R2220" t="n">
        <v>1.066</v>
      </c>
      <c r="S2220" t="n">
        <v>240.782</v>
      </c>
      <c r="T2220" t="n">
        <v>225.791</v>
      </c>
      <c r="U2220" t="n">
        <v>0.7785</v>
      </c>
      <c r="V2220" t="b">
        <v>1</v>
      </c>
      <c r="X2220" t="b">
        <v>1</v>
      </c>
      <c r="Z2220" t="n">
        <v>935</v>
      </c>
      <c r="AA2220" t="n">
        <v>2.5</v>
      </c>
      <c r="AB2220" t="n">
        <v>9.5</v>
      </c>
    </row>
    <row r="2221">
      <c r="A2221" t="inlineStr">
        <is>
          <t>2026-09-24 19:03:30</t>
        </is>
      </c>
      <c r="B2221" t="inlineStr">
        <is>
          <t>MLLB_000_y1.0.3</t>
        </is>
      </c>
      <c r="C2221" t="inlineStr">
        <is>
          <t>WHITE</t>
        </is>
      </c>
      <c r="D2221" t="inlineStr">
        <is>
          <t>v4_white_MLLB_000_y103_0924</t>
        </is>
      </c>
      <c r="E2221" t="n">
        <v>2.8</v>
      </c>
      <c r="F2221" t="n">
        <v>2.808</v>
      </c>
      <c r="G2221" t="n">
        <v>100</v>
      </c>
      <c r="H2221" t="n">
        <v>100</v>
      </c>
      <c r="I2221" t="n">
        <v>16</v>
      </c>
      <c r="J2221" t="inlineStr">
        <is>
          <t>kaba</t>
        </is>
      </c>
      <c r="K2221" t="b">
        <v>1</v>
      </c>
      <c r="M2221" t="n">
        <v>38</v>
      </c>
      <c r="N2221" t="n">
        <v>28</v>
      </c>
      <c r="O2221" t="n">
        <v>18</v>
      </c>
      <c r="P2221" t="n">
        <v>964</v>
      </c>
      <c r="Q2221" t="n">
        <v>1002</v>
      </c>
      <c r="R2221" t="n">
        <v>1.067</v>
      </c>
      <c r="S2221" t="n">
        <v>240.782</v>
      </c>
      <c r="T2221" t="n">
        <v>225.762</v>
      </c>
      <c r="U2221" t="n">
        <v>0.7782</v>
      </c>
      <c r="V2221" t="b">
        <v>1</v>
      </c>
      <c r="X2221" t="b">
        <v>1</v>
      </c>
      <c r="Z2221" t="n">
        <v>935</v>
      </c>
      <c r="AA2221" t="n">
        <v>2.5</v>
      </c>
      <c r="AB2221" t="n">
        <v>9.5</v>
      </c>
    </row>
    <row r="2222">
      <c r="A2222" t="inlineStr">
        <is>
          <t>2026-09-24 19:03:46</t>
        </is>
      </c>
      <c r="B2222" t="inlineStr">
        <is>
          <t>MLLB_000_y1.0.3</t>
        </is>
      </c>
      <c r="C2222" t="inlineStr">
        <is>
          <t>WHITE</t>
        </is>
      </c>
      <c r="D2222" t="inlineStr">
        <is>
          <t>v4_white_MLLB_000_y103_0924</t>
        </is>
      </c>
      <c r="E2222" t="n">
        <v>2.8</v>
      </c>
      <c r="F2222" t="n">
        <v>2.808</v>
      </c>
      <c r="G2222" t="n">
        <v>100</v>
      </c>
      <c r="H2222" t="n">
        <v>100</v>
      </c>
      <c r="I2222" t="n">
        <v>20</v>
      </c>
      <c r="J2222" t="inlineStr">
        <is>
          <t>kaba</t>
        </is>
      </c>
      <c r="K2222" t="b">
        <v>1</v>
      </c>
      <c r="M2222" t="n">
        <v>38</v>
      </c>
      <c r="N2222" t="n">
        <v>28</v>
      </c>
      <c r="O2222" t="n">
        <v>18</v>
      </c>
      <c r="P2222" t="n">
        <v>964</v>
      </c>
      <c r="Q2222" t="n">
        <v>1002</v>
      </c>
      <c r="R2222" t="n">
        <v>1.067</v>
      </c>
      <c r="S2222" t="n">
        <v>240.874</v>
      </c>
      <c r="T2222" t="n">
        <v>225.754</v>
      </c>
      <c r="U2222" t="n">
        <v>0.778</v>
      </c>
      <c r="V2222" t="b">
        <v>1</v>
      </c>
      <c r="X2222" t="b">
        <v>1</v>
      </c>
      <c r="Z2222" t="n">
        <v>935</v>
      </c>
      <c r="AA2222" t="n">
        <v>2.5</v>
      </c>
      <c r="AB2222" t="n">
        <v>9.5</v>
      </c>
    </row>
    <row r="2223">
      <c r="A2223" t="inlineStr">
        <is>
          <t>2026-09-24 19:04:02</t>
        </is>
      </c>
      <c r="B2223" t="inlineStr">
        <is>
          <t>MLLB_000_y1.0.3</t>
        </is>
      </c>
      <c r="C2223" t="inlineStr">
        <is>
          <t>WHITE</t>
        </is>
      </c>
      <c r="D2223" t="inlineStr">
        <is>
          <t>v4_white_MLLB_000_y103_0924</t>
        </is>
      </c>
      <c r="E2223" t="n">
        <v>2.8</v>
      </c>
      <c r="F2223" t="n">
        <v>2.808</v>
      </c>
      <c r="G2223" t="n">
        <v>100</v>
      </c>
      <c r="H2223" t="n">
        <v>100</v>
      </c>
      <c r="I2223" t="n">
        <v>24</v>
      </c>
      <c r="J2223" t="inlineStr">
        <is>
          <t>kaba</t>
        </is>
      </c>
      <c r="K2223" t="b">
        <v>1</v>
      </c>
      <c r="M2223" t="n">
        <v>38</v>
      </c>
      <c r="N2223" t="n">
        <v>28</v>
      </c>
      <c r="O2223" t="n">
        <v>18</v>
      </c>
      <c r="P2223" t="n">
        <v>964</v>
      </c>
      <c r="Q2223" t="n">
        <v>1002</v>
      </c>
      <c r="R2223" t="n">
        <v>1.067</v>
      </c>
      <c r="S2223" t="n">
        <v>240.842</v>
      </c>
      <c r="T2223" t="n">
        <v>225.818</v>
      </c>
      <c r="U2223" t="n">
        <v>0.7781</v>
      </c>
      <c r="V2223" t="b">
        <v>1</v>
      </c>
      <c r="X2223" t="b">
        <v>1</v>
      </c>
      <c r="Z2223" t="n">
        <v>935</v>
      </c>
      <c r="AA2223" t="n">
        <v>2.5</v>
      </c>
      <c r="AB2223" t="n">
        <v>9.5</v>
      </c>
    </row>
    <row r="2224">
      <c r="A2224" t="inlineStr">
        <is>
          <t>2026-09-24 19:04:18</t>
        </is>
      </c>
      <c r="B2224" t="inlineStr">
        <is>
          <t>MLLB_000_y1.0.3</t>
        </is>
      </c>
      <c r="C2224" t="inlineStr">
        <is>
          <t>WHITE</t>
        </is>
      </c>
      <c r="D2224" t="inlineStr">
        <is>
          <t>v4_white_MLLB_000_y103_0924</t>
        </is>
      </c>
      <c r="E2224" t="n">
        <v>2.8</v>
      </c>
      <c r="F2224" t="n">
        <v>2.808</v>
      </c>
      <c r="G2224" t="n">
        <v>100</v>
      </c>
      <c r="H2224" t="n">
        <v>100</v>
      </c>
      <c r="I2224" t="n">
        <v>28</v>
      </c>
      <c r="J2224" t="inlineStr">
        <is>
          <t>kaba</t>
        </is>
      </c>
      <c r="K2224" t="b">
        <v>1</v>
      </c>
      <c r="M2224" t="n">
        <v>38</v>
      </c>
      <c r="N2224" t="n">
        <v>28</v>
      </c>
      <c r="O2224" t="n">
        <v>18</v>
      </c>
      <c r="P2224" t="n">
        <v>964</v>
      </c>
      <c r="Q2224" t="n">
        <v>1002</v>
      </c>
      <c r="R2224" t="n">
        <v>1.067</v>
      </c>
      <c r="S2224" t="n">
        <v>240.782</v>
      </c>
      <c r="T2224" t="n">
        <v>225.577</v>
      </c>
      <c r="U2224" t="n">
        <v>0.7783</v>
      </c>
      <c r="V2224" t="b">
        <v>1</v>
      </c>
      <c r="X2224" t="b">
        <v>1</v>
      </c>
      <c r="Z2224" t="n">
        <v>935</v>
      </c>
      <c r="AA2224" t="n">
        <v>2.5</v>
      </c>
      <c r="AB2224" t="n">
        <v>9.5</v>
      </c>
    </row>
    <row r="2225">
      <c r="A2225" t="inlineStr">
        <is>
          <t>2026-09-24 19:04:34</t>
        </is>
      </c>
      <c r="B2225" t="inlineStr">
        <is>
          <t>MLLB_000_y1.0.3</t>
        </is>
      </c>
      <c r="C2225" t="inlineStr">
        <is>
          <t>WHITE</t>
        </is>
      </c>
      <c r="D2225" t="inlineStr">
        <is>
          <t>v4_white_MLLB_000_y103_0924</t>
        </is>
      </c>
      <c r="E2225" t="n">
        <v>2.8</v>
      </c>
      <c r="F2225" t="n">
        <v>2.808</v>
      </c>
      <c r="G2225" t="n">
        <v>100</v>
      </c>
      <c r="H2225" t="n">
        <v>100</v>
      </c>
      <c r="I2225" t="n">
        <v>32</v>
      </c>
      <c r="J2225" t="inlineStr">
        <is>
          <t>kaba</t>
        </is>
      </c>
      <c r="K2225" t="b">
        <v>1</v>
      </c>
      <c r="M2225" t="n">
        <v>38</v>
      </c>
      <c r="N2225" t="n">
        <v>28</v>
      </c>
      <c r="O2225" t="n">
        <v>18</v>
      </c>
      <c r="P2225" t="n">
        <v>964</v>
      </c>
      <c r="Q2225" t="n">
        <v>1002</v>
      </c>
      <c r="R2225" t="n">
        <v>1.067</v>
      </c>
      <c r="S2225" t="n">
        <v>240.782</v>
      </c>
      <c r="T2225" t="n">
        <v>225.585</v>
      </c>
      <c r="U2225" t="n">
        <v>0.778</v>
      </c>
      <c r="V2225" t="b">
        <v>1</v>
      </c>
      <c r="X2225" t="b">
        <v>1</v>
      </c>
      <c r="Z2225" t="n">
        <v>935</v>
      </c>
      <c r="AA2225" t="n">
        <v>2.5</v>
      </c>
      <c r="AB2225" t="n">
        <v>9.5</v>
      </c>
    </row>
    <row r="2226">
      <c r="A2226" t="inlineStr">
        <is>
          <t>2026-09-24 19:04:50</t>
        </is>
      </c>
      <c r="B2226" t="inlineStr">
        <is>
          <t>MLLB_000_y1.0.3</t>
        </is>
      </c>
      <c r="C2226" t="inlineStr">
        <is>
          <t>WHITE</t>
        </is>
      </c>
      <c r="D2226" t="inlineStr">
        <is>
          <t>v4_white_MLLB_000_y103_0924</t>
        </is>
      </c>
      <c r="E2226" t="n">
        <v>2.8</v>
      </c>
      <c r="F2226" t="n">
        <v>2.808</v>
      </c>
      <c r="G2226" t="n">
        <v>100</v>
      </c>
      <c r="H2226" t="n">
        <v>100</v>
      </c>
      <c r="I2226" t="n">
        <v>36</v>
      </c>
      <c r="J2226" t="inlineStr">
        <is>
          <t>kaba</t>
        </is>
      </c>
      <c r="K2226" t="b">
        <v>1</v>
      </c>
      <c r="M2226" t="n">
        <v>38</v>
      </c>
      <c r="N2226" t="n">
        <v>28</v>
      </c>
      <c r="O2226" t="n">
        <v>18</v>
      </c>
      <c r="P2226" t="n">
        <v>964</v>
      </c>
      <c r="Q2226" t="n">
        <v>1002</v>
      </c>
      <c r="R2226" t="n">
        <v>1.067</v>
      </c>
      <c r="S2226" t="n">
        <v>240.782</v>
      </c>
      <c r="T2226" t="n">
        <v>225.616</v>
      </c>
      <c r="U2226" t="n">
        <v>0.7789</v>
      </c>
      <c r="V2226" t="b">
        <v>1</v>
      </c>
      <c r="X2226" t="b">
        <v>1</v>
      </c>
      <c r="Z2226" t="n">
        <v>935</v>
      </c>
      <c r="AA2226" t="n">
        <v>2.5</v>
      </c>
      <c r="AB2226" t="n">
        <v>9.5</v>
      </c>
    </row>
    <row r="2227">
      <c r="A2227" t="inlineStr">
        <is>
          <t>2026-09-24 19:05:06</t>
        </is>
      </c>
      <c r="B2227" t="inlineStr">
        <is>
          <t>MLLB_000_y1.0.3</t>
        </is>
      </c>
      <c r="C2227" t="inlineStr">
        <is>
          <t>WHITE</t>
        </is>
      </c>
      <c r="D2227" t="inlineStr">
        <is>
          <t>v4_white_MLLB_000_y103_0924</t>
        </is>
      </c>
      <c r="E2227" t="n">
        <v>2.8</v>
      </c>
      <c r="F2227" t="n">
        <v>2.808</v>
      </c>
      <c r="G2227" t="n">
        <v>100</v>
      </c>
      <c r="H2227" t="n">
        <v>100</v>
      </c>
      <c r="I2227" t="n">
        <v>40</v>
      </c>
      <c r="J2227" t="inlineStr">
        <is>
          <t>kaba</t>
        </is>
      </c>
      <c r="K2227" t="b">
        <v>1</v>
      </c>
      <c r="M2227" t="n">
        <v>38</v>
      </c>
      <c r="N2227" t="n">
        <v>28</v>
      </c>
      <c r="O2227" t="n">
        <v>18</v>
      </c>
      <c r="P2227" t="n">
        <v>964</v>
      </c>
      <c r="Q2227" t="n">
        <v>1002</v>
      </c>
      <c r="R2227" t="n">
        <v>1.067</v>
      </c>
      <c r="S2227" t="n">
        <v>240.782</v>
      </c>
      <c r="T2227" t="n">
        <v>225.571</v>
      </c>
      <c r="U2227" t="n">
        <v>0.7783</v>
      </c>
      <c r="V2227" t="b">
        <v>1</v>
      </c>
      <c r="X2227" t="b">
        <v>1</v>
      </c>
      <c r="Z2227" t="n">
        <v>935</v>
      </c>
      <c r="AA2227" t="n">
        <v>2.5</v>
      </c>
      <c r="AB2227" t="n">
        <v>9.5</v>
      </c>
    </row>
    <row r="2228">
      <c r="A2228" t="inlineStr">
        <is>
          <t>2026-09-24 19:05:22</t>
        </is>
      </c>
      <c r="B2228" t="inlineStr">
        <is>
          <t>MLLB_000_y1.0.3</t>
        </is>
      </c>
      <c r="C2228" t="inlineStr">
        <is>
          <t>WHITE</t>
        </is>
      </c>
      <c r="D2228" t="inlineStr">
        <is>
          <t>v4_white_MLLB_000_y103_0924</t>
        </is>
      </c>
      <c r="E2228" t="n">
        <v>2.8</v>
      </c>
      <c r="F2228" t="n">
        <v>2.808</v>
      </c>
      <c r="G2228" t="n">
        <v>100</v>
      </c>
      <c r="H2228" t="n">
        <v>100</v>
      </c>
      <c r="I2228" t="n">
        <v>44</v>
      </c>
      <c r="J2228" t="inlineStr">
        <is>
          <t>kaba</t>
        </is>
      </c>
      <c r="K2228" t="b">
        <v>1</v>
      </c>
      <c r="M2228" t="n">
        <v>38</v>
      </c>
      <c r="N2228" t="n">
        <v>28</v>
      </c>
      <c r="O2228" t="n">
        <v>18</v>
      </c>
      <c r="P2228" t="n">
        <v>964</v>
      </c>
      <c r="Q2228" t="n">
        <v>1002</v>
      </c>
      <c r="R2228" t="n">
        <v>1.068</v>
      </c>
      <c r="S2228" t="n">
        <v>240.782</v>
      </c>
      <c r="T2228" t="n">
        <v>225.551</v>
      </c>
      <c r="U2228" t="n">
        <v>0.7786999999999999</v>
      </c>
      <c r="V2228" t="b">
        <v>1</v>
      </c>
      <c r="X2228" t="b">
        <v>1</v>
      </c>
      <c r="Z2228" t="n">
        <v>935</v>
      </c>
      <c r="AA2228" t="n">
        <v>2.5</v>
      </c>
      <c r="AB2228" t="n">
        <v>9.5</v>
      </c>
    </row>
    <row r="2229">
      <c r="A2229" t="inlineStr">
        <is>
          <t>2026-09-24 19:05:38</t>
        </is>
      </c>
      <c r="B2229" t="inlineStr">
        <is>
          <t>MLLB_000_y1.0.3</t>
        </is>
      </c>
      <c r="C2229" t="inlineStr">
        <is>
          <t>WHITE</t>
        </is>
      </c>
      <c r="D2229" t="inlineStr">
        <is>
          <t>v4_white_MLLB_000_y103_0924</t>
        </is>
      </c>
      <c r="E2229" t="n">
        <v>2.8</v>
      </c>
      <c r="F2229" t="n">
        <v>2.808</v>
      </c>
      <c r="G2229" t="n">
        <v>100</v>
      </c>
      <c r="H2229" t="n">
        <v>100</v>
      </c>
      <c r="I2229" t="n">
        <v>48</v>
      </c>
      <c r="J2229" t="inlineStr">
        <is>
          <t>kaba</t>
        </is>
      </c>
      <c r="K2229" t="b">
        <v>1</v>
      </c>
      <c r="M2229" t="n">
        <v>38</v>
      </c>
      <c r="N2229" t="n">
        <v>28</v>
      </c>
      <c r="O2229" t="n">
        <v>18</v>
      </c>
      <c r="P2229" t="n">
        <v>964</v>
      </c>
      <c r="Q2229" t="n">
        <v>1002</v>
      </c>
      <c r="R2229" t="n">
        <v>1.068</v>
      </c>
      <c r="S2229" t="n">
        <v>240.782</v>
      </c>
      <c r="T2229" t="n">
        <v>225.515</v>
      </c>
      <c r="U2229" t="n">
        <v>0.7784</v>
      </c>
      <c r="V2229" t="b">
        <v>1</v>
      </c>
      <c r="X2229" t="b">
        <v>1</v>
      </c>
      <c r="Z2229" t="n">
        <v>935</v>
      </c>
      <c r="AA2229" t="n">
        <v>2.5</v>
      </c>
      <c r="AB2229" t="n">
        <v>9.5</v>
      </c>
    </row>
    <row r="2230">
      <c r="A2230" t="inlineStr">
        <is>
          <t>2026-09-24 19:05:54</t>
        </is>
      </c>
      <c r="B2230" t="inlineStr">
        <is>
          <t>MLLB_000_y1.0.3</t>
        </is>
      </c>
      <c r="C2230" t="inlineStr">
        <is>
          <t>WHITE</t>
        </is>
      </c>
      <c r="D2230" t="inlineStr">
        <is>
          <t>v4_white_MLLB_000_y103_0924</t>
        </is>
      </c>
      <c r="E2230" t="n">
        <v>2.8</v>
      </c>
      <c r="F2230" t="n">
        <v>2.808</v>
      </c>
      <c r="G2230" t="n">
        <v>100</v>
      </c>
      <c r="H2230" t="n">
        <v>100</v>
      </c>
      <c r="I2230" t="n">
        <v>52</v>
      </c>
      <c r="J2230" t="inlineStr">
        <is>
          <t>kaba</t>
        </is>
      </c>
      <c r="K2230" t="b">
        <v>1</v>
      </c>
      <c r="M2230" t="n">
        <v>38</v>
      </c>
      <c r="N2230" t="n">
        <v>28</v>
      </c>
      <c r="O2230" t="n">
        <v>18</v>
      </c>
      <c r="P2230" t="n">
        <v>964</v>
      </c>
      <c r="Q2230" t="n">
        <v>1002</v>
      </c>
      <c r="R2230" t="n">
        <v>1.068</v>
      </c>
      <c r="S2230" t="n">
        <v>240.782</v>
      </c>
      <c r="T2230" t="n">
        <v>225.45</v>
      </c>
      <c r="U2230" t="n">
        <v>0.778</v>
      </c>
      <c r="V2230" t="b">
        <v>1</v>
      </c>
      <c r="X2230" t="b">
        <v>1</v>
      </c>
      <c r="Z2230" t="n">
        <v>935</v>
      </c>
      <c r="AA2230" t="n">
        <v>2.5</v>
      </c>
      <c r="AB2230" t="n">
        <v>9.5</v>
      </c>
    </row>
    <row r="2231">
      <c r="A2231" t="inlineStr">
        <is>
          <t>2026-09-24 19:06:10</t>
        </is>
      </c>
      <c r="B2231" t="inlineStr">
        <is>
          <t>MLLB_000_y1.0.3</t>
        </is>
      </c>
      <c r="C2231" t="inlineStr">
        <is>
          <t>WHITE</t>
        </is>
      </c>
      <c r="D2231" t="inlineStr">
        <is>
          <t>v4_white_MLLB_000_y103_0924</t>
        </is>
      </c>
      <c r="E2231" t="n">
        <v>2.8</v>
      </c>
      <c r="F2231" t="n">
        <v>2.808</v>
      </c>
      <c r="G2231" t="n">
        <v>100</v>
      </c>
      <c r="H2231" t="n">
        <v>100</v>
      </c>
      <c r="I2231" t="n">
        <v>56</v>
      </c>
      <c r="J2231" t="inlineStr">
        <is>
          <t>kaba</t>
        </is>
      </c>
      <c r="K2231" t="b">
        <v>1</v>
      </c>
      <c r="M2231" t="n">
        <v>38</v>
      </c>
      <c r="N2231" t="n">
        <v>28</v>
      </c>
      <c r="O2231" t="n">
        <v>18</v>
      </c>
      <c r="P2231" t="n">
        <v>964</v>
      </c>
      <c r="Q2231" t="n">
        <v>1002</v>
      </c>
      <c r="R2231" t="n">
        <v>1.068</v>
      </c>
      <c r="S2231" t="n">
        <v>240.966</v>
      </c>
      <c r="T2231" t="n">
        <v>225.629</v>
      </c>
      <c r="U2231" t="n">
        <v>0.778</v>
      </c>
      <c r="V2231" t="b">
        <v>1</v>
      </c>
      <c r="X2231" t="b">
        <v>1</v>
      </c>
      <c r="Z2231" t="n">
        <v>935</v>
      </c>
      <c r="AA2231" t="n">
        <v>2.5</v>
      </c>
      <c r="AB2231" t="n">
        <v>9.5</v>
      </c>
    </row>
    <row r="2232">
      <c r="A2232" t="inlineStr">
        <is>
          <t>2026-09-24 19:06:26</t>
        </is>
      </c>
      <c r="B2232" t="inlineStr">
        <is>
          <t>MLLB_000_y1.0.3</t>
        </is>
      </c>
      <c r="C2232" t="inlineStr">
        <is>
          <t>WHITE</t>
        </is>
      </c>
      <c r="D2232" t="inlineStr">
        <is>
          <t>v4_white_MLLB_000_y103_0924</t>
        </is>
      </c>
      <c r="E2232" t="n">
        <v>2.8</v>
      </c>
      <c r="F2232" t="n">
        <v>2.808</v>
      </c>
      <c r="G2232" t="n">
        <v>100</v>
      </c>
      <c r="H2232" t="n">
        <v>100</v>
      </c>
      <c r="I2232" t="n">
        <v>58</v>
      </c>
      <c r="J2232" t="inlineStr">
        <is>
          <t>kaba</t>
        </is>
      </c>
      <c r="K2232" t="b">
        <v>1</v>
      </c>
      <c r="M2232" t="n">
        <v>38</v>
      </c>
      <c r="N2232" t="n">
        <v>28</v>
      </c>
      <c r="O2232" t="n">
        <v>18</v>
      </c>
      <c r="P2232" t="n">
        <v>964</v>
      </c>
      <c r="Q2232" t="n">
        <v>1002</v>
      </c>
      <c r="R2232" t="n">
        <v>1.068</v>
      </c>
      <c r="S2232" t="n">
        <v>240.782</v>
      </c>
      <c r="T2232" t="n">
        <v>225.392</v>
      </c>
      <c r="U2232" t="n">
        <v>0.7776</v>
      </c>
      <c r="V2232" t="b">
        <v>1</v>
      </c>
      <c r="X2232" t="b">
        <v>1</v>
      </c>
      <c r="Z2232" t="n">
        <v>935</v>
      </c>
      <c r="AA2232" t="n">
        <v>2.5</v>
      </c>
      <c r="AB2232" t="n">
        <v>9.5</v>
      </c>
    </row>
    <row r="2233">
      <c r="A2233" t="inlineStr">
        <is>
          <t>2026-09-24 19:06:26</t>
        </is>
      </c>
      <c r="B2233" t="inlineStr">
        <is>
          <t>MLLB_000_y1.0.3</t>
        </is>
      </c>
      <c r="C2233" t="inlineStr">
        <is>
          <t>WHITE</t>
        </is>
      </c>
      <c r="D2233" t="inlineStr">
        <is>
          <t>v4_white_MLLB_000_y103_0924</t>
        </is>
      </c>
      <c r="E2233" t="n">
        <v>2.8</v>
      </c>
      <c r="F2233" t="n">
        <v>2.808</v>
      </c>
      <c r="G2233" t="n">
        <v>100</v>
      </c>
      <c r="H2233" t="n">
        <v>100</v>
      </c>
      <c r="I2233" t="n">
        <v>13</v>
      </c>
      <c r="J2233" t="inlineStr">
        <is>
          <t>ince</t>
        </is>
      </c>
      <c r="K2233" t="b">
        <v>0</v>
      </c>
      <c r="L2233" t="inlineStr">
        <is>
          <t>iki-OK-arasi-monotonluk</t>
        </is>
      </c>
      <c r="X2233" t="b">
        <v>1</v>
      </c>
      <c r="Z2233" t="n">
        <v>935</v>
      </c>
      <c r="AA2233" t="n">
        <v>2.5</v>
      </c>
      <c r="AB2233" t="n">
        <v>9.5</v>
      </c>
    </row>
    <row r="2234">
      <c r="A2234" t="inlineStr">
        <is>
          <t>2026-09-24 19:06:26</t>
        </is>
      </c>
      <c r="B2234" t="inlineStr">
        <is>
          <t>MLLB_000_y1.0.3</t>
        </is>
      </c>
      <c r="C2234" t="inlineStr">
        <is>
          <t>WHITE</t>
        </is>
      </c>
      <c r="D2234" t="inlineStr">
        <is>
          <t>v4_white_MLLB_000_y103_0924</t>
        </is>
      </c>
      <c r="E2234" t="n">
        <v>2.8</v>
      </c>
      <c r="F2234" t="n">
        <v>2.808</v>
      </c>
      <c r="G2234" t="n">
        <v>100</v>
      </c>
      <c r="H2234" t="n">
        <v>100</v>
      </c>
      <c r="I2234" t="n">
        <v>14</v>
      </c>
      <c r="J2234" t="inlineStr">
        <is>
          <t>ince</t>
        </is>
      </c>
      <c r="K2234" t="b">
        <v>0</v>
      </c>
      <c r="L2234" t="inlineStr">
        <is>
          <t>iki-OK-arasi-monotonluk</t>
        </is>
      </c>
      <c r="X2234" t="b">
        <v>1</v>
      </c>
      <c r="Z2234" t="n">
        <v>935</v>
      </c>
      <c r="AA2234" t="n">
        <v>2.5</v>
      </c>
      <c r="AB2234" t="n">
        <v>9.5</v>
      </c>
    </row>
    <row r="2235">
      <c r="A2235" t="inlineStr">
        <is>
          <t>2026-09-24 19:06:26</t>
        </is>
      </c>
      <c r="B2235" t="inlineStr">
        <is>
          <t>MLLB_000_y1.0.3</t>
        </is>
      </c>
      <c r="C2235" t="inlineStr">
        <is>
          <t>WHITE</t>
        </is>
      </c>
      <c r="D2235" t="inlineStr">
        <is>
          <t>v4_white_MLLB_000_y103_0924</t>
        </is>
      </c>
      <c r="E2235" t="n">
        <v>2.8</v>
      </c>
      <c r="F2235" t="n">
        <v>2.808</v>
      </c>
      <c r="G2235" t="n">
        <v>100</v>
      </c>
      <c r="H2235" t="n">
        <v>100</v>
      </c>
      <c r="I2235" t="n">
        <v>15</v>
      </c>
      <c r="J2235" t="inlineStr">
        <is>
          <t>ince</t>
        </is>
      </c>
      <c r="K2235" t="b">
        <v>0</v>
      </c>
      <c r="L2235" t="inlineStr">
        <is>
          <t>iki-OK-arasi-monotonluk</t>
        </is>
      </c>
      <c r="X2235" t="b">
        <v>1</v>
      </c>
      <c r="Z2235" t="n">
        <v>935</v>
      </c>
      <c r="AA2235" t="n">
        <v>2.5</v>
      </c>
      <c r="AB2235" t="n">
        <v>9.5</v>
      </c>
    </row>
    <row r="2236">
      <c r="A2236" t="inlineStr">
        <is>
          <t>2026-09-24 19:06:26</t>
        </is>
      </c>
      <c r="B2236" t="inlineStr">
        <is>
          <t>MLLB_000_y1.0.3</t>
        </is>
      </c>
      <c r="C2236" t="inlineStr">
        <is>
          <t>WHITE</t>
        </is>
      </c>
      <c r="D2236" t="inlineStr">
        <is>
          <t>v4_white_MLLB_000_y103_0924</t>
        </is>
      </c>
      <c r="E2236" t="n">
        <v>2.8</v>
      </c>
      <c r="F2236" t="n">
        <v>2.808</v>
      </c>
      <c r="G2236" t="n">
        <v>100</v>
      </c>
      <c r="H2236" t="n">
        <v>100</v>
      </c>
      <c r="I2236" t="n">
        <v>17</v>
      </c>
      <c r="J2236" t="inlineStr">
        <is>
          <t>ince</t>
        </is>
      </c>
      <c r="K2236" t="b">
        <v>0</v>
      </c>
      <c r="L2236" t="inlineStr">
        <is>
          <t>iki-OK-arasi-monotonluk</t>
        </is>
      </c>
      <c r="X2236" t="b">
        <v>1</v>
      </c>
      <c r="Z2236" t="n">
        <v>935</v>
      </c>
      <c r="AA2236" t="n">
        <v>2.5</v>
      </c>
      <c r="AB2236" t="n">
        <v>9.5</v>
      </c>
    </row>
    <row r="2237">
      <c r="A2237" t="inlineStr">
        <is>
          <t>2026-09-24 19:06:26</t>
        </is>
      </c>
      <c r="B2237" t="inlineStr">
        <is>
          <t>MLLB_000_y1.0.3</t>
        </is>
      </c>
      <c r="C2237" t="inlineStr">
        <is>
          <t>WHITE</t>
        </is>
      </c>
      <c r="D2237" t="inlineStr">
        <is>
          <t>v4_white_MLLB_000_y103_0924</t>
        </is>
      </c>
      <c r="E2237" t="n">
        <v>2.8</v>
      </c>
      <c r="F2237" t="n">
        <v>2.808</v>
      </c>
      <c r="G2237" t="n">
        <v>100</v>
      </c>
      <c r="H2237" t="n">
        <v>100</v>
      </c>
      <c r="I2237" t="n">
        <v>18</v>
      </c>
      <c r="J2237" t="inlineStr">
        <is>
          <t>ince</t>
        </is>
      </c>
      <c r="K2237" t="b">
        <v>0</v>
      </c>
      <c r="L2237" t="inlineStr">
        <is>
          <t>iki-OK-arasi-monotonluk</t>
        </is>
      </c>
      <c r="X2237" t="b">
        <v>1</v>
      </c>
      <c r="Z2237" t="n">
        <v>935</v>
      </c>
      <c r="AA2237" t="n">
        <v>2.5</v>
      </c>
      <c r="AB2237" t="n">
        <v>9.5</v>
      </c>
    </row>
    <row r="2238">
      <c r="A2238" t="inlineStr">
        <is>
          <t>2026-09-24 19:06:26</t>
        </is>
      </c>
      <c r="B2238" t="inlineStr">
        <is>
          <t>MLLB_000_y1.0.3</t>
        </is>
      </c>
      <c r="C2238" t="inlineStr">
        <is>
          <t>WHITE</t>
        </is>
      </c>
      <c r="D2238" t="inlineStr">
        <is>
          <t>v4_white_MLLB_000_y103_0924</t>
        </is>
      </c>
      <c r="E2238" t="n">
        <v>2.8</v>
      </c>
      <c r="F2238" t="n">
        <v>2.808</v>
      </c>
      <c r="G2238" t="n">
        <v>100</v>
      </c>
      <c r="H2238" t="n">
        <v>100</v>
      </c>
      <c r="I2238" t="n">
        <v>19</v>
      </c>
      <c r="J2238" t="inlineStr">
        <is>
          <t>ince</t>
        </is>
      </c>
      <c r="K2238" t="b">
        <v>0</v>
      </c>
      <c r="L2238" t="inlineStr">
        <is>
          <t>iki-OK-arasi-monotonluk</t>
        </is>
      </c>
      <c r="X2238" t="b">
        <v>1</v>
      </c>
      <c r="Z2238" t="n">
        <v>935</v>
      </c>
      <c r="AA2238" t="n">
        <v>2.5</v>
      </c>
      <c r="AB2238" t="n">
        <v>9.5</v>
      </c>
    </row>
    <row r="2239">
      <c r="A2239" t="inlineStr">
        <is>
          <t>2026-09-24 19:06:26</t>
        </is>
      </c>
      <c r="B2239" t="inlineStr">
        <is>
          <t>MLLB_000_y1.0.3</t>
        </is>
      </c>
      <c r="C2239" t="inlineStr">
        <is>
          <t>WHITE</t>
        </is>
      </c>
      <c r="D2239" t="inlineStr">
        <is>
          <t>v4_white_MLLB_000_y103_0924</t>
        </is>
      </c>
      <c r="E2239" t="n">
        <v>2.8</v>
      </c>
      <c r="F2239" t="n">
        <v>2.808</v>
      </c>
      <c r="G2239" t="n">
        <v>100</v>
      </c>
      <c r="H2239" t="n">
        <v>100</v>
      </c>
      <c r="I2239" t="n">
        <v>21</v>
      </c>
      <c r="J2239" t="inlineStr">
        <is>
          <t>ince</t>
        </is>
      </c>
      <c r="K2239" t="b">
        <v>0</v>
      </c>
      <c r="L2239" t="inlineStr">
        <is>
          <t>iki-OK-arasi-monotonluk</t>
        </is>
      </c>
      <c r="X2239" t="b">
        <v>1</v>
      </c>
      <c r="Z2239" t="n">
        <v>935</v>
      </c>
      <c r="AA2239" t="n">
        <v>2.5</v>
      </c>
      <c r="AB2239" t="n">
        <v>9.5</v>
      </c>
    </row>
    <row r="2240">
      <c r="A2240" t="inlineStr">
        <is>
          <t>2026-09-24 19:06:26</t>
        </is>
      </c>
      <c r="B2240" t="inlineStr">
        <is>
          <t>MLLB_000_y1.0.3</t>
        </is>
      </c>
      <c r="C2240" t="inlineStr">
        <is>
          <t>WHITE</t>
        </is>
      </c>
      <c r="D2240" t="inlineStr">
        <is>
          <t>v4_white_MLLB_000_y103_0924</t>
        </is>
      </c>
      <c r="E2240" t="n">
        <v>2.8</v>
      </c>
      <c r="F2240" t="n">
        <v>2.808</v>
      </c>
      <c r="G2240" t="n">
        <v>100</v>
      </c>
      <c r="H2240" t="n">
        <v>100</v>
      </c>
      <c r="I2240" t="n">
        <v>22</v>
      </c>
      <c r="J2240" t="inlineStr">
        <is>
          <t>ince</t>
        </is>
      </c>
      <c r="K2240" t="b">
        <v>0</v>
      </c>
      <c r="L2240" t="inlineStr">
        <is>
          <t>iki-OK-arasi-monotonluk</t>
        </is>
      </c>
      <c r="X2240" t="b">
        <v>1</v>
      </c>
      <c r="Z2240" t="n">
        <v>935</v>
      </c>
      <c r="AA2240" t="n">
        <v>2.5</v>
      </c>
      <c r="AB2240" t="n">
        <v>9.5</v>
      </c>
    </row>
    <row r="2241">
      <c r="A2241" t="inlineStr">
        <is>
          <t>2026-09-24 19:06:26</t>
        </is>
      </c>
      <c r="B2241" t="inlineStr">
        <is>
          <t>MLLB_000_y1.0.3</t>
        </is>
      </c>
      <c r="C2241" t="inlineStr">
        <is>
          <t>WHITE</t>
        </is>
      </c>
      <c r="D2241" t="inlineStr">
        <is>
          <t>v4_white_MLLB_000_y103_0924</t>
        </is>
      </c>
      <c r="E2241" t="n">
        <v>2.8</v>
      </c>
      <c r="F2241" t="n">
        <v>2.808</v>
      </c>
      <c r="G2241" t="n">
        <v>100</v>
      </c>
      <c r="H2241" t="n">
        <v>100</v>
      </c>
      <c r="I2241" t="n">
        <v>23</v>
      </c>
      <c r="J2241" t="inlineStr">
        <is>
          <t>ince</t>
        </is>
      </c>
      <c r="K2241" t="b">
        <v>0</v>
      </c>
      <c r="L2241" t="inlineStr">
        <is>
          <t>iki-OK-arasi-monotonluk</t>
        </is>
      </c>
      <c r="X2241" t="b">
        <v>1</v>
      </c>
      <c r="Z2241" t="n">
        <v>935</v>
      </c>
      <c r="AA2241" t="n">
        <v>2.5</v>
      </c>
      <c r="AB2241" t="n">
        <v>9.5</v>
      </c>
    </row>
    <row r="2242">
      <c r="A2242" t="inlineStr">
        <is>
          <t>2026-09-24 19:06:26</t>
        </is>
      </c>
      <c r="B2242" t="inlineStr">
        <is>
          <t>MLLB_000_y1.0.3</t>
        </is>
      </c>
      <c r="C2242" t="inlineStr">
        <is>
          <t>WHITE</t>
        </is>
      </c>
      <c r="D2242" t="inlineStr">
        <is>
          <t>v4_white_MLLB_000_y103_0924</t>
        </is>
      </c>
      <c r="E2242" t="n">
        <v>2.8</v>
      </c>
      <c r="F2242" t="n">
        <v>2.808</v>
      </c>
      <c r="G2242" t="n">
        <v>100</v>
      </c>
      <c r="H2242" t="n">
        <v>100</v>
      </c>
      <c r="I2242" t="n">
        <v>25</v>
      </c>
      <c r="J2242" t="inlineStr">
        <is>
          <t>ince</t>
        </is>
      </c>
      <c r="K2242" t="b">
        <v>0</v>
      </c>
      <c r="L2242" t="inlineStr">
        <is>
          <t>iki-OK-arasi-monotonluk</t>
        </is>
      </c>
      <c r="X2242" t="b">
        <v>1</v>
      </c>
      <c r="Z2242" t="n">
        <v>935</v>
      </c>
      <c r="AA2242" t="n">
        <v>2.5</v>
      </c>
      <c r="AB2242" t="n">
        <v>9.5</v>
      </c>
    </row>
    <row r="2243">
      <c r="A2243" t="inlineStr">
        <is>
          <t>2026-09-24 19:06:26</t>
        </is>
      </c>
      <c r="B2243" t="inlineStr">
        <is>
          <t>MLLB_000_y1.0.3</t>
        </is>
      </c>
      <c r="C2243" t="inlineStr">
        <is>
          <t>WHITE</t>
        </is>
      </c>
      <c r="D2243" t="inlineStr">
        <is>
          <t>v4_white_MLLB_000_y103_0924</t>
        </is>
      </c>
      <c r="E2243" t="n">
        <v>2.8</v>
      </c>
      <c r="F2243" t="n">
        <v>2.808</v>
      </c>
      <c r="G2243" t="n">
        <v>100</v>
      </c>
      <c r="H2243" t="n">
        <v>100</v>
      </c>
      <c r="I2243" t="n">
        <v>26</v>
      </c>
      <c r="J2243" t="inlineStr">
        <is>
          <t>ince</t>
        </is>
      </c>
      <c r="K2243" t="b">
        <v>0</v>
      </c>
      <c r="L2243" t="inlineStr">
        <is>
          <t>iki-OK-arasi-monotonluk</t>
        </is>
      </c>
      <c r="X2243" t="b">
        <v>1</v>
      </c>
      <c r="Z2243" t="n">
        <v>935</v>
      </c>
      <c r="AA2243" t="n">
        <v>2.5</v>
      </c>
      <c r="AB2243" t="n">
        <v>9.5</v>
      </c>
    </row>
    <row r="2244">
      <c r="A2244" t="inlineStr">
        <is>
          <t>2026-09-24 19:06:26</t>
        </is>
      </c>
      <c r="B2244" t="inlineStr">
        <is>
          <t>MLLB_000_y1.0.3</t>
        </is>
      </c>
      <c r="C2244" t="inlineStr">
        <is>
          <t>WHITE</t>
        </is>
      </c>
      <c r="D2244" t="inlineStr">
        <is>
          <t>v4_white_MLLB_000_y103_0924</t>
        </is>
      </c>
      <c r="E2244" t="n">
        <v>2.8</v>
      </c>
      <c r="F2244" t="n">
        <v>2.808</v>
      </c>
      <c r="G2244" t="n">
        <v>100</v>
      </c>
      <c r="H2244" t="n">
        <v>100</v>
      </c>
      <c r="I2244" t="n">
        <v>27</v>
      </c>
      <c r="J2244" t="inlineStr">
        <is>
          <t>ince</t>
        </is>
      </c>
      <c r="K2244" t="b">
        <v>0</v>
      </c>
      <c r="L2244" t="inlineStr">
        <is>
          <t>iki-OK-arasi-monotonluk</t>
        </is>
      </c>
      <c r="X2244" t="b">
        <v>1</v>
      </c>
      <c r="Z2244" t="n">
        <v>935</v>
      </c>
      <c r="AA2244" t="n">
        <v>2.5</v>
      </c>
      <c r="AB2244" t="n">
        <v>9.5</v>
      </c>
    </row>
    <row r="2245">
      <c r="A2245" t="inlineStr">
        <is>
          <t>2026-09-24 19:06:26</t>
        </is>
      </c>
      <c r="B2245" t="inlineStr">
        <is>
          <t>MLLB_000_y1.0.3</t>
        </is>
      </c>
      <c r="C2245" t="inlineStr">
        <is>
          <t>WHITE</t>
        </is>
      </c>
      <c r="D2245" t="inlineStr">
        <is>
          <t>v4_white_MLLB_000_y103_0924</t>
        </is>
      </c>
      <c r="E2245" t="n">
        <v>2.8</v>
      </c>
      <c r="F2245" t="n">
        <v>2.808</v>
      </c>
      <c r="G2245" t="n">
        <v>100</v>
      </c>
      <c r="H2245" t="n">
        <v>100</v>
      </c>
      <c r="I2245" t="n">
        <v>29</v>
      </c>
      <c r="J2245" t="inlineStr">
        <is>
          <t>ince</t>
        </is>
      </c>
      <c r="K2245" t="b">
        <v>0</v>
      </c>
      <c r="L2245" t="inlineStr">
        <is>
          <t>iki-OK-arasi-monotonluk</t>
        </is>
      </c>
      <c r="X2245" t="b">
        <v>1</v>
      </c>
      <c r="Z2245" t="n">
        <v>935</v>
      </c>
      <c r="AA2245" t="n">
        <v>2.5</v>
      </c>
      <c r="AB2245" t="n">
        <v>9.5</v>
      </c>
    </row>
    <row r="2246">
      <c r="A2246" t="inlineStr">
        <is>
          <t>2026-09-24 19:06:26</t>
        </is>
      </c>
      <c r="B2246" t="inlineStr">
        <is>
          <t>MLLB_000_y1.0.3</t>
        </is>
      </c>
      <c r="C2246" t="inlineStr">
        <is>
          <t>WHITE</t>
        </is>
      </c>
      <c r="D2246" t="inlineStr">
        <is>
          <t>v4_white_MLLB_000_y103_0924</t>
        </is>
      </c>
      <c r="E2246" t="n">
        <v>2.8</v>
      </c>
      <c r="F2246" t="n">
        <v>2.808</v>
      </c>
      <c r="G2246" t="n">
        <v>100</v>
      </c>
      <c r="H2246" t="n">
        <v>100</v>
      </c>
      <c r="I2246" t="n">
        <v>30</v>
      </c>
      <c r="J2246" t="inlineStr">
        <is>
          <t>ince</t>
        </is>
      </c>
      <c r="K2246" t="b">
        <v>0</v>
      </c>
      <c r="L2246" t="inlineStr">
        <is>
          <t>iki-OK-arasi-monotonluk</t>
        </is>
      </c>
      <c r="X2246" t="b">
        <v>1</v>
      </c>
      <c r="Z2246" t="n">
        <v>935</v>
      </c>
      <c r="AA2246" t="n">
        <v>2.5</v>
      </c>
      <c r="AB2246" t="n">
        <v>9.5</v>
      </c>
    </row>
    <row r="2247">
      <c r="A2247" t="inlineStr">
        <is>
          <t>2026-09-24 19:06:26</t>
        </is>
      </c>
      <c r="B2247" t="inlineStr">
        <is>
          <t>MLLB_000_y1.0.3</t>
        </is>
      </c>
      <c r="C2247" t="inlineStr">
        <is>
          <t>WHITE</t>
        </is>
      </c>
      <c r="D2247" t="inlineStr">
        <is>
          <t>v4_white_MLLB_000_y103_0924</t>
        </is>
      </c>
      <c r="E2247" t="n">
        <v>2.8</v>
      </c>
      <c r="F2247" t="n">
        <v>2.808</v>
      </c>
      <c r="G2247" t="n">
        <v>100</v>
      </c>
      <c r="H2247" t="n">
        <v>100</v>
      </c>
      <c r="I2247" t="n">
        <v>31</v>
      </c>
      <c r="J2247" t="inlineStr">
        <is>
          <t>ince</t>
        </is>
      </c>
      <c r="K2247" t="b">
        <v>0</v>
      </c>
      <c r="L2247" t="inlineStr">
        <is>
          <t>iki-OK-arasi-monotonluk</t>
        </is>
      </c>
      <c r="X2247" t="b">
        <v>1</v>
      </c>
      <c r="Z2247" t="n">
        <v>935</v>
      </c>
      <c r="AA2247" t="n">
        <v>2.5</v>
      </c>
      <c r="AB2247" t="n">
        <v>9.5</v>
      </c>
    </row>
    <row r="2248">
      <c r="A2248" t="inlineStr">
        <is>
          <t>2026-09-24 19:06:26</t>
        </is>
      </c>
      <c r="B2248" t="inlineStr">
        <is>
          <t>MLLB_000_y1.0.3</t>
        </is>
      </c>
      <c r="C2248" t="inlineStr">
        <is>
          <t>WHITE</t>
        </is>
      </c>
      <c r="D2248" t="inlineStr">
        <is>
          <t>v4_white_MLLB_000_y103_0924</t>
        </is>
      </c>
      <c r="E2248" t="n">
        <v>2.8</v>
      </c>
      <c r="F2248" t="n">
        <v>2.808</v>
      </c>
      <c r="G2248" t="n">
        <v>100</v>
      </c>
      <c r="H2248" t="n">
        <v>100</v>
      </c>
      <c r="I2248" t="n">
        <v>33</v>
      </c>
      <c r="J2248" t="inlineStr">
        <is>
          <t>ince</t>
        </is>
      </c>
      <c r="K2248" t="b">
        <v>0</v>
      </c>
      <c r="L2248" t="inlineStr">
        <is>
          <t>iki-OK-arasi-monotonluk</t>
        </is>
      </c>
      <c r="X2248" t="b">
        <v>1</v>
      </c>
      <c r="Z2248" t="n">
        <v>935</v>
      </c>
      <c r="AA2248" t="n">
        <v>2.5</v>
      </c>
      <c r="AB2248" t="n">
        <v>9.5</v>
      </c>
    </row>
    <row r="2249">
      <c r="A2249" t="inlineStr">
        <is>
          <t>2026-09-24 19:06:26</t>
        </is>
      </c>
      <c r="B2249" t="inlineStr">
        <is>
          <t>MLLB_000_y1.0.3</t>
        </is>
      </c>
      <c r="C2249" t="inlineStr">
        <is>
          <t>WHITE</t>
        </is>
      </c>
      <c r="D2249" t="inlineStr">
        <is>
          <t>v4_white_MLLB_000_y103_0924</t>
        </is>
      </c>
      <c r="E2249" t="n">
        <v>2.8</v>
      </c>
      <c r="F2249" t="n">
        <v>2.808</v>
      </c>
      <c r="G2249" t="n">
        <v>100</v>
      </c>
      <c r="H2249" t="n">
        <v>100</v>
      </c>
      <c r="I2249" t="n">
        <v>34</v>
      </c>
      <c r="J2249" t="inlineStr">
        <is>
          <t>ince</t>
        </is>
      </c>
      <c r="K2249" t="b">
        <v>0</v>
      </c>
      <c r="L2249" t="inlineStr">
        <is>
          <t>iki-OK-arasi-monotonluk</t>
        </is>
      </c>
      <c r="X2249" t="b">
        <v>1</v>
      </c>
      <c r="Z2249" t="n">
        <v>935</v>
      </c>
      <c r="AA2249" t="n">
        <v>2.5</v>
      </c>
      <c r="AB2249" t="n">
        <v>9.5</v>
      </c>
    </row>
    <row r="2250">
      <c r="A2250" t="inlineStr">
        <is>
          <t>2026-09-24 19:06:26</t>
        </is>
      </c>
      <c r="B2250" t="inlineStr">
        <is>
          <t>MLLB_000_y1.0.3</t>
        </is>
      </c>
      <c r="C2250" t="inlineStr">
        <is>
          <t>WHITE</t>
        </is>
      </c>
      <c r="D2250" t="inlineStr">
        <is>
          <t>v4_white_MLLB_000_y103_0924</t>
        </is>
      </c>
      <c r="E2250" t="n">
        <v>2.8</v>
      </c>
      <c r="F2250" t="n">
        <v>2.808</v>
      </c>
      <c r="G2250" t="n">
        <v>100</v>
      </c>
      <c r="H2250" t="n">
        <v>100</v>
      </c>
      <c r="I2250" t="n">
        <v>35</v>
      </c>
      <c r="J2250" t="inlineStr">
        <is>
          <t>ince</t>
        </is>
      </c>
      <c r="K2250" t="b">
        <v>0</v>
      </c>
      <c r="L2250" t="inlineStr">
        <is>
          <t>iki-OK-arasi-monotonluk</t>
        </is>
      </c>
      <c r="X2250" t="b">
        <v>1</v>
      </c>
      <c r="Z2250" t="n">
        <v>935</v>
      </c>
      <c r="AA2250" t="n">
        <v>2.5</v>
      </c>
      <c r="AB2250" t="n">
        <v>9.5</v>
      </c>
    </row>
    <row r="2251">
      <c r="A2251" t="inlineStr">
        <is>
          <t>2026-09-24 19:06:26</t>
        </is>
      </c>
      <c r="B2251" t="inlineStr">
        <is>
          <t>MLLB_000_y1.0.3</t>
        </is>
      </c>
      <c r="C2251" t="inlineStr">
        <is>
          <t>WHITE</t>
        </is>
      </c>
      <c r="D2251" t="inlineStr">
        <is>
          <t>v4_white_MLLB_000_y103_0924</t>
        </is>
      </c>
      <c r="E2251" t="n">
        <v>2.8</v>
      </c>
      <c r="F2251" t="n">
        <v>2.808</v>
      </c>
      <c r="G2251" t="n">
        <v>100</v>
      </c>
      <c r="H2251" t="n">
        <v>100</v>
      </c>
      <c r="I2251" t="n">
        <v>37</v>
      </c>
      <c r="J2251" t="inlineStr">
        <is>
          <t>ince</t>
        </is>
      </c>
      <c r="K2251" t="b">
        <v>0</v>
      </c>
      <c r="L2251" t="inlineStr">
        <is>
          <t>iki-OK-arasi-monotonluk</t>
        </is>
      </c>
      <c r="X2251" t="b">
        <v>1</v>
      </c>
      <c r="Z2251" t="n">
        <v>935</v>
      </c>
      <c r="AA2251" t="n">
        <v>2.5</v>
      </c>
      <c r="AB2251" t="n">
        <v>9.5</v>
      </c>
    </row>
    <row r="2252">
      <c r="A2252" t="inlineStr">
        <is>
          <t>2026-09-24 19:06:26</t>
        </is>
      </c>
      <c r="B2252" t="inlineStr">
        <is>
          <t>MLLB_000_y1.0.3</t>
        </is>
      </c>
      <c r="C2252" t="inlineStr">
        <is>
          <t>WHITE</t>
        </is>
      </c>
      <c r="D2252" t="inlineStr">
        <is>
          <t>v4_white_MLLB_000_y103_0924</t>
        </is>
      </c>
      <c r="E2252" t="n">
        <v>2.8</v>
      </c>
      <c r="F2252" t="n">
        <v>2.808</v>
      </c>
      <c r="G2252" t="n">
        <v>100</v>
      </c>
      <c r="H2252" t="n">
        <v>100</v>
      </c>
      <c r="I2252" t="n">
        <v>38</v>
      </c>
      <c r="J2252" t="inlineStr">
        <is>
          <t>ince</t>
        </is>
      </c>
      <c r="K2252" t="b">
        <v>0</v>
      </c>
      <c r="L2252" t="inlineStr">
        <is>
          <t>iki-OK-arasi-monotonluk</t>
        </is>
      </c>
      <c r="X2252" t="b">
        <v>1</v>
      </c>
      <c r="Z2252" t="n">
        <v>935</v>
      </c>
      <c r="AA2252" t="n">
        <v>2.5</v>
      </c>
      <c r="AB2252" t="n">
        <v>9.5</v>
      </c>
    </row>
    <row r="2253">
      <c r="A2253" t="inlineStr">
        <is>
          <t>2026-09-24 19:06:26</t>
        </is>
      </c>
      <c r="B2253" t="inlineStr">
        <is>
          <t>MLLB_000_y1.0.3</t>
        </is>
      </c>
      <c r="C2253" t="inlineStr">
        <is>
          <t>WHITE</t>
        </is>
      </c>
      <c r="D2253" t="inlineStr">
        <is>
          <t>v4_white_MLLB_000_y103_0924</t>
        </is>
      </c>
      <c r="E2253" t="n">
        <v>2.8</v>
      </c>
      <c r="F2253" t="n">
        <v>2.808</v>
      </c>
      <c r="G2253" t="n">
        <v>100</v>
      </c>
      <c r="H2253" t="n">
        <v>100</v>
      </c>
      <c r="I2253" t="n">
        <v>39</v>
      </c>
      <c r="J2253" t="inlineStr">
        <is>
          <t>ince</t>
        </is>
      </c>
      <c r="K2253" t="b">
        <v>0</v>
      </c>
      <c r="L2253" t="inlineStr">
        <is>
          <t>iki-OK-arasi-monotonluk</t>
        </is>
      </c>
      <c r="X2253" t="b">
        <v>1</v>
      </c>
      <c r="Z2253" t="n">
        <v>935</v>
      </c>
      <c r="AA2253" t="n">
        <v>2.5</v>
      </c>
      <c r="AB2253" t="n">
        <v>9.5</v>
      </c>
    </row>
    <row r="2254">
      <c r="A2254" t="inlineStr">
        <is>
          <t>2026-09-24 19:06:26</t>
        </is>
      </c>
      <c r="B2254" t="inlineStr">
        <is>
          <t>MLLB_000_y1.0.3</t>
        </is>
      </c>
      <c r="C2254" t="inlineStr">
        <is>
          <t>WHITE</t>
        </is>
      </c>
      <c r="D2254" t="inlineStr">
        <is>
          <t>v4_white_MLLB_000_y103_0924</t>
        </is>
      </c>
      <c r="E2254" t="n">
        <v>2.8</v>
      </c>
      <c r="F2254" t="n">
        <v>2.808</v>
      </c>
      <c r="G2254" t="n">
        <v>100</v>
      </c>
      <c r="H2254" t="n">
        <v>100</v>
      </c>
      <c r="I2254" t="n">
        <v>41</v>
      </c>
      <c r="J2254" t="inlineStr">
        <is>
          <t>ince</t>
        </is>
      </c>
      <c r="K2254" t="b">
        <v>0</v>
      </c>
      <c r="L2254" t="inlineStr">
        <is>
          <t>iki-OK-arasi-monotonluk</t>
        </is>
      </c>
      <c r="X2254" t="b">
        <v>1</v>
      </c>
      <c r="Z2254" t="n">
        <v>935</v>
      </c>
      <c r="AA2254" t="n">
        <v>2.5</v>
      </c>
      <c r="AB2254" t="n">
        <v>9.5</v>
      </c>
    </row>
    <row r="2255">
      <c r="A2255" t="inlineStr">
        <is>
          <t>2026-09-24 19:06:26</t>
        </is>
      </c>
      <c r="B2255" t="inlineStr">
        <is>
          <t>MLLB_000_y1.0.3</t>
        </is>
      </c>
      <c r="C2255" t="inlineStr">
        <is>
          <t>WHITE</t>
        </is>
      </c>
      <c r="D2255" t="inlineStr">
        <is>
          <t>v4_white_MLLB_000_y103_0924</t>
        </is>
      </c>
      <c r="E2255" t="n">
        <v>2.8</v>
      </c>
      <c r="F2255" t="n">
        <v>2.808</v>
      </c>
      <c r="G2255" t="n">
        <v>100</v>
      </c>
      <c r="H2255" t="n">
        <v>100</v>
      </c>
      <c r="I2255" t="n">
        <v>42</v>
      </c>
      <c r="J2255" t="inlineStr">
        <is>
          <t>ince</t>
        </is>
      </c>
      <c r="K2255" t="b">
        <v>0</v>
      </c>
      <c r="L2255" t="inlineStr">
        <is>
          <t>iki-OK-arasi-monotonluk</t>
        </is>
      </c>
      <c r="X2255" t="b">
        <v>1</v>
      </c>
      <c r="Z2255" t="n">
        <v>935</v>
      </c>
      <c r="AA2255" t="n">
        <v>2.5</v>
      </c>
      <c r="AB2255" t="n">
        <v>9.5</v>
      </c>
    </row>
    <row r="2256">
      <c r="A2256" t="inlineStr">
        <is>
          <t>2026-09-24 19:06:26</t>
        </is>
      </c>
      <c r="B2256" t="inlineStr">
        <is>
          <t>MLLB_000_y1.0.3</t>
        </is>
      </c>
      <c r="C2256" t="inlineStr">
        <is>
          <t>WHITE</t>
        </is>
      </c>
      <c r="D2256" t="inlineStr">
        <is>
          <t>v4_white_MLLB_000_y103_0924</t>
        </is>
      </c>
      <c r="E2256" t="n">
        <v>2.8</v>
      </c>
      <c r="F2256" t="n">
        <v>2.808</v>
      </c>
      <c r="G2256" t="n">
        <v>100</v>
      </c>
      <c r="H2256" t="n">
        <v>100</v>
      </c>
      <c r="I2256" t="n">
        <v>43</v>
      </c>
      <c r="J2256" t="inlineStr">
        <is>
          <t>ince</t>
        </is>
      </c>
      <c r="K2256" t="b">
        <v>0</v>
      </c>
      <c r="L2256" t="inlineStr">
        <is>
          <t>iki-OK-arasi-monotonluk</t>
        </is>
      </c>
      <c r="X2256" t="b">
        <v>1</v>
      </c>
      <c r="Z2256" t="n">
        <v>935</v>
      </c>
      <c r="AA2256" t="n">
        <v>2.5</v>
      </c>
      <c r="AB2256" t="n">
        <v>9.5</v>
      </c>
    </row>
    <row r="2257">
      <c r="A2257" t="inlineStr">
        <is>
          <t>2026-09-24 19:06:26</t>
        </is>
      </c>
      <c r="B2257" t="inlineStr">
        <is>
          <t>MLLB_000_y1.0.3</t>
        </is>
      </c>
      <c r="C2257" t="inlineStr">
        <is>
          <t>WHITE</t>
        </is>
      </c>
      <c r="D2257" t="inlineStr">
        <is>
          <t>v4_white_MLLB_000_y103_0924</t>
        </is>
      </c>
      <c r="E2257" t="n">
        <v>2.8</v>
      </c>
      <c r="F2257" t="n">
        <v>2.808</v>
      </c>
      <c r="G2257" t="n">
        <v>100</v>
      </c>
      <c r="H2257" t="n">
        <v>100</v>
      </c>
      <c r="I2257" t="n">
        <v>45</v>
      </c>
      <c r="J2257" t="inlineStr">
        <is>
          <t>ince</t>
        </is>
      </c>
      <c r="K2257" t="b">
        <v>0</v>
      </c>
      <c r="L2257" t="inlineStr">
        <is>
          <t>iki-OK-arasi-monotonluk</t>
        </is>
      </c>
      <c r="X2257" t="b">
        <v>1</v>
      </c>
      <c r="Z2257" t="n">
        <v>935</v>
      </c>
      <c r="AA2257" t="n">
        <v>2.5</v>
      </c>
      <c r="AB2257" t="n">
        <v>9.5</v>
      </c>
    </row>
    <row r="2258">
      <c r="A2258" t="inlineStr">
        <is>
          <t>2026-09-24 19:06:26</t>
        </is>
      </c>
      <c r="B2258" t="inlineStr">
        <is>
          <t>MLLB_000_y1.0.3</t>
        </is>
      </c>
      <c r="C2258" t="inlineStr">
        <is>
          <t>WHITE</t>
        </is>
      </c>
      <c r="D2258" t="inlineStr">
        <is>
          <t>v4_white_MLLB_000_y103_0924</t>
        </is>
      </c>
      <c r="E2258" t="n">
        <v>2.8</v>
      </c>
      <c r="F2258" t="n">
        <v>2.808</v>
      </c>
      <c r="G2258" t="n">
        <v>100</v>
      </c>
      <c r="H2258" t="n">
        <v>100</v>
      </c>
      <c r="I2258" t="n">
        <v>46</v>
      </c>
      <c r="J2258" t="inlineStr">
        <is>
          <t>ince</t>
        </is>
      </c>
      <c r="K2258" t="b">
        <v>0</v>
      </c>
      <c r="L2258" t="inlineStr">
        <is>
          <t>iki-OK-arasi-monotonluk</t>
        </is>
      </c>
      <c r="X2258" t="b">
        <v>1</v>
      </c>
      <c r="Z2258" t="n">
        <v>935</v>
      </c>
      <c r="AA2258" t="n">
        <v>2.5</v>
      </c>
      <c r="AB2258" t="n">
        <v>9.5</v>
      </c>
    </row>
    <row r="2259">
      <c r="A2259" t="inlineStr">
        <is>
          <t>2026-09-24 19:06:26</t>
        </is>
      </c>
      <c r="B2259" t="inlineStr">
        <is>
          <t>MLLB_000_y1.0.3</t>
        </is>
      </c>
      <c r="C2259" t="inlineStr">
        <is>
          <t>WHITE</t>
        </is>
      </c>
      <c r="D2259" t="inlineStr">
        <is>
          <t>v4_white_MLLB_000_y103_0924</t>
        </is>
      </c>
      <c r="E2259" t="n">
        <v>2.8</v>
      </c>
      <c r="F2259" t="n">
        <v>2.808</v>
      </c>
      <c r="G2259" t="n">
        <v>100</v>
      </c>
      <c r="H2259" t="n">
        <v>100</v>
      </c>
      <c r="I2259" t="n">
        <v>47</v>
      </c>
      <c r="J2259" t="inlineStr">
        <is>
          <t>ince</t>
        </is>
      </c>
      <c r="K2259" t="b">
        <v>0</v>
      </c>
      <c r="L2259" t="inlineStr">
        <is>
          <t>iki-OK-arasi-monotonluk</t>
        </is>
      </c>
      <c r="X2259" t="b">
        <v>1</v>
      </c>
      <c r="Z2259" t="n">
        <v>935</v>
      </c>
      <c r="AA2259" t="n">
        <v>2.5</v>
      </c>
      <c r="AB2259" t="n">
        <v>9.5</v>
      </c>
    </row>
    <row r="2260">
      <c r="A2260" t="inlineStr">
        <is>
          <t>2026-09-24 19:06:26</t>
        </is>
      </c>
      <c r="B2260" t="inlineStr">
        <is>
          <t>MLLB_000_y1.0.3</t>
        </is>
      </c>
      <c r="C2260" t="inlineStr">
        <is>
          <t>WHITE</t>
        </is>
      </c>
      <c r="D2260" t="inlineStr">
        <is>
          <t>v4_white_MLLB_000_y103_0924</t>
        </is>
      </c>
      <c r="E2260" t="n">
        <v>2.8</v>
      </c>
      <c r="F2260" t="n">
        <v>2.808</v>
      </c>
      <c r="G2260" t="n">
        <v>100</v>
      </c>
      <c r="H2260" t="n">
        <v>100</v>
      </c>
      <c r="I2260" t="n">
        <v>49</v>
      </c>
      <c r="J2260" t="inlineStr">
        <is>
          <t>ince</t>
        </is>
      </c>
      <c r="K2260" t="b">
        <v>0</v>
      </c>
      <c r="L2260" t="inlineStr">
        <is>
          <t>iki-OK-arasi-monotonluk</t>
        </is>
      </c>
      <c r="X2260" t="b">
        <v>1</v>
      </c>
      <c r="Z2260" t="n">
        <v>935</v>
      </c>
      <c r="AA2260" t="n">
        <v>2.5</v>
      </c>
      <c r="AB2260" t="n">
        <v>9.5</v>
      </c>
    </row>
    <row r="2261">
      <c r="A2261" t="inlineStr">
        <is>
          <t>2026-09-24 19:06:26</t>
        </is>
      </c>
      <c r="B2261" t="inlineStr">
        <is>
          <t>MLLB_000_y1.0.3</t>
        </is>
      </c>
      <c r="C2261" t="inlineStr">
        <is>
          <t>WHITE</t>
        </is>
      </c>
      <c r="D2261" t="inlineStr">
        <is>
          <t>v4_white_MLLB_000_y103_0924</t>
        </is>
      </c>
      <c r="E2261" t="n">
        <v>2.8</v>
      </c>
      <c r="F2261" t="n">
        <v>2.808</v>
      </c>
      <c r="G2261" t="n">
        <v>100</v>
      </c>
      <c r="H2261" t="n">
        <v>100</v>
      </c>
      <c r="I2261" t="n">
        <v>50</v>
      </c>
      <c r="J2261" t="inlineStr">
        <is>
          <t>ince</t>
        </is>
      </c>
      <c r="K2261" t="b">
        <v>0</v>
      </c>
      <c r="L2261" t="inlineStr">
        <is>
          <t>iki-OK-arasi-monotonluk</t>
        </is>
      </c>
      <c r="X2261" t="b">
        <v>1</v>
      </c>
      <c r="Z2261" t="n">
        <v>935</v>
      </c>
      <c r="AA2261" t="n">
        <v>2.5</v>
      </c>
      <c r="AB2261" t="n">
        <v>9.5</v>
      </c>
    </row>
    <row r="2262">
      <c r="A2262" t="inlineStr">
        <is>
          <t>2026-09-24 19:06:26</t>
        </is>
      </c>
      <c r="B2262" t="inlineStr">
        <is>
          <t>MLLB_000_y1.0.3</t>
        </is>
      </c>
      <c r="C2262" t="inlineStr">
        <is>
          <t>WHITE</t>
        </is>
      </c>
      <c r="D2262" t="inlineStr">
        <is>
          <t>v4_white_MLLB_000_y103_0924</t>
        </is>
      </c>
      <c r="E2262" t="n">
        <v>2.8</v>
      </c>
      <c r="F2262" t="n">
        <v>2.808</v>
      </c>
      <c r="G2262" t="n">
        <v>100</v>
      </c>
      <c r="H2262" t="n">
        <v>100</v>
      </c>
      <c r="I2262" t="n">
        <v>51</v>
      </c>
      <c r="J2262" t="inlineStr">
        <is>
          <t>ince</t>
        </is>
      </c>
      <c r="K2262" t="b">
        <v>0</v>
      </c>
      <c r="L2262" t="inlineStr">
        <is>
          <t>iki-OK-arasi-monotonluk</t>
        </is>
      </c>
      <c r="X2262" t="b">
        <v>1</v>
      </c>
      <c r="Z2262" t="n">
        <v>935</v>
      </c>
      <c r="AA2262" t="n">
        <v>2.5</v>
      </c>
      <c r="AB2262" t="n">
        <v>9.5</v>
      </c>
    </row>
    <row r="2263">
      <c r="A2263" t="inlineStr">
        <is>
          <t>2026-09-24 19:06:26</t>
        </is>
      </c>
      <c r="B2263" t="inlineStr">
        <is>
          <t>MLLB_000_y1.0.3</t>
        </is>
      </c>
      <c r="C2263" t="inlineStr">
        <is>
          <t>WHITE</t>
        </is>
      </c>
      <c r="D2263" t="inlineStr">
        <is>
          <t>v4_white_MLLB_000_y103_0924</t>
        </is>
      </c>
      <c r="E2263" t="n">
        <v>2.8</v>
      </c>
      <c r="F2263" t="n">
        <v>2.808</v>
      </c>
      <c r="G2263" t="n">
        <v>100</v>
      </c>
      <c r="H2263" t="n">
        <v>100</v>
      </c>
      <c r="I2263" t="n">
        <v>53</v>
      </c>
      <c r="J2263" t="inlineStr">
        <is>
          <t>ince</t>
        </is>
      </c>
      <c r="K2263" t="b">
        <v>0</v>
      </c>
      <c r="L2263" t="inlineStr">
        <is>
          <t>iki-OK-arasi-monotonluk</t>
        </is>
      </c>
      <c r="X2263" t="b">
        <v>1</v>
      </c>
      <c r="Z2263" t="n">
        <v>935</v>
      </c>
      <c r="AA2263" t="n">
        <v>2.5</v>
      </c>
      <c r="AB2263" t="n">
        <v>9.5</v>
      </c>
    </row>
    <row r="2264">
      <c r="A2264" t="inlineStr">
        <is>
          <t>2026-09-24 19:06:26</t>
        </is>
      </c>
      <c r="B2264" t="inlineStr">
        <is>
          <t>MLLB_000_y1.0.3</t>
        </is>
      </c>
      <c r="C2264" t="inlineStr">
        <is>
          <t>WHITE</t>
        </is>
      </c>
      <c r="D2264" t="inlineStr">
        <is>
          <t>v4_white_MLLB_000_y103_0924</t>
        </is>
      </c>
      <c r="E2264" t="n">
        <v>2.8</v>
      </c>
      <c r="F2264" t="n">
        <v>2.808</v>
      </c>
      <c r="G2264" t="n">
        <v>100</v>
      </c>
      <c r="H2264" t="n">
        <v>100</v>
      </c>
      <c r="I2264" t="n">
        <v>54</v>
      </c>
      <c r="J2264" t="inlineStr">
        <is>
          <t>ince</t>
        </is>
      </c>
      <c r="K2264" t="b">
        <v>0</v>
      </c>
      <c r="L2264" t="inlineStr">
        <is>
          <t>iki-OK-arasi-monotonluk</t>
        </is>
      </c>
      <c r="X2264" t="b">
        <v>1</v>
      </c>
      <c r="Z2264" t="n">
        <v>935</v>
      </c>
      <c r="AA2264" t="n">
        <v>2.5</v>
      </c>
      <c r="AB2264" t="n">
        <v>9.5</v>
      </c>
    </row>
    <row r="2265">
      <c r="A2265" t="inlineStr">
        <is>
          <t>2026-09-24 19:06:26</t>
        </is>
      </c>
      <c r="B2265" t="inlineStr">
        <is>
          <t>MLLB_000_y1.0.3</t>
        </is>
      </c>
      <c r="C2265" t="inlineStr">
        <is>
          <t>WHITE</t>
        </is>
      </c>
      <c r="D2265" t="inlineStr">
        <is>
          <t>v4_white_MLLB_000_y103_0924</t>
        </is>
      </c>
      <c r="E2265" t="n">
        <v>2.8</v>
      </c>
      <c r="F2265" t="n">
        <v>2.808</v>
      </c>
      <c r="G2265" t="n">
        <v>100</v>
      </c>
      <c r="H2265" t="n">
        <v>100</v>
      </c>
      <c r="I2265" t="n">
        <v>55</v>
      </c>
      <c r="J2265" t="inlineStr">
        <is>
          <t>ince</t>
        </is>
      </c>
      <c r="K2265" t="b">
        <v>0</v>
      </c>
      <c r="L2265" t="inlineStr">
        <is>
          <t>iki-OK-arasi-monotonluk</t>
        </is>
      </c>
      <c r="X2265" t="b">
        <v>1</v>
      </c>
      <c r="Z2265" t="n">
        <v>935</v>
      </c>
      <c r="AA2265" t="n">
        <v>2.5</v>
      </c>
      <c r="AB2265" t="n">
        <v>9.5</v>
      </c>
    </row>
    <row r="2266">
      <c r="A2266" t="inlineStr">
        <is>
          <t>2026-09-24 19:06:26</t>
        </is>
      </c>
      <c r="B2266" t="inlineStr">
        <is>
          <t>MLLB_000_y1.0.3</t>
        </is>
      </c>
      <c r="C2266" t="inlineStr">
        <is>
          <t>WHITE</t>
        </is>
      </c>
      <c r="D2266" t="inlineStr">
        <is>
          <t>v4_white_MLLB_000_y103_0924</t>
        </is>
      </c>
      <c r="E2266" t="n">
        <v>2.8</v>
      </c>
      <c r="F2266" t="n">
        <v>2.808</v>
      </c>
      <c r="G2266" t="n">
        <v>100</v>
      </c>
      <c r="H2266" t="n">
        <v>100</v>
      </c>
      <c r="I2266" t="n">
        <v>57</v>
      </c>
      <c r="J2266" t="inlineStr">
        <is>
          <t>ince</t>
        </is>
      </c>
      <c r="K2266" t="b">
        <v>0</v>
      </c>
      <c r="L2266" t="inlineStr">
        <is>
          <t>iki-OK-arasi-monotonluk</t>
        </is>
      </c>
      <c r="X2266" t="b">
        <v>1</v>
      </c>
      <c r="Z2266" t="n">
        <v>935</v>
      </c>
      <c r="AA2266" t="n">
        <v>2.5</v>
      </c>
      <c r="AB2266" t="n">
        <v>9.5</v>
      </c>
    </row>
    <row r="2267">
      <c r="A2267" t="inlineStr">
        <is>
          <t>2026-09-24 19:06:26</t>
        </is>
      </c>
      <c r="B2267" t="inlineStr">
        <is>
          <t>MLLB_000_y1.0.3</t>
        </is>
      </c>
      <c r="C2267" t="inlineStr">
        <is>
          <t>WHITE</t>
        </is>
      </c>
      <c r="D2267" t="inlineStr">
        <is>
          <t>v4_white_MLLB_000_y103_0924</t>
        </is>
      </c>
      <c r="E2267" t="n">
        <v>2.8</v>
      </c>
      <c r="F2267" t="n">
        <v>2.808</v>
      </c>
      <c r="G2267" t="n">
        <v>100</v>
      </c>
      <c r="H2267" t="n">
        <v>100</v>
      </c>
      <c r="J2267" t="inlineStr">
        <is>
          <t>bitti</t>
        </is>
      </c>
      <c r="K2267" t="b">
        <v>0</v>
      </c>
      <c r="Z2267" t="n">
        <v>935</v>
      </c>
      <c r="AA2267" t="n">
        <v>2.5</v>
      </c>
      <c r="AB2267" t="n">
        <v>9.5</v>
      </c>
    </row>
    <row r="2268">
      <c r="A2268" t="inlineStr">
        <is>
          <t>2026-09-24 19:06:42</t>
        </is>
      </c>
      <c r="B2268" t="inlineStr">
        <is>
          <t>MLLB_000_y1.0.3</t>
        </is>
      </c>
      <c r="C2268" t="inlineStr">
        <is>
          <t>WHITE</t>
        </is>
      </c>
      <c r="D2268" t="inlineStr">
        <is>
          <t>v4_white_MLLB_000_y103_0924</t>
        </is>
      </c>
      <c r="E2268" t="n">
        <v>2.8</v>
      </c>
      <c r="F2268" t="n">
        <v>2.808</v>
      </c>
      <c r="G2268" t="n">
        <v>100</v>
      </c>
      <c r="H2268" t="n">
        <v>80</v>
      </c>
      <c r="I2268" t="n">
        <v>12</v>
      </c>
      <c r="J2268" t="inlineStr">
        <is>
          <t>kaba</t>
        </is>
      </c>
      <c r="K2268" t="b">
        <v>1</v>
      </c>
      <c r="M2268" t="n">
        <v>38</v>
      </c>
      <c r="N2268" t="n">
        <v>28</v>
      </c>
      <c r="O2268" t="n">
        <v>18</v>
      </c>
      <c r="P2268" t="n">
        <v>964</v>
      </c>
      <c r="Q2268" t="n">
        <v>1002</v>
      </c>
      <c r="R2268" t="n">
        <v>1.068</v>
      </c>
      <c r="S2268" t="n">
        <v>240.782</v>
      </c>
      <c r="T2268" t="n">
        <v>225.495</v>
      </c>
      <c r="U2268" t="n">
        <v>0.778</v>
      </c>
      <c r="V2268" t="b">
        <v>1</v>
      </c>
      <c r="X2268" t="b">
        <v>1</v>
      </c>
      <c r="Z2268" t="n">
        <v>935</v>
      </c>
      <c r="AA2268" t="n">
        <v>2.5</v>
      </c>
      <c r="AB2268" t="n">
        <v>9.5</v>
      </c>
    </row>
    <row r="2269">
      <c r="A2269" t="inlineStr">
        <is>
          <t>2026-09-24 19:06:58</t>
        </is>
      </c>
      <c r="B2269" t="inlineStr">
        <is>
          <t>MLLB_000_y1.0.3</t>
        </is>
      </c>
      <c r="C2269" t="inlineStr">
        <is>
          <t>WHITE</t>
        </is>
      </c>
      <c r="D2269" t="inlineStr">
        <is>
          <t>v4_white_MLLB_000_y103_0924</t>
        </is>
      </c>
      <c r="E2269" t="n">
        <v>2.8</v>
      </c>
      <c r="F2269" t="n">
        <v>2.808</v>
      </c>
      <c r="G2269" t="n">
        <v>100</v>
      </c>
      <c r="H2269" t="n">
        <v>80</v>
      </c>
      <c r="I2269" t="n">
        <v>16</v>
      </c>
      <c r="J2269" t="inlineStr">
        <is>
          <t>kaba</t>
        </is>
      </c>
      <c r="K2269" t="b">
        <v>1</v>
      </c>
      <c r="M2269" t="n">
        <v>38</v>
      </c>
      <c r="N2269" t="n">
        <v>28</v>
      </c>
      <c r="O2269" t="n">
        <v>18</v>
      </c>
      <c r="P2269" t="n">
        <v>964</v>
      </c>
      <c r="Q2269" t="n">
        <v>1002</v>
      </c>
      <c r="R2269" t="n">
        <v>1.067</v>
      </c>
      <c r="S2269" t="n">
        <v>240.782</v>
      </c>
      <c r="T2269" t="n">
        <v>225.624</v>
      </c>
      <c r="U2269" t="n">
        <v>0.7781</v>
      </c>
      <c r="V2269" t="b">
        <v>1</v>
      </c>
      <c r="X2269" t="b">
        <v>1</v>
      </c>
      <c r="Z2269" t="n">
        <v>935</v>
      </c>
      <c r="AA2269" t="n">
        <v>2.5</v>
      </c>
      <c r="AB2269" t="n">
        <v>9.5</v>
      </c>
    </row>
    <row r="2270">
      <c r="A2270" t="inlineStr">
        <is>
          <t>2026-09-24 19:07:14</t>
        </is>
      </c>
      <c r="B2270" t="inlineStr">
        <is>
          <t>MLLB_000_y1.0.3</t>
        </is>
      </c>
      <c r="C2270" t="inlineStr">
        <is>
          <t>WHITE</t>
        </is>
      </c>
      <c r="D2270" t="inlineStr">
        <is>
          <t>v4_white_MLLB_000_y103_0924</t>
        </is>
      </c>
      <c r="E2270" t="n">
        <v>2.8</v>
      </c>
      <c r="F2270" t="n">
        <v>2.808</v>
      </c>
      <c r="G2270" t="n">
        <v>100</v>
      </c>
      <c r="H2270" t="n">
        <v>80</v>
      </c>
      <c r="I2270" t="n">
        <v>20</v>
      </c>
      <c r="J2270" t="inlineStr">
        <is>
          <t>kaba</t>
        </is>
      </c>
      <c r="K2270" t="b">
        <v>1</v>
      </c>
      <c r="M2270" t="n">
        <v>38</v>
      </c>
      <c r="N2270" t="n">
        <v>28</v>
      </c>
      <c r="O2270" t="n">
        <v>18</v>
      </c>
      <c r="P2270" t="n">
        <v>964</v>
      </c>
      <c r="Q2270" t="n">
        <v>1002</v>
      </c>
      <c r="R2270" t="n">
        <v>1.067</v>
      </c>
      <c r="S2270" t="n">
        <v>240.782</v>
      </c>
      <c r="T2270" t="n">
        <v>225.606</v>
      </c>
      <c r="U2270" t="n">
        <v>0.7776</v>
      </c>
      <c r="V2270" t="b">
        <v>1</v>
      </c>
      <c r="X2270" t="b">
        <v>1</v>
      </c>
      <c r="Z2270" t="n">
        <v>935</v>
      </c>
      <c r="AA2270" t="n">
        <v>2.5</v>
      </c>
      <c r="AB2270" t="n">
        <v>9.5</v>
      </c>
    </row>
    <row r="2271">
      <c r="A2271" t="inlineStr">
        <is>
          <t>2026-09-24 19:07:30</t>
        </is>
      </c>
      <c r="B2271" t="inlineStr">
        <is>
          <t>MLLB_000_y1.0.3</t>
        </is>
      </c>
      <c r="C2271" t="inlineStr">
        <is>
          <t>WHITE</t>
        </is>
      </c>
      <c r="D2271" t="inlineStr">
        <is>
          <t>v4_white_MLLB_000_y103_0924</t>
        </is>
      </c>
      <c r="E2271" t="n">
        <v>2.8</v>
      </c>
      <c r="F2271" t="n">
        <v>2.808</v>
      </c>
      <c r="G2271" t="n">
        <v>100</v>
      </c>
      <c r="H2271" t="n">
        <v>80</v>
      </c>
      <c r="I2271" t="n">
        <v>24</v>
      </c>
      <c r="J2271" t="inlineStr">
        <is>
          <t>kaba</t>
        </is>
      </c>
      <c r="K2271" t="b">
        <v>1</v>
      </c>
      <c r="M2271" t="n">
        <v>38</v>
      </c>
      <c r="N2271" t="n">
        <v>28</v>
      </c>
      <c r="O2271" t="n">
        <v>18</v>
      </c>
      <c r="P2271" t="n">
        <v>964</v>
      </c>
      <c r="Q2271" t="n">
        <v>1002</v>
      </c>
      <c r="R2271" t="n">
        <v>1.067</v>
      </c>
      <c r="S2271" t="n">
        <v>240.843</v>
      </c>
      <c r="T2271" t="n">
        <v>225.774</v>
      </c>
      <c r="U2271" t="n">
        <v>0.7783</v>
      </c>
      <c r="V2271" t="b">
        <v>1</v>
      </c>
      <c r="X2271" t="b">
        <v>1</v>
      </c>
      <c r="Z2271" t="n">
        <v>935</v>
      </c>
      <c r="AA2271" t="n">
        <v>2.5</v>
      </c>
      <c r="AB2271" t="n">
        <v>9.5</v>
      </c>
    </row>
    <row r="2272">
      <c r="A2272" t="inlineStr">
        <is>
          <t>2026-09-24 19:07:42</t>
        </is>
      </c>
      <c r="B2272" t="inlineStr">
        <is>
          <t>MLLB_000_y1.0.3</t>
        </is>
      </c>
      <c r="C2272" t="inlineStr">
        <is>
          <t>WHITE</t>
        </is>
      </c>
      <c r="D2272" t="inlineStr">
        <is>
          <t>v4_white_MLLB_000_y103_0924</t>
        </is>
      </c>
      <c r="E2272" t="n">
        <v>2.8</v>
      </c>
      <c r="F2272" t="n">
        <v>2.808</v>
      </c>
      <c r="G2272" t="n">
        <v>100</v>
      </c>
      <c r="H2272" t="n">
        <v>80</v>
      </c>
      <c r="I2272" t="n">
        <v>28</v>
      </c>
      <c r="J2272" t="inlineStr">
        <is>
          <t>kaba</t>
        </is>
      </c>
      <c r="K2272" t="b">
        <v>1</v>
      </c>
      <c r="M2272" t="n">
        <v>38</v>
      </c>
      <c r="N2272" t="n">
        <v>28</v>
      </c>
      <c r="O2272" t="n">
        <v>18</v>
      </c>
      <c r="P2272" t="n">
        <v>964</v>
      </c>
      <c r="Q2272" t="n">
        <v>1002</v>
      </c>
      <c r="R2272" t="n">
        <v>1.074</v>
      </c>
      <c r="S2272" t="n">
        <v>242.323</v>
      </c>
      <c r="T2272" t="n">
        <v>225.651</v>
      </c>
      <c r="U2272" t="n">
        <v>0.7778</v>
      </c>
      <c r="V2272" t="b">
        <v>1</v>
      </c>
      <c r="X2272" t="b">
        <v>1</v>
      </c>
      <c r="Z2272" t="n">
        <v>935</v>
      </c>
      <c r="AA2272" t="n">
        <v>2.5</v>
      </c>
      <c r="AB2272" t="n">
        <v>9.5</v>
      </c>
    </row>
    <row r="2273">
      <c r="A2273" t="inlineStr">
        <is>
          <t>2026-09-24 19:07:58</t>
        </is>
      </c>
      <c r="B2273" t="inlineStr">
        <is>
          <t>MLLB_000_y1.0.3</t>
        </is>
      </c>
      <c r="C2273" t="inlineStr">
        <is>
          <t>WHITE</t>
        </is>
      </c>
      <c r="D2273" t="inlineStr">
        <is>
          <t>v4_white_MLLB_000_y103_0924</t>
        </is>
      </c>
      <c r="E2273" t="n">
        <v>2.8</v>
      </c>
      <c r="F2273" t="n">
        <v>2.808</v>
      </c>
      <c r="G2273" t="n">
        <v>100</v>
      </c>
      <c r="H2273" t="n">
        <v>80</v>
      </c>
      <c r="I2273" t="n">
        <v>32</v>
      </c>
      <c r="J2273" t="inlineStr">
        <is>
          <t>kaba</t>
        </is>
      </c>
      <c r="K2273" t="b">
        <v>1</v>
      </c>
      <c r="M2273" t="n">
        <v>38</v>
      </c>
      <c r="N2273" t="n">
        <v>28</v>
      </c>
      <c r="O2273" t="n">
        <v>18</v>
      </c>
      <c r="P2273" t="n">
        <v>964</v>
      </c>
      <c r="Q2273" t="n">
        <v>1002</v>
      </c>
      <c r="R2273" t="n">
        <v>1.067</v>
      </c>
      <c r="S2273" t="n">
        <v>240.782</v>
      </c>
      <c r="T2273" t="n">
        <v>225.672</v>
      </c>
      <c r="U2273" t="n">
        <v>0.778</v>
      </c>
      <c r="V2273" t="b">
        <v>1</v>
      </c>
      <c r="X2273" t="b">
        <v>1</v>
      </c>
      <c r="Z2273" t="n">
        <v>935</v>
      </c>
      <c r="AA2273" t="n">
        <v>2.5</v>
      </c>
      <c r="AB2273" t="n">
        <v>9.5</v>
      </c>
    </row>
    <row r="2274">
      <c r="A2274" t="inlineStr">
        <is>
          <t>2026-09-24 19:08:14</t>
        </is>
      </c>
      <c r="B2274" t="inlineStr">
        <is>
          <t>MLLB_000_y1.0.3</t>
        </is>
      </c>
      <c r="C2274" t="inlineStr">
        <is>
          <t>WHITE</t>
        </is>
      </c>
      <c r="D2274" t="inlineStr">
        <is>
          <t>v4_white_MLLB_000_y103_0924</t>
        </is>
      </c>
      <c r="E2274" t="n">
        <v>2.8</v>
      </c>
      <c r="F2274" t="n">
        <v>2.808</v>
      </c>
      <c r="G2274" t="n">
        <v>100</v>
      </c>
      <c r="H2274" t="n">
        <v>80</v>
      </c>
      <c r="I2274" t="n">
        <v>36</v>
      </c>
      <c r="J2274" t="inlineStr">
        <is>
          <t>kaba</t>
        </is>
      </c>
      <c r="K2274" t="b">
        <v>1</v>
      </c>
      <c r="M2274" t="n">
        <v>38</v>
      </c>
      <c r="N2274" t="n">
        <v>28</v>
      </c>
      <c r="O2274" t="n">
        <v>18</v>
      </c>
      <c r="P2274" t="n">
        <v>964</v>
      </c>
      <c r="Q2274" t="n">
        <v>1002</v>
      </c>
      <c r="R2274" t="n">
        <v>1.067</v>
      </c>
      <c r="S2274" t="n">
        <v>240.782</v>
      </c>
      <c r="T2274" t="n">
        <v>225.735</v>
      </c>
      <c r="U2274" t="n">
        <v>0.7782</v>
      </c>
      <c r="V2274" t="b">
        <v>1</v>
      </c>
      <c r="X2274" t="b">
        <v>1</v>
      </c>
      <c r="Z2274" t="n">
        <v>935</v>
      </c>
      <c r="AA2274" t="n">
        <v>2.5</v>
      </c>
      <c r="AB2274" t="n">
        <v>9.5</v>
      </c>
    </row>
    <row r="2275">
      <c r="A2275" t="inlineStr">
        <is>
          <t>2026-09-24 19:08:30</t>
        </is>
      </c>
      <c r="B2275" t="inlineStr">
        <is>
          <t>MLLB_000_y1.0.3</t>
        </is>
      </c>
      <c r="C2275" t="inlineStr">
        <is>
          <t>WHITE</t>
        </is>
      </c>
      <c r="D2275" t="inlineStr">
        <is>
          <t>v4_white_MLLB_000_y103_0924</t>
        </is>
      </c>
      <c r="E2275" t="n">
        <v>2.8</v>
      </c>
      <c r="F2275" t="n">
        <v>2.808</v>
      </c>
      <c r="G2275" t="n">
        <v>100</v>
      </c>
      <c r="H2275" t="n">
        <v>80</v>
      </c>
      <c r="I2275" t="n">
        <v>40</v>
      </c>
      <c r="J2275" t="inlineStr">
        <is>
          <t>kaba</t>
        </is>
      </c>
      <c r="K2275" t="b">
        <v>1</v>
      </c>
      <c r="M2275" t="n">
        <v>38</v>
      </c>
      <c r="N2275" t="n">
        <v>28</v>
      </c>
      <c r="O2275" t="n">
        <v>18</v>
      </c>
      <c r="P2275" t="n">
        <v>964</v>
      </c>
      <c r="Q2275" t="n">
        <v>1002</v>
      </c>
      <c r="R2275" t="n">
        <v>1.068</v>
      </c>
      <c r="S2275" t="n">
        <v>240.782</v>
      </c>
      <c r="T2275" t="n">
        <v>225.539</v>
      </c>
      <c r="U2275" t="n">
        <v>0.7775</v>
      </c>
      <c r="V2275" t="b">
        <v>1</v>
      </c>
      <c r="X2275" t="b">
        <v>1</v>
      </c>
      <c r="Z2275" t="n">
        <v>935</v>
      </c>
      <c r="AA2275" t="n">
        <v>2.5</v>
      </c>
      <c r="AB2275" t="n">
        <v>9.5</v>
      </c>
    </row>
    <row r="2276">
      <c r="A2276" t="inlineStr">
        <is>
          <t>2026-09-24 19:08:46</t>
        </is>
      </c>
      <c r="B2276" t="inlineStr">
        <is>
          <t>MLLB_000_y1.0.3</t>
        </is>
      </c>
      <c r="C2276" t="inlineStr">
        <is>
          <t>WHITE</t>
        </is>
      </c>
      <c r="D2276" t="inlineStr">
        <is>
          <t>v4_white_MLLB_000_y103_0924</t>
        </is>
      </c>
      <c r="E2276" t="n">
        <v>2.8</v>
      </c>
      <c r="F2276" t="n">
        <v>2.808</v>
      </c>
      <c r="G2276" t="n">
        <v>100</v>
      </c>
      <c r="H2276" t="n">
        <v>80</v>
      </c>
      <c r="I2276" t="n">
        <v>44</v>
      </c>
      <c r="J2276" t="inlineStr">
        <is>
          <t>kaba</t>
        </is>
      </c>
      <c r="K2276" t="b">
        <v>1</v>
      </c>
      <c r="M2276" t="n">
        <v>38</v>
      </c>
      <c r="N2276" t="n">
        <v>28</v>
      </c>
      <c r="O2276" t="n">
        <v>18</v>
      </c>
      <c r="P2276" t="n">
        <v>964</v>
      </c>
      <c r="Q2276" t="n">
        <v>1002</v>
      </c>
      <c r="R2276" t="n">
        <v>1.066</v>
      </c>
      <c r="S2276" t="n">
        <v>240.782</v>
      </c>
      <c r="T2276" t="n">
        <v>225.773</v>
      </c>
      <c r="U2276" t="n">
        <v>0.7778</v>
      </c>
      <c r="V2276" t="b">
        <v>1</v>
      </c>
      <c r="X2276" t="b">
        <v>1</v>
      </c>
      <c r="Z2276" t="n">
        <v>935</v>
      </c>
      <c r="AA2276" t="n">
        <v>2.5</v>
      </c>
      <c r="AB2276" t="n">
        <v>9.5</v>
      </c>
    </row>
    <row r="2277">
      <c r="A2277" t="inlineStr">
        <is>
          <t>2026-09-24 19:09:02</t>
        </is>
      </c>
      <c r="B2277" t="inlineStr">
        <is>
          <t>MLLB_000_y1.0.3</t>
        </is>
      </c>
      <c r="C2277" t="inlineStr">
        <is>
          <t>WHITE</t>
        </is>
      </c>
      <c r="D2277" t="inlineStr">
        <is>
          <t>v4_white_MLLB_000_y103_0924</t>
        </is>
      </c>
      <c r="E2277" t="n">
        <v>2.8</v>
      </c>
      <c r="F2277" t="n">
        <v>2.808</v>
      </c>
      <c r="G2277" t="n">
        <v>100</v>
      </c>
      <c r="H2277" t="n">
        <v>80</v>
      </c>
      <c r="I2277" t="n">
        <v>48</v>
      </c>
      <c r="J2277" t="inlineStr">
        <is>
          <t>kaba</t>
        </is>
      </c>
      <c r="K2277" t="b">
        <v>1</v>
      </c>
      <c r="M2277" t="n">
        <v>38</v>
      </c>
      <c r="N2277" t="n">
        <v>28</v>
      </c>
      <c r="O2277" t="n">
        <v>18</v>
      </c>
      <c r="P2277" t="n">
        <v>964</v>
      </c>
      <c r="Q2277" t="n">
        <v>1002</v>
      </c>
      <c r="R2277" t="n">
        <v>1.067</v>
      </c>
      <c r="S2277" t="n">
        <v>240.812</v>
      </c>
      <c r="T2277" t="n">
        <v>225.657</v>
      </c>
      <c r="U2277" t="n">
        <v>0.7775</v>
      </c>
      <c r="V2277" t="b">
        <v>1</v>
      </c>
      <c r="X2277" t="b">
        <v>1</v>
      </c>
      <c r="Z2277" t="n">
        <v>935</v>
      </c>
      <c r="AA2277" t="n">
        <v>2.5</v>
      </c>
      <c r="AB2277" t="n">
        <v>9.5</v>
      </c>
    </row>
    <row r="2278">
      <c r="A2278" t="inlineStr">
        <is>
          <t>2026-09-24 19:09:18</t>
        </is>
      </c>
      <c r="B2278" t="inlineStr">
        <is>
          <t>MLLB_000_y1.0.3</t>
        </is>
      </c>
      <c r="C2278" t="inlineStr">
        <is>
          <t>WHITE</t>
        </is>
      </c>
      <c r="D2278" t="inlineStr">
        <is>
          <t>v4_white_MLLB_000_y103_0924</t>
        </is>
      </c>
      <c r="E2278" t="n">
        <v>2.8</v>
      </c>
      <c r="F2278" t="n">
        <v>2.808</v>
      </c>
      <c r="G2278" t="n">
        <v>100</v>
      </c>
      <c r="H2278" t="n">
        <v>80</v>
      </c>
      <c r="I2278" t="n">
        <v>52</v>
      </c>
      <c r="J2278" t="inlineStr">
        <is>
          <t>kaba</t>
        </is>
      </c>
      <c r="K2278" t="b">
        <v>1</v>
      </c>
      <c r="M2278" t="n">
        <v>38</v>
      </c>
      <c r="N2278" t="n">
        <v>28</v>
      </c>
      <c r="O2278" t="n">
        <v>18</v>
      </c>
      <c r="P2278" t="n">
        <v>964</v>
      </c>
      <c r="Q2278" t="n">
        <v>1002</v>
      </c>
      <c r="R2278" t="n">
        <v>1.067</v>
      </c>
      <c r="S2278" t="n">
        <v>240.782</v>
      </c>
      <c r="T2278" t="n">
        <v>225.645</v>
      </c>
      <c r="U2278" t="n">
        <v>0.7784</v>
      </c>
      <c r="V2278" t="b">
        <v>1</v>
      </c>
      <c r="X2278" t="b">
        <v>1</v>
      </c>
      <c r="Z2278" t="n">
        <v>935</v>
      </c>
      <c r="AA2278" t="n">
        <v>2.5</v>
      </c>
      <c r="AB2278" t="n">
        <v>9.5</v>
      </c>
    </row>
    <row r="2279">
      <c r="A2279" t="inlineStr">
        <is>
          <t>2026-09-24 19:09:34</t>
        </is>
      </c>
      <c r="B2279" t="inlineStr">
        <is>
          <t>MLLB_000_y1.0.3</t>
        </is>
      </c>
      <c r="C2279" t="inlineStr">
        <is>
          <t>WHITE</t>
        </is>
      </c>
      <c r="D2279" t="inlineStr">
        <is>
          <t>v4_white_MLLB_000_y103_0924</t>
        </is>
      </c>
      <c r="E2279" t="n">
        <v>2.8</v>
      </c>
      <c r="F2279" t="n">
        <v>2.808</v>
      </c>
      <c r="G2279" t="n">
        <v>100</v>
      </c>
      <c r="H2279" t="n">
        <v>80</v>
      </c>
      <c r="I2279" t="n">
        <v>56</v>
      </c>
      <c r="J2279" t="inlineStr">
        <is>
          <t>kaba</t>
        </is>
      </c>
      <c r="K2279" t="b">
        <v>1</v>
      </c>
      <c r="M2279" t="n">
        <v>38</v>
      </c>
      <c r="N2279" t="n">
        <v>28</v>
      </c>
      <c r="O2279" t="n">
        <v>18</v>
      </c>
      <c r="P2279" t="n">
        <v>964</v>
      </c>
      <c r="Q2279" t="n">
        <v>1002</v>
      </c>
      <c r="R2279" t="n">
        <v>1.067</v>
      </c>
      <c r="S2279" t="n">
        <v>240.782</v>
      </c>
      <c r="T2279" t="n">
        <v>225.736</v>
      </c>
      <c r="U2279" t="n">
        <v>0.778</v>
      </c>
      <c r="V2279" t="b">
        <v>1</v>
      </c>
      <c r="X2279" t="b">
        <v>1</v>
      </c>
      <c r="Z2279" t="n">
        <v>935</v>
      </c>
      <c r="AA2279" t="n">
        <v>2.5</v>
      </c>
      <c r="AB2279" t="n">
        <v>9.5</v>
      </c>
    </row>
    <row r="2280">
      <c r="A2280" t="inlineStr">
        <is>
          <t>2026-09-24 19:09:50</t>
        </is>
      </c>
      <c r="B2280" t="inlineStr">
        <is>
          <t>MLLB_000_y1.0.3</t>
        </is>
      </c>
      <c r="C2280" t="inlineStr">
        <is>
          <t>WHITE</t>
        </is>
      </c>
      <c r="D2280" t="inlineStr">
        <is>
          <t>v4_white_MLLB_000_y103_0924</t>
        </is>
      </c>
      <c r="E2280" t="n">
        <v>2.8</v>
      </c>
      <c r="F2280" t="n">
        <v>2.808</v>
      </c>
      <c r="G2280" t="n">
        <v>100</v>
      </c>
      <c r="H2280" t="n">
        <v>80</v>
      </c>
      <c r="I2280" t="n">
        <v>58</v>
      </c>
      <c r="J2280" t="inlineStr">
        <is>
          <t>kaba</t>
        </is>
      </c>
      <c r="K2280" t="b">
        <v>1</v>
      </c>
      <c r="M2280" t="n">
        <v>38</v>
      </c>
      <c r="N2280" t="n">
        <v>28</v>
      </c>
      <c r="O2280" t="n">
        <v>18</v>
      </c>
      <c r="P2280" t="n">
        <v>964</v>
      </c>
      <c r="Q2280" t="n">
        <v>1002</v>
      </c>
      <c r="R2280" t="n">
        <v>1.066</v>
      </c>
      <c r="S2280" t="n">
        <v>240.782</v>
      </c>
      <c r="T2280" t="n">
        <v>225.841</v>
      </c>
      <c r="U2280" t="n">
        <v>0.7781</v>
      </c>
      <c r="V2280" t="b">
        <v>1</v>
      </c>
      <c r="X2280" t="b">
        <v>1</v>
      </c>
      <c r="Z2280" t="n">
        <v>935</v>
      </c>
      <c r="AA2280" t="n">
        <v>2.5</v>
      </c>
      <c r="AB2280" t="n">
        <v>9.5</v>
      </c>
    </row>
    <row r="2281">
      <c r="A2281" t="inlineStr">
        <is>
          <t>2026-09-24 19:09:50</t>
        </is>
      </c>
      <c r="B2281" t="inlineStr">
        <is>
          <t>MLLB_000_y1.0.3</t>
        </is>
      </c>
      <c r="C2281" t="inlineStr">
        <is>
          <t>WHITE</t>
        </is>
      </c>
      <c r="D2281" t="inlineStr">
        <is>
          <t>v4_white_MLLB_000_y103_0924</t>
        </is>
      </c>
      <c r="E2281" t="n">
        <v>2.8</v>
      </c>
      <c r="F2281" t="n">
        <v>2.808</v>
      </c>
      <c r="G2281" t="n">
        <v>100</v>
      </c>
      <c r="H2281" t="n">
        <v>80</v>
      </c>
      <c r="I2281" t="n">
        <v>13</v>
      </c>
      <c r="J2281" t="inlineStr">
        <is>
          <t>ince</t>
        </is>
      </c>
      <c r="K2281" t="b">
        <v>0</v>
      </c>
      <c r="L2281" t="inlineStr">
        <is>
          <t>iki-OK-arasi-monotonluk</t>
        </is>
      </c>
      <c r="X2281" t="b">
        <v>1</v>
      </c>
      <c r="Z2281" t="n">
        <v>935</v>
      </c>
      <c r="AA2281" t="n">
        <v>2.5</v>
      </c>
      <c r="AB2281" t="n">
        <v>9.5</v>
      </c>
    </row>
    <row r="2282">
      <c r="A2282" t="inlineStr">
        <is>
          <t>2026-09-24 19:09:50</t>
        </is>
      </c>
      <c r="B2282" t="inlineStr">
        <is>
          <t>MLLB_000_y1.0.3</t>
        </is>
      </c>
      <c r="C2282" t="inlineStr">
        <is>
          <t>WHITE</t>
        </is>
      </c>
      <c r="D2282" t="inlineStr">
        <is>
          <t>v4_white_MLLB_000_y103_0924</t>
        </is>
      </c>
      <c r="E2282" t="n">
        <v>2.8</v>
      </c>
      <c r="F2282" t="n">
        <v>2.808</v>
      </c>
      <c r="G2282" t="n">
        <v>100</v>
      </c>
      <c r="H2282" t="n">
        <v>80</v>
      </c>
      <c r="I2282" t="n">
        <v>14</v>
      </c>
      <c r="J2282" t="inlineStr">
        <is>
          <t>ince</t>
        </is>
      </c>
      <c r="K2282" t="b">
        <v>0</v>
      </c>
      <c r="L2282" t="inlineStr">
        <is>
          <t>iki-OK-arasi-monotonluk</t>
        </is>
      </c>
      <c r="X2282" t="b">
        <v>1</v>
      </c>
      <c r="Z2282" t="n">
        <v>935</v>
      </c>
      <c r="AA2282" t="n">
        <v>2.5</v>
      </c>
      <c r="AB2282" t="n">
        <v>9.5</v>
      </c>
    </row>
    <row r="2283">
      <c r="A2283" t="inlineStr">
        <is>
          <t>2026-09-24 19:09:50</t>
        </is>
      </c>
      <c r="B2283" t="inlineStr">
        <is>
          <t>MLLB_000_y1.0.3</t>
        </is>
      </c>
      <c r="C2283" t="inlineStr">
        <is>
          <t>WHITE</t>
        </is>
      </c>
      <c r="D2283" t="inlineStr">
        <is>
          <t>v4_white_MLLB_000_y103_0924</t>
        </is>
      </c>
      <c r="E2283" t="n">
        <v>2.8</v>
      </c>
      <c r="F2283" t="n">
        <v>2.808</v>
      </c>
      <c r="G2283" t="n">
        <v>100</v>
      </c>
      <c r="H2283" t="n">
        <v>80</v>
      </c>
      <c r="I2283" t="n">
        <v>15</v>
      </c>
      <c r="J2283" t="inlineStr">
        <is>
          <t>ince</t>
        </is>
      </c>
      <c r="K2283" t="b">
        <v>0</v>
      </c>
      <c r="L2283" t="inlineStr">
        <is>
          <t>iki-OK-arasi-monotonluk</t>
        </is>
      </c>
      <c r="X2283" t="b">
        <v>1</v>
      </c>
      <c r="Z2283" t="n">
        <v>935</v>
      </c>
      <c r="AA2283" t="n">
        <v>2.5</v>
      </c>
      <c r="AB2283" t="n">
        <v>9.5</v>
      </c>
    </row>
    <row r="2284">
      <c r="A2284" t="inlineStr">
        <is>
          <t>2026-09-24 19:09:50</t>
        </is>
      </c>
      <c r="B2284" t="inlineStr">
        <is>
          <t>MLLB_000_y1.0.3</t>
        </is>
      </c>
      <c r="C2284" t="inlineStr">
        <is>
          <t>WHITE</t>
        </is>
      </c>
      <c r="D2284" t="inlineStr">
        <is>
          <t>v4_white_MLLB_000_y103_0924</t>
        </is>
      </c>
      <c r="E2284" t="n">
        <v>2.8</v>
      </c>
      <c r="F2284" t="n">
        <v>2.808</v>
      </c>
      <c r="G2284" t="n">
        <v>100</v>
      </c>
      <c r="H2284" t="n">
        <v>80</v>
      </c>
      <c r="I2284" t="n">
        <v>17</v>
      </c>
      <c r="J2284" t="inlineStr">
        <is>
          <t>ince</t>
        </is>
      </c>
      <c r="K2284" t="b">
        <v>0</v>
      </c>
      <c r="L2284" t="inlineStr">
        <is>
          <t>iki-OK-arasi-monotonluk</t>
        </is>
      </c>
      <c r="X2284" t="b">
        <v>1</v>
      </c>
      <c r="Z2284" t="n">
        <v>935</v>
      </c>
      <c r="AA2284" t="n">
        <v>2.5</v>
      </c>
      <c r="AB2284" t="n">
        <v>9.5</v>
      </c>
    </row>
    <row r="2285">
      <c r="A2285" t="inlineStr">
        <is>
          <t>2026-09-24 19:09:50</t>
        </is>
      </c>
      <c r="B2285" t="inlineStr">
        <is>
          <t>MLLB_000_y1.0.3</t>
        </is>
      </c>
      <c r="C2285" t="inlineStr">
        <is>
          <t>WHITE</t>
        </is>
      </c>
      <c r="D2285" t="inlineStr">
        <is>
          <t>v4_white_MLLB_000_y103_0924</t>
        </is>
      </c>
      <c r="E2285" t="n">
        <v>2.8</v>
      </c>
      <c r="F2285" t="n">
        <v>2.808</v>
      </c>
      <c r="G2285" t="n">
        <v>100</v>
      </c>
      <c r="H2285" t="n">
        <v>80</v>
      </c>
      <c r="I2285" t="n">
        <v>18</v>
      </c>
      <c r="J2285" t="inlineStr">
        <is>
          <t>ince</t>
        </is>
      </c>
      <c r="K2285" t="b">
        <v>0</v>
      </c>
      <c r="L2285" t="inlineStr">
        <is>
          <t>iki-OK-arasi-monotonluk</t>
        </is>
      </c>
      <c r="X2285" t="b">
        <v>1</v>
      </c>
      <c r="Z2285" t="n">
        <v>935</v>
      </c>
      <c r="AA2285" t="n">
        <v>2.5</v>
      </c>
      <c r="AB2285" t="n">
        <v>9.5</v>
      </c>
    </row>
    <row r="2286">
      <c r="A2286" t="inlineStr">
        <is>
          <t>2026-09-24 19:09:50</t>
        </is>
      </c>
      <c r="B2286" t="inlineStr">
        <is>
          <t>MLLB_000_y1.0.3</t>
        </is>
      </c>
      <c r="C2286" t="inlineStr">
        <is>
          <t>WHITE</t>
        </is>
      </c>
      <c r="D2286" t="inlineStr">
        <is>
          <t>v4_white_MLLB_000_y103_0924</t>
        </is>
      </c>
      <c r="E2286" t="n">
        <v>2.8</v>
      </c>
      <c r="F2286" t="n">
        <v>2.808</v>
      </c>
      <c r="G2286" t="n">
        <v>100</v>
      </c>
      <c r="H2286" t="n">
        <v>80</v>
      </c>
      <c r="I2286" t="n">
        <v>19</v>
      </c>
      <c r="J2286" t="inlineStr">
        <is>
          <t>ince</t>
        </is>
      </c>
      <c r="K2286" t="b">
        <v>0</v>
      </c>
      <c r="L2286" t="inlineStr">
        <is>
          <t>iki-OK-arasi-monotonluk</t>
        </is>
      </c>
      <c r="X2286" t="b">
        <v>1</v>
      </c>
      <c r="Z2286" t="n">
        <v>935</v>
      </c>
      <c r="AA2286" t="n">
        <v>2.5</v>
      </c>
      <c r="AB2286" t="n">
        <v>9.5</v>
      </c>
    </row>
    <row r="2287">
      <c r="A2287" t="inlineStr">
        <is>
          <t>2026-09-24 19:09:50</t>
        </is>
      </c>
      <c r="B2287" t="inlineStr">
        <is>
          <t>MLLB_000_y1.0.3</t>
        </is>
      </c>
      <c r="C2287" t="inlineStr">
        <is>
          <t>WHITE</t>
        </is>
      </c>
      <c r="D2287" t="inlineStr">
        <is>
          <t>v4_white_MLLB_000_y103_0924</t>
        </is>
      </c>
      <c r="E2287" t="n">
        <v>2.8</v>
      </c>
      <c r="F2287" t="n">
        <v>2.808</v>
      </c>
      <c r="G2287" t="n">
        <v>100</v>
      </c>
      <c r="H2287" t="n">
        <v>80</v>
      </c>
      <c r="I2287" t="n">
        <v>21</v>
      </c>
      <c r="J2287" t="inlineStr">
        <is>
          <t>ince</t>
        </is>
      </c>
      <c r="K2287" t="b">
        <v>0</v>
      </c>
      <c r="L2287" t="inlineStr">
        <is>
          <t>iki-OK-arasi-monotonluk</t>
        </is>
      </c>
      <c r="X2287" t="b">
        <v>1</v>
      </c>
      <c r="Z2287" t="n">
        <v>935</v>
      </c>
      <c r="AA2287" t="n">
        <v>2.5</v>
      </c>
      <c r="AB2287" t="n">
        <v>9.5</v>
      </c>
    </row>
    <row r="2288">
      <c r="A2288" t="inlineStr">
        <is>
          <t>2026-09-24 19:09:50</t>
        </is>
      </c>
      <c r="B2288" t="inlineStr">
        <is>
          <t>MLLB_000_y1.0.3</t>
        </is>
      </c>
      <c r="C2288" t="inlineStr">
        <is>
          <t>WHITE</t>
        </is>
      </c>
      <c r="D2288" t="inlineStr">
        <is>
          <t>v4_white_MLLB_000_y103_0924</t>
        </is>
      </c>
      <c r="E2288" t="n">
        <v>2.8</v>
      </c>
      <c r="F2288" t="n">
        <v>2.808</v>
      </c>
      <c r="G2288" t="n">
        <v>100</v>
      </c>
      <c r="H2288" t="n">
        <v>80</v>
      </c>
      <c r="I2288" t="n">
        <v>22</v>
      </c>
      <c r="J2288" t="inlineStr">
        <is>
          <t>ince</t>
        </is>
      </c>
      <c r="K2288" t="b">
        <v>0</v>
      </c>
      <c r="L2288" t="inlineStr">
        <is>
          <t>iki-OK-arasi-monotonluk</t>
        </is>
      </c>
      <c r="X2288" t="b">
        <v>1</v>
      </c>
      <c r="Z2288" t="n">
        <v>935</v>
      </c>
      <c r="AA2288" t="n">
        <v>2.5</v>
      </c>
      <c r="AB2288" t="n">
        <v>9.5</v>
      </c>
    </row>
    <row r="2289">
      <c r="A2289" t="inlineStr">
        <is>
          <t>2026-09-24 19:09:50</t>
        </is>
      </c>
      <c r="B2289" t="inlineStr">
        <is>
          <t>MLLB_000_y1.0.3</t>
        </is>
      </c>
      <c r="C2289" t="inlineStr">
        <is>
          <t>WHITE</t>
        </is>
      </c>
      <c r="D2289" t="inlineStr">
        <is>
          <t>v4_white_MLLB_000_y103_0924</t>
        </is>
      </c>
      <c r="E2289" t="n">
        <v>2.8</v>
      </c>
      <c r="F2289" t="n">
        <v>2.808</v>
      </c>
      <c r="G2289" t="n">
        <v>100</v>
      </c>
      <c r="H2289" t="n">
        <v>80</v>
      </c>
      <c r="I2289" t="n">
        <v>23</v>
      </c>
      <c r="J2289" t="inlineStr">
        <is>
          <t>ince</t>
        </is>
      </c>
      <c r="K2289" t="b">
        <v>0</v>
      </c>
      <c r="L2289" t="inlineStr">
        <is>
          <t>iki-OK-arasi-monotonluk</t>
        </is>
      </c>
      <c r="X2289" t="b">
        <v>1</v>
      </c>
      <c r="Z2289" t="n">
        <v>935</v>
      </c>
      <c r="AA2289" t="n">
        <v>2.5</v>
      </c>
      <c r="AB2289" t="n">
        <v>9.5</v>
      </c>
    </row>
    <row r="2290">
      <c r="A2290" t="inlineStr">
        <is>
          <t>2026-09-24 19:09:50</t>
        </is>
      </c>
      <c r="B2290" t="inlineStr">
        <is>
          <t>MLLB_000_y1.0.3</t>
        </is>
      </c>
      <c r="C2290" t="inlineStr">
        <is>
          <t>WHITE</t>
        </is>
      </c>
      <c r="D2290" t="inlineStr">
        <is>
          <t>v4_white_MLLB_000_y103_0924</t>
        </is>
      </c>
      <c r="E2290" t="n">
        <v>2.8</v>
      </c>
      <c r="F2290" t="n">
        <v>2.808</v>
      </c>
      <c r="G2290" t="n">
        <v>100</v>
      </c>
      <c r="H2290" t="n">
        <v>80</v>
      </c>
      <c r="I2290" t="n">
        <v>25</v>
      </c>
      <c r="J2290" t="inlineStr">
        <is>
          <t>ince</t>
        </is>
      </c>
      <c r="K2290" t="b">
        <v>0</v>
      </c>
      <c r="L2290" t="inlineStr">
        <is>
          <t>iki-OK-arasi-monotonluk</t>
        </is>
      </c>
      <c r="X2290" t="b">
        <v>1</v>
      </c>
      <c r="Z2290" t="n">
        <v>935</v>
      </c>
      <c r="AA2290" t="n">
        <v>2.5</v>
      </c>
      <c r="AB2290" t="n">
        <v>9.5</v>
      </c>
    </row>
    <row r="2291">
      <c r="A2291" t="inlineStr">
        <is>
          <t>2026-09-24 19:09:50</t>
        </is>
      </c>
      <c r="B2291" t="inlineStr">
        <is>
          <t>MLLB_000_y1.0.3</t>
        </is>
      </c>
      <c r="C2291" t="inlineStr">
        <is>
          <t>WHITE</t>
        </is>
      </c>
      <c r="D2291" t="inlineStr">
        <is>
          <t>v4_white_MLLB_000_y103_0924</t>
        </is>
      </c>
      <c r="E2291" t="n">
        <v>2.8</v>
      </c>
      <c r="F2291" t="n">
        <v>2.808</v>
      </c>
      <c r="G2291" t="n">
        <v>100</v>
      </c>
      <c r="H2291" t="n">
        <v>80</v>
      </c>
      <c r="I2291" t="n">
        <v>26</v>
      </c>
      <c r="J2291" t="inlineStr">
        <is>
          <t>ince</t>
        </is>
      </c>
      <c r="K2291" t="b">
        <v>0</v>
      </c>
      <c r="L2291" t="inlineStr">
        <is>
          <t>iki-OK-arasi-monotonluk</t>
        </is>
      </c>
      <c r="X2291" t="b">
        <v>1</v>
      </c>
      <c r="Z2291" t="n">
        <v>935</v>
      </c>
      <c r="AA2291" t="n">
        <v>2.5</v>
      </c>
      <c r="AB2291" t="n">
        <v>9.5</v>
      </c>
    </row>
    <row r="2292">
      <c r="A2292" t="inlineStr">
        <is>
          <t>2026-09-24 19:09:50</t>
        </is>
      </c>
      <c r="B2292" t="inlineStr">
        <is>
          <t>MLLB_000_y1.0.3</t>
        </is>
      </c>
      <c r="C2292" t="inlineStr">
        <is>
          <t>WHITE</t>
        </is>
      </c>
      <c r="D2292" t="inlineStr">
        <is>
          <t>v4_white_MLLB_000_y103_0924</t>
        </is>
      </c>
      <c r="E2292" t="n">
        <v>2.8</v>
      </c>
      <c r="F2292" t="n">
        <v>2.808</v>
      </c>
      <c r="G2292" t="n">
        <v>100</v>
      </c>
      <c r="H2292" t="n">
        <v>80</v>
      </c>
      <c r="I2292" t="n">
        <v>27</v>
      </c>
      <c r="J2292" t="inlineStr">
        <is>
          <t>ince</t>
        </is>
      </c>
      <c r="K2292" t="b">
        <v>0</v>
      </c>
      <c r="L2292" t="inlineStr">
        <is>
          <t>iki-OK-arasi-monotonluk</t>
        </is>
      </c>
      <c r="X2292" t="b">
        <v>1</v>
      </c>
      <c r="Z2292" t="n">
        <v>935</v>
      </c>
      <c r="AA2292" t="n">
        <v>2.5</v>
      </c>
      <c r="AB2292" t="n">
        <v>9.5</v>
      </c>
    </row>
    <row r="2293">
      <c r="A2293" t="inlineStr">
        <is>
          <t>2026-09-24 19:09:50</t>
        </is>
      </c>
      <c r="B2293" t="inlineStr">
        <is>
          <t>MLLB_000_y1.0.3</t>
        </is>
      </c>
      <c r="C2293" t="inlineStr">
        <is>
          <t>WHITE</t>
        </is>
      </c>
      <c r="D2293" t="inlineStr">
        <is>
          <t>v4_white_MLLB_000_y103_0924</t>
        </is>
      </c>
      <c r="E2293" t="n">
        <v>2.8</v>
      </c>
      <c r="F2293" t="n">
        <v>2.808</v>
      </c>
      <c r="G2293" t="n">
        <v>100</v>
      </c>
      <c r="H2293" t="n">
        <v>80</v>
      </c>
      <c r="I2293" t="n">
        <v>29</v>
      </c>
      <c r="J2293" t="inlineStr">
        <is>
          <t>ince</t>
        </is>
      </c>
      <c r="K2293" t="b">
        <v>0</v>
      </c>
      <c r="L2293" t="inlineStr">
        <is>
          <t>iki-OK-arasi-monotonluk</t>
        </is>
      </c>
      <c r="X2293" t="b">
        <v>1</v>
      </c>
      <c r="Z2293" t="n">
        <v>935</v>
      </c>
      <c r="AA2293" t="n">
        <v>2.5</v>
      </c>
      <c r="AB2293" t="n">
        <v>9.5</v>
      </c>
    </row>
    <row r="2294">
      <c r="A2294" t="inlineStr">
        <is>
          <t>2026-09-24 19:09:50</t>
        </is>
      </c>
      <c r="B2294" t="inlineStr">
        <is>
          <t>MLLB_000_y1.0.3</t>
        </is>
      </c>
      <c r="C2294" t="inlineStr">
        <is>
          <t>WHITE</t>
        </is>
      </c>
      <c r="D2294" t="inlineStr">
        <is>
          <t>v4_white_MLLB_000_y103_0924</t>
        </is>
      </c>
      <c r="E2294" t="n">
        <v>2.8</v>
      </c>
      <c r="F2294" t="n">
        <v>2.808</v>
      </c>
      <c r="G2294" t="n">
        <v>100</v>
      </c>
      <c r="H2294" t="n">
        <v>80</v>
      </c>
      <c r="I2294" t="n">
        <v>30</v>
      </c>
      <c r="J2294" t="inlineStr">
        <is>
          <t>ince</t>
        </is>
      </c>
      <c r="K2294" t="b">
        <v>0</v>
      </c>
      <c r="L2294" t="inlineStr">
        <is>
          <t>iki-OK-arasi-monotonluk</t>
        </is>
      </c>
      <c r="X2294" t="b">
        <v>1</v>
      </c>
      <c r="Z2294" t="n">
        <v>935</v>
      </c>
      <c r="AA2294" t="n">
        <v>2.5</v>
      </c>
      <c r="AB2294" t="n">
        <v>9.5</v>
      </c>
    </row>
    <row r="2295">
      <c r="A2295" t="inlineStr">
        <is>
          <t>2026-09-24 19:09:50</t>
        </is>
      </c>
      <c r="B2295" t="inlineStr">
        <is>
          <t>MLLB_000_y1.0.3</t>
        </is>
      </c>
      <c r="C2295" t="inlineStr">
        <is>
          <t>WHITE</t>
        </is>
      </c>
      <c r="D2295" t="inlineStr">
        <is>
          <t>v4_white_MLLB_000_y103_0924</t>
        </is>
      </c>
      <c r="E2295" t="n">
        <v>2.8</v>
      </c>
      <c r="F2295" t="n">
        <v>2.808</v>
      </c>
      <c r="G2295" t="n">
        <v>100</v>
      </c>
      <c r="H2295" t="n">
        <v>80</v>
      </c>
      <c r="I2295" t="n">
        <v>31</v>
      </c>
      <c r="J2295" t="inlineStr">
        <is>
          <t>ince</t>
        </is>
      </c>
      <c r="K2295" t="b">
        <v>0</v>
      </c>
      <c r="L2295" t="inlineStr">
        <is>
          <t>iki-OK-arasi-monotonluk</t>
        </is>
      </c>
      <c r="X2295" t="b">
        <v>1</v>
      </c>
      <c r="Z2295" t="n">
        <v>935</v>
      </c>
      <c r="AA2295" t="n">
        <v>2.5</v>
      </c>
      <c r="AB2295" t="n">
        <v>9.5</v>
      </c>
    </row>
    <row r="2296">
      <c r="A2296" t="inlineStr">
        <is>
          <t>2026-09-24 19:09:50</t>
        </is>
      </c>
      <c r="B2296" t="inlineStr">
        <is>
          <t>MLLB_000_y1.0.3</t>
        </is>
      </c>
      <c r="C2296" t="inlineStr">
        <is>
          <t>WHITE</t>
        </is>
      </c>
      <c r="D2296" t="inlineStr">
        <is>
          <t>v4_white_MLLB_000_y103_0924</t>
        </is>
      </c>
      <c r="E2296" t="n">
        <v>2.8</v>
      </c>
      <c r="F2296" t="n">
        <v>2.808</v>
      </c>
      <c r="G2296" t="n">
        <v>100</v>
      </c>
      <c r="H2296" t="n">
        <v>80</v>
      </c>
      <c r="I2296" t="n">
        <v>33</v>
      </c>
      <c r="J2296" t="inlineStr">
        <is>
          <t>ince</t>
        </is>
      </c>
      <c r="K2296" t="b">
        <v>0</v>
      </c>
      <c r="L2296" t="inlineStr">
        <is>
          <t>iki-OK-arasi-monotonluk</t>
        </is>
      </c>
      <c r="X2296" t="b">
        <v>1</v>
      </c>
      <c r="Z2296" t="n">
        <v>935</v>
      </c>
      <c r="AA2296" t="n">
        <v>2.5</v>
      </c>
      <c r="AB2296" t="n">
        <v>9.5</v>
      </c>
    </row>
    <row r="2297">
      <c r="A2297" t="inlineStr">
        <is>
          <t>2026-09-24 19:09:50</t>
        </is>
      </c>
      <c r="B2297" t="inlineStr">
        <is>
          <t>MLLB_000_y1.0.3</t>
        </is>
      </c>
      <c r="C2297" t="inlineStr">
        <is>
          <t>WHITE</t>
        </is>
      </c>
      <c r="D2297" t="inlineStr">
        <is>
          <t>v4_white_MLLB_000_y103_0924</t>
        </is>
      </c>
      <c r="E2297" t="n">
        <v>2.8</v>
      </c>
      <c r="F2297" t="n">
        <v>2.808</v>
      </c>
      <c r="G2297" t="n">
        <v>100</v>
      </c>
      <c r="H2297" t="n">
        <v>80</v>
      </c>
      <c r="I2297" t="n">
        <v>34</v>
      </c>
      <c r="J2297" t="inlineStr">
        <is>
          <t>ince</t>
        </is>
      </c>
      <c r="K2297" t="b">
        <v>0</v>
      </c>
      <c r="L2297" t="inlineStr">
        <is>
          <t>iki-OK-arasi-monotonluk</t>
        </is>
      </c>
      <c r="X2297" t="b">
        <v>1</v>
      </c>
      <c r="Z2297" t="n">
        <v>935</v>
      </c>
      <c r="AA2297" t="n">
        <v>2.5</v>
      </c>
      <c r="AB2297" t="n">
        <v>9.5</v>
      </c>
    </row>
    <row r="2298">
      <c r="A2298" t="inlineStr">
        <is>
          <t>2026-09-24 19:09:50</t>
        </is>
      </c>
      <c r="B2298" t="inlineStr">
        <is>
          <t>MLLB_000_y1.0.3</t>
        </is>
      </c>
      <c r="C2298" t="inlineStr">
        <is>
          <t>WHITE</t>
        </is>
      </c>
      <c r="D2298" t="inlineStr">
        <is>
          <t>v4_white_MLLB_000_y103_0924</t>
        </is>
      </c>
      <c r="E2298" t="n">
        <v>2.8</v>
      </c>
      <c r="F2298" t="n">
        <v>2.808</v>
      </c>
      <c r="G2298" t="n">
        <v>100</v>
      </c>
      <c r="H2298" t="n">
        <v>80</v>
      </c>
      <c r="I2298" t="n">
        <v>35</v>
      </c>
      <c r="J2298" t="inlineStr">
        <is>
          <t>ince</t>
        </is>
      </c>
      <c r="K2298" t="b">
        <v>0</v>
      </c>
      <c r="L2298" t="inlineStr">
        <is>
          <t>iki-OK-arasi-monotonluk</t>
        </is>
      </c>
      <c r="X2298" t="b">
        <v>1</v>
      </c>
      <c r="Z2298" t="n">
        <v>935</v>
      </c>
      <c r="AA2298" t="n">
        <v>2.5</v>
      </c>
      <c r="AB2298" t="n">
        <v>9.5</v>
      </c>
    </row>
    <row r="2299">
      <c r="A2299" t="inlineStr">
        <is>
          <t>2026-09-24 19:09:50</t>
        </is>
      </c>
      <c r="B2299" t="inlineStr">
        <is>
          <t>MLLB_000_y1.0.3</t>
        </is>
      </c>
      <c r="C2299" t="inlineStr">
        <is>
          <t>WHITE</t>
        </is>
      </c>
      <c r="D2299" t="inlineStr">
        <is>
          <t>v4_white_MLLB_000_y103_0924</t>
        </is>
      </c>
      <c r="E2299" t="n">
        <v>2.8</v>
      </c>
      <c r="F2299" t="n">
        <v>2.808</v>
      </c>
      <c r="G2299" t="n">
        <v>100</v>
      </c>
      <c r="H2299" t="n">
        <v>80</v>
      </c>
      <c r="I2299" t="n">
        <v>37</v>
      </c>
      <c r="J2299" t="inlineStr">
        <is>
          <t>ince</t>
        </is>
      </c>
      <c r="K2299" t="b">
        <v>0</v>
      </c>
      <c r="L2299" t="inlineStr">
        <is>
          <t>iki-OK-arasi-monotonluk</t>
        </is>
      </c>
      <c r="X2299" t="b">
        <v>1</v>
      </c>
      <c r="Z2299" t="n">
        <v>935</v>
      </c>
      <c r="AA2299" t="n">
        <v>2.5</v>
      </c>
      <c r="AB2299" t="n">
        <v>9.5</v>
      </c>
    </row>
    <row r="2300">
      <c r="A2300" t="inlineStr">
        <is>
          <t>2026-09-24 19:09:50</t>
        </is>
      </c>
      <c r="B2300" t="inlineStr">
        <is>
          <t>MLLB_000_y1.0.3</t>
        </is>
      </c>
      <c r="C2300" t="inlineStr">
        <is>
          <t>WHITE</t>
        </is>
      </c>
      <c r="D2300" t="inlineStr">
        <is>
          <t>v4_white_MLLB_000_y103_0924</t>
        </is>
      </c>
      <c r="E2300" t="n">
        <v>2.8</v>
      </c>
      <c r="F2300" t="n">
        <v>2.808</v>
      </c>
      <c r="G2300" t="n">
        <v>100</v>
      </c>
      <c r="H2300" t="n">
        <v>80</v>
      </c>
      <c r="I2300" t="n">
        <v>38</v>
      </c>
      <c r="J2300" t="inlineStr">
        <is>
          <t>ince</t>
        </is>
      </c>
      <c r="K2300" t="b">
        <v>0</v>
      </c>
      <c r="L2300" t="inlineStr">
        <is>
          <t>iki-OK-arasi-monotonluk</t>
        </is>
      </c>
      <c r="X2300" t="b">
        <v>1</v>
      </c>
      <c r="Z2300" t="n">
        <v>935</v>
      </c>
      <c r="AA2300" t="n">
        <v>2.5</v>
      </c>
      <c r="AB2300" t="n">
        <v>9.5</v>
      </c>
    </row>
    <row r="2301">
      <c r="A2301" t="inlineStr">
        <is>
          <t>2026-09-24 19:09:50</t>
        </is>
      </c>
      <c r="B2301" t="inlineStr">
        <is>
          <t>MLLB_000_y1.0.3</t>
        </is>
      </c>
      <c r="C2301" t="inlineStr">
        <is>
          <t>WHITE</t>
        </is>
      </c>
      <c r="D2301" t="inlineStr">
        <is>
          <t>v4_white_MLLB_000_y103_0924</t>
        </is>
      </c>
      <c r="E2301" t="n">
        <v>2.8</v>
      </c>
      <c r="F2301" t="n">
        <v>2.808</v>
      </c>
      <c r="G2301" t="n">
        <v>100</v>
      </c>
      <c r="H2301" t="n">
        <v>80</v>
      </c>
      <c r="I2301" t="n">
        <v>39</v>
      </c>
      <c r="J2301" t="inlineStr">
        <is>
          <t>ince</t>
        </is>
      </c>
      <c r="K2301" t="b">
        <v>0</v>
      </c>
      <c r="L2301" t="inlineStr">
        <is>
          <t>iki-OK-arasi-monotonluk</t>
        </is>
      </c>
      <c r="X2301" t="b">
        <v>1</v>
      </c>
      <c r="Z2301" t="n">
        <v>935</v>
      </c>
      <c r="AA2301" t="n">
        <v>2.5</v>
      </c>
      <c r="AB2301" t="n">
        <v>9.5</v>
      </c>
    </row>
    <row r="2302">
      <c r="A2302" t="inlineStr">
        <is>
          <t>2026-09-24 19:09:50</t>
        </is>
      </c>
      <c r="B2302" t="inlineStr">
        <is>
          <t>MLLB_000_y1.0.3</t>
        </is>
      </c>
      <c r="C2302" t="inlineStr">
        <is>
          <t>WHITE</t>
        </is>
      </c>
      <c r="D2302" t="inlineStr">
        <is>
          <t>v4_white_MLLB_000_y103_0924</t>
        </is>
      </c>
      <c r="E2302" t="n">
        <v>2.8</v>
      </c>
      <c r="F2302" t="n">
        <v>2.808</v>
      </c>
      <c r="G2302" t="n">
        <v>100</v>
      </c>
      <c r="H2302" t="n">
        <v>80</v>
      </c>
      <c r="I2302" t="n">
        <v>41</v>
      </c>
      <c r="J2302" t="inlineStr">
        <is>
          <t>ince</t>
        </is>
      </c>
      <c r="K2302" t="b">
        <v>0</v>
      </c>
      <c r="L2302" t="inlineStr">
        <is>
          <t>iki-OK-arasi-monotonluk</t>
        </is>
      </c>
      <c r="X2302" t="b">
        <v>1</v>
      </c>
      <c r="Z2302" t="n">
        <v>935</v>
      </c>
      <c r="AA2302" t="n">
        <v>2.5</v>
      </c>
      <c r="AB2302" t="n">
        <v>9.5</v>
      </c>
    </row>
    <row r="2303">
      <c r="A2303" t="inlineStr">
        <is>
          <t>2026-09-24 19:09:50</t>
        </is>
      </c>
      <c r="B2303" t="inlineStr">
        <is>
          <t>MLLB_000_y1.0.3</t>
        </is>
      </c>
      <c r="C2303" t="inlineStr">
        <is>
          <t>WHITE</t>
        </is>
      </c>
      <c r="D2303" t="inlineStr">
        <is>
          <t>v4_white_MLLB_000_y103_0924</t>
        </is>
      </c>
      <c r="E2303" t="n">
        <v>2.8</v>
      </c>
      <c r="F2303" t="n">
        <v>2.808</v>
      </c>
      <c r="G2303" t="n">
        <v>100</v>
      </c>
      <c r="H2303" t="n">
        <v>80</v>
      </c>
      <c r="I2303" t="n">
        <v>42</v>
      </c>
      <c r="J2303" t="inlineStr">
        <is>
          <t>ince</t>
        </is>
      </c>
      <c r="K2303" t="b">
        <v>0</v>
      </c>
      <c r="L2303" t="inlineStr">
        <is>
          <t>iki-OK-arasi-monotonluk</t>
        </is>
      </c>
      <c r="X2303" t="b">
        <v>1</v>
      </c>
      <c r="Z2303" t="n">
        <v>935</v>
      </c>
      <c r="AA2303" t="n">
        <v>2.5</v>
      </c>
      <c r="AB2303" t="n">
        <v>9.5</v>
      </c>
    </row>
    <row r="2304">
      <c r="A2304" t="inlineStr">
        <is>
          <t>2026-09-24 19:09:50</t>
        </is>
      </c>
      <c r="B2304" t="inlineStr">
        <is>
          <t>MLLB_000_y1.0.3</t>
        </is>
      </c>
      <c r="C2304" t="inlineStr">
        <is>
          <t>WHITE</t>
        </is>
      </c>
      <c r="D2304" t="inlineStr">
        <is>
          <t>v4_white_MLLB_000_y103_0924</t>
        </is>
      </c>
      <c r="E2304" t="n">
        <v>2.8</v>
      </c>
      <c r="F2304" t="n">
        <v>2.808</v>
      </c>
      <c r="G2304" t="n">
        <v>100</v>
      </c>
      <c r="H2304" t="n">
        <v>80</v>
      </c>
      <c r="I2304" t="n">
        <v>43</v>
      </c>
      <c r="J2304" t="inlineStr">
        <is>
          <t>ince</t>
        </is>
      </c>
      <c r="K2304" t="b">
        <v>0</v>
      </c>
      <c r="L2304" t="inlineStr">
        <is>
          <t>iki-OK-arasi-monotonluk</t>
        </is>
      </c>
      <c r="X2304" t="b">
        <v>1</v>
      </c>
      <c r="Z2304" t="n">
        <v>935</v>
      </c>
      <c r="AA2304" t="n">
        <v>2.5</v>
      </c>
      <c r="AB2304" t="n">
        <v>9.5</v>
      </c>
    </row>
    <row r="2305">
      <c r="A2305" t="inlineStr">
        <is>
          <t>2026-09-24 19:09:50</t>
        </is>
      </c>
      <c r="B2305" t="inlineStr">
        <is>
          <t>MLLB_000_y1.0.3</t>
        </is>
      </c>
      <c r="C2305" t="inlineStr">
        <is>
          <t>WHITE</t>
        </is>
      </c>
      <c r="D2305" t="inlineStr">
        <is>
          <t>v4_white_MLLB_000_y103_0924</t>
        </is>
      </c>
      <c r="E2305" t="n">
        <v>2.8</v>
      </c>
      <c r="F2305" t="n">
        <v>2.808</v>
      </c>
      <c r="G2305" t="n">
        <v>100</v>
      </c>
      <c r="H2305" t="n">
        <v>80</v>
      </c>
      <c r="I2305" t="n">
        <v>45</v>
      </c>
      <c r="J2305" t="inlineStr">
        <is>
          <t>ince</t>
        </is>
      </c>
      <c r="K2305" t="b">
        <v>0</v>
      </c>
      <c r="L2305" t="inlineStr">
        <is>
          <t>iki-OK-arasi-monotonluk</t>
        </is>
      </c>
      <c r="X2305" t="b">
        <v>1</v>
      </c>
      <c r="Z2305" t="n">
        <v>935</v>
      </c>
      <c r="AA2305" t="n">
        <v>2.5</v>
      </c>
      <c r="AB2305" t="n">
        <v>9.5</v>
      </c>
    </row>
    <row r="2306">
      <c r="A2306" t="inlineStr">
        <is>
          <t>2026-09-24 19:09:50</t>
        </is>
      </c>
      <c r="B2306" t="inlineStr">
        <is>
          <t>MLLB_000_y1.0.3</t>
        </is>
      </c>
      <c r="C2306" t="inlineStr">
        <is>
          <t>WHITE</t>
        </is>
      </c>
      <c r="D2306" t="inlineStr">
        <is>
          <t>v4_white_MLLB_000_y103_0924</t>
        </is>
      </c>
      <c r="E2306" t="n">
        <v>2.8</v>
      </c>
      <c r="F2306" t="n">
        <v>2.808</v>
      </c>
      <c r="G2306" t="n">
        <v>100</v>
      </c>
      <c r="H2306" t="n">
        <v>80</v>
      </c>
      <c r="I2306" t="n">
        <v>46</v>
      </c>
      <c r="J2306" t="inlineStr">
        <is>
          <t>ince</t>
        </is>
      </c>
      <c r="K2306" t="b">
        <v>0</v>
      </c>
      <c r="L2306" t="inlineStr">
        <is>
          <t>iki-OK-arasi-monotonluk</t>
        </is>
      </c>
      <c r="X2306" t="b">
        <v>1</v>
      </c>
      <c r="Z2306" t="n">
        <v>935</v>
      </c>
      <c r="AA2306" t="n">
        <v>2.5</v>
      </c>
      <c r="AB2306" t="n">
        <v>9.5</v>
      </c>
    </row>
    <row r="2307">
      <c r="A2307" t="inlineStr">
        <is>
          <t>2026-09-24 19:09:50</t>
        </is>
      </c>
      <c r="B2307" t="inlineStr">
        <is>
          <t>MLLB_000_y1.0.3</t>
        </is>
      </c>
      <c r="C2307" t="inlineStr">
        <is>
          <t>WHITE</t>
        </is>
      </c>
      <c r="D2307" t="inlineStr">
        <is>
          <t>v4_white_MLLB_000_y103_0924</t>
        </is>
      </c>
      <c r="E2307" t="n">
        <v>2.8</v>
      </c>
      <c r="F2307" t="n">
        <v>2.808</v>
      </c>
      <c r="G2307" t="n">
        <v>100</v>
      </c>
      <c r="H2307" t="n">
        <v>80</v>
      </c>
      <c r="I2307" t="n">
        <v>47</v>
      </c>
      <c r="J2307" t="inlineStr">
        <is>
          <t>ince</t>
        </is>
      </c>
      <c r="K2307" t="b">
        <v>0</v>
      </c>
      <c r="L2307" t="inlineStr">
        <is>
          <t>iki-OK-arasi-monotonluk</t>
        </is>
      </c>
      <c r="X2307" t="b">
        <v>1</v>
      </c>
      <c r="Z2307" t="n">
        <v>935</v>
      </c>
      <c r="AA2307" t="n">
        <v>2.5</v>
      </c>
      <c r="AB2307" t="n">
        <v>9.5</v>
      </c>
    </row>
    <row r="2308">
      <c r="A2308" t="inlineStr">
        <is>
          <t>2026-09-24 19:09:50</t>
        </is>
      </c>
      <c r="B2308" t="inlineStr">
        <is>
          <t>MLLB_000_y1.0.3</t>
        </is>
      </c>
      <c r="C2308" t="inlineStr">
        <is>
          <t>WHITE</t>
        </is>
      </c>
      <c r="D2308" t="inlineStr">
        <is>
          <t>v4_white_MLLB_000_y103_0924</t>
        </is>
      </c>
      <c r="E2308" t="n">
        <v>2.8</v>
      </c>
      <c r="F2308" t="n">
        <v>2.808</v>
      </c>
      <c r="G2308" t="n">
        <v>100</v>
      </c>
      <c r="H2308" t="n">
        <v>80</v>
      </c>
      <c r="I2308" t="n">
        <v>49</v>
      </c>
      <c r="J2308" t="inlineStr">
        <is>
          <t>ince</t>
        </is>
      </c>
      <c r="K2308" t="b">
        <v>0</v>
      </c>
      <c r="L2308" t="inlineStr">
        <is>
          <t>iki-OK-arasi-monotonluk</t>
        </is>
      </c>
      <c r="X2308" t="b">
        <v>1</v>
      </c>
      <c r="Z2308" t="n">
        <v>935</v>
      </c>
      <c r="AA2308" t="n">
        <v>2.5</v>
      </c>
      <c r="AB2308" t="n">
        <v>9.5</v>
      </c>
    </row>
    <row r="2309">
      <c r="A2309" t="inlineStr">
        <is>
          <t>2026-09-24 19:09:50</t>
        </is>
      </c>
      <c r="B2309" t="inlineStr">
        <is>
          <t>MLLB_000_y1.0.3</t>
        </is>
      </c>
      <c r="C2309" t="inlineStr">
        <is>
          <t>WHITE</t>
        </is>
      </c>
      <c r="D2309" t="inlineStr">
        <is>
          <t>v4_white_MLLB_000_y103_0924</t>
        </is>
      </c>
      <c r="E2309" t="n">
        <v>2.8</v>
      </c>
      <c r="F2309" t="n">
        <v>2.808</v>
      </c>
      <c r="G2309" t="n">
        <v>100</v>
      </c>
      <c r="H2309" t="n">
        <v>80</v>
      </c>
      <c r="I2309" t="n">
        <v>50</v>
      </c>
      <c r="J2309" t="inlineStr">
        <is>
          <t>ince</t>
        </is>
      </c>
      <c r="K2309" t="b">
        <v>0</v>
      </c>
      <c r="L2309" t="inlineStr">
        <is>
          <t>iki-OK-arasi-monotonluk</t>
        </is>
      </c>
      <c r="X2309" t="b">
        <v>1</v>
      </c>
      <c r="Z2309" t="n">
        <v>935</v>
      </c>
      <c r="AA2309" t="n">
        <v>2.5</v>
      </c>
      <c r="AB2309" t="n">
        <v>9.5</v>
      </c>
    </row>
    <row r="2310">
      <c r="A2310" t="inlineStr">
        <is>
          <t>2026-09-24 19:09:50</t>
        </is>
      </c>
      <c r="B2310" t="inlineStr">
        <is>
          <t>MLLB_000_y1.0.3</t>
        </is>
      </c>
      <c r="C2310" t="inlineStr">
        <is>
          <t>WHITE</t>
        </is>
      </c>
      <c r="D2310" t="inlineStr">
        <is>
          <t>v4_white_MLLB_000_y103_0924</t>
        </is>
      </c>
      <c r="E2310" t="n">
        <v>2.8</v>
      </c>
      <c r="F2310" t="n">
        <v>2.808</v>
      </c>
      <c r="G2310" t="n">
        <v>100</v>
      </c>
      <c r="H2310" t="n">
        <v>80</v>
      </c>
      <c r="I2310" t="n">
        <v>51</v>
      </c>
      <c r="J2310" t="inlineStr">
        <is>
          <t>ince</t>
        </is>
      </c>
      <c r="K2310" t="b">
        <v>0</v>
      </c>
      <c r="L2310" t="inlineStr">
        <is>
          <t>iki-OK-arasi-monotonluk</t>
        </is>
      </c>
      <c r="X2310" t="b">
        <v>1</v>
      </c>
      <c r="Z2310" t="n">
        <v>935</v>
      </c>
      <c r="AA2310" t="n">
        <v>2.5</v>
      </c>
      <c r="AB2310" t="n">
        <v>9.5</v>
      </c>
    </row>
    <row r="2311">
      <c r="A2311" t="inlineStr">
        <is>
          <t>2026-09-24 19:09:50</t>
        </is>
      </c>
      <c r="B2311" t="inlineStr">
        <is>
          <t>MLLB_000_y1.0.3</t>
        </is>
      </c>
      <c r="C2311" t="inlineStr">
        <is>
          <t>WHITE</t>
        </is>
      </c>
      <c r="D2311" t="inlineStr">
        <is>
          <t>v4_white_MLLB_000_y103_0924</t>
        </is>
      </c>
      <c r="E2311" t="n">
        <v>2.8</v>
      </c>
      <c r="F2311" t="n">
        <v>2.808</v>
      </c>
      <c r="G2311" t="n">
        <v>100</v>
      </c>
      <c r="H2311" t="n">
        <v>80</v>
      </c>
      <c r="I2311" t="n">
        <v>53</v>
      </c>
      <c r="J2311" t="inlineStr">
        <is>
          <t>ince</t>
        </is>
      </c>
      <c r="K2311" t="b">
        <v>0</v>
      </c>
      <c r="L2311" t="inlineStr">
        <is>
          <t>iki-OK-arasi-monotonluk</t>
        </is>
      </c>
      <c r="X2311" t="b">
        <v>1</v>
      </c>
      <c r="Z2311" t="n">
        <v>935</v>
      </c>
      <c r="AA2311" t="n">
        <v>2.5</v>
      </c>
      <c r="AB2311" t="n">
        <v>9.5</v>
      </c>
    </row>
    <row r="2312">
      <c r="A2312" t="inlineStr">
        <is>
          <t>2026-09-24 19:09:50</t>
        </is>
      </c>
      <c r="B2312" t="inlineStr">
        <is>
          <t>MLLB_000_y1.0.3</t>
        </is>
      </c>
      <c r="C2312" t="inlineStr">
        <is>
          <t>WHITE</t>
        </is>
      </c>
      <c r="D2312" t="inlineStr">
        <is>
          <t>v4_white_MLLB_000_y103_0924</t>
        </is>
      </c>
      <c r="E2312" t="n">
        <v>2.8</v>
      </c>
      <c r="F2312" t="n">
        <v>2.808</v>
      </c>
      <c r="G2312" t="n">
        <v>100</v>
      </c>
      <c r="H2312" t="n">
        <v>80</v>
      </c>
      <c r="I2312" t="n">
        <v>54</v>
      </c>
      <c r="J2312" t="inlineStr">
        <is>
          <t>ince</t>
        </is>
      </c>
      <c r="K2312" t="b">
        <v>0</v>
      </c>
      <c r="L2312" t="inlineStr">
        <is>
          <t>iki-OK-arasi-monotonluk</t>
        </is>
      </c>
      <c r="X2312" t="b">
        <v>1</v>
      </c>
      <c r="Z2312" t="n">
        <v>935</v>
      </c>
      <c r="AA2312" t="n">
        <v>2.5</v>
      </c>
      <c r="AB2312" t="n">
        <v>9.5</v>
      </c>
    </row>
    <row r="2313">
      <c r="A2313" t="inlineStr">
        <is>
          <t>2026-09-24 19:09:50</t>
        </is>
      </c>
      <c r="B2313" t="inlineStr">
        <is>
          <t>MLLB_000_y1.0.3</t>
        </is>
      </c>
      <c r="C2313" t="inlineStr">
        <is>
          <t>WHITE</t>
        </is>
      </c>
      <c r="D2313" t="inlineStr">
        <is>
          <t>v4_white_MLLB_000_y103_0924</t>
        </is>
      </c>
      <c r="E2313" t="n">
        <v>2.8</v>
      </c>
      <c r="F2313" t="n">
        <v>2.808</v>
      </c>
      <c r="G2313" t="n">
        <v>100</v>
      </c>
      <c r="H2313" t="n">
        <v>80</v>
      </c>
      <c r="I2313" t="n">
        <v>55</v>
      </c>
      <c r="J2313" t="inlineStr">
        <is>
          <t>ince</t>
        </is>
      </c>
      <c r="K2313" t="b">
        <v>0</v>
      </c>
      <c r="L2313" t="inlineStr">
        <is>
          <t>iki-OK-arasi-monotonluk</t>
        </is>
      </c>
      <c r="X2313" t="b">
        <v>1</v>
      </c>
      <c r="Z2313" t="n">
        <v>935</v>
      </c>
      <c r="AA2313" t="n">
        <v>2.5</v>
      </c>
      <c r="AB2313" t="n">
        <v>9.5</v>
      </c>
    </row>
    <row r="2314">
      <c r="A2314" t="inlineStr">
        <is>
          <t>2026-09-24 19:09:50</t>
        </is>
      </c>
      <c r="B2314" t="inlineStr">
        <is>
          <t>MLLB_000_y1.0.3</t>
        </is>
      </c>
      <c r="C2314" t="inlineStr">
        <is>
          <t>WHITE</t>
        </is>
      </c>
      <c r="D2314" t="inlineStr">
        <is>
          <t>v4_white_MLLB_000_y103_0924</t>
        </is>
      </c>
      <c r="E2314" t="n">
        <v>2.8</v>
      </c>
      <c r="F2314" t="n">
        <v>2.808</v>
      </c>
      <c r="G2314" t="n">
        <v>100</v>
      </c>
      <c r="H2314" t="n">
        <v>80</v>
      </c>
      <c r="I2314" t="n">
        <v>57</v>
      </c>
      <c r="J2314" t="inlineStr">
        <is>
          <t>ince</t>
        </is>
      </c>
      <c r="K2314" t="b">
        <v>0</v>
      </c>
      <c r="L2314" t="inlineStr">
        <is>
          <t>iki-OK-arasi-monotonluk</t>
        </is>
      </c>
      <c r="X2314" t="b">
        <v>1</v>
      </c>
      <c r="Z2314" t="n">
        <v>935</v>
      </c>
      <c r="AA2314" t="n">
        <v>2.5</v>
      </c>
      <c r="AB2314" t="n">
        <v>9.5</v>
      </c>
    </row>
    <row r="2315">
      <c r="A2315" t="inlineStr">
        <is>
          <t>2026-09-24 19:09:50</t>
        </is>
      </c>
      <c r="B2315" t="inlineStr">
        <is>
          <t>MLLB_000_y1.0.3</t>
        </is>
      </c>
      <c r="C2315" t="inlineStr">
        <is>
          <t>WHITE</t>
        </is>
      </c>
      <c r="D2315" t="inlineStr">
        <is>
          <t>v4_white_MLLB_000_y103_0924</t>
        </is>
      </c>
      <c r="E2315" t="n">
        <v>2.8</v>
      </c>
      <c r="F2315" t="n">
        <v>2.808</v>
      </c>
      <c r="G2315" t="n">
        <v>100</v>
      </c>
      <c r="H2315" t="n">
        <v>80</v>
      </c>
      <c r="J2315" t="inlineStr">
        <is>
          <t>bitti</t>
        </is>
      </c>
      <c r="K2315" t="b">
        <v>0</v>
      </c>
      <c r="Z2315" t="n">
        <v>935</v>
      </c>
      <c r="AA2315" t="n">
        <v>2.5</v>
      </c>
      <c r="AB2315" t="n">
        <v>9.5</v>
      </c>
    </row>
    <row r="2316">
      <c r="A2316" t="inlineStr">
        <is>
          <t>2026-09-24 19:10:06</t>
        </is>
      </c>
      <c r="B2316" t="inlineStr">
        <is>
          <t>MLLB_000_y1.0.3</t>
        </is>
      </c>
      <c r="C2316" t="inlineStr">
        <is>
          <t>WHITE</t>
        </is>
      </c>
      <c r="D2316" t="inlineStr">
        <is>
          <t>v4_white_MLLB_000_y103_0924</t>
        </is>
      </c>
      <c r="E2316" t="n">
        <v>2.8</v>
      </c>
      <c r="F2316" t="n">
        <v>2.808</v>
      </c>
      <c r="G2316" t="n">
        <v>100</v>
      </c>
      <c r="H2316" t="n">
        <v>60</v>
      </c>
      <c r="I2316" t="n">
        <v>12</v>
      </c>
      <c r="J2316" t="inlineStr">
        <is>
          <t>kaba</t>
        </is>
      </c>
      <c r="K2316" t="b">
        <v>1</v>
      </c>
      <c r="M2316" t="n">
        <v>38</v>
      </c>
      <c r="N2316" t="n">
        <v>28</v>
      </c>
      <c r="O2316" t="n">
        <v>18</v>
      </c>
      <c r="P2316" t="n">
        <v>964</v>
      </c>
      <c r="Q2316" t="n">
        <v>1002</v>
      </c>
      <c r="R2316" t="n">
        <v>1.066</v>
      </c>
      <c r="S2316" t="n">
        <v>240.782</v>
      </c>
      <c r="T2316" t="n">
        <v>225.892</v>
      </c>
      <c r="U2316" t="n">
        <v>0.778</v>
      </c>
      <c r="V2316" t="b">
        <v>1</v>
      </c>
      <c r="X2316" t="b">
        <v>1</v>
      </c>
      <c r="Z2316" t="n">
        <v>935</v>
      </c>
      <c r="AA2316" t="n">
        <v>2.5</v>
      </c>
      <c r="AB2316" t="n">
        <v>9.5</v>
      </c>
    </row>
    <row r="2317">
      <c r="A2317" t="inlineStr">
        <is>
          <t>2026-09-24 19:10:22</t>
        </is>
      </c>
      <c r="B2317" t="inlineStr">
        <is>
          <t>MLLB_000_y1.0.3</t>
        </is>
      </c>
      <c r="C2317" t="inlineStr">
        <is>
          <t>WHITE</t>
        </is>
      </c>
      <c r="D2317" t="inlineStr">
        <is>
          <t>v4_white_MLLB_000_y103_0924</t>
        </is>
      </c>
      <c r="E2317" t="n">
        <v>2.8</v>
      </c>
      <c r="F2317" t="n">
        <v>2.808</v>
      </c>
      <c r="G2317" t="n">
        <v>100</v>
      </c>
      <c r="H2317" t="n">
        <v>60</v>
      </c>
      <c r="I2317" t="n">
        <v>16</v>
      </c>
      <c r="J2317" t="inlineStr">
        <is>
          <t>kaba</t>
        </is>
      </c>
      <c r="K2317" t="b">
        <v>1</v>
      </c>
      <c r="M2317" t="n">
        <v>38</v>
      </c>
      <c r="N2317" t="n">
        <v>28</v>
      </c>
      <c r="O2317" t="n">
        <v>18</v>
      </c>
      <c r="P2317" t="n">
        <v>964</v>
      </c>
      <c r="Q2317" t="n">
        <v>1002</v>
      </c>
      <c r="R2317" t="n">
        <v>1.065</v>
      </c>
      <c r="S2317" t="n">
        <v>240.782</v>
      </c>
      <c r="T2317" t="n">
        <v>226.125</v>
      </c>
      <c r="U2317" t="n">
        <v>0.7784</v>
      </c>
      <c r="V2317" t="b">
        <v>1</v>
      </c>
      <c r="X2317" t="b">
        <v>1</v>
      </c>
      <c r="Z2317" t="n">
        <v>935</v>
      </c>
      <c r="AA2317" t="n">
        <v>2.5</v>
      </c>
      <c r="AB2317" t="n">
        <v>9.5</v>
      </c>
    </row>
    <row r="2318">
      <c r="A2318" t="inlineStr">
        <is>
          <t>2026-09-24 19:10:38</t>
        </is>
      </c>
      <c r="B2318" t="inlineStr">
        <is>
          <t>MLLB_000_y1.0.3</t>
        </is>
      </c>
      <c r="C2318" t="inlineStr">
        <is>
          <t>WHITE</t>
        </is>
      </c>
      <c r="D2318" t="inlineStr">
        <is>
          <t>v4_white_MLLB_000_y103_0924</t>
        </is>
      </c>
      <c r="E2318" t="n">
        <v>2.8</v>
      </c>
      <c r="F2318" t="n">
        <v>2.808</v>
      </c>
      <c r="G2318" t="n">
        <v>100</v>
      </c>
      <c r="H2318" t="n">
        <v>60</v>
      </c>
      <c r="I2318" t="n">
        <v>20</v>
      </c>
      <c r="J2318" t="inlineStr">
        <is>
          <t>kaba</t>
        </is>
      </c>
      <c r="K2318" t="b">
        <v>1</v>
      </c>
      <c r="M2318" t="n">
        <v>38</v>
      </c>
      <c r="N2318" t="n">
        <v>28</v>
      </c>
      <c r="O2318" t="n">
        <v>18</v>
      </c>
      <c r="P2318" t="n">
        <v>964</v>
      </c>
      <c r="Q2318" t="n">
        <v>1002</v>
      </c>
      <c r="R2318" t="n">
        <v>1.066</v>
      </c>
      <c r="S2318" t="n">
        <v>240.782</v>
      </c>
      <c r="T2318" t="n">
        <v>225.905</v>
      </c>
      <c r="U2318" t="n">
        <v>0.7779</v>
      </c>
      <c r="V2318" t="b">
        <v>1</v>
      </c>
      <c r="X2318" t="b">
        <v>1</v>
      </c>
      <c r="Z2318" t="n">
        <v>935</v>
      </c>
      <c r="AA2318" t="n">
        <v>2.5</v>
      </c>
      <c r="AB2318" t="n">
        <v>9.5</v>
      </c>
    </row>
    <row r="2319">
      <c r="A2319" t="inlineStr">
        <is>
          <t>2026-09-24 19:10:54</t>
        </is>
      </c>
      <c r="B2319" t="inlineStr">
        <is>
          <t>MLLB_000_y1.0.3</t>
        </is>
      </c>
      <c r="C2319" t="inlineStr">
        <is>
          <t>WHITE</t>
        </is>
      </c>
      <c r="D2319" t="inlineStr">
        <is>
          <t>v4_white_MLLB_000_y103_0924</t>
        </is>
      </c>
      <c r="E2319" t="n">
        <v>2.8</v>
      </c>
      <c r="F2319" t="n">
        <v>2.808</v>
      </c>
      <c r="G2319" t="n">
        <v>100</v>
      </c>
      <c r="H2319" t="n">
        <v>60</v>
      </c>
      <c r="I2319" t="n">
        <v>24</v>
      </c>
      <c r="J2319" t="inlineStr">
        <is>
          <t>kaba</t>
        </is>
      </c>
      <c r="K2319" t="b">
        <v>1</v>
      </c>
      <c r="M2319" t="n">
        <v>38</v>
      </c>
      <c r="N2319" t="n">
        <v>28</v>
      </c>
      <c r="O2319" t="n">
        <v>18</v>
      </c>
      <c r="P2319" t="n">
        <v>964</v>
      </c>
      <c r="Q2319" t="n">
        <v>1002</v>
      </c>
      <c r="R2319" t="n">
        <v>1.066</v>
      </c>
      <c r="S2319" t="n">
        <v>240.819</v>
      </c>
      <c r="T2319" t="n">
        <v>225.917</v>
      </c>
      <c r="U2319" t="n">
        <v>0.778</v>
      </c>
      <c r="V2319" t="b">
        <v>1</v>
      </c>
      <c r="X2319" t="b">
        <v>1</v>
      </c>
      <c r="Z2319" t="n">
        <v>935</v>
      </c>
      <c r="AA2319" t="n">
        <v>2.5</v>
      </c>
      <c r="AB2319" t="n">
        <v>9.5</v>
      </c>
    </row>
    <row r="2320">
      <c r="A2320" t="inlineStr">
        <is>
          <t>2026-09-24 19:11:10</t>
        </is>
      </c>
      <c r="B2320" t="inlineStr">
        <is>
          <t>MLLB_000_y1.0.3</t>
        </is>
      </c>
      <c r="C2320" t="inlineStr">
        <is>
          <t>WHITE</t>
        </is>
      </c>
      <c r="D2320" t="inlineStr">
        <is>
          <t>v4_white_MLLB_000_y103_0924</t>
        </is>
      </c>
      <c r="E2320" t="n">
        <v>2.8</v>
      </c>
      <c r="F2320" t="n">
        <v>2.808</v>
      </c>
      <c r="G2320" t="n">
        <v>100</v>
      </c>
      <c r="H2320" t="n">
        <v>60</v>
      </c>
      <c r="I2320" t="n">
        <v>28</v>
      </c>
      <c r="J2320" t="inlineStr">
        <is>
          <t>kaba</t>
        </is>
      </c>
      <c r="K2320" t="b">
        <v>1</v>
      </c>
      <c r="M2320" t="n">
        <v>38</v>
      </c>
      <c r="N2320" t="n">
        <v>28</v>
      </c>
      <c r="O2320" t="n">
        <v>18</v>
      </c>
      <c r="P2320" t="n">
        <v>964</v>
      </c>
      <c r="Q2320" t="n">
        <v>1002</v>
      </c>
      <c r="R2320" t="n">
        <v>1.069</v>
      </c>
      <c r="S2320" t="n">
        <v>241.552</v>
      </c>
      <c r="T2320" t="n">
        <v>225.895</v>
      </c>
      <c r="U2320" t="n">
        <v>0.7779</v>
      </c>
      <c r="V2320" t="b">
        <v>1</v>
      </c>
      <c r="X2320" t="b">
        <v>1</v>
      </c>
      <c r="Z2320" t="n">
        <v>935</v>
      </c>
      <c r="AA2320" t="n">
        <v>2.5</v>
      </c>
      <c r="AB2320" t="n">
        <v>9.5</v>
      </c>
    </row>
    <row r="2321">
      <c r="A2321" t="inlineStr">
        <is>
          <t>2026-09-24 19:11:26</t>
        </is>
      </c>
      <c r="B2321" t="inlineStr">
        <is>
          <t>MLLB_000_y1.0.3</t>
        </is>
      </c>
      <c r="C2321" t="inlineStr">
        <is>
          <t>WHITE</t>
        </is>
      </c>
      <c r="D2321" t="inlineStr">
        <is>
          <t>v4_white_MLLB_000_y103_0924</t>
        </is>
      </c>
      <c r="E2321" t="n">
        <v>2.8</v>
      </c>
      <c r="F2321" t="n">
        <v>2.808</v>
      </c>
      <c r="G2321" t="n">
        <v>100</v>
      </c>
      <c r="H2321" t="n">
        <v>60</v>
      </c>
      <c r="I2321" t="n">
        <v>32</v>
      </c>
      <c r="J2321" t="inlineStr">
        <is>
          <t>kaba</t>
        </is>
      </c>
      <c r="K2321" t="b">
        <v>1</v>
      </c>
      <c r="M2321" t="n">
        <v>38</v>
      </c>
      <c r="N2321" t="n">
        <v>28</v>
      </c>
      <c r="O2321" t="n">
        <v>18</v>
      </c>
      <c r="P2321" t="n">
        <v>964</v>
      </c>
      <c r="Q2321" t="n">
        <v>1002</v>
      </c>
      <c r="R2321" t="n">
        <v>1.065</v>
      </c>
      <c r="S2321" t="n">
        <v>240.782</v>
      </c>
      <c r="T2321" t="n">
        <v>226.068</v>
      </c>
      <c r="U2321" t="n">
        <v>0.7781</v>
      </c>
      <c r="V2321" t="b">
        <v>1</v>
      </c>
      <c r="X2321" t="b">
        <v>1</v>
      </c>
      <c r="Z2321" t="n">
        <v>935</v>
      </c>
      <c r="AA2321" t="n">
        <v>2.5</v>
      </c>
      <c r="AB2321" t="n">
        <v>9.5</v>
      </c>
    </row>
    <row r="2322">
      <c r="A2322" t="inlineStr">
        <is>
          <t>2026-09-24 19:11:38</t>
        </is>
      </c>
      <c r="B2322" t="inlineStr">
        <is>
          <t>MLLB_000_y1.0.3</t>
        </is>
      </c>
      <c r="C2322" t="inlineStr">
        <is>
          <t>WHITE</t>
        </is>
      </c>
      <c r="D2322" t="inlineStr">
        <is>
          <t>v4_white_MLLB_000_y103_0924</t>
        </is>
      </c>
      <c r="E2322" t="n">
        <v>2.8</v>
      </c>
      <c r="F2322" t="n">
        <v>2.808</v>
      </c>
      <c r="G2322" t="n">
        <v>100</v>
      </c>
      <c r="H2322" t="n">
        <v>60</v>
      </c>
      <c r="I2322" t="n">
        <v>36</v>
      </c>
      <c r="J2322" t="inlineStr">
        <is>
          <t>kaba</t>
        </is>
      </c>
      <c r="K2322" t="b">
        <v>1</v>
      </c>
      <c r="M2322" t="n">
        <v>38</v>
      </c>
      <c r="N2322" t="n">
        <v>28</v>
      </c>
      <c r="O2322" t="n">
        <v>18</v>
      </c>
      <c r="P2322" t="n">
        <v>964</v>
      </c>
      <c r="Q2322" t="n">
        <v>1002</v>
      </c>
      <c r="R2322" t="n">
        <v>1.069</v>
      </c>
      <c r="S2322" t="n">
        <v>241.413</v>
      </c>
      <c r="T2322" t="n">
        <v>225.812</v>
      </c>
      <c r="U2322" t="n">
        <v>0.7776</v>
      </c>
      <c r="V2322" t="b">
        <v>1</v>
      </c>
      <c r="X2322" t="b">
        <v>1</v>
      </c>
      <c r="Z2322" t="n">
        <v>935</v>
      </c>
      <c r="AA2322" t="n">
        <v>2.5</v>
      </c>
      <c r="AB2322" t="n">
        <v>9.5</v>
      </c>
    </row>
    <row r="2323">
      <c r="A2323" t="inlineStr">
        <is>
          <t>2026-09-24 19:11:54</t>
        </is>
      </c>
      <c r="B2323" t="inlineStr">
        <is>
          <t>MLLB_000_y1.0.3</t>
        </is>
      </c>
      <c r="C2323" t="inlineStr">
        <is>
          <t>WHITE</t>
        </is>
      </c>
      <c r="D2323" t="inlineStr">
        <is>
          <t>v4_white_MLLB_000_y103_0924</t>
        </is>
      </c>
      <c r="E2323" t="n">
        <v>2.8</v>
      </c>
      <c r="F2323" t="n">
        <v>2.808</v>
      </c>
      <c r="G2323" t="n">
        <v>100</v>
      </c>
      <c r="H2323" t="n">
        <v>60</v>
      </c>
      <c r="I2323" t="n">
        <v>40</v>
      </c>
      <c r="J2323" t="inlineStr">
        <is>
          <t>kaba</t>
        </is>
      </c>
      <c r="K2323" t="b">
        <v>1</v>
      </c>
      <c r="M2323" t="n">
        <v>38</v>
      </c>
      <c r="N2323" t="n">
        <v>28</v>
      </c>
      <c r="O2323" t="n">
        <v>18</v>
      </c>
      <c r="P2323" t="n">
        <v>964</v>
      </c>
      <c r="Q2323" t="n">
        <v>1002</v>
      </c>
      <c r="R2323" t="n">
        <v>1.066</v>
      </c>
      <c r="S2323" t="n">
        <v>240.831</v>
      </c>
      <c r="T2323" t="n">
        <v>225.924</v>
      </c>
      <c r="U2323" t="n">
        <v>0.7782</v>
      </c>
      <c r="V2323" t="b">
        <v>1</v>
      </c>
      <c r="X2323" t="b">
        <v>1</v>
      </c>
      <c r="Z2323" t="n">
        <v>935</v>
      </c>
      <c r="AA2323" t="n">
        <v>2.5</v>
      </c>
      <c r="AB2323" t="n">
        <v>9.5</v>
      </c>
    </row>
    <row r="2324">
      <c r="A2324" t="inlineStr">
        <is>
          <t>2026-09-24 19:12:10</t>
        </is>
      </c>
      <c r="B2324" t="inlineStr">
        <is>
          <t>MLLB_000_y1.0.3</t>
        </is>
      </c>
      <c r="C2324" t="inlineStr">
        <is>
          <t>WHITE</t>
        </is>
      </c>
      <c r="D2324" t="inlineStr">
        <is>
          <t>v4_white_MLLB_000_y103_0924</t>
        </is>
      </c>
      <c r="E2324" t="n">
        <v>2.8</v>
      </c>
      <c r="F2324" t="n">
        <v>2.808</v>
      </c>
      <c r="G2324" t="n">
        <v>100</v>
      </c>
      <c r="H2324" t="n">
        <v>60</v>
      </c>
      <c r="I2324" t="n">
        <v>44</v>
      </c>
      <c r="J2324" t="inlineStr">
        <is>
          <t>kaba</t>
        </is>
      </c>
      <c r="K2324" t="b">
        <v>1</v>
      </c>
      <c r="M2324" t="n">
        <v>38</v>
      </c>
      <c r="N2324" t="n">
        <v>28</v>
      </c>
      <c r="O2324" t="n">
        <v>18</v>
      </c>
      <c r="P2324" t="n">
        <v>964</v>
      </c>
      <c r="Q2324" t="n">
        <v>1002</v>
      </c>
      <c r="R2324" t="n">
        <v>1.066</v>
      </c>
      <c r="S2324" t="n">
        <v>240.867</v>
      </c>
      <c r="T2324" t="n">
        <v>225.968</v>
      </c>
      <c r="U2324" t="n">
        <v>0.778</v>
      </c>
      <c r="V2324" t="b">
        <v>1</v>
      </c>
      <c r="X2324" t="b">
        <v>1</v>
      </c>
      <c r="Z2324" t="n">
        <v>935</v>
      </c>
      <c r="AA2324" t="n">
        <v>2.5</v>
      </c>
      <c r="AB2324" t="n">
        <v>9.5</v>
      </c>
    </row>
    <row r="2325">
      <c r="A2325" t="inlineStr">
        <is>
          <t>2026-09-24 19:12:26</t>
        </is>
      </c>
      <c r="B2325" t="inlineStr">
        <is>
          <t>MLLB_000_y1.0.3</t>
        </is>
      </c>
      <c r="C2325" t="inlineStr">
        <is>
          <t>WHITE</t>
        </is>
      </c>
      <c r="D2325" t="inlineStr">
        <is>
          <t>v4_white_MLLB_000_y103_0924</t>
        </is>
      </c>
      <c r="E2325" t="n">
        <v>2.8</v>
      </c>
      <c r="F2325" t="n">
        <v>2.808</v>
      </c>
      <c r="G2325" t="n">
        <v>100</v>
      </c>
      <c r="H2325" t="n">
        <v>60</v>
      </c>
      <c r="I2325" t="n">
        <v>48</v>
      </c>
      <c r="J2325" t="inlineStr">
        <is>
          <t>kaba</t>
        </is>
      </c>
      <c r="K2325" t="b">
        <v>1</v>
      </c>
      <c r="M2325" t="n">
        <v>38</v>
      </c>
      <c r="N2325" t="n">
        <v>28</v>
      </c>
      <c r="O2325" t="n">
        <v>18</v>
      </c>
      <c r="P2325" t="n">
        <v>964</v>
      </c>
      <c r="Q2325" t="n">
        <v>1002</v>
      </c>
      <c r="R2325" t="n">
        <v>1.066</v>
      </c>
      <c r="S2325" t="n">
        <v>240.782</v>
      </c>
      <c r="T2325" t="n">
        <v>225.932</v>
      </c>
      <c r="U2325" t="n">
        <v>0.7781</v>
      </c>
      <c r="V2325" t="b">
        <v>1</v>
      </c>
      <c r="X2325" t="b">
        <v>1</v>
      </c>
      <c r="Z2325" t="n">
        <v>935</v>
      </c>
      <c r="AA2325" t="n">
        <v>2.5</v>
      </c>
      <c r="AB2325" t="n">
        <v>9.5</v>
      </c>
    </row>
    <row r="2326">
      <c r="A2326" t="inlineStr">
        <is>
          <t>2026-09-24 19:12:42</t>
        </is>
      </c>
      <c r="B2326" t="inlineStr">
        <is>
          <t>MLLB_000_y1.0.3</t>
        </is>
      </c>
      <c r="C2326" t="inlineStr">
        <is>
          <t>WHITE</t>
        </is>
      </c>
      <c r="D2326" t="inlineStr">
        <is>
          <t>v4_white_MLLB_000_y103_0924</t>
        </is>
      </c>
      <c r="E2326" t="n">
        <v>2.8</v>
      </c>
      <c r="F2326" t="n">
        <v>2.808</v>
      </c>
      <c r="G2326" t="n">
        <v>100</v>
      </c>
      <c r="H2326" t="n">
        <v>60</v>
      </c>
      <c r="I2326" t="n">
        <v>52</v>
      </c>
      <c r="J2326" t="inlineStr">
        <is>
          <t>kaba</t>
        </is>
      </c>
      <c r="K2326" t="b">
        <v>1</v>
      </c>
      <c r="M2326" t="n">
        <v>38</v>
      </c>
      <c r="N2326" t="n">
        <v>28</v>
      </c>
      <c r="O2326" t="n">
        <v>18</v>
      </c>
      <c r="P2326" t="n">
        <v>964</v>
      </c>
      <c r="Q2326" t="n">
        <v>1002</v>
      </c>
      <c r="R2326" t="n">
        <v>1.066</v>
      </c>
      <c r="S2326" t="n">
        <v>240.782</v>
      </c>
      <c r="T2326" t="n">
        <v>225.838</v>
      </c>
      <c r="U2326" t="n">
        <v>0.7779</v>
      </c>
      <c r="V2326" t="b">
        <v>1</v>
      </c>
      <c r="X2326" t="b">
        <v>1</v>
      </c>
      <c r="Z2326" t="n">
        <v>935</v>
      </c>
      <c r="AA2326" t="n">
        <v>2.5</v>
      </c>
      <c r="AB2326" t="n">
        <v>9.5</v>
      </c>
    </row>
    <row r="2327">
      <c r="A2327" t="inlineStr">
        <is>
          <t>2026-09-24 19:12:58</t>
        </is>
      </c>
      <c r="B2327" t="inlineStr">
        <is>
          <t>MLLB_000_y1.0.3</t>
        </is>
      </c>
      <c r="C2327" t="inlineStr">
        <is>
          <t>WHITE</t>
        </is>
      </c>
      <c r="D2327" t="inlineStr">
        <is>
          <t>v4_white_MLLB_000_y103_0924</t>
        </is>
      </c>
      <c r="E2327" t="n">
        <v>2.8</v>
      </c>
      <c r="F2327" t="n">
        <v>2.808</v>
      </c>
      <c r="G2327" t="n">
        <v>100</v>
      </c>
      <c r="H2327" t="n">
        <v>60</v>
      </c>
      <c r="I2327" t="n">
        <v>56</v>
      </c>
      <c r="J2327" t="inlineStr">
        <is>
          <t>kaba</t>
        </is>
      </c>
      <c r="K2327" t="b">
        <v>1</v>
      </c>
      <c r="M2327" t="n">
        <v>38</v>
      </c>
      <c r="N2327" t="n">
        <v>28</v>
      </c>
      <c r="O2327" t="n">
        <v>18</v>
      </c>
      <c r="P2327" t="n">
        <v>964</v>
      </c>
      <c r="Q2327" t="n">
        <v>1002</v>
      </c>
      <c r="R2327" t="n">
        <v>1.066</v>
      </c>
      <c r="S2327" t="n">
        <v>240.782</v>
      </c>
      <c r="T2327" t="n">
        <v>225.779</v>
      </c>
      <c r="U2327" t="n">
        <v>0.7778</v>
      </c>
      <c r="V2327" t="b">
        <v>1</v>
      </c>
      <c r="X2327" t="b">
        <v>1</v>
      </c>
      <c r="Z2327" t="n">
        <v>935</v>
      </c>
      <c r="AA2327" t="n">
        <v>2.5</v>
      </c>
      <c r="AB2327" t="n">
        <v>9.5</v>
      </c>
    </row>
    <row r="2328">
      <c r="A2328" t="inlineStr">
        <is>
          <t>2026-09-24 19:13:14</t>
        </is>
      </c>
      <c r="B2328" t="inlineStr">
        <is>
          <t>MLLB_000_y1.0.3</t>
        </is>
      </c>
      <c r="C2328" t="inlineStr">
        <is>
          <t>WHITE</t>
        </is>
      </c>
      <c r="D2328" t="inlineStr">
        <is>
          <t>v4_white_MLLB_000_y103_0924</t>
        </is>
      </c>
      <c r="E2328" t="n">
        <v>2.8</v>
      </c>
      <c r="F2328" t="n">
        <v>2.808</v>
      </c>
      <c r="G2328" t="n">
        <v>100</v>
      </c>
      <c r="H2328" t="n">
        <v>60</v>
      </c>
      <c r="I2328" t="n">
        <v>58</v>
      </c>
      <c r="J2328" t="inlineStr">
        <is>
          <t>kaba</t>
        </is>
      </c>
      <c r="K2328" t="b">
        <v>1</v>
      </c>
      <c r="M2328" t="n">
        <v>38</v>
      </c>
      <c r="N2328" t="n">
        <v>28</v>
      </c>
      <c r="O2328" t="n">
        <v>18</v>
      </c>
      <c r="P2328" t="n">
        <v>964</v>
      </c>
      <c r="Q2328" t="n">
        <v>1002</v>
      </c>
      <c r="R2328" t="n">
        <v>1.066</v>
      </c>
      <c r="S2328" t="n">
        <v>240.782</v>
      </c>
      <c r="T2328" t="n">
        <v>225.913</v>
      </c>
      <c r="U2328" t="n">
        <v>0.7785</v>
      </c>
      <c r="V2328" t="b">
        <v>1</v>
      </c>
      <c r="X2328" t="b">
        <v>1</v>
      </c>
      <c r="Z2328" t="n">
        <v>935</v>
      </c>
      <c r="AA2328" t="n">
        <v>2.5</v>
      </c>
      <c r="AB2328" t="n">
        <v>9.5</v>
      </c>
    </row>
    <row r="2329">
      <c r="A2329" t="inlineStr">
        <is>
          <t>2026-09-24 19:13:14</t>
        </is>
      </c>
      <c r="B2329" t="inlineStr">
        <is>
          <t>MLLB_000_y1.0.3</t>
        </is>
      </c>
      <c r="C2329" t="inlineStr">
        <is>
          <t>WHITE</t>
        </is>
      </c>
      <c r="D2329" t="inlineStr">
        <is>
          <t>v4_white_MLLB_000_y103_0924</t>
        </is>
      </c>
      <c r="E2329" t="n">
        <v>2.8</v>
      </c>
      <c r="F2329" t="n">
        <v>2.808</v>
      </c>
      <c r="G2329" t="n">
        <v>100</v>
      </c>
      <c r="H2329" t="n">
        <v>60</v>
      </c>
      <c r="I2329" t="n">
        <v>13</v>
      </c>
      <c r="J2329" t="inlineStr">
        <is>
          <t>ince</t>
        </is>
      </c>
      <c r="K2329" t="b">
        <v>0</v>
      </c>
      <c r="L2329" t="inlineStr">
        <is>
          <t>iki-OK-arasi-monotonluk</t>
        </is>
      </c>
      <c r="X2329" t="b">
        <v>1</v>
      </c>
      <c r="Z2329" t="n">
        <v>935</v>
      </c>
      <c r="AA2329" t="n">
        <v>2.5</v>
      </c>
      <c r="AB2329" t="n">
        <v>9.5</v>
      </c>
    </row>
    <row r="2330">
      <c r="A2330" t="inlineStr">
        <is>
          <t>2026-09-24 19:13:14</t>
        </is>
      </c>
      <c r="B2330" t="inlineStr">
        <is>
          <t>MLLB_000_y1.0.3</t>
        </is>
      </c>
      <c r="C2330" t="inlineStr">
        <is>
          <t>WHITE</t>
        </is>
      </c>
      <c r="D2330" t="inlineStr">
        <is>
          <t>v4_white_MLLB_000_y103_0924</t>
        </is>
      </c>
      <c r="E2330" t="n">
        <v>2.8</v>
      </c>
      <c r="F2330" t="n">
        <v>2.808</v>
      </c>
      <c r="G2330" t="n">
        <v>100</v>
      </c>
      <c r="H2330" t="n">
        <v>60</v>
      </c>
      <c r="I2330" t="n">
        <v>14</v>
      </c>
      <c r="J2330" t="inlineStr">
        <is>
          <t>ince</t>
        </is>
      </c>
      <c r="K2330" t="b">
        <v>0</v>
      </c>
      <c r="L2330" t="inlineStr">
        <is>
          <t>iki-OK-arasi-monotonluk</t>
        </is>
      </c>
      <c r="X2330" t="b">
        <v>1</v>
      </c>
      <c r="Z2330" t="n">
        <v>935</v>
      </c>
      <c r="AA2330" t="n">
        <v>2.5</v>
      </c>
      <c r="AB2330" t="n">
        <v>9.5</v>
      </c>
    </row>
    <row r="2331">
      <c r="A2331" t="inlineStr">
        <is>
          <t>2026-09-24 19:13:14</t>
        </is>
      </c>
      <c r="B2331" t="inlineStr">
        <is>
          <t>MLLB_000_y1.0.3</t>
        </is>
      </c>
      <c r="C2331" t="inlineStr">
        <is>
          <t>WHITE</t>
        </is>
      </c>
      <c r="D2331" t="inlineStr">
        <is>
          <t>v4_white_MLLB_000_y103_0924</t>
        </is>
      </c>
      <c r="E2331" t="n">
        <v>2.8</v>
      </c>
      <c r="F2331" t="n">
        <v>2.808</v>
      </c>
      <c r="G2331" t="n">
        <v>100</v>
      </c>
      <c r="H2331" t="n">
        <v>60</v>
      </c>
      <c r="I2331" t="n">
        <v>15</v>
      </c>
      <c r="J2331" t="inlineStr">
        <is>
          <t>ince</t>
        </is>
      </c>
      <c r="K2331" t="b">
        <v>0</v>
      </c>
      <c r="L2331" t="inlineStr">
        <is>
          <t>iki-OK-arasi-monotonluk</t>
        </is>
      </c>
      <c r="X2331" t="b">
        <v>1</v>
      </c>
      <c r="Z2331" t="n">
        <v>935</v>
      </c>
      <c r="AA2331" t="n">
        <v>2.5</v>
      </c>
      <c r="AB2331" t="n">
        <v>9.5</v>
      </c>
    </row>
    <row r="2332">
      <c r="A2332" t="inlineStr">
        <is>
          <t>2026-09-24 19:13:14</t>
        </is>
      </c>
      <c r="B2332" t="inlineStr">
        <is>
          <t>MLLB_000_y1.0.3</t>
        </is>
      </c>
      <c r="C2332" t="inlineStr">
        <is>
          <t>WHITE</t>
        </is>
      </c>
      <c r="D2332" t="inlineStr">
        <is>
          <t>v4_white_MLLB_000_y103_0924</t>
        </is>
      </c>
      <c r="E2332" t="n">
        <v>2.8</v>
      </c>
      <c r="F2332" t="n">
        <v>2.808</v>
      </c>
      <c r="G2332" t="n">
        <v>100</v>
      </c>
      <c r="H2332" t="n">
        <v>60</v>
      </c>
      <c r="I2332" t="n">
        <v>17</v>
      </c>
      <c r="J2332" t="inlineStr">
        <is>
          <t>ince</t>
        </is>
      </c>
      <c r="K2332" t="b">
        <v>0</v>
      </c>
      <c r="L2332" t="inlineStr">
        <is>
          <t>iki-OK-arasi-monotonluk</t>
        </is>
      </c>
      <c r="X2332" t="b">
        <v>1</v>
      </c>
      <c r="Z2332" t="n">
        <v>935</v>
      </c>
      <c r="AA2332" t="n">
        <v>2.5</v>
      </c>
      <c r="AB2332" t="n">
        <v>9.5</v>
      </c>
    </row>
    <row r="2333">
      <c r="A2333" t="inlineStr">
        <is>
          <t>2026-09-24 19:13:14</t>
        </is>
      </c>
      <c r="B2333" t="inlineStr">
        <is>
          <t>MLLB_000_y1.0.3</t>
        </is>
      </c>
      <c r="C2333" t="inlineStr">
        <is>
          <t>WHITE</t>
        </is>
      </c>
      <c r="D2333" t="inlineStr">
        <is>
          <t>v4_white_MLLB_000_y103_0924</t>
        </is>
      </c>
      <c r="E2333" t="n">
        <v>2.8</v>
      </c>
      <c r="F2333" t="n">
        <v>2.808</v>
      </c>
      <c r="G2333" t="n">
        <v>100</v>
      </c>
      <c r="H2333" t="n">
        <v>60</v>
      </c>
      <c r="I2333" t="n">
        <v>18</v>
      </c>
      <c r="J2333" t="inlineStr">
        <is>
          <t>ince</t>
        </is>
      </c>
      <c r="K2333" t="b">
        <v>0</v>
      </c>
      <c r="L2333" t="inlineStr">
        <is>
          <t>iki-OK-arasi-monotonluk</t>
        </is>
      </c>
      <c r="X2333" t="b">
        <v>1</v>
      </c>
      <c r="Z2333" t="n">
        <v>935</v>
      </c>
      <c r="AA2333" t="n">
        <v>2.5</v>
      </c>
      <c r="AB2333" t="n">
        <v>9.5</v>
      </c>
    </row>
    <row r="2334">
      <c r="A2334" t="inlineStr">
        <is>
          <t>2026-09-24 19:13:14</t>
        </is>
      </c>
      <c r="B2334" t="inlineStr">
        <is>
          <t>MLLB_000_y1.0.3</t>
        </is>
      </c>
      <c r="C2334" t="inlineStr">
        <is>
          <t>WHITE</t>
        </is>
      </c>
      <c r="D2334" t="inlineStr">
        <is>
          <t>v4_white_MLLB_000_y103_0924</t>
        </is>
      </c>
      <c r="E2334" t="n">
        <v>2.8</v>
      </c>
      <c r="F2334" t="n">
        <v>2.808</v>
      </c>
      <c r="G2334" t="n">
        <v>100</v>
      </c>
      <c r="H2334" t="n">
        <v>60</v>
      </c>
      <c r="I2334" t="n">
        <v>19</v>
      </c>
      <c r="J2334" t="inlineStr">
        <is>
          <t>ince</t>
        </is>
      </c>
      <c r="K2334" t="b">
        <v>0</v>
      </c>
      <c r="L2334" t="inlineStr">
        <is>
          <t>iki-OK-arasi-monotonluk</t>
        </is>
      </c>
      <c r="X2334" t="b">
        <v>1</v>
      </c>
      <c r="Z2334" t="n">
        <v>935</v>
      </c>
      <c r="AA2334" t="n">
        <v>2.5</v>
      </c>
      <c r="AB2334" t="n">
        <v>9.5</v>
      </c>
    </row>
    <row r="2335">
      <c r="A2335" t="inlineStr">
        <is>
          <t>2026-09-24 19:13:14</t>
        </is>
      </c>
      <c r="B2335" t="inlineStr">
        <is>
          <t>MLLB_000_y1.0.3</t>
        </is>
      </c>
      <c r="C2335" t="inlineStr">
        <is>
          <t>WHITE</t>
        </is>
      </c>
      <c r="D2335" t="inlineStr">
        <is>
          <t>v4_white_MLLB_000_y103_0924</t>
        </is>
      </c>
      <c r="E2335" t="n">
        <v>2.8</v>
      </c>
      <c r="F2335" t="n">
        <v>2.808</v>
      </c>
      <c r="G2335" t="n">
        <v>100</v>
      </c>
      <c r="H2335" t="n">
        <v>60</v>
      </c>
      <c r="I2335" t="n">
        <v>21</v>
      </c>
      <c r="J2335" t="inlineStr">
        <is>
          <t>ince</t>
        </is>
      </c>
      <c r="K2335" t="b">
        <v>0</v>
      </c>
      <c r="L2335" t="inlineStr">
        <is>
          <t>iki-OK-arasi-monotonluk</t>
        </is>
      </c>
      <c r="X2335" t="b">
        <v>1</v>
      </c>
      <c r="Z2335" t="n">
        <v>935</v>
      </c>
      <c r="AA2335" t="n">
        <v>2.5</v>
      </c>
      <c r="AB2335" t="n">
        <v>9.5</v>
      </c>
    </row>
    <row r="2336">
      <c r="A2336" t="inlineStr">
        <is>
          <t>2026-09-24 19:13:14</t>
        </is>
      </c>
      <c r="B2336" t="inlineStr">
        <is>
          <t>MLLB_000_y1.0.3</t>
        </is>
      </c>
      <c r="C2336" t="inlineStr">
        <is>
          <t>WHITE</t>
        </is>
      </c>
      <c r="D2336" t="inlineStr">
        <is>
          <t>v4_white_MLLB_000_y103_0924</t>
        </is>
      </c>
      <c r="E2336" t="n">
        <v>2.8</v>
      </c>
      <c r="F2336" t="n">
        <v>2.808</v>
      </c>
      <c r="G2336" t="n">
        <v>100</v>
      </c>
      <c r="H2336" t="n">
        <v>60</v>
      </c>
      <c r="I2336" t="n">
        <v>22</v>
      </c>
      <c r="J2336" t="inlineStr">
        <is>
          <t>ince</t>
        </is>
      </c>
      <c r="K2336" t="b">
        <v>0</v>
      </c>
      <c r="L2336" t="inlineStr">
        <is>
          <t>iki-OK-arasi-monotonluk</t>
        </is>
      </c>
      <c r="X2336" t="b">
        <v>1</v>
      </c>
      <c r="Z2336" t="n">
        <v>935</v>
      </c>
      <c r="AA2336" t="n">
        <v>2.5</v>
      </c>
      <c r="AB2336" t="n">
        <v>9.5</v>
      </c>
    </row>
    <row r="2337">
      <c r="A2337" t="inlineStr">
        <is>
          <t>2026-09-24 19:13:14</t>
        </is>
      </c>
      <c r="B2337" t="inlineStr">
        <is>
          <t>MLLB_000_y1.0.3</t>
        </is>
      </c>
      <c r="C2337" t="inlineStr">
        <is>
          <t>WHITE</t>
        </is>
      </c>
      <c r="D2337" t="inlineStr">
        <is>
          <t>v4_white_MLLB_000_y103_0924</t>
        </is>
      </c>
      <c r="E2337" t="n">
        <v>2.8</v>
      </c>
      <c r="F2337" t="n">
        <v>2.808</v>
      </c>
      <c r="G2337" t="n">
        <v>100</v>
      </c>
      <c r="H2337" t="n">
        <v>60</v>
      </c>
      <c r="I2337" t="n">
        <v>23</v>
      </c>
      <c r="J2337" t="inlineStr">
        <is>
          <t>ince</t>
        </is>
      </c>
      <c r="K2337" t="b">
        <v>0</v>
      </c>
      <c r="L2337" t="inlineStr">
        <is>
          <t>iki-OK-arasi-monotonluk</t>
        </is>
      </c>
      <c r="X2337" t="b">
        <v>1</v>
      </c>
      <c r="Z2337" t="n">
        <v>935</v>
      </c>
      <c r="AA2337" t="n">
        <v>2.5</v>
      </c>
      <c r="AB2337" t="n">
        <v>9.5</v>
      </c>
    </row>
    <row r="2338">
      <c r="A2338" t="inlineStr">
        <is>
          <t>2026-09-24 19:13:14</t>
        </is>
      </c>
      <c r="B2338" t="inlineStr">
        <is>
          <t>MLLB_000_y1.0.3</t>
        </is>
      </c>
      <c r="C2338" t="inlineStr">
        <is>
          <t>WHITE</t>
        </is>
      </c>
      <c r="D2338" t="inlineStr">
        <is>
          <t>v4_white_MLLB_000_y103_0924</t>
        </is>
      </c>
      <c r="E2338" t="n">
        <v>2.8</v>
      </c>
      <c r="F2338" t="n">
        <v>2.808</v>
      </c>
      <c r="G2338" t="n">
        <v>100</v>
      </c>
      <c r="H2338" t="n">
        <v>60</v>
      </c>
      <c r="I2338" t="n">
        <v>25</v>
      </c>
      <c r="J2338" t="inlineStr">
        <is>
          <t>ince</t>
        </is>
      </c>
      <c r="K2338" t="b">
        <v>0</v>
      </c>
      <c r="L2338" t="inlineStr">
        <is>
          <t>iki-OK-arasi-monotonluk</t>
        </is>
      </c>
      <c r="X2338" t="b">
        <v>1</v>
      </c>
      <c r="Z2338" t="n">
        <v>935</v>
      </c>
      <c r="AA2338" t="n">
        <v>2.5</v>
      </c>
      <c r="AB2338" t="n">
        <v>9.5</v>
      </c>
    </row>
    <row r="2339">
      <c r="A2339" t="inlineStr">
        <is>
          <t>2026-09-24 19:13:14</t>
        </is>
      </c>
      <c r="B2339" t="inlineStr">
        <is>
          <t>MLLB_000_y1.0.3</t>
        </is>
      </c>
      <c r="C2339" t="inlineStr">
        <is>
          <t>WHITE</t>
        </is>
      </c>
      <c r="D2339" t="inlineStr">
        <is>
          <t>v4_white_MLLB_000_y103_0924</t>
        </is>
      </c>
      <c r="E2339" t="n">
        <v>2.8</v>
      </c>
      <c r="F2339" t="n">
        <v>2.808</v>
      </c>
      <c r="G2339" t="n">
        <v>100</v>
      </c>
      <c r="H2339" t="n">
        <v>60</v>
      </c>
      <c r="I2339" t="n">
        <v>26</v>
      </c>
      <c r="J2339" t="inlineStr">
        <is>
          <t>ince</t>
        </is>
      </c>
      <c r="K2339" t="b">
        <v>0</v>
      </c>
      <c r="L2339" t="inlineStr">
        <is>
          <t>iki-OK-arasi-monotonluk</t>
        </is>
      </c>
      <c r="X2339" t="b">
        <v>1</v>
      </c>
      <c r="Z2339" t="n">
        <v>935</v>
      </c>
      <c r="AA2339" t="n">
        <v>2.5</v>
      </c>
      <c r="AB2339" t="n">
        <v>9.5</v>
      </c>
    </row>
    <row r="2340">
      <c r="A2340" t="inlineStr">
        <is>
          <t>2026-09-24 19:13:14</t>
        </is>
      </c>
      <c r="B2340" t="inlineStr">
        <is>
          <t>MLLB_000_y1.0.3</t>
        </is>
      </c>
      <c r="C2340" t="inlineStr">
        <is>
          <t>WHITE</t>
        </is>
      </c>
      <c r="D2340" t="inlineStr">
        <is>
          <t>v4_white_MLLB_000_y103_0924</t>
        </is>
      </c>
      <c r="E2340" t="n">
        <v>2.8</v>
      </c>
      <c r="F2340" t="n">
        <v>2.808</v>
      </c>
      <c r="G2340" t="n">
        <v>100</v>
      </c>
      <c r="H2340" t="n">
        <v>60</v>
      </c>
      <c r="I2340" t="n">
        <v>27</v>
      </c>
      <c r="J2340" t="inlineStr">
        <is>
          <t>ince</t>
        </is>
      </c>
      <c r="K2340" t="b">
        <v>0</v>
      </c>
      <c r="L2340" t="inlineStr">
        <is>
          <t>iki-OK-arasi-monotonluk</t>
        </is>
      </c>
      <c r="X2340" t="b">
        <v>1</v>
      </c>
      <c r="Z2340" t="n">
        <v>935</v>
      </c>
      <c r="AA2340" t="n">
        <v>2.5</v>
      </c>
      <c r="AB2340" t="n">
        <v>9.5</v>
      </c>
    </row>
    <row r="2341">
      <c r="A2341" t="inlineStr">
        <is>
          <t>2026-09-24 19:13:14</t>
        </is>
      </c>
      <c r="B2341" t="inlineStr">
        <is>
          <t>MLLB_000_y1.0.3</t>
        </is>
      </c>
      <c r="C2341" t="inlineStr">
        <is>
          <t>WHITE</t>
        </is>
      </c>
      <c r="D2341" t="inlineStr">
        <is>
          <t>v4_white_MLLB_000_y103_0924</t>
        </is>
      </c>
      <c r="E2341" t="n">
        <v>2.8</v>
      </c>
      <c r="F2341" t="n">
        <v>2.808</v>
      </c>
      <c r="G2341" t="n">
        <v>100</v>
      </c>
      <c r="H2341" t="n">
        <v>60</v>
      </c>
      <c r="I2341" t="n">
        <v>29</v>
      </c>
      <c r="J2341" t="inlineStr">
        <is>
          <t>ince</t>
        </is>
      </c>
      <c r="K2341" t="b">
        <v>0</v>
      </c>
      <c r="L2341" t="inlineStr">
        <is>
          <t>iki-OK-arasi-monotonluk</t>
        </is>
      </c>
      <c r="X2341" t="b">
        <v>1</v>
      </c>
      <c r="Z2341" t="n">
        <v>935</v>
      </c>
      <c r="AA2341" t="n">
        <v>2.5</v>
      </c>
      <c r="AB2341" t="n">
        <v>9.5</v>
      </c>
    </row>
    <row r="2342">
      <c r="A2342" t="inlineStr">
        <is>
          <t>2026-09-24 19:13:14</t>
        </is>
      </c>
      <c r="B2342" t="inlineStr">
        <is>
          <t>MLLB_000_y1.0.3</t>
        </is>
      </c>
      <c r="C2342" t="inlineStr">
        <is>
          <t>WHITE</t>
        </is>
      </c>
      <c r="D2342" t="inlineStr">
        <is>
          <t>v4_white_MLLB_000_y103_0924</t>
        </is>
      </c>
      <c r="E2342" t="n">
        <v>2.8</v>
      </c>
      <c r="F2342" t="n">
        <v>2.808</v>
      </c>
      <c r="G2342" t="n">
        <v>100</v>
      </c>
      <c r="H2342" t="n">
        <v>60</v>
      </c>
      <c r="I2342" t="n">
        <v>30</v>
      </c>
      <c r="J2342" t="inlineStr">
        <is>
          <t>ince</t>
        </is>
      </c>
      <c r="K2342" t="b">
        <v>0</v>
      </c>
      <c r="L2342" t="inlineStr">
        <is>
          <t>iki-OK-arasi-monotonluk</t>
        </is>
      </c>
      <c r="X2342" t="b">
        <v>1</v>
      </c>
      <c r="Z2342" t="n">
        <v>935</v>
      </c>
      <c r="AA2342" t="n">
        <v>2.5</v>
      </c>
      <c r="AB2342" t="n">
        <v>9.5</v>
      </c>
    </row>
    <row r="2343">
      <c r="A2343" t="inlineStr">
        <is>
          <t>2026-09-24 19:13:14</t>
        </is>
      </c>
      <c r="B2343" t="inlineStr">
        <is>
          <t>MLLB_000_y1.0.3</t>
        </is>
      </c>
      <c r="C2343" t="inlineStr">
        <is>
          <t>WHITE</t>
        </is>
      </c>
      <c r="D2343" t="inlineStr">
        <is>
          <t>v4_white_MLLB_000_y103_0924</t>
        </is>
      </c>
      <c r="E2343" t="n">
        <v>2.8</v>
      </c>
      <c r="F2343" t="n">
        <v>2.808</v>
      </c>
      <c r="G2343" t="n">
        <v>100</v>
      </c>
      <c r="H2343" t="n">
        <v>60</v>
      </c>
      <c r="I2343" t="n">
        <v>31</v>
      </c>
      <c r="J2343" t="inlineStr">
        <is>
          <t>ince</t>
        </is>
      </c>
      <c r="K2343" t="b">
        <v>0</v>
      </c>
      <c r="L2343" t="inlineStr">
        <is>
          <t>iki-OK-arasi-monotonluk</t>
        </is>
      </c>
      <c r="X2343" t="b">
        <v>1</v>
      </c>
      <c r="Z2343" t="n">
        <v>935</v>
      </c>
      <c r="AA2343" t="n">
        <v>2.5</v>
      </c>
      <c r="AB2343" t="n">
        <v>9.5</v>
      </c>
    </row>
    <row r="2344">
      <c r="A2344" t="inlineStr">
        <is>
          <t>2026-09-24 19:13:14</t>
        </is>
      </c>
      <c r="B2344" t="inlineStr">
        <is>
          <t>MLLB_000_y1.0.3</t>
        </is>
      </c>
      <c r="C2344" t="inlineStr">
        <is>
          <t>WHITE</t>
        </is>
      </c>
      <c r="D2344" t="inlineStr">
        <is>
          <t>v4_white_MLLB_000_y103_0924</t>
        </is>
      </c>
      <c r="E2344" t="n">
        <v>2.8</v>
      </c>
      <c r="F2344" t="n">
        <v>2.808</v>
      </c>
      <c r="G2344" t="n">
        <v>100</v>
      </c>
      <c r="H2344" t="n">
        <v>60</v>
      </c>
      <c r="I2344" t="n">
        <v>33</v>
      </c>
      <c r="J2344" t="inlineStr">
        <is>
          <t>ince</t>
        </is>
      </c>
      <c r="K2344" t="b">
        <v>0</v>
      </c>
      <c r="L2344" t="inlineStr">
        <is>
          <t>iki-OK-arasi-monotonluk</t>
        </is>
      </c>
      <c r="X2344" t="b">
        <v>1</v>
      </c>
      <c r="Z2344" t="n">
        <v>935</v>
      </c>
      <c r="AA2344" t="n">
        <v>2.5</v>
      </c>
      <c r="AB2344" t="n">
        <v>9.5</v>
      </c>
    </row>
    <row r="2345">
      <c r="A2345" t="inlineStr">
        <is>
          <t>2026-09-24 19:13:14</t>
        </is>
      </c>
      <c r="B2345" t="inlineStr">
        <is>
          <t>MLLB_000_y1.0.3</t>
        </is>
      </c>
      <c r="C2345" t="inlineStr">
        <is>
          <t>WHITE</t>
        </is>
      </c>
      <c r="D2345" t="inlineStr">
        <is>
          <t>v4_white_MLLB_000_y103_0924</t>
        </is>
      </c>
      <c r="E2345" t="n">
        <v>2.8</v>
      </c>
      <c r="F2345" t="n">
        <v>2.808</v>
      </c>
      <c r="G2345" t="n">
        <v>100</v>
      </c>
      <c r="H2345" t="n">
        <v>60</v>
      </c>
      <c r="I2345" t="n">
        <v>34</v>
      </c>
      <c r="J2345" t="inlineStr">
        <is>
          <t>ince</t>
        </is>
      </c>
      <c r="K2345" t="b">
        <v>0</v>
      </c>
      <c r="L2345" t="inlineStr">
        <is>
          <t>iki-OK-arasi-monotonluk</t>
        </is>
      </c>
      <c r="X2345" t="b">
        <v>1</v>
      </c>
      <c r="Z2345" t="n">
        <v>935</v>
      </c>
      <c r="AA2345" t="n">
        <v>2.5</v>
      </c>
      <c r="AB2345" t="n">
        <v>9.5</v>
      </c>
    </row>
    <row r="2346">
      <c r="A2346" t="inlineStr">
        <is>
          <t>2026-09-24 19:13:14</t>
        </is>
      </c>
      <c r="B2346" t="inlineStr">
        <is>
          <t>MLLB_000_y1.0.3</t>
        </is>
      </c>
      <c r="C2346" t="inlineStr">
        <is>
          <t>WHITE</t>
        </is>
      </c>
      <c r="D2346" t="inlineStr">
        <is>
          <t>v4_white_MLLB_000_y103_0924</t>
        </is>
      </c>
      <c r="E2346" t="n">
        <v>2.8</v>
      </c>
      <c r="F2346" t="n">
        <v>2.808</v>
      </c>
      <c r="G2346" t="n">
        <v>100</v>
      </c>
      <c r="H2346" t="n">
        <v>60</v>
      </c>
      <c r="I2346" t="n">
        <v>35</v>
      </c>
      <c r="J2346" t="inlineStr">
        <is>
          <t>ince</t>
        </is>
      </c>
      <c r="K2346" t="b">
        <v>0</v>
      </c>
      <c r="L2346" t="inlineStr">
        <is>
          <t>iki-OK-arasi-monotonluk</t>
        </is>
      </c>
      <c r="X2346" t="b">
        <v>1</v>
      </c>
      <c r="Z2346" t="n">
        <v>935</v>
      </c>
      <c r="AA2346" t="n">
        <v>2.5</v>
      </c>
      <c r="AB2346" t="n">
        <v>9.5</v>
      </c>
    </row>
    <row r="2347">
      <c r="A2347" t="inlineStr">
        <is>
          <t>2026-09-24 19:13:14</t>
        </is>
      </c>
      <c r="B2347" t="inlineStr">
        <is>
          <t>MLLB_000_y1.0.3</t>
        </is>
      </c>
      <c r="C2347" t="inlineStr">
        <is>
          <t>WHITE</t>
        </is>
      </c>
      <c r="D2347" t="inlineStr">
        <is>
          <t>v4_white_MLLB_000_y103_0924</t>
        </is>
      </c>
      <c r="E2347" t="n">
        <v>2.8</v>
      </c>
      <c r="F2347" t="n">
        <v>2.808</v>
      </c>
      <c r="G2347" t="n">
        <v>100</v>
      </c>
      <c r="H2347" t="n">
        <v>60</v>
      </c>
      <c r="I2347" t="n">
        <v>37</v>
      </c>
      <c r="J2347" t="inlineStr">
        <is>
          <t>ince</t>
        </is>
      </c>
      <c r="K2347" t="b">
        <v>0</v>
      </c>
      <c r="L2347" t="inlineStr">
        <is>
          <t>iki-OK-arasi-monotonluk</t>
        </is>
      </c>
      <c r="X2347" t="b">
        <v>1</v>
      </c>
      <c r="Z2347" t="n">
        <v>935</v>
      </c>
      <c r="AA2347" t="n">
        <v>2.5</v>
      </c>
      <c r="AB2347" t="n">
        <v>9.5</v>
      </c>
    </row>
    <row r="2348">
      <c r="A2348" t="inlineStr">
        <is>
          <t>2026-09-24 19:13:14</t>
        </is>
      </c>
      <c r="B2348" t="inlineStr">
        <is>
          <t>MLLB_000_y1.0.3</t>
        </is>
      </c>
      <c r="C2348" t="inlineStr">
        <is>
          <t>WHITE</t>
        </is>
      </c>
      <c r="D2348" t="inlineStr">
        <is>
          <t>v4_white_MLLB_000_y103_0924</t>
        </is>
      </c>
      <c r="E2348" t="n">
        <v>2.8</v>
      </c>
      <c r="F2348" t="n">
        <v>2.808</v>
      </c>
      <c r="G2348" t="n">
        <v>100</v>
      </c>
      <c r="H2348" t="n">
        <v>60</v>
      </c>
      <c r="I2348" t="n">
        <v>38</v>
      </c>
      <c r="J2348" t="inlineStr">
        <is>
          <t>ince</t>
        </is>
      </c>
      <c r="K2348" t="b">
        <v>0</v>
      </c>
      <c r="L2348" t="inlineStr">
        <is>
          <t>iki-OK-arasi-monotonluk</t>
        </is>
      </c>
      <c r="X2348" t="b">
        <v>1</v>
      </c>
      <c r="Z2348" t="n">
        <v>935</v>
      </c>
      <c r="AA2348" t="n">
        <v>2.5</v>
      </c>
      <c r="AB2348" t="n">
        <v>9.5</v>
      </c>
    </row>
    <row r="2349">
      <c r="A2349" t="inlineStr">
        <is>
          <t>2026-09-24 19:13:14</t>
        </is>
      </c>
      <c r="B2349" t="inlineStr">
        <is>
          <t>MLLB_000_y1.0.3</t>
        </is>
      </c>
      <c r="C2349" t="inlineStr">
        <is>
          <t>WHITE</t>
        </is>
      </c>
      <c r="D2349" t="inlineStr">
        <is>
          <t>v4_white_MLLB_000_y103_0924</t>
        </is>
      </c>
      <c r="E2349" t="n">
        <v>2.8</v>
      </c>
      <c r="F2349" t="n">
        <v>2.808</v>
      </c>
      <c r="G2349" t="n">
        <v>100</v>
      </c>
      <c r="H2349" t="n">
        <v>60</v>
      </c>
      <c r="I2349" t="n">
        <v>39</v>
      </c>
      <c r="J2349" t="inlineStr">
        <is>
          <t>ince</t>
        </is>
      </c>
      <c r="K2349" t="b">
        <v>0</v>
      </c>
      <c r="L2349" t="inlineStr">
        <is>
          <t>iki-OK-arasi-monotonluk</t>
        </is>
      </c>
      <c r="X2349" t="b">
        <v>1</v>
      </c>
      <c r="Z2349" t="n">
        <v>935</v>
      </c>
      <c r="AA2349" t="n">
        <v>2.5</v>
      </c>
      <c r="AB2349" t="n">
        <v>9.5</v>
      </c>
    </row>
    <row r="2350">
      <c r="A2350" t="inlineStr">
        <is>
          <t>2026-09-24 19:13:14</t>
        </is>
      </c>
      <c r="B2350" t="inlineStr">
        <is>
          <t>MLLB_000_y1.0.3</t>
        </is>
      </c>
      <c r="C2350" t="inlineStr">
        <is>
          <t>WHITE</t>
        </is>
      </c>
      <c r="D2350" t="inlineStr">
        <is>
          <t>v4_white_MLLB_000_y103_0924</t>
        </is>
      </c>
      <c r="E2350" t="n">
        <v>2.8</v>
      </c>
      <c r="F2350" t="n">
        <v>2.808</v>
      </c>
      <c r="G2350" t="n">
        <v>100</v>
      </c>
      <c r="H2350" t="n">
        <v>60</v>
      </c>
      <c r="I2350" t="n">
        <v>41</v>
      </c>
      <c r="J2350" t="inlineStr">
        <is>
          <t>ince</t>
        </is>
      </c>
      <c r="K2350" t="b">
        <v>0</v>
      </c>
      <c r="L2350" t="inlineStr">
        <is>
          <t>iki-OK-arasi-monotonluk</t>
        </is>
      </c>
      <c r="X2350" t="b">
        <v>1</v>
      </c>
      <c r="Z2350" t="n">
        <v>935</v>
      </c>
      <c r="AA2350" t="n">
        <v>2.5</v>
      </c>
      <c r="AB2350" t="n">
        <v>9.5</v>
      </c>
    </row>
    <row r="2351">
      <c r="A2351" t="inlineStr">
        <is>
          <t>2026-09-24 19:13:14</t>
        </is>
      </c>
      <c r="B2351" t="inlineStr">
        <is>
          <t>MLLB_000_y1.0.3</t>
        </is>
      </c>
      <c r="C2351" t="inlineStr">
        <is>
          <t>WHITE</t>
        </is>
      </c>
      <c r="D2351" t="inlineStr">
        <is>
          <t>v4_white_MLLB_000_y103_0924</t>
        </is>
      </c>
      <c r="E2351" t="n">
        <v>2.8</v>
      </c>
      <c r="F2351" t="n">
        <v>2.808</v>
      </c>
      <c r="G2351" t="n">
        <v>100</v>
      </c>
      <c r="H2351" t="n">
        <v>60</v>
      </c>
      <c r="I2351" t="n">
        <v>42</v>
      </c>
      <c r="J2351" t="inlineStr">
        <is>
          <t>ince</t>
        </is>
      </c>
      <c r="K2351" t="b">
        <v>0</v>
      </c>
      <c r="L2351" t="inlineStr">
        <is>
          <t>iki-OK-arasi-monotonluk</t>
        </is>
      </c>
      <c r="X2351" t="b">
        <v>1</v>
      </c>
      <c r="Z2351" t="n">
        <v>935</v>
      </c>
      <c r="AA2351" t="n">
        <v>2.5</v>
      </c>
      <c r="AB2351" t="n">
        <v>9.5</v>
      </c>
    </row>
    <row r="2352">
      <c r="A2352" t="inlineStr">
        <is>
          <t>2026-09-24 19:13:14</t>
        </is>
      </c>
      <c r="B2352" t="inlineStr">
        <is>
          <t>MLLB_000_y1.0.3</t>
        </is>
      </c>
      <c r="C2352" t="inlineStr">
        <is>
          <t>WHITE</t>
        </is>
      </c>
      <c r="D2352" t="inlineStr">
        <is>
          <t>v4_white_MLLB_000_y103_0924</t>
        </is>
      </c>
      <c r="E2352" t="n">
        <v>2.8</v>
      </c>
      <c r="F2352" t="n">
        <v>2.808</v>
      </c>
      <c r="G2352" t="n">
        <v>100</v>
      </c>
      <c r="H2352" t="n">
        <v>60</v>
      </c>
      <c r="I2352" t="n">
        <v>43</v>
      </c>
      <c r="J2352" t="inlineStr">
        <is>
          <t>ince</t>
        </is>
      </c>
      <c r="K2352" t="b">
        <v>0</v>
      </c>
      <c r="L2352" t="inlineStr">
        <is>
          <t>iki-OK-arasi-monotonluk</t>
        </is>
      </c>
      <c r="X2352" t="b">
        <v>1</v>
      </c>
      <c r="Z2352" t="n">
        <v>935</v>
      </c>
      <c r="AA2352" t="n">
        <v>2.5</v>
      </c>
      <c r="AB2352" t="n">
        <v>9.5</v>
      </c>
    </row>
    <row r="2353">
      <c r="A2353" t="inlineStr">
        <is>
          <t>2026-09-24 19:13:14</t>
        </is>
      </c>
      <c r="B2353" t="inlineStr">
        <is>
          <t>MLLB_000_y1.0.3</t>
        </is>
      </c>
      <c r="C2353" t="inlineStr">
        <is>
          <t>WHITE</t>
        </is>
      </c>
      <c r="D2353" t="inlineStr">
        <is>
          <t>v4_white_MLLB_000_y103_0924</t>
        </is>
      </c>
      <c r="E2353" t="n">
        <v>2.8</v>
      </c>
      <c r="F2353" t="n">
        <v>2.808</v>
      </c>
      <c r="G2353" t="n">
        <v>100</v>
      </c>
      <c r="H2353" t="n">
        <v>60</v>
      </c>
      <c r="I2353" t="n">
        <v>45</v>
      </c>
      <c r="J2353" t="inlineStr">
        <is>
          <t>ince</t>
        </is>
      </c>
      <c r="K2353" t="b">
        <v>0</v>
      </c>
      <c r="L2353" t="inlineStr">
        <is>
          <t>iki-OK-arasi-monotonluk</t>
        </is>
      </c>
      <c r="X2353" t="b">
        <v>1</v>
      </c>
      <c r="Z2353" t="n">
        <v>935</v>
      </c>
      <c r="AA2353" t="n">
        <v>2.5</v>
      </c>
      <c r="AB2353" t="n">
        <v>9.5</v>
      </c>
    </row>
    <row r="2354">
      <c r="A2354" t="inlineStr">
        <is>
          <t>2026-09-24 19:13:14</t>
        </is>
      </c>
      <c r="B2354" t="inlineStr">
        <is>
          <t>MLLB_000_y1.0.3</t>
        </is>
      </c>
      <c r="C2354" t="inlineStr">
        <is>
          <t>WHITE</t>
        </is>
      </c>
      <c r="D2354" t="inlineStr">
        <is>
          <t>v4_white_MLLB_000_y103_0924</t>
        </is>
      </c>
      <c r="E2354" t="n">
        <v>2.8</v>
      </c>
      <c r="F2354" t="n">
        <v>2.808</v>
      </c>
      <c r="G2354" t="n">
        <v>100</v>
      </c>
      <c r="H2354" t="n">
        <v>60</v>
      </c>
      <c r="I2354" t="n">
        <v>46</v>
      </c>
      <c r="J2354" t="inlineStr">
        <is>
          <t>ince</t>
        </is>
      </c>
      <c r="K2354" t="b">
        <v>0</v>
      </c>
      <c r="L2354" t="inlineStr">
        <is>
          <t>iki-OK-arasi-monotonluk</t>
        </is>
      </c>
      <c r="X2354" t="b">
        <v>1</v>
      </c>
      <c r="Z2354" t="n">
        <v>935</v>
      </c>
      <c r="AA2354" t="n">
        <v>2.5</v>
      </c>
      <c r="AB2354" t="n">
        <v>9.5</v>
      </c>
    </row>
    <row r="2355">
      <c r="A2355" t="inlineStr">
        <is>
          <t>2026-09-24 19:13:14</t>
        </is>
      </c>
      <c r="B2355" t="inlineStr">
        <is>
          <t>MLLB_000_y1.0.3</t>
        </is>
      </c>
      <c r="C2355" t="inlineStr">
        <is>
          <t>WHITE</t>
        </is>
      </c>
      <c r="D2355" t="inlineStr">
        <is>
          <t>v4_white_MLLB_000_y103_0924</t>
        </is>
      </c>
      <c r="E2355" t="n">
        <v>2.8</v>
      </c>
      <c r="F2355" t="n">
        <v>2.808</v>
      </c>
      <c r="G2355" t="n">
        <v>100</v>
      </c>
      <c r="H2355" t="n">
        <v>60</v>
      </c>
      <c r="I2355" t="n">
        <v>47</v>
      </c>
      <c r="J2355" t="inlineStr">
        <is>
          <t>ince</t>
        </is>
      </c>
      <c r="K2355" t="b">
        <v>0</v>
      </c>
      <c r="L2355" t="inlineStr">
        <is>
          <t>iki-OK-arasi-monotonluk</t>
        </is>
      </c>
      <c r="X2355" t="b">
        <v>1</v>
      </c>
      <c r="Z2355" t="n">
        <v>935</v>
      </c>
      <c r="AA2355" t="n">
        <v>2.5</v>
      </c>
      <c r="AB2355" t="n">
        <v>9.5</v>
      </c>
    </row>
    <row r="2356">
      <c r="A2356" t="inlineStr">
        <is>
          <t>2026-09-24 19:13:14</t>
        </is>
      </c>
      <c r="B2356" t="inlineStr">
        <is>
          <t>MLLB_000_y1.0.3</t>
        </is>
      </c>
      <c r="C2356" t="inlineStr">
        <is>
          <t>WHITE</t>
        </is>
      </c>
      <c r="D2356" t="inlineStr">
        <is>
          <t>v4_white_MLLB_000_y103_0924</t>
        </is>
      </c>
      <c r="E2356" t="n">
        <v>2.8</v>
      </c>
      <c r="F2356" t="n">
        <v>2.808</v>
      </c>
      <c r="G2356" t="n">
        <v>100</v>
      </c>
      <c r="H2356" t="n">
        <v>60</v>
      </c>
      <c r="I2356" t="n">
        <v>49</v>
      </c>
      <c r="J2356" t="inlineStr">
        <is>
          <t>ince</t>
        </is>
      </c>
      <c r="K2356" t="b">
        <v>0</v>
      </c>
      <c r="L2356" t="inlineStr">
        <is>
          <t>iki-OK-arasi-monotonluk</t>
        </is>
      </c>
      <c r="X2356" t="b">
        <v>1</v>
      </c>
      <c r="Z2356" t="n">
        <v>935</v>
      </c>
      <c r="AA2356" t="n">
        <v>2.5</v>
      </c>
      <c r="AB2356" t="n">
        <v>9.5</v>
      </c>
    </row>
    <row r="2357">
      <c r="A2357" t="inlineStr">
        <is>
          <t>2026-09-24 19:13:14</t>
        </is>
      </c>
      <c r="B2357" t="inlineStr">
        <is>
          <t>MLLB_000_y1.0.3</t>
        </is>
      </c>
      <c r="C2357" t="inlineStr">
        <is>
          <t>WHITE</t>
        </is>
      </c>
      <c r="D2357" t="inlineStr">
        <is>
          <t>v4_white_MLLB_000_y103_0924</t>
        </is>
      </c>
      <c r="E2357" t="n">
        <v>2.8</v>
      </c>
      <c r="F2357" t="n">
        <v>2.808</v>
      </c>
      <c r="G2357" t="n">
        <v>100</v>
      </c>
      <c r="H2357" t="n">
        <v>60</v>
      </c>
      <c r="I2357" t="n">
        <v>50</v>
      </c>
      <c r="J2357" t="inlineStr">
        <is>
          <t>ince</t>
        </is>
      </c>
      <c r="K2357" t="b">
        <v>0</v>
      </c>
      <c r="L2357" t="inlineStr">
        <is>
          <t>iki-OK-arasi-monotonluk</t>
        </is>
      </c>
      <c r="X2357" t="b">
        <v>1</v>
      </c>
      <c r="Z2357" t="n">
        <v>935</v>
      </c>
      <c r="AA2357" t="n">
        <v>2.5</v>
      </c>
      <c r="AB2357" t="n">
        <v>9.5</v>
      </c>
    </row>
    <row r="2358">
      <c r="A2358" t="inlineStr">
        <is>
          <t>2026-09-24 19:13:14</t>
        </is>
      </c>
      <c r="B2358" t="inlineStr">
        <is>
          <t>MLLB_000_y1.0.3</t>
        </is>
      </c>
      <c r="C2358" t="inlineStr">
        <is>
          <t>WHITE</t>
        </is>
      </c>
      <c r="D2358" t="inlineStr">
        <is>
          <t>v4_white_MLLB_000_y103_0924</t>
        </is>
      </c>
      <c r="E2358" t="n">
        <v>2.8</v>
      </c>
      <c r="F2358" t="n">
        <v>2.808</v>
      </c>
      <c r="G2358" t="n">
        <v>100</v>
      </c>
      <c r="H2358" t="n">
        <v>60</v>
      </c>
      <c r="I2358" t="n">
        <v>51</v>
      </c>
      <c r="J2358" t="inlineStr">
        <is>
          <t>ince</t>
        </is>
      </c>
      <c r="K2358" t="b">
        <v>0</v>
      </c>
      <c r="L2358" t="inlineStr">
        <is>
          <t>iki-OK-arasi-monotonluk</t>
        </is>
      </c>
      <c r="X2358" t="b">
        <v>1</v>
      </c>
      <c r="Z2358" t="n">
        <v>935</v>
      </c>
      <c r="AA2358" t="n">
        <v>2.5</v>
      </c>
      <c r="AB2358" t="n">
        <v>9.5</v>
      </c>
    </row>
    <row r="2359">
      <c r="A2359" t="inlineStr">
        <is>
          <t>2026-09-24 19:13:14</t>
        </is>
      </c>
      <c r="B2359" t="inlineStr">
        <is>
          <t>MLLB_000_y1.0.3</t>
        </is>
      </c>
      <c r="C2359" t="inlineStr">
        <is>
          <t>WHITE</t>
        </is>
      </c>
      <c r="D2359" t="inlineStr">
        <is>
          <t>v4_white_MLLB_000_y103_0924</t>
        </is>
      </c>
      <c r="E2359" t="n">
        <v>2.8</v>
      </c>
      <c r="F2359" t="n">
        <v>2.808</v>
      </c>
      <c r="G2359" t="n">
        <v>100</v>
      </c>
      <c r="H2359" t="n">
        <v>60</v>
      </c>
      <c r="I2359" t="n">
        <v>53</v>
      </c>
      <c r="J2359" t="inlineStr">
        <is>
          <t>ince</t>
        </is>
      </c>
      <c r="K2359" t="b">
        <v>0</v>
      </c>
      <c r="L2359" t="inlineStr">
        <is>
          <t>iki-OK-arasi-monotonluk</t>
        </is>
      </c>
      <c r="X2359" t="b">
        <v>1</v>
      </c>
      <c r="Z2359" t="n">
        <v>935</v>
      </c>
      <c r="AA2359" t="n">
        <v>2.5</v>
      </c>
      <c r="AB2359" t="n">
        <v>9.5</v>
      </c>
    </row>
    <row r="2360">
      <c r="A2360" t="inlineStr">
        <is>
          <t>2026-09-24 19:13:14</t>
        </is>
      </c>
      <c r="B2360" t="inlineStr">
        <is>
          <t>MLLB_000_y1.0.3</t>
        </is>
      </c>
      <c r="C2360" t="inlineStr">
        <is>
          <t>WHITE</t>
        </is>
      </c>
      <c r="D2360" t="inlineStr">
        <is>
          <t>v4_white_MLLB_000_y103_0924</t>
        </is>
      </c>
      <c r="E2360" t="n">
        <v>2.8</v>
      </c>
      <c r="F2360" t="n">
        <v>2.808</v>
      </c>
      <c r="G2360" t="n">
        <v>100</v>
      </c>
      <c r="H2360" t="n">
        <v>60</v>
      </c>
      <c r="I2360" t="n">
        <v>54</v>
      </c>
      <c r="J2360" t="inlineStr">
        <is>
          <t>ince</t>
        </is>
      </c>
      <c r="K2360" t="b">
        <v>0</v>
      </c>
      <c r="L2360" t="inlineStr">
        <is>
          <t>iki-OK-arasi-monotonluk</t>
        </is>
      </c>
      <c r="X2360" t="b">
        <v>1</v>
      </c>
      <c r="Z2360" t="n">
        <v>935</v>
      </c>
      <c r="AA2360" t="n">
        <v>2.5</v>
      </c>
      <c r="AB2360" t="n">
        <v>9.5</v>
      </c>
    </row>
    <row r="2361">
      <c r="A2361" t="inlineStr">
        <is>
          <t>2026-09-24 19:13:14</t>
        </is>
      </c>
      <c r="B2361" t="inlineStr">
        <is>
          <t>MLLB_000_y1.0.3</t>
        </is>
      </c>
      <c r="C2361" t="inlineStr">
        <is>
          <t>WHITE</t>
        </is>
      </c>
      <c r="D2361" t="inlineStr">
        <is>
          <t>v4_white_MLLB_000_y103_0924</t>
        </is>
      </c>
      <c r="E2361" t="n">
        <v>2.8</v>
      </c>
      <c r="F2361" t="n">
        <v>2.808</v>
      </c>
      <c r="G2361" t="n">
        <v>100</v>
      </c>
      <c r="H2361" t="n">
        <v>60</v>
      </c>
      <c r="I2361" t="n">
        <v>55</v>
      </c>
      <c r="J2361" t="inlineStr">
        <is>
          <t>ince</t>
        </is>
      </c>
      <c r="K2361" t="b">
        <v>0</v>
      </c>
      <c r="L2361" t="inlineStr">
        <is>
          <t>iki-OK-arasi-monotonluk</t>
        </is>
      </c>
      <c r="X2361" t="b">
        <v>1</v>
      </c>
      <c r="Z2361" t="n">
        <v>935</v>
      </c>
      <c r="AA2361" t="n">
        <v>2.5</v>
      </c>
      <c r="AB2361" t="n">
        <v>9.5</v>
      </c>
    </row>
    <row r="2362">
      <c r="A2362" t="inlineStr">
        <is>
          <t>2026-09-24 19:13:14</t>
        </is>
      </c>
      <c r="B2362" t="inlineStr">
        <is>
          <t>MLLB_000_y1.0.3</t>
        </is>
      </c>
      <c r="C2362" t="inlineStr">
        <is>
          <t>WHITE</t>
        </is>
      </c>
      <c r="D2362" t="inlineStr">
        <is>
          <t>v4_white_MLLB_000_y103_0924</t>
        </is>
      </c>
      <c r="E2362" t="n">
        <v>2.8</v>
      </c>
      <c r="F2362" t="n">
        <v>2.808</v>
      </c>
      <c r="G2362" t="n">
        <v>100</v>
      </c>
      <c r="H2362" t="n">
        <v>60</v>
      </c>
      <c r="I2362" t="n">
        <v>57</v>
      </c>
      <c r="J2362" t="inlineStr">
        <is>
          <t>ince</t>
        </is>
      </c>
      <c r="K2362" t="b">
        <v>0</v>
      </c>
      <c r="L2362" t="inlineStr">
        <is>
          <t>iki-OK-arasi-monotonluk</t>
        </is>
      </c>
      <c r="X2362" t="b">
        <v>1</v>
      </c>
      <c r="Z2362" t="n">
        <v>935</v>
      </c>
      <c r="AA2362" t="n">
        <v>2.5</v>
      </c>
      <c r="AB2362" t="n">
        <v>9.5</v>
      </c>
    </row>
    <row r="2363">
      <c r="A2363" t="inlineStr">
        <is>
          <t>2026-09-24 19:13:14</t>
        </is>
      </c>
      <c r="B2363" t="inlineStr">
        <is>
          <t>MLLB_000_y1.0.3</t>
        </is>
      </c>
      <c r="C2363" t="inlineStr">
        <is>
          <t>WHITE</t>
        </is>
      </c>
      <c r="D2363" t="inlineStr">
        <is>
          <t>v4_white_MLLB_000_y103_0924</t>
        </is>
      </c>
      <c r="E2363" t="n">
        <v>2.8</v>
      </c>
      <c r="F2363" t="n">
        <v>2.808</v>
      </c>
      <c r="G2363" t="n">
        <v>100</v>
      </c>
      <c r="H2363" t="n">
        <v>60</v>
      </c>
      <c r="J2363" t="inlineStr">
        <is>
          <t>bitti</t>
        </is>
      </c>
      <c r="K2363" t="b">
        <v>0</v>
      </c>
      <c r="Z2363" t="n">
        <v>935</v>
      </c>
      <c r="AA2363" t="n">
        <v>2.5</v>
      </c>
      <c r="AB2363" t="n">
        <v>9.5</v>
      </c>
    </row>
    <row r="2364">
      <c r="A2364" t="inlineStr">
        <is>
          <t>2026-09-24 19:13:44</t>
        </is>
      </c>
      <c r="B2364" t="inlineStr">
        <is>
          <t>MLLB_000_y1.0.3</t>
        </is>
      </c>
      <c r="C2364" t="inlineStr">
        <is>
          <t>WHITE</t>
        </is>
      </c>
      <c r="D2364" t="inlineStr">
        <is>
          <t>v4_white_MLLB_000_y103_0924</t>
        </is>
      </c>
      <c r="E2364" t="n">
        <v>2.6</v>
      </c>
      <c r="F2364" t="n">
        <v>2.608</v>
      </c>
      <c r="G2364" t="n">
        <v>6</v>
      </c>
      <c r="H2364" t="n">
        <v>100</v>
      </c>
      <c r="I2364" t="n">
        <v>12</v>
      </c>
      <c r="J2364" t="inlineStr">
        <is>
          <t>kaba</t>
        </is>
      </c>
      <c r="K2364" t="b">
        <v>1</v>
      </c>
      <c r="M2364" t="n">
        <v>442</v>
      </c>
      <c r="N2364" t="n">
        <v>40</v>
      </c>
      <c r="O2364" t="n">
        <v>418</v>
      </c>
      <c r="P2364" t="n">
        <v>560</v>
      </c>
      <c r="Q2364" t="n">
        <v>1002</v>
      </c>
      <c r="R2364" t="n">
        <v>1.105</v>
      </c>
      <c r="S2364" t="n">
        <v>10.234</v>
      </c>
      <c r="T2364" t="n">
        <v>9.260999999999999</v>
      </c>
      <c r="U2364" t="n">
        <v>0.7779</v>
      </c>
      <c r="V2364" t="b">
        <v>1</v>
      </c>
      <c r="X2364" t="b">
        <v>0</v>
      </c>
      <c r="Y2364" t="inlineStr">
        <is>
          <t>AKIM</t>
        </is>
      </c>
      <c r="Z2364" t="n">
        <v>935</v>
      </c>
      <c r="AA2364" t="n">
        <v>2.5</v>
      </c>
      <c r="AB2364" t="n">
        <v>9.5</v>
      </c>
    </row>
    <row r="2365">
      <c r="A2365" t="inlineStr">
        <is>
          <t>2026-09-24 19:14:00</t>
        </is>
      </c>
      <c r="B2365" t="inlineStr">
        <is>
          <t>MLLB_000_y1.0.3</t>
        </is>
      </c>
      <c r="C2365" t="inlineStr">
        <is>
          <t>WHITE</t>
        </is>
      </c>
      <c r="D2365" t="inlineStr">
        <is>
          <t>v4_white_MLLB_000_y103_0924</t>
        </is>
      </c>
      <c r="E2365" t="n">
        <v>2.6</v>
      </c>
      <c r="F2365" t="n">
        <v>2.608</v>
      </c>
      <c r="G2365" t="n">
        <v>6</v>
      </c>
      <c r="H2365" t="n">
        <v>100</v>
      </c>
      <c r="I2365" t="n">
        <v>16</v>
      </c>
      <c r="J2365" t="inlineStr">
        <is>
          <t>kaba</t>
        </is>
      </c>
      <c r="K2365" t="b">
        <v>1</v>
      </c>
      <c r="M2365" t="n">
        <v>356</v>
      </c>
      <c r="N2365" t="n">
        <v>36</v>
      </c>
      <c r="O2365" t="n">
        <v>334</v>
      </c>
      <c r="P2365" t="n">
        <v>646</v>
      </c>
      <c r="Q2365" t="n">
        <v>1002</v>
      </c>
      <c r="R2365" t="n">
        <v>1.099</v>
      </c>
      <c r="S2365" t="n">
        <v>10.279</v>
      </c>
      <c r="T2365" t="n">
        <v>9.356</v>
      </c>
      <c r="U2365" t="n">
        <v>0.7778</v>
      </c>
      <c r="V2365" t="b">
        <v>1</v>
      </c>
      <c r="X2365" t="b">
        <v>0</v>
      </c>
      <c r="Y2365" t="inlineStr">
        <is>
          <t>AKIM</t>
        </is>
      </c>
      <c r="Z2365" t="n">
        <v>935</v>
      </c>
      <c r="AA2365" t="n">
        <v>2.5</v>
      </c>
      <c r="AB2365" t="n">
        <v>9.5</v>
      </c>
    </row>
    <row r="2366">
      <c r="A2366" t="inlineStr">
        <is>
          <t>2026-09-24 19:14:16</t>
        </is>
      </c>
      <c r="B2366" t="inlineStr">
        <is>
          <t>MLLB_000_y1.0.3</t>
        </is>
      </c>
      <c r="C2366" t="inlineStr">
        <is>
          <t>WHITE</t>
        </is>
      </c>
      <c r="D2366" t="inlineStr">
        <is>
          <t>v4_white_MLLB_000_y103_0924</t>
        </is>
      </c>
      <c r="E2366" t="n">
        <v>2.6</v>
      </c>
      <c r="F2366" t="n">
        <v>2.608</v>
      </c>
      <c r="G2366" t="n">
        <v>6</v>
      </c>
      <c r="H2366" t="n">
        <v>100</v>
      </c>
      <c r="I2366" t="n">
        <v>20</v>
      </c>
      <c r="J2366" t="inlineStr">
        <is>
          <t>kaba</t>
        </is>
      </c>
      <c r="K2366" t="b">
        <v>1</v>
      </c>
      <c r="M2366" t="n">
        <v>268</v>
      </c>
      <c r="N2366" t="n">
        <v>36</v>
      </c>
      <c r="O2366" t="n">
        <v>246</v>
      </c>
      <c r="P2366" t="n">
        <v>734</v>
      </c>
      <c r="Q2366" t="n">
        <v>1002</v>
      </c>
      <c r="R2366" t="n">
        <v>1.107</v>
      </c>
      <c r="S2366" t="n">
        <v>10.417</v>
      </c>
      <c r="T2366" t="n">
        <v>9.412000000000001</v>
      </c>
      <c r="U2366" t="n">
        <v>0.7776999999999999</v>
      </c>
      <c r="V2366" t="b">
        <v>1</v>
      </c>
      <c r="X2366" t="b">
        <v>0</v>
      </c>
      <c r="Y2366" t="inlineStr">
        <is>
          <t>AKIM</t>
        </is>
      </c>
      <c r="Z2366" t="n">
        <v>935</v>
      </c>
      <c r="AA2366" t="n">
        <v>2.5</v>
      </c>
      <c r="AB2366" t="n">
        <v>9.5</v>
      </c>
    </row>
    <row r="2367">
      <c r="A2367" t="inlineStr">
        <is>
          <t>2026-09-24 19:14:32</t>
        </is>
      </c>
      <c r="B2367" t="inlineStr">
        <is>
          <t>MLLB_000_y1.0.3</t>
        </is>
      </c>
      <c r="C2367" t="inlineStr">
        <is>
          <t>WHITE</t>
        </is>
      </c>
      <c r="D2367" t="inlineStr">
        <is>
          <t>v4_white_MLLB_000_y103_0924</t>
        </is>
      </c>
      <c r="E2367" t="n">
        <v>2.6</v>
      </c>
      <c r="F2367" t="n">
        <v>2.608</v>
      </c>
      <c r="G2367" t="n">
        <v>6</v>
      </c>
      <c r="H2367" t="n">
        <v>100</v>
      </c>
      <c r="I2367" t="n">
        <v>24</v>
      </c>
      <c r="J2367" t="inlineStr">
        <is>
          <t>kaba</t>
        </is>
      </c>
      <c r="K2367" t="b">
        <v>1</v>
      </c>
      <c r="M2367" t="n">
        <v>180</v>
      </c>
      <c r="N2367" t="n">
        <v>36</v>
      </c>
      <c r="O2367" t="n">
        <v>158</v>
      </c>
      <c r="P2367" t="n">
        <v>822</v>
      </c>
      <c r="Q2367" t="n">
        <v>1002</v>
      </c>
      <c r="R2367" t="n">
        <v>1.09</v>
      </c>
      <c r="S2367" t="n">
        <v>10.279</v>
      </c>
      <c r="T2367" t="n">
        <v>9.430999999999999</v>
      </c>
      <c r="U2367" t="n">
        <v>0.7773</v>
      </c>
      <c r="V2367" t="b">
        <v>1</v>
      </c>
      <c r="X2367" t="b">
        <v>0</v>
      </c>
      <c r="Y2367" t="inlineStr">
        <is>
          <t>AKIM</t>
        </is>
      </c>
      <c r="Z2367" t="n">
        <v>935</v>
      </c>
      <c r="AA2367" t="n">
        <v>2.5</v>
      </c>
      <c r="AB2367" t="n">
        <v>9.5</v>
      </c>
    </row>
    <row r="2368">
      <c r="A2368" t="inlineStr">
        <is>
          <t>2026-09-24 19:14:44</t>
        </is>
      </c>
      <c r="B2368" t="inlineStr">
        <is>
          <t>MLLB_000_y1.0.3</t>
        </is>
      </c>
      <c r="C2368" t="inlineStr">
        <is>
          <t>WHITE</t>
        </is>
      </c>
      <c r="D2368" t="inlineStr">
        <is>
          <t>v4_white_MLLB_000_y103_0924</t>
        </is>
      </c>
      <c r="E2368" t="n">
        <v>2.6</v>
      </c>
      <c r="F2368" t="n">
        <v>2.608</v>
      </c>
      <c r="G2368" t="n">
        <v>6</v>
      </c>
      <c r="H2368" t="n">
        <v>100</v>
      </c>
      <c r="I2368" t="n">
        <v>28</v>
      </c>
      <c r="J2368" t="inlineStr">
        <is>
          <t>kaba</t>
        </is>
      </c>
      <c r="K2368" t="b">
        <v>1</v>
      </c>
      <c r="M2368" t="n">
        <v>90</v>
      </c>
      <c r="N2368" t="n">
        <v>40</v>
      </c>
      <c r="O2368" t="n">
        <v>66</v>
      </c>
      <c r="P2368" t="n">
        <v>912</v>
      </c>
      <c r="Q2368" t="n">
        <v>1002</v>
      </c>
      <c r="R2368" t="n">
        <v>1.099</v>
      </c>
      <c r="S2368" t="n">
        <v>10.417</v>
      </c>
      <c r="T2368" t="n">
        <v>9.481999999999999</v>
      </c>
      <c r="U2368" t="n">
        <v>0.7781</v>
      </c>
      <c r="V2368" t="b">
        <v>1</v>
      </c>
      <c r="X2368" t="b">
        <v>0</v>
      </c>
      <c r="Y2368" t="inlineStr">
        <is>
          <t>AKIM</t>
        </is>
      </c>
      <c r="Z2368" t="n">
        <v>935</v>
      </c>
      <c r="AA2368" t="n">
        <v>2.5</v>
      </c>
      <c r="AB2368" t="n">
        <v>9.5</v>
      </c>
    </row>
    <row r="2369">
      <c r="A2369" t="inlineStr">
        <is>
          <t>2026-09-24 19:15:00</t>
        </is>
      </c>
      <c r="B2369" t="inlineStr">
        <is>
          <t>MLLB_000_y1.0.3</t>
        </is>
      </c>
      <c r="C2369" t="inlineStr">
        <is>
          <t>WHITE</t>
        </is>
      </c>
      <c r="D2369" t="inlineStr">
        <is>
          <t>v4_white_MLLB_000_y103_0924</t>
        </is>
      </c>
      <c r="E2369" t="n">
        <v>2.6</v>
      </c>
      <c r="F2369" t="n">
        <v>2.608</v>
      </c>
      <c r="G2369" t="n">
        <v>6</v>
      </c>
      <c r="H2369" t="n">
        <v>100</v>
      </c>
      <c r="I2369" t="n">
        <v>32</v>
      </c>
      <c r="J2369" t="inlineStr">
        <is>
          <t>kaba</t>
        </is>
      </c>
      <c r="K2369" t="b">
        <v>1</v>
      </c>
      <c r="M2369" t="n">
        <v>38</v>
      </c>
      <c r="N2369" t="n">
        <v>28</v>
      </c>
      <c r="O2369" t="n">
        <v>18</v>
      </c>
      <c r="P2369" t="n">
        <v>964</v>
      </c>
      <c r="Q2369" t="n">
        <v>1002</v>
      </c>
      <c r="R2369" t="n">
        <v>3.756</v>
      </c>
      <c r="S2369" t="n">
        <v>35.663</v>
      </c>
      <c r="T2369" t="n">
        <v>9.494</v>
      </c>
      <c r="U2369" t="n">
        <v>0.7778</v>
      </c>
      <c r="V2369" t="b">
        <v>1</v>
      </c>
      <c r="X2369" t="b">
        <v>0</v>
      </c>
      <c r="Y2369" t="inlineStr">
        <is>
          <t>AKIM</t>
        </is>
      </c>
      <c r="Z2369" t="n">
        <v>935</v>
      </c>
      <c r="AA2369" t="n">
        <v>2.5</v>
      </c>
      <c r="AB2369" t="n">
        <v>9.5</v>
      </c>
    </row>
    <row r="2370">
      <c r="A2370" t="inlineStr">
        <is>
          <t>2026-09-24 19:15:16</t>
        </is>
      </c>
      <c r="B2370" t="inlineStr">
        <is>
          <t>MLLB_000_y1.0.3</t>
        </is>
      </c>
      <c r="C2370" t="inlineStr">
        <is>
          <t>WHITE</t>
        </is>
      </c>
      <c r="D2370" t="inlineStr">
        <is>
          <t>v4_white_MLLB_000_y103_0924</t>
        </is>
      </c>
      <c r="E2370" t="n">
        <v>2.6</v>
      </c>
      <c r="F2370" t="n">
        <v>2.608</v>
      </c>
      <c r="G2370" t="n">
        <v>6</v>
      </c>
      <c r="H2370" t="n">
        <v>100</v>
      </c>
      <c r="I2370" t="n">
        <v>36</v>
      </c>
      <c r="J2370" t="inlineStr">
        <is>
          <t>kaba</t>
        </is>
      </c>
      <c r="K2370" t="b">
        <v>1</v>
      </c>
      <c r="M2370" t="n">
        <v>38</v>
      </c>
      <c r="N2370" t="n">
        <v>28</v>
      </c>
      <c r="O2370" t="n">
        <v>18</v>
      </c>
      <c r="P2370" t="n">
        <v>964</v>
      </c>
      <c r="Q2370" t="n">
        <v>1002</v>
      </c>
      <c r="R2370" t="n">
        <v>13.091</v>
      </c>
      <c r="S2370" t="n">
        <v>124.332</v>
      </c>
      <c r="T2370" t="n">
        <v>9.497999999999999</v>
      </c>
      <c r="U2370" t="n">
        <v>0.7783</v>
      </c>
      <c r="V2370" t="b">
        <v>1</v>
      </c>
      <c r="X2370" t="b">
        <v>0</v>
      </c>
      <c r="Y2370" t="inlineStr">
        <is>
          <t>AKIM</t>
        </is>
      </c>
      <c r="Z2370" t="n">
        <v>935</v>
      </c>
      <c r="AA2370" t="n">
        <v>2.5</v>
      </c>
      <c r="AB2370" t="n">
        <v>9.5</v>
      </c>
    </row>
    <row r="2371">
      <c r="A2371" t="inlineStr">
        <is>
          <t>2026-09-24 19:15:32</t>
        </is>
      </c>
      <c r="B2371" t="inlineStr">
        <is>
          <t>MLLB_000_y1.0.3</t>
        </is>
      </c>
      <c r="C2371" t="inlineStr">
        <is>
          <t>WHITE</t>
        </is>
      </c>
      <c r="D2371" t="inlineStr">
        <is>
          <t>v4_white_MLLB_000_y103_0924</t>
        </is>
      </c>
      <c r="E2371" t="n">
        <v>2.6</v>
      </c>
      <c r="F2371" t="n">
        <v>2.608</v>
      </c>
      <c r="G2371" t="n">
        <v>6</v>
      </c>
      <c r="H2371" t="n">
        <v>100</v>
      </c>
      <c r="I2371" t="n">
        <v>29</v>
      </c>
      <c r="J2371" t="inlineStr">
        <is>
          <t>ince</t>
        </is>
      </c>
      <c r="K2371" t="b">
        <v>1</v>
      </c>
      <c r="M2371" t="n">
        <v>66</v>
      </c>
      <c r="N2371" t="n">
        <v>38</v>
      </c>
      <c r="O2371" t="n">
        <v>44</v>
      </c>
      <c r="P2371" t="n">
        <v>936</v>
      </c>
      <c r="Q2371" t="n">
        <v>1002</v>
      </c>
      <c r="R2371" t="n">
        <v>1.085</v>
      </c>
      <c r="S2371" t="n">
        <v>10.325</v>
      </c>
      <c r="T2371" t="n">
        <v>9.515000000000001</v>
      </c>
      <c r="U2371" t="n">
        <v>0.7776</v>
      </c>
      <c r="V2371" t="b">
        <v>1</v>
      </c>
      <c r="X2371" t="b">
        <v>1</v>
      </c>
      <c r="Z2371" t="n">
        <v>935</v>
      </c>
      <c r="AA2371" t="n">
        <v>2.5</v>
      </c>
      <c r="AB2371" t="n">
        <v>9.5</v>
      </c>
    </row>
    <row r="2372">
      <c r="A2372" t="inlineStr">
        <is>
          <t>2026-09-24 19:15:48</t>
        </is>
      </c>
      <c r="B2372" t="inlineStr">
        <is>
          <t>MLLB_000_y1.0.3</t>
        </is>
      </c>
      <c r="C2372" t="inlineStr">
        <is>
          <t>WHITE</t>
        </is>
      </c>
      <c r="D2372" t="inlineStr">
        <is>
          <t>v4_white_MLLB_000_y103_0924</t>
        </is>
      </c>
      <c r="E2372" t="n">
        <v>2.6</v>
      </c>
      <c r="F2372" t="n">
        <v>2.608</v>
      </c>
      <c r="G2372" t="n">
        <v>6</v>
      </c>
      <c r="H2372" t="n">
        <v>100</v>
      </c>
      <c r="I2372" t="n">
        <v>30</v>
      </c>
      <c r="J2372" t="inlineStr">
        <is>
          <t>ince</t>
        </is>
      </c>
      <c r="K2372" t="b">
        <v>1</v>
      </c>
      <c r="M2372" t="n">
        <v>42</v>
      </c>
      <c r="N2372" t="n">
        <v>42</v>
      </c>
      <c r="O2372" t="n">
        <v>18</v>
      </c>
      <c r="P2372" t="n">
        <v>960</v>
      </c>
      <c r="Q2372" t="n">
        <v>1002</v>
      </c>
      <c r="R2372" t="n">
        <v>1.082</v>
      </c>
      <c r="S2372" t="n">
        <v>10.279</v>
      </c>
      <c r="T2372" t="n">
        <v>9.497999999999999</v>
      </c>
      <c r="U2372" t="n">
        <v>0.7779</v>
      </c>
      <c r="V2372" t="b">
        <v>1</v>
      </c>
      <c r="X2372" t="b">
        <v>0</v>
      </c>
      <c r="Y2372" t="inlineStr">
        <is>
          <t>AKIM</t>
        </is>
      </c>
      <c r="Z2372" t="n">
        <v>935</v>
      </c>
      <c r="AA2372" t="n">
        <v>2.5</v>
      </c>
      <c r="AB2372" t="n">
        <v>9.5</v>
      </c>
    </row>
    <row r="2373">
      <c r="A2373" t="inlineStr">
        <is>
          <t>2026-09-24 19:16:04</t>
        </is>
      </c>
      <c r="B2373" t="inlineStr">
        <is>
          <t>MLLB_000_y1.0.3</t>
        </is>
      </c>
      <c r="C2373" t="inlineStr">
        <is>
          <t>WHITE</t>
        </is>
      </c>
      <c r="D2373" t="inlineStr">
        <is>
          <t>v4_white_MLLB_000_y103_0924</t>
        </is>
      </c>
      <c r="E2373" t="n">
        <v>2.6</v>
      </c>
      <c r="F2373" t="n">
        <v>2.608</v>
      </c>
      <c r="G2373" t="n">
        <v>6</v>
      </c>
      <c r="H2373" t="n">
        <v>100</v>
      </c>
      <c r="I2373" t="n">
        <v>31</v>
      </c>
      <c r="J2373" t="inlineStr">
        <is>
          <t>ince</t>
        </is>
      </c>
      <c r="K2373" t="b">
        <v>1</v>
      </c>
      <c r="M2373" t="n">
        <v>38</v>
      </c>
      <c r="N2373" t="n">
        <v>28</v>
      </c>
      <c r="O2373" t="n">
        <v>18</v>
      </c>
      <c r="P2373" t="n">
        <v>964</v>
      </c>
      <c r="Q2373" t="n">
        <v>1002</v>
      </c>
      <c r="R2373" t="n">
        <v>1.859</v>
      </c>
      <c r="S2373" t="n">
        <v>17.688</v>
      </c>
      <c r="T2373" t="n">
        <v>9.515000000000001</v>
      </c>
      <c r="U2373" t="n">
        <v>0.7773</v>
      </c>
      <c r="V2373" t="b">
        <v>1</v>
      </c>
      <c r="X2373" t="b">
        <v>1</v>
      </c>
      <c r="Z2373" t="n">
        <v>935</v>
      </c>
      <c r="AA2373" t="n">
        <v>2.5</v>
      </c>
      <c r="AB2373" t="n">
        <v>9.5</v>
      </c>
    </row>
    <row r="2374">
      <c r="A2374" t="inlineStr">
        <is>
          <t>2026-09-24 19:16:04</t>
        </is>
      </c>
      <c r="B2374" t="inlineStr">
        <is>
          <t>MLLB_000_y1.0.3</t>
        </is>
      </c>
      <c r="C2374" t="inlineStr">
        <is>
          <t>WHITE</t>
        </is>
      </c>
      <c r="D2374" t="inlineStr">
        <is>
          <t>v4_white_MLLB_000_y103_0924</t>
        </is>
      </c>
      <c r="E2374" t="n">
        <v>2.6</v>
      </c>
      <c r="F2374" t="n">
        <v>2.608</v>
      </c>
      <c r="G2374" t="n">
        <v>6</v>
      </c>
      <c r="H2374" t="n">
        <v>100</v>
      </c>
      <c r="J2374" t="inlineStr">
        <is>
          <t>bitti</t>
        </is>
      </c>
      <c r="K2374" t="b">
        <v>0</v>
      </c>
      <c r="Z2374" t="n">
        <v>935</v>
      </c>
      <c r="AA2374" t="n">
        <v>2.5</v>
      </c>
      <c r="AB2374" t="n">
        <v>9.5</v>
      </c>
    </row>
    <row r="2375">
      <c r="A2375" t="inlineStr">
        <is>
          <t>2026-09-24 19:16:20</t>
        </is>
      </c>
      <c r="B2375" t="inlineStr">
        <is>
          <t>MLLB_000_y1.0.3</t>
        </is>
      </c>
      <c r="C2375" t="inlineStr">
        <is>
          <t>WHITE</t>
        </is>
      </c>
      <c r="D2375" t="inlineStr">
        <is>
          <t>v4_white_MLLB_000_y103_0924</t>
        </is>
      </c>
      <c r="E2375" t="n">
        <v>2.6</v>
      </c>
      <c r="F2375" t="n">
        <v>2.608</v>
      </c>
      <c r="G2375" t="n">
        <v>6</v>
      </c>
      <c r="H2375" t="n">
        <v>80</v>
      </c>
      <c r="I2375" t="n">
        <v>12</v>
      </c>
      <c r="J2375" t="inlineStr">
        <is>
          <t>kaba</t>
        </is>
      </c>
      <c r="K2375" t="b">
        <v>1</v>
      </c>
      <c r="M2375" t="n">
        <v>486</v>
      </c>
      <c r="N2375" t="n">
        <v>40</v>
      </c>
      <c r="O2375" t="n">
        <v>462</v>
      </c>
      <c r="P2375" t="n">
        <v>516</v>
      </c>
      <c r="Q2375" t="n">
        <v>1002</v>
      </c>
      <c r="R2375" t="n">
        <v>1.12</v>
      </c>
      <c r="S2375" t="n">
        <v>10.325</v>
      </c>
      <c r="T2375" t="n">
        <v>9.218999999999999</v>
      </c>
      <c r="U2375" t="n">
        <v>0.778</v>
      </c>
      <c r="V2375" t="b">
        <v>1</v>
      </c>
      <c r="X2375" t="b">
        <v>0</v>
      </c>
      <c r="Y2375" t="inlineStr">
        <is>
          <t>AKIM</t>
        </is>
      </c>
      <c r="Z2375" t="n">
        <v>935</v>
      </c>
      <c r="AA2375" t="n">
        <v>2.5</v>
      </c>
      <c r="AB2375" t="n">
        <v>9.5</v>
      </c>
    </row>
    <row r="2376">
      <c r="A2376" t="inlineStr">
        <is>
          <t>2026-09-24 19:16:36</t>
        </is>
      </c>
      <c r="B2376" t="inlineStr">
        <is>
          <t>MLLB_000_y1.0.3</t>
        </is>
      </c>
      <c r="C2376" t="inlineStr">
        <is>
          <t>WHITE</t>
        </is>
      </c>
      <c r="D2376" t="inlineStr">
        <is>
          <t>v4_white_MLLB_000_y103_0924</t>
        </is>
      </c>
      <c r="E2376" t="n">
        <v>2.6</v>
      </c>
      <c r="F2376" t="n">
        <v>2.608</v>
      </c>
      <c r="G2376" t="n">
        <v>6</v>
      </c>
      <c r="H2376" t="n">
        <v>80</v>
      </c>
      <c r="I2376" t="n">
        <v>16</v>
      </c>
      <c r="J2376" t="inlineStr">
        <is>
          <t>kaba</t>
        </is>
      </c>
      <c r="K2376" t="b">
        <v>1</v>
      </c>
      <c r="M2376" t="n">
        <v>416</v>
      </c>
      <c r="N2376" t="n">
        <v>36</v>
      </c>
      <c r="O2376" t="n">
        <v>394</v>
      </c>
      <c r="P2376" t="n">
        <v>586</v>
      </c>
      <c r="Q2376" t="n">
        <v>1002</v>
      </c>
      <c r="R2376" t="n">
        <v>1.1</v>
      </c>
      <c r="S2376" t="n">
        <v>10.234</v>
      </c>
      <c r="T2376" t="n">
        <v>9.307</v>
      </c>
      <c r="U2376" t="n">
        <v>0.7786</v>
      </c>
      <c r="V2376" t="b">
        <v>1</v>
      </c>
      <c r="X2376" t="b">
        <v>0</v>
      </c>
      <c r="Y2376" t="inlineStr">
        <is>
          <t>AKIM</t>
        </is>
      </c>
      <c r="Z2376" t="n">
        <v>935</v>
      </c>
      <c r="AA2376" t="n">
        <v>2.5</v>
      </c>
      <c r="AB2376" t="n">
        <v>9.5</v>
      </c>
    </row>
    <row r="2377">
      <c r="A2377" t="inlineStr">
        <is>
          <t>2026-09-24 19:16:52</t>
        </is>
      </c>
      <c r="B2377" t="inlineStr">
        <is>
          <t>MLLB_000_y1.0.3</t>
        </is>
      </c>
      <c r="C2377" t="inlineStr">
        <is>
          <t>WHITE</t>
        </is>
      </c>
      <c r="D2377" t="inlineStr">
        <is>
          <t>v4_white_MLLB_000_y103_0924</t>
        </is>
      </c>
      <c r="E2377" t="n">
        <v>2.6</v>
      </c>
      <c r="F2377" t="n">
        <v>2.608</v>
      </c>
      <c r="G2377" t="n">
        <v>6</v>
      </c>
      <c r="H2377" t="n">
        <v>80</v>
      </c>
      <c r="I2377" t="n">
        <v>20</v>
      </c>
      <c r="J2377" t="inlineStr">
        <is>
          <t>kaba</t>
        </is>
      </c>
      <c r="K2377" t="b">
        <v>1</v>
      </c>
      <c r="M2377" t="n">
        <v>346</v>
      </c>
      <c r="N2377" t="n">
        <v>36</v>
      </c>
      <c r="O2377" t="n">
        <v>322</v>
      </c>
      <c r="P2377" t="n">
        <v>656</v>
      </c>
      <c r="Q2377" t="n">
        <v>1002</v>
      </c>
      <c r="R2377" t="n">
        <v>1.11</v>
      </c>
      <c r="S2377" t="n">
        <v>10.417</v>
      </c>
      <c r="T2377" t="n">
        <v>9.384</v>
      </c>
      <c r="U2377" t="n">
        <v>0.778</v>
      </c>
      <c r="V2377" t="b">
        <v>1</v>
      </c>
      <c r="X2377" t="b">
        <v>0</v>
      </c>
      <c r="Y2377" t="inlineStr">
        <is>
          <t>AKIM</t>
        </is>
      </c>
      <c r="Z2377" t="n">
        <v>935</v>
      </c>
      <c r="AA2377" t="n">
        <v>2.5</v>
      </c>
      <c r="AB2377" t="n">
        <v>9.5</v>
      </c>
    </row>
    <row r="2378">
      <c r="A2378" t="inlineStr">
        <is>
          <t>2026-09-24 19:17:08</t>
        </is>
      </c>
      <c r="B2378" t="inlineStr">
        <is>
          <t>MLLB_000_y1.0.3</t>
        </is>
      </c>
      <c r="C2378" t="inlineStr">
        <is>
          <t>WHITE</t>
        </is>
      </c>
      <c r="D2378" t="inlineStr">
        <is>
          <t>v4_white_MLLB_000_y103_0924</t>
        </is>
      </c>
      <c r="E2378" t="n">
        <v>2.6</v>
      </c>
      <c r="F2378" t="n">
        <v>2.608</v>
      </c>
      <c r="G2378" t="n">
        <v>6</v>
      </c>
      <c r="H2378" t="n">
        <v>80</v>
      </c>
      <c r="I2378" t="n">
        <v>24</v>
      </c>
      <c r="J2378" t="inlineStr">
        <is>
          <t>kaba</t>
        </is>
      </c>
      <c r="K2378" t="b">
        <v>1</v>
      </c>
      <c r="M2378" t="n">
        <v>274</v>
      </c>
      <c r="N2378" t="n">
        <v>42</v>
      </c>
      <c r="O2378" t="n">
        <v>250</v>
      </c>
      <c r="P2378" t="n">
        <v>728</v>
      </c>
      <c r="Q2378" t="n">
        <v>1002</v>
      </c>
      <c r="R2378" t="n">
        <v>1.098</v>
      </c>
      <c r="S2378" t="n">
        <v>10.34</v>
      </c>
      <c r="T2378" t="n">
        <v>9.414999999999999</v>
      </c>
      <c r="U2378" t="n">
        <v>0.778</v>
      </c>
      <c r="V2378" t="b">
        <v>1</v>
      </c>
      <c r="X2378" t="b">
        <v>0</v>
      </c>
      <c r="Y2378" t="inlineStr">
        <is>
          <t>AKIM</t>
        </is>
      </c>
      <c r="Z2378" t="n">
        <v>935</v>
      </c>
      <c r="AA2378" t="n">
        <v>2.5</v>
      </c>
      <c r="AB2378" t="n">
        <v>9.5</v>
      </c>
    </row>
    <row r="2379">
      <c r="A2379" t="inlineStr">
        <is>
          <t>2026-09-24 19:17:24</t>
        </is>
      </c>
      <c r="B2379" t="inlineStr">
        <is>
          <t>MLLB_000_y1.0.3</t>
        </is>
      </c>
      <c r="C2379" t="inlineStr">
        <is>
          <t>WHITE</t>
        </is>
      </c>
      <c r="D2379" t="inlineStr">
        <is>
          <t>v4_white_MLLB_000_y103_0924</t>
        </is>
      </c>
      <c r="E2379" t="n">
        <v>2.6</v>
      </c>
      <c r="F2379" t="n">
        <v>2.608</v>
      </c>
      <c r="G2379" t="n">
        <v>6</v>
      </c>
      <c r="H2379" t="n">
        <v>80</v>
      </c>
      <c r="I2379" t="n">
        <v>28</v>
      </c>
      <c r="J2379" t="inlineStr">
        <is>
          <t>kaba</t>
        </is>
      </c>
      <c r="K2379" t="b">
        <v>1</v>
      </c>
      <c r="M2379" t="n">
        <v>202</v>
      </c>
      <c r="N2379" t="n">
        <v>42</v>
      </c>
      <c r="O2379" t="n">
        <v>178</v>
      </c>
      <c r="P2379" t="n">
        <v>800</v>
      </c>
      <c r="Q2379" t="n">
        <v>1002</v>
      </c>
      <c r="R2379" t="n">
        <v>1.089</v>
      </c>
      <c r="S2379" t="n">
        <v>10.325</v>
      </c>
      <c r="T2379" t="n">
        <v>9.477</v>
      </c>
      <c r="U2379" t="n">
        <v>0.7781</v>
      </c>
      <c r="V2379" t="b">
        <v>1</v>
      </c>
      <c r="X2379" t="b">
        <v>0</v>
      </c>
      <c r="Y2379" t="inlineStr">
        <is>
          <t>AKIM</t>
        </is>
      </c>
      <c r="Z2379" t="n">
        <v>935</v>
      </c>
      <c r="AA2379" t="n">
        <v>2.5</v>
      </c>
      <c r="AB2379" t="n">
        <v>9.5</v>
      </c>
    </row>
    <row r="2380">
      <c r="A2380" t="inlineStr">
        <is>
          <t>2026-09-24 19:17:40</t>
        </is>
      </c>
      <c r="B2380" t="inlineStr">
        <is>
          <t>MLLB_000_y1.0.3</t>
        </is>
      </c>
      <c r="C2380" t="inlineStr">
        <is>
          <t>WHITE</t>
        </is>
      </c>
      <c r="D2380" t="inlineStr">
        <is>
          <t>v4_white_MLLB_000_y103_0924</t>
        </is>
      </c>
      <c r="E2380" t="n">
        <v>2.6</v>
      </c>
      <c r="F2380" t="n">
        <v>2.608</v>
      </c>
      <c r="G2380" t="n">
        <v>6</v>
      </c>
      <c r="H2380" t="n">
        <v>80</v>
      </c>
      <c r="I2380" t="n">
        <v>32</v>
      </c>
      <c r="J2380" t="inlineStr">
        <is>
          <t>kaba</t>
        </is>
      </c>
      <c r="K2380" t="b">
        <v>1</v>
      </c>
      <c r="M2380" t="n">
        <v>130</v>
      </c>
      <c r="N2380" t="n">
        <v>42</v>
      </c>
      <c r="O2380" t="n">
        <v>106</v>
      </c>
      <c r="P2380" t="n">
        <v>872</v>
      </c>
      <c r="Q2380" t="n">
        <v>1002</v>
      </c>
      <c r="R2380" t="n">
        <v>1.081</v>
      </c>
      <c r="S2380" t="n">
        <v>10.247</v>
      </c>
      <c r="T2380" t="n">
        <v>9.48</v>
      </c>
      <c r="U2380" t="n">
        <v>0.7781</v>
      </c>
      <c r="V2380" t="b">
        <v>1</v>
      </c>
      <c r="X2380" t="b">
        <v>0</v>
      </c>
      <c r="Y2380" t="inlineStr">
        <is>
          <t>AKIM</t>
        </is>
      </c>
      <c r="Z2380" t="n">
        <v>935</v>
      </c>
      <c r="AA2380" t="n">
        <v>2.5</v>
      </c>
      <c r="AB2380" t="n">
        <v>9.5</v>
      </c>
    </row>
    <row r="2381">
      <c r="A2381" t="inlineStr">
        <is>
          <t>2026-09-24 19:17:56</t>
        </is>
      </c>
      <c r="B2381" t="inlineStr">
        <is>
          <t>MLLB_000_y1.0.3</t>
        </is>
      </c>
      <c r="C2381" t="inlineStr">
        <is>
          <t>WHITE</t>
        </is>
      </c>
      <c r="D2381" t="inlineStr">
        <is>
          <t>v4_white_MLLB_000_y103_0924</t>
        </is>
      </c>
      <c r="E2381" t="n">
        <v>2.6</v>
      </c>
      <c r="F2381" t="n">
        <v>2.608</v>
      </c>
      <c r="G2381" t="n">
        <v>6</v>
      </c>
      <c r="H2381" t="n">
        <v>80</v>
      </c>
      <c r="I2381" t="n">
        <v>36</v>
      </c>
      <c r="J2381" t="inlineStr">
        <is>
          <t>kaba</t>
        </is>
      </c>
      <c r="K2381" t="b">
        <v>1</v>
      </c>
      <c r="M2381" t="n">
        <v>54</v>
      </c>
      <c r="N2381" t="n">
        <v>40</v>
      </c>
      <c r="O2381" t="n">
        <v>30</v>
      </c>
      <c r="P2381" t="n">
        <v>948</v>
      </c>
      <c r="Q2381" t="n">
        <v>1002</v>
      </c>
      <c r="R2381" t="n">
        <v>1.082</v>
      </c>
      <c r="S2381" t="n">
        <v>10.289</v>
      </c>
      <c r="T2381" t="n">
        <v>9.507</v>
      </c>
      <c r="U2381" t="n">
        <v>0.778</v>
      </c>
      <c r="V2381" t="b">
        <v>1</v>
      </c>
      <c r="X2381" t="b">
        <v>1</v>
      </c>
      <c r="Z2381" t="n">
        <v>935</v>
      </c>
      <c r="AA2381" t="n">
        <v>2.5</v>
      </c>
      <c r="AB2381" t="n">
        <v>9.5</v>
      </c>
    </row>
    <row r="2382">
      <c r="A2382" t="inlineStr">
        <is>
          <t>2026-09-24 19:18:12</t>
        </is>
      </c>
      <c r="B2382" t="inlineStr">
        <is>
          <t>MLLB_000_y1.0.3</t>
        </is>
      </c>
      <c r="C2382" t="inlineStr">
        <is>
          <t>WHITE</t>
        </is>
      </c>
      <c r="D2382" t="inlineStr">
        <is>
          <t>v4_white_MLLB_000_y103_0924</t>
        </is>
      </c>
      <c r="E2382" t="n">
        <v>2.6</v>
      </c>
      <c r="F2382" t="n">
        <v>2.608</v>
      </c>
      <c r="G2382" t="n">
        <v>6</v>
      </c>
      <c r="H2382" t="n">
        <v>80</v>
      </c>
      <c r="I2382" t="n">
        <v>40</v>
      </c>
      <c r="J2382" t="inlineStr">
        <is>
          <t>kaba</t>
        </is>
      </c>
      <c r="K2382" t="b">
        <v>1</v>
      </c>
      <c r="M2382" t="n">
        <v>46</v>
      </c>
      <c r="N2382" t="n">
        <v>28</v>
      </c>
      <c r="O2382" t="n">
        <v>26</v>
      </c>
      <c r="P2382" t="n">
        <v>956</v>
      </c>
      <c r="Q2382" t="n">
        <v>1002</v>
      </c>
      <c r="R2382" t="n">
        <v>5.387</v>
      </c>
      <c r="S2382" t="n">
        <v>51.249</v>
      </c>
      <c r="T2382" t="n">
        <v>9.513</v>
      </c>
      <c r="U2382" t="n">
        <v>0.7774</v>
      </c>
      <c r="V2382" t="b">
        <v>1</v>
      </c>
      <c r="X2382" t="b">
        <v>0</v>
      </c>
      <c r="Y2382" t="inlineStr">
        <is>
          <t>FLAS</t>
        </is>
      </c>
      <c r="Z2382" t="n">
        <v>935</v>
      </c>
      <c r="AA2382" t="n">
        <v>2.5</v>
      </c>
      <c r="AB2382" t="n">
        <v>9.5</v>
      </c>
    </row>
    <row r="2383">
      <c r="A2383" t="inlineStr">
        <is>
          <t>2026-09-24 19:18:28</t>
        </is>
      </c>
      <c r="B2383" t="inlineStr">
        <is>
          <t>MLLB_000_y1.0.3</t>
        </is>
      </c>
      <c r="C2383" t="inlineStr">
        <is>
          <t>WHITE</t>
        </is>
      </c>
      <c r="D2383" t="inlineStr">
        <is>
          <t>v4_white_MLLB_000_y103_0924</t>
        </is>
      </c>
      <c r="E2383" t="n">
        <v>2.6</v>
      </c>
      <c r="F2383" t="n">
        <v>2.608</v>
      </c>
      <c r="G2383" t="n">
        <v>6</v>
      </c>
      <c r="H2383" t="n">
        <v>80</v>
      </c>
      <c r="I2383" t="n">
        <v>44</v>
      </c>
      <c r="J2383" t="inlineStr">
        <is>
          <t>kaba</t>
        </is>
      </c>
      <c r="K2383" t="b">
        <v>1</v>
      </c>
      <c r="M2383" t="n">
        <v>46</v>
      </c>
      <c r="N2383" t="n">
        <v>28</v>
      </c>
      <c r="O2383" t="n">
        <v>26</v>
      </c>
      <c r="P2383" t="n">
        <v>956</v>
      </c>
      <c r="Q2383" t="n">
        <v>1002</v>
      </c>
      <c r="R2383" t="n">
        <v>12.654</v>
      </c>
      <c r="S2383" t="n">
        <v>120.389</v>
      </c>
      <c r="T2383" t="n">
        <v>9.513999999999999</v>
      </c>
      <c r="U2383" t="n">
        <v>0.7776999999999999</v>
      </c>
      <c r="V2383" t="b">
        <v>1</v>
      </c>
      <c r="X2383" t="b">
        <v>0</v>
      </c>
      <c r="Y2383" t="inlineStr">
        <is>
          <t>FLAS</t>
        </is>
      </c>
      <c r="Z2383" t="n">
        <v>935</v>
      </c>
      <c r="AA2383" t="n">
        <v>2.5</v>
      </c>
      <c r="AB2383" t="n">
        <v>9.5</v>
      </c>
    </row>
    <row r="2384">
      <c r="A2384" t="inlineStr">
        <is>
          <t>2026-09-24 19:18:44</t>
        </is>
      </c>
      <c r="B2384" t="inlineStr">
        <is>
          <t>MLLB_000_y1.0.3</t>
        </is>
      </c>
      <c r="C2384" t="inlineStr">
        <is>
          <t>WHITE</t>
        </is>
      </c>
      <c r="D2384" t="inlineStr">
        <is>
          <t>v4_white_MLLB_000_y103_0924</t>
        </is>
      </c>
      <c r="E2384" t="n">
        <v>2.6</v>
      </c>
      <c r="F2384" t="n">
        <v>2.608</v>
      </c>
      <c r="G2384" t="n">
        <v>6</v>
      </c>
      <c r="H2384" t="n">
        <v>80</v>
      </c>
      <c r="I2384" t="n">
        <v>33</v>
      </c>
      <c r="J2384" t="inlineStr">
        <is>
          <t>ince</t>
        </is>
      </c>
      <c r="K2384" t="b">
        <v>1</v>
      </c>
      <c r="M2384" t="n">
        <v>110</v>
      </c>
      <c r="N2384" t="n">
        <v>38</v>
      </c>
      <c r="O2384" t="n">
        <v>88</v>
      </c>
      <c r="P2384" t="n">
        <v>892</v>
      </c>
      <c r="Q2384" t="n">
        <v>1002</v>
      </c>
      <c r="R2384" t="n">
        <v>1.095</v>
      </c>
      <c r="S2384" t="n">
        <v>10.417</v>
      </c>
      <c r="T2384" t="n">
        <v>9.513999999999999</v>
      </c>
      <c r="U2384" t="n">
        <v>0.7785</v>
      </c>
      <c r="V2384" t="b">
        <v>1</v>
      </c>
      <c r="X2384" t="b">
        <v>0</v>
      </c>
      <c r="Y2384" t="inlineStr">
        <is>
          <t>ON</t>
        </is>
      </c>
      <c r="Z2384" t="n">
        <v>935</v>
      </c>
      <c r="AA2384" t="n">
        <v>2.5</v>
      </c>
      <c r="AB2384" t="n">
        <v>9.5</v>
      </c>
    </row>
    <row r="2385">
      <c r="A2385" t="inlineStr">
        <is>
          <t>2026-09-24 19:19:00</t>
        </is>
      </c>
      <c r="B2385" t="inlineStr">
        <is>
          <t>MLLB_000_y1.0.3</t>
        </is>
      </c>
      <c r="C2385" t="inlineStr">
        <is>
          <t>WHITE</t>
        </is>
      </c>
      <c r="D2385" t="inlineStr">
        <is>
          <t>v4_white_MLLB_000_y103_0924</t>
        </is>
      </c>
      <c r="E2385" t="n">
        <v>2.6</v>
      </c>
      <c r="F2385" t="n">
        <v>2.608</v>
      </c>
      <c r="G2385" t="n">
        <v>6</v>
      </c>
      <c r="H2385" t="n">
        <v>80</v>
      </c>
      <c r="I2385" t="n">
        <v>34</v>
      </c>
      <c r="J2385" t="inlineStr">
        <is>
          <t>ince</t>
        </is>
      </c>
      <c r="K2385" t="b">
        <v>1</v>
      </c>
      <c r="M2385" t="n">
        <v>92</v>
      </c>
      <c r="N2385" t="n">
        <v>36</v>
      </c>
      <c r="O2385" t="n">
        <v>70</v>
      </c>
      <c r="P2385" t="n">
        <v>910</v>
      </c>
      <c r="Q2385" t="n">
        <v>1002</v>
      </c>
      <c r="R2385" t="n">
        <v>1.095</v>
      </c>
      <c r="S2385" t="n">
        <v>10.417</v>
      </c>
      <c r="T2385" t="n">
        <v>9.509</v>
      </c>
      <c r="U2385" t="n">
        <v>0.778</v>
      </c>
      <c r="V2385" t="b">
        <v>1</v>
      </c>
      <c r="X2385" t="b">
        <v>0</v>
      </c>
      <c r="Y2385" t="inlineStr">
        <is>
          <t>ON</t>
        </is>
      </c>
      <c r="Z2385" t="n">
        <v>935</v>
      </c>
      <c r="AA2385" t="n">
        <v>2.5</v>
      </c>
      <c r="AB2385" t="n">
        <v>9.5</v>
      </c>
    </row>
    <row r="2386">
      <c r="A2386" t="inlineStr">
        <is>
          <t>2026-09-24 19:19:16</t>
        </is>
      </c>
      <c r="B2386" t="inlineStr">
        <is>
          <t>MLLB_000_y1.0.3</t>
        </is>
      </c>
      <c r="C2386" t="inlineStr">
        <is>
          <t>WHITE</t>
        </is>
      </c>
      <c r="D2386" t="inlineStr">
        <is>
          <t>v4_white_MLLB_000_y103_0924</t>
        </is>
      </c>
      <c r="E2386" t="n">
        <v>2.6</v>
      </c>
      <c r="F2386" t="n">
        <v>2.608</v>
      </c>
      <c r="G2386" t="n">
        <v>6</v>
      </c>
      <c r="H2386" t="n">
        <v>80</v>
      </c>
      <c r="I2386" t="n">
        <v>35</v>
      </c>
      <c r="J2386" t="inlineStr">
        <is>
          <t>ince</t>
        </is>
      </c>
      <c r="K2386" t="b">
        <v>1</v>
      </c>
      <c r="M2386" t="n">
        <v>74</v>
      </c>
      <c r="N2386" t="n">
        <v>40</v>
      </c>
      <c r="O2386" t="n">
        <v>50</v>
      </c>
      <c r="P2386" t="n">
        <v>928</v>
      </c>
      <c r="Q2386" t="n">
        <v>1002</v>
      </c>
      <c r="R2386" t="n">
        <v>1.077</v>
      </c>
      <c r="S2386" t="n">
        <v>10.234</v>
      </c>
      <c r="T2386" t="n">
        <v>9.499000000000001</v>
      </c>
      <c r="U2386" t="n">
        <v>0.7778</v>
      </c>
      <c r="V2386" t="b">
        <v>1</v>
      </c>
      <c r="X2386" t="b">
        <v>0</v>
      </c>
      <c r="Y2386" t="inlineStr">
        <is>
          <t>AKIM</t>
        </is>
      </c>
      <c r="Z2386" t="n">
        <v>935</v>
      </c>
      <c r="AA2386" t="n">
        <v>2.5</v>
      </c>
      <c r="AB2386" t="n">
        <v>9.5</v>
      </c>
    </row>
    <row r="2387">
      <c r="A2387" t="inlineStr">
        <is>
          <t>2026-09-24 19:19:32</t>
        </is>
      </c>
      <c r="B2387" t="inlineStr">
        <is>
          <t>MLLB_000_y1.0.3</t>
        </is>
      </c>
      <c r="C2387" t="inlineStr">
        <is>
          <t>WHITE</t>
        </is>
      </c>
      <c r="D2387" t="inlineStr">
        <is>
          <t>v4_white_MLLB_000_y103_0924</t>
        </is>
      </c>
      <c r="E2387" t="n">
        <v>2.6</v>
      </c>
      <c r="F2387" t="n">
        <v>2.608</v>
      </c>
      <c r="G2387" t="n">
        <v>6</v>
      </c>
      <c r="H2387" t="n">
        <v>80</v>
      </c>
      <c r="I2387" t="n">
        <v>37</v>
      </c>
      <c r="J2387" t="inlineStr">
        <is>
          <t>ince</t>
        </is>
      </c>
      <c r="K2387" t="b">
        <v>1</v>
      </c>
      <c r="M2387" t="n">
        <v>46</v>
      </c>
      <c r="N2387" t="n">
        <v>28</v>
      </c>
      <c r="O2387" t="n">
        <v>26</v>
      </c>
      <c r="P2387" t="n">
        <v>956</v>
      </c>
      <c r="Q2387" t="n">
        <v>1002</v>
      </c>
      <c r="R2387" t="n">
        <v>1.138</v>
      </c>
      <c r="S2387" t="n">
        <v>10.831</v>
      </c>
      <c r="T2387" t="n">
        <v>9.521000000000001</v>
      </c>
      <c r="U2387" t="n">
        <v>0.7779</v>
      </c>
      <c r="V2387" t="b">
        <v>1</v>
      </c>
      <c r="X2387" t="b">
        <v>1</v>
      </c>
      <c r="Z2387" t="n">
        <v>935</v>
      </c>
      <c r="AA2387" t="n">
        <v>2.5</v>
      </c>
      <c r="AB2387" t="n">
        <v>9.5</v>
      </c>
    </row>
    <row r="2388">
      <c r="A2388" t="inlineStr">
        <is>
          <t>2026-09-24 19:19:48</t>
        </is>
      </c>
      <c r="B2388" t="inlineStr">
        <is>
          <t>MLLB_000_y1.0.3</t>
        </is>
      </c>
      <c r="C2388" t="inlineStr">
        <is>
          <t>WHITE</t>
        </is>
      </c>
      <c r="D2388" t="inlineStr">
        <is>
          <t>v4_white_MLLB_000_y103_0924</t>
        </is>
      </c>
      <c r="E2388" t="n">
        <v>2.6</v>
      </c>
      <c r="F2388" t="n">
        <v>2.608</v>
      </c>
      <c r="G2388" t="n">
        <v>6</v>
      </c>
      <c r="H2388" t="n">
        <v>80</v>
      </c>
      <c r="I2388" t="n">
        <v>38</v>
      </c>
      <c r="J2388" t="inlineStr">
        <is>
          <t>ince</t>
        </is>
      </c>
      <c r="K2388" t="b">
        <v>1</v>
      </c>
      <c r="M2388" t="n">
        <v>46</v>
      </c>
      <c r="N2388" t="n">
        <v>28</v>
      </c>
      <c r="O2388" t="n">
        <v>26</v>
      </c>
      <c r="P2388" t="n">
        <v>956</v>
      </c>
      <c r="Q2388" t="n">
        <v>1002</v>
      </c>
      <c r="R2388" t="n">
        <v>2.661</v>
      </c>
      <c r="S2388" t="n">
        <v>25.281</v>
      </c>
      <c r="T2388" t="n">
        <v>9.5</v>
      </c>
      <c r="U2388" t="n">
        <v>0.7781</v>
      </c>
      <c r="V2388" t="b">
        <v>1</v>
      </c>
      <c r="X2388" t="b">
        <v>0</v>
      </c>
      <c r="Y2388" t="inlineStr">
        <is>
          <t>FLAS</t>
        </is>
      </c>
      <c r="Z2388" t="n">
        <v>935</v>
      </c>
      <c r="AA2388" t="n">
        <v>2.5</v>
      </c>
      <c r="AB2388" t="n">
        <v>9.5</v>
      </c>
    </row>
    <row r="2389">
      <c r="A2389" t="inlineStr">
        <is>
          <t>2026-09-24 19:20:04</t>
        </is>
      </c>
      <c r="B2389" t="inlineStr">
        <is>
          <t>MLLB_000_y1.0.3</t>
        </is>
      </c>
      <c r="C2389" t="inlineStr">
        <is>
          <t>WHITE</t>
        </is>
      </c>
      <c r="D2389" t="inlineStr">
        <is>
          <t>v4_white_MLLB_000_y103_0924</t>
        </is>
      </c>
      <c r="E2389" t="n">
        <v>2.6</v>
      </c>
      <c r="F2389" t="n">
        <v>2.608</v>
      </c>
      <c r="G2389" t="n">
        <v>6</v>
      </c>
      <c r="H2389" t="n">
        <v>80</v>
      </c>
      <c r="I2389" t="n">
        <v>39</v>
      </c>
      <c r="J2389" t="inlineStr">
        <is>
          <t>ince</t>
        </is>
      </c>
      <c r="K2389" t="b">
        <v>1</v>
      </c>
      <c r="M2389" t="n">
        <v>46</v>
      </c>
      <c r="N2389" t="n">
        <v>28</v>
      </c>
      <c r="O2389" t="n">
        <v>26</v>
      </c>
      <c r="P2389" t="n">
        <v>956</v>
      </c>
      <c r="Q2389" t="n">
        <v>1002</v>
      </c>
      <c r="R2389" t="n">
        <v>4.001</v>
      </c>
      <c r="S2389" t="n">
        <v>37.988</v>
      </c>
      <c r="T2389" t="n">
        <v>9.494999999999999</v>
      </c>
      <c r="U2389" t="n">
        <v>0.7779</v>
      </c>
      <c r="V2389" t="b">
        <v>1</v>
      </c>
      <c r="X2389" t="b">
        <v>0</v>
      </c>
      <c r="Y2389" t="inlineStr">
        <is>
          <t>AKIM</t>
        </is>
      </c>
      <c r="Z2389" t="n">
        <v>935</v>
      </c>
      <c r="AA2389" t="n">
        <v>2.5</v>
      </c>
      <c r="AB2389" t="n">
        <v>9.5</v>
      </c>
    </row>
    <row r="2390">
      <c r="A2390" t="inlineStr">
        <is>
          <t>2026-09-24 19:20:04</t>
        </is>
      </c>
      <c r="B2390" t="inlineStr">
        <is>
          <t>MLLB_000_y1.0.3</t>
        </is>
      </c>
      <c r="C2390" t="inlineStr">
        <is>
          <t>WHITE</t>
        </is>
      </c>
      <c r="D2390" t="inlineStr">
        <is>
          <t>v4_white_MLLB_000_y103_0924</t>
        </is>
      </c>
      <c r="E2390" t="n">
        <v>2.6</v>
      </c>
      <c r="F2390" t="n">
        <v>2.608</v>
      </c>
      <c r="G2390" t="n">
        <v>6</v>
      </c>
      <c r="H2390" t="n">
        <v>80</v>
      </c>
      <c r="J2390" t="inlineStr">
        <is>
          <t>bitti</t>
        </is>
      </c>
      <c r="K2390" t="b">
        <v>0</v>
      </c>
      <c r="Z2390" t="n">
        <v>935</v>
      </c>
      <c r="AA2390" t="n">
        <v>2.5</v>
      </c>
      <c r="AB2390" t="n">
        <v>9.5</v>
      </c>
    </row>
    <row r="2391">
      <c r="A2391" t="inlineStr">
        <is>
          <t>2026-09-24 19:20:20</t>
        </is>
      </c>
      <c r="B2391" t="inlineStr">
        <is>
          <t>MLLB_000_y1.0.3</t>
        </is>
      </c>
      <c r="C2391" t="inlineStr">
        <is>
          <t>WHITE</t>
        </is>
      </c>
      <c r="D2391" t="inlineStr">
        <is>
          <t>v4_white_MLLB_000_y103_0924</t>
        </is>
      </c>
      <c r="E2391" t="n">
        <v>2.6</v>
      </c>
      <c r="F2391" t="n">
        <v>2.608</v>
      </c>
      <c r="G2391" t="n">
        <v>6</v>
      </c>
      <c r="H2391" t="n">
        <v>60</v>
      </c>
      <c r="I2391" t="n">
        <v>12</v>
      </c>
      <c r="J2391" t="inlineStr">
        <is>
          <t>kaba</t>
        </is>
      </c>
      <c r="K2391" t="b">
        <v>1</v>
      </c>
      <c r="M2391" t="n">
        <v>530</v>
      </c>
      <c r="N2391" t="n">
        <v>38</v>
      </c>
      <c r="O2391" t="n">
        <v>508</v>
      </c>
      <c r="P2391" t="n">
        <v>472</v>
      </c>
      <c r="Q2391" t="n">
        <v>1002</v>
      </c>
      <c r="R2391" t="n">
        <v>1.118</v>
      </c>
      <c r="S2391" t="n">
        <v>10.257</v>
      </c>
      <c r="T2391" t="n">
        <v>9.175000000000001</v>
      </c>
      <c r="U2391" t="n">
        <v>0.7776999999999999</v>
      </c>
      <c r="V2391" t="b">
        <v>1</v>
      </c>
      <c r="X2391" t="b">
        <v>0</v>
      </c>
      <c r="Y2391" t="inlineStr">
        <is>
          <t>AKIM</t>
        </is>
      </c>
      <c r="Z2391" t="n">
        <v>935</v>
      </c>
      <c r="AA2391" t="n">
        <v>2.5</v>
      </c>
      <c r="AB2391" t="n">
        <v>9.5</v>
      </c>
    </row>
    <row r="2392">
      <c r="A2392" t="inlineStr">
        <is>
          <t>2026-09-24 19:20:36</t>
        </is>
      </c>
      <c r="B2392" t="inlineStr">
        <is>
          <t>MLLB_000_y1.0.3</t>
        </is>
      </c>
      <c r="C2392" t="inlineStr">
        <is>
          <t>WHITE</t>
        </is>
      </c>
      <c r="D2392" t="inlineStr">
        <is>
          <t>v4_white_MLLB_000_y103_0924</t>
        </is>
      </c>
      <c r="E2392" t="n">
        <v>2.6</v>
      </c>
      <c r="F2392" t="n">
        <v>2.608</v>
      </c>
      <c r="G2392" t="n">
        <v>6</v>
      </c>
      <c r="H2392" t="n">
        <v>60</v>
      </c>
      <c r="I2392" t="n">
        <v>16</v>
      </c>
      <c r="J2392" t="inlineStr">
        <is>
          <t>kaba</t>
        </is>
      </c>
      <c r="K2392" t="b">
        <v>1</v>
      </c>
      <c r="M2392" t="n">
        <v>482</v>
      </c>
      <c r="N2392" t="n">
        <v>42</v>
      </c>
      <c r="O2392" t="n">
        <v>458</v>
      </c>
      <c r="P2392" t="n">
        <v>520</v>
      </c>
      <c r="Q2392" t="n">
        <v>1002</v>
      </c>
      <c r="R2392" t="n">
        <v>1.112</v>
      </c>
      <c r="S2392" t="n">
        <v>10.279</v>
      </c>
      <c r="T2392" t="n">
        <v>9.244</v>
      </c>
      <c r="U2392" t="n">
        <v>0.7782</v>
      </c>
      <c r="V2392" t="b">
        <v>1</v>
      </c>
      <c r="X2392" t="b">
        <v>0</v>
      </c>
      <c r="Y2392" t="inlineStr">
        <is>
          <t>AKIM</t>
        </is>
      </c>
      <c r="Z2392" t="n">
        <v>935</v>
      </c>
      <c r="AA2392" t="n">
        <v>2.5</v>
      </c>
      <c r="AB2392" t="n">
        <v>9.5</v>
      </c>
    </row>
    <row r="2393">
      <c r="A2393" t="inlineStr">
        <is>
          <t>2026-09-24 19:20:52</t>
        </is>
      </c>
      <c r="B2393" t="inlineStr">
        <is>
          <t>MLLB_000_y1.0.3</t>
        </is>
      </c>
      <c r="C2393" t="inlineStr">
        <is>
          <t>WHITE</t>
        </is>
      </c>
      <c r="D2393" t="inlineStr">
        <is>
          <t>v4_white_MLLB_000_y103_0924</t>
        </is>
      </c>
      <c r="E2393" t="n">
        <v>2.6</v>
      </c>
      <c r="F2393" t="n">
        <v>2.608</v>
      </c>
      <c r="G2393" t="n">
        <v>6</v>
      </c>
      <c r="H2393" t="n">
        <v>60</v>
      </c>
      <c r="I2393" t="n">
        <v>20</v>
      </c>
      <c r="J2393" t="inlineStr">
        <is>
          <t>kaba</t>
        </is>
      </c>
      <c r="K2393" t="b">
        <v>1</v>
      </c>
      <c r="M2393" t="n">
        <v>430</v>
      </c>
      <c r="N2393" t="n">
        <v>42</v>
      </c>
      <c r="O2393" t="n">
        <v>406</v>
      </c>
      <c r="P2393" t="n">
        <v>572</v>
      </c>
      <c r="Q2393" t="n">
        <v>1002</v>
      </c>
      <c r="R2393" t="n">
        <v>1.106</v>
      </c>
      <c r="S2393" t="n">
        <v>10.312</v>
      </c>
      <c r="T2393" t="n">
        <v>9.321</v>
      </c>
      <c r="U2393" t="n">
        <v>0.778</v>
      </c>
      <c r="V2393" t="b">
        <v>1</v>
      </c>
      <c r="X2393" t="b">
        <v>0</v>
      </c>
      <c r="Y2393" t="inlineStr">
        <is>
          <t>AKIM</t>
        </is>
      </c>
      <c r="Z2393" t="n">
        <v>935</v>
      </c>
      <c r="AA2393" t="n">
        <v>2.5</v>
      </c>
      <c r="AB2393" t="n">
        <v>9.5</v>
      </c>
    </row>
    <row r="2394">
      <c r="A2394" t="inlineStr">
        <is>
          <t>2026-09-24 19:21:04</t>
        </is>
      </c>
      <c r="B2394" t="inlineStr">
        <is>
          <t>MLLB_000_y1.0.3</t>
        </is>
      </c>
      <c r="C2394" t="inlineStr">
        <is>
          <t>WHITE</t>
        </is>
      </c>
      <c r="D2394" t="inlineStr">
        <is>
          <t>v4_white_MLLB_000_y103_0924</t>
        </is>
      </c>
      <c r="E2394" t="n">
        <v>2.6</v>
      </c>
      <c r="F2394" t="n">
        <v>2.608</v>
      </c>
      <c r="G2394" t="n">
        <v>6</v>
      </c>
      <c r="H2394" t="n">
        <v>60</v>
      </c>
      <c r="I2394" t="n">
        <v>24</v>
      </c>
      <c r="J2394" t="inlineStr">
        <is>
          <t>kaba</t>
        </is>
      </c>
      <c r="K2394" t="b">
        <v>1</v>
      </c>
      <c r="M2394" t="n">
        <v>378</v>
      </c>
      <c r="N2394" t="n">
        <v>40</v>
      </c>
      <c r="O2394" t="n">
        <v>354</v>
      </c>
      <c r="P2394" t="n">
        <v>624</v>
      </c>
      <c r="Q2394" t="n">
        <v>1002</v>
      </c>
      <c r="R2394" t="n">
        <v>1.105</v>
      </c>
      <c r="S2394" t="n">
        <v>10.313</v>
      </c>
      <c r="T2394" t="n">
        <v>9.335000000000001</v>
      </c>
      <c r="U2394" t="n">
        <v>0.778</v>
      </c>
      <c r="V2394" t="b">
        <v>1</v>
      </c>
      <c r="X2394" t="b">
        <v>0</v>
      </c>
      <c r="Y2394" t="inlineStr">
        <is>
          <t>AKIM</t>
        </is>
      </c>
      <c r="Z2394" t="n">
        <v>935</v>
      </c>
      <c r="AA2394" t="n">
        <v>2.5</v>
      </c>
      <c r="AB2394" t="n">
        <v>9.5</v>
      </c>
    </row>
    <row r="2395">
      <c r="A2395" t="inlineStr">
        <is>
          <t>2026-09-24 19:21:20</t>
        </is>
      </c>
      <c r="B2395" t="inlineStr">
        <is>
          <t>MLLB_000_y1.0.3</t>
        </is>
      </c>
      <c r="C2395" t="inlineStr">
        <is>
          <t>WHITE</t>
        </is>
      </c>
      <c r="D2395" t="inlineStr">
        <is>
          <t>v4_white_MLLB_000_y103_0924</t>
        </is>
      </c>
      <c r="E2395" t="n">
        <v>2.6</v>
      </c>
      <c r="F2395" t="n">
        <v>2.608</v>
      </c>
      <c r="G2395" t="n">
        <v>6</v>
      </c>
      <c r="H2395" t="n">
        <v>60</v>
      </c>
      <c r="I2395" t="n">
        <v>28</v>
      </c>
      <c r="J2395" t="inlineStr">
        <is>
          <t>kaba</t>
        </is>
      </c>
      <c r="K2395" t="b">
        <v>1</v>
      </c>
      <c r="M2395" t="n">
        <v>326</v>
      </c>
      <c r="N2395" t="n">
        <v>40</v>
      </c>
      <c r="O2395" t="n">
        <v>302</v>
      </c>
      <c r="P2395" t="n">
        <v>676</v>
      </c>
      <c r="Q2395" t="n">
        <v>1002</v>
      </c>
      <c r="R2395" t="n">
        <v>1.091</v>
      </c>
      <c r="S2395" t="n">
        <v>10.234</v>
      </c>
      <c r="T2395" t="n">
        <v>9.378</v>
      </c>
      <c r="U2395" t="n">
        <v>0.7776999999999999</v>
      </c>
      <c r="V2395" t="b">
        <v>1</v>
      </c>
      <c r="X2395" t="b">
        <v>0</v>
      </c>
      <c r="Y2395" t="inlineStr">
        <is>
          <t>AKIM</t>
        </is>
      </c>
      <c r="Z2395" t="n">
        <v>935</v>
      </c>
      <c r="AA2395" t="n">
        <v>2.5</v>
      </c>
      <c r="AB2395" t="n">
        <v>9.5</v>
      </c>
    </row>
    <row r="2396">
      <c r="A2396" t="inlineStr">
        <is>
          <t>2026-09-24 19:21:36</t>
        </is>
      </c>
      <c r="B2396" t="inlineStr">
        <is>
          <t>MLLB_000_y1.0.3</t>
        </is>
      </c>
      <c r="C2396" t="inlineStr">
        <is>
          <t>WHITE</t>
        </is>
      </c>
      <c r="D2396" t="inlineStr">
        <is>
          <t>v4_white_MLLB_000_y103_0924</t>
        </is>
      </c>
      <c r="E2396" t="n">
        <v>2.6</v>
      </c>
      <c r="F2396" t="n">
        <v>2.608</v>
      </c>
      <c r="G2396" t="n">
        <v>6</v>
      </c>
      <c r="H2396" t="n">
        <v>60</v>
      </c>
      <c r="I2396" t="n">
        <v>32</v>
      </c>
      <c r="J2396" t="inlineStr">
        <is>
          <t>kaba</t>
        </is>
      </c>
      <c r="K2396" t="b">
        <v>1</v>
      </c>
      <c r="M2396" t="n">
        <v>274</v>
      </c>
      <c r="N2396" t="n">
        <v>40</v>
      </c>
      <c r="O2396" t="n">
        <v>250</v>
      </c>
      <c r="P2396" t="n">
        <v>728</v>
      </c>
      <c r="Q2396" t="n">
        <v>1002</v>
      </c>
      <c r="R2396" t="n">
        <v>1.095</v>
      </c>
      <c r="S2396" t="n">
        <v>10.28</v>
      </c>
      <c r="T2396" t="n">
        <v>9.390000000000001</v>
      </c>
      <c r="U2396" t="n">
        <v>0.7771</v>
      </c>
      <c r="V2396" t="b">
        <v>1</v>
      </c>
      <c r="X2396" t="b">
        <v>0</v>
      </c>
      <c r="Y2396" t="inlineStr">
        <is>
          <t>AKIM</t>
        </is>
      </c>
      <c r="Z2396" t="n">
        <v>935</v>
      </c>
      <c r="AA2396" t="n">
        <v>2.5</v>
      </c>
      <c r="AB2396" t="n">
        <v>9.5</v>
      </c>
    </row>
    <row r="2397">
      <c r="A2397" t="inlineStr">
        <is>
          <t>2026-09-24 19:21:52</t>
        </is>
      </c>
      <c r="B2397" t="inlineStr">
        <is>
          <t>MLLB_000_y1.0.3</t>
        </is>
      </c>
      <c r="C2397" t="inlineStr">
        <is>
          <t>WHITE</t>
        </is>
      </c>
      <c r="D2397" t="inlineStr">
        <is>
          <t>v4_white_MLLB_000_y103_0924</t>
        </is>
      </c>
      <c r="E2397" t="n">
        <v>2.6</v>
      </c>
      <c r="F2397" t="n">
        <v>2.608</v>
      </c>
      <c r="G2397" t="n">
        <v>6</v>
      </c>
      <c r="H2397" t="n">
        <v>60</v>
      </c>
      <c r="I2397" t="n">
        <v>36</v>
      </c>
      <c r="J2397" t="inlineStr">
        <is>
          <t>kaba</t>
        </is>
      </c>
      <c r="K2397" t="b">
        <v>1</v>
      </c>
      <c r="M2397" t="n">
        <v>220</v>
      </c>
      <c r="N2397" t="n">
        <v>36</v>
      </c>
      <c r="O2397" t="n">
        <v>198</v>
      </c>
      <c r="P2397" t="n">
        <v>782</v>
      </c>
      <c r="Q2397" t="n">
        <v>1002</v>
      </c>
      <c r="R2397" t="n">
        <v>1.1</v>
      </c>
      <c r="S2397" t="n">
        <v>10.417</v>
      </c>
      <c r="T2397" t="n">
        <v>9.470000000000001</v>
      </c>
      <c r="U2397" t="n">
        <v>0.7778</v>
      </c>
      <c r="V2397" t="b">
        <v>1</v>
      </c>
      <c r="X2397" t="b">
        <v>0</v>
      </c>
      <c r="Y2397" t="inlineStr">
        <is>
          <t>AKIM</t>
        </is>
      </c>
      <c r="Z2397" t="n">
        <v>935</v>
      </c>
      <c r="AA2397" t="n">
        <v>2.5</v>
      </c>
      <c r="AB2397" t="n">
        <v>9.5</v>
      </c>
    </row>
    <row r="2398">
      <c r="A2398" t="inlineStr">
        <is>
          <t>2026-09-24 19:22:08</t>
        </is>
      </c>
      <c r="B2398" t="inlineStr">
        <is>
          <t>MLLB_000_y1.0.3</t>
        </is>
      </c>
      <c r="C2398" t="inlineStr">
        <is>
          <t>WHITE</t>
        </is>
      </c>
      <c r="D2398" t="inlineStr">
        <is>
          <t>v4_white_MLLB_000_y103_0924</t>
        </is>
      </c>
      <c r="E2398" t="n">
        <v>2.6</v>
      </c>
      <c r="F2398" t="n">
        <v>2.608</v>
      </c>
      <c r="G2398" t="n">
        <v>6</v>
      </c>
      <c r="H2398" t="n">
        <v>60</v>
      </c>
      <c r="I2398" t="n">
        <v>40</v>
      </c>
      <c r="J2398" t="inlineStr">
        <is>
          <t>kaba</t>
        </is>
      </c>
      <c r="K2398" t="b">
        <v>1</v>
      </c>
      <c r="M2398" t="n">
        <v>168</v>
      </c>
      <c r="N2398" t="n">
        <v>36</v>
      </c>
      <c r="O2398" t="n">
        <v>146</v>
      </c>
      <c r="P2398" t="n">
        <v>834</v>
      </c>
      <c r="Q2398" t="n">
        <v>1002</v>
      </c>
      <c r="R2398" t="n">
        <v>1.089</v>
      </c>
      <c r="S2398" t="n">
        <v>10.279</v>
      </c>
      <c r="T2398" t="n">
        <v>9.44</v>
      </c>
      <c r="U2398" t="n">
        <v>0.778</v>
      </c>
      <c r="V2398" t="b">
        <v>1</v>
      </c>
      <c r="X2398" t="b">
        <v>0</v>
      </c>
      <c r="Y2398" t="inlineStr">
        <is>
          <t>AKIM</t>
        </is>
      </c>
      <c r="Z2398" t="n">
        <v>935</v>
      </c>
      <c r="AA2398" t="n">
        <v>2.5</v>
      </c>
      <c r="AB2398" t="n">
        <v>9.5</v>
      </c>
    </row>
    <row r="2399">
      <c r="A2399" t="inlineStr">
        <is>
          <t>2026-09-24 19:22:24</t>
        </is>
      </c>
      <c r="B2399" t="inlineStr">
        <is>
          <t>MLLB_000_y1.0.3</t>
        </is>
      </c>
      <c r="C2399" t="inlineStr">
        <is>
          <t>WHITE</t>
        </is>
      </c>
      <c r="D2399" t="inlineStr">
        <is>
          <t>v4_white_MLLB_000_y103_0924</t>
        </is>
      </c>
      <c r="E2399" t="n">
        <v>2.6</v>
      </c>
      <c r="F2399" t="n">
        <v>2.608</v>
      </c>
      <c r="G2399" t="n">
        <v>6</v>
      </c>
      <c r="H2399" t="n">
        <v>60</v>
      </c>
      <c r="I2399" t="n">
        <v>44</v>
      </c>
      <c r="J2399" t="inlineStr">
        <is>
          <t>kaba</t>
        </is>
      </c>
      <c r="K2399" t="b">
        <v>1</v>
      </c>
      <c r="M2399" t="n">
        <v>114</v>
      </c>
      <c r="N2399" t="n">
        <v>38</v>
      </c>
      <c r="O2399" t="n">
        <v>92</v>
      </c>
      <c r="P2399" t="n">
        <v>888</v>
      </c>
      <c r="Q2399" t="n">
        <v>1002</v>
      </c>
      <c r="R2399" t="n">
        <v>1.08</v>
      </c>
      <c r="S2399" t="n">
        <v>10.248</v>
      </c>
      <c r="T2399" t="n">
        <v>9.49</v>
      </c>
      <c r="U2399" t="n">
        <v>0.7781</v>
      </c>
      <c r="V2399" t="b">
        <v>1</v>
      </c>
      <c r="X2399" t="b">
        <v>0</v>
      </c>
      <c r="Y2399" t="inlineStr">
        <is>
          <t>AKIM</t>
        </is>
      </c>
      <c r="Z2399" t="n">
        <v>935</v>
      </c>
      <c r="AA2399" t="n">
        <v>2.5</v>
      </c>
      <c r="AB2399" t="n">
        <v>9.5</v>
      </c>
    </row>
    <row r="2400">
      <c r="A2400" t="inlineStr">
        <is>
          <t>2026-09-24 19:22:40</t>
        </is>
      </c>
      <c r="B2400" t="inlineStr">
        <is>
          <t>MLLB_000_y1.0.3</t>
        </is>
      </c>
      <c r="C2400" t="inlineStr">
        <is>
          <t>WHITE</t>
        </is>
      </c>
      <c r="D2400" t="inlineStr">
        <is>
          <t>v4_white_MLLB_000_y103_0924</t>
        </is>
      </c>
      <c r="E2400" t="n">
        <v>2.6</v>
      </c>
      <c r="F2400" t="n">
        <v>2.608</v>
      </c>
      <c r="G2400" t="n">
        <v>6</v>
      </c>
      <c r="H2400" t="n">
        <v>60</v>
      </c>
      <c r="I2400" t="n">
        <v>48</v>
      </c>
      <c r="J2400" t="inlineStr">
        <is>
          <t>kaba</t>
        </is>
      </c>
      <c r="K2400" t="b">
        <v>1</v>
      </c>
      <c r="M2400" t="n">
        <v>60</v>
      </c>
      <c r="N2400" t="n">
        <v>38</v>
      </c>
      <c r="O2400" t="n">
        <v>38</v>
      </c>
      <c r="P2400" t="n">
        <v>942</v>
      </c>
      <c r="Q2400" t="n">
        <v>1002</v>
      </c>
      <c r="R2400" t="n">
        <v>1.087</v>
      </c>
      <c r="S2400" t="n">
        <v>10.342</v>
      </c>
      <c r="T2400" t="n">
        <v>9.516</v>
      </c>
      <c r="U2400" t="n">
        <v>0.7774</v>
      </c>
      <c r="V2400" t="b">
        <v>1</v>
      </c>
      <c r="X2400" t="b">
        <v>1</v>
      </c>
      <c r="Z2400" t="n">
        <v>935</v>
      </c>
      <c r="AA2400" t="n">
        <v>2.5</v>
      </c>
      <c r="AB2400" t="n">
        <v>9.5</v>
      </c>
    </row>
    <row r="2401">
      <c r="A2401" t="inlineStr">
        <is>
          <t>2026-09-24 19:22:56</t>
        </is>
      </c>
      <c r="B2401" t="inlineStr">
        <is>
          <t>MLLB_000_y1.0.3</t>
        </is>
      </c>
      <c r="C2401" t="inlineStr">
        <is>
          <t>WHITE</t>
        </is>
      </c>
      <c r="D2401" t="inlineStr">
        <is>
          <t>v4_white_MLLB_000_y103_0924</t>
        </is>
      </c>
      <c r="E2401" t="n">
        <v>2.6</v>
      </c>
      <c r="F2401" t="n">
        <v>2.608</v>
      </c>
      <c r="G2401" t="n">
        <v>6</v>
      </c>
      <c r="H2401" t="n">
        <v>60</v>
      </c>
      <c r="I2401" t="n">
        <v>52</v>
      </c>
      <c r="J2401" t="inlineStr">
        <is>
          <t>kaba</t>
        </is>
      </c>
      <c r="K2401" t="b">
        <v>1</v>
      </c>
      <c r="M2401" t="n">
        <v>58</v>
      </c>
      <c r="N2401" t="n">
        <v>28</v>
      </c>
      <c r="O2401" t="n">
        <v>38</v>
      </c>
      <c r="P2401" t="n">
        <v>944</v>
      </c>
      <c r="Q2401" t="n">
        <v>1002</v>
      </c>
      <c r="R2401" t="n">
        <v>4.321</v>
      </c>
      <c r="S2401" t="n">
        <v>41.085</v>
      </c>
      <c r="T2401" t="n">
        <v>9.507999999999999</v>
      </c>
      <c r="U2401" t="n">
        <v>0.7774</v>
      </c>
      <c r="V2401" t="b">
        <v>1</v>
      </c>
      <c r="X2401" t="b">
        <v>0</v>
      </c>
      <c r="Y2401" t="inlineStr">
        <is>
          <t>FLAS</t>
        </is>
      </c>
      <c r="Z2401" t="n">
        <v>935</v>
      </c>
      <c r="AA2401" t="n">
        <v>2.5</v>
      </c>
      <c r="AB2401" t="n">
        <v>9.5</v>
      </c>
    </row>
    <row r="2402">
      <c r="A2402" t="inlineStr">
        <is>
          <t>2026-09-24 19:23:08</t>
        </is>
      </c>
      <c r="B2402" t="inlineStr">
        <is>
          <t>MLLB_000_y1.0.3</t>
        </is>
      </c>
      <c r="C2402" t="inlineStr">
        <is>
          <t>WHITE</t>
        </is>
      </c>
      <c r="D2402" t="inlineStr">
        <is>
          <t>v4_white_MLLB_000_y103_0924</t>
        </is>
      </c>
      <c r="E2402" t="n">
        <v>2.6</v>
      </c>
      <c r="F2402" t="n">
        <v>2.608</v>
      </c>
      <c r="G2402" t="n">
        <v>6</v>
      </c>
      <c r="H2402" t="n">
        <v>60</v>
      </c>
      <c r="I2402" t="n">
        <v>56</v>
      </c>
      <c r="J2402" t="inlineStr">
        <is>
          <t>kaba</t>
        </is>
      </c>
      <c r="K2402" t="b">
        <v>1</v>
      </c>
      <c r="M2402" t="n">
        <v>58</v>
      </c>
      <c r="N2402" t="n">
        <v>28</v>
      </c>
      <c r="O2402" t="n">
        <v>38</v>
      </c>
      <c r="P2402" t="n">
        <v>944</v>
      </c>
      <c r="Q2402" t="n">
        <v>1002</v>
      </c>
      <c r="R2402" t="n">
        <v>10.046</v>
      </c>
      <c r="S2402" t="n">
        <v>95.357</v>
      </c>
      <c r="T2402" t="n">
        <v>9.492000000000001</v>
      </c>
      <c r="U2402" t="n">
        <v>0.7781</v>
      </c>
      <c r="V2402" t="b">
        <v>1</v>
      </c>
      <c r="X2402" t="b">
        <v>0</v>
      </c>
      <c r="Y2402" t="inlineStr">
        <is>
          <t>AKIM</t>
        </is>
      </c>
      <c r="Z2402" t="n">
        <v>935</v>
      </c>
      <c r="AA2402" t="n">
        <v>2.5</v>
      </c>
      <c r="AB2402" t="n">
        <v>9.5</v>
      </c>
    </row>
    <row r="2403">
      <c r="A2403" t="inlineStr">
        <is>
          <t>2026-09-24 19:23:24</t>
        </is>
      </c>
      <c r="B2403" t="inlineStr">
        <is>
          <t>MLLB_000_y1.0.3</t>
        </is>
      </c>
      <c r="C2403" t="inlineStr">
        <is>
          <t>WHITE</t>
        </is>
      </c>
      <c r="D2403" t="inlineStr">
        <is>
          <t>v4_white_MLLB_000_y103_0924</t>
        </is>
      </c>
      <c r="E2403" t="n">
        <v>2.6</v>
      </c>
      <c r="F2403" t="n">
        <v>2.608</v>
      </c>
      <c r="G2403" t="n">
        <v>6</v>
      </c>
      <c r="H2403" t="n">
        <v>60</v>
      </c>
      <c r="I2403" t="n">
        <v>45</v>
      </c>
      <c r="J2403" t="inlineStr">
        <is>
          <t>ince</t>
        </is>
      </c>
      <c r="K2403" t="b">
        <v>1</v>
      </c>
      <c r="M2403" t="n">
        <v>100</v>
      </c>
      <c r="N2403" t="n">
        <v>36</v>
      </c>
      <c r="O2403" t="n">
        <v>78</v>
      </c>
      <c r="P2403" t="n">
        <v>902</v>
      </c>
      <c r="Q2403" t="n">
        <v>1002</v>
      </c>
      <c r="R2403" t="n">
        <v>1.08</v>
      </c>
      <c r="S2403" t="n">
        <v>10.252</v>
      </c>
      <c r="T2403" t="n">
        <v>9.492000000000001</v>
      </c>
      <c r="U2403" t="n">
        <v>0.7779</v>
      </c>
      <c r="V2403" t="b">
        <v>1</v>
      </c>
      <c r="X2403" t="b">
        <v>0</v>
      </c>
      <c r="Y2403" t="inlineStr">
        <is>
          <t>AKIM</t>
        </is>
      </c>
      <c r="Z2403" t="n">
        <v>935</v>
      </c>
      <c r="AA2403" t="n">
        <v>2.5</v>
      </c>
      <c r="AB2403" t="n">
        <v>9.5</v>
      </c>
    </row>
    <row r="2404">
      <c r="A2404" t="inlineStr">
        <is>
          <t>2026-09-24 19:23:40</t>
        </is>
      </c>
      <c r="B2404" t="inlineStr">
        <is>
          <t>MLLB_000_y1.0.3</t>
        </is>
      </c>
      <c r="C2404" t="inlineStr">
        <is>
          <t>WHITE</t>
        </is>
      </c>
      <c r="D2404" t="inlineStr">
        <is>
          <t>v4_white_MLLB_000_y103_0924</t>
        </is>
      </c>
      <c r="E2404" t="n">
        <v>2.6</v>
      </c>
      <c r="F2404" t="n">
        <v>2.608</v>
      </c>
      <c r="G2404" t="n">
        <v>6</v>
      </c>
      <c r="H2404" t="n">
        <v>60</v>
      </c>
      <c r="I2404" t="n">
        <v>46</v>
      </c>
      <c r="J2404" t="inlineStr">
        <is>
          <t>ince</t>
        </is>
      </c>
      <c r="K2404" t="b">
        <v>1</v>
      </c>
      <c r="M2404" t="n">
        <v>88</v>
      </c>
      <c r="N2404" t="n">
        <v>36</v>
      </c>
      <c r="O2404" t="n">
        <v>66</v>
      </c>
      <c r="P2404" t="n">
        <v>914</v>
      </c>
      <c r="Q2404" t="n">
        <v>1002</v>
      </c>
      <c r="R2404" t="n">
        <v>1.087</v>
      </c>
      <c r="S2404" t="n">
        <v>10.329</v>
      </c>
      <c r="T2404" t="n">
        <v>9.502000000000001</v>
      </c>
      <c r="U2404" t="n">
        <v>0.7775</v>
      </c>
      <c r="V2404" t="b">
        <v>1</v>
      </c>
      <c r="X2404" t="b">
        <v>0</v>
      </c>
      <c r="Y2404" t="inlineStr">
        <is>
          <t>ON</t>
        </is>
      </c>
      <c r="Z2404" t="n">
        <v>935</v>
      </c>
      <c r="AA2404" t="n">
        <v>2.5</v>
      </c>
      <c r="AB2404" t="n">
        <v>9.5</v>
      </c>
    </row>
    <row r="2405">
      <c r="A2405" t="inlineStr">
        <is>
          <t>2026-09-24 19:23:53</t>
        </is>
      </c>
      <c r="B2405" t="inlineStr">
        <is>
          <t>MLLB_000_y1.0.3</t>
        </is>
      </c>
      <c r="C2405" t="inlineStr">
        <is>
          <t>WHITE</t>
        </is>
      </c>
      <c r="D2405" t="inlineStr">
        <is>
          <t>v4_white_MLLB_000_y103_0924</t>
        </is>
      </c>
      <c r="E2405" t="n">
        <v>2.6</v>
      </c>
      <c r="F2405" t="n">
        <v>2.608</v>
      </c>
      <c r="G2405" t="n">
        <v>6</v>
      </c>
      <c r="H2405" t="n">
        <v>60</v>
      </c>
      <c r="I2405" t="n">
        <v>47</v>
      </c>
      <c r="J2405" t="inlineStr">
        <is>
          <t>ince</t>
        </is>
      </c>
      <c r="K2405" t="b">
        <v>1</v>
      </c>
      <c r="M2405" t="n">
        <v>72</v>
      </c>
      <c r="N2405" t="n">
        <v>42</v>
      </c>
      <c r="O2405" t="n">
        <v>50</v>
      </c>
      <c r="P2405" t="n">
        <v>930</v>
      </c>
      <c r="Q2405" t="n">
        <v>1002</v>
      </c>
      <c r="R2405" t="n">
        <v>1.1</v>
      </c>
      <c r="S2405" t="n">
        <v>10.417</v>
      </c>
      <c r="T2405" t="n">
        <v>9.468</v>
      </c>
      <c r="U2405" t="n">
        <v>0.7776999999999999</v>
      </c>
      <c r="V2405" t="b">
        <v>1</v>
      </c>
      <c r="X2405" t="b">
        <v>0</v>
      </c>
      <c r="Y2405" t="inlineStr">
        <is>
          <t>AKIM</t>
        </is>
      </c>
      <c r="Z2405" t="n">
        <v>935</v>
      </c>
      <c r="AA2405" t="n">
        <v>2.5</v>
      </c>
      <c r="AB2405" t="n">
        <v>9.5</v>
      </c>
    </row>
    <row r="2406">
      <c r="A2406" t="inlineStr">
        <is>
          <t>2026-09-24 19:24:08</t>
        </is>
      </c>
      <c r="B2406" t="inlineStr">
        <is>
          <t>MLLB_000_y1.0.3</t>
        </is>
      </c>
      <c r="C2406" t="inlineStr">
        <is>
          <t>WHITE</t>
        </is>
      </c>
      <c r="D2406" t="inlineStr">
        <is>
          <t>v4_white_MLLB_000_y103_0924</t>
        </is>
      </c>
      <c r="E2406" t="n">
        <v>2.6</v>
      </c>
      <c r="F2406" t="n">
        <v>2.608</v>
      </c>
      <c r="G2406" t="n">
        <v>6</v>
      </c>
      <c r="H2406" t="n">
        <v>60</v>
      </c>
      <c r="I2406" t="n">
        <v>49</v>
      </c>
      <c r="J2406" t="inlineStr">
        <is>
          <t>ince</t>
        </is>
      </c>
      <c r="K2406" t="b">
        <v>1</v>
      </c>
      <c r="M2406" t="n">
        <v>58</v>
      </c>
      <c r="N2406" t="n">
        <v>28</v>
      </c>
      <c r="O2406" t="n">
        <v>38</v>
      </c>
      <c r="P2406" t="n">
        <v>944</v>
      </c>
      <c r="Q2406" t="n">
        <v>1002</v>
      </c>
      <c r="R2406" t="n">
        <v>1.236</v>
      </c>
      <c r="S2406" t="n">
        <v>11.748</v>
      </c>
      <c r="T2406" t="n">
        <v>9.500999999999999</v>
      </c>
      <c r="U2406" t="n">
        <v>0.7785</v>
      </c>
      <c r="V2406" t="b">
        <v>1</v>
      </c>
      <c r="X2406" t="b">
        <v>1</v>
      </c>
      <c r="Z2406" t="n">
        <v>935</v>
      </c>
      <c r="AA2406" t="n">
        <v>2.5</v>
      </c>
      <c r="AB2406" t="n">
        <v>9.5</v>
      </c>
    </row>
    <row r="2407">
      <c r="A2407" t="inlineStr">
        <is>
          <t>2026-09-24 19:24:24</t>
        </is>
      </c>
      <c r="B2407" t="inlineStr">
        <is>
          <t>MLLB_000_y1.0.3</t>
        </is>
      </c>
      <c r="C2407" t="inlineStr">
        <is>
          <t>WHITE</t>
        </is>
      </c>
      <c r="D2407" t="inlineStr">
        <is>
          <t>v4_white_MLLB_000_y103_0924</t>
        </is>
      </c>
      <c r="E2407" t="n">
        <v>2.6</v>
      </c>
      <c r="F2407" t="n">
        <v>2.608</v>
      </c>
      <c r="G2407" t="n">
        <v>6</v>
      </c>
      <c r="H2407" t="n">
        <v>60</v>
      </c>
      <c r="I2407" t="n">
        <v>50</v>
      </c>
      <c r="J2407" t="inlineStr">
        <is>
          <t>ince</t>
        </is>
      </c>
      <c r="K2407" t="b">
        <v>1</v>
      </c>
      <c r="M2407" t="n">
        <v>58</v>
      </c>
      <c r="N2407" t="n">
        <v>28</v>
      </c>
      <c r="O2407" t="n">
        <v>38</v>
      </c>
      <c r="P2407" t="n">
        <v>944</v>
      </c>
      <c r="Q2407" t="n">
        <v>1002</v>
      </c>
      <c r="R2407" t="n">
        <v>2.32</v>
      </c>
      <c r="S2407" t="n">
        <v>22.063</v>
      </c>
      <c r="T2407" t="n">
        <v>9.51</v>
      </c>
      <c r="U2407" t="n">
        <v>0.7776</v>
      </c>
      <c r="V2407" t="b">
        <v>1</v>
      </c>
      <c r="X2407" t="b">
        <v>1</v>
      </c>
      <c r="Z2407" t="n">
        <v>935</v>
      </c>
      <c r="AA2407" t="n">
        <v>2.5</v>
      </c>
      <c r="AB2407" t="n">
        <v>9.5</v>
      </c>
    </row>
    <row r="2408">
      <c r="A2408" t="inlineStr">
        <is>
          <t>2026-09-24 19:24:40</t>
        </is>
      </c>
      <c r="B2408" t="inlineStr">
        <is>
          <t>MLLB_000_y1.0.3</t>
        </is>
      </c>
      <c r="C2408" t="inlineStr">
        <is>
          <t>WHITE</t>
        </is>
      </c>
      <c r="D2408" t="inlineStr">
        <is>
          <t>v4_white_MLLB_000_y103_0924</t>
        </is>
      </c>
      <c r="E2408" t="n">
        <v>2.6</v>
      </c>
      <c r="F2408" t="n">
        <v>2.608</v>
      </c>
      <c r="G2408" t="n">
        <v>6</v>
      </c>
      <c r="H2408" t="n">
        <v>60</v>
      </c>
      <c r="I2408" t="n">
        <v>51</v>
      </c>
      <c r="J2408" t="inlineStr">
        <is>
          <t>ince</t>
        </is>
      </c>
      <c r="K2408" t="b">
        <v>1</v>
      </c>
      <c r="M2408" t="n">
        <v>58</v>
      </c>
      <c r="N2408" t="n">
        <v>28</v>
      </c>
      <c r="O2408" t="n">
        <v>38</v>
      </c>
      <c r="P2408" t="n">
        <v>944</v>
      </c>
      <c r="Q2408" t="n">
        <v>1002</v>
      </c>
      <c r="R2408" t="n">
        <v>3.273</v>
      </c>
      <c r="S2408" t="n">
        <v>31.119</v>
      </c>
      <c r="T2408" t="n">
        <v>9.507999999999999</v>
      </c>
      <c r="U2408" t="n">
        <v>0.7776</v>
      </c>
      <c r="V2408" t="b">
        <v>1</v>
      </c>
      <c r="X2408" t="b">
        <v>0</v>
      </c>
      <c r="Y2408" t="inlineStr">
        <is>
          <t>FLAS</t>
        </is>
      </c>
      <c r="Z2408" t="n">
        <v>935</v>
      </c>
      <c r="AA2408" t="n">
        <v>2.5</v>
      </c>
      <c r="AB2408" t="n">
        <v>9.5</v>
      </c>
    </row>
    <row r="2409">
      <c r="A2409" t="inlineStr">
        <is>
          <t>2026-09-24 19:24:40</t>
        </is>
      </c>
      <c r="B2409" t="inlineStr">
        <is>
          <t>MLLB_000_y1.0.3</t>
        </is>
      </c>
      <c r="C2409" t="inlineStr">
        <is>
          <t>WHITE</t>
        </is>
      </c>
      <c r="D2409" t="inlineStr">
        <is>
          <t>v4_white_MLLB_000_y103_0924</t>
        </is>
      </c>
      <c r="E2409" t="n">
        <v>2.6</v>
      </c>
      <c r="F2409" t="n">
        <v>2.608</v>
      </c>
      <c r="G2409" t="n">
        <v>6</v>
      </c>
      <c r="H2409" t="n">
        <v>60</v>
      </c>
      <c r="J2409" t="inlineStr">
        <is>
          <t>bitti</t>
        </is>
      </c>
      <c r="K2409" t="b">
        <v>0</v>
      </c>
      <c r="Z2409" t="n">
        <v>935</v>
      </c>
      <c r="AA2409" t="n">
        <v>2.5</v>
      </c>
      <c r="AB2409" t="n">
        <v>9.5</v>
      </c>
    </row>
    <row r="2410">
      <c r="A2410" t="inlineStr">
        <is>
          <t>2026-09-24 19:25:02</t>
        </is>
      </c>
      <c r="B2410" t="inlineStr">
        <is>
          <t>MLLB_000_y1.0.3</t>
        </is>
      </c>
      <c r="C2410" t="inlineStr">
        <is>
          <t>WHITE</t>
        </is>
      </c>
      <c r="D2410" t="inlineStr">
        <is>
          <t>v4_white_MLLB_000_y103_0924</t>
        </is>
      </c>
      <c r="E2410" t="n">
        <v>2.6</v>
      </c>
      <c r="F2410" t="n">
        <v>2.608</v>
      </c>
      <c r="G2410" t="n">
        <v>7</v>
      </c>
      <c r="H2410" t="n">
        <v>100</v>
      </c>
      <c r="I2410" t="n">
        <v>12</v>
      </c>
      <c r="J2410" t="inlineStr">
        <is>
          <t>kaba</t>
        </is>
      </c>
      <c r="K2410" t="b">
        <v>1</v>
      </c>
      <c r="M2410" t="n">
        <v>362</v>
      </c>
      <c r="N2410" t="n">
        <v>34</v>
      </c>
      <c r="O2410" t="n">
        <v>340</v>
      </c>
      <c r="P2410" t="n">
        <v>640</v>
      </c>
      <c r="Q2410" t="n">
        <v>1002</v>
      </c>
      <c r="R2410" t="n">
        <v>1.091</v>
      </c>
      <c r="S2410" t="n">
        <v>12.625</v>
      </c>
      <c r="T2410" t="n">
        <v>11.573</v>
      </c>
      <c r="U2410" t="n">
        <v>0.7779</v>
      </c>
      <c r="V2410" t="b">
        <v>1</v>
      </c>
      <c r="X2410" t="b">
        <v>0</v>
      </c>
      <c r="Y2410" t="inlineStr">
        <is>
          <t>ON</t>
        </is>
      </c>
      <c r="Z2410" t="n">
        <v>935</v>
      </c>
      <c r="AA2410" t="n">
        <v>2.5</v>
      </c>
      <c r="AB2410" t="n">
        <v>9.5</v>
      </c>
    </row>
    <row r="2411">
      <c r="A2411" t="inlineStr">
        <is>
          <t>2026-09-24 19:25:18</t>
        </is>
      </c>
      <c r="B2411" t="inlineStr">
        <is>
          <t>MLLB_000_y1.0.3</t>
        </is>
      </c>
      <c r="C2411" t="inlineStr">
        <is>
          <t>WHITE</t>
        </is>
      </c>
      <c r="D2411" t="inlineStr">
        <is>
          <t>v4_white_MLLB_000_y103_0924</t>
        </is>
      </c>
      <c r="E2411" t="n">
        <v>2.6</v>
      </c>
      <c r="F2411" t="n">
        <v>2.608</v>
      </c>
      <c r="G2411" t="n">
        <v>7</v>
      </c>
      <c r="H2411" t="n">
        <v>100</v>
      </c>
      <c r="I2411" t="n">
        <v>16</v>
      </c>
      <c r="J2411" t="inlineStr">
        <is>
          <t>kaba</t>
        </is>
      </c>
      <c r="K2411" t="b">
        <v>1</v>
      </c>
      <c r="M2411" t="n">
        <v>292</v>
      </c>
      <c r="N2411" t="n">
        <v>36</v>
      </c>
      <c r="O2411" t="n">
        <v>270</v>
      </c>
      <c r="P2411" t="n">
        <v>710</v>
      </c>
      <c r="Q2411" t="n">
        <v>1002</v>
      </c>
      <c r="R2411" t="n">
        <v>1.086</v>
      </c>
      <c r="S2411" t="n">
        <v>12.671</v>
      </c>
      <c r="T2411" t="n">
        <v>11.667</v>
      </c>
      <c r="U2411" t="n">
        <v>0.778</v>
      </c>
      <c r="V2411" t="b">
        <v>1</v>
      </c>
      <c r="X2411" t="b">
        <v>0</v>
      </c>
      <c r="Y2411" t="inlineStr">
        <is>
          <t>ON</t>
        </is>
      </c>
      <c r="Z2411" t="n">
        <v>935</v>
      </c>
      <c r="AA2411" t="n">
        <v>2.5</v>
      </c>
      <c r="AB2411" t="n">
        <v>9.5</v>
      </c>
    </row>
    <row r="2412">
      <c r="A2412" t="inlineStr">
        <is>
          <t>2026-09-24 19:25:34</t>
        </is>
      </c>
      <c r="B2412" t="inlineStr">
        <is>
          <t>MLLB_000_y1.0.3</t>
        </is>
      </c>
      <c r="C2412" t="inlineStr">
        <is>
          <t>WHITE</t>
        </is>
      </c>
      <c r="D2412" t="inlineStr">
        <is>
          <t>v4_white_MLLB_000_y103_0924</t>
        </is>
      </c>
      <c r="E2412" t="n">
        <v>2.6</v>
      </c>
      <c r="F2412" t="n">
        <v>2.608</v>
      </c>
      <c r="G2412" t="n">
        <v>7</v>
      </c>
      <c r="H2412" t="n">
        <v>100</v>
      </c>
      <c r="I2412" t="n">
        <v>20</v>
      </c>
      <c r="J2412" t="inlineStr">
        <is>
          <t>kaba</t>
        </is>
      </c>
      <c r="K2412" t="b">
        <v>1</v>
      </c>
      <c r="M2412" t="n">
        <v>222</v>
      </c>
      <c r="N2412" t="n">
        <v>34</v>
      </c>
      <c r="O2412" t="n">
        <v>200</v>
      </c>
      <c r="P2412" t="n">
        <v>780</v>
      </c>
      <c r="Q2412" t="n">
        <v>1002</v>
      </c>
      <c r="R2412" t="n">
        <v>1.086</v>
      </c>
      <c r="S2412" t="n">
        <v>12.717</v>
      </c>
      <c r="T2412" t="n">
        <v>11.71</v>
      </c>
      <c r="U2412" t="n">
        <v>0.7783</v>
      </c>
      <c r="V2412" t="b">
        <v>1</v>
      </c>
      <c r="X2412" t="b">
        <v>0</v>
      </c>
      <c r="Y2412" t="inlineStr">
        <is>
          <t>ON</t>
        </is>
      </c>
      <c r="Z2412" t="n">
        <v>935</v>
      </c>
      <c r="AA2412" t="n">
        <v>2.5</v>
      </c>
      <c r="AB2412" t="n">
        <v>9.5</v>
      </c>
    </row>
    <row r="2413">
      <c r="A2413" t="inlineStr">
        <is>
          <t>2026-09-24 19:25:50</t>
        </is>
      </c>
      <c r="B2413" t="inlineStr">
        <is>
          <t>MLLB_000_y1.0.3</t>
        </is>
      </c>
      <c r="C2413" t="inlineStr">
        <is>
          <t>WHITE</t>
        </is>
      </c>
      <c r="D2413" t="inlineStr">
        <is>
          <t>v4_white_MLLB_000_y103_0924</t>
        </is>
      </c>
      <c r="E2413" t="n">
        <v>2.6</v>
      </c>
      <c r="F2413" t="n">
        <v>2.608</v>
      </c>
      <c r="G2413" t="n">
        <v>7</v>
      </c>
      <c r="H2413" t="n">
        <v>100</v>
      </c>
      <c r="I2413" t="n">
        <v>24</v>
      </c>
      <c r="J2413" t="inlineStr">
        <is>
          <t>kaba</t>
        </is>
      </c>
      <c r="K2413" t="b">
        <v>1</v>
      </c>
      <c r="M2413" t="n">
        <v>152</v>
      </c>
      <c r="N2413" t="n">
        <v>36</v>
      </c>
      <c r="O2413" t="n">
        <v>130</v>
      </c>
      <c r="P2413" t="n">
        <v>850</v>
      </c>
      <c r="Q2413" t="n">
        <v>1002</v>
      </c>
      <c r="R2413" t="n">
        <v>1.081</v>
      </c>
      <c r="S2413" t="n">
        <v>12.717</v>
      </c>
      <c r="T2413" t="n">
        <v>11.761</v>
      </c>
      <c r="U2413" t="n">
        <v>0.7776</v>
      </c>
      <c r="V2413" t="b">
        <v>1</v>
      </c>
      <c r="X2413" t="b">
        <v>0</v>
      </c>
      <c r="Y2413" t="inlineStr">
        <is>
          <t>ON</t>
        </is>
      </c>
      <c r="Z2413" t="n">
        <v>935</v>
      </c>
      <c r="AA2413" t="n">
        <v>2.5</v>
      </c>
      <c r="AB2413" t="n">
        <v>9.5</v>
      </c>
    </row>
    <row r="2414">
      <c r="A2414" t="inlineStr">
        <is>
          <t>2026-09-24 19:26:06</t>
        </is>
      </c>
      <c r="B2414" t="inlineStr">
        <is>
          <t>MLLB_000_y1.0.3</t>
        </is>
      </c>
      <c r="C2414" t="inlineStr">
        <is>
          <t>WHITE</t>
        </is>
      </c>
      <c r="D2414" t="inlineStr">
        <is>
          <t>v4_white_MLLB_000_y103_0924</t>
        </is>
      </c>
      <c r="E2414" t="n">
        <v>2.6</v>
      </c>
      <c r="F2414" t="n">
        <v>2.608</v>
      </c>
      <c r="G2414" t="n">
        <v>7</v>
      </c>
      <c r="H2414" t="n">
        <v>100</v>
      </c>
      <c r="I2414" t="n">
        <v>28</v>
      </c>
      <c r="J2414" t="inlineStr">
        <is>
          <t>kaba</t>
        </is>
      </c>
      <c r="K2414" t="b">
        <v>1</v>
      </c>
      <c r="M2414" t="n">
        <v>80</v>
      </c>
      <c r="N2414" t="n">
        <v>36</v>
      </c>
      <c r="O2414" t="n">
        <v>58</v>
      </c>
      <c r="P2414" t="n">
        <v>922</v>
      </c>
      <c r="Q2414" t="n">
        <v>1002</v>
      </c>
      <c r="R2414" t="n">
        <v>1.082</v>
      </c>
      <c r="S2414" t="n">
        <v>12.757</v>
      </c>
      <c r="T2414" t="n">
        <v>11.789</v>
      </c>
      <c r="U2414" t="n">
        <v>0.7776999999999999</v>
      </c>
      <c r="V2414" t="b">
        <v>1</v>
      </c>
      <c r="X2414" t="b">
        <v>0</v>
      </c>
      <c r="Y2414" t="inlineStr">
        <is>
          <t>ON</t>
        </is>
      </c>
      <c r="Z2414" t="n">
        <v>935</v>
      </c>
      <c r="AA2414" t="n">
        <v>2.5</v>
      </c>
      <c r="AB2414" t="n">
        <v>9.5</v>
      </c>
    </row>
    <row r="2415">
      <c r="A2415" t="inlineStr">
        <is>
          <t>2026-09-24 19:26:22</t>
        </is>
      </c>
      <c r="B2415" t="inlineStr">
        <is>
          <t>MLLB_000_y1.0.3</t>
        </is>
      </c>
      <c r="C2415" t="inlineStr">
        <is>
          <t>WHITE</t>
        </is>
      </c>
      <c r="D2415" t="inlineStr">
        <is>
          <t>v4_white_MLLB_000_y103_0924</t>
        </is>
      </c>
      <c r="E2415" t="n">
        <v>2.6</v>
      </c>
      <c r="F2415" t="n">
        <v>2.608</v>
      </c>
      <c r="G2415" t="n">
        <v>7</v>
      </c>
      <c r="H2415" t="n">
        <v>100</v>
      </c>
      <c r="I2415" t="n">
        <v>32</v>
      </c>
      <c r="J2415" t="inlineStr">
        <is>
          <t>kaba</t>
        </is>
      </c>
      <c r="K2415" t="b">
        <v>1</v>
      </c>
      <c r="M2415" t="n">
        <v>38</v>
      </c>
      <c r="N2415" t="n">
        <v>28</v>
      </c>
      <c r="O2415" t="n">
        <v>18</v>
      </c>
      <c r="P2415" t="n">
        <v>964</v>
      </c>
      <c r="Q2415" t="n">
        <v>1002</v>
      </c>
      <c r="R2415" t="n">
        <v>2.874</v>
      </c>
      <c r="S2415" t="n">
        <v>33.889</v>
      </c>
      <c r="T2415" t="n">
        <v>11.79</v>
      </c>
      <c r="U2415" t="n">
        <v>0.7779</v>
      </c>
      <c r="V2415" t="b">
        <v>1</v>
      </c>
      <c r="X2415" t="b">
        <v>0</v>
      </c>
      <c r="Y2415" t="inlineStr">
        <is>
          <t>FLAS</t>
        </is>
      </c>
      <c r="Z2415" t="n">
        <v>935</v>
      </c>
      <c r="AA2415" t="n">
        <v>2.5</v>
      </c>
      <c r="AB2415" t="n">
        <v>9.5</v>
      </c>
    </row>
    <row r="2416">
      <c r="A2416" t="inlineStr">
        <is>
          <t>2026-09-24 19:26:38</t>
        </is>
      </c>
      <c r="B2416" t="inlineStr">
        <is>
          <t>MLLB_000_y1.0.3</t>
        </is>
      </c>
      <c r="C2416" t="inlineStr">
        <is>
          <t>WHITE</t>
        </is>
      </c>
      <c r="D2416" t="inlineStr">
        <is>
          <t>v4_white_MLLB_000_y103_0924</t>
        </is>
      </c>
      <c r="E2416" t="n">
        <v>2.6</v>
      </c>
      <c r="F2416" t="n">
        <v>2.608</v>
      </c>
      <c r="G2416" t="n">
        <v>7</v>
      </c>
      <c r="H2416" t="n">
        <v>100</v>
      </c>
      <c r="I2416" t="n">
        <v>36</v>
      </c>
      <c r="J2416" t="inlineStr">
        <is>
          <t>kaba</t>
        </is>
      </c>
      <c r="K2416" t="b">
        <v>1</v>
      </c>
      <c r="M2416" t="n">
        <v>38</v>
      </c>
      <c r="N2416" t="n">
        <v>28</v>
      </c>
      <c r="O2416" t="n">
        <v>18</v>
      </c>
      <c r="P2416" t="n">
        <v>964</v>
      </c>
      <c r="Q2416" t="n">
        <v>1002</v>
      </c>
      <c r="R2416" t="n">
        <v>10.348</v>
      </c>
      <c r="S2416" t="n">
        <v>121.797</v>
      </c>
      <c r="T2416" t="n">
        <v>11.77</v>
      </c>
      <c r="U2416" t="n">
        <v>0.7775</v>
      </c>
      <c r="V2416" t="b">
        <v>1</v>
      </c>
      <c r="X2416" t="b">
        <v>0</v>
      </c>
      <c r="Y2416" t="inlineStr">
        <is>
          <t>FLAS</t>
        </is>
      </c>
      <c r="Z2416" t="n">
        <v>935</v>
      </c>
      <c r="AA2416" t="n">
        <v>2.5</v>
      </c>
      <c r="AB2416" t="n">
        <v>9.5</v>
      </c>
    </row>
    <row r="2417">
      <c r="A2417" t="inlineStr">
        <is>
          <t>2026-09-24 19:26:54</t>
        </is>
      </c>
      <c r="B2417" t="inlineStr">
        <is>
          <t>MLLB_000_y1.0.3</t>
        </is>
      </c>
      <c r="C2417" t="inlineStr">
        <is>
          <t>WHITE</t>
        </is>
      </c>
      <c r="D2417" t="inlineStr">
        <is>
          <t>v4_white_MLLB_000_y103_0924</t>
        </is>
      </c>
      <c r="E2417" t="n">
        <v>2.6</v>
      </c>
      <c r="F2417" t="n">
        <v>2.608</v>
      </c>
      <c r="G2417" t="n">
        <v>7</v>
      </c>
      <c r="H2417" t="n">
        <v>100</v>
      </c>
      <c r="I2417" t="n">
        <v>29</v>
      </c>
      <c r="J2417" t="inlineStr">
        <is>
          <t>ince</t>
        </is>
      </c>
      <c r="K2417" t="b">
        <v>1</v>
      </c>
      <c r="M2417" t="n">
        <v>62</v>
      </c>
      <c r="N2417" t="n">
        <v>34</v>
      </c>
      <c r="O2417" t="n">
        <v>40</v>
      </c>
      <c r="P2417" t="n">
        <v>940</v>
      </c>
      <c r="Q2417" t="n">
        <v>1002</v>
      </c>
      <c r="R2417" t="n">
        <v>1.083</v>
      </c>
      <c r="S2417" t="n">
        <v>12.766</v>
      </c>
      <c r="T2417" t="n">
        <v>11.784</v>
      </c>
      <c r="U2417" t="n">
        <v>0.7776</v>
      </c>
      <c r="V2417" t="b">
        <v>1</v>
      </c>
      <c r="X2417" t="b">
        <v>1</v>
      </c>
      <c r="Z2417" t="n">
        <v>935</v>
      </c>
      <c r="AA2417" t="n">
        <v>2.5</v>
      </c>
      <c r="AB2417" t="n">
        <v>9.5</v>
      </c>
    </row>
    <row r="2418">
      <c r="A2418" t="inlineStr">
        <is>
          <t>2026-09-24 19:27:10</t>
        </is>
      </c>
      <c r="B2418" t="inlineStr">
        <is>
          <t>MLLB_000_y1.0.3</t>
        </is>
      </c>
      <c r="C2418" t="inlineStr">
        <is>
          <t>WHITE</t>
        </is>
      </c>
      <c r="D2418" t="inlineStr">
        <is>
          <t>v4_white_MLLB_000_y103_0924</t>
        </is>
      </c>
      <c r="E2418" t="n">
        <v>2.6</v>
      </c>
      <c r="F2418" t="n">
        <v>2.608</v>
      </c>
      <c r="G2418" t="n">
        <v>7</v>
      </c>
      <c r="H2418" t="n">
        <v>100</v>
      </c>
      <c r="I2418" t="n">
        <v>30</v>
      </c>
      <c r="J2418" t="inlineStr">
        <is>
          <t>ince</t>
        </is>
      </c>
      <c r="K2418" t="b">
        <v>1</v>
      </c>
      <c r="M2418" t="n">
        <v>42</v>
      </c>
      <c r="N2418" t="n">
        <v>40</v>
      </c>
      <c r="O2418" t="n">
        <v>20</v>
      </c>
      <c r="P2418" t="n">
        <v>960</v>
      </c>
      <c r="Q2418" t="n">
        <v>1002</v>
      </c>
      <c r="R2418" t="n">
        <v>1.076</v>
      </c>
      <c r="S2418" t="n">
        <v>12.7</v>
      </c>
      <c r="T2418" t="n">
        <v>11.804</v>
      </c>
      <c r="U2418" t="n">
        <v>0.7774</v>
      </c>
      <c r="V2418" t="b">
        <v>1</v>
      </c>
      <c r="X2418" t="b">
        <v>1</v>
      </c>
      <c r="Z2418" t="n">
        <v>935</v>
      </c>
      <c r="AA2418" t="n">
        <v>2.5</v>
      </c>
      <c r="AB2418" t="n">
        <v>9.5</v>
      </c>
    </row>
    <row r="2419">
      <c r="A2419" t="inlineStr">
        <is>
          <t>2026-09-24 19:27:26</t>
        </is>
      </c>
      <c r="B2419" t="inlineStr">
        <is>
          <t>MLLB_000_y1.0.3</t>
        </is>
      </c>
      <c r="C2419" t="inlineStr">
        <is>
          <t>WHITE</t>
        </is>
      </c>
      <c r="D2419" t="inlineStr">
        <is>
          <t>v4_white_MLLB_000_y103_0924</t>
        </is>
      </c>
      <c r="E2419" t="n">
        <v>2.6</v>
      </c>
      <c r="F2419" t="n">
        <v>2.608</v>
      </c>
      <c r="G2419" t="n">
        <v>7</v>
      </c>
      <c r="H2419" t="n">
        <v>100</v>
      </c>
      <c r="I2419" t="n">
        <v>31</v>
      </c>
      <c r="J2419" t="inlineStr">
        <is>
          <t>ince</t>
        </is>
      </c>
      <c r="K2419" t="b">
        <v>1</v>
      </c>
      <c r="M2419" t="n">
        <v>38</v>
      </c>
      <c r="N2419" t="n">
        <v>28</v>
      </c>
      <c r="O2419" t="n">
        <v>18</v>
      </c>
      <c r="P2419" t="n">
        <v>964</v>
      </c>
      <c r="Q2419" t="n">
        <v>1002</v>
      </c>
      <c r="R2419" t="n">
        <v>1.328</v>
      </c>
      <c r="S2419" t="n">
        <v>15.672</v>
      </c>
      <c r="T2419" t="n">
        <v>11.805</v>
      </c>
      <c r="U2419" t="n">
        <v>0.7782</v>
      </c>
      <c r="V2419" t="b">
        <v>1</v>
      </c>
      <c r="X2419" t="b">
        <v>1</v>
      </c>
      <c r="Z2419" t="n">
        <v>935</v>
      </c>
      <c r="AA2419" t="n">
        <v>2.5</v>
      </c>
      <c r="AB2419" t="n">
        <v>9.5</v>
      </c>
    </row>
    <row r="2420">
      <c r="A2420" t="inlineStr">
        <is>
          <t>2026-09-24 19:27:26</t>
        </is>
      </c>
      <c r="B2420" t="inlineStr">
        <is>
          <t>MLLB_000_y1.0.3</t>
        </is>
      </c>
      <c r="C2420" t="inlineStr">
        <is>
          <t>WHITE</t>
        </is>
      </c>
      <c r="D2420" t="inlineStr">
        <is>
          <t>v4_white_MLLB_000_y103_0924</t>
        </is>
      </c>
      <c r="E2420" t="n">
        <v>2.6</v>
      </c>
      <c r="F2420" t="n">
        <v>2.608</v>
      </c>
      <c r="G2420" t="n">
        <v>7</v>
      </c>
      <c r="H2420" t="n">
        <v>100</v>
      </c>
      <c r="J2420" t="inlineStr">
        <is>
          <t>bitti</t>
        </is>
      </c>
      <c r="K2420" t="b">
        <v>0</v>
      </c>
      <c r="Z2420" t="n">
        <v>935</v>
      </c>
      <c r="AA2420" t="n">
        <v>2.5</v>
      </c>
      <c r="AB2420" t="n">
        <v>9.5</v>
      </c>
    </row>
    <row r="2421">
      <c r="A2421" t="inlineStr">
        <is>
          <t>2026-09-24 19:27:42</t>
        </is>
      </c>
      <c r="B2421" t="inlineStr">
        <is>
          <t>MLLB_000_y1.0.3</t>
        </is>
      </c>
      <c r="C2421" t="inlineStr">
        <is>
          <t>WHITE</t>
        </is>
      </c>
      <c r="D2421" t="inlineStr">
        <is>
          <t>v4_white_MLLB_000_y103_0924</t>
        </is>
      </c>
      <c r="E2421" t="n">
        <v>2.6</v>
      </c>
      <c r="F2421" t="n">
        <v>2.608</v>
      </c>
      <c r="G2421" t="n">
        <v>7</v>
      </c>
      <c r="H2421" t="n">
        <v>80</v>
      </c>
      <c r="I2421" t="n">
        <v>12</v>
      </c>
      <c r="J2421" t="inlineStr">
        <is>
          <t>kaba</t>
        </is>
      </c>
      <c r="K2421" t="b">
        <v>1</v>
      </c>
      <c r="M2421" t="n">
        <v>396</v>
      </c>
      <c r="N2421" t="n">
        <v>36</v>
      </c>
      <c r="O2421" t="n">
        <v>374</v>
      </c>
      <c r="P2421" t="n">
        <v>606</v>
      </c>
      <c r="Q2421" t="n">
        <v>1002</v>
      </c>
      <c r="R2421" t="n">
        <v>1.071</v>
      </c>
      <c r="S2421" t="n">
        <v>12.726</v>
      </c>
      <c r="T2421" t="n">
        <v>11.884</v>
      </c>
      <c r="U2421" t="n">
        <v>0.778</v>
      </c>
      <c r="V2421" t="b">
        <v>1</v>
      </c>
      <c r="X2421" t="b">
        <v>0</v>
      </c>
      <c r="Y2421" t="inlineStr">
        <is>
          <t>ON</t>
        </is>
      </c>
      <c r="Z2421" t="n">
        <v>935</v>
      </c>
      <c r="AA2421" t="n">
        <v>2.5</v>
      </c>
      <c r="AB2421" t="n">
        <v>9.5</v>
      </c>
    </row>
    <row r="2422">
      <c r="A2422" t="inlineStr">
        <is>
          <t>2026-09-24 19:27:58</t>
        </is>
      </c>
      <c r="B2422" t="inlineStr">
        <is>
          <t>MLLB_000_y1.0.3</t>
        </is>
      </c>
      <c r="C2422" t="inlineStr">
        <is>
          <t>WHITE</t>
        </is>
      </c>
      <c r="D2422" t="inlineStr">
        <is>
          <t>v4_white_MLLB_000_y103_0924</t>
        </is>
      </c>
      <c r="E2422" t="n">
        <v>2.6</v>
      </c>
      <c r="F2422" t="n">
        <v>2.608</v>
      </c>
      <c r="G2422" t="n">
        <v>7</v>
      </c>
      <c r="H2422" t="n">
        <v>80</v>
      </c>
      <c r="I2422" t="n">
        <v>16</v>
      </c>
      <c r="J2422" t="inlineStr">
        <is>
          <t>kaba</t>
        </is>
      </c>
      <c r="K2422" t="b">
        <v>1</v>
      </c>
      <c r="M2422" t="n">
        <v>340</v>
      </c>
      <c r="N2422" t="n">
        <v>36</v>
      </c>
      <c r="O2422" t="n">
        <v>318</v>
      </c>
      <c r="P2422" t="n">
        <v>662</v>
      </c>
      <c r="Q2422" t="n">
        <v>1002</v>
      </c>
      <c r="R2422" t="n">
        <v>1.092</v>
      </c>
      <c r="S2422" t="n">
        <v>12.678</v>
      </c>
      <c r="T2422" t="n">
        <v>11.608</v>
      </c>
      <c r="U2422" t="n">
        <v>0.7779</v>
      </c>
      <c r="V2422" t="b">
        <v>1</v>
      </c>
      <c r="X2422" t="b">
        <v>0</v>
      </c>
      <c r="Y2422" t="inlineStr">
        <is>
          <t>ON</t>
        </is>
      </c>
      <c r="Z2422" t="n">
        <v>935</v>
      </c>
      <c r="AA2422" t="n">
        <v>2.5</v>
      </c>
      <c r="AB2422" t="n">
        <v>9.5</v>
      </c>
    </row>
    <row r="2423">
      <c r="A2423" t="inlineStr">
        <is>
          <t>2026-09-24 19:28:14</t>
        </is>
      </c>
      <c r="B2423" t="inlineStr">
        <is>
          <t>MLLB_000_y1.0.3</t>
        </is>
      </c>
      <c r="C2423" t="inlineStr">
        <is>
          <t>WHITE</t>
        </is>
      </c>
      <c r="D2423" t="inlineStr">
        <is>
          <t>v4_white_MLLB_000_y103_0924</t>
        </is>
      </c>
      <c r="E2423" t="n">
        <v>2.6</v>
      </c>
      <c r="F2423" t="n">
        <v>2.608</v>
      </c>
      <c r="G2423" t="n">
        <v>7</v>
      </c>
      <c r="H2423" t="n">
        <v>80</v>
      </c>
      <c r="I2423" t="n">
        <v>20</v>
      </c>
      <c r="J2423" t="inlineStr">
        <is>
          <t>kaba</t>
        </is>
      </c>
      <c r="K2423" t="b">
        <v>1</v>
      </c>
      <c r="M2423" t="n">
        <v>284</v>
      </c>
      <c r="N2423" t="n">
        <v>36</v>
      </c>
      <c r="O2423" t="n">
        <v>262</v>
      </c>
      <c r="P2423" t="n">
        <v>718</v>
      </c>
      <c r="Q2423" t="n">
        <v>1002</v>
      </c>
      <c r="R2423" t="n">
        <v>1.088</v>
      </c>
      <c r="S2423" t="n">
        <v>12.673</v>
      </c>
      <c r="T2423" t="n">
        <v>11.652</v>
      </c>
      <c r="U2423" t="n">
        <v>0.7779</v>
      </c>
      <c r="V2423" t="b">
        <v>1</v>
      </c>
      <c r="X2423" t="b">
        <v>0</v>
      </c>
      <c r="Y2423" t="inlineStr">
        <is>
          <t>ON</t>
        </is>
      </c>
      <c r="Z2423" t="n">
        <v>935</v>
      </c>
      <c r="AA2423" t="n">
        <v>2.5</v>
      </c>
      <c r="AB2423" t="n">
        <v>9.5</v>
      </c>
    </row>
    <row r="2424">
      <c r="A2424" t="inlineStr">
        <is>
          <t>2026-09-24 19:28:30</t>
        </is>
      </c>
      <c r="B2424" t="inlineStr">
        <is>
          <t>MLLB_000_y1.0.3</t>
        </is>
      </c>
      <c r="C2424" t="inlineStr">
        <is>
          <t>WHITE</t>
        </is>
      </c>
      <c r="D2424" t="inlineStr">
        <is>
          <t>v4_white_MLLB_000_y103_0924</t>
        </is>
      </c>
      <c r="E2424" t="n">
        <v>2.6</v>
      </c>
      <c r="F2424" t="n">
        <v>2.608</v>
      </c>
      <c r="G2424" t="n">
        <v>7</v>
      </c>
      <c r="H2424" t="n">
        <v>80</v>
      </c>
      <c r="I2424" t="n">
        <v>24</v>
      </c>
      <c r="J2424" t="inlineStr">
        <is>
          <t>kaba</t>
        </is>
      </c>
      <c r="K2424" t="b">
        <v>1</v>
      </c>
      <c r="M2424" t="n">
        <v>226</v>
      </c>
      <c r="N2424" t="n">
        <v>32</v>
      </c>
      <c r="O2424" t="n">
        <v>206</v>
      </c>
      <c r="P2424" t="n">
        <v>776</v>
      </c>
      <c r="Q2424" t="n">
        <v>1002</v>
      </c>
      <c r="R2424" t="n">
        <v>1.091</v>
      </c>
      <c r="S2424" t="n">
        <v>12.741</v>
      </c>
      <c r="T2424" t="n">
        <v>11.679</v>
      </c>
      <c r="U2424" t="n">
        <v>0.778</v>
      </c>
      <c r="V2424" t="b">
        <v>1</v>
      </c>
      <c r="X2424" t="b">
        <v>0</v>
      </c>
      <c r="Y2424" t="inlineStr">
        <is>
          <t>ON</t>
        </is>
      </c>
      <c r="Z2424" t="n">
        <v>935</v>
      </c>
      <c r="AA2424" t="n">
        <v>2.5</v>
      </c>
      <c r="AB2424" t="n">
        <v>9.5</v>
      </c>
    </row>
    <row r="2425">
      <c r="A2425" t="inlineStr">
        <is>
          <t>2026-09-24 19:28:46</t>
        </is>
      </c>
      <c r="B2425" t="inlineStr">
        <is>
          <t>MLLB_000_y1.0.3</t>
        </is>
      </c>
      <c r="C2425" t="inlineStr">
        <is>
          <t>WHITE</t>
        </is>
      </c>
      <c r="D2425" t="inlineStr">
        <is>
          <t>v4_white_MLLB_000_y103_0924</t>
        </is>
      </c>
      <c r="E2425" t="n">
        <v>2.6</v>
      </c>
      <c r="F2425" t="n">
        <v>2.608</v>
      </c>
      <c r="G2425" t="n">
        <v>7</v>
      </c>
      <c r="H2425" t="n">
        <v>80</v>
      </c>
      <c r="I2425" t="n">
        <v>28</v>
      </c>
      <c r="J2425" t="inlineStr">
        <is>
          <t>kaba</t>
        </is>
      </c>
      <c r="K2425" t="b">
        <v>1</v>
      </c>
      <c r="M2425" t="n">
        <v>170</v>
      </c>
      <c r="N2425" t="n">
        <v>32</v>
      </c>
      <c r="O2425" t="n">
        <v>150</v>
      </c>
      <c r="P2425" t="n">
        <v>832</v>
      </c>
      <c r="Q2425" t="n">
        <v>1002</v>
      </c>
      <c r="R2425" t="n">
        <v>1.083</v>
      </c>
      <c r="S2425" t="n">
        <v>12.717</v>
      </c>
      <c r="T2425" t="n">
        <v>11.743</v>
      </c>
      <c r="U2425" t="n">
        <v>0.7776</v>
      </c>
      <c r="V2425" t="b">
        <v>1</v>
      </c>
      <c r="X2425" t="b">
        <v>0</v>
      </c>
      <c r="Y2425" t="inlineStr">
        <is>
          <t>ON</t>
        </is>
      </c>
      <c r="Z2425" t="n">
        <v>935</v>
      </c>
      <c r="AA2425" t="n">
        <v>2.5</v>
      </c>
      <c r="AB2425" t="n">
        <v>9.5</v>
      </c>
    </row>
    <row r="2426">
      <c r="A2426" t="inlineStr">
        <is>
          <t>2026-09-24 19:29:02</t>
        </is>
      </c>
      <c r="B2426" t="inlineStr">
        <is>
          <t>MLLB_000_y1.0.3</t>
        </is>
      </c>
      <c r="C2426" t="inlineStr">
        <is>
          <t>WHITE</t>
        </is>
      </c>
      <c r="D2426" t="inlineStr">
        <is>
          <t>v4_white_MLLB_000_y103_0924</t>
        </is>
      </c>
      <c r="E2426" t="n">
        <v>2.6</v>
      </c>
      <c r="F2426" t="n">
        <v>2.608</v>
      </c>
      <c r="G2426" t="n">
        <v>7</v>
      </c>
      <c r="H2426" t="n">
        <v>80</v>
      </c>
      <c r="I2426" t="n">
        <v>32</v>
      </c>
      <c r="J2426" t="inlineStr">
        <is>
          <t>kaba</t>
        </is>
      </c>
      <c r="K2426" t="b">
        <v>1</v>
      </c>
      <c r="M2426" t="n">
        <v>112</v>
      </c>
      <c r="N2426" t="n">
        <v>36</v>
      </c>
      <c r="O2426" t="n">
        <v>90</v>
      </c>
      <c r="P2426" t="n">
        <v>890</v>
      </c>
      <c r="Q2426" t="n">
        <v>1002</v>
      </c>
      <c r="R2426" t="n">
        <v>1.081</v>
      </c>
      <c r="S2426" t="n">
        <v>12.731</v>
      </c>
      <c r="T2426" t="n">
        <v>11.775</v>
      </c>
      <c r="U2426" t="n">
        <v>0.7779</v>
      </c>
      <c r="V2426" t="b">
        <v>1</v>
      </c>
      <c r="X2426" t="b">
        <v>0</v>
      </c>
      <c r="Y2426" t="inlineStr">
        <is>
          <t>ON</t>
        </is>
      </c>
      <c r="Z2426" t="n">
        <v>935</v>
      </c>
      <c r="AA2426" t="n">
        <v>2.5</v>
      </c>
      <c r="AB2426" t="n">
        <v>9.5</v>
      </c>
    </row>
    <row r="2427">
      <c r="A2427" t="inlineStr">
        <is>
          <t>2026-09-24 19:29:18</t>
        </is>
      </c>
      <c r="B2427" t="inlineStr">
        <is>
          <t>MLLB_000_y1.0.3</t>
        </is>
      </c>
      <c r="C2427" t="inlineStr">
        <is>
          <t>WHITE</t>
        </is>
      </c>
      <c r="D2427" t="inlineStr">
        <is>
          <t>v4_white_MLLB_000_y103_0924</t>
        </is>
      </c>
      <c r="E2427" t="n">
        <v>2.6</v>
      </c>
      <c r="F2427" t="n">
        <v>2.608</v>
      </c>
      <c r="G2427" t="n">
        <v>7</v>
      </c>
      <c r="H2427" t="n">
        <v>80</v>
      </c>
      <c r="I2427" t="n">
        <v>36</v>
      </c>
      <c r="J2427" t="inlineStr">
        <is>
          <t>kaba</t>
        </is>
      </c>
      <c r="K2427" t="b">
        <v>1</v>
      </c>
      <c r="M2427" t="n">
        <v>52</v>
      </c>
      <c r="N2427" t="n">
        <v>36</v>
      </c>
      <c r="O2427" t="n">
        <v>30</v>
      </c>
      <c r="P2427" t="n">
        <v>950</v>
      </c>
      <c r="Q2427" t="n">
        <v>1002</v>
      </c>
      <c r="R2427" t="n">
        <v>1.079</v>
      </c>
      <c r="S2427" t="n">
        <v>12.734</v>
      </c>
      <c r="T2427" t="n">
        <v>11.798</v>
      </c>
      <c r="U2427" t="n">
        <v>0.7781</v>
      </c>
      <c r="V2427" t="b">
        <v>1</v>
      </c>
      <c r="X2427" t="b">
        <v>1</v>
      </c>
      <c r="Z2427" t="n">
        <v>935</v>
      </c>
      <c r="AA2427" t="n">
        <v>2.5</v>
      </c>
      <c r="AB2427" t="n">
        <v>9.5</v>
      </c>
    </row>
    <row r="2428">
      <c r="A2428" t="inlineStr">
        <is>
          <t>2026-09-24 19:29:34</t>
        </is>
      </c>
      <c r="B2428" t="inlineStr">
        <is>
          <t>MLLB_000_y1.0.3</t>
        </is>
      </c>
      <c r="C2428" t="inlineStr">
        <is>
          <t>WHITE</t>
        </is>
      </c>
      <c r="D2428" t="inlineStr">
        <is>
          <t>v4_white_MLLB_000_y103_0924</t>
        </is>
      </c>
      <c r="E2428" t="n">
        <v>2.6</v>
      </c>
      <c r="F2428" t="n">
        <v>2.608</v>
      </c>
      <c r="G2428" t="n">
        <v>7</v>
      </c>
      <c r="H2428" t="n">
        <v>80</v>
      </c>
      <c r="I2428" t="n">
        <v>40</v>
      </c>
      <c r="J2428" t="inlineStr">
        <is>
          <t>kaba</t>
        </is>
      </c>
      <c r="K2428" t="b">
        <v>1</v>
      </c>
      <c r="M2428" t="n">
        <v>46</v>
      </c>
      <c r="N2428" t="n">
        <v>28</v>
      </c>
      <c r="O2428" t="n">
        <v>26</v>
      </c>
      <c r="P2428" t="n">
        <v>956</v>
      </c>
      <c r="Q2428" t="n">
        <v>1002</v>
      </c>
      <c r="R2428" t="n">
        <v>4.251</v>
      </c>
      <c r="S2428" t="n">
        <v>50.154</v>
      </c>
      <c r="T2428" t="n">
        <v>11.8</v>
      </c>
      <c r="U2428" t="n">
        <v>0.7774</v>
      </c>
      <c r="V2428" t="b">
        <v>1</v>
      </c>
      <c r="X2428" t="b">
        <v>0</v>
      </c>
      <c r="Y2428" t="inlineStr">
        <is>
          <t>FLAS</t>
        </is>
      </c>
      <c r="Z2428" t="n">
        <v>935</v>
      </c>
      <c r="AA2428" t="n">
        <v>2.5</v>
      </c>
      <c r="AB2428" t="n">
        <v>9.5</v>
      </c>
    </row>
    <row r="2429">
      <c r="A2429" t="inlineStr">
        <is>
          <t>2026-09-24 19:29:50</t>
        </is>
      </c>
      <c r="B2429" t="inlineStr">
        <is>
          <t>MLLB_000_y1.0.3</t>
        </is>
      </c>
      <c r="C2429" t="inlineStr">
        <is>
          <t>WHITE</t>
        </is>
      </c>
      <c r="D2429" t="inlineStr">
        <is>
          <t>v4_white_MLLB_000_y103_0924</t>
        </is>
      </c>
      <c r="E2429" t="n">
        <v>2.6</v>
      </c>
      <c r="F2429" t="n">
        <v>2.608</v>
      </c>
      <c r="G2429" t="n">
        <v>7</v>
      </c>
      <c r="H2429" t="n">
        <v>80</v>
      </c>
      <c r="I2429" t="n">
        <v>44</v>
      </c>
      <c r="J2429" t="inlineStr">
        <is>
          <t>kaba</t>
        </is>
      </c>
      <c r="K2429" t="b">
        <v>1</v>
      </c>
      <c r="M2429" t="n">
        <v>46</v>
      </c>
      <c r="N2429" t="n">
        <v>28</v>
      </c>
      <c r="O2429" t="n">
        <v>26</v>
      </c>
      <c r="P2429" t="n">
        <v>956</v>
      </c>
      <c r="Q2429" t="n">
        <v>1002</v>
      </c>
      <c r="R2429" t="n">
        <v>10.124</v>
      </c>
      <c r="S2429" t="n">
        <v>119.527</v>
      </c>
      <c r="T2429" t="n">
        <v>11.806</v>
      </c>
      <c r="U2429" t="n">
        <v>0.7776</v>
      </c>
      <c r="V2429" t="b">
        <v>1</v>
      </c>
      <c r="X2429" t="b">
        <v>0</v>
      </c>
      <c r="Y2429" t="inlineStr">
        <is>
          <t>FLAS</t>
        </is>
      </c>
      <c r="Z2429" t="n">
        <v>935</v>
      </c>
      <c r="AA2429" t="n">
        <v>2.5</v>
      </c>
      <c r="AB2429" t="n">
        <v>9.5</v>
      </c>
    </row>
    <row r="2430">
      <c r="A2430" t="inlineStr">
        <is>
          <t>2026-09-24 19:30:06</t>
        </is>
      </c>
      <c r="B2430" t="inlineStr">
        <is>
          <t>MLLB_000_y1.0.3</t>
        </is>
      </c>
      <c r="C2430" t="inlineStr">
        <is>
          <t>WHITE</t>
        </is>
      </c>
      <c r="D2430" t="inlineStr">
        <is>
          <t>v4_white_MLLB_000_y103_0924</t>
        </is>
      </c>
      <c r="E2430" t="n">
        <v>2.6</v>
      </c>
      <c r="F2430" t="n">
        <v>2.608</v>
      </c>
      <c r="G2430" t="n">
        <v>7</v>
      </c>
      <c r="H2430" t="n">
        <v>80</v>
      </c>
      <c r="I2430" t="n">
        <v>33</v>
      </c>
      <c r="J2430" t="inlineStr">
        <is>
          <t>ince</t>
        </is>
      </c>
      <c r="K2430" t="b">
        <v>1</v>
      </c>
      <c r="M2430" t="n">
        <v>98</v>
      </c>
      <c r="N2430" t="n">
        <v>32</v>
      </c>
      <c r="O2430" t="n">
        <v>78</v>
      </c>
      <c r="P2430" t="n">
        <v>904</v>
      </c>
      <c r="Q2430" t="n">
        <v>1002</v>
      </c>
      <c r="R2430" t="n">
        <v>1.077</v>
      </c>
      <c r="S2430" t="n">
        <v>12.673</v>
      </c>
      <c r="T2430" t="n">
        <v>11.767</v>
      </c>
      <c r="U2430" t="n">
        <v>0.7779</v>
      </c>
      <c r="V2430" t="b">
        <v>1</v>
      </c>
      <c r="X2430" t="b">
        <v>0</v>
      </c>
      <c r="Y2430" t="inlineStr">
        <is>
          <t>ON</t>
        </is>
      </c>
      <c r="Z2430" t="n">
        <v>935</v>
      </c>
      <c r="AA2430" t="n">
        <v>2.5</v>
      </c>
      <c r="AB2430" t="n">
        <v>9.5</v>
      </c>
    </row>
    <row r="2431">
      <c r="A2431" t="inlineStr">
        <is>
          <t>2026-09-24 19:30:22</t>
        </is>
      </c>
      <c r="B2431" t="inlineStr">
        <is>
          <t>MLLB_000_y1.0.3</t>
        </is>
      </c>
      <c r="C2431" t="inlineStr">
        <is>
          <t>WHITE</t>
        </is>
      </c>
      <c r="D2431" t="inlineStr">
        <is>
          <t>v4_white_MLLB_000_y103_0924</t>
        </is>
      </c>
      <c r="E2431" t="n">
        <v>2.6</v>
      </c>
      <c r="F2431" t="n">
        <v>2.608</v>
      </c>
      <c r="G2431" t="n">
        <v>7</v>
      </c>
      <c r="H2431" t="n">
        <v>80</v>
      </c>
      <c r="I2431" t="n">
        <v>34</v>
      </c>
      <c r="J2431" t="inlineStr">
        <is>
          <t>ince</t>
        </is>
      </c>
      <c r="K2431" t="b">
        <v>1</v>
      </c>
      <c r="M2431" t="n">
        <v>84</v>
      </c>
      <c r="N2431" t="n">
        <v>36</v>
      </c>
      <c r="O2431" t="n">
        <v>62</v>
      </c>
      <c r="P2431" t="n">
        <v>918</v>
      </c>
      <c r="Q2431" t="n">
        <v>1002</v>
      </c>
      <c r="R2431" t="n">
        <v>1.081</v>
      </c>
      <c r="S2431" t="n">
        <v>12.739</v>
      </c>
      <c r="T2431" t="n">
        <v>11.787</v>
      </c>
      <c r="U2431" t="n">
        <v>0.7779</v>
      </c>
      <c r="V2431" t="b">
        <v>1</v>
      </c>
      <c r="X2431" t="b">
        <v>0</v>
      </c>
      <c r="Y2431" t="inlineStr">
        <is>
          <t>ON</t>
        </is>
      </c>
      <c r="Z2431" t="n">
        <v>935</v>
      </c>
      <c r="AA2431" t="n">
        <v>2.5</v>
      </c>
      <c r="AB2431" t="n">
        <v>9.5</v>
      </c>
    </row>
    <row r="2432">
      <c r="A2432" t="inlineStr">
        <is>
          <t>2026-09-24 19:30:38</t>
        </is>
      </c>
      <c r="B2432" t="inlineStr">
        <is>
          <t>MLLB_000_y1.0.3</t>
        </is>
      </c>
      <c r="C2432" t="inlineStr">
        <is>
          <t>WHITE</t>
        </is>
      </c>
      <c r="D2432" t="inlineStr">
        <is>
          <t>v4_white_MLLB_000_y103_0924</t>
        </is>
      </c>
      <c r="E2432" t="n">
        <v>2.6</v>
      </c>
      <c r="F2432" t="n">
        <v>2.608</v>
      </c>
      <c r="G2432" t="n">
        <v>7</v>
      </c>
      <c r="H2432" t="n">
        <v>80</v>
      </c>
      <c r="I2432" t="n">
        <v>35</v>
      </c>
      <c r="J2432" t="inlineStr">
        <is>
          <t>ince</t>
        </is>
      </c>
      <c r="K2432" t="b">
        <v>1</v>
      </c>
      <c r="M2432" t="n">
        <v>68</v>
      </c>
      <c r="N2432" t="n">
        <v>36</v>
      </c>
      <c r="O2432" t="n">
        <v>46</v>
      </c>
      <c r="P2432" t="n">
        <v>934</v>
      </c>
      <c r="Q2432" t="n">
        <v>1002</v>
      </c>
      <c r="R2432" t="n">
        <v>1.078</v>
      </c>
      <c r="S2432" t="n">
        <v>12.717</v>
      </c>
      <c r="T2432" t="n">
        <v>11.798</v>
      </c>
      <c r="U2432" t="n">
        <v>0.7781</v>
      </c>
      <c r="V2432" t="b">
        <v>1</v>
      </c>
      <c r="X2432" t="b">
        <v>0</v>
      </c>
      <c r="Y2432" t="inlineStr">
        <is>
          <t>ON</t>
        </is>
      </c>
      <c r="Z2432" t="n">
        <v>935</v>
      </c>
      <c r="AA2432" t="n">
        <v>2.5</v>
      </c>
      <c r="AB2432" t="n">
        <v>9.5</v>
      </c>
    </row>
    <row r="2433">
      <c r="A2433" t="inlineStr">
        <is>
          <t>2026-09-24 19:30:54</t>
        </is>
      </c>
      <c r="B2433" t="inlineStr">
        <is>
          <t>MLLB_000_y1.0.3</t>
        </is>
      </c>
      <c r="C2433" t="inlineStr">
        <is>
          <t>WHITE</t>
        </is>
      </c>
      <c r="D2433" t="inlineStr">
        <is>
          <t>v4_white_MLLB_000_y103_0924</t>
        </is>
      </c>
      <c r="E2433" t="n">
        <v>2.6</v>
      </c>
      <c r="F2433" t="n">
        <v>2.608</v>
      </c>
      <c r="G2433" t="n">
        <v>7</v>
      </c>
      <c r="H2433" t="n">
        <v>80</v>
      </c>
      <c r="I2433" t="n">
        <v>37</v>
      </c>
      <c r="J2433" t="inlineStr">
        <is>
          <t>ince</t>
        </is>
      </c>
      <c r="K2433" t="b">
        <v>1</v>
      </c>
      <c r="M2433" t="n">
        <v>46</v>
      </c>
      <c r="N2433" t="n">
        <v>28</v>
      </c>
      <c r="O2433" t="n">
        <v>26</v>
      </c>
      <c r="P2433" t="n">
        <v>956</v>
      </c>
      <c r="Q2433" t="n">
        <v>1002</v>
      </c>
      <c r="R2433" t="n">
        <v>1.075</v>
      </c>
      <c r="S2433" t="n">
        <v>12.717</v>
      </c>
      <c r="T2433" t="n">
        <v>11.827</v>
      </c>
      <c r="U2433" t="n">
        <v>0.7773</v>
      </c>
      <c r="V2433" t="b">
        <v>1</v>
      </c>
      <c r="X2433" t="b">
        <v>1</v>
      </c>
      <c r="Z2433" t="n">
        <v>935</v>
      </c>
      <c r="AA2433" t="n">
        <v>2.5</v>
      </c>
      <c r="AB2433" t="n">
        <v>9.5</v>
      </c>
    </row>
    <row r="2434">
      <c r="A2434" t="inlineStr">
        <is>
          <t>2026-09-24 19:31:10</t>
        </is>
      </c>
      <c r="B2434" t="inlineStr">
        <is>
          <t>MLLB_000_y1.0.3</t>
        </is>
      </c>
      <c r="C2434" t="inlineStr">
        <is>
          <t>WHITE</t>
        </is>
      </c>
      <c r="D2434" t="inlineStr">
        <is>
          <t>v4_white_MLLB_000_y103_0924</t>
        </is>
      </c>
      <c r="E2434" t="n">
        <v>2.6</v>
      </c>
      <c r="F2434" t="n">
        <v>2.608</v>
      </c>
      <c r="G2434" t="n">
        <v>7</v>
      </c>
      <c r="H2434" t="n">
        <v>80</v>
      </c>
      <c r="I2434" t="n">
        <v>38</v>
      </c>
      <c r="J2434" t="inlineStr">
        <is>
          <t>ince</t>
        </is>
      </c>
      <c r="K2434" t="b">
        <v>1</v>
      </c>
      <c r="M2434" t="n">
        <v>46</v>
      </c>
      <c r="N2434" t="n">
        <v>28</v>
      </c>
      <c r="O2434" t="n">
        <v>26</v>
      </c>
      <c r="P2434" t="n">
        <v>956</v>
      </c>
      <c r="Q2434" t="n">
        <v>1002</v>
      </c>
      <c r="R2434" t="n">
        <v>2.073</v>
      </c>
      <c r="S2434" t="n">
        <v>24.452</v>
      </c>
      <c r="T2434" t="n">
        <v>11.798</v>
      </c>
      <c r="U2434" t="n">
        <v>0.7783</v>
      </c>
      <c r="V2434" t="b">
        <v>1</v>
      </c>
      <c r="X2434" t="b">
        <v>1</v>
      </c>
      <c r="Z2434" t="n">
        <v>935</v>
      </c>
      <c r="AA2434" t="n">
        <v>2.5</v>
      </c>
      <c r="AB2434" t="n">
        <v>9.5</v>
      </c>
    </row>
    <row r="2435">
      <c r="A2435" t="inlineStr">
        <is>
          <t>2026-09-24 19:31:26</t>
        </is>
      </c>
      <c r="B2435" t="inlineStr">
        <is>
          <t>MLLB_000_y1.0.3</t>
        </is>
      </c>
      <c r="C2435" t="inlineStr">
        <is>
          <t>WHITE</t>
        </is>
      </c>
      <c r="D2435" t="inlineStr">
        <is>
          <t>v4_white_MLLB_000_y103_0924</t>
        </is>
      </c>
      <c r="E2435" t="n">
        <v>2.6</v>
      </c>
      <c r="F2435" t="n">
        <v>2.608</v>
      </c>
      <c r="G2435" t="n">
        <v>7</v>
      </c>
      <c r="H2435" t="n">
        <v>80</v>
      </c>
      <c r="I2435" t="n">
        <v>39</v>
      </c>
      <c r="J2435" t="inlineStr">
        <is>
          <t>ince</t>
        </is>
      </c>
      <c r="K2435" t="b">
        <v>1</v>
      </c>
      <c r="M2435" t="n">
        <v>46</v>
      </c>
      <c r="N2435" t="n">
        <v>28</v>
      </c>
      <c r="O2435" t="n">
        <v>26</v>
      </c>
      <c r="P2435" t="n">
        <v>956</v>
      </c>
      <c r="Q2435" t="n">
        <v>1002</v>
      </c>
      <c r="R2435" t="n">
        <v>3.074</v>
      </c>
      <c r="S2435" t="n">
        <v>36.23</v>
      </c>
      <c r="T2435" t="n">
        <v>11.785</v>
      </c>
      <c r="U2435" t="n">
        <v>0.7775</v>
      </c>
      <c r="V2435" t="b">
        <v>1</v>
      </c>
      <c r="X2435" t="b">
        <v>0</v>
      </c>
      <c r="Y2435" t="inlineStr">
        <is>
          <t>FLAS</t>
        </is>
      </c>
      <c r="Z2435" t="n">
        <v>935</v>
      </c>
      <c r="AA2435" t="n">
        <v>2.5</v>
      </c>
      <c r="AB2435" t="n">
        <v>9.5</v>
      </c>
    </row>
    <row r="2436">
      <c r="A2436" t="inlineStr">
        <is>
          <t>2026-09-24 19:31:26</t>
        </is>
      </c>
      <c r="B2436" t="inlineStr">
        <is>
          <t>MLLB_000_y1.0.3</t>
        </is>
      </c>
      <c r="C2436" t="inlineStr">
        <is>
          <t>WHITE</t>
        </is>
      </c>
      <c r="D2436" t="inlineStr">
        <is>
          <t>v4_white_MLLB_000_y103_0924</t>
        </is>
      </c>
      <c r="E2436" t="n">
        <v>2.6</v>
      </c>
      <c r="F2436" t="n">
        <v>2.608</v>
      </c>
      <c r="G2436" t="n">
        <v>7</v>
      </c>
      <c r="H2436" t="n">
        <v>80</v>
      </c>
      <c r="J2436" t="inlineStr">
        <is>
          <t>bitti</t>
        </is>
      </c>
      <c r="K2436" t="b">
        <v>0</v>
      </c>
      <c r="Z2436" t="n">
        <v>935</v>
      </c>
      <c r="AA2436" t="n">
        <v>2.5</v>
      </c>
      <c r="AB2436" t="n">
        <v>9.5</v>
      </c>
    </row>
    <row r="2437">
      <c r="A2437" t="inlineStr">
        <is>
          <t>2026-09-24 19:31:42</t>
        </is>
      </c>
      <c r="B2437" t="inlineStr">
        <is>
          <t>MLLB_000_y1.0.3</t>
        </is>
      </c>
      <c r="C2437" t="inlineStr">
        <is>
          <t>WHITE</t>
        </is>
      </c>
      <c r="D2437" t="inlineStr">
        <is>
          <t>v4_white_MLLB_000_y103_0924</t>
        </is>
      </c>
      <c r="E2437" t="n">
        <v>2.6</v>
      </c>
      <c r="F2437" t="n">
        <v>2.608</v>
      </c>
      <c r="G2437" t="n">
        <v>7</v>
      </c>
      <c r="H2437" t="n">
        <v>60</v>
      </c>
      <c r="I2437" t="n">
        <v>12</v>
      </c>
      <c r="J2437" t="inlineStr">
        <is>
          <t>kaba</t>
        </is>
      </c>
      <c r="K2437" t="b">
        <v>1</v>
      </c>
      <c r="M2437" t="n">
        <v>432</v>
      </c>
      <c r="N2437" t="n">
        <v>36</v>
      </c>
      <c r="O2437" t="n">
        <v>410</v>
      </c>
      <c r="P2437" t="n">
        <v>570</v>
      </c>
      <c r="Q2437" t="n">
        <v>1002</v>
      </c>
      <c r="R2437" t="n">
        <v>1.104</v>
      </c>
      <c r="S2437" t="n">
        <v>12.717</v>
      </c>
      <c r="T2437" t="n">
        <v>11.517</v>
      </c>
      <c r="U2437" t="n">
        <v>0.7784</v>
      </c>
      <c r="V2437" t="b">
        <v>1</v>
      </c>
      <c r="X2437" t="b">
        <v>0</v>
      </c>
      <c r="Y2437" t="inlineStr">
        <is>
          <t>ON</t>
        </is>
      </c>
      <c r="Z2437" t="n">
        <v>935</v>
      </c>
      <c r="AA2437" t="n">
        <v>2.5</v>
      </c>
      <c r="AB2437" t="n">
        <v>9.5</v>
      </c>
    </row>
    <row r="2438">
      <c r="A2438" t="inlineStr">
        <is>
          <t>2026-09-24 19:31:58</t>
        </is>
      </c>
      <c r="B2438" t="inlineStr">
        <is>
          <t>MLLB_000_y1.0.3</t>
        </is>
      </c>
      <c r="C2438" t="inlineStr">
        <is>
          <t>WHITE</t>
        </is>
      </c>
      <c r="D2438" t="inlineStr">
        <is>
          <t>v4_white_MLLB_000_y103_0924</t>
        </is>
      </c>
      <c r="E2438" t="n">
        <v>2.6</v>
      </c>
      <c r="F2438" t="n">
        <v>2.608</v>
      </c>
      <c r="G2438" t="n">
        <v>7</v>
      </c>
      <c r="H2438" t="n">
        <v>60</v>
      </c>
      <c r="I2438" t="n">
        <v>16</v>
      </c>
      <c r="J2438" t="inlineStr">
        <is>
          <t>kaba</t>
        </is>
      </c>
      <c r="K2438" t="b">
        <v>1</v>
      </c>
      <c r="M2438" t="n">
        <v>392</v>
      </c>
      <c r="N2438" t="n">
        <v>36</v>
      </c>
      <c r="O2438" t="n">
        <v>370</v>
      </c>
      <c r="P2438" t="n">
        <v>610</v>
      </c>
      <c r="Q2438" t="n">
        <v>1002</v>
      </c>
      <c r="R2438" t="n">
        <v>1.094</v>
      </c>
      <c r="S2438" t="n">
        <v>12.625</v>
      </c>
      <c r="T2438" t="n">
        <v>11.541</v>
      </c>
      <c r="U2438" t="n">
        <v>0.7778</v>
      </c>
      <c r="V2438" t="b">
        <v>1</v>
      </c>
      <c r="X2438" t="b">
        <v>0</v>
      </c>
      <c r="Y2438" t="inlineStr">
        <is>
          <t>ON</t>
        </is>
      </c>
      <c r="Z2438" t="n">
        <v>935</v>
      </c>
      <c r="AA2438" t="n">
        <v>2.5</v>
      </c>
      <c r="AB2438" t="n">
        <v>9.5</v>
      </c>
    </row>
    <row r="2439">
      <c r="A2439" t="inlineStr">
        <is>
          <t>2026-09-24 19:32:14</t>
        </is>
      </c>
      <c r="B2439" t="inlineStr">
        <is>
          <t>MLLB_000_y1.0.3</t>
        </is>
      </c>
      <c r="C2439" t="inlineStr">
        <is>
          <t>WHITE</t>
        </is>
      </c>
      <c r="D2439" t="inlineStr">
        <is>
          <t>v4_white_MLLB_000_y103_0924</t>
        </is>
      </c>
      <c r="E2439" t="n">
        <v>2.6</v>
      </c>
      <c r="F2439" t="n">
        <v>2.608</v>
      </c>
      <c r="G2439" t="n">
        <v>7</v>
      </c>
      <c r="H2439" t="n">
        <v>60</v>
      </c>
      <c r="I2439" t="n">
        <v>20</v>
      </c>
      <c r="J2439" t="inlineStr">
        <is>
          <t>kaba</t>
        </is>
      </c>
      <c r="K2439" t="b">
        <v>1</v>
      </c>
      <c r="M2439" t="n">
        <v>352</v>
      </c>
      <c r="N2439" t="n">
        <v>34</v>
      </c>
      <c r="O2439" t="n">
        <v>332</v>
      </c>
      <c r="P2439" t="n">
        <v>650</v>
      </c>
      <c r="Q2439" t="n">
        <v>1002</v>
      </c>
      <c r="R2439" t="n">
        <v>1.096</v>
      </c>
      <c r="S2439" t="n">
        <v>12.663</v>
      </c>
      <c r="T2439" t="n">
        <v>11.556</v>
      </c>
      <c r="U2439" t="n">
        <v>0.7776</v>
      </c>
      <c r="V2439" t="b">
        <v>1</v>
      </c>
      <c r="X2439" t="b">
        <v>0</v>
      </c>
      <c r="Y2439" t="inlineStr">
        <is>
          <t>ON</t>
        </is>
      </c>
      <c r="Z2439" t="n">
        <v>935</v>
      </c>
      <c r="AA2439" t="n">
        <v>2.5</v>
      </c>
      <c r="AB2439" t="n">
        <v>9.5</v>
      </c>
    </row>
    <row r="2440">
      <c r="A2440" t="inlineStr">
        <is>
          <t>2026-09-24 19:32:26</t>
        </is>
      </c>
      <c r="B2440" t="inlineStr">
        <is>
          <t>MLLB_000_y1.0.3</t>
        </is>
      </c>
      <c r="C2440" t="inlineStr">
        <is>
          <t>WHITE</t>
        </is>
      </c>
      <c r="D2440" t="inlineStr">
        <is>
          <t>v4_white_MLLB_000_y103_0924</t>
        </is>
      </c>
      <c r="E2440" t="n">
        <v>2.6</v>
      </c>
      <c r="F2440" t="n">
        <v>2.608</v>
      </c>
      <c r="G2440" t="n">
        <v>7</v>
      </c>
      <c r="H2440" t="n">
        <v>60</v>
      </c>
      <c r="I2440" t="n">
        <v>24</v>
      </c>
      <c r="J2440" t="inlineStr">
        <is>
          <t>kaba</t>
        </is>
      </c>
      <c r="K2440" t="b">
        <v>1</v>
      </c>
      <c r="M2440" t="n">
        <v>312</v>
      </c>
      <c r="N2440" t="n">
        <v>36</v>
      </c>
      <c r="O2440" t="n">
        <v>290</v>
      </c>
      <c r="P2440" t="n">
        <v>690</v>
      </c>
      <c r="Q2440" t="n">
        <v>1002</v>
      </c>
      <c r="R2440" t="n">
        <v>1.092</v>
      </c>
      <c r="S2440" t="n">
        <v>12.671</v>
      </c>
      <c r="T2440" t="n">
        <v>11.602</v>
      </c>
      <c r="U2440" t="n">
        <v>0.7776999999999999</v>
      </c>
      <c r="V2440" t="b">
        <v>1</v>
      </c>
      <c r="X2440" t="b">
        <v>0</v>
      </c>
      <c r="Y2440" t="inlineStr">
        <is>
          <t>ON</t>
        </is>
      </c>
      <c r="Z2440" t="n">
        <v>935</v>
      </c>
      <c r="AA2440" t="n">
        <v>2.5</v>
      </c>
      <c r="AB2440" t="n">
        <v>9.5</v>
      </c>
    </row>
    <row r="2441">
      <c r="A2441" t="inlineStr">
        <is>
          <t>2026-09-24 19:32:42</t>
        </is>
      </c>
      <c r="B2441" t="inlineStr">
        <is>
          <t>MLLB_000_y1.0.3</t>
        </is>
      </c>
      <c r="C2441" t="inlineStr">
        <is>
          <t>WHITE</t>
        </is>
      </c>
      <c r="D2441" t="inlineStr">
        <is>
          <t>v4_white_MLLB_000_y103_0924</t>
        </is>
      </c>
      <c r="E2441" t="n">
        <v>2.6</v>
      </c>
      <c r="F2441" t="n">
        <v>2.608</v>
      </c>
      <c r="G2441" t="n">
        <v>7</v>
      </c>
      <c r="H2441" t="n">
        <v>60</v>
      </c>
      <c r="I2441" t="n">
        <v>28</v>
      </c>
      <c r="J2441" t="inlineStr">
        <is>
          <t>kaba</t>
        </is>
      </c>
      <c r="K2441" t="b">
        <v>1</v>
      </c>
      <c r="M2441" t="n">
        <v>270</v>
      </c>
      <c r="N2441" t="n">
        <v>32</v>
      </c>
      <c r="O2441" t="n">
        <v>250</v>
      </c>
      <c r="P2441" t="n">
        <v>732</v>
      </c>
      <c r="Q2441" t="n">
        <v>1002</v>
      </c>
      <c r="R2441" t="n">
        <v>1.084</v>
      </c>
      <c r="S2441" t="n">
        <v>12.625</v>
      </c>
      <c r="T2441" t="n">
        <v>11.651</v>
      </c>
      <c r="U2441" t="n">
        <v>0.7775</v>
      </c>
      <c r="V2441" t="b">
        <v>1</v>
      </c>
      <c r="X2441" t="b">
        <v>0</v>
      </c>
      <c r="Y2441" t="inlineStr">
        <is>
          <t>ON</t>
        </is>
      </c>
      <c r="Z2441" t="n">
        <v>935</v>
      </c>
      <c r="AA2441" t="n">
        <v>2.5</v>
      </c>
      <c r="AB2441" t="n">
        <v>9.5</v>
      </c>
    </row>
    <row r="2442">
      <c r="A2442" t="inlineStr">
        <is>
          <t>2026-09-24 19:32:54</t>
        </is>
      </c>
      <c r="B2442" t="inlineStr">
        <is>
          <t>MLLB_000_y1.0.3</t>
        </is>
      </c>
      <c r="C2442" t="inlineStr">
        <is>
          <t>WHITE</t>
        </is>
      </c>
      <c r="D2442" t="inlineStr">
        <is>
          <t>v4_white_MLLB_000_y103_0924</t>
        </is>
      </c>
      <c r="E2442" t="n">
        <v>2.6</v>
      </c>
      <c r="F2442" t="n">
        <v>2.608</v>
      </c>
      <c r="G2442" t="n">
        <v>7</v>
      </c>
      <c r="H2442" t="n">
        <v>60</v>
      </c>
      <c r="I2442" t="n">
        <v>32</v>
      </c>
      <c r="J2442" t="inlineStr">
        <is>
          <t>kaba</t>
        </is>
      </c>
      <c r="K2442" t="b">
        <v>1</v>
      </c>
      <c r="M2442" t="n">
        <v>228</v>
      </c>
      <c r="N2442" t="n">
        <v>36</v>
      </c>
      <c r="O2442" t="n">
        <v>206</v>
      </c>
      <c r="P2442" t="n">
        <v>774</v>
      </c>
      <c r="Q2442" t="n">
        <v>1002</v>
      </c>
      <c r="R2442" t="n">
        <v>1.09</v>
      </c>
      <c r="S2442" t="n">
        <v>12.748</v>
      </c>
      <c r="T2442" t="n">
        <v>11.696</v>
      </c>
      <c r="U2442" t="n">
        <v>0.7776</v>
      </c>
      <c r="V2442" t="b">
        <v>1</v>
      </c>
      <c r="X2442" t="b">
        <v>0</v>
      </c>
      <c r="Y2442" t="inlineStr">
        <is>
          <t>ON</t>
        </is>
      </c>
      <c r="Z2442" t="n">
        <v>935</v>
      </c>
      <c r="AA2442" t="n">
        <v>2.5</v>
      </c>
      <c r="AB2442" t="n">
        <v>9.5</v>
      </c>
    </row>
    <row r="2443">
      <c r="A2443" t="inlineStr">
        <is>
          <t>2026-09-24 19:33:10</t>
        </is>
      </c>
      <c r="B2443" t="inlineStr">
        <is>
          <t>MLLB_000_y1.0.3</t>
        </is>
      </c>
      <c r="C2443" t="inlineStr">
        <is>
          <t>WHITE</t>
        </is>
      </c>
      <c r="D2443" t="inlineStr">
        <is>
          <t>v4_white_MLLB_000_y103_0924</t>
        </is>
      </c>
      <c r="E2443" t="n">
        <v>2.6</v>
      </c>
      <c r="F2443" t="n">
        <v>2.608</v>
      </c>
      <c r="G2443" t="n">
        <v>7</v>
      </c>
      <c r="H2443" t="n">
        <v>60</v>
      </c>
      <c r="I2443" t="n">
        <v>36</v>
      </c>
      <c r="J2443" t="inlineStr">
        <is>
          <t>kaba</t>
        </is>
      </c>
      <c r="K2443" t="b">
        <v>1</v>
      </c>
      <c r="M2443" t="n">
        <v>188</v>
      </c>
      <c r="N2443" t="n">
        <v>38</v>
      </c>
      <c r="O2443" t="n">
        <v>166</v>
      </c>
      <c r="P2443" t="n">
        <v>814</v>
      </c>
      <c r="Q2443" t="n">
        <v>1002</v>
      </c>
      <c r="R2443" t="n">
        <v>1.082</v>
      </c>
      <c r="S2443" t="n">
        <v>12.671</v>
      </c>
      <c r="T2443" t="n">
        <v>11.708</v>
      </c>
      <c r="U2443" t="n">
        <v>0.7779</v>
      </c>
      <c r="V2443" t="b">
        <v>1</v>
      </c>
      <c r="X2443" t="b">
        <v>0</v>
      </c>
      <c r="Y2443" t="inlineStr">
        <is>
          <t>ON</t>
        </is>
      </c>
      <c r="Z2443" t="n">
        <v>935</v>
      </c>
      <c r="AA2443" t="n">
        <v>2.5</v>
      </c>
      <c r="AB2443" t="n">
        <v>9.5</v>
      </c>
    </row>
    <row r="2444">
      <c r="A2444" t="inlineStr">
        <is>
          <t>2026-09-24 19:33:26</t>
        </is>
      </c>
      <c r="B2444" t="inlineStr">
        <is>
          <t>MLLB_000_y1.0.3</t>
        </is>
      </c>
      <c r="C2444" t="inlineStr">
        <is>
          <t>WHITE</t>
        </is>
      </c>
      <c r="D2444" t="inlineStr">
        <is>
          <t>v4_white_MLLB_000_y103_0924</t>
        </is>
      </c>
      <c r="E2444" t="n">
        <v>2.6</v>
      </c>
      <c r="F2444" t="n">
        <v>2.608</v>
      </c>
      <c r="G2444" t="n">
        <v>7</v>
      </c>
      <c r="H2444" t="n">
        <v>60</v>
      </c>
      <c r="I2444" t="n">
        <v>40</v>
      </c>
      <c r="J2444" t="inlineStr">
        <is>
          <t>kaba</t>
        </is>
      </c>
      <c r="K2444" t="b">
        <v>1</v>
      </c>
      <c r="M2444" t="n">
        <v>144</v>
      </c>
      <c r="N2444" t="n">
        <v>36</v>
      </c>
      <c r="O2444" t="n">
        <v>122</v>
      </c>
      <c r="P2444" t="n">
        <v>858</v>
      </c>
      <c r="Q2444" t="n">
        <v>1002</v>
      </c>
      <c r="R2444" t="n">
        <v>1.077</v>
      </c>
      <c r="S2444" t="n">
        <v>12.649</v>
      </c>
      <c r="T2444" t="n">
        <v>11.741</v>
      </c>
      <c r="U2444" t="n">
        <v>0.778</v>
      </c>
      <c r="V2444" t="b">
        <v>1</v>
      </c>
      <c r="X2444" t="b">
        <v>0</v>
      </c>
      <c r="Y2444" t="inlineStr">
        <is>
          <t>ON</t>
        </is>
      </c>
      <c r="Z2444" t="n">
        <v>935</v>
      </c>
      <c r="AA2444" t="n">
        <v>2.5</v>
      </c>
      <c r="AB2444" t="n">
        <v>9.5</v>
      </c>
    </row>
    <row r="2445">
      <c r="A2445" t="inlineStr">
        <is>
          <t>2026-09-24 19:33:42</t>
        </is>
      </c>
      <c r="B2445" t="inlineStr">
        <is>
          <t>MLLB_000_y1.0.3</t>
        </is>
      </c>
      <c r="C2445" t="inlineStr">
        <is>
          <t>WHITE</t>
        </is>
      </c>
      <c r="D2445" t="inlineStr">
        <is>
          <t>v4_white_MLLB_000_y103_0924</t>
        </is>
      </c>
      <c r="E2445" t="n">
        <v>2.6</v>
      </c>
      <c r="F2445" t="n">
        <v>2.608</v>
      </c>
      <c r="G2445" t="n">
        <v>7</v>
      </c>
      <c r="H2445" t="n">
        <v>60</v>
      </c>
      <c r="I2445" t="n">
        <v>44</v>
      </c>
      <c r="J2445" t="inlineStr">
        <is>
          <t>kaba</t>
        </is>
      </c>
      <c r="K2445" t="b">
        <v>1</v>
      </c>
      <c r="M2445" t="n">
        <v>102</v>
      </c>
      <c r="N2445" t="n">
        <v>32</v>
      </c>
      <c r="O2445" t="n">
        <v>82</v>
      </c>
      <c r="P2445" t="n">
        <v>900</v>
      </c>
      <c r="Q2445" t="n">
        <v>1002</v>
      </c>
      <c r="R2445" t="n">
        <v>1.081</v>
      </c>
      <c r="S2445" t="n">
        <v>12.717</v>
      </c>
      <c r="T2445" t="n">
        <v>11.764</v>
      </c>
      <c r="U2445" t="n">
        <v>0.7781</v>
      </c>
      <c r="V2445" t="b">
        <v>1</v>
      </c>
      <c r="X2445" t="b">
        <v>0</v>
      </c>
      <c r="Y2445" t="inlineStr">
        <is>
          <t>ON</t>
        </is>
      </c>
      <c r="Z2445" t="n">
        <v>935</v>
      </c>
      <c r="AA2445" t="n">
        <v>2.5</v>
      </c>
      <c r="AB2445" t="n">
        <v>9.5</v>
      </c>
    </row>
    <row r="2446">
      <c r="A2446" t="inlineStr">
        <is>
          <t>2026-09-24 19:33:58</t>
        </is>
      </c>
      <c r="B2446" t="inlineStr">
        <is>
          <t>MLLB_000_y1.0.3</t>
        </is>
      </c>
      <c r="C2446" t="inlineStr">
        <is>
          <t>WHITE</t>
        </is>
      </c>
      <c r="D2446" t="inlineStr">
        <is>
          <t>v4_white_MLLB_000_y103_0924</t>
        </is>
      </c>
      <c r="E2446" t="n">
        <v>2.6</v>
      </c>
      <c r="F2446" t="n">
        <v>2.608</v>
      </c>
      <c r="G2446" t="n">
        <v>7</v>
      </c>
      <c r="H2446" t="n">
        <v>60</v>
      </c>
      <c r="I2446" t="n">
        <v>48</v>
      </c>
      <c r="J2446" t="inlineStr">
        <is>
          <t>kaba</t>
        </is>
      </c>
      <c r="K2446" t="b">
        <v>1</v>
      </c>
      <c r="M2446" t="n">
        <v>60</v>
      </c>
      <c r="N2446" t="n">
        <v>32</v>
      </c>
      <c r="O2446" t="n">
        <v>38</v>
      </c>
      <c r="P2446" t="n">
        <v>942</v>
      </c>
      <c r="Q2446" t="n">
        <v>1002</v>
      </c>
      <c r="R2446" t="n">
        <v>1.079</v>
      </c>
      <c r="S2446" t="n">
        <v>12.717</v>
      </c>
      <c r="T2446" t="n">
        <v>11.789</v>
      </c>
      <c r="U2446" t="n">
        <v>0.7782</v>
      </c>
      <c r="V2446" t="b">
        <v>1</v>
      </c>
      <c r="X2446" t="b">
        <v>1</v>
      </c>
      <c r="Z2446" t="n">
        <v>935</v>
      </c>
      <c r="AA2446" t="n">
        <v>2.5</v>
      </c>
      <c r="AB2446" t="n">
        <v>9.5</v>
      </c>
    </row>
    <row r="2447">
      <c r="A2447" t="inlineStr">
        <is>
          <t>2026-09-24 19:34:14</t>
        </is>
      </c>
      <c r="B2447" t="inlineStr">
        <is>
          <t>MLLB_000_y1.0.3</t>
        </is>
      </c>
      <c r="C2447" t="inlineStr">
        <is>
          <t>WHITE</t>
        </is>
      </c>
      <c r="D2447" t="inlineStr">
        <is>
          <t>v4_white_MLLB_000_y103_0924</t>
        </is>
      </c>
      <c r="E2447" t="n">
        <v>2.6</v>
      </c>
      <c r="F2447" t="n">
        <v>2.608</v>
      </c>
      <c r="G2447" t="n">
        <v>7</v>
      </c>
      <c r="H2447" t="n">
        <v>60</v>
      </c>
      <c r="I2447" t="n">
        <v>52</v>
      </c>
      <c r="J2447" t="inlineStr">
        <is>
          <t>kaba</t>
        </is>
      </c>
      <c r="K2447" t="b">
        <v>1</v>
      </c>
      <c r="M2447" t="n">
        <v>58</v>
      </c>
      <c r="N2447" t="n">
        <v>28</v>
      </c>
      <c r="O2447" t="n">
        <v>38</v>
      </c>
      <c r="P2447" t="n">
        <v>944</v>
      </c>
      <c r="Q2447" t="n">
        <v>1002</v>
      </c>
      <c r="R2447" t="n">
        <v>3.356</v>
      </c>
      <c r="S2447" t="n">
        <v>39.561</v>
      </c>
      <c r="T2447" t="n">
        <v>11.788</v>
      </c>
      <c r="U2447" t="n">
        <v>0.7786</v>
      </c>
      <c r="V2447" t="b">
        <v>1</v>
      </c>
      <c r="X2447" t="b">
        <v>0</v>
      </c>
      <c r="Y2447" t="inlineStr">
        <is>
          <t>FLAS</t>
        </is>
      </c>
      <c r="Z2447" t="n">
        <v>935</v>
      </c>
      <c r="AA2447" t="n">
        <v>2.5</v>
      </c>
      <c r="AB2447" t="n">
        <v>9.5</v>
      </c>
    </row>
    <row r="2448">
      <c r="A2448" t="inlineStr">
        <is>
          <t>2026-09-24 19:34:30</t>
        </is>
      </c>
      <c r="B2448" t="inlineStr">
        <is>
          <t>MLLB_000_y1.0.3</t>
        </is>
      </c>
      <c r="C2448" t="inlineStr">
        <is>
          <t>WHITE</t>
        </is>
      </c>
      <c r="D2448" t="inlineStr">
        <is>
          <t>v4_white_MLLB_000_y103_0924</t>
        </is>
      </c>
      <c r="E2448" t="n">
        <v>2.6</v>
      </c>
      <c r="F2448" t="n">
        <v>2.608</v>
      </c>
      <c r="G2448" t="n">
        <v>7</v>
      </c>
      <c r="H2448" t="n">
        <v>60</v>
      </c>
      <c r="I2448" t="n">
        <v>56</v>
      </c>
      <c r="J2448" t="inlineStr">
        <is>
          <t>kaba</t>
        </is>
      </c>
      <c r="K2448" t="b">
        <v>1</v>
      </c>
      <c r="M2448" t="n">
        <v>58</v>
      </c>
      <c r="N2448" t="n">
        <v>28</v>
      </c>
      <c r="O2448" t="n">
        <v>38</v>
      </c>
      <c r="P2448" t="n">
        <v>944</v>
      </c>
      <c r="Q2448" t="n">
        <v>1002</v>
      </c>
      <c r="R2448" t="n">
        <v>7.982</v>
      </c>
      <c r="S2448" t="n">
        <v>94.16200000000001</v>
      </c>
      <c r="T2448" t="n">
        <v>11.797</v>
      </c>
      <c r="U2448" t="n">
        <v>0.7776999999999999</v>
      </c>
      <c r="V2448" t="b">
        <v>1</v>
      </c>
      <c r="X2448" t="b">
        <v>0</v>
      </c>
      <c r="Y2448" t="inlineStr">
        <is>
          <t>FLAS</t>
        </is>
      </c>
      <c r="Z2448" t="n">
        <v>935</v>
      </c>
      <c r="AA2448" t="n">
        <v>2.5</v>
      </c>
      <c r="AB2448" t="n">
        <v>9.5</v>
      </c>
    </row>
    <row r="2449">
      <c r="A2449" t="inlineStr">
        <is>
          <t>2026-09-24 19:34:46</t>
        </is>
      </c>
      <c r="B2449" t="inlineStr">
        <is>
          <t>MLLB_000_y1.0.3</t>
        </is>
      </c>
      <c r="C2449" t="inlineStr">
        <is>
          <t>WHITE</t>
        </is>
      </c>
      <c r="D2449" t="inlineStr">
        <is>
          <t>v4_white_MLLB_000_y103_0924</t>
        </is>
      </c>
      <c r="E2449" t="n">
        <v>2.6</v>
      </c>
      <c r="F2449" t="n">
        <v>2.608</v>
      </c>
      <c r="G2449" t="n">
        <v>7</v>
      </c>
      <c r="H2449" t="n">
        <v>60</v>
      </c>
      <c r="I2449" t="n">
        <v>45</v>
      </c>
      <c r="J2449" t="inlineStr">
        <is>
          <t>ince</t>
        </is>
      </c>
      <c r="K2449" t="b">
        <v>1</v>
      </c>
      <c r="M2449" t="n">
        <v>92</v>
      </c>
      <c r="N2449" t="n">
        <v>36</v>
      </c>
      <c r="O2449" t="n">
        <v>70</v>
      </c>
      <c r="P2449" t="n">
        <v>910</v>
      </c>
      <c r="Q2449" t="n">
        <v>1002</v>
      </c>
      <c r="R2449" t="n">
        <v>1.08</v>
      </c>
      <c r="S2449" t="n">
        <v>12.717</v>
      </c>
      <c r="T2449" t="n">
        <v>11.778</v>
      </c>
      <c r="U2449" t="n">
        <v>0.7776999999999999</v>
      </c>
      <c r="V2449" t="b">
        <v>1</v>
      </c>
      <c r="X2449" t="b">
        <v>0</v>
      </c>
      <c r="Y2449" t="inlineStr">
        <is>
          <t>ON</t>
        </is>
      </c>
      <c r="Z2449" t="n">
        <v>935</v>
      </c>
      <c r="AA2449" t="n">
        <v>2.5</v>
      </c>
      <c r="AB2449" t="n">
        <v>9.5</v>
      </c>
    </row>
    <row r="2450">
      <c r="A2450" t="inlineStr">
        <is>
          <t>2026-09-24 19:35:02</t>
        </is>
      </c>
      <c r="B2450" t="inlineStr">
        <is>
          <t>MLLB_000_y1.0.3</t>
        </is>
      </c>
      <c r="C2450" t="inlineStr">
        <is>
          <t>WHITE</t>
        </is>
      </c>
      <c r="D2450" t="inlineStr">
        <is>
          <t>v4_white_MLLB_000_y103_0924</t>
        </is>
      </c>
      <c r="E2450" t="n">
        <v>2.6</v>
      </c>
      <c r="F2450" t="n">
        <v>2.608</v>
      </c>
      <c r="G2450" t="n">
        <v>7</v>
      </c>
      <c r="H2450" t="n">
        <v>60</v>
      </c>
      <c r="I2450" t="n">
        <v>46</v>
      </c>
      <c r="J2450" t="inlineStr">
        <is>
          <t>ince</t>
        </is>
      </c>
      <c r="K2450" t="b">
        <v>1</v>
      </c>
      <c r="M2450" t="n">
        <v>82</v>
      </c>
      <c r="N2450" t="n">
        <v>36</v>
      </c>
      <c r="O2450" t="n">
        <v>58</v>
      </c>
      <c r="P2450" t="n">
        <v>920</v>
      </c>
      <c r="Q2450" t="n">
        <v>1002</v>
      </c>
      <c r="R2450" t="n">
        <v>1.078</v>
      </c>
      <c r="S2450" t="n">
        <v>12.671</v>
      </c>
      <c r="T2450" t="n">
        <v>11.758</v>
      </c>
      <c r="U2450" t="n">
        <v>0.7781</v>
      </c>
      <c r="V2450" t="b">
        <v>1</v>
      </c>
      <c r="X2450" t="b">
        <v>0</v>
      </c>
      <c r="Y2450" t="inlineStr">
        <is>
          <t>ON</t>
        </is>
      </c>
      <c r="Z2450" t="n">
        <v>935</v>
      </c>
      <c r="AA2450" t="n">
        <v>2.5</v>
      </c>
      <c r="AB2450" t="n">
        <v>9.5</v>
      </c>
    </row>
    <row r="2451">
      <c r="A2451" t="inlineStr">
        <is>
          <t>2026-09-24 19:35:18</t>
        </is>
      </c>
      <c r="B2451" t="inlineStr">
        <is>
          <t>MLLB_000_y1.0.3</t>
        </is>
      </c>
      <c r="C2451" t="inlineStr">
        <is>
          <t>WHITE</t>
        </is>
      </c>
      <c r="D2451" t="inlineStr">
        <is>
          <t>v4_white_MLLB_000_y103_0924</t>
        </is>
      </c>
      <c r="E2451" t="n">
        <v>2.6</v>
      </c>
      <c r="F2451" t="n">
        <v>2.608</v>
      </c>
      <c r="G2451" t="n">
        <v>7</v>
      </c>
      <c r="H2451" t="n">
        <v>60</v>
      </c>
      <c r="I2451" t="n">
        <v>47</v>
      </c>
      <c r="J2451" t="inlineStr">
        <is>
          <t>ince</t>
        </is>
      </c>
      <c r="K2451" t="b">
        <v>1</v>
      </c>
      <c r="M2451" t="n">
        <v>70</v>
      </c>
      <c r="N2451" t="n">
        <v>34</v>
      </c>
      <c r="O2451" t="n">
        <v>48</v>
      </c>
      <c r="P2451" t="n">
        <v>932</v>
      </c>
      <c r="Q2451" t="n">
        <v>1002</v>
      </c>
      <c r="R2451" t="n">
        <v>1.076</v>
      </c>
      <c r="S2451" t="n">
        <v>12.697</v>
      </c>
      <c r="T2451" t="n">
        <v>11.797</v>
      </c>
      <c r="U2451" t="n">
        <v>0.7779</v>
      </c>
      <c r="V2451" t="b">
        <v>1</v>
      </c>
      <c r="X2451" t="b">
        <v>0</v>
      </c>
      <c r="Y2451" t="inlineStr">
        <is>
          <t>ON</t>
        </is>
      </c>
      <c r="Z2451" t="n">
        <v>935</v>
      </c>
      <c r="AA2451" t="n">
        <v>2.5</v>
      </c>
      <c r="AB2451" t="n">
        <v>9.5</v>
      </c>
    </row>
    <row r="2452">
      <c r="A2452" t="inlineStr">
        <is>
          <t>2026-09-24 19:35:34</t>
        </is>
      </c>
      <c r="B2452" t="inlineStr">
        <is>
          <t>MLLB_000_y1.0.3</t>
        </is>
      </c>
      <c r="C2452" t="inlineStr">
        <is>
          <t>WHITE</t>
        </is>
      </c>
      <c r="D2452" t="inlineStr">
        <is>
          <t>v4_white_MLLB_000_y103_0924</t>
        </is>
      </c>
      <c r="E2452" t="n">
        <v>2.6</v>
      </c>
      <c r="F2452" t="n">
        <v>2.608</v>
      </c>
      <c r="G2452" t="n">
        <v>7</v>
      </c>
      <c r="H2452" t="n">
        <v>60</v>
      </c>
      <c r="I2452" t="n">
        <v>49</v>
      </c>
      <c r="J2452" t="inlineStr">
        <is>
          <t>ince</t>
        </is>
      </c>
      <c r="K2452" t="b">
        <v>1</v>
      </c>
      <c r="M2452" t="n">
        <v>58</v>
      </c>
      <c r="N2452" t="n">
        <v>28</v>
      </c>
      <c r="O2452" t="n">
        <v>38</v>
      </c>
      <c r="P2452" t="n">
        <v>944</v>
      </c>
      <c r="Q2452" t="n">
        <v>1002</v>
      </c>
      <c r="R2452" t="n">
        <v>1.076</v>
      </c>
      <c r="S2452" t="n">
        <v>12.702</v>
      </c>
      <c r="T2452" t="n">
        <v>11.8</v>
      </c>
      <c r="U2452" t="n">
        <v>0.7776999999999999</v>
      </c>
      <c r="V2452" t="b">
        <v>1</v>
      </c>
      <c r="X2452" t="b">
        <v>1</v>
      </c>
      <c r="Z2452" t="n">
        <v>935</v>
      </c>
      <c r="AA2452" t="n">
        <v>2.5</v>
      </c>
      <c r="AB2452" t="n">
        <v>9.5</v>
      </c>
    </row>
    <row r="2453">
      <c r="A2453" t="inlineStr">
        <is>
          <t>2026-09-24 19:35:50</t>
        </is>
      </c>
      <c r="B2453" t="inlineStr">
        <is>
          <t>MLLB_000_y1.0.3</t>
        </is>
      </c>
      <c r="C2453" t="inlineStr">
        <is>
          <t>WHITE</t>
        </is>
      </c>
      <c r="D2453" t="inlineStr">
        <is>
          <t>v4_white_MLLB_000_y103_0924</t>
        </is>
      </c>
      <c r="E2453" t="n">
        <v>2.6</v>
      </c>
      <c r="F2453" t="n">
        <v>2.608</v>
      </c>
      <c r="G2453" t="n">
        <v>7</v>
      </c>
      <c r="H2453" t="n">
        <v>60</v>
      </c>
      <c r="I2453" t="n">
        <v>50</v>
      </c>
      <c r="J2453" t="inlineStr">
        <is>
          <t>ince</t>
        </is>
      </c>
      <c r="K2453" t="b">
        <v>1</v>
      </c>
      <c r="M2453" t="n">
        <v>58</v>
      </c>
      <c r="N2453" t="n">
        <v>28</v>
      </c>
      <c r="O2453" t="n">
        <v>38</v>
      </c>
      <c r="P2453" t="n">
        <v>944</v>
      </c>
      <c r="Q2453" t="n">
        <v>1002</v>
      </c>
      <c r="R2453" t="n">
        <v>1.778</v>
      </c>
      <c r="S2453" t="n">
        <v>21.008</v>
      </c>
      <c r="T2453" t="n">
        <v>11.818</v>
      </c>
      <c r="U2453" t="n">
        <v>0.7779</v>
      </c>
      <c r="V2453" t="b">
        <v>1</v>
      </c>
      <c r="X2453" t="b">
        <v>1</v>
      </c>
      <c r="Z2453" t="n">
        <v>935</v>
      </c>
      <c r="AA2453" t="n">
        <v>2.5</v>
      </c>
      <c r="AB2453" t="n">
        <v>9.5</v>
      </c>
    </row>
    <row r="2454">
      <c r="A2454" t="inlineStr">
        <is>
          <t>2026-09-24 19:36:06</t>
        </is>
      </c>
      <c r="B2454" t="inlineStr">
        <is>
          <t>MLLB_000_y1.0.3</t>
        </is>
      </c>
      <c r="C2454" t="inlineStr">
        <is>
          <t>WHITE</t>
        </is>
      </c>
      <c r="D2454" t="inlineStr">
        <is>
          <t>v4_white_MLLB_000_y103_0924</t>
        </is>
      </c>
      <c r="E2454" t="n">
        <v>2.6</v>
      </c>
      <c r="F2454" t="n">
        <v>2.608</v>
      </c>
      <c r="G2454" t="n">
        <v>7</v>
      </c>
      <c r="H2454" t="n">
        <v>60</v>
      </c>
      <c r="I2454" t="n">
        <v>51</v>
      </c>
      <c r="J2454" t="inlineStr">
        <is>
          <t>ince</t>
        </is>
      </c>
      <c r="K2454" t="b">
        <v>1</v>
      </c>
      <c r="M2454" t="n">
        <v>58</v>
      </c>
      <c r="N2454" t="n">
        <v>28</v>
      </c>
      <c r="O2454" t="n">
        <v>38</v>
      </c>
      <c r="P2454" t="n">
        <v>944</v>
      </c>
      <c r="Q2454" t="n">
        <v>1002</v>
      </c>
      <c r="R2454" t="n">
        <v>2.573</v>
      </c>
      <c r="S2454" t="n">
        <v>30.362</v>
      </c>
      <c r="T2454" t="n">
        <v>11.802</v>
      </c>
      <c r="U2454" t="n">
        <v>0.7786</v>
      </c>
      <c r="V2454" t="b">
        <v>1</v>
      </c>
      <c r="X2454" t="b">
        <v>0</v>
      </c>
      <c r="Y2454" t="inlineStr">
        <is>
          <t>FLAS</t>
        </is>
      </c>
      <c r="Z2454" t="n">
        <v>935</v>
      </c>
      <c r="AA2454" t="n">
        <v>2.5</v>
      </c>
      <c r="AB2454" t="n">
        <v>9.5</v>
      </c>
    </row>
    <row r="2455">
      <c r="A2455" t="inlineStr">
        <is>
          <t>2026-09-24 19:36:06</t>
        </is>
      </c>
      <c r="B2455" t="inlineStr">
        <is>
          <t>MLLB_000_y1.0.3</t>
        </is>
      </c>
      <c r="C2455" t="inlineStr">
        <is>
          <t>WHITE</t>
        </is>
      </c>
      <c r="D2455" t="inlineStr">
        <is>
          <t>v4_white_MLLB_000_y103_0924</t>
        </is>
      </c>
      <c r="E2455" t="n">
        <v>2.6</v>
      </c>
      <c r="F2455" t="n">
        <v>2.608</v>
      </c>
      <c r="G2455" t="n">
        <v>7</v>
      </c>
      <c r="H2455" t="n">
        <v>60</v>
      </c>
      <c r="J2455" t="inlineStr">
        <is>
          <t>bitti</t>
        </is>
      </c>
      <c r="K2455" t="b">
        <v>0</v>
      </c>
      <c r="Z2455" t="n">
        <v>935</v>
      </c>
      <c r="AA2455" t="n">
        <v>2.5</v>
      </c>
      <c r="AB2455" t="n">
        <v>9.5</v>
      </c>
    </row>
    <row r="2456">
      <c r="A2456" t="inlineStr">
        <is>
          <t>2026-09-24 19:36:26</t>
        </is>
      </c>
      <c r="B2456" t="inlineStr">
        <is>
          <t>MLLB_000_y1.0.3</t>
        </is>
      </c>
      <c r="C2456" t="inlineStr">
        <is>
          <t>WHITE</t>
        </is>
      </c>
      <c r="D2456" t="inlineStr">
        <is>
          <t>v4_white_MLLB_000_y103_0924</t>
        </is>
      </c>
      <c r="E2456" t="n">
        <v>2.6</v>
      </c>
      <c r="F2456" t="n">
        <v>2.608</v>
      </c>
      <c r="G2456" t="n">
        <v>8</v>
      </c>
      <c r="H2456" t="n">
        <v>100</v>
      </c>
      <c r="I2456" t="n">
        <v>12</v>
      </c>
      <c r="J2456" t="inlineStr">
        <is>
          <t>kaba</t>
        </is>
      </c>
      <c r="K2456" t="b">
        <v>1</v>
      </c>
      <c r="M2456" t="n">
        <v>304</v>
      </c>
      <c r="N2456" t="n">
        <v>36</v>
      </c>
      <c r="O2456" t="n">
        <v>284</v>
      </c>
      <c r="P2456" t="n">
        <v>698</v>
      </c>
      <c r="Q2456" t="n">
        <v>1002</v>
      </c>
      <c r="R2456" t="n">
        <v>1.088</v>
      </c>
      <c r="S2456" t="n">
        <v>15.187</v>
      </c>
      <c r="T2456" t="n">
        <v>13.956</v>
      </c>
      <c r="U2456" t="n">
        <v>0.7786</v>
      </c>
      <c r="V2456" t="b">
        <v>1</v>
      </c>
      <c r="X2456" t="b">
        <v>0</v>
      </c>
      <c r="Y2456" t="inlineStr">
        <is>
          <t>ON</t>
        </is>
      </c>
      <c r="Z2456" t="n">
        <v>935</v>
      </c>
      <c r="AA2456" t="n">
        <v>2.5</v>
      </c>
      <c r="AB2456" t="n">
        <v>9.5</v>
      </c>
    </row>
    <row r="2457">
      <c r="A2457" t="inlineStr">
        <is>
          <t>2026-09-24 19:36:38</t>
        </is>
      </c>
      <c r="B2457" t="inlineStr">
        <is>
          <t>MLLB_000_y1.0.3</t>
        </is>
      </c>
      <c r="C2457" t="inlineStr">
        <is>
          <t>WHITE</t>
        </is>
      </c>
      <c r="D2457" t="inlineStr">
        <is>
          <t>v4_white_MLLB_000_y103_0924</t>
        </is>
      </c>
      <c r="E2457" t="n">
        <v>2.6</v>
      </c>
      <c r="F2457" t="n">
        <v>2.608</v>
      </c>
      <c r="G2457" t="n">
        <v>8</v>
      </c>
      <c r="H2457" t="n">
        <v>100</v>
      </c>
      <c r="I2457" t="n">
        <v>16</v>
      </c>
      <c r="J2457" t="inlineStr">
        <is>
          <t>kaba</t>
        </is>
      </c>
      <c r="K2457" t="b">
        <v>1</v>
      </c>
      <c r="M2457" t="n">
        <v>248</v>
      </c>
      <c r="N2457" t="n">
        <v>34</v>
      </c>
      <c r="O2457" t="n">
        <v>228</v>
      </c>
      <c r="P2457" t="n">
        <v>754</v>
      </c>
      <c r="Q2457" t="n">
        <v>1002</v>
      </c>
      <c r="R2457" t="n">
        <v>1.062</v>
      </c>
      <c r="S2457" t="n">
        <v>15.199</v>
      </c>
      <c r="T2457" t="n">
        <v>14.314</v>
      </c>
      <c r="U2457" t="n">
        <v>0.7786</v>
      </c>
      <c r="V2457" t="b">
        <v>1</v>
      </c>
      <c r="X2457" t="b">
        <v>0</v>
      </c>
      <c r="Y2457" t="inlineStr">
        <is>
          <t>ON</t>
        </is>
      </c>
      <c r="Z2457" t="n">
        <v>935</v>
      </c>
      <c r="AA2457" t="n">
        <v>2.5</v>
      </c>
      <c r="AB2457" t="n">
        <v>9.5</v>
      </c>
    </row>
    <row r="2458">
      <c r="A2458" t="inlineStr">
        <is>
          <t>2026-09-24 19:36:54</t>
        </is>
      </c>
      <c r="B2458" t="inlineStr">
        <is>
          <t>MLLB_000_y1.0.3</t>
        </is>
      </c>
      <c r="C2458" t="inlineStr">
        <is>
          <t>WHITE</t>
        </is>
      </c>
      <c r="D2458" t="inlineStr">
        <is>
          <t>v4_white_MLLB_000_y103_0924</t>
        </is>
      </c>
      <c r="E2458" t="n">
        <v>2.6</v>
      </c>
      <c r="F2458" t="n">
        <v>2.608</v>
      </c>
      <c r="G2458" t="n">
        <v>8</v>
      </c>
      <c r="H2458" t="n">
        <v>100</v>
      </c>
      <c r="I2458" t="n">
        <v>20</v>
      </c>
      <c r="J2458" t="inlineStr">
        <is>
          <t>kaba</t>
        </is>
      </c>
      <c r="K2458" t="b">
        <v>1</v>
      </c>
      <c r="M2458" t="n">
        <v>190</v>
      </c>
      <c r="N2458" t="n">
        <v>32</v>
      </c>
      <c r="O2458" t="n">
        <v>170</v>
      </c>
      <c r="P2458" t="n">
        <v>812</v>
      </c>
      <c r="Q2458" t="n">
        <v>1002</v>
      </c>
      <c r="R2458" t="n">
        <v>1.083</v>
      </c>
      <c r="S2458" t="n">
        <v>15.234</v>
      </c>
      <c r="T2458" t="n">
        <v>14.068</v>
      </c>
      <c r="U2458" t="n">
        <v>0.7785</v>
      </c>
      <c r="V2458" t="b">
        <v>1</v>
      </c>
      <c r="X2458" t="b">
        <v>0</v>
      </c>
      <c r="Y2458" t="inlineStr">
        <is>
          <t>ON</t>
        </is>
      </c>
      <c r="Z2458" t="n">
        <v>935</v>
      </c>
      <c r="AA2458" t="n">
        <v>2.5</v>
      </c>
      <c r="AB2458" t="n">
        <v>9.5</v>
      </c>
    </row>
    <row r="2459">
      <c r="A2459" t="inlineStr">
        <is>
          <t>2026-09-24 19:37:10</t>
        </is>
      </c>
      <c r="B2459" t="inlineStr">
        <is>
          <t>MLLB_000_y1.0.3</t>
        </is>
      </c>
      <c r="C2459" t="inlineStr">
        <is>
          <t>WHITE</t>
        </is>
      </c>
      <c r="D2459" t="inlineStr">
        <is>
          <t>v4_white_MLLB_000_y103_0924</t>
        </is>
      </c>
      <c r="E2459" t="n">
        <v>2.6</v>
      </c>
      <c r="F2459" t="n">
        <v>2.608</v>
      </c>
      <c r="G2459" t="n">
        <v>8</v>
      </c>
      <c r="H2459" t="n">
        <v>100</v>
      </c>
      <c r="I2459" t="n">
        <v>24</v>
      </c>
      <c r="J2459" t="inlineStr">
        <is>
          <t>kaba</t>
        </is>
      </c>
      <c r="K2459" t="b">
        <v>1</v>
      </c>
      <c r="M2459" t="n">
        <v>132</v>
      </c>
      <c r="N2459" t="n">
        <v>32</v>
      </c>
      <c r="O2459" t="n">
        <v>110</v>
      </c>
      <c r="P2459" t="n">
        <v>870</v>
      </c>
      <c r="Q2459" t="n">
        <v>1002</v>
      </c>
      <c r="R2459" t="n">
        <v>1.081</v>
      </c>
      <c r="S2459" t="n">
        <v>15.234</v>
      </c>
      <c r="T2459" t="n">
        <v>14.099</v>
      </c>
      <c r="U2459" t="n">
        <v>0.7782</v>
      </c>
      <c r="V2459" t="b">
        <v>1</v>
      </c>
      <c r="X2459" t="b">
        <v>0</v>
      </c>
      <c r="Y2459" t="inlineStr">
        <is>
          <t>ON</t>
        </is>
      </c>
      <c r="Z2459" t="n">
        <v>935</v>
      </c>
      <c r="AA2459" t="n">
        <v>2.5</v>
      </c>
      <c r="AB2459" t="n">
        <v>9.5</v>
      </c>
    </row>
    <row r="2460">
      <c r="A2460" t="inlineStr">
        <is>
          <t>2026-09-24 19:37:26</t>
        </is>
      </c>
      <c r="B2460" t="inlineStr">
        <is>
          <t>MLLB_000_y1.0.3</t>
        </is>
      </c>
      <c r="C2460" t="inlineStr">
        <is>
          <t>WHITE</t>
        </is>
      </c>
      <c r="D2460" t="inlineStr">
        <is>
          <t>v4_white_MLLB_000_y103_0924</t>
        </is>
      </c>
      <c r="E2460" t="n">
        <v>2.6</v>
      </c>
      <c r="F2460" t="n">
        <v>2.608</v>
      </c>
      <c r="G2460" t="n">
        <v>8</v>
      </c>
      <c r="H2460" t="n">
        <v>100</v>
      </c>
      <c r="I2460" t="n">
        <v>28</v>
      </c>
      <c r="J2460" t="inlineStr">
        <is>
          <t>kaba</t>
        </is>
      </c>
      <c r="K2460" t="b">
        <v>1</v>
      </c>
      <c r="M2460" t="n">
        <v>74</v>
      </c>
      <c r="N2460" t="n">
        <v>34</v>
      </c>
      <c r="O2460" t="n">
        <v>52</v>
      </c>
      <c r="P2460" t="n">
        <v>928</v>
      </c>
      <c r="Q2460" t="n">
        <v>1002</v>
      </c>
      <c r="R2460" t="n">
        <v>1.077</v>
      </c>
      <c r="S2460" t="n">
        <v>15.234</v>
      </c>
      <c r="T2460" t="n">
        <v>14.149</v>
      </c>
      <c r="U2460" t="n">
        <v>0.7778</v>
      </c>
      <c r="V2460" t="b">
        <v>1</v>
      </c>
      <c r="X2460" t="b">
        <v>0</v>
      </c>
      <c r="Y2460" t="inlineStr">
        <is>
          <t>ON</t>
        </is>
      </c>
      <c r="Z2460" t="n">
        <v>935</v>
      </c>
      <c r="AA2460" t="n">
        <v>2.5</v>
      </c>
      <c r="AB2460" t="n">
        <v>9.5</v>
      </c>
    </row>
    <row r="2461">
      <c r="A2461" t="inlineStr">
        <is>
          <t>2026-09-24 19:37:42</t>
        </is>
      </c>
      <c r="B2461" t="inlineStr">
        <is>
          <t>MLLB_000_y1.0.3</t>
        </is>
      </c>
      <c r="C2461" t="inlineStr">
        <is>
          <t>WHITE</t>
        </is>
      </c>
      <c r="D2461" t="inlineStr">
        <is>
          <t>v4_white_MLLB_000_y103_0924</t>
        </is>
      </c>
      <c r="E2461" t="n">
        <v>2.6</v>
      </c>
      <c r="F2461" t="n">
        <v>2.608</v>
      </c>
      <c r="G2461" t="n">
        <v>8</v>
      </c>
      <c r="H2461" t="n">
        <v>100</v>
      </c>
      <c r="I2461" t="n">
        <v>32</v>
      </c>
      <c r="J2461" t="inlineStr">
        <is>
          <t>kaba</t>
        </is>
      </c>
      <c r="K2461" t="b">
        <v>1</v>
      </c>
      <c r="M2461" t="n">
        <v>38</v>
      </c>
      <c r="N2461" t="n">
        <v>28</v>
      </c>
      <c r="O2461" t="n">
        <v>18</v>
      </c>
      <c r="P2461" t="n">
        <v>964</v>
      </c>
      <c r="Q2461" t="n">
        <v>1002</v>
      </c>
      <c r="R2461" t="n">
        <v>2.308</v>
      </c>
      <c r="S2461" t="n">
        <v>32.64</v>
      </c>
      <c r="T2461" t="n">
        <v>14.141</v>
      </c>
      <c r="U2461" t="n">
        <v>0.7776999999999999</v>
      </c>
      <c r="V2461" t="b">
        <v>1</v>
      </c>
      <c r="X2461" t="b">
        <v>1</v>
      </c>
      <c r="Z2461" t="n">
        <v>935</v>
      </c>
      <c r="AA2461" t="n">
        <v>2.5</v>
      </c>
      <c r="AB2461" t="n">
        <v>9.5</v>
      </c>
    </row>
    <row r="2462">
      <c r="A2462" t="inlineStr">
        <is>
          <t>2026-09-24 19:37:58</t>
        </is>
      </c>
      <c r="B2462" t="inlineStr">
        <is>
          <t>MLLB_000_y1.0.3</t>
        </is>
      </c>
      <c r="C2462" t="inlineStr">
        <is>
          <t>WHITE</t>
        </is>
      </c>
      <c r="D2462" t="inlineStr">
        <is>
          <t>v4_white_MLLB_000_y103_0924</t>
        </is>
      </c>
      <c r="E2462" t="n">
        <v>2.6</v>
      </c>
      <c r="F2462" t="n">
        <v>2.608</v>
      </c>
      <c r="G2462" t="n">
        <v>8</v>
      </c>
      <c r="H2462" t="n">
        <v>100</v>
      </c>
      <c r="I2462" t="n">
        <v>36</v>
      </c>
      <c r="J2462" t="inlineStr">
        <is>
          <t>kaba</t>
        </is>
      </c>
      <c r="K2462" t="b">
        <v>1</v>
      </c>
      <c r="M2462" t="n">
        <v>38</v>
      </c>
      <c r="N2462" t="n">
        <v>28</v>
      </c>
      <c r="O2462" t="n">
        <v>18</v>
      </c>
      <c r="P2462" t="n">
        <v>964</v>
      </c>
      <c r="Q2462" t="n">
        <v>1002</v>
      </c>
      <c r="R2462" t="n">
        <v>8.717000000000001</v>
      </c>
      <c r="S2462" t="n">
        <v>123.303</v>
      </c>
      <c r="T2462" t="n">
        <v>14.146</v>
      </c>
      <c r="U2462" t="n">
        <v>0.7775</v>
      </c>
      <c r="V2462" t="b">
        <v>1</v>
      </c>
      <c r="X2462" t="b">
        <v>0</v>
      </c>
      <c r="Y2462" t="inlineStr">
        <is>
          <t>FLAS</t>
        </is>
      </c>
      <c r="Z2462" t="n">
        <v>935</v>
      </c>
      <c r="AA2462" t="n">
        <v>2.5</v>
      </c>
      <c r="AB2462" t="n">
        <v>9.5</v>
      </c>
    </row>
    <row r="2463">
      <c r="A2463" t="inlineStr">
        <is>
          <t>2026-09-24 19:38:14</t>
        </is>
      </c>
      <c r="B2463" t="inlineStr">
        <is>
          <t>MLLB_000_y1.0.3</t>
        </is>
      </c>
      <c r="C2463" t="inlineStr">
        <is>
          <t>WHITE</t>
        </is>
      </c>
      <c r="D2463" t="inlineStr">
        <is>
          <t>v4_white_MLLB_000_y103_0924</t>
        </is>
      </c>
      <c r="E2463" t="n">
        <v>2.6</v>
      </c>
      <c r="F2463" t="n">
        <v>2.608</v>
      </c>
      <c r="G2463" t="n">
        <v>8</v>
      </c>
      <c r="H2463" t="n">
        <v>100</v>
      </c>
      <c r="I2463" t="n">
        <v>29</v>
      </c>
      <c r="J2463" t="inlineStr">
        <is>
          <t>ince</t>
        </is>
      </c>
      <c r="K2463" t="b">
        <v>1</v>
      </c>
      <c r="M2463" t="n">
        <v>58</v>
      </c>
      <c r="N2463" t="n">
        <v>32</v>
      </c>
      <c r="O2463" t="n">
        <v>38</v>
      </c>
      <c r="P2463" t="n">
        <v>944</v>
      </c>
      <c r="Q2463" t="n">
        <v>1002</v>
      </c>
      <c r="R2463" t="n">
        <v>1.074</v>
      </c>
      <c r="S2463" t="n">
        <v>15.234</v>
      </c>
      <c r="T2463" t="n">
        <v>14.184</v>
      </c>
      <c r="U2463" t="n">
        <v>0.7781</v>
      </c>
      <c r="V2463" t="b">
        <v>1</v>
      </c>
      <c r="X2463" t="b">
        <v>1</v>
      </c>
      <c r="Z2463" t="n">
        <v>935</v>
      </c>
      <c r="AA2463" t="n">
        <v>2.5</v>
      </c>
      <c r="AB2463" t="n">
        <v>9.5</v>
      </c>
    </row>
    <row r="2464">
      <c r="A2464" t="inlineStr">
        <is>
          <t>2026-09-24 19:38:26</t>
        </is>
      </c>
      <c r="B2464" t="inlineStr">
        <is>
          <t>MLLB_000_y1.0.3</t>
        </is>
      </c>
      <c r="C2464" t="inlineStr">
        <is>
          <t>WHITE</t>
        </is>
      </c>
      <c r="D2464" t="inlineStr">
        <is>
          <t>v4_white_MLLB_000_y103_0924</t>
        </is>
      </c>
      <c r="E2464" t="n">
        <v>2.6</v>
      </c>
      <c r="F2464" t="n">
        <v>2.608</v>
      </c>
      <c r="G2464" t="n">
        <v>8</v>
      </c>
      <c r="H2464" t="n">
        <v>100</v>
      </c>
      <c r="I2464" t="n">
        <v>30</v>
      </c>
      <c r="J2464" t="inlineStr">
        <is>
          <t>ince</t>
        </is>
      </c>
      <c r="K2464" t="b">
        <v>1</v>
      </c>
      <c r="M2464" t="n">
        <v>42</v>
      </c>
      <c r="N2464" t="n">
        <v>34</v>
      </c>
      <c r="O2464" t="n">
        <v>20</v>
      </c>
      <c r="P2464" t="n">
        <v>960</v>
      </c>
      <c r="Q2464" t="n">
        <v>1002</v>
      </c>
      <c r="R2464" t="n">
        <v>1.076</v>
      </c>
      <c r="S2464" t="n">
        <v>15.234</v>
      </c>
      <c r="T2464" t="n">
        <v>14.164</v>
      </c>
      <c r="U2464" t="n">
        <v>0.7782</v>
      </c>
      <c r="V2464" t="b">
        <v>1</v>
      </c>
      <c r="X2464" t="b">
        <v>1</v>
      </c>
      <c r="Z2464" t="n">
        <v>935</v>
      </c>
      <c r="AA2464" t="n">
        <v>2.5</v>
      </c>
      <c r="AB2464" t="n">
        <v>9.5</v>
      </c>
    </row>
    <row r="2465">
      <c r="A2465" t="inlineStr">
        <is>
          <t>2026-09-24 19:38:42</t>
        </is>
      </c>
      <c r="B2465" t="inlineStr">
        <is>
          <t>MLLB_000_y1.0.3</t>
        </is>
      </c>
      <c r="C2465" t="inlineStr">
        <is>
          <t>WHITE</t>
        </is>
      </c>
      <c r="D2465" t="inlineStr">
        <is>
          <t>v4_white_MLLB_000_y103_0924</t>
        </is>
      </c>
      <c r="E2465" t="n">
        <v>2.6</v>
      </c>
      <c r="F2465" t="n">
        <v>2.608</v>
      </c>
      <c r="G2465" t="n">
        <v>8</v>
      </c>
      <c r="H2465" t="n">
        <v>100</v>
      </c>
      <c r="I2465" t="n">
        <v>31</v>
      </c>
      <c r="J2465" t="inlineStr">
        <is>
          <t>ince</t>
        </is>
      </c>
      <c r="K2465" t="b">
        <v>1</v>
      </c>
      <c r="M2465" t="n">
        <v>38</v>
      </c>
      <c r="N2465" t="n">
        <v>28</v>
      </c>
      <c r="O2465" t="n">
        <v>18</v>
      </c>
      <c r="P2465" t="n">
        <v>964</v>
      </c>
      <c r="Q2465" t="n">
        <v>1002</v>
      </c>
      <c r="R2465" t="n">
        <v>1.077</v>
      </c>
      <c r="S2465" t="n">
        <v>15.234</v>
      </c>
      <c r="T2465" t="n">
        <v>14.146</v>
      </c>
      <c r="U2465" t="n">
        <v>0.7781</v>
      </c>
      <c r="V2465" t="b">
        <v>1</v>
      </c>
      <c r="X2465" t="b">
        <v>1</v>
      </c>
      <c r="Z2465" t="n">
        <v>935</v>
      </c>
      <c r="AA2465" t="n">
        <v>2.5</v>
      </c>
      <c r="AB2465" t="n">
        <v>9.5</v>
      </c>
    </row>
    <row r="2466">
      <c r="A2466" t="inlineStr">
        <is>
          <t>2026-09-24 19:38:58</t>
        </is>
      </c>
      <c r="B2466" t="inlineStr">
        <is>
          <t>MLLB_000_y1.0.3</t>
        </is>
      </c>
      <c r="C2466" t="inlineStr">
        <is>
          <t>WHITE</t>
        </is>
      </c>
      <c r="D2466" t="inlineStr">
        <is>
          <t>v4_white_MLLB_000_y103_0924</t>
        </is>
      </c>
      <c r="E2466" t="n">
        <v>2.6</v>
      </c>
      <c r="F2466" t="n">
        <v>2.608</v>
      </c>
      <c r="G2466" t="n">
        <v>8</v>
      </c>
      <c r="H2466" t="n">
        <v>100</v>
      </c>
      <c r="I2466" t="n">
        <v>33</v>
      </c>
      <c r="J2466" t="inlineStr">
        <is>
          <t>ince</t>
        </is>
      </c>
      <c r="K2466" t="b">
        <v>1</v>
      </c>
      <c r="M2466" t="n">
        <v>38</v>
      </c>
      <c r="N2466" t="n">
        <v>28</v>
      </c>
      <c r="O2466" t="n">
        <v>18</v>
      </c>
      <c r="P2466" t="n">
        <v>964</v>
      </c>
      <c r="Q2466" t="n">
        <v>1002</v>
      </c>
      <c r="R2466" t="n">
        <v>3.439</v>
      </c>
      <c r="S2466" t="n">
        <v>48.684</v>
      </c>
      <c r="T2466" t="n">
        <v>14.155</v>
      </c>
      <c r="U2466" t="n">
        <v>0.778</v>
      </c>
      <c r="V2466" t="b">
        <v>1</v>
      </c>
      <c r="X2466" t="b">
        <v>0</v>
      </c>
      <c r="Y2466" t="inlineStr">
        <is>
          <t>FLAS</t>
        </is>
      </c>
      <c r="Z2466" t="n">
        <v>935</v>
      </c>
      <c r="AA2466" t="n">
        <v>2.5</v>
      </c>
      <c r="AB2466" t="n">
        <v>9.5</v>
      </c>
    </row>
    <row r="2467">
      <c r="A2467" t="inlineStr">
        <is>
          <t>2026-09-24 19:39:14</t>
        </is>
      </c>
      <c r="B2467" t="inlineStr">
        <is>
          <t>MLLB_000_y1.0.3</t>
        </is>
      </c>
      <c r="C2467" t="inlineStr">
        <is>
          <t>WHITE</t>
        </is>
      </c>
      <c r="D2467" t="inlineStr">
        <is>
          <t>v4_white_MLLB_000_y103_0924</t>
        </is>
      </c>
      <c r="E2467" t="n">
        <v>2.6</v>
      </c>
      <c r="F2467" t="n">
        <v>2.608</v>
      </c>
      <c r="G2467" t="n">
        <v>8</v>
      </c>
      <c r="H2467" t="n">
        <v>100</v>
      </c>
      <c r="I2467" t="n">
        <v>34</v>
      </c>
      <c r="J2467" t="inlineStr">
        <is>
          <t>ince</t>
        </is>
      </c>
      <c r="K2467" t="b">
        <v>1</v>
      </c>
      <c r="M2467" t="n">
        <v>38</v>
      </c>
      <c r="N2467" t="n">
        <v>28</v>
      </c>
      <c r="O2467" t="n">
        <v>18</v>
      </c>
      <c r="P2467" t="n">
        <v>964</v>
      </c>
      <c r="Q2467" t="n">
        <v>1002</v>
      </c>
      <c r="R2467" t="n">
        <v>6.264</v>
      </c>
      <c r="S2467" t="n">
        <v>88.65600000000001</v>
      </c>
      <c r="T2467" t="n">
        <v>14.154</v>
      </c>
      <c r="U2467" t="n">
        <v>0.7782</v>
      </c>
      <c r="V2467" t="b">
        <v>1</v>
      </c>
      <c r="X2467" t="b">
        <v>0</v>
      </c>
      <c r="Y2467" t="inlineStr">
        <is>
          <t>FLAS</t>
        </is>
      </c>
      <c r="Z2467" t="n">
        <v>935</v>
      </c>
      <c r="AA2467" t="n">
        <v>2.5</v>
      </c>
      <c r="AB2467" t="n">
        <v>9.5</v>
      </c>
    </row>
    <row r="2468">
      <c r="A2468" t="inlineStr">
        <is>
          <t>2026-09-24 19:39:30</t>
        </is>
      </c>
      <c r="B2468" t="inlineStr">
        <is>
          <t>MLLB_000_y1.0.3</t>
        </is>
      </c>
      <c r="C2468" t="inlineStr">
        <is>
          <t>WHITE</t>
        </is>
      </c>
      <c r="D2468" t="inlineStr">
        <is>
          <t>v4_white_MLLB_000_y103_0924</t>
        </is>
      </c>
      <c r="E2468" t="n">
        <v>2.6</v>
      </c>
      <c r="F2468" t="n">
        <v>2.608</v>
      </c>
      <c r="G2468" t="n">
        <v>8</v>
      </c>
      <c r="H2468" t="n">
        <v>100</v>
      </c>
      <c r="I2468" t="n">
        <v>35</v>
      </c>
      <c r="J2468" t="inlineStr">
        <is>
          <t>ince</t>
        </is>
      </c>
      <c r="K2468" t="b">
        <v>1</v>
      </c>
      <c r="M2468" t="n">
        <v>38</v>
      </c>
      <c r="N2468" t="n">
        <v>28</v>
      </c>
      <c r="O2468" t="n">
        <v>18</v>
      </c>
      <c r="P2468" t="n">
        <v>964</v>
      </c>
      <c r="Q2468" t="n">
        <v>1002</v>
      </c>
      <c r="R2468" t="n">
        <v>7.59</v>
      </c>
      <c r="S2468" t="n">
        <v>107.461</v>
      </c>
      <c r="T2468" t="n">
        <v>14.159</v>
      </c>
      <c r="U2468" t="n">
        <v>0.7778</v>
      </c>
      <c r="V2468" t="b">
        <v>1</v>
      </c>
      <c r="X2468" t="b">
        <v>0</v>
      </c>
      <c r="Y2468" t="inlineStr">
        <is>
          <t>FLAS</t>
        </is>
      </c>
      <c r="Z2468" t="n">
        <v>935</v>
      </c>
      <c r="AA2468" t="n">
        <v>2.5</v>
      </c>
      <c r="AB2468" t="n">
        <v>9.5</v>
      </c>
    </row>
    <row r="2469">
      <c r="A2469" t="inlineStr">
        <is>
          <t>2026-09-24 19:39:31</t>
        </is>
      </c>
      <c r="B2469" t="inlineStr">
        <is>
          <t>MLLB_000_y1.0.3</t>
        </is>
      </c>
      <c r="C2469" t="inlineStr">
        <is>
          <t>WHITE</t>
        </is>
      </c>
      <c r="D2469" t="inlineStr">
        <is>
          <t>v4_white_MLLB_000_y103_0924</t>
        </is>
      </c>
      <c r="E2469" t="n">
        <v>2.6</v>
      </c>
      <c r="F2469" t="n">
        <v>2.608</v>
      </c>
      <c r="G2469" t="n">
        <v>8</v>
      </c>
      <c r="H2469" t="n">
        <v>100</v>
      </c>
      <c r="J2469" t="inlineStr">
        <is>
          <t>bitti</t>
        </is>
      </c>
      <c r="K2469" t="b">
        <v>0</v>
      </c>
      <c r="Z2469" t="n">
        <v>935</v>
      </c>
      <c r="AA2469" t="n">
        <v>2.5</v>
      </c>
      <c r="AB2469" t="n">
        <v>9.5</v>
      </c>
    </row>
    <row r="2470">
      <c r="A2470" t="inlineStr">
        <is>
          <t>2026-09-24 19:39:46</t>
        </is>
      </c>
      <c r="B2470" t="inlineStr">
        <is>
          <t>MLLB_000_y1.0.3</t>
        </is>
      </c>
      <c r="C2470" t="inlineStr">
        <is>
          <t>WHITE</t>
        </is>
      </c>
      <c r="D2470" t="inlineStr">
        <is>
          <t>v4_white_MLLB_000_y103_0924</t>
        </is>
      </c>
      <c r="E2470" t="n">
        <v>2.6</v>
      </c>
      <c r="F2470" t="n">
        <v>2.608</v>
      </c>
      <c r="G2470" t="n">
        <v>8</v>
      </c>
      <c r="H2470" t="n">
        <v>80</v>
      </c>
      <c r="I2470" t="n">
        <v>12</v>
      </c>
      <c r="J2470" t="inlineStr">
        <is>
          <t>kaba</t>
        </is>
      </c>
      <c r="K2470" t="b">
        <v>1</v>
      </c>
      <c r="M2470" t="n">
        <v>332</v>
      </c>
      <c r="N2470" t="n">
        <v>34</v>
      </c>
      <c r="O2470" t="n">
        <v>312</v>
      </c>
      <c r="P2470" t="n">
        <v>670</v>
      </c>
      <c r="Q2470" t="n">
        <v>1002</v>
      </c>
      <c r="R2470" t="n">
        <v>1.095</v>
      </c>
      <c r="S2470" t="n">
        <v>15.234</v>
      </c>
      <c r="T2470" t="n">
        <v>13.911</v>
      </c>
      <c r="U2470" t="n">
        <v>0.7785</v>
      </c>
      <c r="V2470" t="b">
        <v>1</v>
      </c>
      <c r="X2470" t="b">
        <v>0</v>
      </c>
      <c r="Y2470" t="inlineStr">
        <is>
          <t>ON</t>
        </is>
      </c>
      <c r="Z2470" t="n">
        <v>935</v>
      </c>
      <c r="AA2470" t="n">
        <v>2.5</v>
      </c>
      <c r="AB2470" t="n">
        <v>9.5</v>
      </c>
    </row>
    <row r="2471">
      <c r="A2471" t="inlineStr">
        <is>
          <t>2026-09-24 19:40:02</t>
        </is>
      </c>
      <c r="B2471" t="inlineStr">
        <is>
          <t>MLLB_000_y1.0.3</t>
        </is>
      </c>
      <c r="C2471" t="inlineStr">
        <is>
          <t>WHITE</t>
        </is>
      </c>
      <c r="D2471" t="inlineStr">
        <is>
          <t>v4_white_MLLB_000_y103_0924</t>
        </is>
      </c>
      <c r="E2471" t="n">
        <v>2.6</v>
      </c>
      <c r="F2471" t="n">
        <v>2.608</v>
      </c>
      <c r="G2471" t="n">
        <v>8</v>
      </c>
      <c r="H2471" t="n">
        <v>80</v>
      </c>
      <c r="I2471" t="n">
        <v>16</v>
      </c>
      <c r="J2471" t="inlineStr">
        <is>
          <t>kaba</t>
        </is>
      </c>
      <c r="K2471" t="b">
        <v>1</v>
      </c>
      <c r="M2471" t="n">
        <v>288</v>
      </c>
      <c r="N2471" t="n">
        <v>36</v>
      </c>
      <c r="O2471" t="n">
        <v>266</v>
      </c>
      <c r="P2471" t="n">
        <v>714</v>
      </c>
      <c r="Q2471" t="n">
        <v>1002</v>
      </c>
      <c r="R2471" t="n">
        <v>1.089</v>
      </c>
      <c r="S2471" t="n">
        <v>15.234</v>
      </c>
      <c r="T2471" t="n">
        <v>13.985</v>
      </c>
      <c r="U2471" t="n">
        <v>0.7779</v>
      </c>
      <c r="V2471" t="b">
        <v>1</v>
      </c>
      <c r="X2471" t="b">
        <v>0</v>
      </c>
      <c r="Y2471" t="inlineStr">
        <is>
          <t>ON</t>
        </is>
      </c>
      <c r="Z2471" t="n">
        <v>935</v>
      </c>
      <c r="AA2471" t="n">
        <v>2.5</v>
      </c>
      <c r="AB2471" t="n">
        <v>9.5</v>
      </c>
    </row>
    <row r="2472">
      <c r="A2472" t="inlineStr">
        <is>
          <t>2026-09-24 19:40:18</t>
        </is>
      </c>
      <c r="B2472" t="inlineStr">
        <is>
          <t>MLLB_000_y1.0.3</t>
        </is>
      </c>
      <c r="C2472" t="inlineStr">
        <is>
          <t>WHITE</t>
        </is>
      </c>
      <c r="D2472" t="inlineStr">
        <is>
          <t>v4_white_MLLB_000_y103_0924</t>
        </is>
      </c>
      <c r="E2472" t="n">
        <v>2.6</v>
      </c>
      <c r="F2472" t="n">
        <v>2.608</v>
      </c>
      <c r="G2472" t="n">
        <v>8</v>
      </c>
      <c r="H2472" t="n">
        <v>80</v>
      </c>
      <c r="I2472" t="n">
        <v>20</v>
      </c>
      <c r="J2472" t="inlineStr">
        <is>
          <t>kaba</t>
        </is>
      </c>
      <c r="K2472" t="b">
        <v>1</v>
      </c>
      <c r="M2472" t="n">
        <v>242</v>
      </c>
      <c r="N2472" t="n">
        <v>34</v>
      </c>
      <c r="O2472" t="n">
        <v>220</v>
      </c>
      <c r="P2472" t="n">
        <v>760</v>
      </c>
      <c r="Q2472" t="n">
        <v>1002</v>
      </c>
      <c r="R2472" t="n">
        <v>1.086</v>
      </c>
      <c r="S2472" t="n">
        <v>15.234</v>
      </c>
      <c r="T2472" t="n">
        <v>14.023</v>
      </c>
      <c r="U2472" t="n">
        <v>0.7783</v>
      </c>
      <c r="V2472" t="b">
        <v>1</v>
      </c>
      <c r="X2472" t="b">
        <v>0</v>
      </c>
      <c r="Y2472" t="inlineStr">
        <is>
          <t>ON</t>
        </is>
      </c>
      <c r="Z2472" t="n">
        <v>935</v>
      </c>
      <c r="AA2472" t="n">
        <v>2.5</v>
      </c>
      <c r="AB2472" t="n">
        <v>9.5</v>
      </c>
    </row>
    <row r="2473">
      <c r="A2473" t="inlineStr">
        <is>
          <t>2026-09-24 19:40:34</t>
        </is>
      </c>
      <c r="B2473" t="inlineStr">
        <is>
          <t>MLLB_000_y1.0.3</t>
        </is>
      </c>
      <c r="C2473" t="inlineStr">
        <is>
          <t>WHITE</t>
        </is>
      </c>
      <c r="D2473" t="inlineStr">
        <is>
          <t>v4_white_MLLB_000_y103_0924</t>
        </is>
      </c>
      <c r="E2473" t="n">
        <v>2.6</v>
      </c>
      <c r="F2473" t="n">
        <v>2.608</v>
      </c>
      <c r="G2473" t="n">
        <v>8</v>
      </c>
      <c r="H2473" t="n">
        <v>80</v>
      </c>
      <c r="I2473" t="n">
        <v>24</v>
      </c>
      <c r="J2473" t="inlineStr">
        <is>
          <t>kaba</t>
        </is>
      </c>
      <c r="K2473" t="b">
        <v>1</v>
      </c>
      <c r="M2473" t="n">
        <v>194</v>
      </c>
      <c r="N2473" t="n">
        <v>32</v>
      </c>
      <c r="O2473" t="n">
        <v>174</v>
      </c>
      <c r="P2473" t="n">
        <v>808</v>
      </c>
      <c r="Q2473" t="n">
        <v>1002</v>
      </c>
      <c r="R2473" t="n">
        <v>1.084</v>
      </c>
      <c r="S2473" t="n">
        <v>15.234</v>
      </c>
      <c r="T2473" t="n">
        <v>14.059</v>
      </c>
      <c r="U2473" t="n">
        <v>0.7784</v>
      </c>
      <c r="V2473" t="b">
        <v>1</v>
      </c>
      <c r="X2473" t="b">
        <v>0</v>
      </c>
      <c r="Y2473" t="inlineStr">
        <is>
          <t>ON</t>
        </is>
      </c>
      <c r="Z2473" t="n">
        <v>935</v>
      </c>
      <c r="AA2473" t="n">
        <v>2.5</v>
      </c>
      <c r="AB2473" t="n">
        <v>9.5</v>
      </c>
    </row>
    <row r="2474">
      <c r="A2474" t="inlineStr">
        <is>
          <t>2026-09-24 19:40:50</t>
        </is>
      </c>
      <c r="B2474" t="inlineStr">
        <is>
          <t>MLLB_000_y1.0.3</t>
        </is>
      </c>
      <c r="C2474" t="inlineStr">
        <is>
          <t>WHITE</t>
        </is>
      </c>
      <c r="D2474" t="inlineStr">
        <is>
          <t>v4_white_MLLB_000_y103_0924</t>
        </is>
      </c>
      <c r="E2474" t="n">
        <v>2.6</v>
      </c>
      <c r="F2474" t="n">
        <v>2.608</v>
      </c>
      <c r="G2474" t="n">
        <v>8</v>
      </c>
      <c r="H2474" t="n">
        <v>80</v>
      </c>
      <c r="I2474" t="n">
        <v>28</v>
      </c>
      <c r="J2474" t="inlineStr">
        <is>
          <t>kaba</t>
        </is>
      </c>
      <c r="K2474" t="b">
        <v>1</v>
      </c>
      <c r="M2474" t="n">
        <v>148</v>
      </c>
      <c r="N2474" t="n">
        <v>32</v>
      </c>
      <c r="O2474" t="n">
        <v>126</v>
      </c>
      <c r="P2474" t="n">
        <v>854</v>
      </c>
      <c r="Q2474" t="n">
        <v>1002</v>
      </c>
      <c r="R2474" t="n">
        <v>1.08</v>
      </c>
      <c r="S2474" t="n">
        <v>15.234</v>
      </c>
      <c r="T2474" t="n">
        <v>14.105</v>
      </c>
      <c r="U2474" t="n">
        <v>0.7783</v>
      </c>
      <c r="V2474" t="b">
        <v>1</v>
      </c>
      <c r="X2474" t="b">
        <v>0</v>
      </c>
      <c r="Y2474" t="inlineStr">
        <is>
          <t>ON</t>
        </is>
      </c>
      <c r="Z2474" t="n">
        <v>935</v>
      </c>
      <c r="AA2474" t="n">
        <v>2.5</v>
      </c>
      <c r="AB2474" t="n">
        <v>9.5</v>
      </c>
    </row>
    <row r="2475">
      <c r="A2475" t="inlineStr">
        <is>
          <t>2026-09-24 19:41:06</t>
        </is>
      </c>
      <c r="B2475" t="inlineStr">
        <is>
          <t>MLLB_000_y1.0.3</t>
        </is>
      </c>
      <c r="C2475" t="inlineStr">
        <is>
          <t>WHITE</t>
        </is>
      </c>
      <c r="D2475" t="inlineStr">
        <is>
          <t>v4_white_MLLB_000_y103_0924</t>
        </is>
      </c>
      <c r="E2475" t="n">
        <v>2.6</v>
      </c>
      <c r="F2475" t="n">
        <v>2.608</v>
      </c>
      <c r="G2475" t="n">
        <v>8</v>
      </c>
      <c r="H2475" t="n">
        <v>80</v>
      </c>
      <c r="I2475" t="n">
        <v>32</v>
      </c>
      <c r="J2475" t="inlineStr">
        <is>
          <t>kaba</t>
        </is>
      </c>
      <c r="K2475" t="b">
        <v>1</v>
      </c>
      <c r="M2475" t="n">
        <v>100</v>
      </c>
      <c r="N2475" t="n">
        <v>36</v>
      </c>
      <c r="O2475" t="n">
        <v>78</v>
      </c>
      <c r="P2475" t="n">
        <v>902</v>
      </c>
      <c r="Q2475" t="n">
        <v>1002</v>
      </c>
      <c r="R2475" t="n">
        <v>1.079</v>
      </c>
      <c r="S2475" t="n">
        <v>15.234</v>
      </c>
      <c r="T2475" t="n">
        <v>14.121</v>
      </c>
      <c r="U2475" t="n">
        <v>0.7783</v>
      </c>
      <c r="V2475" t="b">
        <v>1</v>
      </c>
      <c r="X2475" t="b">
        <v>0</v>
      </c>
      <c r="Y2475" t="inlineStr">
        <is>
          <t>ON</t>
        </is>
      </c>
      <c r="Z2475" t="n">
        <v>935</v>
      </c>
      <c r="AA2475" t="n">
        <v>2.5</v>
      </c>
      <c r="AB2475" t="n">
        <v>9.5</v>
      </c>
    </row>
    <row r="2476">
      <c r="A2476" t="inlineStr">
        <is>
          <t>2026-09-24 19:41:22</t>
        </is>
      </c>
      <c r="B2476" t="inlineStr">
        <is>
          <t>MLLB_000_y1.0.3</t>
        </is>
      </c>
      <c r="C2476" t="inlineStr">
        <is>
          <t>WHITE</t>
        </is>
      </c>
      <c r="D2476" t="inlineStr">
        <is>
          <t>v4_white_MLLB_000_y103_0924</t>
        </is>
      </c>
      <c r="E2476" t="n">
        <v>2.6</v>
      </c>
      <c r="F2476" t="n">
        <v>2.608</v>
      </c>
      <c r="G2476" t="n">
        <v>8</v>
      </c>
      <c r="H2476" t="n">
        <v>80</v>
      </c>
      <c r="I2476" t="n">
        <v>36</v>
      </c>
      <c r="J2476" t="inlineStr">
        <is>
          <t>kaba</t>
        </is>
      </c>
      <c r="K2476" t="b">
        <v>1</v>
      </c>
      <c r="M2476" t="n">
        <v>52</v>
      </c>
      <c r="N2476" t="n">
        <v>38</v>
      </c>
      <c r="O2476" t="n">
        <v>30</v>
      </c>
      <c r="P2476" t="n">
        <v>950</v>
      </c>
      <c r="Q2476" t="n">
        <v>1002</v>
      </c>
      <c r="R2476" t="n">
        <v>1.072</v>
      </c>
      <c r="S2476" t="n">
        <v>15.156</v>
      </c>
      <c r="T2476" t="n">
        <v>14.143</v>
      </c>
      <c r="U2476" t="n">
        <v>0.7783</v>
      </c>
      <c r="V2476" t="b">
        <v>1</v>
      </c>
      <c r="X2476" t="b">
        <v>1</v>
      </c>
      <c r="Z2476" t="n">
        <v>935</v>
      </c>
      <c r="AA2476" t="n">
        <v>2.5</v>
      </c>
      <c r="AB2476" t="n">
        <v>9.5</v>
      </c>
    </row>
    <row r="2477">
      <c r="A2477" t="inlineStr">
        <is>
          <t>2026-09-24 19:41:38</t>
        </is>
      </c>
      <c r="B2477" t="inlineStr">
        <is>
          <t>MLLB_000_y1.0.3</t>
        </is>
      </c>
      <c r="C2477" t="inlineStr">
        <is>
          <t>WHITE</t>
        </is>
      </c>
      <c r="D2477" t="inlineStr">
        <is>
          <t>v4_white_MLLB_000_y103_0924</t>
        </is>
      </c>
      <c r="E2477" t="n">
        <v>2.6</v>
      </c>
      <c r="F2477" t="n">
        <v>2.608</v>
      </c>
      <c r="G2477" t="n">
        <v>8</v>
      </c>
      <c r="H2477" t="n">
        <v>80</v>
      </c>
      <c r="I2477" t="n">
        <v>40</v>
      </c>
      <c r="J2477" t="inlineStr">
        <is>
          <t>kaba</t>
        </is>
      </c>
      <c r="K2477" t="b">
        <v>1</v>
      </c>
      <c r="M2477" t="n">
        <v>46</v>
      </c>
      <c r="N2477" t="n">
        <v>28</v>
      </c>
      <c r="O2477" t="n">
        <v>26</v>
      </c>
      <c r="P2477" t="n">
        <v>956</v>
      </c>
      <c r="Q2477" t="n">
        <v>1002</v>
      </c>
      <c r="R2477" t="n">
        <v>3.487</v>
      </c>
      <c r="S2477" t="n">
        <v>49.306</v>
      </c>
      <c r="T2477" t="n">
        <v>14.141</v>
      </c>
      <c r="U2477" t="n">
        <v>0.7782</v>
      </c>
      <c r="V2477" t="b">
        <v>1</v>
      </c>
      <c r="X2477" t="b">
        <v>0</v>
      </c>
      <c r="Y2477" t="inlineStr">
        <is>
          <t>FLAS</t>
        </is>
      </c>
      <c r="Z2477" t="n">
        <v>935</v>
      </c>
      <c r="AA2477" t="n">
        <v>2.5</v>
      </c>
      <c r="AB2477" t="n">
        <v>9.5</v>
      </c>
    </row>
    <row r="2478">
      <c r="A2478" t="inlineStr">
        <is>
          <t>2026-09-24 19:41:54</t>
        </is>
      </c>
      <c r="B2478" t="inlineStr">
        <is>
          <t>MLLB_000_y1.0.3</t>
        </is>
      </c>
      <c r="C2478" t="inlineStr">
        <is>
          <t>WHITE</t>
        </is>
      </c>
      <c r="D2478" t="inlineStr">
        <is>
          <t>v4_white_MLLB_000_y103_0924</t>
        </is>
      </c>
      <c r="E2478" t="n">
        <v>2.6</v>
      </c>
      <c r="F2478" t="n">
        <v>2.608</v>
      </c>
      <c r="G2478" t="n">
        <v>8</v>
      </c>
      <c r="H2478" t="n">
        <v>80</v>
      </c>
      <c r="I2478" t="n">
        <v>44</v>
      </c>
      <c r="J2478" t="inlineStr">
        <is>
          <t>kaba</t>
        </is>
      </c>
      <c r="K2478" t="b">
        <v>1</v>
      </c>
      <c r="M2478" t="n">
        <v>46</v>
      </c>
      <c r="N2478" t="n">
        <v>28</v>
      </c>
      <c r="O2478" t="n">
        <v>26</v>
      </c>
      <c r="P2478" t="n">
        <v>956</v>
      </c>
      <c r="Q2478" t="n">
        <v>1002</v>
      </c>
      <c r="R2478" t="n">
        <v>8.499000000000001</v>
      </c>
      <c r="S2478" t="n">
        <v>120.282</v>
      </c>
      <c r="T2478" t="n">
        <v>14.153</v>
      </c>
      <c r="U2478" t="n">
        <v>0.778</v>
      </c>
      <c r="V2478" t="b">
        <v>1</v>
      </c>
      <c r="X2478" t="b">
        <v>0</v>
      </c>
      <c r="Y2478" t="inlineStr">
        <is>
          <t>FLAS</t>
        </is>
      </c>
      <c r="Z2478" t="n">
        <v>935</v>
      </c>
      <c r="AA2478" t="n">
        <v>2.5</v>
      </c>
      <c r="AB2478" t="n">
        <v>9.5</v>
      </c>
    </row>
    <row r="2479">
      <c r="A2479" t="inlineStr">
        <is>
          <t>2026-09-24 19:42:10</t>
        </is>
      </c>
      <c r="B2479" t="inlineStr">
        <is>
          <t>MLLB_000_y1.0.3</t>
        </is>
      </c>
      <c r="C2479" t="inlineStr">
        <is>
          <t>WHITE</t>
        </is>
      </c>
      <c r="D2479" t="inlineStr">
        <is>
          <t>v4_white_MLLB_000_y103_0924</t>
        </is>
      </c>
      <c r="E2479" t="n">
        <v>2.6</v>
      </c>
      <c r="F2479" t="n">
        <v>2.608</v>
      </c>
      <c r="G2479" t="n">
        <v>8</v>
      </c>
      <c r="H2479" t="n">
        <v>80</v>
      </c>
      <c r="I2479" t="n">
        <v>33</v>
      </c>
      <c r="J2479" t="inlineStr">
        <is>
          <t>ince</t>
        </is>
      </c>
      <c r="K2479" t="b">
        <v>1</v>
      </c>
      <c r="M2479" t="n">
        <v>88</v>
      </c>
      <c r="N2479" t="n">
        <v>34</v>
      </c>
      <c r="O2479" t="n">
        <v>68</v>
      </c>
      <c r="P2479" t="n">
        <v>914</v>
      </c>
      <c r="Q2479" t="n">
        <v>1002</v>
      </c>
      <c r="R2479" t="n">
        <v>1.077</v>
      </c>
      <c r="S2479" t="n">
        <v>15.234</v>
      </c>
      <c r="T2479" t="n">
        <v>14.14</v>
      </c>
      <c r="U2479" t="n">
        <v>0.7786</v>
      </c>
      <c r="V2479" t="b">
        <v>1</v>
      </c>
      <c r="X2479" t="b">
        <v>0</v>
      </c>
      <c r="Y2479" t="inlineStr">
        <is>
          <t>ON</t>
        </is>
      </c>
      <c r="Z2479" t="n">
        <v>935</v>
      </c>
      <c r="AA2479" t="n">
        <v>2.5</v>
      </c>
      <c r="AB2479" t="n">
        <v>9.5</v>
      </c>
    </row>
    <row r="2480">
      <c r="A2480" t="inlineStr">
        <is>
          <t>2026-09-24 19:42:26</t>
        </is>
      </c>
      <c r="B2480" t="inlineStr">
        <is>
          <t>MLLB_000_y1.0.3</t>
        </is>
      </c>
      <c r="C2480" t="inlineStr">
        <is>
          <t>WHITE</t>
        </is>
      </c>
      <c r="D2480" t="inlineStr">
        <is>
          <t>v4_white_MLLB_000_y103_0924</t>
        </is>
      </c>
      <c r="E2480" t="n">
        <v>2.6</v>
      </c>
      <c r="F2480" t="n">
        <v>2.608</v>
      </c>
      <c r="G2480" t="n">
        <v>8</v>
      </c>
      <c r="H2480" t="n">
        <v>80</v>
      </c>
      <c r="I2480" t="n">
        <v>34</v>
      </c>
      <c r="J2480" t="inlineStr">
        <is>
          <t>ince</t>
        </is>
      </c>
      <c r="K2480" t="b">
        <v>1</v>
      </c>
      <c r="M2480" t="n">
        <v>76</v>
      </c>
      <c r="N2480" t="n">
        <v>34</v>
      </c>
      <c r="O2480" t="n">
        <v>56</v>
      </c>
      <c r="P2480" t="n">
        <v>926</v>
      </c>
      <c r="Q2480" t="n">
        <v>1002</v>
      </c>
      <c r="R2480" t="n">
        <v>1.076</v>
      </c>
      <c r="S2480" t="n">
        <v>15.234</v>
      </c>
      <c r="T2480" t="n">
        <v>14.161</v>
      </c>
      <c r="U2480" t="n">
        <v>0.7776999999999999</v>
      </c>
      <c r="V2480" t="b">
        <v>1</v>
      </c>
      <c r="X2480" t="b">
        <v>0</v>
      </c>
      <c r="Y2480" t="inlineStr">
        <is>
          <t>ON</t>
        </is>
      </c>
      <c r="Z2480" t="n">
        <v>935</v>
      </c>
      <c r="AA2480" t="n">
        <v>2.5</v>
      </c>
      <c r="AB2480" t="n">
        <v>9.5</v>
      </c>
    </row>
    <row r="2481">
      <c r="A2481" t="inlineStr">
        <is>
          <t>2026-09-24 19:42:42</t>
        </is>
      </c>
      <c r="B2481" t="inlineStr">
        <is>
          <t>MLLB_000_y1.0.3</t>
        </is>
      </c>
      <c r="C2481" t="inlineStr">
        <is>
          <t>WHITE</t>
        </is>
      </c>
      <c r="D2481" t="inlineStr">
        <is>
          <t>v4_white_MLLB_000_y103_0924</t>
        </is>
      </c>
      <c r="E2481" t="n">
        <v>2.6</v>
      </c>
      <c r="F2481" t="n">
        <v>2.608</v>
      </c>
      <c r="G2481" t="n">
        <v>8</v>
      </c>
      <c r="H2481" t="n">
        <v>80</v>
      </c>
      <c r="I2481" t="n">
        <v>35</v>
      </c>
      <c r="J2481" t="inlineStr">
        <is>
          <t>ince</t>
        </is>
      </c>
      <c r="K2481" t="b">
        <v>1</v>
      </c>
      <c r="M2481" t="n">
        <v>64</v>
      </c>
      <c r="N2481" t="n">
        <v>34</v>
      </c>
      <c r="O2481" t="n">
        <v>44</v>
      </c>
      <c r="P2481" t="n">
        <v>938</v>
      </c>
      <c r="Q2481" t="n">
        <v>1002</v>
      </c>
      <c r="R2481" t="n">
        <v>1.075</v>
      </c>
      <c r="S2481" t="n">
        <v>15.234</v>
      </c>
      <c r="T2481" t="n">
        <v>14.165</v>
      </c>
      <c r="U2481" t="n">
        <v>0.778</v>
      </c>
      <c r="V2481" t="b">
        <v>1</v>
      </c>
      <c r="X2481" t="b">
        <v>1</v>
      </c>
      <c r="Z2481" t="n">
        <v>935</v>
      </c>
      <c r="AA2481" t="n">
        <v>2.5</v>
      </c>
      <c r="AB2481" t="n">
        <v>9.5</v>
      </c>
    </row>
    <row r="2482">
      <c r="A2482" t="inlineStr">
        <is>
          <t>2026-09-24 19:42:58</t>
        </is>
      </c>
      <c r="B2482" t="inlineStr">
        <is>
          <t>MLLB_000_y1.0.3</t>
        </is>
      </c>
      <c r="C2482" t="inlineStr">
        <is>
          <t>WHITE</t>
        </is>
      </c>
      <c r="D2482" t="inlineStr">
        <is>
          <t>v4_white_MLLB_000_y103_0924</t>
        </is>
      </c>
      <c r="E2482" t="n">
        <v>2.6</v>
      </c>
      <c r="F2482" t="n">
        <v>2.608</v>
      </c>
      <c r="G2482" t="n">
        <v>8</v>
      </c>
      <c r="H2482" t="n">
        <v>80</v>
      </c>
      <c r="I2482" t="n">
        <v>37</v>
      </c>
      <c r="J2482" t="inlineStr">
        <is>
          <t>ince</t>
        </is>
      </c>
      <c r="K2482" t="b">
        <v>1</v>
      </c>
      <c r="M2482" t="n">
        <v>46</v>
      </c>
      <c r="N2482" t="n">
        <v>28</v>
      </c>
      <c r="O2482" t="n">
        <v>26</v>
      </c>
      <c r="P2482" t="n">
        <v>956</v>
      </c>
      <c r="Q2482" t="n">
        <v>1002</v>
      </c>
      <c r="R2482" t="n">
        <v>1.075</v>
      </c>
      <c r="S2482" t="n">
        <v>15.234</v>
      </c>
      <c r="T2482" t="n">
        <v>14.169</v>
      </c>
      <c r="U2482" t="n">
        <v>0.7782</v>
      </c>
      <c r="V2482" t="b">
        <v>1</v>
      </c>
      <c r="X2482" t="b">
        <v>1</v>
      </c>
      <c r="Z2482" t="n">
        <v>935</v>
      </c>
      <c r="AA2482" t="n">
        <v>2.5</v>
      </c>
      <c r="AB2482" t="n">
        <v>9.5</v>
      </c>
    </row>
    <row r="2483">
      <c r="A2483" t="inlineStr">
        <is>
          <t>2026-09-24 19:43:14</t>
        </is>
      </c>
      <c r="B2483" t="inlineStr">
        <is>
          <t>MLLB_000_y1.0.3</t>
        </is>
      </c>
      <c r="C2483" t="inlineStr">
        <is>
          <t>WHITE</t>
        </is>
      </c>
      <c r="D2483" t="inlineStr">
        <is>
          <t>v4_white_MLLB_000_y103_0924</t>
        </is>
      </c>
      <c r="E2483" t="n">
        <v>2.6</v>
      </c>
      <c r="F2483" t="n">
        <v>2.608</v>
      </c>
      <c r="G2483" t="n">
        <v>8</v>
      </c>
      <c r="H2483" t="n">
        <v>80</v>
      </c>
      <c r="I2483" t="n">
        <v>38</v>
      </c>
      <c r="J2483" t="inlineStr">
        <is>
          <t>ince</t>
        </is>
      </c>
      <c r="K2483" t="b">
        <v>1</v>
      </c>
      <c r="M2483" t="n">
        <v>46</v>
      </c>
      <c r="N2483" t="n">
        <v>28</v>
      </c>
      <c r="O2483" t="n">
        <v>26</v>
      </c>
      <c r="P2483" t="n">
        <v>956</v>
      </c>
      <c r="Q2483" t="n">
        <v>1002</v>
      </c>
      <c r="R2483" t="n">
        <v>1.655</v>
      </c>
      <c r="S2483" t="n">
        <v>23.417</v>
      </c>
      <c r="T2483" t="n">
        <v>14.149</v>
      </c>
      <c r="U2483" t="n">
        <v>0.7782</v>
      </c>
      <c r="V2483" t="b">
        <v>1</v>
      </c>
      <c r="X2483" t="b">
        <v>1</v>
      </c>
      <c r="Z2483" t="n">
        <v>935</v>
      </c>
      <c r="AA2483" t="n">
        <v>2.5</v>
      </c>
      <c r="AB2483" t="n">
        <v>9.5</v>
      </c>
    </row>
    <row r="2484">
      <c r="A2484" t="inlineStr">
        <is>
          <t>2026-09-24 19:43:30</t>
        </is>
      </c>
      <c r="B2484" t="inlineStr">
        <is>
          <t>MLLB_000_y1.0.3</t>
        </is>
      </c>
      <c r="C2484" t="inlineStr">
        <is>
          <t>WHITE</t>
        </is>
      </c>
      <c r="D2484" t="inlineStr">
        <is>
          <t>v4_white_MLLB_000_y103_0924</t>
        </is>
      </c>
      <c r="E2484" t="n">
        <v>2.6</v>
      </c>
      <c r="F2484" t="n">
        <v>2.608</v>
      </c>
      <c r="G2484" t="n">
        <v>8</v>
      </c>
      <c r="H2484" t="n">
        <v>80</v>
      </c>
      <c r="I2484" t="n">
        <v>39</v>
      </c>
      <c r="J2484" t="inlineStr">
        <is>
          <t>ince</t>
        </is>
      </c>
      <c r="K2484" t="b">
        <v>1</v>
      </c>
      <c r="M2484" t="n">
        <v>46</v>
      </c>
      <c r="N2484" t="n">
        <v>28</v>
      </c>
      <c r="O2484" t="n">
        <v>26</v>
      </c>
      <c r="P2484" t="n">
        <v>956</v>
      </c>
      <c r="Q2484" t="n">
        <v>1002</v>
      </c>
      <c r="R2484" t="n">
        <v>2.552</v>
      </c>
      <c r="S2484" t="n">
        <v>36.139</v>
      </c>
      <c r="T2484" t="n">
        <v>14.161</v>
      </c>
      <c r="U2484" t="n">
        <v>0.778</v>
      </c>
      <c r="V2484" t="b">
        <v>1</v>
      </c>
      <c r="X2484" t="b">
        <v>0</v>
      </c>
      <c r="Y2484" t="inlineStr">
        <is>
          <t>FLAS</t>
        </is>
      </c>
      <c r="Z2484" t="n">
        <v>935</v>
      </c>
      <c r="AA2484" t="n">
        <v>2.5</v>
      </c>
      <c r="AB2484" t="n">
        <v>9.5</v>
      </c>
    </row>
    <row r="2485">
      <c r="A2485" t="inlineStr">
        <is>
          <t>2026-09-24 19:43:30</t>
        </is>
      </c>
      <c r="B2485" t="inlineStr">
        <is>
          <t>MLLB_000_y1.0.3</t>
        </is>
      </c>
      <c r="C2485" t="inlineStr">
        <is>
          <t>WHITE</t>
        </is>
      </c>
      <c r="D2485" t="inlineStr">
        <is>
          <t>v4_white_MLLB_000_y103_0924</t>
        </is>
      </c>
      <c r="E2485" t="n">
        <v>2.6</v>
      </c>
      <c r="F2485" t="n">
        <v>2.608</v>
      </c>
      <c r="G2485" t="n">
        <v>8</v>
      </c>
      <c r="H2485" t="n">
        <v>80</v>
      </c>
      <c r="J2485" t="inlineStr">
        <is>
          <t>bitti</t>
        </is>
      </c>
      <c r="K2485" t="b">
        <v>0</v>
      </c>
      <c r="Z2485" t="n">
        <v>935</v>
      </c>
      <c r="AA2485" t="n">
        <v>2.5</v>
      </c>
      <c r="AB2485" t="n">
        <v>9.5</v>
      </c>
    </row>
    <row r="2486">
      <c r="A2486" t="inlineStr">
        <is>
          <t>2026-09-24 19:43:46</t>
        </is>
      </c>
      <c r="B2486" t="inlineStr">
        <is>
          <t>MLLB_000_y1.0.3</t>
        </is>
      </c>
      <c r="C2486" t="inlineStr">
        <is>
          <t>WHITE</t>
        </is>
      </c>
      <c r="D2486" t="inlineStr">
        <is>
          <t>v4_white_MLLB_000_y103_0924</t>
        </is>
      </c>
      <c r="E2486" t="n">
        <v>2.6</v>
      </c>
      <c r="F2486" t="n">
        <v>2.608</v>
      </c>
      <c r="G2486" t="n">
        <v>8</v>
      </c>
      <c r="H2486" t="n">
        <v>60</v>
      </c>
      <c r="I2486" t="n">
        <v>12</v>
      </c>
      <c r="J2486" t="inlineStr">
        <is>
          <t>kaba</t>
        </is>
      </c>
      <c r="K2486" t="b">
        <v>1</v>
      </c>
      <c r="M2486" t="n">
        <v>364</v>
      </c>
      <c r="N2486" t="n">
        <v>32</v>
      </c>
      <c r="O2486" t="n">
        <v>342</v>
      </c>
      <c r="P2486" t="n">
        <v>638</v>
      </c>
      <c r="Q2486" t="n">
        <v>1002</v>
      </c>
      <c r="R2486" t="n">
        <v>1.095</v>
      </c>
      <c r="S2486" t="n">
        <v>15.234</v>
      </c>
      <c r="T2486" t="n">
        <v>13.918</v>
      </c>
      <c r="U2486" t="n">
        <v>0.7778</v>
      </c>
      <c r="V2486" t="b">
        <v>1</v>
      </c>
      <c r="X2486" t="b">
        <v>0</v>
      </c>
      <c r="Y2486" t="inlineStr">
        <is>
          <t>ON</t>
        </is>
      </c>
      <c r="Z2486" t="n">
        <v>935</v>
      </c>
      <c r="AA2486" t="n">
        <v>2.5</v>
      </c>
      <c r="AB2486" t="n">
        <v>9.5</v>
      </c>
    </row>
    <row r="2487">
      <c r="A2487" t="inlineStr">
        <is>
          <t>2026-09-24 19:44:02</t>
        </is>
      </c>
      <c r="B2487" t="inlineStr">
        <is>
          <t>MLLB_000_y1.0.3</t>
        </is>
      </c>
      <c r="C2487" t="inlineStr">
        <is>
          <t>WHITE</t>
        </is>
      </c>
      <c r="D2487" t="inlineStr">
        <is>
          <t>v4_white_MLLB_000_y103_0924</t>
        </is>
      </c>
      <c r="E2487" t="n">
        <v>2.6</v>
      </c>
      <c r="F2487" t="n">
        <v>2.608</v>
      </c>
      <c r="G2487" t="n">
        <v>8</v>
      </c>
      <c r="H2487" t="n">
        <v>60</v>
      </c>
      <c r="I2487" t="n">
        <v>16</v>
      </c>
      <c r="J2487" t="inlineStr">
        <is>
          <t>kaba</t>
        </is>
      </c>
      <c r="K2487" t="b">
        <v>1</v>
      </c>
      <c r="M2487" t="n">
        <v>330</v>
      </c>
      <c r="N2487" t="n">
        <v>32</v>
      </c>
      <c r="O2487" t="n">
        <v>310</v>
      </c>
      <c r="P2487" t="n">
        <v>672</v>
      </c>
      <c r="Q2487" t="n">
        <v>1002</v>
      </c>
      <c r="R2487" t="n">
        <v>1.092</v>
      </c>
      <c r="S2487" t="n">
        <v>15.234</v>
      </c>
      <c r="T2487" t="n">
        <v>13.948</v>
      </c>
      <c r="U2487" t="n">
        <v>0.7779</v>
      </c>
      <c r="V2487" t="b">
        <v>1</v>
      </c>
      <c r="X2487" t="b">
        <v>0</v>
      </c>
      <c r="Y2487" t="inlineStr">
        <is>
          <t>ON</t>
        </is>
      </c>
      <c r="Z2487" t="n">
        <v>935</v>
      </c>
      <c r="AA2487" t="n">
        <v>2.5</v>
      </c>
      <c r="AB2487" t="n">
        <v>9.5</v>
      </c>
    </row>
    <row r="2488">
      <c r="A2488" t="inlineStr">
        <is>
          <t>2026-09-24 19:44:18</t>
        </is>
      </c>
      <c r="B2488" t="inlineStr">
        <is>
          <t>MLLB_000_y1.0.3</t>
        </is>
      </c>
      <c r="C2488" t="inlineStr">
        <is>
          <t>WHITE</t>
        </is>
      </c>
      <c r="D2488" t="inlineStr">
        <is>
          <t>v4_white_MLLB_000_y103_0924</t>
        </is>
      </c>
      <c r="E2488" t="n">
        <v>2.6</v>
      </c>
      <c r="F2488" t="n">
        <v>2.608</v>
      </c>
      <c r="G2488" t="n">
        <v>8</v>
      </c>
      <c r="H2488" t="n">
        <v>60</v>
      </c>
      <c r="I2488" t="n">
        <v>20</v>
      </c>
      <c r="J2488" t="inlineStr">
        <is>
          <t>kaba</t>
        </is>
      </c>
      <c r="K2488" t="b">
        <v>1</v>
      </c>
      <c r="M2488" t="n">
        <v>298</v>
      </c>
      <c r="N2488" t="n">
        <v>32</v>
      </c>
      <c r="O2488" t="n">
        <v>278</v>
      </c>
      <c r="P2488" t="n">
        <v>704</v>
      </c>
      <c r="Q2488" t="n">
        <v>1002</v>
      </c>
      <c r="R2488" t="n">
        <v>1.089</v>
      </c>
      <c r="S2488" t="n">
        <v>15.234</v>
      </c>
      <c r="T2488" t="n">
        <v>13.987</v>
      </c>
      <c r="U2488" t="n">
        <v>0.7776999999999999</v>
      </c>
      <c r="V2488" t="b">
        <v>1</v>
      </c>
      <c r="X2488" t="b">
        <v>0</v>
      </c>
      <c r="Y2488" t="inlineStr">
        <is>
          <t>ON</t>
        </is>
      </c>
      <c r="Z2488" t="n">
        <v>935</v>
      </c>
      <c r="AA2488" t="n">
        <v>2.5</v>
      </c>
      <c r="AB2488" t="n">
        <v>9.5</v>
      </c>
    </row>
    <row r="2489">
      <c r="A2489" t="inlineStr">
        <is>
          <t>2026-09-24 19:44:34</t>
        </is>
      </c>
      <c r="B2489" t="inlineStr">
        <is>
          <t>MLLB_000_y1.0.3</t>
        </is>
      </c>
      <c r="C2489" t="inlineStr">
        <is>
          <t>WHITE</t>
        </is>
      </c>
      <c r="D2489" t="inlineStr">
        <is>
          <t>v4_white_MLLB_000_y103_0924</t>
        </is>
      </c>
      <c r="E2489" t="n">
        <v>2.6</v>
      </c>
      <c r="F2489" t="n">
        <v>2.608</v>
      </c>
      <c r="G2489" t="n">
        <v>8</v>
      </c>
      <c r="H2489" t="n">
        <v>60</v>
      </c>
      <c r="I2489" t="n">
        <v>24</v>
      </c>
      <c r="J2489" t="inlineStr">
        <is>
          <t>kaba</t>
        </is>
      </c>
      <c r="K2489" t="b">
        <v>1</v>
      </c>
      <c r="M2489" t="n">
        <v>264</v>
      </c>
      <c r="N2489" t="n">
        <v>34</v>
      </c>
      <c r="O2489" t="n">
        <v>244</v>
      </c>
      <c r="P2489" t="n">
        <v>738</v>
      </c>
      <c r="Q2489" t="n">
        <v>1002</v>
      </c>
      <c r="R2489" t="n">
        <v>1.087</v>
      </c>
      <c r="S2489" t="n">
        <v>15.234</v>
      </c>
      <c r="T2489" t="n">
        <v>14.017</v>
      </c>
      <c r="U2489" t="n">
        <v>0.7783</v>
      </c>
      <c r="V2489" t="b">
        <v>1</v>
      </c>
      <c r="X2489" t="b">
        <v>0</v>
      </c>
      <c r="Y2489" t="inlineStr">
        <is>
          <t>ON</t>
        </is>
      </c>
      <c r="Z2489" t="n">
        <v>935</v>
      </c>
      <c r="AA2489" t="n">
        <v>2.5</v>
      </c>
      <c r="AB2489" t="n">
        <v>9.5</v>
      </c>
    </row>
    <row r="2490">
      <c r="A2490" t="inlineStr">
        <is>
          <t>2026-09-24 19:44:50</t>
        </is>
      </c>
      <c r="B2490" t="inlineStr">
        <is>
          <t>MLLB_000_y1.0.3</t>
        </is>
      </c>
      <c r="C2490" t="inlineStr">
        <is>
          <t>WHITE</t>
        </is>
      </c>
      <c r="D2490" t="inlineStr">
        <is>
          <t>v4_white_MLLB_000_y103_0924</t>
        </is>
      </c>
      <c r="E2490" t="n">
        <v>2.6</v>
      </c>
      <c r="F2490" t="n">
        <v>2.608</v>
      </c>
      <c r="G2490" t="n">
        <v>8</v>
      </c>
      <c r="H2490" t="n">
        <v>60</v>
      </c>
      <c r="I2490" t="n">
        <v>28</v>
      </c>
      <c r="J2490" t="inlineStr">
        <is>
          <t>kaba</t>
        </is>
      </c>
      <c r="K2490" t="b">
        <v>1</v>
      </c>
      <c r="M2490" t="n">
        <v>232</v>
      </c>
      <c r="N2490" t="n">
        <v>32</v>
      </c>
      <c r="O2490" t="n">
        <v>210</v>
      </c>
      <c r="P2490" t="n">
        <v>770</v>
      </c>
      <c r="Q2490" t="n">
        <v>1002</v>
      </c>
      <c r="R2490" t="n">
        <v>1.081</v>
      </c>
      <c r="S2490" t="n">
        <v>15.197</v>
      </c>
      <c r="T2490" t="n">
        <v>14.061</v>
      </c>
      <c r="U2490" t="n">
        <v>0.7781</v>
      </c>
      <c r="V2490" t="b">
        <v>1</v>
      </c>
      <c r="X2490" t="b">
        <v>0</v>
      </c>
      <c r="Y2490" t="inlineStr">
        <is>
          <t>ON</t>
        </is>
      </c>
      <c r="Z2490" t="n">
        <v>935</v>
      </c>
      <c r="AA2490" t="n">
        <v>2.5</v>
      </c>
      <c r="AB2490" t="n">
        <v>9.5</v>
      </c>
    </row>
    <row r="2491">
      <c r="A2491" t="inlineStr">
        <is>
          <t>2026-09-24 19:45:06</t>
        </is>
      </c>
      <c r="B2491" t="inlineStr">
        <is>
          <t>MLLB_000_y1.0.3</t>
        </is>
      </c>
      <c r="C2491" t="inlineStr">
        <is>
          <t>WHITE</t>
        </is>
      </c>
      <c r="D2491" t="inlineStr">
        <is>
          <t>v4_white_MLLB_000_y103_0924</t>
        </is>
      </c>
      <c r="E2491" t="n">
        <v>2.6</v>
      </c>
      <c r="F2491" t="n">
        <v>2.608</v>
      </c>
      <c r="G2491" t="n">
        <v>8</v>
      </c>
      <c r="H2491" t="n">
        <v>60</v>
      </c>
      <c r="I2491" t="n">
        <v>32</v>
      </c>
      <c r="J2491" t="inlineStr">
        <is>
          <t>kaba</t>
        </is>
      </c>
      <c r="K2491" t="b">
        <v>1</v>
      </c>
      <c r="M2491" t="n">
        <v>198</v>
      </c>
      <c r="N2491" t="n">
        <v>34</v>
      </c>
      <c r="O2491" t="n">
        <v>176</v>
      </c>
      <c r="P2491" t="n">
        <v>804</v>
      </c>
      <c r="Q2491" t="n">
        <v>1002</v>
      </c>
      <c r="R2491" t="n">
        <v>1.081</v>
      </c>
      <c r="S2491" t="n">
        <v>15.234</v>
      </c>
      <c r="T2491" t="n">
        <v>14.091</v>
      </c>
      <c r="U2491" t="n">
        <v>0.7782</v>
      </c>
      <c r="V2491" t="b">
        <v>1</v>
      </c>
      <c r="X2491" t="b">
        <v>0</v>
      </c>
      <c r="Y2491" t="inlineStr">
        <is>
          <t>ON</t>
        </is>
      </c>
      <c r="Z2491" t="n">
        <v>935</v>
      </c>
      <c r="AA2491" t="n">
        <v>2.5</v>
      </c>
      <c r="AB2491" t="n">
        <v>9.5</v>
      </c>
    </row>
    <row r="2492">
      <c r="A2492" t="inlineStr">
        <is>
          <t>2026-09-24 19:45:22</t>
        </is>
      </c>
      <c r="B2492" t="inlineStr">
        <is>
          <t>MLLB_000_y1.0.3</t>
        </is>
      </c>
      <c r="C2492" t="inlineStr">
        <is>
          <t>WHITE</t>
        </is>
      </c>
      <c r="D2492" t="inlineStr">
        <is>
          <t>v4_white_MLLB_000_y103_0924</t>
        </is>
      </c>
      <c r="E2492" t="n">
        <v>2.6</v>
      </c>
      <c r="F2492" t="n">
        <v>2.608</v>
      </c>
      <c r="G2492" t="n">
        <v>8</v>
      </c>
      <c r="H2492" t="n">
        <v>60</v>
      </c>
      <c r="I2492" t="n">
        <v>36</v>
      </c>
      <c r="J2492" t="inlineStr">
        <is>
          <t>kaba</t>
        </is>
      </c>
      <c r="K2492" t="b">
        <v>1</v>
      </c>
      <c r="M2492" t="n">
        <v>164</v>
      </c>
      <c r="N2492" t="n">
        <v>32</v>
      </c>
      <c r="O2492" t="n">
        <v>142</v>
      </c>
      <c r="P2492" t="n">
        <v>838</v>
      </c>
      <c r="Q2492" t="n">
        <v>1002</v>
      </c>
      <c r="R2492" t="n">
        <v>1.08</v>
      </c>
      <c r="S2492" t="n">
        <v>15.234</v>
      </c>
      <c r="T2492" t="n">
        <v>14.099</v>
      </c>
      <c r="U2492" t="n">
        <v>0.7781</v>
      </c>
      <c r="V2492" t="b">
        <v>1</v>
      </c>
      <c r="X2492" t="b">
        <v>0</v>
      </c>
      <c r="Y2492" t="inlineStr">
        <is>
          <t>ON</t>
        </is>
      </c>
      <c r="Z2492" t="n">
        <v>935</v>
      </c>
      <c r="AA2492" t="n">
        <v>2.5</v>
      </c>
      <c r="AB2492" t="n">
        <v>9.5</v>
      </c>
    </row>
    <row r="2493">
      <c r="A2493" t="inlineStr">
        <is>
          <t>2026-09-24 19:45:38</t>
        </is>
      </c>
      <c r="B2493" t="inlineStr">
        <is>
          <t>MLLB_000_y1.0.3</t>
        </is>
      </c>
      <c r="C2493" t="inlineStr">
        <is>
          <t>WHITE</t>
        </is>
      </c>
      <c r="D2493" t="inlineStr">
        <is>
          <t>v4_white_MLLB_000_y103_0924</t>
        </is>
      </c>
      <c r="E2493" t="n">
        <v>2.6</v>
      </c>
      <c r="F2493" t="n">
        <v>2.608</v>
      </c>
      <c r="G2493" t="n">
        <v>8</v>
      </c>
      <c r="H2493" t="n">
        <v>60</v>
      </c>
      <c r="I2493" t="n">
        <v>40</v>
      </c>
      <c r="J2493" t="inlineStr">
        <is>
          <t>kaba</t>
        </is>
      </c>
      <c r="K2493" t="b">
        <v>1</v>
      </c>
      <c r="M2493" t="n">
        <v>128</v>
      </c>
      <c r="N2493" t="n">
        <v>34</v>
      </c>
      <c r="O2493" t="n">
        <v>108</v>
      </c>
      <c r="P2493" t="n">
        <v>874</v>
      </c>
      <c r="Q2493" t="n">
        <v>1002</v>
      </c>
      <c r="R2493" t="n">
        <v>1.08</v>
      </c>
      <c r="S2493" t="n">
        <v>15.275</v>
      </c>
      <c r="T2493" t="n">
        <v>14.138</v>
      </c>
      <c r="U2493" t="n">
        <v>0.7784</v>
      </c>
      <c r="V2493" t="b">
        <v>1</v>
      </c>
      <c r="X2493" t="b">
        <v>0</v>
      </c>
      <c r="Y2493" t="inlineStr">
        <is>
          <t>ON</t>
        </is>
      </c>
      <c r="Z2493" t="n">
        <v>935</v>
      </c>
      <c r="AA2493" t="n">
        <v>2.5</v>
      </c>
      <c r="AB2493" t="n">
        <v>9.5</v>
      </c>
    </row>
    <row r="2494">
      <c r="A2494" t="inlineStr">
        <is>
          <t>2026-09-24 19:45:54</t>
        </is>
      </c>
      <c r="B2494" t="inlineStr">
        <is>
          <t>MLLB_000_y1.0.3</t>
        </is>
      </c>
      <c r="C2494" t="inlineStr">
        <is>
          <t>WHITE</t>
        </is>
      </c>
      <c r="D2494" t="inlineStr">
        <is>
          <t>v4_white_MLLB_000_y103_0924</t>
        </is>
      </c>
      <c r="E2494" t="n">
        <v>2.6</v>
      </c>
      <c r="F2494" t="n">
        <v>2.608</v>
      </c>
      <c r="G2494" t="n">
        <v>8</v>
      </c>
      <c r="H2494" t="n">
        <v>60</v>
      </c>
      <c r="I2494" t="n">
        <v>44</v>
      </c>
      <c r="J2494" t="inlineStr">
        <is>
          <t>kaba</t>
        </is>
      </c>
      <c r="K2494" t="b">
        <v>1</v>
      </c>
      <c r="M2494" t="n">
        <v>94</v>
      </c>
      <c r="N2494" t="n">
        <v>32</v>
      </c>
      <c r="O2494" t="n">
        <v>74</v>
      </c>
      <c r="P2494" t="n">
        <v>908</v>
      </c>
      <c r="Q2494" t="n">
        <v>1002</v>
      </c>
      <c r="R2494" t="n">
        <v>1.076</v>
      </c>
      <c r="S2494" t="n">
        <v>15.21</v>
      </c>
      <c r="T2494" t="n">
        <v>14.137</v>
      </c>
      <c r="U2494" t="n">
        <v>0.7781</v>
      </c>
      <c r="V2494" t="b">
        <v>1</v>
      </c>
      <c r="X2494" t="b">
        <v>0</v>
      </c>
      <c r="Y2494" t="inlineStr">
        <is>
          <t>ON</t>
        </is>
      </c>
      <c r="Z2494" t="n">
        <v>935</v>
      </c>
      <c r="AA2494" t="n">
        <v>2.5</v>
      </c>
      <c r="AB2494" t="n">
        <v>9.5</v>
      </c>
    </row>
    <row r="2495">
      <c r="A2495" t="inlineStr">
        <is>
          <t>2026-09-24 19:46:10</t>
        </is>
      </c>
      <c r="B2495" t="inlineStr">
        <is>
          <t>MLLB_000_y1.0.3</t>
        </is>
      </c>
      <c r="C2495" t="inlineStr">
        <is>
          <t>WHITE</t>
        </is>
      </c>
      <c r="D2495" t="inlineStr">
        <is>
          <t>v4_white_MLLB_000_y103_0924</t>
        </is>
      </c>
      <c r="E2495" t="n">
        <v>2.6</v>
      </c>
      <c r="F2495" t="n">
        <v>2.608</v>
      </c>
      <c r="G2495" t="n">
        <v>8</v>
      </c>
      <c r="H2495" t="n">
        <v>60</v>
      </c>
      <c r="I2495" t="n">
        <v>48</v>
      </c>
      <c r="J2495" t="inlineStr">
        <is>
          <t>kaba</t>
        </is>
      </c>
      <c r="K2495" t="b">
        <v>1</v>
      </c>
      <c r="M2495" t="n">
        <v>60</v>
      </c>
      <c r="N2495" t="n">
        <v>32</v>
      </c>
      <c r="O2495" t="n">
        <v>38</v>
      </c>
      <c r="P2495" t="n">
        <v>942</v>
      </c>
      <c r="Q2495" t="n">
        <v>1002</v>
      </c>
      <c r="R2495" t="n">
        <v>1.077</v>
      </c>
      <c r="S2495" t="n">
        <v>15.234</v>
      </c>
      <c r="T2495" t="n">
        <v>14.144</v>
      </c>
      <c r="U2495" t="n">
        <v>0.7781</v>
      </c>
      <c r="V2495" t="b">
        <v>1</v>
      </c>
      <c r="X2495" t="b">
        <v>1</v>
      </c>
      <c r="Z2495" t="n">
        <v>935</v>
      </c>
      <c r="AA2495" t="n">
        <v>2.5</v>
      </c>
      <c r="AB2495" t="n">
        <v>9.5</v>
      </c>
    </row>
    <row r="2496">
      <c r="A2496" t="inlineStr">
        <is>
          <t>2026-09-24 19:46:26</t>
        </is>
      </c>
      <c r="B2496" t="inlineStr">
        <is>
          <t>MLLB_000_y1.0.3</t>
        </is>
      </c>
      <c r="C2496" t="inlineStr">
        <is>
          <t>WHITE</t>
        </is>
      </c>
      <c r="D2496" t="inlineStr">
        <is>
          <t>v4_white_MLLB_000_y103_0924</t>
        </is>
      </c>
      <c r="E2496" t="n">
        <v>2.6</v>
      </c>
      <c r="F2496" t="n">
        <v>2.608</v>
      </c>
      <c r="G2496" t="n">
        <v>8</v>
      </c>
      <c r="H2496" t="n">
        <v>60</v>
      </c>
      <c r="I2496" t="n">
        <v>52</v>
      </c>
      <c r="J2496" t="inlineStr">
        <is>
          <t>kaba</t>
        </is>
      </c>
      <c r="K2496" t="b">
        <v>1</v>
      </c>
      <c r="M2496" t="n">
        <v>58</v>
      </c>
      <c r="N2496" t="n">
        <v>28</v>
      </c>
      <c r="O2496" t="n">
        <v>38</v>
      </c>
      <c r="P2496" t="n">
        <v>944</v>
      </c>
      <c r="Q2496" t="n">
        <v>1002</v>
      </c>
      <c r="R2496" t="n">
        <v>2.803</v>
      </c>
      <c r="S2496" t="n">
        <v>39.77</v>
      </c>
      <c r="T2496" t="n">
        <v>14.189</v>
      </c>
      <c r="U2496" t="n">
        <v>0.7778</v>
      </c>
      <c r="V2496" t="b">
        <v>1</v>
      </c>
      <c r="X2496" t="b">
        <v>0</v>
      </c>
      <c r="Y2496" t="inlineStr">
        <is>
          <t>FLAS</t>
        </is>
      </c>
      <c r="Z2496" t="n">
        <v>935</v>
      </c>
      <c r="AA2496" t="n">
        <v>2.5</v>
      </c>
      <c r="AB2496" t="n">
        <v>9.5</v>
      </c>
    </row>
    <row r="2497">
      <c r="A2497" t="inlineStr">
        <is>
          <t>2026-09-24 19:46:42</t>
        </is>
      </c>
      <c r="B2497" t="inlineStr">
        <is>
          <t>MLLB_000_y1.0.3</t>
        </is>
      </c>
      <c r="C2497" t="inlineStr">
        <is>
          <t>WHITE</t>
        </is>
      </c>
      <c r="D2497" t="inlineStr">
        <is>
          <t>v4_white_MLLB_000_y103_0924</t>
        </is>
      </c>
      <c r="E2497" t="n">
        <v>2.6</v>
      </c>
      <c r="F2497" t="n">
        <v>2.608</v>
      </c>
      <c r="G2497" t="n">
        <v>8</v>
      </c>
      <c r="H2497" t="n">
        <v>60</v>
      </c>
      <c r="I2497" t="n">
        <v>56</v>
      </c>
      <c r="J2497" t="inlineStr">
        <is>
          <t>kaba</t>
        </is>
      </c>
      <c r="K2497" t="b">
        <v>1</v>
      </c>
      <c r="M2497" t="n">
        <v>58</v>
      </c>
      <c r="N2497" t="n">
        <v>28</v>
      </c>
      <c r="O2497" t="n">
        <v>38</v>
      </c>
      <c r="P2497" t="n">
        <v>944</v>
      </c>
      <c r="Q2497" t="n">
        <v>1002</v>
      </c>
      <c r="R2497" t="n">
        <v>6.757</v>
      </c>
      <c r="S2497" t="n">
        <v>95.732</v>
      </c>
      <c r="T2497" t="n">
        <v>14.167</v>
      </c>
      <c r="U2497" t="n">
        <v>0.7774</v>
      </c>
      <c r="V2497" t="b">
        <v>1</v>
      </c>
      <c r="X2497" t="b">
        <v>0</v>
      </c>
      <c r="Y2497" t="inlineStr">
        <is>
          <t>FLAS</t>
        </is>
      </c>
      <c r="Z2497" t="n">
        <v>935</v>
      </c>
      <c r="AA2497" t="n">
        <v>2.5</v>
      </c>
      <c r="AB2497" t="n">
        <v>9.5</v>
      </c>
    </row>
    <row r="2498">
      <c r="A2498" t="inlineStr">
        <is>
          <t>2026-09-24 19:46:58</t>
        </is>
      </c>
      <c r="B2498" t="inlineStr">
        <is>
          <t>MLLB_000_y1.0.3</t>
        </is>
      </c>
      <c r="C2498" t="inlineStr">
        <is>
          <t>WHITE</t>
        </is>
      </c>
      <c r="D2498" t="inlineStr">
        <is>
          <t>v4_white_MLLB_000_y103_0924</t>
        </is>
      </c>
      <c r="E2498" t="n">
        <v>2.6</v>
      </c>
      <c r="F2498" t="n">
        <v>2.608</v>
      </c>
      <c r="G2498" t="n">
        <v>8</v>
      </c>
      <c r="H2498" t="n">
        <v>60</v>
      </c>
      <c r="I2498" t="n">
        <v>45</v>
      </c>
      <c r="J2498" t="inlineStr">
        <is>
          <t>ince</t>
        </is>
      </c>
      <c r="K2498" t="b">
        <v>1</v>
      </c>
      <c r="M2498" t="n">
        <v>86</v>
      </c>
      <c r="N2498" t="n">
        <v>32</v>
      </c>
      <c r="O2498" t="n">
        <v>66</v>
      </c>
      <c r="P2498" t="n">
        <v>916</v>
      </c>
      <c r="Q2498" t="n">
        <v>1002</v>
      </c>
      <c r="R2498" t="n">
        <v>1.078</v>
      </c>
      <c r="S2498" t="n">
        <v>15.234</v>
      </c>
      <c r="T2498" t="n">
        <v>14.129</v>
      </c>
      <c r="U2498" t="n">
        <v>0.7779</v>
      </c>
      <c r="V2498" t="b">
        <v>1</v>
      </c>
      <c r="X2498" t="b">
        <v>0</v>
      </c>
      <c r="Y2498" t="inlineStr">
        <is>
          <t>ON</t>
        </is>
      </c>
      <c r="Z2498" t="n">
        <v>935</v>
      </c>
      <c r="AA2498" t="n">
        <v>2.5</v>
      </c>
      <c r="AB2498" t="n">
        <v>9.5</v>
      </c>
    </row>
    <row r="2499">
      <c r="A2499" t="inlineStr">
        <is>
          <t>2026-09-24 19:47:14</t>
        </is>
      </c>
      <c r="B2499" t="inlineStr">
        <is>
          <t>MLLB_000_y1.0.3</t>
        </is>
      </c>
      <c r="C2499" t="inlineStr">
        <is>
          <t>WHITE</t>
        </is>
      </c>
      <c r="D2499" t="inlineStr">
        <is>
          <t>v4_white_MLLB_000_y103_0924</t>
        </is>
      </c>
      <c r="E2499" t="n">
        <v>2.6</v>
      </c>
      <c r="F2499" t="n">
        <v>2.608</v>
      </c>
      <c r="G2499" t="n">
        <v>8</v>
      </c>
      <c r="H2499" t="n">
        <v>60</v>
      </c>
      <c r="I2499" t="n">
        <v>46</v>
      </c>
      <c r="J2499" t="inlineStr">
        <is>
          <t>ince</t>
        </is>
      </c>
      <c r="K2499" t="b">
        <v>1</v>
      </c>
      <c r="M2499" t="n">
        <v>78</v>
      </c>
      <c r="N2499" t="n">
        <v>34</v>
      </c>
      <c r="O2499" t="n">
        <v>56</v>
      </c>
      <c r="P2499" t="n">
        <v>924</v>
      </c>
      <c r="Q2499" t="n">
        <v>1002</v>
      </c>
      <c r="R2499" t="n">
        <v>1.075</v>
      </c>
      <c r="S2499" t="n">
        <v>15.234</v>
      </c>
      <c r="T2499" t="n">
        <v>14.167</v>
      </c>
      <c r="U2499" t="n">
        <v>0.7781</v>
      </c>
      <c r="V2499" t="b">
        <v>1</v>
      </c>
      <c r="X2499" t="b">
        <v>0</v>
      </c>
      <c r="Y2499" t="inlineStr">
        <is>
          <t>ON</t>
        </is>
      </c>
      <c r="Z2499" t="n">
        <v>935</v>
      </c>
      <c r="AA2499" t="n">
        <v>2.5</v>
      </c>
      <c r="AB2499" t="n">
        <v>9.5</v>
      </c>
    </row>
    <row r="2500">
      <c r="A2500" t="inlineStr">
        <is>
          <t>2026-09-24 19:47:30</t>
        </is>
      </c>
      <c r="B2500" t="inlineStr">
        <is>
          <t>MLLB_000_y1.0.3</t>
        </is>
      </c>
      <c r="C2500" t="inlineStr">
        <is>
          <t>WHITE</t>
        </is>
      </c>
      <c r="D2500" t="inlineStr">
        <is>
          <t>v4_white_MLLB_000_y103_0924</t>
        </is>
      </c>
      <c r="E2500" t="n">
        <v>2.6</v>
      </c>
      <c r="F2500" t="n">
        <v>2.608</v>
      </c>
      <c r="G2500" t="n">
        <v>8</v>
      </c>
      <c r="H2500" t="n">
        <v>60</v>
      </c>
      <c r="I2500" t="n">
        <v>47</v>
      </c>
      <c r="J2500" t="inlineStr">
        <is>
          <t>ince</t>
        </is>
      </c>
      <c r="K2500" t="b">
        <v>1</v>
      </c>
      <c r="M2500" t="n">
        <v>68</v>
      </c>
      <c r="N2500" t="n">
        <v>38</v>
      </c>
      <c r="O2500" t="n">
        <v>46</v>
      </c>
      <c r="P2500" t="n">
        <v>934</v>
      </c>
      <c r="Q2500" t="n">
        <v>1002</v>
      </c>
      <c r="R2500" t="n">
        <v>1.077</v>
      </c>
      <c r="S2500" t="n">
        <v>15.234</v>
      </c>
      <c r="T2500" t="n">
        <v>14.144</v>
      </c>
      <c r="U2500" t="n">
        <v>0.7782</v>
      </c>
      <c r="V2500" t="b">
        <v>1</v>
      </c>
      <c r="X2500" t="b">
        <v>0</v>
      </c>
      <c r="Y2500" t="inlineStr">
        <is>
          <t>ON</t>
        </is>
      </c>
      <c r="Z2500" t="n">
        <v>935</v>
      </c>
      <c r="AA2500" t="n">
        <v>2.5</v>
      </c>
      <c r="AB2500" t="n">
        <v>9.5</v>
      </c>
    </row>
    <row r="2501">
      <c r="A2501" t="inlineStr">
        <is>
          <t>2026-09-24 19:47:46</t>
        </is>
      </c>
      <c r="B2501" t="inlineStr">
        <is>
          <t>MLLB_000_y1.0.3</t>
        </is>
      </c>
      <c r="C2501" t="inlineStr">
        <is>
          <t>WHITE</t>
        </is>
      </c>
      <c r="D2501" t="inlineStr">
        <is>
          <t>v4_white_MLLB_000_y103_0924</t>
        </is>
      </c>
      <c r="E2501" t="n">
        <v>2.6</v>
      </c>
      <c r="F2501" t="n">
        <v>2.608</v>
      </c>
      <c r="G2501" t="n">
        <v>8</v>
      </c>
      <c r="H2501" t="n">
        <v>60</v>
      </c>
      <c r="I2501" t="n">
        <v>49</v>
      </c>
      <c r="J2501" t="inlineStr">
        <is>
          <t>ince</t>
        </is>
      </c>
      <c r="K2501" t="b">
        <v>1</v>
      </c>
      <c r="M2501" t="n">
        <v>58</v>
      </c>
      <c r="N2501" t="n">
        <v>28</v>
      </c>
      <c r="O2501" t="n">
        <v>38</v>
      </c>
      <c r="P2501" t="n">
        <v>944</v>
      </c>
      <c r="Q2501" t="n">
        <v>1002</v>
      </c>
      <c r="R2501" t="n">
        <v>1.077</v>
      </c>
      <c r="S2501" t="n">
        <v>15.234</v>
      </c>
      <c r="T2501" t="n">
        <v>14.148</v>
      </c>
      <c r="U2501" t="n">
        <v>0.7782</v>
      </c>
      <c r="V2501" t="b">
        <v>1</v>
      </c>
      <c r="X2501" t="b">
        <v>1</v>
      </c>
      <c r="Z2501" t="n">
        <v>935</v>
      </c>
      <c r="AA2501" t="n">
        <v>2.5</v>
      </c>
      <c r="AB2501" t="n">
        <v>9.5</v>
      </c>
    </row>
    <row r="2502">
      <c r="A2502" t="inlineStr">
        <is>
          <t>2026-09-24 19:48:02</t>
        </is>
      </c>
      <c r="B2502" t="inlineStr">
        <is>
          <t>MLLB_000_y1.0.3</t>
        </is>
      </c>
      <c r="C2502" t="inlineStr">
        <is>
          <t>WHITE</t>
        </is>
      </c>
      <c r="D2502" t="inlineStr">
        <is>
          <t>v4_white_MLLB_000_y103_0924</t>
        </is>
      </c>
      <c r="E2502" t="n">
        <v>2.6</v>
      </c>
      <c r="F2502" t="n">
        <v>2.608</v>
      </c>
      <c r="G2502" t="n">
        <v>8</v>
      </c>
      <c r="H2502" t="n">
        <v>60</v>
      </c>
      <c r="I2502" t="n">
        <v>50</v>
      </c>
      <c r="J2502" t="inlineStr">
        <is>
          <t>ince</t>
        </is>
      </c>
      <c r="K2502" t="b">
        <v>1</v>
      </c>
      <c r="M2502" t="n">
        <v>58</v>
      </c>
      <c r="N2502" t="n">
        <v>28</v>
      </c>
      <c r="O2502" t="n">
        <v>38</v>
      </c>
      <c r="P2502" t="n">
        <v>944</v>
      </c>
      <c r="Q2502" t="n">
        <v>1002</v>
      </c>
      <c r="R2502" t="n">
        <v>1.469</v>
      </c>
      <c r="S2502" t="n">
        <v>20.749</v>
      </c>
      <c r="T2502" t="n">
        <v>14.124</v>
      </c>
      <c r="U2502" t="n">
        <v>0.7781</v>
      </c>
      <c r="V2502" t="b">
        <v>1</v>
      </c>
      <c r="X2502" t="b">
        <v>1</v>
      </c>
      <c r="Z2502" t="n">
        <v>935</v>
      </c>
      <c r="AA2502" t="n">
        <v>2.5</v>
      </c>
      <c r="AB2502" t="n">
        <v>9.5</v>
      </c>
    </row>
    <row r="2503">
      <c r="A2503" t="inlineStr">
        <is>
          <t>2026-09-24 19:48:18</t>
        </is>
      </c>
      <c r="B2503" t="inlineStr">
        <is>
          <t>MLLB_000_y1.0.3</t>
        </is>
      </c>
      <c r="C2503" t="inlineStr">
        <is>
          <t>WHITE</t>
        </is>
      </c>
      <c r="D2503" t="inlineStr">
        <is>
          <t>v4_white_MLLB_000_y103_0924</t>
        </is>
      </c>
      <c r="E2503" t="n">
        <v>2.6</v>
      </c>
      <c r="F2503" t="n">
        <v>2.608</v>
      </c>
      <c r="G2503" t="n">
        <v>8</v>
      </c>
      <c r="H2503" t="n">
        <v>60</v>
      </c>
      <c r="I2503" t="n">
        <v>51</v>
      </c>
      <c r="J2503" t="inlineStr">
        <is>
          <t>ince</t>
        </is>
      </c>
      <c r="K2503" t="b">
        <v>1</v>
      </c>
      <c r="M2503" t="n">
        <v>58</v>
      </c>
      <c r="N2503" t="n">
        <v>28</v>
      </c>
      <c r="O2503" t="n">
        <v>38</v>
      </c>
      <c r="P2503" t="n">
        <v>944</v>
      </c>
      <c r="Q2503" t="n">
        <v>1002</v>
      </c>
      <c r="R2503" t="n">
        <v>2.123</v>
      </c>
      <c r="S2503" t="n">
        <v>30.009</v>
      </c>
      <c r="T2503" t="n">
        <v>14.134</v>
      </c>
      <c r="U2503" t="n">
        <v>0.7778</v>
      </c>
      <c r="V2503" t="b">
        <v>1</v>
      </c>
      <c r="X2503" t="b">
        <v>1</v>
      </c>
      <c r="Z2503" t="n">
        <v>935</v>
      </c>
      <c r="AA2503" t="n">
        <v>2.5</v>
      </c>
      <c r="AB2503" t="n">
        <v>9.5</v>
      </c>
    </row>
    <row r="2504">
      <c r="A2504" t="inlineStr">
        <is>
          <t>2026-09-24 19:48:18</t>
        </is>
      </c>
      <c r="B2504" t="inlineStr">
        <is>
          <t>MLLB_000_y1.0.3</t>
        </is>
      </c>
      <c r="C2504" t="inlineStr">
        <is>
          <t>WHITE</t>
        </is>
      </c>
      <c r="D2504" t="inlineStr">
        <is>
          <t>v4_white_MLLB_000_y103_0924</t>
        </is>
      </c>
      <c r="E2504" t="n">
        <v>2.6</v>
      </c>
      <c r="F2504" t="n">
        <v>2.608</v>
      </c>
      <c r="G2504" t="n">
        <v>8</v>
      </c>
      <c r="H2504" t="n">
        <v>60</v>
      </c>
      <c r="J2504" t="inlineStr">
        <is>
          <t>bitti</t>
        </is>
      </c>
      <c r="K2504" t="b">
        <v>0</v>
      </c>
      <c r="Z2504" t="n">
        <v>935</v>
      </c>
      <c r="AA2504" t="n">
        <v>2.5</v>
      </c>
      <c r="AB2504" t="n">
        <v>9.5</v>
      </c>
    </row>
    <row r="2505">
      <c r="A2505" t="inlineStr">
        <is>
          <t>2026-09-24 19:48:40</t>
        </is>
      </c>
      <c r="B2505" t="inlineStr">
        <is>
          <t>MLLB_000_y1.0.3</t>
        </is>
      </c>
      <c r="C2505" t="inlineStr">
        <is>
          <t>WHITE</t>
        </is>
      </c>
      <c r="D2505" t="inlineStr">
        <is>
          <t>v4_white_MLLB_000_y103_0924</t>
        </is>
      </c>
      <c r="E2505" t="n">
        <v>2.6</v>
      </c>
      <c r="F2505" t="n">
        <v>2.608</v>
      </c>
      <c r="G2505" t="n">
        <v>10</v>
      </c>
      <c r="H2505" t="n">
        <v>100</v>
      </c>
      <c r="I2505" t="n">
        <v>12</v>
      </c>
      <c r="J2505" t="inlineStr">
        <is>
          <t>kaba</t>
        </is>
      </c>
      <c r="K2505" t="b">
        <v>1</v>
      </c>
      <c r="M2505" t="n">
        <v>236</v>
      </c>
      <c r="N2505" t="n">
        <v>32</v>
      </c>
      <c r="O2505" t="n">
        <v>214</v>
      </c>
      <c r="P2505" t="n">
        <v>766</v>
      </c>
      <c r="Q2505" t="n">
        <v>1002</v>
      </c>
      <c r="R2505" t="n">
        <v>1.08</v>
      </c>
      <c r="S2505" t="n">
        <v>20.172</v>
      </c>
      <c r="T2505" t="n">
        <v>18.676</v>
      </c>
      <c r="U2505" t="n">
        <v>0.7779</v>
      </c>
      <c r="V2505" t="b">
        <v>1</v>
      </c>
      <c r="X2505" t="b">
        <v>0</v>
      </c>
      <c r="Y2505" t="inlineStr">
        <is>
          <t>ON</t>
        </is>
      </c>
      <c r="Z2505" t="n">
        <v>935</v>
      </c>
      <c r="AA2505" t="n">
        <v>2.5</v>
      </c>
      <c r="AB2505" t="n">
        <v>9.5</v>
      </c>
    </row>
    <row r="2506">
      <c r="A2506" t="inlineStr">
        <is>
          <t>2026-09-24 19:48:56</t>
        </is>
      </c>
      <c r="B2506" t="inlineStr">
        <is>
          <t>MLLB_000_y1.0.3</t>
        </is>
      </c>
      <c r="C2506" t="inlineStr">
        <is>
          <t>WHITE</t>
        </is>
      </c>
      <c r="D2506" t="inlineStr">
        <is>
          <t>v4_white_MLLB_000_y103_0924</t>
        </is>
      </c>
      <c r="E2506" t="n">
        <v>2.6</v>
      </c>
      <c r="F2506" t="n">
        <v>2.608</v>
      </c>
      <c r="G2506" t="n">
        <v>10</v>
      </c>
      <c r="H2506" t="n">
        <v>100</v>
      </c>
      <c r="I2506" t="n">
        <v>16</v>
      </c>
      <c r="J2506" t="inlineStr">
        <is>
          <t>kaba</t>
        </is>
      </c>
      <c r="K2506" t="b">
        <v>1</v>
      </c>
      <c r="M2506" t="n">
        <v>192</v>
      </c>
      <c r="N2506" t="n">
        <v>34</v>
      </c>
      <c r="O2506" t="n">
        <v>174</v>
      </c>
      <c r="P2506" t="n">
        <v>810</v>
      </c>
      <c r="Q2506" t="n">
        <v>1002</v>
      </c>
      <c r="R2506" t="n">
        <v>1.076</v>
      </c>
      <c r="S2506" t="n">
        <v>20.172</v>
      </c>
      <c r="T2506" t="n">
        <v>18.741</v>
      </c>
      <c r="U2506" t="n">
        <v>0.7781</v>
      </c>
      <c r="V2506" t="b">
        <v>1</v>
      </c>
      <c r="X2506" t="b">
        <v>0</v>
      </c>
      <c r="Y2506" t="inlineStr">
        <is>
          <t>ON</t>
        </is>
      </c>
      <c r="Z2506" t="n">
        <v>935</v>
      </c>
      <c r="AA2506" t="n">
        <v>2.5</v>
      </c>
      <c r="AB2506" t="n">
        <v>9.5</v>
      </c>
    </row>
    <row r="2507">
      <c r="A2507" t="inlineStr">
        <is>
          <t>2026-09-24 19:49:12</t>
        </is>
      </c>
      <c r="B2507" t="inlineStr">
        <is>
          <t>MLLB_000_y1.0.3</t>
        </is>
      </c>
      <c r="C2507" t="inlineStr">
        <is>
          <t>WHITE</t>
        </is>
      </c>
      <c r="D2507" t="inlineStr">
        <is>
          <t>v4_white_MLLB_000_y103_0924</t>
        </is>
      </c>
      <c r="E2507" t="n">
        <v>2.6</v>
      </c>
      <c r="F2507" t="n">
        <v>2.608</v>
      </c>
      <c r="G2507" t="n">
        <v>10</v>
      </c>
      <c r="H2507" t="n">
        <v>100</v>
      </c>
      <c r="I2507" t="n">
        <v>20</v>
      </c>
      <c r="J2507" t="inlineStr">
        <is>
          <t>kaba</t>
        </is>
      </c>
      <c r="K2507" t="b">
        <v>1</v>
      </c>
      <c r="M2507" t="n">
        <v>150</v>
      </c>
      <c r="N2507" t="n">
        <v>32</v>
      </c>
      <c r="O2507" t="n">
        <v>130</v>
      </c>
      <c r="P2507" t="n">
        <v>852</v>
      </c>
      <c r="Q2507" t="n">
        <v>1002</v>
      </c>
      <c r="R2507" t="n">
        <v>1.074</v>
      </c>
      <c r="S2507" t="n">
        <v>20.172</v>
      </c>
      <c r="T2507" t="n">
        <v>18.774</v>
      </c>
      <c r="U2507" t="n">
        <v>0.7778</v>
      </c>
      <c r="V2507" t="b">
        <v>1</v>
      </c>
      <c r="X2507" t="b">
        <v>0</v>
      </c>
      <c r="Y2507" t="inlineStr">
        <is>
          <t>ON</t>
        </is>
      </c>
      <c r="Z2507" t="n">
        <v>935</v>
      </c>
      <c r="AA2507" t="n">
        <v>2.5</v>
      </c>
      <c r="AB2507" t="n">
        <v>9.5</v>
      </c>
    </row>
    <row r="2508">
      <c r="A2508" t="inlineStr">
        <is>
          <t>2026-09-24 19:49:28</t>
        </is>
      </c>
      <c r="B2508" t="inlineStr">
        <is>
          <t>MLLB_000_y1.0.3</t>
        </is>
      </c>
      <c r="C2508" t="inlineStr">
        <is>
          <t>WHITE</t>
        </is>
      </c>
      <c r="D2508" t="inlineStr">
        <is>
          <t>v4_white_MLLB_000_y103_0924</t>
        </is>
      </c>
      <c r="E2508" t="n">
        <v>2.6</v>
      </c>
      <c r="F2508" t="n">
        <v>2.608</v>
      </c>
      <c r="G2508" t="n">
        <v>10</v>
      </c>
      <c r="H2508" t="n">
        <v>100</v>
      </c>
      <c r="I2508" t="n">
        <v>24</v>
      </c>
      <c r="J2508" t="inlineStr">
        <is>
          <t>kaba</t>
        </is>
      </c>
      <c r="K2508" t="b">
        <v>1</v>
      </c>
      <c r="M2508" t="n">
        <v>108</v>
      </c>
      <c r="N2508" t="n">
        <v>30</v>
      </c>
      <c r="O2508" t="n">
        <v>88</v>
      </c>
      <c r="P2508" t="n">
        <v>894</v>
      </c>
      <c r="Q2508" t="n">
        <v>1002</v>
      </c>
      <c r="R2508" t="n">
        <v>1.074</v>
      </c>
      <c r="S2508" t="n">
        <v>20.193</v>
      </c>
      <c r="T2508" t="n">
        <v>18.807</v>
      </c>
      <c r="U2508" t="n">
        <v>0.7779</v>
      </c>
      <c r="V2508" t="b">
        <v>1</v>
      </c>
      <c r="X2508" t="b">
        <v>0</v>
      </c>
      <c r="Y2508" t="inlineStr">
        <is>
          <t>ON</t>
        </is>
      </c>
      <c r="Z2508" t="n">
        <v>935</v>
      </c>
      <c r="AA2508" t="n">
        <v>2.5</v>
      </c>
      <c r="AB2508" t="n">
        <v>9.5</v>
      </c>
    </row>
    <row r="2509">
      <c r="A2509" t="inlineStr">
        <is>
          <t>2026-09-24 19:49:44</t>
        </is>
      </c>
      <c r="B2509" t="inlineStr">
        <is>
          <t>MLLB_000_y1.0.3</t>
        </is>
      </c>
      <c r="C2509" t="inlineStr">
        <is>
          <t>WHITE</t>
        </is>
      </c>
      <c r="D2509" t="inlineStr">
        <is>
          <t>v4_white_MLLB_000_y103_0924</t>
        </is>
      </c>
      <c r="E2509" t="n">
        <v>2.6</v>
      </c>
      <c r="F2509" t="n">
        <v>2.608</v>
      </c>
      <c r="G2509" t="n">
        <v>10</v>
      </c>
      <c r="H2509" t="n">
        <v>100</v>
      </c>
      <c r="I2509" t="n">
        <v>28</v>
      </c>
      <c r="J2509" t="inlineStr">
        <is>
          <t>kaba</t>
        </is>
      </c>
      <c r="K2509" t="b">
        <v>1</v>
      </c>
      <c r="M2509" t="n">
        <v>64</v>
      </c>
      <c r="N2509" t="n">
        <v>30</v>
      </c>
      <c r="O2509" t="n">
        <v>44</v>
      </c>
      <c r="P2509" t="n">
        <v>938</v>
      </c>
      <c r="Q2509" t="n">
        <v>1002</v>
      </c>
      <c r="R2509" t="n">
        <v>1.073</v>
      </c>
      <c r="S2509" t="n">
        <v>20.22</v>
      </c>
      <c r="T2509" t="n">
        <v>18.837</v>
      </c>
      <c r="U2509" t="n">
        <v>0.7779</v>
      </c>
      <c r="V2509" t="b">
        <v>1</v>
      </c>
      <c r="X2509" t="b">
        <v>1</v>
      </c>
      <c r="Z2509" t="n">
        <v>935</v>
      </c>
      <c r="AA2509" t="n">
        <v>2.5</v>
      </c>
      <c r="AB2509" t="n">
        <v>9.5</v>
      </c>
    </row>
    <row r="2510">
      <c r="A2510" t="inlineStr">
        <is>
          <t>2026-09-24 19:50:00</t>
        </is>
      </c>
      <c r="B2510" t="inlineStr">
        <is>
          <t>MLLB_000_y1.0.3</t>
        </is>
      </c>
      <c r="C2510" t="inlineStr">
        <is>
          <t>WHITE</t>
        </is>
      </c>
      <c r="D2510" t="inlineStr">
        <is>
          <t>v4_white_MLLB_000_y103_0924</t>
        </is>
      </c>
      <c r="E2510" t="n">
        <v>2.6</v>
      </c>
      <c r="F2510" t="n">
        <v>2.608</v>
      </c>
      <c r="G2510" t="n">
        <v>10</v>
      </c>
      <c r="H2510" t="n">
        <v>100</v>
      </c>
      <c r="I2510" t="n">
        <v>32</v>
      </c>
      <c r="J2510" t="inlineStr">
        <is>
          <t>kaba</t>
        </is>
      </c>
      <c r="K2510" t="b">
        <v>1</v>
      </c>
      <c r="M2510" t="n">
        <v>38</v>
      </c>
      <c r="N2510" t="n">
        <v>28</v>
      </c>
      <c r="O2510" t="n">
        <v>18</v>
      </c>
      <c r="P2510" t="n">
        <v>964</v>
      </c>
      <c r="Q2510" t="n">
        <v>1002</v>
      </c>
      <c r="R2510" t="n">
        <v>1.722</v>
      </c>
      <c r="S2510" t="n">
        <v>32.482</v>
      </c>
      <c r="T2510" t="n">
        <v>18.868</v>
      </c>
      <c r="U2510" t="n">
        <v>0.7781</v>
      </c>
      <c r="V2510" t="b">
        <v>1</v>
      </c>
      <c r="X2510" t="b">
        <v>1</v>
      </c>
      <c r="Z2510" t="n">
        <v>935</v>
      </c>
      <c r="AA2510" t="n">
        <v>2.5</v>
      </c>
      <c r="AB2510" t="n">
        <v>9.5</v>
      </c>
    </row>
    <row r="2511">
      <c r="A2511" t="inlineStr">
        <is>
          <t>2026-09-24 19:50:16</t>
        </is>
      </c>
      <c r="B2511" t="inlineStr">
        <is>
          <t>MLLB_000_y1.0.3</t>
        </is>
      </c>
      <c r="C2511" t="inlineStr">
        <is>
          <t>WHITE</t>
        </is>
      </c>
      <c r="D2511" t="inlineStr">
        <is>
          <t>v4_white_MLLB_000_y103_0924</t>
        </is>
      </c>
      <c r="E2511" t="n">
        <v>2.6</v>
      </c>
      <c r="F2511" t="n">
        <v>2.608</v>
      </c>
      <c r="G2511" t="n">
        <v>10</v>
      </c>
      <c r="H2511" t="n">
        <v>100</v>
      </c>
      <c r="I2511" t="n">
        <v>36</v>
      </c>
      <c r="J2511" t="inlineStr">
        <is>
          <t>kaba</t>
        </is>
      </c>
      <c r="K2511" t="b">
        <v>1</v>
      </c>
      <c r="M2511" t="n">
        <v>38</v>
      </c>
      <c r="N2511" t="n">
        <v>28</v>
      </c>
      <c r="O2511" t="n">
        <v>18</v>
      </c>
      <c r="P2511" t="n">
        <v>964</v>
      </c>
      <c r="Q2511" t="n">
        <v>1002</v>
      </c>
      <c r="R2511" t="n">
        <v>6.457</v>
      </c>
      <c r="S2511" t="n">
        <v>121.792</v>
      </c>
      <c r="T2511" t="n">
        <v>18.862</v>
      </c>
      <c r="U2511" t="n">
        <v>0.7778</v>
      </c>
      <c r="V2511" t="b">
        <v>1</v>
      </c>
      <c r="X2511" t="b">
        <v>0</v>
      </c>
      <c r="Y2511" t="inlineStr">
        <is>
          <t>FLAS</t>
        </is>
      </c>
      <c r="Z2511" t="n">
        <v>935</v>
      </c>
      <c r="AA2511" t="n">
        <v>2.5</v>
      </c>
      <c r="AB2511" t="n">
        <v>9.5</v>
      </c>
    </row>
    <row r="2512">
      <c r="A2512" t="inlineStr">
        <is>
          <t>2026-09-24 19:50:32</t>
        </is>
      </c>
      <c r="B2512" t="inlineStr">
        <is>
          <t>MLLB_000_y1.0.3</t>
        </is>
      </c>
      <c r="C2512" t="inlineStr">
        <is>
          <t>WHITE</t>
        </is>
      </c>
      <c r="D2512" t="inlineStr">
        <is>
          <t>v4_white_MLLB_000_y103_0924</t>
        </is>
      </c>
      <c r="E2512" t="n">
        <v>2.6</v>
      </c>
      <c r="F2512" t="n">
        <v>2.608</v>
      </c>
      <c r="G2512" t="n">
        <v>10</v>
      </c>
      <c r="H2512" t="n">
        <v>100</v>
      </c>
      <c r="I2512" t="n">
        <v>25</v>
      </c>
      <c r="J2512" t="inlineStr">
        <is>
          <t>ince</t>
        </is>
      </c>
      <c r="K2512" t="b">
        <v>1</v>
      </c>
      <c r="M2512" t="n">
        <v>96</v>
      </c>
      <c r="N2512" t="n">
        <v>32</v>
      </c>
      <c r="O2512" t="n">
        <v>74</v>
      </c>
      <c r="P2512" t="n">
        <v>906</v>
      </c>
      <c r="Q2512" t="n">
        <v>1002</v>
      </c>
      <c r="R2512" t="n">
        <v>1.072</v>
      </c>
      <c r="S2512" t="n">
        <v>20.172</v>
      </c>
      <c r="T2512" t="n">
        <v>18.82</v>
      </c>
      <c r="U2512" t="n">
        <v>0.778</v>
      </c>
      <c r="V2512" t="b">
        <v>1</v>
      </c>
      <c r="X2512" t="b">
        <v>0</v>
      </c>
      <c r="Y2512" t="inlineStr">
        <is>
          <t>ON</t>
        </is>
      </c>
      <c r="Z2512" t="n">
        <v>935</v>
      </c>
      <c r="AA2512" t="n">
        <v>2.5</v>
      </c>
      <c r="AB2512" t="n">
        <v>9.5</v>
      </c>
    </row>
    <row r="2513">
      <c r="A2513" t="inlineStr">
        <is>
          <t>2026-09-24 19:50:48</t>
        </is>
      </c>
      <c r="B2513" t="inlineStr">
        <is>
          <t>MLLB_000_y1.0.3</t>
        </is>
      </c>
      <c r="C2513" t="inlineStr">
        <is>
          <t>WHITE</t>
        </is>
      </c>
      <c r="D2513" t="inlineStr">
        <is>
          <t>v4_white_MLLB_000_y103_0924</t>
        </is>
      </c>
      <c r="E2513" t="n">
        <v>2.6</v>
      </c>
      <c r="F2513" t="n">
        <v>2.608</v>
      </c>
      <c r="G2513" t="n">
        <v>10</v>
      </c>
      <c r="H2513" t="n">
        <v>100</v>
      </c>
      <c r="I2513" t="n">
        <v>26</v>
      </c>
      <c r="J2513" t="inlineStr">
        <is>
          <t>ince</t>
        </is>
      </c>
      <c r="K2513" t="b">
        <v>1</v>
      </c>
      <c r="M2513" t="n">
        <v>86</v>
      </c>
      <c r="N2513" t="n">
        <v>32</v>
      </c>
      <c r="O2513" t="n">
        <v>66</v>
      </c>
      <c r="P2513" t="n">
        <v>916</v>
      </c>
      <c r="Q2513" t="n">
        <v>1002</v>
      </c>
      <c r="R2513" t="n">
        <v>1.07</v>
      </c>
      <c r="S2513" t="n">
        <v>20.172</v>
      </c>
      <c r="T2513" t="n">
        <v>18.855</v>
      </c>
      <c r="U2513" t="n">
        <v>0.7776999999999999</v>
      </c>
      <c r="V2513" t="b">
        <v>1</v>
      </c>
      <c r="X2513" t="b">
        <v>0</v>
      </c>
      <c r="Y2513" t="inlineStr">
        <is>
          <t>ON</t>
        </is>
      </c>
      <c r="Z2513" t="n">
        <v>935</v>
      </c>
      <c r="AA2513" t="n">
        <v>2.5</v>
      </c>
      <c r="AB2513" t="n">
        <v>9.5</v>
      </c>
    </row>
    <row r="2514">
      <c r="A2514" t="inlineStr">
        <is>
          <t>2026-09-24 19:51:04</t>
        </is>
      </c>
      <c r="B2514" t="inlineStr">
        <is>
          <t>MLLB_000_y1.0.3</t>
        </is>
      </c>
      <c r="C2514" t="inlineStr">
        <is>
          <t>WHITE</t>
        </is>
      </c>
      <c r="D2514" t="inlineStr">
        <is>
          <t>v4_white_MLLB_000_y103_0924</t>
        </is>
      </c>
      <c r="E2514" t="n">
        <v>2.6</v>
      </c>
      <c r="F2514" t="n">
        <v>2.608</v>
      </c>
      <c r="G2514" t="n">
        <v>10</v>
      </c>
      <c r="H2514" t="n">
        <v>100</v>
      </c>
      <c r="I2514" t="n">
        <v>27</v>
      </c>
      <c r="J2514" t="inlineStr">
        <is>
          <t>ince</t>
        </is>
      </c>
      <c r="K2514" t="b">
        <v>1</v>
      </c>
      <c r="M2514" t="n">
        <v>76</v>
      </c>
      <c r="N2514" t="n">
        <v>32</v>
      </c>
      <c r="O2514" t="n">
        <v>54</v>
      </c>
      <c r="P2514" t="n">
        <v>926</v>
      </c>
      <c r="Q2514" t="n">
        <v>1002</v>
      </c>
      <c r="R2514" t="n">
        <v>1.07</v>
      </c>
      <c r="S2514" t="n">
        <v>20.172</v>
      </c>
      <c r="T2514" t="n">
        <v>18.848</v>
      </c>
      <c r="U2514" t="n">
        <v>0.7783</v>
      </c>
      <c r="V2514" t="b">
        <v>1</v>
      </c>
      <c r="X2514" t="b">
        <v>0</v>
      </c>
      <c r="Y2514" t="inlineStr">
        <is>
          <t>ON</t>
        </is>
      </c>
      <c r="Z2514" t="n">
        <v>935</v>
      </c>
      <c r="AA2514" t="n">
        <v>2.5</v>
      </c>
      <c r="AB2514" t="n">
        <v>9.5</v>
      </c>
    </row>
    <row r="2515">
      <c r="A2515" t="inlineStr">
        <is>
          <t>2026-09-24 19:51:04</t>
        </is>
      </c>
      <c r="B2515" t="inlineStr">
        <is>
          <t>MLLB_000_y1.0.3</t>
        </is>
      </c>
      <c r="C2515" t="inlineStr">
        <is>
          <t>WHITE</t>
        </is>
      </c>
      <c r="D2515" t="inlineStr">
        <is>
          <t>v4_white_MLLB_000_y103_0924</t>
        </is>
      </c>
      <c r="E2515" t="n">
        <v>2.6</v>
      </c>
      <c r="F2515" t="n">
        <v>2.608</v>
      </c>
      <c r="G2515" t="n">
        <v>10</v>
      </c>
      <c r="H2515" t="n">
        <v>100</v>
      </c>
      <c r="I2515" t="n">
        <v>29</v>
      </c>
      <c r="J2515" t="inlineStr">
        <is>
          <t>ince</t>
        </is>
      </c>
      <c r="K2515" t="b">
        <v>0</v>
      </c>
      <c r="L2515" t="inlineStr">
        <is>
          <t>iki-OK-arasi-monotonluk</t>
        </is>
      </c>
      <c r="X2515" t="b">
        <v>1</v>
      </c>
      <c r="Z2515" t="n">
        <v>935</v>
      </c>
      <c r="AA2515" t="n">
        <v>2.5</v>
      </c>
      <c r="AB2515" t="n">
        <v>9.5</v>
      </c>
    </row>
    <row r="2516">
      <c r="A2516" t="inlineStr">
        <is>
          <t>2026-09-24 19:51:04</t>
        </is>
      </c>
      <c r="B2516" t="inlineStr">
        <is>
          <t>MLLB_000_y1.0.3</t>
        </is>
      </c>
      <c r="C2516" t="inlineStr">
        <is>
          <t>WHITE</t>
        </is>
      </c>
      <c r="D2516" t="inlineStr">
        <is>
          <t>v4_white_MLLB_000_y103_0924</t>
        </is>
      </c>
      <c r="E2516" t="n">
        <v>2.6</v>
      </c>
      <c r="F2516" t="n">
        <v>2.608</v>
      </c>
      <c r="G2516" t="n">
        <v>10</v>
      </c>
      <c r="H2516" t="n">
        <v>100</v>
      </c>
      <c r="I2516" t="n">
        <v>30</v>
      </c>
      <c r="J2516" t="inlineStr">
        <is>
          <t>ince</t>
        </is>
      </c>
      <c r="K2516" t="b">
        <v>0</v>
      </c>
      <c r="L2516" t="inlineStr">
        <is>
          <t>iki-OK-arasi-monotonluk</t>
        </is>
      </c>
      <c r="X2516" t="b">
        <v>1</v>
      </c>
      <c r="Z2516" t="n">
        <v>935</v>
      </c>
      <c r="AA2516" t="n">
        <v>2.5</v>
      </c>
      <c r="AB2516" t="n">
        <v>9.5</v>
      </c>
    </row>
    <row r="2517">
      <c r="A2517" t="inlineStr">
        <is>
          <t>2026-09-24 19:51:04</t>
        </is>
      </c>
      <c r="B2517" t="inlineStr">
        <is>
          <t>MLLB_000_y1.0.3</t>
        </is>
      </c>
      <c r="C2517" t="inlineStr">
        <is>
          <t>WHITE</t>
        </is>
      </c>
      <c r="D2517" t="inlineStr">
        <is>
          <t>v4_white_MLLB_000_y103_0924</t>
        </is>
      </c>
      <c r="E2517" t="n">
        <v>2.6</v>
      </c>
      <c r="F2517" t="n">
        <v>2.608</v>
      </c>
      <c r="G2517" t="n">
        <v>10</v>
      </c>
      <c r="H2517" t="n">
        <v>100</v>
      </c>
      <c r="I2517" t="n">
        <v>31</v>
      </c>
      <c r="J2517" t="inlineStr">
        <is>
          <t>ince</t>
        </is>
      </c>
      <c r="K2517" t="b">
        <v>0</v>
      </c>
      <c r="L2517" t="inlineStr">
        <is>
          <t>iki-OK-arasi-monotonluk</t>
        </is>
      </c>
      <c r="X2517" t="b">
        <v>1</v>
      </c>
      <c r="Z2517" t="n">
        <v>935</v>
      </c>
      <c r="AA2517" t="n">
        <v>2.5</v>
      </c>
      <c r="AB2517" t="n">
        <v>9.5</v>
      </c>
    </row>
    <row r="2518">
      <c r="A2518" t="inlineStr">
        <is>
          <t>2026-09-24 19:51:20</t>
        </is>
      </c>
      <c r="B2518" t="inlineStr">
        <is>
          <t>MLLB_000_y1.0.3</t>
        </is>
      </c>
      <c r="C2518" t="inlineStr">
        <is>
          <t>WHITE</t>
        </is>
      </c>
      <c r="D2518" t="inlineStr">
        <is>
          <t>v4_white_MLLB_000_y103_0924</t>
        </is>
      </c>
      <c r="E2518" t="n">
        <v>2.6</v>
      </c>
      <c r="F2518" t="n">
        <v>2.608</v>
      </c>
      <c r="G2518" t="n">
        <v>10</v>
      </c>
      <c r="H2518" t="n">
        <v>100</v>
      </c>
      <c r="I2518" t="n">
        <v>33</v>
      </c>
      <c r="J2518" t="inlineStr">
        <is>
          <t>ince</t>
        </is>
      </c>
      <c r="K2518" t="b">
        <v>1</v>
      </c>
      <c r="M2518" t="n">
        <v>38</v>
      </c>
      <c r="N2518" t="n">
        <v>28</v>
      </c>
      <c r="O2518" t="n">
        <v>18</v>
      </c>
      <c r="P2518" t="n">
        <v>964</v>
      </c>
      <c r="Q2518" t="n">
        <v>1002</v>
      </c>
      <c r="R2518" t="n">
        <v>2.597</v>
      </c>
      <c r="S2518" t="n">
        <v>48.967</v>
      </c>
      <c r="T2518" t="n">
        <v>18.856</v>
      </c>
      <c r="U2518" t="n">
        <v>0.7781</v>
      </c>
      <c r="V2518" t="b">
        <v>1</v>
      </c>
      <c r="X2518" t="b">
        <v>0</v>
      </c>
      <c r="Y2518" t="inlineStr">
        <is>
          <t>FLAS</t>
        </is>
      </c>
      <c r="Z2518" t="n">
        <v>935</v>
      </c>
      <c r="AA2518" t="n">
        <v>2.5</v>
      </c>
      <c r="AB2518" t="n">
        <v>9.5</v>
      </c>
    </row>
    <row r="2519">
      <c r="A2519" t="inlineStr">
        <is>
          <t>2026-09-24 19:51:36</t>
        </is>
      </c>
      <c r="B2519" t="inlineStr">
        <is>
          <t>MLLB_000_y1.0.3</t>
        </is>
      </c>
      <c r="C2519" t="inlineStr">
        <is>
          <t>WHITE</t>
        </is>
      </c>
      <c r="D2519" t="inlineStr">
        <is>
          <t>v4_white_MLLB_000_y103_0924</t>
        </is>
      </c>
      <c r="E2519" t="n">
        <v>2.6</v>
      </c>
      <c r="F2519" t="n">
        <v>2.608</v>
      </c>
      <c r="G2519" t="n">
        <v>10</v>
      </c>
      <c r="H2519" t="n">
        <v>100</v>
      </c>
      <c r="I2519" t="n">
        <v>34</v>
      </c>
      <c r="J2519" t="inlineStr">
        <is>
          <t>ince</t>
        </is>
      </c>
      <c r="K2519" t="b">
        <v>1</v>
      </c>
      <c r="M2519" t="n">
        <v>38</v>
      </c>
      <c r="N2519" t="n">
        <v>28</v>
      </c>
      <c r="O2519" t="n">
        <v>18</v>
      </c>
      <c r="P2519" t="n">
        <v>964</v>
      </c>
      <c r="Q2519" t="n">
        <v>1002</v>
      </c>
      <c r="R2519" t="n">
        <v>4.705</v>
      </c>
      <c r="S2519" t="n">
        <v>88.65600000000001</v>
      </c>
      <c r="T2519" t="n">
        <v>18.844</v>
      </c>
      <c r="U2519" t="n">
        <v>0.7779</v>
      </c>
      <c r="V2519" t="b">
        <v>1</v>
      </c>
      <c r="X2519" t="b">
        <v>0</v>
      </c>
      <c r="Y2519" t="inlineStr">
        <is>
          <t>FLAS</t>
        </is>
      </c>
      <c r="Z2519" t="n">
        <v>935</v>
      </c>
      <c r="AA2519" t="n">
        <v>2.5</v>
      </c>
      <c r="AB2519" t="n">
        <v>9.5</v>
      </c>
    </row>
    <row r="2520">
      <c r="A2520" t="inlineStr">
        <is>
          <t>2026-09-24 19:51:52</t>
        </is>
      </c>
      <c r="B2520" t="inlineStr">
        <is>
          <t>MLLB_000_y1.0.3</t>
        </is>
      </c>
      <c r="C2520" t="inlineStr">
        <is>
          <t>WHITE</t>
        </is>
      </c>
      <c r="D2520" t="inlineStr">
        <is>
          <t>v4_white_MLLB_000_y103_0924</t>
        </is>
      </c>
      <c r="E2520" t="n">
        <v>2.6</v>
      </c>
      <c r="F2520" t="n">
        <v>2.608</v>
      </c>
      <c r="G2520" t="n">
        <v>10</v>
      </c>
      <c r="H2520" t="n">
        <v>100</v>
      </c>
      <c r="I2520" t="n">
        <v>35</v>
      </c>
      <c r="J2520" t="inlineStr">
        <is>
          <t>ince</t>
        </is>
      </c>
      <c r="K2520" t="b">
        <v>1</v>
      </c>
      <c r="M2520" t="n">
        <v>38</v>
      </c>
      <c r="N2520" t="n">
        <v>28</v>
      </c>
      <c r="O2520" t="n">
        <v>18</v>
      </c>
      <c r="P2520" t="n">
        <v>964</v>
      </c>
      <c r="Q2520" t="n">
        <v>1002</v>
      </c>
      <c r="R2520" t="n">
        <v>5.657</v>
      </c>
      <c r="S2520" t="n">
        <v>106.707</v>
      </c>
      <c r="T2520" t="n">
        <v>18.864</v>
      </c>
      <c r="U2520" t="n">
        <v>0.7781</v>
      </c>
      <c r="V2520" t="b">
        <v>1</v>
      </c>
      <c r="X2520" t="b">
        <v>0</v>
      </c>
      <c r="Y2520" t="inlineStr">
        <is>
          <t>FLAS</t>
        </is>
      </c>
      <c r="Z2520" t="n">
        <v>935</v>
      </c>
      <c r="AA2520" t="n">
        <v>2.5</v>
      </c>
      <c r="AB2520" t="n">
        <v>9.5</v>
      </c>
    </row>
    <row r="2521">
      <c r="A2521" t="inlineStr">
        <is>
          <t>2026-09-24 19:51:52</t>
        </is>
      </c>
      <c r="B2521" t="inlineStr">
        <is>
          <t>MLLB_000_y1.0.3</t>
        </is>
      </c>
      <c r="C2521" t="inlineStr">
        <is>
          <t>WHITE</t>
        </is>
      </c>
      <c r="D2521" t="inlineStr">
        <is>
          <t>v4_white_MLLB_000_y103_0924</t>
        </is>
      </c>
      <c r="E2521" t="n">
        <v>2.6</v>
      </c>
      <c r="F2521" t="n">
        <v>2.608</v>
      </c>
      <c r="G2521" t="n">
        <v>10</v>
      </c>
      <c r="H2521" t="n">
        <v>100</v>
      </c>
      <c r="J2521" t="inlineStr">
        <is>
          <t>bitti</t>
        </is>
      </c>
      <c r="K2521" t="b">
        <v>0</v>
      </c>
      <c r="Z2521" t="n">
        <v>935</v>
      </c>
      <c r="AA2521" t="n">
        <v>2.5</v>
      </c>
      <c r="AB2521" t="n">
        <v>9.5</v>
      </c>
    </row>
    <row r="2522">
      <c r="A2522" t="inlineStr">
        <is>
          <t>2026-09-24 19:52:08</t>
        </is>
      </c>
      <c r="B2522" t="inlineStr">
        <is>
          <t>MLLB_000_y1.0.3</t>
        </is>
      </c>
      <c r="C2522" t="inlineStr">
        <is>
          <t>WHITE</t>
        </is>
      </c>
      <c r="D2522" t="inlineStr">
        <is>
          <t>v4_white_MLLB_000_y103_0924</t>
        </is>
      </c>
      <c r="E2522" t="n">
        <v>2.6</v>
      </c>
      <c r="F2522" t="n">
        <v>2.608</v>
      </c>
      <c r="G2522" t="n">
        <v>10</v>
      </c>
      <c r="H2522" t="n">
        <v>80</v>
      </c>
      <c r="I2522" t="n">
        <v>12</v>
      </c>
      <c r="J2522" t="inlineStr">
        <is>
          <t>kaba</t>
        </is>
      </c>
      <c r="K2522" t="b">
        <v>1</v>
      </c>
      <c r="M2522" t="n">
        <v>256</v>
      </c>
      <c r="N2522" t="n">
        <v>30</v>
      </c>
      <c r="O2522" t="n">
        <v>236</v>
      </c>
      <c r="P2522" t="n">
        <v>746</v>
      </c>
      <c r="Q2522" t="n">
        <v>1002</v>
      </c>
      <c r="R2522" t="n">
        <v>1.081</v>
      </c>
      <c r="S2522" t="n">
        <v>20.196</v>
      </c>
      <c r="T2522" t="n">
        <v>18.681</v>
      </c>
      <c r="U2522" t="n">
        <v>0.7775</v>
      </c>
      <c r="V2522" t="b">
        <v>1</v>
      </c>
      <c r="X2522" t="b">
        <v>0</v>
      </c>
      <c r="Y2522" t="inlineStr">
        <is>
          <t>ON</t>
        </is>
      </c>
      <c r="Z2522" t="n">
        <v>935</v>
      </c>
      <c r="AA2522" t="n">
        <v>2.5</v>
      </c>
      <c r="AB2522" t="n">
        <v>9.5</v>
      </c>
    </row>
    <row r="2523">
      <c r="A2523" t="inlineStr">
        <is>
          <t>2026-09-24 19:52:24</t>
        </is>
      </c>
      <c r="B2523" t="inlineStr">
        <is>
          <t>MLLB_000_y1.0.3</t>
        </is>
      </c>
      <c r="C2523" t="inlineStr">
        <is>
          <t>WHITE</t>
        </is>
      </c>
      <c r="D2523" t="inlineStr">
        <is>
          <t>v4_white_MLLB_000_y103_0924</t>
        </is>
      </c>
      <c r="E2523" t="n">
        <v>2.6</v>
      </c>
      <c r="F2523" t="n">
        <v>2.608</v>
      </c>
      <c r="G2523" t="n">
        <v>10</v>
      </c>
      <c r="H2523" t="n">
        <v>80</v>
      </c>
      <c r="I2523" t="n">
        <v>16</v>
      </c>
      <c r="J2523" t="inlineStr">
        <is>
          <t>kaba</t>
        </is>
      </c>
      <c r="K2523" t="b">
        <v>1</v>
      </c>
      <c r="M2523" t="n">
        <v>224</v>
      </c>
      <c r="N2523" t="n">
        <v>32</v>
      </c>
      <c r="O2523" t="n">
        <v>202</v>
      </c>
      <c r="P2523" t="n">
        <v>778</v>
      </c>
      <c r="Q2523" t="n">
        <v>1002</v>
      </c>
      <c r="R2523" t="n">
        <v>1.08</v>
      </c>
      <c r="S2523" t="n">
        <v>20.195</v>
      </c>
      <c r="T2523" t="n">
        <v>18.702</v>
      </c>
      <c r="U2523" t="n">
        <v>0.7781</v>
      </c>
      <c r="V2523" t="b">
        <v>1</v>
      </c>
      <c r="X2523" t="b">
        <v>0</v>
      </c>
      <c r="Y2523" t="inlineStr">
        <is>
          <t>ON</t>
        </is>
      </c>
      <c r="Z2523" t="n">
        <v>935</v>
      </c>
      <c r="AA2523" t="n">
        <v>2.5</v>
      </c>
      <c r="AB2523" t="n">
        <v>9.5</v>
      </c>
    </row>
    <row r="2524">
      <c r="A2524" t="inlineStr">
        <is>
          <t>2026-09-24 19:52:40</t>
        </is>
      </c>
      <c r="B2524" t="inlineStr">
        <is>
          <t>MLLB_000_y1.0.3</t>
        </is>
      </c>
      <c r="C2524" t="inlineStr">
        <is>
          <t>WHITE</t>
        </is>
      </c>
      <c r="D2524" t="inlineStr">
        <is>
          <t>v4_white_MLLB_000_y103_0924</t>
        </is>
      </c>
      <c r="E2524" t="n">
        <v>2.6</v>
      </c>
      <c r="F2524" t="n">
        <v>2.608</v>
      </c>
      <c r="G2524" t="n">
        <v>10</v>
      </c>
      <c r="H2524" t="n">
        <v>80</v>
      </c>
      <c r="I2524" t="n">
        <v>20</v>
      </c>
      <c r="J2524" t="inlineStr">
        <is>
          <t>kaba</t>
        </is>
      </c>
      <c r="K2524" t="b">
        <v>1</v>
      </c>
      <c r="M2524" t="n">
        <v>188</v>
      </c>
      <c r="N2524" t="n">
        <v>30</v>
      </c>
      <c r="O2524" t="n">
        <v>168</v>
      </c>
      <c r="P2524" t="n">
        <v>814</v>
      </c>
      <c r="Q2524" t="n">
        <v>1002</v>
      </c>
      <c r="R2524" t="n">
        <v>1.078</v>
      </c>
      <c r="S2524" t="n">
        <v>20.19</v>
      </c>
      <c r="T2524" t="n">
        <v>18.731</v>
      </c>
      <c r="U2524" t="n">
        <v>0.7779</v>
      </c>
      <c r="V2524" t="b">
        <v>1</v>
      </c>
      <c r="X2524" t="b">
        <v>0</v>
      </c>
      <c r="Y2524" t="inlineStr">
        <is>
          <t>ON</t>
        </is>
      </c>
      <c r="Z2524" t="n">
        <v>935</v>
      </c>
      <c r="AA2524" t="n">
        <v>2.5</v>
      </c>
      <c r="AB2524" t="n">
        <v>9.5</v>
      </c>
    </row>
    <row r="2525">
      <c r="A2525" t="inlineStr">
        <is>
          <t>2026-09-24 19:52:56</t>
        </is>
      </c>
      <c r="B2525" t="inlineStr">
        <is>
          <t>MLLB_000_y1.0.3</t>
        </is>
      </c>
      <c r="C2525" t="inlineStr">
        <is>
          <t>WHITE</t>
        </is>
      </c>
      <c r="D2525" t="inlineStr">
        <is>
          <t>v4_white_MLLB_000_y103_0924</t>
        </is>
      </c>
      <c r="E2525" t="n">
        <v>2.6</v>
      </c>
      <c r="F2525" t="n">
        <v>2.608</v>
      </c>
      <c r="G2525" t="n">
        <v>10</v>
      </c>
      <c r="H2525" t="n">
        <v>80</v>
      </c>
      <c r="I2525" t="n">
        <v>24</v>
      </c>
      <c r="J2525" t="inlineStr">
        <is>
          <t>kaba</t>
        </is>
      </c>
      <c r="K2525" t="b">
        <v>1</v>
      </c>
      <c r="M2525" t="n">
        <v>156</v>
      </c>
      <c r="N2525" t="n">
        <v>32</v>
      </c>
      <c r="O2525" t="n">
        <v>134</v>
      </c>
      <c r="P2525" t="n">
        <v>846</v>
      </c>
      <c r="Q2525" t="n">
        <v>1002</v>
      </c>
      <c r="R2525" t="n">
        <v>1.075</v>
      </c>
      <c r="S2525" t="n">
        <v>20.172</v>
      </c>
      <c r="T2525" t="n">
        <v>18.766</v>
      </c>
      <c r="U2525" t="n">
        <v>0.7784</v>
      </c>
      <c r="V2525" t="b">
        <v>1</v>
      </c>
      <c r="X2525" t="b">
        <v>0</v>
      </c>
      <c r="Y2525" t="inlineStr">
        <is>
          <t>ON</t>
        </is>
      </c>
      <c r="Z2525" t="n">
        <v>935</v>
      </c>
      <c r="AA2525" t="n">
        <v>2.5</v>
      </c>
      <c r="AB2525" t="n">
        <v>9.5</v>
      </c>
    </row>
    <row r="2526">
      <c r="A2526" t="inlineStr">
        <is>
          <t>2026-09-24 19:53:12</t>
        </is>
      </c>
      <c r="B2526" t="inlineStr">
        <is>
          <t>MLLB_000_y1.0.3</t>
        </is>
      </c>
      <c r="C2526" t="inlineStr">
        <is>
          <t>WHITE</t>
        </is>
      </c>
      <c r="D2526" t="inlineStr">
        <is>
          <t>v4_white_MLLB_000_y103_0924</t>
        </is>
      </c>
      <c r="E2526" t="n">
        <v>2.6</v>
      </c>
      <c r="F2526" t="n">
        <v>2.608</v>
      </c>
      <c r="G2526" t="n">
        <v>10</v>
      </c>
      <c r="H2526" t="n">
        <v>80</v>
      </c>
      <c r="I2526" t="n">
        <v>28</v>
      </c>
      <c r="J2526" t="inlineStr">
        <is>
          <t>kaba</t>
        </is>
      </c>
      <c r="K2526" t="b">
        <v>1</v>
      </c>
      <c r="M2526" t="n">
        <v>120</v>
      </c>
      <c r="N2526" t="n">
        <v>30</v>
      </c>
      <c r="O2526" t="n">
        <v>100</v>
      </c>
      <c r="P2526" t="n">
        <v>882</v>
      </c>
      <c r="Q2526" t="n">
        <v>1002</v>
      </c>
      <c r="R2526" t="n">
        <v>1.073</v>
      </c>
      <c r="S2526" t="n">
        <v>20.172</v>
      </c>
      <c r="T2526" t="n">
        <v>18.799</v>
      </c>
      <c r="U2526" t="n">
        <v>0.7778</v>
      </c>
      <c r="V2526" t="b">
        <v>1</v>
      </c>
      <c r="X2526" t="b">
        <v>0</v>
      </c>
      <c r="Y2526" t="inlineStr">
        <is>
          <t>ON</t>
        </is>
      </c>
      <c r="Z2526" t="n">
        <v>935</v>
      </c>
      <c r="AA2526" t="n">
        <v>2.5</v>
      </c>
      <c r="AB2526" t="n">
        <v>9.5</v>
      </c>
    </row>
    <row r="2527">
      <c r="A2527" t="inlineStr">
        <is>
          <t>2026-09-24 19:53:28</t>
        </is>
      </c>
      <c r="B2527" t="inlineStr">
        <is>
          <t>MLLB_000_y1.0.3</t>
        </is>
      </c>
      <c r="C2527" t="inlineStr">
        <is>
          <t>WHITE</t>
        </is>
      </c>
      <c r="D2527" t="inlineStr">
        <is>
          <t>v4_white_MLLB_000_y103_0924</t>
        </is>
      </c>
      <c r="E2527" t="n">
        <v>2.6</v>
      </c>
      <c r="F2527" t="n">
        <v>2.608</v>
      </c>
      <c r="G2527" t="n">
        <v>10</v>
      </c>
      <c r="H2527" t="n">
        <v>80</v>
      </c>
      <c r="I2527" t="n">
        <v>32</v>
      </c>
      <c r="J2527" t="inlineStr">
        <is>
          <t>kaba</t>
        </is>
      </c>
      <c r="K2527" t="b">
        <v>1</v>
      </c>
      <c r="M2527" t="n">
        <v>86</v>
      </c>
      <c r="N2527" t="n">
        <v>32</v>
      </c>
      <c r="O2527" t="n">
        <v>66</v>
      </c>
      <c r="P2527" t="n">
        <v>916</v>
      </c>
      <c r="Q2527" t="n">
        <v>1002</v>
      </c>
      <c r="R2527" t="n">
        <v>1.072</v>
      </c>
      <c r="S2527" t="n">
        <v>20.172</v>
      </c>
      <c r="T2527" t="n">
        <v>18.811</v>
      </c>
      <c r="U2527" t="n">
        <v>0.7783</v>
      </c>
      <c r="V2527" t="b">
        <v>1</v>
      </c>
      <c r="X2527" t="b">
        <v>0</v>
      </c>
      <c r="Y2527" t="inlineStr">
        <is>
          <t>ON</t>
        </is>
      </c>
      <c r="Z2527" t="n">
        <v>935</v>
      </c>
      <c r="AA2527" t="n">
        <v>2.5</v>
      </c>
      <c r="AB2527" t="n">
        <v>9.5</v>
      </c>
    </row>
    <row r="2528">
      <c r="A2528" t="inlineStr">
        <is>
          <t>2026-09-24 19:53:44</t>
        </is>
      </c>
      <c r="B2528" t="inlineStr">
        <is>
          <t>MLLB_000_y1.0.3</t>
        </is>
      </c>
      <c r="C2528" t="inlineStr">
        <is>
          <t>WHITE</t>
        </is>
      </c>
      <c r="D2528" t="inlineStr">
        <is>
          <t>v4_white_MLLB_000_y103_0924</t>
        </is>
      </c>
      <c r="E2528" t="n">
        <v>2.6</v>
      </c>
      <c r="F2528" t="n">
        <v>2.608</v>
      </c>
      <c r="G2528" t="n">
        <v>10</v>
      </c>
      <c r="H2528" t="n">
        <v>80</v>
      </c>
      <c r="I2528" t="n">
        <v>36</v>
      </c>
      <c r="J2528" t="inlineStr">
        <is>
          <t>kaba</t>
        </is>
      </c>
      <c r="K2528" t="b">
        <v>1</v>
      </c>
      <c r="M2528" t="n">
        <v>50</v>
      </c>
      <c r="N2528" t="n">
        <v>32</v>
      </c>
      <c r="O2528" t="n">
        <v>30</v>
      </c>
      <c r="P2528" t="n">
        <v>952</v>
      </c>
      <c r="Q2528" t="n">
        <v>1002</v>
      </c>
      <c r="R2528" t="n">
        <v>1.072</v>
      </c>
      <c r="S2528" t="n">
        <v>20.2</v>
      </c>
      <c r="T2528" t="n">
        <v>18.85</v>
      </c>
      <c r="U2528" t="n">
        <v>0.778</v>
      </c>
      <c r="V2528" t="b">
        <v>1</v>
      </c>
      <c r="X2528" t="b">
        <v>1</v>
      </c>
      <c r="Z2528" t="n">
        <v>935</v>
      </c>
      <c r="AA2528" t="n">
        <v>2.5</v>
      </c>
      <c r="AB2528" t="n">
        <v>9.5</v>
      </c>
    </row>
    <row r="2529">
      <c r="A2529" t="inlineStr">
        <is>
          <t>2026-09-24 19:54:00</t>
        </is>
      </c>
      <c r="B2529" t="inlineStr">
        <is>
          <t>MLLB_000_y1.0.3</t>
        </is>
      </c>
      <c r="C2529" t="inlineStr">
        <is>
          <t>WHITE</t>
        </is>
      </c>
      <c r="D2529" t="inlineStr">
        <is>
          <t>v4_white_MLLB_000_y103_0924</t>
        </is>
      </c>
      <c r="E2529" t="n">
        <v>2.6</v>
      </c>
      <c r="F2529" t="n">
        <v>2.608</v>
      </c>
      <c r="G2529" t="n">
        <v>10</v>
      </c>
      <c r="H2529" t="n">
        <v>80</v>
      </c>
      <c r="I2529" t="n">
        <v>40</v>
      </c>
      <c r="J2529" t="inlineStr">
        <is>
          <t>kaba</t>
        </is>
      </c>
      <c r="K2529" t="b">
        <v>1</v>
      </c>
      <c r="M2529" t="n">
        <v>46</v>
      </c>
      <c r="N2529" t="n">
        <v>28</v>
      </c>
      <c r="O2529" t="n">
        <v>26</v>
      </c>
      <c r="P2529" t="n">
        <v>956</v>
      </c>
      <c r="Q2529" t="n">
        <v>1002</v>
      </c>
      <c r="R2529" t="n">
        <v>2.582</v>
      </c>
      <c r="S2529" t="n">
        <v>48.684</v>
      </c>
      <c r="T2529" t="n">
        <v>18.852</v>
      </c>
      <c r="U2529" t="n">
        <v>0.778</v>
      </c>
      <c r="V2529" t="b">
        <v>1</v>
      </c>
      <c r="X2529" t="b">
        <v>0</v>
      </c>
      <c r="Y2529" t="inlineStr">
        <is>
          <t>FLAS</t>
        </is>
      </c>
      <c r="Z2529" t="n">
        <v>935</v>
      </c>
      <c r="AA2529" t="n">
        <v>2.5</v>
      </c>
      <c r="AB2529" t="n">
        <v>9.5</v>
      </c>
    </row>
    <row r="2530">
      <c r="A2530" t="inlineStr">
        <is>
          <t>2026-09-24 19:54:16</t>
        </is>
      </c>
      <c r="B2530" t="inlineStr">
        <is>
          <t>MLLB_000_y1.0.3</t>
        </is>
      </c>
      <c r="C2530" t="inlineStr">
        <is>
          <t>WHITE</t>
        </is>
      </c>
      <c r="D2530" t="inlineStr">
        <is>
          <t>v4_white_MLLB_000_y103_0924</t>
        </is>
      </c>
      <c r="E2530" t="n">
        <v>2.6</v>
      </c>
      <c r="F2530" t="n">
        <v>2.608</v>
      </c>
      <c r="G2530" t="n">
        <v>10</v>
      </c>
      <c r="H2530" t="n">
        <v>80</v>
      </c>
      <c r="I2530" t="n">
        <v>44</v>
      </c>
      <c r="J2530" t="inlineStr">
        <is>
          <t>kaba</t>
        </is>
      </c>
      <c r="K2530" t="b">
        <v>1</v>
      </c>
      <c r="M2530" t="n">
        <v>46</v>
      </c>
      <c r="N2530" t="n">
        <v>28</v>
      </c>
      <c r="O2530" t="n">
        <v>26</v>
      </c>
      <c r="P2530" t="n">
        <v>956</v>
      </c>
      <c r="Q2530" t="n">
        <v>1002</v>
      </c>
      <c r="R2530" t="n">
        <v>6.264</v>
      </c>
      <c r="S2530" t="n">
        <v>118.19</v>
      </c>
      <c r="T2530" t="n">
        <v>18.868</v>
      </c>
      <c r="U2530" t="n">
        <v>0.7782</v>
      </c>
      <c r="V2530" t="b">
        <v>1</v>
      </c>
      <c r="X2530" t="b">
        <v>0</v>
      </c>
      <c r="Y2530" t="inlineStr">
        <is>
          <t>FLAS</t>
        </is>
      </c>
      <c r="Z2530" t="n">
        <v>935</v>
      </c>
      <c r="AA2530" t="n">
        <v>2.5</v>
      </c>
      <c r="AB2530" t="n">
        <v>9.5</v>
      </c>
    </row>
    <row r="2531">
      <c r="A2531" t="inlineStr">
        <is>
          <t>2026-09-24 19:54:32</t>
        </is>
      </c>
      <c r="B2531" t="inlineStr">
        <is>
          <t>MLLB_000_y1.0.3</t>
        </is>
      </c>
      <c r="C2531" t="inlineStr">
        <is>
          <t>WHITE</t>
        </is>
      </c>
      <c r="D2531" t="inlineStr">
        <is>
          <t>v4_white_MLLB_000_y103_0924</t>
        </is>
      </c>
      <c r="E2531" t="n">
        <v>2.6</v>
      </c>
      <c r="F2531" t="n">
        <v>2.608</v>
      </c>
      <c r="G2531" t="n">
        <v>10</v>
      </c>
      <c r="H2531" t="n">
        <v>80</v>
      </c>
      <c r="I2531" t="n">
        <v>33</v>
      </c>
      <c r="J2531" t="inlineStr">
        <is>
          <t>ince</t>
        </is>
      </c>
      <c r="K2531" t="b">
        <v>1</v>
      </c>
      <c r="M2531" t="n">
        <v>76</v>
      </c>
      <c r="N2531" t="n">
        <v>30</v>
      </c>
      <c r="O2531" t="n">
        <v>56</v>
      </c>
      <c r="P2531" t="n">
        <v>926</v>
      </c>
      <c r="Q2531" t="n">
        <v>1002</v>
      </c>
      <c r="R2531" t="n">
        <v>1.072</v>
      </c>
      <c r="S2531" t="n">
        <v>20.172</v>
      </c>
      <c r="T2531" t="n">
        <v>18.823</v>
      </c>
      <c r="U2531" t="n">
        <v>0.7784</v>
      </c>
      <c r="V2531" t="b">
        <v>1</v>
      </c>
      <c r="X2531" t="b">
        <v>0</v>
      </c>
      <c r="Y2531" t="inlineStr">
        <is>
          <t>ON</t>
        </is>
      </c>
      <c r="Z2531" t="n">
        <v>935</v>
      </c>
      <c r="AA2531" t="n">
        <v>2.5</v>
      </c>
      <c r="AB2531" t="n">
        <v>9.5</v>
      </c>
    </row>
    <row r="2532">
      <c r="A2532" t="inlineStr">
        <is>
          <t>2026-09-24 19:54:48</t>
        </is>
      </c>
      <c r="B2532" t="inlineStr">
        <is>
          <t>MLLB_000_y1.0.3</t>
        </is>
      </c>
      <c r="C2532" t="inlineStr">
        <is>
          <t>WHITE</t>
        </is>
      </c>
      <c r="D2532" t="inlineStr">
        <is>
          <t>v4_white_MLLB_000_y103_0924</t>
        </is>
      </c>
      <c r="E2532" t="n">
        <v>2.6</v>
      </c>
      <c r="F2532" t="n">
        <v>2.608</v>
      </c>
      <c r="G2532" t="n">
        <v>10</v>
      </c>
      <c r="H2532" t="n">
        <v>80</v>
      </c>
      <c r="I2532" t="n">
        <v>34</v>
      </c>
      <c r="J2532" t="inlineStr">
        <is>
          <t>ince</t>
        </is>
      </c>
      <c r="K2532" t="b">
        <v>1</v>
      </c>
      <c r="M2532" t="n">
        <v>68</v>
      </c>
      <c r="N2532" t="n">
        <v>30</v>
      </c>
      <c r="O2532" t="n">
        <v>48</v>
      </c>
      <c r="P2532" t="n">
        <v>934</v>
      </c>
      <c r="Q2532" t="n">
        <v>1002</v>
      </c>
      <c r="R2532" t="n">
        <v>1.071</v>
      </c>
      <c r="S2532" t="n">
        <v>20.179</v>
      </c>
      <c r="T2532" t="n">
        <v>18.849</v>
      </c>
      <c r="U2532" t="n">
        <v>0.7778</v>
      </c>
      <c r="V2532" t="b">
        <v>1</v>
      </c>
      <c r="X2532" t="b">
        <v>0</v>
      </c>
      <c r="Y2532" t="inlineStr">
        <is>
          <t>ON</t>
        </is>
      </c>
      <c r="Z2532" t="n">
        <v>935</v>
      </c>
      <c r="AA2532" t="n">
        <v>2.5</v>
      </c>
      <c r="AB2532" t="n">
        <v>9.5</v>
      </c>
    </row>
    <row r="2533">
      <c r="A2533" t="inlineStr">
        <is>
          <t>2026-09-24 19:55:04</t>
        </is>
      </c>
      <c r="B2533" t="inlineStr">
        <is>
          <t>MLLB_000_y1.0.3</t>
        </is>
      </c>
      <c r="C2533" t="inlineStr">
        <is>
          <t>WHITE</t>
        </is>
      </c>
      <c r="D2533" t="inlineStr">
        <is>
          <t>v4_white_MLLB_000_y103_0924</t>
        </is>
      </c>
      <c r="E2533" t="n">
        <v>2.6</v>
      </c>
      <c r="F2533" t="n">
        <v>2.608</v>
      </c>
      <c r="G2533" t="n">
        <v>10</v>
      </c>
      <c r="H2533" t="n">
        <v>80</v>
      </c>
      <c r="I2533" t="n">
        <v>35</v>
      </c>
      <c r="J2533" t="inlineStr">
        <is>
          <t>ince</t>
        </is>
      </c>
      <c r="K2533" t="b">
        <v>1</v>
      </c>
      <c r="M2533" t="n">
        <v>60</v>
      </c>
      <c r="N2533" t="n">
        <v>32</v>
      </c>
      <c r="O2533" t="n">
        <v>38</v>
      </c>
      <c r="P2533" t="n">
        <v>942</v>
      </c>
      <c r="Q2533" t="n">
        <v>1002</v>
      </c>
      <c r="R2533" t="n">
        <v>1.072</v>
      </c>
      <c r="S2533" t="n">
        <v>20.172</v>
      </c>
      <c r="T2533" t="n">
        <v>18.823</v>
      </c>
      <c r="U2533" t="n">
        <v>0.7773</v>
      </c>
      <c r="V2533" t="b">
        <v>1</v>
      </c>
      <c r="X2533" t="b">
        <v>1</v>
      </c>
      <c r="Z2533" t="n">
        <v>935</v>
      </c>
      <c r="AA2533" t="n">
        <v>2.5</v>
      </c>
      <c r="AB2533" t="n">
        <v>9.5</v>
      </c>
    </row>
    <row r="2534">
      <c r="A2534" t="inlineStr">
        <is>
          <t>2026-09-24 19:55:20</t>
        </is>
      </c>
      <c r="B2534" t="inlineStr">
        <is>
          <t>MLLB_000_y1.0.3</t>
        </is>
      </c>
      <c r="C2534" t="inlineStr">
        <is>
          <t>WHITE</t>
        </is>
      </c>
      <c r="D2534" t="inlineStr">
        <is>
          <t>v4_white_MLLB_000_y103_0924</t>
        </is>
      </c>
      <c r="E2534" t="n">
        <v>2.6</v>
      </c>
      <c r="F2534" t="n">
        <v>2.608</v>
      </c>
      <c r="G2534" t="n">
        <v>10</v>
      </c>
      <c r="H2534" t="n">
        <v>80</v>
      </c>
      <c r="I2534" t="n">
        <v>37</v>
      </c>
      <c r="J2534" t="inlineStr">
        <is>
          <t>ince</t>
        </is>
      </c>
      <c r="K2534" t="b">
        <v>1</v>
      </c>
      <c r="M2534" t="n">
        <v>46</v>
      </c>
      <c r="N2534" t="n">
        <v>28</v>
      </c>
      <c r="O2534" t="n">
        <v>26</v>
      </c>
      <c r="P2534" t="n">
        <v>956</v>
      </c>
      <c r="Q2534" t="n">
        <v>1002</v>
      </c>
      <c r="R2534" t="n">
        <v>1.072</v>
      </c>
      <c r="S2534" t="n">
        <v>20.178</v>
      </c>
      <c r="T2534" t="n">
        <v>18.817</v>
      </c>
      <c r="U2534" t="n">
        <v>0.7772</v>
      </c>
      <c r="V2534" t="b">
        <v>1</v>
      </c>
      <c r="X2534" t="b">
        <v>1</v>
      </c>
      <c r="Z2534" t="n">
        <v>935</v>
      </c>
      <c r="AA2534" t="n">
        <v>2.5</v>
      </c>
      <c r="AB2534" t="n">
        <v>9.5</v>
      </c>
    </row>
    <row r="2535">
      <c r="A2535" t="inlineStr">
        <is>
          <t>2026-09-24 19:55:32</t>
        </is>
      </c>
      <c r="B2535" t="inlineStr">
        <is>
          <t>MLLB_000_y1.0.3</t>
        </is>
      </c>
      <c r="C2535" t="inlineStr">
        <is>
          <t>WHITE</t>
        </is>
      </c>
      <c r="D2535" t="inlineStr">
        <is>
          <t>v4_white_MLLB_000_y103_0924</t>
        </is>
      </c>
      <c r="E2535" t="n">
        <v>2.6</v>
      </c>
      <c r="F2535" t="n">
        <v>2.608</v>
      </c>
      <c r="G2535" t="n">
        <v>10</v>
      </c>
      <c r="H2535" t="n">
        <v>80</v>
      </c>
      <c r="I2535" t="n">
        <v>38</v>
      </c>
      <c r="J2535" t="inlineStr">
        <is>
          <t>ince</t>
        </is>
      </c>
      <c r="K2535" t="b">
        <v>1</v>
      </c>
      <c r="M2535" t="n">
        <v>46</v>
      </c>
      <c r="N2535" t="n">
        <v>28</v>
      </c>
      <c r="O2535" t="n">
        <v>26</v>
      </c>
      <c r="P2535" t="n">
        <v>956</v>
      </c>
      <c r="Q2535" t="n">
        <v>1002</v>
      </c>
      <c r="R2535" t="n">
        <v>1.209</v>
      </c>
      <c r="S2535" t="n">
        <v>22.784</v>
      </c>
      <c r="T2535" t="n">
        <v>18.849</v>
      </c>
      <c r="U2535" t="n">
        <v>0.7776999999999999</v>
      </c>
      <c r="V2535" t="b">
        <v>1</v>
      </c>
      <c r="X2535" t="b">
        <v>1</v>
      </c>
      <c r="Z2535" t="n">
        <v>935</v>
      </c>
      <c r="AA2535" t="n">
        <v>2.5</v>
      </c>
      <c r="AB2535" t="n">
        <v>9.5</v>
      </c>
    </row>
    <row r="2536">
      <c r="A2536" t="inlineStr">
        <is>
          <t>2026-09-24 19:55:48</t>
        </is>
      </c>
      <c r="B2536" t="inlineStr">
        <is>
          <t>MLLB_000_y1.0.3</t>
        </is>
      </c>
      <c r="C2536" t="inlineStr">
        <is>
          <t>WHITE</t>
        </is>
      </c>
      <c r="D2536" t="inlineStr">
        <is>
          <t>v4_white_MLLB_000_y103_0924</t>
        </is>
      </c>
      <c r="E2536" t="n">
        <v>2.6</v>
      </c>
      <c r="F2536" t="n">
        <v>2.608</v>
      </c>
      <c r="G2536" t="n">
        <v>10</v>
      </c>
      <c r="H2536" t="n">
        <v>80</v>
      </c>
      <c r="I2536" t="n">
        <v>39</v>
      </c>
      <c r="J2536" t="inlineStr">
        <is>
          <t>ince</t>
        </is>
      </c>
      <c r="K2536" t="b">
        <v>1</v>
      </c>
      <c r="M2536" t="n">
        <v>46</v>
      </c>
      <c r="N2536" t="n">
        <v>28</v>
      </c>
      <c r="O2536" t="n">
        <v>26</v>
      </c>
      <c r="P2536" t="n">
        <v>956</v>
      </c>
      <c r="Q2536" t="n">
        <v>1002</v>
      </c>
      <c r="R2536" t="n">
        <v>1.9</v>
      </c>
      <c r="S2536" t="n">
        <v>35.766</v>
      </c>
      <c r="T2536" t="n">
        <v>18.826</v>
      </c>
      <c r="U2536" t="n">
        <v>0.778</v>
      </c>
      <c r="V2536" t="b">
        <v>1</v>
      </c>
      <c r="X2536" t="b">
        <v>1</v>
      </c>
      <c r="Z2536" t="n">
        <v>935</v>
      </c>
      <c r="AA2536" t="n">
        <v>2.5</v>
      </c>
      <c r="AB2536" t="n">
        <v>9.5</v>
      </c>
    </row>
    <row r="2537">
      <c r="A2537" t="inlineStr">
        <is>
          <t>2026-09-24 19:55:48</t>
        </is>
      </c>
      <c r="B2537" t="inlineStr">
        <is>
          <t>MLLB_000_y1.0.3</t>
        </is>
      </c>
      <c r="C2537" t="inlineStr">
        <is>
          <t>WHITE</t>
        </is>
      </c>
      <c r="D2537" t="inlineStr">
        <is>
          <t>v4_white_MLLB_000_y103_0924</t>
        </is>
      </c>
      <c r="E2537" t="n">
        <v>2.6</v>
      </c>
      <c r="F2537" t="n">
        <v>2.608</v>
      </c>
      <c r="G2537" t="n">
        <v>10</v>
      </c>
      <c r="H2537" t="n">
        <v>80</v>
      </c>
      <c r="J2537" t="inlineStr">
        <is>
          <t>bitti</t>
        </is>
      </c>
      <c r="K2537" t="b">
        <v>0</v>
      </c>
      <c r="Z2537" t="n">
        <v>935</v>
      </c>
      <c r="AA2537" t="n">
        <v>2.5</v>
      </c>
      <c r="AB2537" t="n">
        <v>9.5</v>
      </c>
    </row>
    <row r="2538">
      <c r="A2538" t="inlineStr">
        <is>
          <t>2026-09-24 19:56:04</t>
        </is>
      </c>
      <c r="B2538" t="inlineStr">
        <is>
          <t>MLLB_000_y1.0.3</t>
        </is>
      </c>
      <c r="C2538" t="inlineStr">
        <is>
          <t>WHITE</t>
        </is>
      </c>
      <c r="D2538" t="inlineStr">
        <is>
          <t>v4_white_MLLB_000_y103_0924</t>
        </is>
      </c>
      <c r="E2538" t="n">
        <v>2.6</v>
      </c>
      <c r="F2538" t="n">
        <v>2.608</v>
      </c>
      <c r="G2538" t="n">
        <v>10</v>
      </c>
      <c r="H2538" t="n">
        <v>60</v>
      </c>
      <c r="I2538" t="n">
        <v>12</v>
      </c>
      <c r="J2538" t="inlineStr">
        <is>
          <t>kaba</t>
        </is>
      </c>
      <c r="K2538" t="b">
        <v>1</v>
      </c>
      <c r="M2538" t="n">
        <v>280</v>
      </c>
      <c r="N2538" t="n">
        <v>30</v>
      </c>
      <c r="O2538" t="n">
        <v>260</v>
      </c>
      <c r="P2538" t="n">
        <v>722</v>
      </c>
      <c r="Q2538" t="n">
        <v>1002</v>
      </c>
      <c r="R2538" t="n">
        <v>1.085</v>
      </c>
      <c r="S2538" t="n">
        <v>20.196</v>
      </c>
      <c r="T2538" t="n">
        <v>18.62</v>
      </c>
      <c r="U2538" t="n">
        <v>0.7775</v>
      </c>
      <c r="V2538" t="b">
        <v>1</v>
      </c>
      <c r="X2538" t="b">
        <v>0</v>
      </c>
      <c r="Y2538" t="inlineStr">
        <is>
          <t>ON</t>
        </is>
      </c>
      <c r="Z2538" t="n">
        <v>935</v>
      </c>
      <c r="AA2538" t="n">
        <v>2.5</v>
      </c>
      <c r="AB2538" t="n">
        <v>9.5</v>
      </c>
    </row>
    <row r="2539">
      <c r="A2539" t="inlineStr">
        <is>
          <t>2026-09-24 19:56:20</t>
        </is>
      </c>
      <c r="B2539" t="inlineStr">
        <is>
          <t>MLLB_000_y1.0.3</t>
        </is>
      </c>
      <c r="C2539" t="inlineStr">
        <is>
          <t>WHITE</t>
        </is>
      </c>
      <c r="D2539" t="inlineStr">
        <is>
          <t>v4_white_MLLB_000_y103_0924</t>
        </is>
      </c>
      <c r="E2539" t="n">
        <v>2.6</v>
      </c>
      <c r="F2539" t="n">
        <v>2.608</v>
      </c>
      <c r="G2539" t="n">
        <v>10</v>
      </c>
      <c r="H2539" t="n">
        <v>60</v>
      </c>
      <c r="I2539" t="n">
        <v>16</v>
      </c>
      <c r="J2539" t="inlineStr">
        <is>
          <t>kaba</t>
        </is>
      </c>
      <c r="K2539" t="b">
        <v>1</v>
      </c>
      <c r="M2539" t="n">
        <v>256</v>
      </c>
      <c r="N2539" t="n">
        <v>30</v>
      </c>
      <c r="O2539" t="n">
        <v>236</v>
      </c>
      <c r="P2539" t="n">
        <v>746</v>
      </c>
      <c r="Q2539" t="n">
        <v>1002</v>
      </c>
      <c r="R2539" t="n">
        <v>1.083</v>
      </c>
      <c r="S2539" t="n">
        <v>20.211</v>
      </c>
      <c r="T2539" t="n">
        <v>18.669</v>
      </c>
      <c r="U2539" t="n">
        <v>0.7776999999999999</v>
      </c>
      <c r="V2539" t="b">
        <v>1</v>
      </c>
      <c r="X2539" t="b">
        <v>0</v>
      </c>
      <c r="Y2539" t="inlineStr">
        <is>
          <t>ON</t>
        </is>
      </c>
      <c r="Z2539" t="n">
        <v>935</v>
      </c>
      <c r="AA2539" t="n">
        <v>2.5</v>
      </c>
      <c r="AB2539" t="n">
        <v>9.5</v>
      </c>
    </row>
    <row r="2540">
      <c r="A2540" t="inlineStr">
        <is>
          <t>2026-09-24 19:56:36</t>
        </is>
      </c>
      <c r="B2540" t="inlineStr">
        <is>
          <t>MLLB_000_y1.0.3</t>
        </is>
      </c>
      <c r="C2540" t="inlineStr">
        <is>
          <t>WHITE</t>
        </is>
      </c>
      <c r="D2540" t="inlineStr">
        <is>
          <t>v4_white_MLLB_000_y103_0924</t>
        </is>
      </c>
      <c r="E2540" t="n">
        <v>2.6</v>
      </c>
      <c r="F2540" t="n">
        <v>2.608</v>
      </c>
      <c r="G2540" t="n">
        <v>10</v>
      </c>
      <c r="H2540" t="n">
        <v>60</v>
      </c>
      <c r="I2540" t="n">
        <v>20</v>
      </c>
      <c r="J2540" t="inlineStr">
        <is>
          <t>kaba</t>
        </is>
      </c>
      <c r="K2540" t="b">
        <v>1</v>
      </c>
      <c r="M2540" t="n">
        <v>232</v>
      </c>
      <c r="N2540" t="n">
        <v>32</v>
      </c>
      <c r="O2540" t="n">
        <v>210</v>
      </c>
      <c r="P2540" t="n">
        <v>770</v>
      </c>
      <c r="Q2540" t="n">
        <v>1002</v>
      </c>
      <c r="R2540" t="n">
        <v>1.083</v>
      </c>
      <c r="S2540" t="n">
        <v>20.22</v>
      </c>
      <c r="T2540" t="n">
        <v>18.668</v>
      </c>
      <c r="U2540" t="n">
        <v>0.7784</v>
      </c>
      <c r="V2540" t="b">
        <v>1</v>
      </c>
      <c r="X2540" t="b">
        <v>0</v>
      </c>
      <c r="Y2540" t="inlineStr">
        <is>
          <t>ON</t>
        </is>
      </c>
      <c r="Z2540" t="n">
        <v>935</v>
      </c>
      <c r="AA2540" t="n">
        <v>2.5</v>
      </c>
      <c r="AB2540" t="n">
        <v>9.5</v>
      </c>
    </row>
    <row r="2541">
      <c r="A2541" t="inlineStr">
        <is>
          <t>2026-09-24 19:56:52</t>
        </is>
      </c>
      <c r="B2541" t="inlineStr">
        <is>
          <t>MLLB_000_y1.0.3</t>
        </is>
      </c>
      <c r="C2541" t="inlineStr">
        <is>
          <t>WHITE</t>
        </is>
      </c>
      <c r="D2541" t="inlineStr">
        <is>
          <t>v4_white_MLLB_000_y103_0924</t>
        </is>
      </c>
      <c r="E2541" t="n">
        <v>2.6</v>
      </c>
      <c r="F2541" t="n">
        <v>2.608</v>
      </c>
      <c r="G2541" t="n">
        <v>10</v>
      </c>
      <c r="H2541" t="n">
        <v>60</v>
      </c>
      <c r="I2541" t="n">
        <v>24</v>
      </c>
      <c r="J2541" t="inlineStr">
        <is>
          <t>kaba</t>
        </is>
      </c>
      <c r="K2541" t="b">
        <v>1</v>
      </c>
      <c r="M2541" t="n">
        <v>208</v>
      </c>
      <c r="N2541" t="n">
        <v>30</v>
      </c>
      <c r="O2541" t="n">
        <v>188</v>
      </c>
      <c r="P2541" t="n">
        <v>794</v>
      </c>
      <c r="Q2541" t="n">
        <v>1002</v>
      </c>
      <c r="R2541" t="n">
        <v>1.079</v>
      </c>
      <c r="S2541" t="n">
        <v>20.172</v>
      </c>
      <c r="T2541" t="n">
        <v>18.701</v>
      </c>
      <c r="U2541" t="n">
        <v>0.7774</v>
      </c>
      <c r="V2541" t="b">
        <v>1</v>
      </c>
      <c r="X2541" t="b">
        <v>0</v>
      </c>
      <c r="Y2541" t="inlineStr">
        <is>
          <t>ON</t>
        </is>
      </c>
      <c r="Z2541" t="n">
        <v>935</v>
      </c>
      <c r="AA2541" t="n">
        <v>2.5</v>
      </c>
      <c r="AB2541" t="n">
        <v>9.5</v>
      </c>
    </row>
    <row r="2542">
      <c r="A2542" t="inlineStr">
        <is>
          <t>2026-09-24 19:57:08</t>
        </is>
      </c>
      <c r="B2542" t="inlineStr">
        <is>
          <t>MLLB_000_y1.0.3</t>
        </is>
      </c>
      <c r="C2542" t="inlineStr">
        <is>
          <t>WHITE</t>
        </is>
      </c>
      <c r="D2542" t="inlineStr">
        <is>
          <t>v4_white_MLLB_000_y103_0924</t>
        </is>
      </c>
      <c r="E2542" t="n">
        <v>2.6</v>
      </c>
      <c r="F2542" t="n">
        <v>2.608</v>
      </c>
      <c r="G2542" t="n">
        <v>10</v>
      </c>
      <c r="H2542" t="n">
        <v>60</v>
      </c>
      <c r="I2542" t="n">
        <v>28</v>
      </c>
      <c r="J2542" t="inlineStr">
        <is>
          <t>kaba</t>
        </is>
      </c>
      <c r="K2542" t="b">
        <v>1</v>
      </c>
      <c r="M2542" t="n">
        <v>184</v>
      </c>
      <c r="N2542" t="n">
        <v>30</v>
      </c>
      <c r="O2542" t="n">
        <v>164</v>
      </c>
      <c r="P2542" t="n">
        <v>818</v>
      </c>
      <c r="Q2542" t="n">
        <v>1002</v>
      </c>
      <c r="R2542" t="n">
        <v>1.077</v>
      </c>
      <c r="S2542" t="n">
        <v>20.172</v>
      </c>
      <c r="T2542" t="n">
        <v>18.737</v>
      </c>
      <c r="U2542" t="n">
        <v>0.7778</v>
      </c>
      <c r="V2542" t="b">
        <v>1</v>
      </c>
      <c r="X2542" t="b">
        <v>0</v>
      </c>
      <c r="Y2542" t="inlineStr">
        <is>
          <t>ON</t>
        </is>
      </c>
      <c r="Z2542" t="n">
        <v>935</v>
      </c>
      <c r="AA2542" t="n">
        <v>2.5</v>
      </c>
      <c r="AB2542" t="n">
        <v>9.5</v>
      </c>
    </row>
    <row r="2543">
      <c r="A2543" t="inlineStr">
        <is>
          <t>2026-09-24 19:57:24</t>
        </is>
      </c>
      <c r="B2543" t="inlineStr">
        <is>
          <t>MLLB_000_y1.0.3</t>
        </is>
      </c>
      <c r="C2543" t="inlineStr">
        <is>
          <t>WHITE</t>
        </is>
      </c>
      <c r="D2543" t="inlineStr">
        <is>
          <t>v4_white_MLLB_000_y103_0924</t>
        </is>
      </c>
      <c r="E2543" t="n">
        <v>2.6</v>
      </c>
      <c r="F2543" t="n">
        <v>2.608</v>
      </c>
      <c r="G2543" t="n">
        <v>10</v>
      </c>
      <c r="H2543" t="n">
        <v>60</v>
      </c>
      <c r="I2543" t="n">
        <v>32</v>
      </c>
      <c r="J2543" t="inlineStr">
        <is>
          <t>kaba</t>
        </is>
      </c>
      <c r="K2543" t="b">
        <v>1</v>
      </c>
      <c r="M2543" t="n">
        <v>158</v>
      </c>
      <c r="N2543" t="n">
        <v>32</v>
      </c>
      <c r="O2543" t="n">
        <v>138</v>
      </c>
      <c r="P2543" t="n">
        <v>844</v>
      </c>
      <c r="Q2543" t="n">
        <v>1002</v>
      </c>
      <c r="R2543" t="n">
        <v>1.076</v>
      </c>
      <c r="S2543" t="n">
        <v>20.172</v>
      </c>
      <c r="T2543" t="n">
        <v>18.745</v>
      </c>
      <c r="U2543" t="n">
        <v>0.778</v>
      </c>
      <c r="V2543" t="b">
        <v>1</v>
      </c>
      <c r="X2543" t="b">
        <v>0</v>
      </c>
      <c r="Y2543" t="inlineStr">
        <is>
          <t>ON</t>
        </is>
      </c>
      <c r="Z2543" t="n">
        <v>935</v>
      </c>
      <c r="AA2543" t="n">
        <v>2.5</v>
      </c>
      <c r="AB2543" t="n">
        <v>9.5</v>
      </c>
    </row>
    <row r="2544">
      <c r="A2544" t="inlineStr">
        <is>
          <t>2026-09-24 19:57:40</t>
        </is>
      </c>
      <c r="B2544" t="inlineStr">
        <is>
          <t>MLLB_000_y1.0.3</t>
        </is>
      </c>
      <c r="C2544" t="inlineStr">
        <is>
          <t>WHITE</t>
        </is>
      </c>
      <c r="D2544" t="inlineStr">
        <is>
          <t>v4_white_MLLB_000_y103_0924</t>
        </is>
      </c>
      <c r="E2544" t="n">
        <v>2.6</v>
      </c>
      <c r="F2544" t="n">
        <v>2.608</v>
      </c>
      <c r="G2544" t="n">
        <v>10</v>
      </c>
      <c r="H2544" t="n">
        <v>60</v>
      </c>
      <c r="I2544" t="n">
        <v>36</v>
      </c>
      <c r="J2544" t="inlineStr">
        <is>
          <t>kaba</t>
        </is>
      </c>
      <c r="K2544" t="b">
        <v>1</v>
      </c>
      <c r="M2544" t="n">
        <v>134</v>
      </c>
      <c r="N2544" t="n">
        <v>32</v>
      </c>
      <c r="O2544" t="n">
        <v>114</v>
      </c>
      <c r="P2544" t="n">
        <v>868</v>
      </c>
      <c r="Q2544" t="n">
        <v>1002</v>
      </c>
      <c r="R2544" t="n">
        <v>1.073</v>
      </c>
      <c r="S2544" t="n">
        <v>20.172</v>
      </c>
      <c r="T2544" t="n">
        <v>18.8</v>
      </c>
      <c r="U2544" t="n">
        <v>0.778</v>
      </c>
      <c r="V2544" t="b">
        <v>1</v>
      </c>
      <c r="X2544" t="b">
        <v>0</v>
      </c>
      <c r="Y2544" t="inlineStr">
        <is>
          <t>ON</t>
        </is>
      </c>
      <c r="Z2544" t="n">
        <v>935</v>
      </c>
      <c r="AA2544" t="n">
        <v>2.5</v>
      </c>
      <c r="AB2544" t="n">
        <v>9.5</v>
      </c>
    </row>
    <row r="2545">
      <c r="A2545" t="inlineStr">
        <is>
          <t>2026-09-24 19:57:56</t>
        </is>
      </c>
      <c r="B2545" t="inlineStr">
        <is>
          <t>MLLB_000_y1.0.3</t>
        </is>
      </c>
      <c r="C2545" t="inlineStr">
        <is>
          <t>WHITE</t>
        </is>
      </c>
      <c r="D2545" t="inlineStr">
        <is>
          <t>v4_white_MLLB_000_y103_0924</t>
        </is>
      </c>
      <c r="E2545" t="n">
        <v>2.6</v>
      </c>
      <c r="F2545" t="n">
        <v>2.608</v>
      </c>
      <c r="G2545" t="n">
        <v>10</v>
      </c>
      <c r="H2545" t="n">
        <v>60</v>
      </c>
      <c r="I2545" t="n">
        <v>40</v>
      </c>
      <c r="J2545" t="inlineStr">
        <is>
          <t>kaba</t>
        </is>
      </c>
      <c r="K2545" t="b">
        <v>1</v>
      </c>
      <c r="M2545" t="n">
        <v>108</v>
      </c>
      <c r="N2545" t="n">
        <v>30</v>
      </c>
      <c r="O2545" t="n">
        <v>88</v>
      </c>
      <c r="P2545" t="n">
        <v>894</v>
      </c>
      <c r="Q2545" t="n">
        <v>1002</v>
      </c>
      <c r="R2545" t="n">
        <v>1.074</v>
      </c>
      <c r="S2545" t="n">
        <v>20.22</v>
      </c>
      <c r="T2545" t="n">
        <v>18.82</v>
      </c>
      <c r="U2545" t="n">
        <v>0.7782</v>
      </c>
      <c r="V2545" t="b">
        <v>1</v>
      </c>
      <c r="X2545" t="b">
        <v>0</v>
      </c>
      <c r="Y2545" t="inlineStr">
        <is>
          <t>ON</t>
        </is>
      </c>
      <c r="Z2545" t="n">
        <v>935</v>
      </c>
      <c r="AA2545" t="n">
        <v>2.5</v>
      </c>
      <c r="AB2545" t="n">
        <v>9.5</v>
      </c>
    </row>
    <row r="2546">
      <c r="A2546" t="inlineStr">
        <is>
          <t>2026-09-24 19:58:12</t>
        </is>
      </c>
      <c r="B2546" t="inlineStr">
        <is>
          <t>MLLB_000_y1.0.3</t>
        </is>
      </c>
      <c r="C2546" t="inlineStr">
        <is>
          <t>WHITE</t>
        </is>
      </c>
      <c r="D2546" t="inlineStr">
        <is>
          <t>v4_white_MLLB_000_y103_0924</t>
        </is>
      </c>
      <c r="E2546" t="n">
        <v>2.6</v>
      </c>
      <c r="F2546" t="n">
        <v>2.608</v>
      </c>
      <c r="G2546" t="n">
        <v>10</v>
      </c>
      <c r="H2546" t="n">
        <v>60</v>
      </c>
      <c r="I2546" t="n">
        <v>44</v>
      </c>
      <c r="J2546" t="inlineStr">
        <is>
          <t>kaba</t>
        </is>
      </c>
      <c r="K2546" t="b">
        <v>1</v>
      </c>
      <c r="M2546" t="n">
        <v>84</v>
      </c>
      <c r="N2546" t="n">
        <v>30</v>
      </c>
      <c r="O2546" t="n">
        <v>64</v>
      </c>
      <c r="P2546" t="n">
        <v>918</v>
      </c>
      <c r="Q2546" t="n">
        <v>1002</v>
      </c>
      <c r="R2546" t="n">
        <v>1.072</v>
      </c>
      <c r="S2546" t="n">
        <v>20.22</v>
      </c>
      <c r="T2546" t="n">
        <v>18.854</v>
      </c>
      <c r="U2546" t="n">
        <v>0.7784</v>
      </c>
      <c r="V2546" t="b">
        <v>1</v>
      </c>
      <c r="X2546" t="b">
        <v>0</v>
      </c>
      <c r="Y2546" t="inlineStr">
        <is>
          <t>ON</t>
        </is>
      </c>
      <c r="Z2546" t="n">
        <v>935</v>
      </c>
      <c r="AA2546" t="n">
        <v>2.5</v>
      </c>
      <c r="AB2546" t="n">
        <v>9.5</v>
      </c>
    </row>
    <row r="2547">
      <c r="A2547" t="inlineStr">
        <is>
          <t>2026-09-24 19:58:28</t>
        </is>
      </c>
      <c r="B2547" t="inlineStr">
        <is>
          <t>MLLB_000_y1.0.3</t>
        </is>
      </c>
      <c r="C2547" t="inlineStr">
        <is>
          <t>WHITE</t>
        </is>
      </c>
      <c r="D2547" t="inlineStr">
        <is>
          <t>v4_white_MLLB_000_y103_0924</t>
        </is>
      </c>
      <c r="E2547" t="n">
        <v>2.6</v>
      </c>
      <c r="F2547" t="n">
        <v>2.608</v>
      </c>
      <c r="G2547" t="n">
        <v>10</v>
      </c>
      <c r="H2547" t="n">
        <v>60</v>
      </c>
      <c r="I2547" t="n">
        <v>48</v>
      </c>
      <c r="J2547" t="inlineStr">
        <is>
          <t>kaba</t>
        </is>
      </c>
      <c r="K2547" t="b">
        <v>1</v>
      </c>
      <c r="M2547" t="n">
        <v>58</v>
      </c>
      <c r="N2547" t="n">
        <v>32</v>
      </c>
      <c r="O2547" t="n">
        <v>38</v>
      </c>
      <c r="P2547" t="n">
        <v>944</v>
      </c>
      <c r="Q2547" t="n">
        <v>1002</v>
      </c>
      <c r="R2547" t="n">
        <v>1.073</v>
      </c>
      <c r="S2547" t="n">
        <v>20.22</v>
      </c>
      <c r="T2547" t="n">
        <v>18.84</v>
      </c>
      <c r="U2547" t="n">
        <v>0.778</v>
      </c>
      <c r="V2547" t="b">
        <v>1</v>
      </c>
      <c r="X2547" t="b">
        <v>1</v>
      </c>
      <c r="Z2547" t="n">
        <v>935</v>
      </c>
      <c r="AA2547" t="n">
        <v>2.5</v>
      </c>
      <c r="AB2547" t="n">
        <v>9.5</v>
      </c>
    </row>
    <row r="2548">
      <c r="A2548" t="inlineStr">
        <is>
          <t>2026-09-24 19:58:44</t>
        </is>
      </c>
      <c r="B2548" t="inlineStr">
        <is>
          <t>MLLB_000_y1.0.3</t>
        </is>
      </c>
      <c r="C2548" t="inlineStr">
        <is>
          <t>WHITE</t>
        </is>
      </c>
      <c r="D2548" t="inlineStr">
        <is>
          <t>v4_white_MLLB_000_y103_0924</t>
        </is>
      </c>
      <c r="E2548" t="n">
        <v>2.6</v>
      </c>
      <c r="F2548" t="n">
        <v>2.608</v>
      </c>
      <c r="G2548" t="n">
        <v>10</v>
      </c>
      <c r="H2548" t="n">
        <v>60</v>
      </c>
      <c r="I2548" t="n">
        <v>52</v>
      </c>
      <c r="J2548" t="inlineStr">
        <is>
          <t>kaba</t>
        </is>
      </c>
      <c r="K2548" t="b">
        <v>1</v>
      </c>
      <c r="M2548" t="n">
        <v>58</v>
      </c>
      <c r="N2548" t="n">
        <v>28</v>
      </c>
      <c r="O2548" t="n">
        <v>38</v>
      </c>
      <c r="P2548" t="n">
        <v>944</v>
      </c>
      <c r="Q2548" t="n">
        <v>1002</v>
      </c>
      <c r="R2548" t="n">
        <v>2.051</v>
      </c>
      <c r="S2548" t="n">
        <v>38.619</v>
      </c>
      <c r="T2548" t="n">
        <v>18.834</v>
      </c>
      <c r="U2548" t="n">
        <v>0.7789</v>
      </c>
      <c r="V2548" t="b">
        <v>1</v>
      </c>
      <c r="X2548" t="b">
        <v>1</v>
      </c>
      <c r="Z2548" t="n">
        <v>935</v>
      </c>
      <c r="AA2548" t="n">
        <v>2.5</v>
      </c>
      <c r="AB2548" t="n">
        <v>9.5</v>
      </c>
    </row>
    <row r="2549">
      <c r="A2549" t="inlineStr">
        <is>
          <t>2026-09-24 19:59:00</t>
        </is>
      </c>
      <c r="B2549" t="inlineStr">
        <is>
          <t>MLLB_000_y1.0.3</t>
        </is>
      </c>
      <c r="C2549" t="inlineStr">
        <is>
          <t>WHITE</t>
        </is>
      </c>
      <c r="D2549" t="inlineStr">
        <is>
          <t>v4_white_MLLB_000_y103_0924</t>
        </is>
      </c>
      <c r="E2549" t="n">
        <v>2.6</v>
      </c>
      <c r="F2549" t="n">
        <v>2.608</v>
      </c>
      <c r="G2549" t="n">
        <v>10</v>
      </c>
      <c r="H2549" t="n">
        <v>60</v>
      </c>
      <c r="I2549" t="n">
        <v>56</v>
      </c>
      <c r="J2549" t="inlineStr">
        <is>
          <t>kaba</t>
        </is>
      </c>
      <c r="K2549" t="b">
        <v>1</v>
      </c>
      <c r="M2549" t="n">
        <v>58</v>
      </c>
      <c r="N2549" t="n">
        <v>28</v>
      </c>
      <c r="O2549" t="n">
        <v>38</v>
      </c>
      <c r="P2549" t="n">
        <v>944</v>
      </c>
      <c r="Q2549" t="n">
        <v>1002</v>
      </c>
      <c r="R2549" t="n">
        <v>4.941</v>
      </c>
      <c r="S2549" t="n">
        <v>93.164</v>
      </c>
      <c r="T2549" t="n">
        <v>18.856</v>
      </c>
      <c r="U2549" t="n">
        <v>0.7776</v>
      </c>
      <c r="V2549" t="b">
        <v>1</v>
      </c>
      <c r="X2549" t="b">
        <v>0</v>
      </c>
      <c r="Y2549" t="inlineStr">
        <is>
          <t>FLAS</t>
        </is>
      </c>
      <c r="Z2549" t="n">
        <v>935</v>
      </c>
      <c r="AA2549" t="n">
        <v>2.5</v>
      </c>
      <c r="AB2549" t="n">
        <v>9.5</v>
      </c>
    </row>
    <row r="2550">
      <c r="A2550" t="inlineStr">
        <is>
          <t>2026-09-24 19:59:16</t>
        </is>
      </c>
      <c r="B2550" t="inlineStr">
        <is>
          <t>MLLB_000_y1.0.3</t>
        </is>
      </c>
      <c r="C2550" t="inlineStr">
        <is>
          <t>WHITE</t>
        </is>
      </c>
      <c r="D2550" t="inlineStr">
        <is>
          <t>v4_white_MLLB_000_y103_0924</t>
        </is>
      </c>
      <c r="E2550" t="n">
        <v>2.6</v>
      </c>
      <c r="F2550" t="n">
        <v>2.608</v>
      </c>
      <c r="G2550" t="n">
        <v>10</v>
      </c>
      <c r="H2550" t="n">
        <v>60</v>
      </c>
      <c r="I2550" t="n">
        <v>58</v>
      </c>
      <c r="J2550" t="inlineStr">
        <is>
          <t>kaba</t>
        </is>
      </c>
      <c r="K2550" t="b">
        <v>1</v>
      </c>
      <c r="M2550" t="n">
        <v>58</v>
      </c>
      <c r="N2550" t="n">
        <v>28</v>
      </c>
      <c r="O2550" t="n">
        <v>38</v>
      </c>
      <c r="P2550" t="n">
        <v>944</v>
      </c>
      <c r="Q2550" t="n">
        <v>1002</v>
      </c>
      <c r="R2550" t="n">
        <v>5.663</v>
      </c>
      <c r="S2550" t="n">
        <v>106.707</v>
      </c>
      <c r="T2550" t="n">
        <v>18.841</v>
      </c>
      <c r="U2550" t="n">
        <v>0.778</v>
      </c>
      <c r="V2550" t="b">
        <v>1</v>
      </c>
      <c r="X2550" t="b">
        <v>0</v>
      </c>
      <c r="Y2550" t="inlineStr">
        <is>
          <t>FLAS</t>
        </is>
      </c>
      <c r="Z2550" t="n">
        <v>935</v>
      </c>
      <c r="AA2550" t="n">
        <v>2.5</v>
      </c>
      <c r="AB2550" t="n">
        <v>9.5</v>
      </c>
    </row>
    <row r="2551">
      <c r="A2551" t="inlineStr">
        <is>
          <t>2026-09-24 19:59:32</t>
        </is>
      </c>
      <c r="B2551" t="inlineStr">
        <is>
          <t>MLLB_000_y1.0.3</t>
        </is>
      </c>
      <c r="C2551" t="inlineStr">
        <is>
          <t>WHITE</t>
        </is>
      </c>
      <c r="D2551" t="inlineStr">
        <is>
          <t>v4_white_MLLB_000_y103_0924</t>
        </is>
      </c>
      <c r="E2551" t="n">
        <v>2.6</v>
      </c>
      <c r="F2551" t="n">
        <v>2.608</v>
      </c>
      <c r="G2551" t="n">
        <v>10</v>
      </c>
      <c r="H2551" t="n">
        <v>60</v>
      </c>
      <c r="I2551" t="n">
        <v>45</v>
      </c>
      <c r="J2551" t="inlineStr">
        <is>
          <t>ince</t>
        </is>
      </c>
      <c r="K2551" t="b">
        <v>1</v>
      </c>
      <c r="M2551" t="n">
        <v>78</v>
      </c>
      <c r="N2551" t="n">
        <v>32</v>
      </c>
      <c r="O2551" t="n">
        <v>58</v>
      </c>
      <c r="P2551" t="n">
        <v>924</v>
      </c>
      <c r="Q2551" t="n">
        <v>1002</v>
      </c>
      <c r="R2551" t="n">
        <v>1.072</v>
      </c>
      <c r="S2551" t="n">
        <v>20.176</v>
      </c>
      <c r="T2551" t="n">
        <v>18.813</v>
      </c>
      <c r="U2551" t="n">
        <v>0.7789</v>
      </c>
      <c r="V2551" t="b">
        <v>1</v>
      </c>
      <c r="X2551" t="b">
        <v>0</v>
      </c>
      <c r="Y2551" t="inlineStr">
        <is>
          <t>ON</t>
        </is>
      </c>
      <c r="Z2551" t="n">
        <v>935</v>
      </c>
      <c r="AA2551" t="n">
        <v>2.5</v>
      </c>
      <c r="AB2551" t="n">
        <v>9.5</v>
      </c>
    </row>
    <row r="2552">
      <c r="A2552" t="inlineStr">
        <is>
          <t>2026-09-24 19:59:48</t>
        </is>
      </c>
      <c r="B2552" t="inlineStr">
        <is>
          <t>MLLB_000_y1.0.3</t>
        </is>
      </c>
      <c r="C2552" t="inlineStr">
        <is>
          <t>WHITE</t>
        </is>
      </c>
      <c r="D2552" t="inlineStr">
        <is>
          <t>v4_white_MLLB_000_y103_0924</t>
        </is>
      </c>
      <c r="E2552" t="n">
        <v>2.6</v>
      </c>
      <c r="F2552" t="n">
        <v>2.608</v>
      </c>
      <c r="G2552" t="n">
        <v>10</v>
      </c>
      <c r="H2552" t="n">
        <v>60</v>
      </c>
      <c r="I2552" t="n">
        <v>46</v>
      </c>
      <c r="J2552" t="inlineStr">
        <is>
          <t>ince</t>
        </is>
      </c>
      <c r="K2552" t="b">
        <v>1</v>
      </c>
      <c r="M2552" t="n">
        <v>72</v>
      </c>
      <c r="N2552" t="n">
        <v>32</v>
      </c>
      <c r="O2552" t="n">
        <v>50</v>
      </c>
      <c r="P2552" t="n">
        <v>930</v>
      </c>
      <c r="Q2552" t="n">
        <v>1002</v>
      </c>
      <c r="R2552" t="n">
        <v>1.076</v>
      </c>
      <c r="S2552" t="n">
        <v>20.268</v>
      </c>
      <c r="T2552" t="n">
        <v>18.838</v>
      </c>
      <c r="U2552" t="n">
        <v>0.7785</v>
      </c>
      <c r="V2552" t="b">
        <v>1</v>
      </c>
      <c r="X2552" t="b">
        <v>0</v>
      </c>
      <c r="Y2552" t="inlineStr">
        <is>
          <t>ON</t>
        </is>
      </c>
      <c r="Z2552" t="n">
        <v>935</v>
      </c>
      <c r="AA2552" t="n">
        <v>2.5</v>
      </c>
      <c r="AB2552" t="n">
        <v>9.5</v>
      </c>
    </row>
    <row r="2553">
      <c r="A2553" t="inlineStr">
        <is>
          <t>2026-09-24 20:00:04</t>
        </is>
      </c>
      <c r="B2553" t="inlineStr">
        <is>
          <t>MLLB_000_y1.0.3</t>
        </is>
      </c>
      <c r="C2553" t="inlineStr">
        <is>
          <t>WHITE</t>
        </is>
      </c>
      <c r="D2553" t="inlineStr">
        <is>
          <t>v4_white_MLLB_000_y103_0924</t>
        </is>
      </c>
      <c r="E2553" t="n">
        <v>2.6</v>
      </c>
      <c r="F2553" t="n">
        <v>2.608</v>
      </c>
      <c r="G2553" t="n">
        <v>10</v>
      </c>
      <c r="H2553" t="n">
        <v>60</v>
      </c>
      <c r="I2553" t="n">
        <v>47</v>
      </c>
      <c r="J2553" t="inlineStr">
        <is>
          <t>ince</t>
        </is>
      </c>
      <c r="K2553" t="b">
        <v>1</v>
      </c>
      <c r="M2553" t="n">
        <v>64</v>
      </c>
      <c r="N2553" t="n">
        <v>30</v>
      </c>
      <c r="O2553" t="n">
        <v>44</v>
      </c>
      <c r="P2553" t="n">
        <v>938</v>
      </c>
      <c r="Q2553" t="n">
        <v>1002</v>
      </c>
      <c r="R2553" t="n">
        <v>1.076</v>
      </c>
      <c r="S2553" t="n">
        <v>20.268</v>
      </c>
      <c r="T2553" t="n">
        <v>18.84</v>
      </c>
      <c r="U2553" t="n">
        <v>0.7784</v>
      </c>
      <c r="V2553" t="b">
        <v>1</v>
      </c>
      <c r="X2553" t="b">
        <v>1</v>
      </c>
      <c r="Z2553" t="n">
        <v>935</v>
      </c>
      <c r="AA2553" t="n">
        <v>2.5</v>
      </c>
      <c r="AB2553" t="n">
        <v>9.5</v>
      </c>
    </row>
    <row r="2554">
      <c r="A2554" t="inlineStr">
        <is>
          <t>2026-09-24 20:00:05</t>
        </is>
      </c>
      <c r="B2554" t="inlineStr">
        <is>
          <t>MLLB_000_y1.0.3</t>
        </is>
      </c>
      <c r="C2554" t="inlineStr">
        <is>
          <t>WHITE</t>
        </is>
      </c>
      <c r="D2554" t="inlineStr">
        <is>
          <t>v4_white_MLLB_000_y103_0924</t>
        </is>
      </c>
      <c r="E2554" t="n">
        <v>2.6</v>
      </c>
      <c r="F2554" t="n">
        <v>2.608</v>
      </c>
      <c r="G2554" t="n">
        <v>10</v>
      </c>
      <c r="H2554" t="n">
        <v>60</v>
      </c>
      <c r="I2554" t="n">
        <v>49</v>
      </c>
      <c r="J2554" t="inlineStr">
        <is>
          <t>ince</t>
        </is>
      </c>
      <c r="K2554" t="b">
        <v>0</v>
      </c>
      <c r="L2554" t="inlineStr">
        <is>
          <t>iki-OK-arasi-monotonluk</t>
        </is>
      </c>
      <c r="X2554" t="b">
        <v>1</v>
      </c>
      <c r="Z2554" t="n">
        <v>935</v>
      </c>
      <c r="AA2554" t="n">
        <v>2.5</v>
      </c>
      <c r="AB2554" t="n">
        <v>9.5</v>
      </c>
    </row>
    <row r="2555">
      <c r="A2555" t="inlineStr">
        <is>
          <t>2026-09-24 20:00:05</t>
        </is>
      </c>
      <c r="B2555" t="inlineStr">
        <is>
          <t>MLLB_000_y1.0.3</t>
        </is>
      </c>
      <c r="C2555" t="inlineStr">
        <is>
          <t>WHITE</t>
        </is>
      </c>
      <c r="D2555" t="inlineStr">
        <is>
          <t>v4_white_MLLB_000_y103_0924</t>
        </is>
      </c>
      <c r="E2555" t="n">
        <v>2.6</v>
      </c>
      <c r="F2555" t="n">
        <v>2.608</v>
      </c>
      <c r="G2555" t="n">
        <v>10</v>
      </c>
      <c r="H2555" t="n">
        <v>60</v>
      </c>
      <c r="I2555" t="n">
        <v>50</v>
      </c>
      <c r="J2555" t="inlineStr">
        <is>
          <t>ince</t>
        </is>
      </c>
      <c r="K2555" t="b">
        <v>0</v>
      </c>
      <c r="L2555" t="inlineStr">
        <is>
          <t>iki-OK-arasi-monotonluk</t>
        </is>
      </c>
      <c r="X2555" t="b">
        <v>1</v>
      </c>
      <c r="Z2555" t="n">
        <v>935</v>
      </c>
      <c r="AA2555" t="n">
        <v>2.5</v>
      </c>
      <c r="AB2555" t="n">
        <v>9.5</v>
      </c>
    </row>
    <row r="2556">
      <c r="A2556" t="inlineStr">
        <is>
          <t>2026-09-24 20:00:05</t>
        </is>
      </c>
      <c r="B2556" t="inlineStr">
        <is>
          <t>MLLB_000_y1.0.3</t>
        </is>
      </c>
      <c r="C2556" t="inlineStr">
        <is>
          <t>WHITE</t>
        </is>
      </c>
      <c r="D2556" t="inlineStr">
        <is>
          <t>v4_white_MLLB_000_y103_0924</t>
        </is>
      </c>
      <c r="E2556" t="n">
        <v>2.6</v>
      </c>
      <c r="F2556" t="n">
        <v>2.608</v>
      </c>
      <c r="G2556" t="n">
        <v>10</v>
      </c>
      <c r="H2556" t="n">
        <v>60</v>
      </c>
      <c r="I2556" t="n">
        <v>51</v>
      </c>
      <c r="J2556" t="inlineStr">
        <is>
          <t>ince</t>
        </is>
      </c>
      <c r="K2556" t="b">
        <v>0</v>
      </c>
      <c r="L2556" t="inlineStr">
        <is>
          <t>iki-OK-arasi-monotonluk</t>
        </is>
      </c>
      <c r="X2556" t="b">
        <v>1</v>
      </c>
      <c r="Z2556" t="n">
        <v>935</v>
      </c>
      <c r="AA2556" t="n">
        <v>2.5</v>
      </c>
      <c r="AB2556" t="n">
        <v>9.5</v>
      </c>
    </row>
    <row r="2557">
      <c r="A2557" t="inlineStr">
        <is>
          <t>2026-09-24 20:00:20</t>
        </is>
      </c>
      <c r="B2557" t="inlineStr">
        <is>
          <t>MLLB_000_y1.0.3</t>
        </is>
      </c>
      <c r="C2557" t="inlineStr">
        <is>
          <t>WHITE</t>
        </is>
      </c>
      <c r="D2557" t="inlineStr">
        <is>
          <t>v4_white_MLLB_000_y103_0924</t>
        </is>
      </c>
      <c r="E2557" t="n">
        <v>2.6</v>
      </c>
      <c r="F2557" t="n">
        <v>2.608</v>
      </c>
      <c r="G2557" t="n">
        <v>10</v>
      </c>
      <c r="H2557" t="n">
        <v>60</v>
      </c>
      <c r="I2557" t="n">
        <v>53</v>
      </c>
      <c r="J2557" t="inlineStr">
        <is>
          <t>ince</t>
        </is>
      </c>
      <c r="K2557" t="b">
        <v>1</v>
      </c>
      <c r="M2557" t="n">
        <v>58</v>
      </c>
      <c r="N2557" t="n">
        <v>28</v>
      </c>
      <c r="O2557" t="n">
        <v>38</v>
      </c>
      <c r="P2557" t="n">
        <v>944</v>
      </c>
      <c r="Q2557" t="n">
        <v>1002</v>
      </c>
      <c r="R2557" t="n">
        <v>2.538</v>
      </c>
      <c r="S2557" t="n">
        <v>47.816</v>
      </c>
      <c r="T2557" t="n">
        <v>18.842</v>
      </c>
      <c r="U2557" t="n">
        <v>0.7781</v>
      </c>
      <c r="V2557" t="b">
        <v>1</v>
      </c>
      <c r="X2557" t="b">
        <v>0</v>
      </c>
      <c r="Y2557" t="inlineStr">
        <is>
          <t>FLAS</t>
        </is>
      </c>
      <c r="Z2557" t="n">
        <v>935</v>
      </c>
      <c r="AA2557" t="n">
        <v>2.5</v>
      </c>
      <c r="AB2557" t="n">
        <v>9.5</v>
      </c>
    </row>
    <row r="2558">
      <c r="A2558" t="inlineStr">
        <is>
          <t>2026-09-24 20:00:36</t>
        </is>
      </c>
      <c r="B2558" t="inlineStr">
        <is>
          <t>MLLB_000_y1.0.3</t>
        </is>
      </c>
      <c r="C2558" t="inlineStr">
        <is>
          <t>WHITE</t>
        </is>
      </c>
      <c r="D2558" t="inlineStr">
        <is>
          <t>v4_white_MLLB_000_y103_0924</t>
        </is>
      </c>
      <c r="E2558" t="n">
        <v>2.6</v>
      </c>
      <c r="F2558" t="n">
        <v>2.608</v>
      </c>
      <c r="G2558" t="n">
        <v>10</v>
      </c>
      <c r="H2558" t="n">
        <v>60</v>
      </c>
      <c r="I2558" t="n">
        <v>54</v>
      </c>
      <c r="J2558" t="inlineStr">
        <is>
          <t>ince</t>
        </is>
      </c>
      <c r="K2558" t="b">
        <v>1</v>
      </c>
      <c r="M2558" t="n">
        <v>58</v>
      </c>
      <c r="N2558" t="n">
        <v>28</v>
      </c>
      <c r="O2558" t="n">
        <v>38</v>
      </c>
      <c r="P2558" t="n">
        <v>944</v>
      </c>
      <c r="Q2558" t="n">
        <v>1002</v>
      </c>
      <c r="R2558" t="n">
        <v>2.926</v>
      </c>
      <c r="S2558" t="n">
        <v>55.152</v>
      </c>
      <c r="T2558" t="n">
        <v>18.848</v>
      </c>
      <c r="U2558" t="n">
        <v>0.7782</v>
      </c>
      <c r="V2558" t="b">
        <v>1</v>
      </c>
      <c r="X2558" t="b">
        <v>0</v>
      </c>
      <c r="Y2558" t="inlineStr">
        <is>
          <t>FLAS</t>
        </is>
      </c>
      <c r="Z2558" t="n">
        <v>935</v>
      </c>
      <c r="AA2558" t="n">
        <v>2.5</v>
      </c>
      <c r="AB2558" t="n">
        <v>9.5</v>
      </c>
    </row>
    <row r="2559">
      <c r="A2559" t="inlineStr">
        <is>
          <t>2026-09-24 20:00:52</t>
        </is>
      </c>
      <c r="B2559" t="inlineStr">
        <is>
          <t>MLLB_000_y1.0.3</t>
        </is>
      </c>
      <c r="C2559" t="inlineStr">
        <is>
          <t>WHITE</t>
        </is>
      </c>
      <c r="D2559" t="inlineStr">
        <is>
          <t>v4_white_MLLB_000_y103_0924</t>
        </is>
      </c>
      <c r="E2559" t="n">
        <v>2.6</v>
      </c>
      <c r="F2559" t="n">
        <v>2.608</v>
      </c>
      <c r="G2559" t="n">
        <v>10</v>
      </c>
      <c r="H2559" t="n">
        <v>60</v>
      </c>
      <c r="I2559" t="n">
        <v>55</v>
      </c>
      <c r="J2559" t="inlineStr">
        <is>
          <t>ince</t>
        </is>
      </c>
      <c r="K2559" t="b">
        <v>1</v>
      </c>
      <c r="M2559" t="n">
        <v>58</v>
      </c>
      <c r="N2559" t="n">
        <v>28</v>
      </c>
      <c r="O2559" t="n">
        <v>38</v>
      </c>
      <c r="P2559" t="n">
        <v>944</v>
      </c>
      <c r="Q2559" t="n">
        <v>1002</v>
      </c>
      <c r="R2559" t="n">
        <v>4.466</v>
      </c>
      <c r="S2559" t="n">
        <v>84.152</v>
      </c>
      <c r="T2559" t="n">
        <v>18.844</v>
      </c>
      <c r="U2559" t="n">
        <v>0.7772</v>
      </c>
      <c r="V2559" t="b">
        <v>1</v>
      </c>
      <c r="X2559" t="b">
        <v>0</v>
      </c>
      <c r="Y2559" t="inlineStr">
        <is>
          <t>FLAS</t>
        </is>
      </c>
      <c r="Z2559" t="n">
        <v>935</v>
      </c>
      <c r="AA2559" t="n">
        <v>2.5</v>
      </c>
      <c r="AB2559" t="n">
        <v>9.5</v>
      </c>
    </row>
    <row r="2560">
      <c r="A2560" t="inlineStr">
        <is>
          <t>2026-09-24 20:00:53</t>
        </is>
      </c>
      <c r="B2560" t="inlineStr">
        <is>
          <t>MLLB_000_y1.0.3</t>
        </is>
      </c>
      <c r="C2560" t="inlineStr">
        <is>
          <t>WHITE</t>
        </is>
      </c>
      <c r="D2560" t="inlineStr">
        <is>
          <t>v4_white_MLLB_000_y103_0924</t>
        </is>
      </c>
      <c r="E2560" t="n">
        <v>2.6</v>
      </c>
      <c r="F2560" t="n">
        <v>2.608</v>
      </c>
      <c r="G2560" t="n">
        <v>10</v>
      </c>
      <c r="H2560" t="n">
        <v>60</v>
      </c>
      <c r="J2560" t="inlineStr">
        <is>
          <t>bitti</t>
        </is>
      </c>
      <c r="K2560" t="b">
        <v>0</v>
      </c>
      <c r="Z2560" t="n">
        <v>935</v>
      </c>
      <c r="AA2560" t="n">
        <v>2.5</v>
      </c>
      <c r="AB2560" t="n">
        <v>9.5</v>
      </c>
    </row>
    <row r="2561">
      <c r="A2561" t="inlineStr">
        <is>
          <t>2026-09-24 20:01:14</t>
        </is>
      </c>
      <c r="B2561" t="inlineStr">
        <is>
          <t>MLLB_000_y1.0.3</t>
        </is>
      </c>
      <c r="C2561" t="inlineStr">
        <is>
          <t>WHITE</t>
        </is>
      </c>
      <c r="D2561" t="inlineStr">
        <is>
          <t>v4_white_MLLB_000_y103_0924</t>
        </is>
      </c>
      <c r="E2561" t="n">
        <v>2.6</v>
      </c>
      <c r="F2561" t="n">
        <v>2.608</v>
      </c>
      <c r="G2561" t="n">
        <v>15</v>
      </c>
      <c r="H2561" t="n">
        <v>100</v>
      </c>
      <c r="I2561" t="n">
        <v>12</v>
      </c>
      <c r="J2561" t="inlineStr">
        <is>
          <t>kaba</t>
        </is>
      </c>
      <c r="K2561" t="b">
        <v>1</v>
      </c>
      <c r="M2561" t="n">
        <v>152</v>
      </c>
      <c r="N2561" t="n">
        <v>28</v>
      </c>
      <c r="O2561" t="n">
        <v>134</v>
      </c>
      <c r="P2561" t="n">
        <v>850</v>
      </c>
      <c r="Q2561" t="n">
        <v>1002</v>
      </c>
      <c r="R2561" t="n">
        <v>1.075</v>
      </c>
      <c r="S2561" t="n">
        <v>33.354</v>
      </c>
      <c r="T2561" t="n">
        <v>31.021</v>
      </c>
      <c r="U2561" t="n">
        <v>0.7774</v>
      </c>
      <c r="V2561" t="b">
        <v>1</v>
      </c>
      <c r="X2561" t="b">
        <v>0</v>
      </c>
      <c r="Y2561" t="inlineStr">
        <is>
          <t>ON</t>
        </is>
      </c>
      <c r="Z2561" t="n">
        <v>935</v>
      </c>
      <c r="AA2561" t="n">
        <v>2.5</v>
      </c>
      <c r="AB2561" t="n">
        <v>9.5</v>
      </c>
    </row>
    <row r="2562">
      <c r="A2562" t="inlineStr">
        <is>
          <t>2026-09-24 20:01:30</t>
        </is>
      </c>
      <c r="B2562" t="inlineStr">
        <is>
          <t>MLLB_000_y1.0.3</t>
        </is>
      </c>
      <c r="C2562" t="inlineStr">
        <is>
          <t>WHITE</t>
        </is>
      </c>
      <c r="D2562" t="inlineStr">
        <is>
          <t>v4_white_MLLB_000_y103_0924</t>
        </is>
      </c>
      <c r="E2562" t="n">
        <v>2.6</v>
      </c>
      <c r="F2562" t="n">
        <v>2.608</v>
      </c>
      <c r="G2562" t="n">
        <v>15</v>
      </c>
      <c r="H2562" t="n">
        <v>100</v>
      </c>
      <c r="I2562" t="n">
        <v>16</v>
      </c>
      <c r="J2562" t="inlineStr">
        <is>
          <t>kaba</t>
        </is>
      </c>
      <c r="K2562" t="b">
        <v>1</v>
      </c>
      <c r="M2562" t="n">
        <v>128</v>
      </c>
      <c r="N2562" t="n">
        <v>30</v>
      </c>
      <c r="O2562" t="n">
        <v>108</v>
      </c>
      <c r="P2562" t="n">
        <v>874</v>
      </c>
      <c r="Q2562" t="n">
        <v>1002</v>
      </c>
      <c r="R2562" t="n">
        <v>1.073</v>
      </c>
      <c r="S2562" t="n">
        <v>33.341</v>
      </c>
      <c r="T2562" t="n">
        <v>31.071</v>
      </c>
      <c r="U2562" t="n">
        <v>0.7778</v>
      </c>
      <c r="V2562" t="b">
        <v>1</v>
      </c>
      <c r="X2562" t="b">
        <v>0</v>
      </c>
      <c r="Y2562" t="inlineStr">
        <is>
          <t>ON</t>
        </is>
      </c>
      <c r="Z2562" t="n">
        <v>935</v>
      </c>
      <c r="AA2562" t="n">
        <v>2.5</v>
      </c>
      <c r="AB2562" t="n">
        <v>9.5</v>
      </c>
    </row>
    <row r="2563">
      <c r="A2563" t="inlineStr">
        <is>
          <t>2026-09-24 20:01:46</t>
        </is>
      </c>
      <c r="B2563" t="inlineStr">
        <is>
          <t>MLLB_000_y1.0.3</t>
        </is>
      </c>
      <c r="C2563" t="inlineStr">
        <is>
          <t>WHITE</t>
        </is>
      </c>
      <c r="D2563" t="inlineStr">
        <is>
          <t>v4_white_MLLB_000_y103_0924</t>
        </is>
      </c>
      <c r="E2563" t="n">
        <v>2.6</v>
      </c>
      <c r="F2563" t="n">
        <v>2.608</v>
      </c>
      <c r="G2563" t="n">
        <v>15</v>
      </c>
      <c r="H2563" t="n">
        <v>100</v>
      </c>
      <c r="I2563" t="n">
        <v>20</v>
      </c>
      <c r="J2563" t="inlineStr">
        <is>
          <t>kaba</t>
        </is>
      </c>
      <c r="K2563" t="b">
        <v>1</v>
      </c>
      <c r="M2563" t="n">
        <v>104</v>
      </c>
      <c r="N2563" t="n">
        <v>30</v>
      </c>
      <c r="O2563" t="n">
        <v>84</v>
      </c>
      <c r="P2563" t="n">
        <v>898</v>
      </c>
      <c r="Q2563" t="n">
        <v>1002</v>
      </c>
      <c r="R2563" t="n">
        <v>1.073</v>
      </c>
      <c r="S2563" t="n">
        <v>33.36</v>
      </c>
      <c r="T2563" t="n">
        <v>31.097</v>
      </c>
      <c r="U2563" t="n">
        <v>0.7779</v>
      </c>
      <c r="V2563" t="b">
        <v>1</v>
      </c>
      <c r="X2563" t="b">
        <v>0</v>
      </c>
      <c r="Y2563" t="inlineStr">
        <is>
          <t>ON</t>
        </is>
      </c>
      <c r="Z2563" t="n">
        <v>935</v>
      </c>
      <c r="AA2563" t="n">
        <v>2.5</v>
      </c>
      <c r="AB2563" t="n">
        <v>9.5</v>
      </c>
    </row>
    <row r="2564">
      <c r="A2564" t="inlineStr">
        <is>
          <t>2026-09-24 20:02:02</t>
        </is>
      </c>
      <c r="B2564" t="inlineStr">
        <is>
          <t>MLLB_000_y1.0.3</t>
        </is>
      </c>
      <c r="C2564" t="inlineStr">
        <is>
          <t>WHITE</t>
        </is>
      </c>
      <c r="D2564" t="inlineStr">
        <is>
          <t>v4_white_MLLB_000_y103_0924</t>
        </is>
      </c>
      <c r="E2564" t="n">
        <v>2.6</v>
      </c>
      <c r="F2564" t="n">
        <v>2.608</v>
      </c>
      <c r="G2564" t="n">
        <v>15</v>
      </c>
      <c r="H2564" t="n">
        <v>100</v>
      </c>
      <c r="I2564" t="n">
        <v>24</v>
      </c>
      <c r="J2564" t="inlineStr">
        <is>
          <t>kaba</t>
        </is>
      </c>
      <c r="K2564" t="b">
        <v>1</v>
      </c>
      <c r="M2564" t="n">
        <v>78</v>
      </c>
      <c r="N2564" t="n">
        <v>28</v>
      </c>
      <c r="O2564" t="n">
        <v>58</v>
      </c>
      <c r="P2564" t="n">
        <v>924</v>
      </c>
      <c r="Q2564" t="n">
        <v>1002</v>
      </c>
      <c r="R2564" t="n">
        <v>1.071</v>
      </c>
      <c r="S2564" t="n">
        <v>33.364</v>
      </c>
      <c r="T2564" t="n">
        <v>31.154</v>
      </c>
      <c r="U2564" t="n">
        <v>0.7779</v>
      </c>
      <c r="V2564" t="b">
        <v>1</v>
      </c>
      <c r="X2564" t="b">
        <v>0</v>
      </c>
      <c r="Y2564" t="inlineStr">
        <is>
          <t>ON</t>
        </is>
      </c>
      <c r="Z2564" t="n">
        <v>935</v>
      </c>
      <c r="AA2564" t="n">
        <v>2.5</v>
      </c>
      <c r="AB2564" t="n">
        <v>9.5</v>
      </c>
    </row>
    <row r="2565">
      <c r="A2565" t="inlineStr">
        <is>
          <t>2026-09-24 20:02:18</t>
        </is>
      </c>
      <c r="B2565" t="inlineStr">
        <is>
          <t>MLLB_000_y1.0.3</t>
        </is>
      </c>
      <c r="C2565" t="inlineStr">
        <is>
          <t>WHITE</t>
        </is>
      </c>
      <c r="D2565" t="inlineStr">
        <is>
          <t>v4_white_MLLB_000_y103_0924</t>
        </is>
      </c>
      <c r="E2565" t="n">
        <v>2.6</v>
      </c>
      <c r="F2565" t="n">
        <v>2.608</v>
      </c>
      <c r="G2565" t="n">
        <v>15</v>
      </c>
      <c r="H2565" t="n">
        <v>100</v>
      </c>
      <c r="I2565" t="n">
        <v>28</v>
      </c>
      <c r="J2565" t="inlineStr">
        <is>
          <t>kaba</t>
        </is>
      </c>
      <c r="K2565" t="b">
        <v>1</v>
      </c>
      <c r="M2565" t="n">
        <v>54</v>
      </c>
      <c r="N2565" t="n">
        <v>28</v>
      </c>
      <c r="O2565" t="n">
        <v>34</v>
      </c>
      <c r="P2565" t="n">
        <v>948</v>
      </c>
      <c r="Q2565" t="n">
        <v>1002</v>
      </c>
      <c r="R2565" t="n">
        <v>1.068</v>
      </c>
      <c r="S2565" t="n">
        <v>33.252</v>
      </c>
      <c r="T2565" t="n">
        <v>31.143</v>
      </c>
      <c r="U2565" t="n">
        <v>0.7784</v>
      </c>
      <c r="V2565" t="b">
        <v>1</v>
      </c>
      <c r="X2565" t="b">
        <v>1</v>
      </c>
      <c r="Z2565" t="n">
        <v>935</v>
      </c>
      <c r="AA2565" t="n">
        <v>2.5</v>
      </c>
      <c r="AB2565" t="n">
        <v>9.5</v>
      </c>
    </row>
    <row r="2566">
      <c r="A2566" t="inlineStr">
        <is>
          <t>2026-09-24 20:02:34</t>
        </is>
      </c>
      <c r="B2566" t="inlineStr">
        <is>
          <t>MLLB_000_y1.0.3</t>
        </is>
      </c>
      <c r="C2566" t="inlineStr">
        <is>
          <t>WHITE</t>
        </is>
      </c>
      <c r="D2566" t="inlineStr">
        <is>
          <t>v4_white_MLLB_000_y103_0924</t>
        </is>
      </c>
      <c r="E2566" t="n">
        <v>2.6</v>
      </c>
      <c r="F2566" t="n">
        <v>2.608</v>
      </c>
      <c r="G2566" t="n">
        <v>15</v>
      </c>
      <c r="H2566" t="n">
        <v>100</v>
      </c>
      <c r="I2566" t="n">
        <v>32</v>
      </c>
      <c r="J2566" t="inlineStr">
        <is>
          <t>kaba</t>
        </is>
      </c>
      <c r="K2566" t="b">
        <v>1</v>
      </c>
      <c r="M2566" t="n">
        <v>38</v>
      </c>
      <c r="N2566" t="n">
        <v>28</v>
      </c>
      <c r="O2566" t="n">
        <v>18</v>
      </c>
      <c r="P2566" t="n">
        <v>964</v>
      </c>
      <c r="Q2566" t="n">
        <v>1002</v>
      </c>
      <c r="R2566" t="n">
        <v>1.068</v>
      </c>
      <c r="S2566" t="n">
        <v>33.303</v>
      </c>
      <c r="T2566" t="n">
        <v>31.188</v>
      </c>
      <c r="U2566" t="n">
        <v>0.7782</v>
      </c>
      <c r="V2566" t="b">
        <v>1</v>
      </c>
      <c r="X2566" t="b">
        <v>1</v>
      </c>
      <c r="Z2566" t="n">
        <v>935</v>
      </c>
      <c r="AA2566" t="n">
        <v>2.5</v>
      </c>
      <c r="AB2566" t="n">
        <v>9.5</v>
      </c>
    </row>
    <row r="2567">
      <c r="A2567" t="inlineStr">
        <is>
          <t>2026-09-24 20:02:50</t>
        </is>
      </c>
      <c r="B2567" t="inlineStr">
        <is>
          <t>MLLB_000_y1.0.3</t>
        </is>
      </c>
      <c r="C2567" t="inlineStr">
        <is>
          <t>WHITE</t>
        </is>
      </c>
      <c r="D2567" t="inlineStr">
        <is>
          <t>v4_white_MLLB_000_y103_0924</t>
        </is>
      </c>
      <c r="E2567" t="n">
        <v>2.6</v>
      </c>
      <c r="F2567" t="n">
        <v>2.608</v>
      </c>
      <c r="G2567" t="n">
        <v>15</v>
      </c>
      <c r="H2567" t="n">
        <v>100</v>
      </c>
      <c r="I2567" t="n">
        <v>36</v>
      </c>
      <c r="J2567" t="inlineStr">
        <is>
          <t>kaba</t>
        </is>
      </c>
      <c r="K2567" t="b">
        <v>1</v>
      </c>
      <c r="M2567" t="n">
        <v>38</v>
      </c>
      <c r="N2567" t="n">
        <v>28</v>
      </c>
      <c r="O2567" t="n">
        <v>18</v>
      </c>
      <c r="P2567" t="n">
        <v>964</v>
      </c>
      <c r="Q2567" t="n">
        <v>1002</v>
      </c>
      <c r="R2567" t="n">
        <v>3.861</v>
      </c>
      <c r="S2567" t="n">
        <v>120.341</v>
      </c>
      <c r="T2567" t="n">
        <v>31.166</v>
      </c>
      <c r="U2567" t="n">
        <v>0.7785</v>
      </c>
      <c r="V2567" t="b">
        <v>1</v>
      </c>
      <c r="X2567" t="b">
        <v>0</v>
      </c>
      <c r="Y2567" t="inlineStr">
        <is>
          <t>FLAS</t>
        </is>
      </c>
      <c r="Z2567" t="n">
        <v>935</v>
      </c>
      <c r="AA2567" t="n">
        <v>2.5</v>
      </c>
      <c r="AB2567" t="n">
        <v>9.5</v>
      </c>
    </row>
    <row r="2568">
      <c r="A2568" t="inlineStr">
        <is>
          <t>2026-09-24 20:03:06</t>
        </is>
      </c>
      <c r="B2568" t="inlineStr">
        <is>
          <t>MLLB_000_y1.0.3</t>
        </is>
      </c>
      <c r="C2568" t="inlineStr">
        <is>
          <t>WHITE</t>
        </is>
      </c>
      <c r="D2568" t="inlineStr">
        <is>
          <t>v4_white_MLLB_000_y103_0924</t>
        </is>
      </c>
      <c r="E2568" t="n">
        <v>2.6</v>
      </c>
      <c r="F2568" t="n">
        <v>2.608</v>
      </c>
      <c r="G2568" t="n">
        <v>15</v>
      </c>
      <c r="H2568" t="n">
        <v>100</v>
      </c>
      <c r="I2568" t="n">
        <v>40</v>
      </c>
      <c r="J2568" t="inlineStr">
        <is>
          <t>kaba</t>
        </is>
      </c>
      <c r="K2568" t="b">
        <v>1</v>
      </c>
      <c r="M2568" t="n">
        <v>38</v>
      </c>
      <c r="N2568" t="n">
        <v>28</v>
      </c>
      <c r="O2568" t="n">
        <v>18</v>
      </c>
      <c r="P2568" t="n">
        <v>964</v>
      </c>
      <c r="Q2568" t="n">
        <v>1002</v>
      </c>
      <c r="R2568" t="n">
        <v>5.369</v>
      </c>
      <c r="S2568" t="n">
        <v>167.301</v>
      </c>
      <c r="T2568" t="n">
        <v>31.161</v>
      </c>
      <c r="U2568" t="n">
        <v>0.7782</v>
      </c>
      <c r="V2568" t="b">
        <v>1</v>
      </c>
      <c r="X2568" t="b">
        <v>0</v>
      </c>
      <c r="Y2568" t="inlineStr">
        <is>
          <t>FLAS</t>
        </is>
      </c>
      <c r="Z2568" t="n">
        <v>935</v>
      </c>
      <c r="AA2568" t="n">
        <v>2.5</v>
      </c>
      <c r="AB2568" t="n">
        <v>9.5</v>
      </c>
    </row>
    <row r="2569">
      <c r="A2569" t="inlineStr">
        <is>
          <t>2026-09-24 20:03:22</t>
        </is>
      </c>
      <c r="B2569" t="inlineStr">
        <is>
          <t>MLLB_000_y1.0.3</t>
        </is>
      </c>
      <c r="C2569" t="inlineStr">
        <is>
          <t>WHITE</t>
        </is>
      </c>
      <c r="D2569" t="inlineStr">
        <is>
          <t>v4_white_MLLB_000_y103_0924</t>
        </is>
      </c>
      <c r="E2569" t="n">
        <v>2.6</v>
      </c>
      <c r="F2569" t="n">
        <v>2.608</v>
      </c>
      <c r="G2569" t="n">
        <v>15</v>
      </c>
      <c r="H2569" t="n">
        <v>100</v>
      </c>
      <c r="I2569" t="n">
        <v>25</v>
      </c>
      <c r="J2569" t="inlineStr">
        <is>
          <t>ince</t>
        </is>
      </c>
      <c r="K2569" t="b">
        <v>1</v>
      </c>
      <c r="M2569" t="n">
        <v>72</v>
      </c>
      <c r="N2569" t="n">
        <v>30</v>
      </c>
      <c r="O2569" t="n">
        <v>52</v>
      </c>
      <c r="P2569" t="n">
        <v>930</v>
      </c>
      <c r="Q2569" t="n">
        <v>1002</v>
      </c>
      <c r="R2569" t="n">
        <v>1.071</v>
      </c>
      <c r="S2569" t="n">
        <v>33.352</v>
      </c>
      <c r="T2569" t="n">
        <v>31.147</v>
      </c>
      <c r="U2569" t="n">
        <v>0.7781</v>
      </c>
      <c r="V2569" t="b">
        <v>1</v>
      </c>
      <c r="X2569" t="b">
        <v>0</v>
      </c>
      <c r="Y2569" t="inlineStr">
        <is>
          <t>ON</t>
        </is>
      </c>
      <c r="Z2569" t="n">
        <v>935</v>
      </c>
      <c r="AA2569" t="n">
        <v>2.5</v>
      </c>
      <c r="AB2569" t="n">
        <v>9.5</v>
      </c>
    </row>
    <row r="2570">
      <c r="A2570" t="inlineStr">
        <is>
          <t>2026-09-24 20:03:38</t>
        </is>
      </c>
      <c r="B2570" t="inlineStr">
        <is>
          <t>MLLB_000_y1.0.3</t>
        </is>
      </c>
      <c r="C2570" t="inlineStr">
        <is>
          <t>WHITE</t>
        </is>
      </c>
      <c r="D2570" t="inlineStr">
        <is>
          <t>v4_white_MLLB_000_y103_0924</t>
        </is>
      </c>
      <c r="E2570" t="n">
        <v>2.6</v>
      </c>
      <c r="F2570" t="n">
        <v>2.608</v>
      </c>
      <c r="G2570" t="n">
        <v>15</v>
      </c>
      <c r="H2570" t="n">
        <v>100</v>
      </c>
      <c r="I2570" t="n">
        <v>26</v>
      </c>
      <c r="J2570" t="inlineStr">
        <is>
          <t>ince</t>
        </is>
      </c>
      <c r="K2570" t="b">
        <v>1</v>
      </c>
      <c r="M2570" t="n">
        <v>66</v>
      </c>
      <c r="N2570" t="n">
        <v>28</v>
      </c>
      <c r="O2570" t="n">
        <v>46</v>
      </c>
      <c r="P2570" t="n">
        <v>936</v>
      </c>
      <c r="Q2570" t="n">
        <v>1002</v>
      </c>
      <c r="R2570" t="n">
        <v>1.07</v>
      </c>
      <c r="S2570" t="n">
        <v>33.322</v>
      </c>
      <c r="T2570" t="n">
        <v>31.152</v>
      </c>
      <c r="U2570" t="n">
        <v>0.7774</v>
      </c>
      <c r="V2570" t="b">
        <v>1</v>
      </c>
      <c r="X2570" t="b">
        <v>1</v>
      </c>
      <c r="Z2570" t="n">
        <v>935</v>
      </c>
      <c r="AA2570" t="n">
        <v>2.5</v>
      </c>
      <c r="AB2570" t="n">
        <v>9.5</v>
      </c>
    </row>
    <row r="2571">
      <c r="A2571" t="inlineStr">
        <is>
          <t>2026-09-24 20:03:54</t>
        </is>
      </c>
      <c r="B2571" t="inlineStr">
        <is>
          <t>MLLB_000_y1.0.3</t>
        </is>
      </c>
      <c r="C2571" t="inlineStr">
        <is>
          <t>WHITE</t>
        </is>
      </c>
      <c r="D2571" t="inlineStr">
        <is>
          <t>v4_white_MLLB_000_y103_0924</t>
        </is>
      </c>
      <c r="E2571" t="n">
        <v>2.6</v>
      </c>
      <c r="F2571" t="n">
        <v>2.608</v>
      </c>
      <c r="G2571" t="n">
        <v>15</v>
      </c>
      <c r="H2571" t="n">
        <v>100</v>
      </c>
      <c r="I2571" t="n">
        <v>27</v>
      </c>
      <c r="J2571" t="inlineStr">
        <is>
          <t>ince</t>
        </is>
      </c>
      <c r="K2571" t="b">
        <v>1</v>
      </c>
      <c r="M2571" t="n">
        <v>60</v>
      </c>
      <c r="N2571" t="n">
        <v>30</v>
      </c>
      <c r="O2571" t="n">
        <v>40</v>
      </c>
      <c r="P2571" t="n">
        <v>942</v>
      </c>
      <c r="Q2571" t="n">
        <v>1002</v>
      </c>
      <c r="R2571" t="n">
        <v>1.069</v>
      </c>
      <c r="S2571" t="n">
        <v>33.347</v>
      </c>
      <c r="T2571" t="n">
        <v>31.188</v>
      </c>
      <c r="U2571" t="n">
        <v>0.778</v>
      </c>
      <c r="V2571" t="b">
        <v>1</v>
      </c>
      <c r="X2571" t="b">
        <v>1</v>
      </c>
      <c r="Z2571" t="n">
        <v>935</v>
      </c>
      <c r="AA2571" t="n">
        <v>2.5</v>
      </c>
      <c r="AB2571" t="n">
        <v>9.5</v>
      </c>
    </row>
    <row r="2572">
      <c r="A2572" t="inlineStr">
        <is>
          <t>2026-09-24 20:03:54</t>
        </is>
      </c>
      <c r="B2572" t="inlineStr">
        <is>
          <t>MLLB_000_y1.0.3</t>
        </is>
      </c>
      <c r="C2572" t="inlineStr">
        <is>
          <t>WHITE</t>
        </is>
      </c>
      <c r="D2572" t="inlineStr">
        <is>
          <t>v4_white_MLLB_000_y103_0924</t>
        </is>
      </c>
      <c r="E2572" t="n">
        <v>2.6</v>
      </c>
      <c r="F2572" t="n">
        <v>2.608</v>
      </c>
      <c r="G2572" t="n">
        <v>15</v>
      </c>
      <c r="H2572" t="n">
        <v>100</v>
      </c>
      <c r="I2572" t="n">
        <v>29</v>
      </c>
      <c r="J2572" t="inlineStr">
        <is>
          <t>ince</t>
        </is>
      </c>
      <c r="K2572" t="b">
        <v>0</v>
      </c>
      <c r="L2572" t="inlineStr">
        <is>
          <t>iki-OK-arasi-monotonluk</t>
        </is>
      </c>
      <c r="X2572" t="b">
        <v>1</v>
      </c>
      <c r="Z2572" t="n">
        <v>935</v>
      </c>
      <c r="AA2572" t="n">
        <v>2.5</v>
      </c>
      <c r="AB2572" t="n">
        <v>9.5</v>
      </c>
    </row>
    <row r="2573">
      <c r="A2573" t="inlineStr">
        <is>
          <t>2026-09-24 20:03:54</t>
        </is>
      </c>
      <c r="B2573" t="inlineStr">
        <is>
          <t>MLLB_000_y1.0.3</t>
        </is>
      </c>
      <c r="C2573" t="inlineStr">
        <is>
          <t>WHITE</t>
        </is>
      </c>
      <c r="D2573" t="inlineStr">
        <is>
          <t>v4_white_MLLB_000_y103_0924</t>
        </is>
      </c>
      <c r="E2573" t="n">
        <v>2.6</v>
      </c>
      <c r="F2573" t="n">
        <v>2.608</v>
      </c>
      <c r="G2573" t="n">
        <v>15</v>
      </c>
      <c r="H2573" t="n">
        <v>100</v>
      </c>
      <c r="I2573" t="n">
        <v>30</v>
      </c>
      <c r="J2573" t="inlineStr">
        <is>
          <t>ince</t>
        </is>
      </c>
      <c r="K2573" t="b">
        <v>0</v>
      </c>
      <c r="L2573" t="inlineStr">
        <is>
          <t>iki-OK-arasi-monotonluk</t>
        </is>
      </c>
      <c r="X2573" t="b">
        <v>1</v>
      </c>
      <c r="Z2573" t="n">
        <v>935</v>
      </c>
      <c r="AA2573" t="n">
        <v>2.5</v>
      </c>
      <c r="AB2573" t="n">
        <v>9.5</v>
      </c>
    </row>
    <row r="2574">
      <c r="A2574" t="inlineStr">
        <is>
          <t>2026-09-24 20:03:54</t>
        </is>
      </c>
      <c r="B2574" t="inlineStr">
        <is>
          <t>MLLB_000_y1.0.3</t>
        </is>
      </c>
      <c r="C2574" t="inlineStr">
        <is>
          <t>WHITE</t>
        </is>
      </c>
      <c r="D2574" t="inlineStr">
        <is>
          <t>v4_white_MLLB_000_y103_0924</t>
        </is>
      </c>
      <c r="E2574" t="n">
        <v>2.6</v>
      </c>
      <c r="F2574" t="n">
        <v>2.608</v>
      </c>
      <c r="G2574" t="n">
        <v>15</v>
      </c>
      <c r="H2574" t="n">
        <v>100</v>
      </c>
      <c r="I2574" t="n">
        <v>31</v>
      </c>
      <c r="J2574" t="inlineStr">
        <is>
          <t>ince</t>
        </is>
      </c>
      <c r="K2574" t="b">
        <v>0</v>
      </c>
      <c r="L2574" t="inlineStr">
        <is>
          <t>iki-OK-arasi-monotonluk</t>
        </is>
      </c>
      <c r="X2574" t="b">
        <v>1</v>
      </c>
      <c r="Z2574" t="n">
        <v>935</v>
      </c>
      <c r="AA2574" t="n">
        <v>2.5</v>
      </c>
      <c r="AB2574" t="n">
        <v>9.5</v>
      </c>
    </row>
    <row r="2575">
      <c r="A2575" t="inlineStr">
        <is>
          <t>2026-09-24 20:04:10</t>
        </is>
      </c>
      <c r="B2575" t="inlineStr">
        <is>
          <t>MLLB_000_y1.0.3</t>
        </is>
      </c>
      <c r="C2575" t="inlineStr">
        <is>
          <t>WHITE</t>
        </is>
      </c>
      <c r="D2575" t="inlineStr">
        <is>
          <t>v4_white_MLLB_000_y103_0924</t>
        </is>
      </c>
      <c r="E2575" t="n">
        <v>2.6</v>
      </c>
      <c r="F2575" t="n">
        <v>2.608</v>
      </c>
      <c r="G2575" t="n">
        <v>15</v>
      </c>
      <c r="H2575" t="n">
        <v>100</v>
      </c>
      <c r="I2575" t="n">
        <v>33</v>
      </c>
      <c r="J2575" t="inlineStr">
        <is>
          <t>ince</t>
        </is>
      </c>
      <c r="K2575" t="b">
        <v>1</v>
      </c>
      <c r="M2575" t="n">
        <v>38</v>
      </c>
      <c r="N2575" t="n">
        <v>28</v>
      </c>
      <c r="O2575" t="n">
        <v>18</v>
      </c>
      <c r="P2575" t="n">
        <v>964</v>
      </c>
      <c r="Q2575" t="n">
        <v>1002</v>
      </c>
      <c r="R2575" t="n">
        <v>1.563</v>
      </c>
      <c r="S2575" t="n">
        <v>48.751</v>
      </c>
      <c r="T2575" t="n">
        <v>31.184</v>
      </c>
      <c r="U2575" t="n">
        <v>0.778</v>
      </c>
      <c r="V2575" t="b">
        <v>1</v>
      </c>
      <c r="X2575" t="b">
        <v>1</v>
      </c>
      <c r="Z2575" t="n">
        <v>935</v>
      </c>
      <c r="AA2575" t="n">
        <v>2.5</v>
      </c>
      <c r="AB2575" t="n">
        <v>9.5</v>
      </c>
    </row>
    <row r="2576">
      <c r="A2576" t="inlineStr">
        <is>
          <t>2026-09-24 20:04:26</t>
        </is>
      </c>
      <c r="B2576" t="inlineStr">
        <is>
          <t>MLLB_000_y1.0.3</t>
        </is>
      </c>
      <c r="C2576" t="inlineStr">
        <is>
          <t>WHITE</t>
        </is>
      </c>
      <c r="D2576" t="inlineStr">
        <is>
          <t>v4_white_MLLB_000_y103_0924</t>
        </is>
      </c>
      <c r="E2576" t="n">
        <v>2.6</v>
      </c>
      <c r="F2576" t="n">
        <v>2.608</v>
      </c>
      <c r="G2576" t="n">
        <v>15</v>
      </c>
      <c r="H2576" t="n">
        <v>100</v>
      </c>
      <c r="I2576" t="n">
        <v>34</v>
      </c>
      <c r="J2576" t="inlineStr">
        <is>
          <t>ince</t>
        </is>
      </c>
      <c r="K2576" t="b">
        <v>1</v>
      </c>
      <c r="M2576" t="n">
        <v>38</v>
      </c>
      <c r="N2576" t="n">
        <v>28</v>
      </c>
      <c r="O2576" t="n">
        <v>18</v>
      </c>
      <c r="P2576" t="n">
        <v>964</v>
      </c>
      <c r="Q2576" t="n">
        <v>1002</v>
      </c>
      <c r="R2576" t="n">
        <v>2.774</v>
      </c>
      <c r="S2576" t="n">
        <v>86.5</v>
      </c>
      <c r="T2576" t="n">
        <v>31.187</v>
      </c>
      <c r="U2576" t="n">
        <v>0.7784</v>
      </c>
      <c r="V2576" t="b">
        <v>1</v>
      </c>
      <c r="X2576" t="b">
        <v>0</v>
      </c>
      <c r="Y2576" t="inlineStr">
        <is>
          <t>FLAS</t>
        </is>
      </c>
      <c r="Z2576" t="n">
        <v>935</v>
      </c>
      <c r="AA2576" t="n">
        <v>2.5</v>
      </c>
      <c r="AB2576" t="n">
        <v>9.5</v>
      </c>
    </row>
    <row r="2577">
      <c r="A2577" t="inlineStr">
        <is>
          <t>2026-09-24 20:04:42</t>
        </is>
      </c>
      <c r="B2577" t="inlineStr">
        <is>
          <t>MLLB_000_y1.0.3</t>
        </is>
      </c>
      <c r="C2577" t="inlineStr">
        <is>
          <t>WHITE</t>
        </is>
      </c>
      <c r="D2577" t="inlineStr">
        <is>
          <t>v4_white_MLLB_000_y103_0924</t>
        </is>
      </c>
      <c r="E2577" t="n">
        <v>2.6</v>
      </c>
      <c r="F2577" t="n">
        <v>2.608</v>
      </c>
      <c r="G2577" t="n">
        <v>15</v>
      </c>
      <c r="H2577" t="n">
        <v>100</v>
      </c>
      <c r="I2577" t="n">
        <v>35</v>
      </c>
      <c r="J2577" t="inlineStr">
        <is>
          <t>ince</t>
        </is>
      </c>
      <c r="K2577" t="b">
        <v>1</v>
      </c>
      <c r="M2577" t="n">
        <v>38</v>
      </c>
      <c r="N2577" t="n">
        <v>28</v>
      </c>
      <c r="O2577" t="n">
        <v>18</v>
      </c>
      <c r="P2577" t="n">
        <v>964</v>
      </c>
      <c r="Q2577" t="n">
        <v>1002</v>
      </c>
      <c r="R2577" t="n">
        <v>3.423</v>
      </c>
      <c r="S2577" t="n">
        <v>106.707</v>
      </c>
      <c r="T2577" t="n">
        <v>31.177</v>
      </c>
      <c r="U2577" t="n">
        <v>0.7786</v>
      </c>
      <c r="V2577" t="b">
        <v>1</v>
      </c>
      <c r="X2577" t="b">
        <v>0</v>
      </c>
      <c r="Y2577" t="inlineStr">
        <is>
          <t>FLAS</t>
        </is>
      </c>
      <c r="Z2577" t="n">
        <v>935</v>
      </c>
      <c r="AA2577" t="n">
        <v>2.5</v>
      </c>
      <c r="AB2577" t="n">
        <v>9.5</v>
      </c>
    </row>
    <row r="2578">
      <c r="A2578" t="inlineStr">
        <is>
          <t>2026-09-24 20:04:42</t>
        </is>
      </c>
      <c r="B2578" t="inlineStr">
        <is>
          <t>MLLB_000_y1.0.3</t>
        </is>
      </c>
      <c r="C2578" t="inlineStr">
        <is>
          <t>WHITE</t>
        </is>
      </c>
      <c r="D2578" t="inlineStr">
        <is>
          <t>v4_white_MLLB_000_y103_0924</t>
        </is>
      </c>
      <c r="E2578" t="n">
        <v>2.6</v>
      </c>
      <c r="F2578" t="n">
        <v>2.608</v>
      </c>
      <c r="G2578" t="n">
        <v>15</v>
      </c>
      <c r="H2578" t="n">
        <v>100</v>
      </c>
      <c r="J2578" t="inlineStr">
        <is>
          <t>bitti</t>
        </is>
      </c>
      <c r="K2578" t="b">
        <v>0</v>
      </c>
      <c r="Z2578" t="n">
        <v>935</v>
      </c>
      <c r="AA2578" t="n">
        <v>2.5</v>
      </c>
      <c r="AB2578" t="n">
        <v>9.5</v>
      </c>
    </row>
    <row r="2579">
      <c r="A2579" t="inlineStr">
        <is>
          <t>2026-09-24 20:04:58</t>
        </is>
      </c>
      <c r="B2579" t="inlineStr">
        <is>
          <t>MLLB_000_y1.0.3</t>
        </is>
      </c>
      <c r="C2579" t="inlineStr">
        <is>
          <t>WHITE</t>
        </is>
      </c>
      <c r="D2579" t="inlineStr">
        <is>
          <t>v4_white_MLLB_000_y103_0924</t>
        </is>
      </c>
      <c r="E2579" t="n">
        <v>2.6</v>
      </c>
      <c r="F2579" t="n">
        <v>2.608</v>
      </c>
      <c r="G2579" t="n">
        <v>15</v>
      </c>
      <c r="H2579" t="n">
        <v>80</v>
      </c>
      <c r="I2579" t="n">
        <v>12</v>
      </c>
      <c r="J2579" t="inlineStr">
        <is>
          <t>kaba</t>
        </is>
      </c>
      <c r="K2579" t="b">
        <v>1</v>
      </c>
      <c r="M2579" t="n">
        <v>166</v>
      </c>
      <c r="N2579" t="n">
        <v>28</v>
      </c>
      <c r="O2579" t="n">
        <v>146</v>
      </c>
      <c r="P2579" t="n">
        <v>836</v>
      </c>
      <c r="Q2579" t="n">
        <v>1002</v>
      </c>
      <c r="R2579" t="n">
        <v>1.076</v>
      </c>
      <c r="S2579" t="n">
        <v>33.362</v>
      </c>
      <c r="T2579" t="n">
        <v>30.997</v>
      </c>
      <c r="U2579" t="n">
        <v>0.7788</v>
      </c>
      <c r="V2579" t="b">
        <v>1</v>
      </c>
      <c r="X2579" t="b">
        <v>0</v>
      </c>
      <c r="Y2579" t="inlineStr">
        <is>
          <t>ON</t>
        </is>
      </c>
      <c r="Z2579" t="n">
        <v>935</v>
      </c>
      <c r="AA2579" t="n">
        <v>2.5</v>
      </c>
      <c r="AB2579" t="n">
        <v>9.5</v>
      </c>
    </row>
    <row r="2580">
      <c r="A2580" t="inlineStr">
        <is>
          <t>2026-09-24 20:05:14</t>
        </is>
      </c>
      <c r="B2580" t="inlineStr">
        <is>
          <t>MLLB_000_y1.0.3</t>
        </is>
      </c>
      <c r="C2580" t="inlineStr">
        <is>
          <t>WHITE</t>
        </is>
      </c>
      <c r="D2580" t="inlineStr">
        <is>
          <t>v4_white_MLLB_000_y103_0924</t>
        </is>
      </c>
      <c r="E2580" t="n">
        <v>2.6</v>
      </c>
      <c r="F2580" t="n">
        <v>2.608</v>
      </c>
      <c r="G2580" t="n">
        <v>15</v>
      </c>
      <c r="H2580" t="n">
        <v>80</v>
      </c>
      <c r="I2580" t="n">
        <v>16</v>
      </c>
      <c r="J2580" t="inlineStr">
        <is>
          <t>kaba</t>
        </is>
      </c>
      <c r="K2580" t="b">
        <v>1</v>
      </c>
      <c r="M2580" t="n">
        <v>148</v>
      </c>
      <c r="N2580" t="n">
        <v>32</v>
      </c>
      <c r="O2580" t="n">
        <v>126</v>
      </c>
      <c r="P2580" t="n">
        <v>854</v>
      </c>
      <c r="Q2580" t="n">
        <v>1002</v>
      </c>
      <c r="R2580" t="n">
        <v>1.073</v>
      </c>
      <c r="S2580" t="n">
        <v>33.303</v>
      </c>
      <c r="T2580" t="n">
        <v>31.042</v>
      </c>
      <c r="U2580" t="n">
        <v>0.778</v>
      </c>
      <c r="V2580" t="b">
        <v>1</v>
      </c>
      <c r="X2580" t="b">
        <v>0</v>
      </c>
      <c r="Y2580" t="inlineStr">
        <is>
          <t>ON</t>
        </is>
      </c>
      <c r="Z2580" t="n">
        <v>935</v>
      </c>
      <c r="AA2580" t="n">
        <v>2.5</v>
      </c>
      <c r="AB2580" t="n">
        <v>9.5</v>
      </c>
    </row>
    <row r="2581">
      <c r="A2581" t="inlineStr">
        <is>
          <t>2026-09-24 20:05:30</t>
        </is>
      </c>
      <c r="B2581" t="inlineStr">
        <is>
          <t>MLLB_000_y1.0.3</t>
        </is>
      </c>
      <c r="C2581" t="inlineStr">
        <is>
          <t>WHITE</t>
        </is>
      </c>
      <c r="D2581" t="inlineStr">
        <is>
          <t>v4_white_MLLB_000_y103_0924</t>
        </is>
      </c>
      <c r="E2581" t="n">
        <v>2.6</v>
      </c>
      <c r="F2581" t="n">
        <v>2.608</v>
      </c>
      <c r="G2581" t="n">
        <v>15</v>
      </c>
      <c r="H2581" t="n">
        <v>80</v>
      </c>
      <c r="I2581" t="n">
        <v>20</v>
      </c>
      <c r="J2581" t="inlineStr">
        <is>
          <t>kaba</t>
        </is>
      </c>
      <c r="K2581" t="b">
        <v>1</v>
      </c>
      <c r="M2581" t="n">
        <v>128</v>
      </c>
      <c r="N2581" t="n">
        <v>30</v>
      </c>
      <c r="O2581" t="n">
        <v>108</v>
      </c>
      <c r="P2581" t="n">
        <v>874</v>
      </c>
      <c r="Q2581" t="n">
        <v>1002</v>
      </c>
      <c r="R2581" t="n">
        <v>1.074</v>
      </c>
      <c r="S2581" t="n">
        <v>33.354</v>
      </c>
      <c r="T2581" t="n">
        <v>31.06</v>
      </c>
      <c r="U2581" t="n">
        <v>0.778</v>
      </c>
      <c r="V2581" t="b">
        <v>1</v>
      </c>
      <c r="X2581" t="b">
        <v>0</v>
      </c>
      <c r="Y2581" t="inlineStr">
        <is>
          <t>ON</t>
        </is>
      </c>
      <c r="Z2581" t="n">
        <v>935</v>
      </c>
      <c r="AA2581" t="n">
        <v>2.5</v>
      </c>
      <c r="AB2581" t="n">
        <v>9.5</v>
      </c>
    </row>
    <row r="2582">
      <c r="A2582" t="inlineStr">
        <is>
          <t>2026-09-24 20:05:46</t>
        </is>
      </c>
      <c r="B2582" t="inlineStr">
        <is>
          <t>MLLB_000_y1.0.3</t>
        </is>
      </c>
      <c r="C2582" t="inlineStr">
        <is>
          <t>WHITE</t>
        </is>
      </c>
      <c r="D2582" t="inlineStr">
        <is>
          <t>v4_white_MLLB_000_y103_0924</t>
        </is>
      </c>
      <c r="E2582" t="n">
        <v>2.6</v>
      </c>
      <c r="F2582" t="n">
        <v>2.608</v>
      </c>
      <c r="G2582" t="n">
        <v>15</v>
      </c>
      <c r="H2582" t="n">
        <v>80</v>
      </c>
      <c r="I2582" t="n">
        <v>24</v>
      </c>
      <c r="J2582" t="inlineStr">
        <is>
          <t>kaba</t>
        </is>
      </c>
      <c r="K2582" t="b">
        <v>1</v>
      </c>
      <c r="M2582" t="n">
        <v>108</v>
      </c>
      <c r="N2582" t="n">
        <v>30</v>
      </c>
      <c r="O2582" t="n">
        <v>88</v>
      </c>
      <c r="P2582" t="n">
        <v>894</v>
      </c>
      <c r="Q2582" t="n">
        <v>1002</v>
      </c>
      <c r="R2582" t="n">
        <v>1.073</v>
      </c>
      <c r="S2582" t="n">
        <v>33.354</v>
      </c>
      <c r="T2582" t="n">
        <v>31.085</v>
      </c>
      <c r="U2582" t="n">
        <v>0.7781</v>
      </c>
      <c r="V2582" t="b">
        <v>1</v>
      </c>
      <c r="X2582" t="b">
        <v>0</v>
      </c>
      <c r="Y2582" t="inlineStr">
        <is>
          <t>ON</t>
        </is>
      </c>
      <c r="Z2582" t="n">
        <v>935</v>
      </c>
      <c r="AA2582" t="n">
        <v>2.5</v>
      </c>
      <c r="AB2582" t="n">
        <v>9.5</v>
      </c>
    </row>
    <row r="2583">
      <c r="A2583" t="inlineStr">
        <is>
          <t>2026-09-24 20:06:02</t>
        </is>
      </c>
      <c r="B2583" t="inlineStr">
        <is>
          <t>MLLB_000_y1.0.3</t>
        </is>
      </c>
      <c r="C2583" t="inlineStr">
        <is>
          <t>WHITE</t>
        </is>
      </c>
      <c r="D2583" t="inlineStr">
        <is>
          <t>v4_white_MLLB_000_y103_0924</t>
        </is>
      </c>
      <c r="E2583" t="n">
        <v>2.6</v>
      </c>
      <c r="F2583" t="n">
        <v>2.608</v>
      </c>
      <c r="G2583" t="n">
        <v>15</v>
      </c>
      <c r="H2583" t="n">
        <v>80</v>
      </c>
      <c r="I2583" t="n">
        <v>28</v>
      </c>
      <c r="J2583" t="inlineStr">
        <is>
          <t>kaba</t>
        </is>
      </c>
      <c r="K2583" t="b">
        <v>1</v>
      </c>
      <c r="M2583" t="n">
        <v>88</v>
      </c>
      <c r="N2583" t="n">
        <v>30</v>
      </c>
      <c r="O2583" t="n">
        <v>68</v>
      </c>
      <c r="P2583" t="n">
        <v>914</v>
      </c>
      <c r="Q2583" t="n">
        <v>1002</v>
      </c>
      <c r="R2583" t="n">
        <v>1.071</v>
      </c>
      <c r="S2583" t="n">
        <v>33.33</v>
      </c>
      <c r="T2583" t="n">
        <v>31.125</v>
      </c>
      <c r="U2583" t="n">
        <v>0.778</v>
      </c>
      <c r="V2583" t="b">
        <v>1</v>
      </c>
      <c r="X2583" t="b">
        <v>0</v>
      </c>
      <c r="Y2583" t="inlineStr">
        <is>
          <t>ON</t>
        </is>
      </c>
      <c r="Z2583" t="n">
        <v>935</v>
      </c>
      <c r="AA2583" t="n">
        <v>2.5</v>
      </c>
      <c r="AB2583" t="n">
        <v>9.5</v>
      </c>
    </row>
    <row r="2584">
      <c r="A2584" t="inlineStr">
        <is>
          <t>2026-09-24 20:06:18</t>
        </is>
      </c>
      <c r="B2584" t="inlineStr">
        <is>
          <t>MLLB_000_y1.0.3</t>
        </is>
      </c>
      <c r="C2584" t="inlineStr">
        <is>
          <t>WHITE</t>
        </is>
      </c>
      <c r="D2584" t="inlineStr">
        <is>
          <t>v4_white_MLLB_000_y103_0924</t>
        </is>
      </c>
      <c r="E2584" t="n">
        <v>2.6</v>
      </c>
      <c r="F2584" t="n">
        <v>2.608</v>
      </c>
      <c r="G2584" t="n">
        <v>15</v>
      </c>
      <c r="H2584" t="n">
        <v>80</v>
      </c>
      <c r="I2584" t="n">
        <v>32</v>
      </c>
      <c r="J2584" t="inlineStr">
        <is>
          <t>kaba</t>
        </is>
      </c>
      <c r="K2584" t="b">
        <v>1</v>
      </c>
      <c r="M2584" t="n">
        <v>68</v>
      </c>
      <c r="N2584" t="n">
        <v>30</v>
      </c>
      <c r="O2584" t="n">
        <v>48</v>
      </c>
      <c r="P2584" t="n">
        <v>934</v>
      </c>
      <c r="Q2584" t="n">
        <v>1002</v>
      </c>
      <c r="R2584" t="n">
        <v>1.068</v>
      </c>
      <c r="S2584" t="n">
        <v>33.283</v>
      </c>
      <c r="T2584" t="n">
        <v>31.168</v>
      </c>
      <c r="U2584" t="n">
        <v>0.7784</v>
      </c>
      <c r="V2584" t="b">
        <v>1</v>
      </c>
      <c r="X2584" t="b">
        <v>0</v>
      </c>
      <c r="Y2584" t="inlineStr">
        <is>
          <t>ON</t>
        </is>
      </c>
      <c r="Z2584" t="n">
        <v>935</v>
      </c>
      <c r="AA2584" t="n">
        <v>2.5</v>
      </c>
      <c r="AB2584" t="n">
        <v>9.5</v>
      </c>
    </row>
    <row r="2585">
      <c r="A2585" t="inlineStr">
        <is>
          <t>2026-09-24 20:06:34</t>
        </is>
      </c>
      <c r="B2585" t="inlineStr">
        <is>
          <t>MLLB_000_y1.0.3</t>
        </is>
      </c>
      <c r="C2585" t="inlineStr">
        <is>
          <t>WHITE</t>
        </is>
      </c>
      <c r="D2585" t="inlineStr">
        <is>
          <t>v4_white_MLLB_000_y103_0924</t>
        </is>
      </c>
      <c r="E2585" t="n">
        <v>2.6</v>
      </c>
      <c r="F2585" t="n">
        <v>2.608</v>
      </c>
      <c r="G2585" t="n">
        <v>15</v>
      </c>
      <c r="H2585" t="n">
        <v>80</v>
      </c>
      <c r="I2585" t="n">
        <v>36</v>
      </c>
      <c r="J2585" t="inlineStr">
        <is>
          <t>kaba</t>
        </is>
      </c>
      <c r="K2585" t="b">
        <v>1</v>
      </c>
      <c r="M2585" t="n">
        <v>48</v>
      </c>
      <c r="N2585" t="n">
        <v>30</v>
      </c>
      <c r="O2585" t="n">
        <v>28</v>
      </c>
      <c r="P2585" t="n">
        <v>954</v>
      </c>
      <c r="Q2585" t="n">
        <v>1002</v>
      </c>
      <c r="R2585" t="n">
        <v>1.071</v>
      </c>
      <c r="S2585" t="n">
        <v>33.354</v>
      </c>
      <c r="T2585" t="n">
        <v>31.156</v>
      </c>
      <c r="U2585" t="n">
        <v>0.778</v>
      </c>
      <c r="V2585" t="b">
        <v>1</v>
      </c>
      <c r="X2585" t="b">
        <v>1</v>
      </c>
      <c r="Z2585" t="n">
        <v>935</v>
      </c>
      <c r="AA2585" t="n">
        <v>2.5</v>
      </c>
      <c r="AB2585" t="n">
        <v>9.5</v>
      </c>
    </row>
    <row r="2586">
      <c r="A2586" t="inlineStr">
        <is>
          <t>2026-09-24 20:06:50</t>
        </is>
      </c>
      <c r="B2586" t="inlineStr">
        <is>
          <t>MLLB_000_y1.0.3</t>
        </is>
      </c>
      <c r="C2586" t="inlineStr">
        <is>
          <t>WHITE</t>
        </is>
      </c>
      <c r="D2586" t="inlineStr">
        <is>
          <t>v4_white_MLLB_000_y103_0924</t>
        </is>
      </c>
      <c r="E2586" t="n">
        <v>2.6</v>
      </c>
      <c r="F2586" t="n">
        <v>2.608</v>
      </c>
      <c r="G2586" t="n">
        <v>15</v>
      </c>
      <c r="H2586" t="n">
        <v>80</v>
      </c>
      <c r="I2586" t="n">
        <v>40</v>
      </c>
      <c r="J2586" t="inlineStr">
        <is>
          <t>kaba</t>
        </is>
      </c>
      <c r="K2586" t="b">
        <v>1</v>
      </c>
      <c r="M2586" t="n">
        <v>46</v>
      </c>
      <c r="N2586" t="n">
        <v>28</v>
      </c>
      <c r="O2586" t="n">
        <v>26</v>
      </c>
      <c r="P2586" t="n">
        <v>956</v>
      </c>
      <c r="Q2586" t="n">
        <v>1002</v>
      </c>
      <c r="R2586" t="n">
        <v>1.557</v>
      </c>
      <c r="S2586" t="n">
        <v>48.521</v>
      </c>
      <c r="T2586" t="n">
        <v>31.171</v>
      </c>
      <c r="U2586" t="n">
        <v>0.7775</v>
      </c>
      <c r="V2586" t="b">
        <v>1</v>
      </c>
      <c r="X2586" t="b">
        <v>1</v>
      </c>
      <c r="Z2586" t="n">
        <v>935</v>
      </c>
      <c r="AA2586" t="n">
        <v>2.5</v>
      </c>
      <c r="AB2586" t="n">
        <v>9.5</v>
      </c>
    </row>
    <row r="2587">
      <c r="A2587" t="inlineStr">
        <is>
          <t>2026-09-24 20:07:02</t>
        </is>
      </c>
      <c r="B2587" t="inlineStr">
        <is>
          <t>MLLB_000_y1.0.3</t>
        </is>
      </c>
      <c r="C2587" t="inlineStr">
        <is>
          <t>WHITE</t>
        </is>
      </c>
      <c r="D2587" t="inlineStr">
        <is>
          <t>v4_white_MLLB_000_y103_0924</t>
        </is>
      </c>
      <c r="E2587" t="n">
        <v>2.6</v>
      </c>
      <c r="F2587" t="n">
        <v>2.608</v>
      </c>
      <c r="G2587" t="n">
        <v>15</v>
      </c>
      <c r="H2587" t="n">
        <v>80</v>
      </c>
      <c r="I2587" t="n">
        <v>44</v>
      </c>
      <c r="J2587" t="inlineStr">
        <is>
          <t>kaba</t>
        </is>
      </c>
      <c r="K2587" t="b">
        <v>1</v>
      </c>
      <c r="M2587" t="n">
        <v>46</v>
      </c>
      <c r="N2587" t="n">
        <v>28</v>
      </c>
      <c r="O2587" t="n">
        <v>26</v>
      </c>
      <c r="P2587" t="n">
        <v>956</v>
      </c>
      <c r="Q2587" t="n">
        <v>1002</v>
      </c>
      <c r="R2587" t="n">
        <v>3.348</v>
      </c>
      <c r="S2587" t="n">
        <v>118.772</v>
      </c>
      <c r="T2587" t="n">
        <v>35.471</v>
      </c>
      <c r="U2587" t="n">
        <v>0.7778</v>
      </c>
      <c r="V2587" t="b">
        <v>1</v>
      </c>
      <c r="X2587" t="b">
        <v>0</v>
      </c>
      <c r="Y2587" t="inlineStr">
        <is>
          <t>FLAS</t>
        </is>
      </c>
      <c r="Z2587" t="n">
        <v>935</v>
      </c>
      <c r="AA2587" t="n">
        <v>2.5</v>
      </c>
      <c r="AB2587" t="n">
        <v>9.5</v>
      </c>
    </row>
    <row r="2588">
      <c r="A2588" t="inlineStr">
        <is>
          <t>2026-09-24 20:07:18</t>
        </is>
      </c>
      <c r="B2588" t="inlineStr">
        <is>
          <t>MLLB_000_y1.0.3</t>
        </is>
      </c>
      <c r="C2588" t="inlineStr">
        <is>
          <t>WHITE</t>
        </is>
      </c>
      <c r="D2588" t="inlineStr">
        <is>
          <t>v4_white_MLLB_000_y103_0924</t>
        </is>
      </c>
      <c r="E2588" t="n">
        <v>2.6</v>
      </c>
      <c r="F2588" t="n">
        <v>2.608</v>
      </c>
      <c r="G2588" t="n">
        <v>15</v>
      </c>
      <c r="H2588" t="n">
        <v>80</v>
      </c>
      <c r="I2588" t="n">
        <v>48</v>
      </c>
      <c r="J2588" t="inlineStr">
        <is>
          <t>kaba</t>
        </is>
      </c>
      <c r="K2588" t="b">
        <v>1</v>
      </c>
      <c r="M2588" t="n">
        <v>46</v>
      </c>
      <c r="N2588" t="n">
        <v>28</v>
      </c>
      <c r="O2588" t="n">
        <v>26</v>
      </c>
      <c r="P2588" t="n">
        <v>956</v>
      </c>
      <c r="Q2588" t="n">
        <v>1002</v>
      </c>
      <c r="R2588" t="n">
        <v>4.786</v>
      </c>
      <c r="S2588" t="n">
        <v>149.043</v>
      </c>
      <c r="T2588" t="n">
        <v>31.143</v>
      </c>
      <c r="U2588" t="n">
        <v>0.7775</v>
      </c>
      <c r="V2588" t="b">
        <v>1</v>
      </c>
      <c r="X2588" t="b">
        <v>0</v>
      </c>
      <c r="Y2588" t="inlineStr">
        <is>
          <t>FLAS</t>
        </is>
      </c>
      <c r="Z2588" t="n">
        <v>935</v>
      </c>
      <c r="AA2588" t="n">
        <v>2.5</v>
      </c>
      <c r="AB2588" t="n">
        <v>9.5</v>
      </c>
    </row>
    <row r="2589">
      <c r="A2589" t="inlineStr">
        <is>
          <t>2026-09-24 20:07:34</t>
        </is>
      </c>
      <c r="B2589" t="inlineStr">
        <is>
          <t>MLLB_000_y1.0.3</t>
        </is>
      </c>
      <c r="C2589" t="inlineStr">
        <is>
          <t>WHITE</t>
        </is>
      </c>
      <c r="D2589" t="inlineStr">
        <is>
          <t>v4_white_MLLB_000_y103_0924</t>
        </is>
      </c>
      <c r="E2589" t="n">
        <v>2.6</v>
      </c>
      <c r="F2589" t="n">
        <v>2.608</v>
      </c>
      <c r="G2589" t="n">
        <v>15</v>
      </c>
      <c r="H2589" t="n">
        <v>80</v>
      </c>
      <c r="I2589" t="n">
        <v>33</v>
      </c>
      <c r="J2589" t="inlineStr">
        <is>
          <t>ince</t>
        </is>
      </c>
      <c r="K2589" t="b">
        <v>1</v>
      </c>
      <c r="M2589" t="n">
        <v>64</v>
      </c>
      <c r="N2589" t="n">
        <v>32</v>
      </c>
      <c r="O2589" t="n">
        <v>42</v>
      </c>
      <c r="P2589" t="n">
        <v>938</v>
      </c>
      <c r="Q2589" t="n">
        <v>1002</v>
      </c>
      <c r="R2589" t="n">
        <v>1.068</v>
      </c>
      <c r="S2589" t="n">
        <v>33.306</v>
      </c>
      <c r="T2589" t="n">
        <v>31.172</v>
      </c>
      <c r="U2589" t="n">
        <v>0.7776999999999999</v>
      </c>
      <c r="V2589" t="b">
        <v>1</v>
      </c>
      <c r="X2589" t="b">
        <v>1</v>
      </c>
      <c r="Z2589" t="n">
        <v>935</v>
      </c>
      <c r="AA2589" t="n">
        <v>2.5</v>
      </c>
      <c r="AB2589" t="n">
        <v>9.5</v>
      </c>
    </row>
    <row r="2590">
      <c r="A2590" t="inlineStr">
        <is>
          <t>2026-09-24 20:07:50</t>
        </is>
      </c>
      <c r="B2590" t="inlineStr">
        <is>
          <t>MLLB_000_y1.0.3</t>
        </is>
      </c>
      <c r="C2590" t="inlineStr">
        <is>
          <t>WHITE</t>
        </is>
      </c>
      <c r="D2590" t="inlineStr">
        <is>
          <t>v4_white_MLLB_000_y103_0924</t>
        </is>
      </c>
      <c r="E2590" t="n">
        <v>2.6</v>
      </c>
      <c r="F2590" t="n">
        <v>2.608</v>
      </c>
      <c r="G2590" t="n">
        <v>15</v>
      </c>
      <c r="H2590" t="n">
        <v>80</v>
      </c>
      <c r="I2590" t="n">
        <v>34</v>
      </c>
      <c r="J2590" t="inlineStr">
        <is>
          <t>ince</t>
        </is>
      </c>
      <c r="K2590" t="b">
        <v>1</v>
      </c>
      <c r="M2590" t="n">
        <v>58</v>
      </c>
      <c r="N2590" t="n">
        <v>28</v>
      </c>
      <c r="O2590" t="n">
        <v>38</v>
      </c>
      <c r="P2590" t="n">
        <v>944</v>
      </c>
      <c r="Q2590" t="n">
        <v>1002</v>
      </c>
      <c r="R2590" t="n">
        <v>1.068</v>
      </c>
      <c r="S2590" t="n">
        <v>33.303</v>
      </c>
      <c r="T2590" t="n">
        <v>31.179</v>
      </c>
      <c r="U2590" t="n">
        <v>0.7782</v>
      </c>
      <c r="V2590" t="b">
        <v>1</v>
      </c>
      <c r="X2590" t="b">
        <v>1</v>
      </c>
      <c r="Z2590" t="n">
        <v>935</v>
      </c>
      <c r="AA2590" t="n">
        <v>2.5</v>
      </c>
      <c r="AB2590" t="n">
        <v>9.5</v>
      </c>
    </row>
    <row r="2591">
      <c r="A2591" t="inlineStr">
        <is>
          <t>2026-09-24 20:08:06</t>
        </is>
      </c>
      <c r="B2591" t="inlineStr">
        <is>
          <t>MLLB_000_y1.0.3</t>
        </is>
      </c>
      <c r="C2591" t="inlineStr">
        <is>
          <t>WHITE</t>
        </is>
      </c>
      <c r="D2591" t="inlineStr">
        <is>
          <t>v4_white_MLLB_000_y103_0924</t>
        </is>
      </c>
      <c r="E2591" t="n">
        <v>2.6</v>
      </c>
      <c r="F2591" t="n">
        <v>2.608</v>
      </c>
      <c r="G2591" t="n">
        <v>15</v>
      </c>
      <c r="H2591" t="n">
        <v>80</v>
      </c>
      <c r="I2591" t="n">
        <v>35</v>
      </c>
      <c r="J2591" t="inlineStr">
        <is>
          <t>ince</t>
        </is>
      </c>
      <c r="K2591" t="b">
        <v>1</v>
      </c>
      <c r="M2591" t="n">
        <v>52</v>
      </c>
      <c r="N2591" t="n">
        <v>28</v>
      </c>
      <c r="O2591" t="n">
        <v>34</v>
      </c>
      <c r="P2591" t="n">
        <v>950</v>
      </c>
      <c r="Q2591" t="n">
        <v>1002</v>
      </c>
      <c r="R2591" t="n">
        <v>1.067</v>
      </c>
      <c r="S2591" t="n">
        <v>33.252</v>
      </c>
      <c r="T2591" t="n">
        <v>31.152</v>
      </c>
      <c r="U2591" t="n">
        <v>0.7778</v>
      </c>
      <c r="V2591" t="b">
        <v>1</v>
      </c>
      <c r="X2591" t="b">
        <v>1</v>
      </c>
      <c r="Z2591" t="n">
        <v>935</v>
      </c>
      <c r="AA2591" t="n">
        <v>2.5</v>
      </c>
      <c r="AB2591" t="n">
        <v>9.5</v>
      </c>
    </row>
    <row r="2592">
      <c r="A2592" t="inlineStr">
        <is>
          <t>2026-09-24 20:08:06</t>
        </is>
      </c>
      <c r="B2592" t="inlineStr">
        <is>
          <t>MLLB_000_y1.0.3</t>
        </is>
      </c>
      <c r="C2592" t="inlineStr">
        <is>
          <t>WHITE</t>
        </is>
      </c>
      <c r="D2592" t="inlineStr">
        <is>
          <t>v4_white_MLLB_000_y103_0924</t>
        </is>
      </c>
      <c r="E2592" t="n">
        <v>2.6</v>
      </c>
      <c r="F2592" t="n">
        <v>2.608</v>
      </c>
      <c r="G2592" t="n">
        <v>15</v>
      </c>
      <c r="H2592" t="n">
        <v>80</v>
      </c>
      <c r="I2592" t="n">
        <v>37</v>
      </c>
      <c r="J2592" t="inlineStr">
        <is>
          <t>ince</t>
        </is>
      </c>
      <c r="K2592" t="b">
        <v>0</v>
      </c>
      <c r="L2592" t="inlineStr">
        <is>
          <t>iki-OK-arasi-monotonluk</t>
        </is>
      </c>
      <c r="X2592" t="b">
        <v>1</v>
      </c>
      <c r="Z2592" t="n">
        <v>935</v>
      </c>
      <c r="AA2592" t="n">
        <v>2.5</v>
      </c>
      <c r="AB2592" t="n">
        <v>9.5</v>
      </c>
    </row>
    <row r="2593">
      <c r="A2593" t="inlineStr">
        <is>
          <t>2026-09-24 20:08:06</t>
        </is>
      </c>
      <c r="B2593" t="inlineStr">
        <is>
          <t>MLLB_000_y1.0.3</t>
        </is>
      </c>
      <c r="C2593" t="inlineStr">
        <is>
          <t>WHITE</t>
        </is>
      </c>
      <c r="D2593" t="inlineStr">
        <is>
          <t>v4_white_MLLB_000_y103_0924</t>
        </is>
      </c>
      <c r="E2593" t="n">
        <v>2.6</v>
      </c>
      <c r="F2593" t="n">
        <v>2.608</v>
      </c>
      <c r="G2593" t="n">
        <v>15</v>
      </c>
      <c r="H2593" t="n">
        <v>80</v>
      </c>
      <c r="I2593" t="n">
        <v>38</v>
      </c>
      <c r="J2593" t="inlineStr">
        <is>
          <t>ince</t>
        </is>
      </c>
      <c r="K2593" t="b">
        <v>0</v>
      </c>
      <c r="L2593" t="inlineStr">
        <is>
          <t>iki-OK-arasi-monotonluk</t>
        </is>
      </c>
      <c r="X2593" t="b">
        <v>1</v>
      </c>
      <c r="Z2593" t="n">
        <v>935</v>
      </c>
      <c r="AA2593" t="n">
        <v>2.5</v>
      </c>
      <c r="AB2593" t="n">
        <v>9.5</v>
      </c>
    </row>
    <row r="2594">
      <c r="A2594" t="inlineStr">
        <is>
          <t>2026-09-24 20:08:06</t>
        </is>
      </c>
      <c r="B2594" t="inlineStr">
        <is>
          <t>MLLB_000_y1.0.3</t>
        </is>
      </c>
      <c r="C2594" t="inlineStr">
        <is>
          <t>WHITE</t>
        </is>
      </c>
      <c r="D2594" t="inlineStr">
        <is>
          <t>v4_white_MLLB_000_y103_0924</t>
        </is>
      </c>
      <c r="E2594" t="n">
        <v>2.6</v>
      </c>
      <c r="F2594" t="n">
        <v>2.608</v>
      </c>
      <c r="G2594" t="n">
        <v>15</v>
      </c>
      <c r="H2594" t="n">
        <v>80</v>
      </c>
      <c r="I2594" t="n">
        <v>39</v>
      </c>
      <c r="J2594" t="inlineStr">
        <is>
          <t>ince</t>
        </is>
      </c>
      <c r="K2594" t="b">
        <v>0</v>
      </c>
      <c r="L2594" t="inlineStr">
        <is>
          <t>iki-OK-arasi-monotonluk</t>
        </is>
      </c>
      <c r="X2594" t="b">
        <v>1</v>
      </c>
      <c r="Z2594" t="n">
        <v>935</v>
      </c>
      <c r="AA2594" t="n">
        <v>2.5</v>
      </c>
      <c r="AB2594" t="n">
        <v>9.5</v>
      </c>
    </row>
    <row r="2595">
      <c r="A2595" t="inlineStr">
        <is>
          <t>2026-09-24 20:08:22</t>
        </is>
      </c>
      <c r="B2595" t="inlineStr">
        <is>
          <t>MLLB_000_y1.0.3</t>
        </is>
      </c>
      <c r="C2595" t="inlineStr">
        <is>
          <t>WHITE</t>
        </is>
      </c>
      <c r="D2595" t="inlineStr">
        <is>
          <t>v4_white_MLLB_000_y103_0924</t>
        </is>
      </c>
      <c r="E2595" t="n">
        <v>2.6</v>
      </c>
      <c r="F2595" t="n">
        <v>2.608</v>
      </c>
      <c r="G2595" t="n">
        <v>15</v>
      </c>
      <c r="H2595" t="n">
        <v>80</v>
      </c>
      <c r="I2595" t="n">
        <v>41</v>
      </c>
      <c r="J2595" t="inlineStr">
        <is>
          <t>ince</t>
        </is>
      </c>
      <c r="K2595" t="b">
        <v>1</v>
      </c>
      <c r="M2595" t="n">
        <v>46</v>
      </c>
      <c r="N2595" t="n">
        <v>28</v>
      </c>
      <c r="O2595" t="n">
        <v>26</v>
      </c>
      <c r="P2595" t="n">
        <v>956</v>
      </c>
      <c r="Q2595" t="n">
        <v>1002</v>
      </c>
      <c r="R2595" t="n">
        <v>2.581</v>
      </c>
      <c r="S2595" t="n">
        <v>80.43300000000001</v>
      </c>
      <c r="T2595" t="n">
        <v>31.166</v>
      </c>
      <c r="U2595" t="n">
        <v>0.7778</v>
      </c>
      <c r="V2595" t="b">
        <v>1</v>
      </c>
      <c r="X2595" t="b">
        <v>0</v>
      </c>
      <c r="Y2595" t="inlineStr">
        <is>
          <t>FLAS</t>
        </is>
      </c>
      <c r="Z2595" t="n">
        <v>935</v>
      </c>
      <c r="AA2595" t="n">
        <v>2.5</v>
      </c>
      <c r="AB2595" t="n">
        <v>9.5</v>
      </c>
    </row>
    <row r="2596">
      <c r="A2596" t="inlineStr">
        <is>
          <t>2026-09-24 20:08:38</t>
        </is>
      </c>
      <c r="B2596" t="inlineStr">
        <is>
          <t>MLLB_000_y1.0.3</t>
        </is>
      </c>
      <c r="C2596" t="inlineStr">
        <is>
          <t>WHITE</t>
        </is>
      </c>
      <c r="D2596" t="inlineStr">
        <is>
          <t>v4_white_MLLB_000_y103_0924</t>
        </is>
      </c>
      <c r="E2596" t="n">
        <v>2.6</v>
      </c>
      <c r="F2596" t="n">
        <v>2.608</v>
      </c>
      <c r="G2596" t="n">
        <v>15</v>
      </c>
      <c r="H2596" t="n">
        <v>80</v>
      </c>
      <c r="I2596" t="n">
        <v>42</v>
      </c>
      <c r="J2596" t="inlineStr">
        <is>
          <t>ince</t>
        </is>
      </c>
      <c r="K2596" t="b">
        <v>1</v>
      </c>
      <c r="M2596" t="n">
        <v>46</v>
      </c>
      <c r="N2596" t="n">
        <v>28</v>
      </c>
      <c r="O2596" t="n">
        <v>26</v>
      </c>
      <c r="P2596" t="n">
        <v>956</v>
      </c>
      <c r="Q2596" t="n">
        <v>1002</v>
      </c>
      <c r="R2596" t="n">
        <v>3.156</v>
      </c>
      <c r="S2596" t="n">
        <v>98.42700000000001</v>
      </c>
      <c r="T2596" t="n">
        <v>31.189</v>
      </c>
      <c r="U2596" t="n">
        <v>0.7773</v>
      </c>
      <c r="V2596" t="b">
        <v>1</v>
      </c>
      <c r="X2596" t="b">
        <v>0</v>
      </c>
      <c r="Y2596" t="inlineStr">
        <is>
          <t>FLAS</t>
        </is>
      </c>
      <c r="Z2596" t="n">
        <v>935</v>
      </c>
      <c r="AA2596" t="n">
        <v>2.5</v>
      </c>
      <c r="AB2596" t="n">
        <v>9.5</v>
      </c>
    </row>
    <row r="2597">
      <c r="A2597" t="inlineStr">
        <is>
          <t>2026-09-24 20:08:54</t>
        </is>
      </c>
      <c r="B2597" t="inlineStr">
        <is>
          <t>MLLB_000_y1.0.3</t>
        </is>
      </c>
      <c r="C2597" t="inlineStr">
        <is>
          <t>WHITE</t>
        </is>
      </c>
      <c r="D2597" t="inlineStr">
        <is>
          <t>v4_white_MLLB_000_y103_0924</t>
        </is>
      </c>
      <c r="E2597" t="n">
        <v>2.6</v>
      </c>
      <c r="F2597" t="n">
        <v>2.608</v>
      </c>
      <c r="G2597" t="n">
        <v>15</v>
      </c>
      <c r="H2597" t="n">
        <v>80</v>
      </c>
      <c r="I2597" t="n">
        <v>43</v>
      </c>
      <c r="J2597" t="inlineStr">
        <is>
          <t>ince</t>
        </is>
      </c>
      <c r="K2597" t="b">
        <v>1</v>
      </c>
      <c r="M2597" t="n">
        <v>46</v>
      </c>
      <c r="N2597" t="n">
        <v>28</v>
      </c>
      <c r="O2597" t="n">
        <v>26</v>
      </c>
      <c r="P2597" t="n">
        <v>956</v>
      </c>
      <c r="Q2597" t="n">
        <v>1002</v>
      </c>
      <c r="R2597" t="n">
        <v>3.494</v>
      </c>
      <c r="S2597" t="n">
        <v>108.968</v>
      </c>
      <c r="T2597" t="n">
        <v>31.187</v>
      </c>
      <c r="U2597" t="n">
        <v>0.7776999999999999</v>
      </c>
      <c r="V2597" t="b">
        <v>1</v>
      </c>
      <c r="X2597" t="b">
        <v>0</v>
      </c>
      <c r="Y2597" t="inlineStr">
        <is>
          <t>FLAS</t>
        </is>
      </c>
      <c r="Z2597" t="n">
        <v>935</v>
      </c>
      <c r="AA2597" t="n">
        <v>2.5</v>
      </c>
      <c r="AB2597" t="n">
        <v>9.5</v>
      </c>
    </row>
    <row r="2598">
      <c r="A2598" t="inlineStr">
        <is>
          <t>2026-09-24 20:08:55</t>
        </is>
      </c>
      <c r="B2598" t="inlineStr">
        <is>
          <t>MLLB_000_y1.0.3</t>
        </is>
      </c>
      <c r="C2598" t="inlineStr">
        <is>
          <t>WHITE</t>
        </is>
      </c>
      <c r="D2598" t="inlineStr">
        <is>
          <t>v4_white_MLLB_000_y103_0924</t>
        </is>
      </c>
      <c r="E2598" t="n">
        <v>2.6</v>
      </c>
      <c r="F2598" t="n">
        <v>2.608</v>
      </c>
      <c r="G2598" t="n">
        <v>15</v>
      </c>
      <c r="H2598" t="n">
        <v>80</v>
      </c>
      <c r="J2598" t="inlineStr">
        <is>
          <t>bitti</t>
        </is>
      </c>
      <c r="K2598" t="b">
        <v>0</v>
      </c>
      <c r="Z2598" t="n">
        <v>935</v>
      </c>
      <c r="AA2598" t="n">
        <v>2.5</v>
      </c>
      <c r="AB2598" t="n">
        <v>9.5</v>
      </c>
    </row>
    <row r="2599">
      <c r="A2599" t="inlineStr">
        <is>
          <t>2026-09-24 20:09:10</t>
        </is>
      </c>
      <c r="B2599" t="inlineStr">
        <is>
          <t>MLLB_000_y1.0.3</t>
        </is>
      </c>
      <c r="C2599" t="inlineStr">
        <is>
          <t>WHITE</t>
        </is>
      </c>
      <c r="D2599" t="inlineStr">
        <is>
          <t>v4_white_MLLB_000_y103_0924</t>
        </is>
      </c>
      <c r="E2599" t="n">
        <v>2.6</v>
      </c>
      <c r="F2599" t="n">
        <v>2.608</v>
      </c>
      <c r="G2599" t="n">
        <v>15</v>
      </c>
      <c r="H2599" t="n">
        <v>60</v>
      </c>
      <c r="I2599" t="n">
        <v>12</v>
      </c>
      <c r="J2599" t="inlineStr">
        <is>
          <t>kaba</t>
        </is>
      </c>
      <c r="K2599" t="b">
        <v>1</v>
      </c>
      <c r="M2599" t="n">
        <v>180</v>
      </c>
      <c r="N2599" t="n">
        <v>30</v>
      </c>
      <c r="O2599" t="n">
        <v>160</v>
      </c>
      <c r="P2599" t="n">
        <v>822</v>
      </c>
      <c r="Q2599" t="n">
        <v>1002</v>
      </c>
      <c r="R2599" t="n">
        <v>1.074</v>
      </c>
      <c r="S2599" t="n">
        <v>33.303</v>
      </c>
      <c r="T2599" t="n">
        <v>31.001</v>
      </c>
      <c r="U2599" t="n">
        <v>0.7782</v>
      </c>
      <c r="V2599" t="b">
        <v>1</v>
      </c>
      <c r="X2599" t="b">
        <v>0</v>
      </c>
      <c r="Y2599" t="inlineStr">
        <is>
          <t>ON</t>
        </is>
      </c>
      <c r="Z2599" t="n">
        <v>935</v>
      </c>
      <c r="AA2599" t="n">
        <v>2.5</v>
      </c>
      <c r="AB2599" t="n">
        <v>9.5</v>
      </c>
    </row>
    <row r="2600">
      <c r="A2600" t="inlineStr">
        <is>
          <t>2026-09-24 20:09:26</t>
        </is>
      </c>
      <c r="B2600" t="inlineStr">
        <is>
          <t>MLLB_000_y1.0.3</t>
        </is>
      </c>
      <c r="C2600" t="inlineStr">
        <is>
          <t>WHITE</t>
        </is>
      </c>
      <c r="D2600" t="inlineStr">
        <is>
          <t>v4_white_MLLB_000_y103_0924</t>
        </is>
      </c>
      <c r="E2600" t="n">
        <v>2.6</v>
      </c>
      <c r="F2600" t="n">
        <v>2.608</v>
      </c>
      <c r="G2600" t="n">
        <v>15</v>
      </c>
      <c r="H2600" t="n">
        <v>60</v>
      </c>
      <c r="I2600" t="n">
        <v>16</v>
      </c>
      <c r="J2600" t="inlineStr">
        <is>
          <t>kaba</t>
        </is>
      </c>
      <c r="K2600" t="b">
        <v>1</v>
      </c>
      <c r="M2600" t="n">
        <v>168</v>
      </c>
      <c r="N2600" t="n">
        <v>30</v>
      </c>
      <c r="O2600" t="n">
        <v>148</v>
      </c>
      <c r="P2600" t="n">
        <v>834</v>
      </c>
      <c r="Q2600" t="n">
        <v>1002</v>
      </c>
      <c r="R2600" t="n">
        <v>1.076</v>
      </c>
      <c r="S2600" t="n">
        <v>33.335</v>
      </c>
      <c r="T2600" t="n">
        <v>30.993</v>
      </c>
      <c r="U2600" t="n">
        <v>0.7785</v>
      </c>
      <c r="V2600" t="b">
        <v>1</v>
      </c>
      <c r="X2600" t="b">
        <v>0</v>
      </c>
      <c r="Y2600" t="inlineStr">
        <is>
          <t>ON</t>
        </is>
      </c>
      <c r="Z2600" t="n">
        <v>935</v>
      </c>
      <c r="AA2600" t="n">
        <v>2.5</v>
      </c>
      <c r="AB2600" t="n">
        <v>9.5</v>
      </c>
    </row>
    <row r="2601">
      <c r="A2601" t="inlineStr">
        <is>
          <t>2026-09-24 20:09:42</t>
        </is>
      </c>
      <c r="B2601" t="inlineStr">
        <is>
          <t>MLLB_000_y1.0.3</t>
        </is>
      </c>
      <c r="C2601" t="inlineStr">
        <is>
          <t>WHITE</t>
        </is>
      </c>
      <c r="D2601" t="inlineStr">
        <is>
          <t>v4_white_MLLB_000_y103_0924</t>
        </is>
      </c>
      <c r="E2601" t="n">
        <v>2.6</v>
      </c>
      <c r="F2601" t="n">
        <v>2.608</v>
      </c>
      <c r="G2601" t="n">
        <v>15</v>
      </c>
      <c r="H2601" t="n">
        <v>60</v>
      </c>
      <c r="I2601" t="n">
        <v>20</v>
      </c>
      <c r="J2601" t="inlineStr">
        <is>
          <t>kaba</t>
        </is>
      </c>
      <c r="K2601" t="b">
        <v>1</v>
      </c>
      <c r="M2601" t="n">
        <v>154</v>
      </c>
      <c r="N2601" t="n">
        <v>28</v>
      </c>
      <c r="O2601" t="n">
        <v>134</v>
      </c>
      <c r="P2601" t="n">
        <v>848</v>
      </c>
      <c r="Q2601" t="n">
        <v>1002</v>
      </c>
      <c r="R2601" t="n">
        <v>1.074</v>
      </c>
      <c r="S2601" t="n">
        <v>33.345</v>
      </c>
      <c r="T2601" t="n">
        <v>31.05</v>
      </c>
      <c r="U2601" t="n">
        <v>0.7776999999999999</v>
      </c>
      <c r="V2601" t="b">
        <v>1</v>
      </c>
      <c r="X2601" t="b">
        <v>0</v>
      </c>
      <c r="Y2601" t="inlineStr">
        <is>
          <t>ON</t>
        </is>
      </c>
      <c r="Z2601" t="n">
        <v>935</v>
      </c>
      <c r="AA2601" t="n">
        <v>2.5</v>
      </c>
      <c r="AB2601" t="n">
        <v>9.5</v>
      </c>
    </row>
    <row r="2602">
      <c r="A2602" t="inlineStr">
        <is>
          <t>2026-09-24 20:09:58</t>
        </is>
      </c>
      <c r="B2602" t="inlineStr">
        <is>
          <t>MLLB_000_y1.0.3</t>
        </is>
      </c>
      <c r="C2602" t="inlineStr">
        <is>
          <t>WHITE</t>
        </is>
      </c>
      <c r="D2602" t="inlineStr">
        <is>
          <t>v4_white_MLLB_000_y103_0924</t>
        </is>
      </c>
      <c r="E2602" t="n">
        <v>2.6</v>
      </c>
      <c r="F2602" t="n">
        <v>2.608</v>
      </c>
      <c r="G2602" t="n">
        <v>15</v>
      </c>
      <c r="H2602" t="n">
        <v>60</v>
      </c>
      <c r="I2602" t="n">
        <v>24</v>
      </c>
      <c r="J2602" t="inlineStr">
        <is>
          <t>kaba</t>
        </is>
      </c>
      <c r="K2602" t="b">
        <v>1</v>
      </c>
      <c r="M2602" t="n">
        <v>140</v>
      </c>
      <c r="N2602" t="n">
        <v>30</v>
      </c>
      <c r="O2602" t="n">
        <v>120</v>
      </c>
      <c r="P2602" t="n">
        <v>862</v>
      </c>
      <c r="Q2602" t="n">
        <v>1002</v>
      </c>
      <c r="R2602" t="n">
        <v>1.075</v>
      </c>
      <c r="S2602" t="n">
        <v>33.378</v>
      </c>
      <c r="T2602" t="n">
        <v>31.047</v>
      </c>
      <c r="U2602" t="n">
        <v>0.7776999999999999</v>
      </c>
      <c r="V2602" t="b">
        <v>1</v>
      </c>
      <c r="X2602" t="b">
        <v>0</v>
      </c>
      <c r="Y2602" t="inlineStr">
        <is>
          <t>ON</t>
        </is>
      </c>
      <c r="Z2602" t="n">
        <v>935</v>
      </c>
      <c r="AA2602" t="n">
        <v>2.5</v>
      </c>
      <c r="AB2602" t="n">
        <v>9.5</v>
      </c>
    </row>
    <row r="2603">
      <c r="A2603" t="inlineStr">
        <is>
          <t>2026-09-24 20:10:14</t>
        </is>
      </c>
      <c r="B2603" t="inlineStr">
        <is>
          <t>MLLB_000_y1.0.3</t>
        </is>
      </c>
      <c r="C2603" t="inlineStr">
        <is>
          <t>WHITE</t>
        </is>
      </c>
      <c r="D2603" t="inlineStr">
        <is>
          <t>v4_white_MLLB_000_y103_0924</t>
        </is>
      </c>
      <c r="E2603" t="n">
        <v>2.6</v>
      </c>
      <c r="F2603" t="n">
        <v>2.608</v>
      </c>
      <c r="G2603" t="n">
        <v>15</v>
      </c>
      <c r="H2603" t="n">
        <v>60</v>
      </c>
      <c r="I2603" t="n">
        <v>28</v>
      </c>
      <c r="J2603" t="inlineStr">
        <is>
          <t>kaba</t>
        </is>
      </c>
      <c r="K2603" t="b">
        <v>1</v>
      </c>
      <c r="M2603" t="n">
        <v>126</v>
      </c>
      <c r="N2603" t="n">
        <v>32</v>
      </c>
      <c r="O2603" t="n">
        <v>106</v>
      </c>
      <c r="P2603" t="n">
        <v>876</v>
      </c>
      <c r="Q2603" t="n">
        <v>1002</v>
      </c>
      <c r="R2603" t="n">
        <v>1.071</v>
      </c>
      <c r="S2603" t="n">
        <v>33.281</v>
      </c>
      <c r="T2603" t="n">
        <v>31.078</v>
      </c>
      <c r="U2603" t="n">
        <v>0.7784</v>
      </c>
      <c r="V2603" t="b">
        <v>1</v>
      </c>
      <c r="X2603" t="b">
        <v>0</v>
      </c>
      <c r="Y2603" t="inlineStr">
        <is>
          <t>ON</t>
        </is>
      </c>
      <c r="Z2603" t="n">
        <v>935</v>
      </c>
      <c r="AA2603" t="n">
        <v>2.5</v>
      </c>
      <c r="AB2603" t="n">
        <v>9.5</v>
      </c>
    </row>
    <row r="2604">
      <c r="A2604" t="inlineStr">
        <is>
          <t>2026-09-24 20:10:30</t>
        </is>
      </c>
      <c r="B2604" t="inlineStr">
        <is>
          <t>MLLB_000_y1.0.3</t>
        </is>
      </c>
      <c r="C2604" t="inlineStr">
        <is>
          <t>WHITE</t>
        </is>
      </c>
      <c r="D2604" t="inlineStr">
        <is>
          <t>v4_white_MLLB_000_y103_0924</t>
        </is>
      </c>
      <c r="E2604" t="n">
        <v>2.6</v>
      </c>
      <c r="F2604" t="n">
        <v>2.608</v>
      </c>
      <c r="G2604" t="n">
        <v>15</v>
      </c>
      <c r="H2604" t="n">
        <v>60</v>
      </c>
      <c r="I2604" t="n">
        <v>32</v>
      </c>
      <c r="J2604" t="inlineStr">
        <is>
          <t>kaba</t>
        </is>
      </c>
      <c r="K2604" t="b">
        <v>1</v>
      </c>
      <c r="M2604" t="n">
        <v>112</v>
      </c>
      <c r="N2604" t="n">
        <v>28</v>
      </c>
      <c r="O2604" t="n">
        <v>94</v>
      </c>
      <c r="P2604" t="n">
        <v>890</v>
      </c>
      <c r="Q2604" t="n">
        <v>1002</v>
      </c>
      <c r="R2604" t="n">
        <v>1.072</v>
      </c>
      <c r="S2604" t="n">
        <v>33.32</v>
      </c>
      <c r="T2604" t="n">
        <v>31.075</v>
      </c>
      <c r="U2604" t="n">
        <v>0.7778</v>
      </c>
      <c r="V2604" t="b">
        <v>1</v>
      </c>
      <c r="X2604" t="b">
        <v>0</v>
      </c>
      <c r="Y2604" t="inlineStr">
        <is>
          <t>ON</t>
        </is>
      </c>
      <c r="Z2604" t="n">
        <v>935</v>
      </c>
      <c r="AA2604" t="n">
        <v>2.5</v>
      </c>
      <c r="AB2604" t="n">
        <v>9.5</v>
      </c>
    </row>
    <row r="2605">
      <c r="A2605" t="inlineStr">
        <is>
          <t>2026-09-24 20:10:46</t>
        </is>
      </c>
      <c r="B2605" t="inlineStr">
        <is>
          <t>MLLB_000_y1.0.3</t>
        </is>
      </c>
      <c r="C2605" t="inlineStr">
        <is>
          <t>WHITE</t>
        </is>
      </c>
      <c r="D2605" t="inlineStr">
        <is>
          <t>v4_white_MLLB_000_y103_0924</t>
        </is>
      </c>
      <c r="E2605" t="n">
        <v>2.6</v>
      </c>
      <c r="F2605" t="n">
        <v>2.608</v>
      </c>
      <c r="G2605" t="n">
        <v>15</v>
      </c>
      <c r="H2605" t="n">
        <v>60</v>
      </c>
      <c r="I2605" t="n">
        <v>36</v>
      </c>
      <c r="J2605" t="inlineStr">
        <is>
          <t>kaba</t>
        </is>
      </c>
      <c r="K2605" t="b">
        <v>1</v>
      </c>
      <c r="M2605" t="n">
        <v>100</v>
      </c>
      <c r="N2605" t="n">
        <v>32</v>
      </c>
      <c r="O2605" t="n">
        <v>78</v>
      </c>
      <c r="P2605" t="n">
        <v>902</v>
      </c>
      <c r="Q2605" t="n">
        <v>1002</v>
      </c>
      <c r="R2605" t="n">
        <v>1.07</v>
      </c>
      <c r="S2605" t="n">
        <v>33.303</v>
      </c>
      <c r="T2605" t="n">
        <v>31.137</v>
      </c>
      <c r="U2605" t="n">
        <v>0.7776</v>
      </c>
      <c r="V2605" t="b">
        <v>1</v>
      </c>
      <c r="X2605" t="b">
        <v>0</v>
      </c>
      <c r="Y2605" t="inlineStr">
        <is>
          <t>ON</t>
        </is>
      </c>
      <c r="Z2605" t="n">
        <v>935</v>
      </c>
      <c r="AA2605" t="n">
        <v>2.5</v>
      </c>
      <c r="AB2605" t="n">
        <v>9.5</v>
      </c>
    </row>
    <row r="2606">
      <c r="A2606" t="inlineStr">
        <is>
          <t>2026-09-24 20:11:02</t>
        </is>
      </c>
      <c r="B2606" t="inlineStr">
        <is>
          <t>MLLB_000_y1.0.3</t>
        </is>
      </c>
      <c r="C2606" t="inlineStr">
        <is>
          <t>WHITE</t>
        </is>
      </c>
      <c r="D2606" t="inlineStr">
        <is>
          <t>v4_white_MLLB_000_y103_0924</t>
        </is>
      </c>
      <c r="E2606" t="n">
        <v>2.6</v>
      </c>
      <c r="F2606" t="n">
        <v>2.608</v>
      </c>
      <c r="G2606" t="n">
        <v>15</v>
      </c>
      <c r="H2606" t="n">
        <v>60</v>
      </c>
      <c r="I2606" t="n">
        <v>40</v>
      </c>
      <c r="J2606" t="inlineStr">
        <is>
          <t>kaba</t>
        </is>
      </c>
      <c r="K2606" t="b">
        <v>1</v>
      </c>
      <c r="M2606" t="n">
        <v>86</v>
      </c>
      <c r="N2606" t="n">
        <v>28</v>
      </c>
      <c r="O2606" t="n">
        <v>66</v>
      </c>
      <c r="P2606" t="n">
        <v>916</v>
      </c>
      <c r="Q2606" t="n">
        <v>1002</v>
      </c>
      <c r="R2606" t="n">
        <v>1.073</v>
      </c>
      <c r="S2606" t="n">
        <v>33.425</v>
      </c>
      <c r="T2606" t="n">
        <v>31.153</v>
      </c>
      <c r="U2606" t="n">
        <v>0.778</v>
      </c>
      <c r="V2606" t="b">
        <v>1</v>
      </c>
      <c r="X2606" t="b">
        <v>0</v>
      </c>
      <c r="Y2606" t="inlineStr">
        <is>
          <t>ON</t>
        </is>
      </c>
      <c r="Z2606" t="n">
        <v>935</v>
      </c>
      <c r="AA2606" t="n">
        <v>2.5</v>
      </c>
      <c r="AB2606" t="n">
        <v>9.5</v>
      </c>
    </row>
    <row r="2607">
      <c r="A2607" t="inlineStr">
        <is>
          <t>2026-09-24 20:11:18</t>
        </is>
      </c>
      <c r="B2607" t="inlineStr">
        <is>
          <t>MLLB_000_y1.0.3</t>
        </is>
      </c>
      <c r="C2607" t="inlineStr">
        <is>
          <t>WHITE</t>
        </is>
      </c>
      <c r="D2607" t="inlineStr">
        <is>
          <t>v4_white_MLLB_000_y103_0924</t>
        </is>
      </c>
      <c r="E2607" t="n">
        <v>2.6</v>
      </c>
      <c r="F2607" t="n">
        <v>2.608</v>
      </c>
      <c r="G2607" t="n">
        <v>15</v>
      </c>
      <c r="H2607" t="n">
        <v>60</v>
      </c>
      <c r="I2607" t="n">
        <v>44</v>
      </c>
      <c r="J2607" t="inlineStr">
        <is>
          <t>kaba</t>
        </is>
      </c>
      <c r="K2607" t="b">
        <v>1</v>
      </c>
      <c r="M2607" t="n">
        <v>72</v>
      </c>
      <c r="N2607" t="n">
        <v>30</v>
      </c>
      <c r="O2607" t="n">
        <v>52</v>
      </c>
      <c r="P2607" t="n">
        <v>930</v>
      </c>
      <c r="Q2607" t="n">
        <v>1002</v>
      </c>
      <c r="R2607" t="n">
        <v>1.071</v>
      </c>
      <c r="S2607" t="n">
        <v>33.36</v>
      </c>
      <c r="T2607" t="n">
        <v>31.158</v>
      </c>
      <c r="U2607" t="n">
        <v>0.7781</v>
      </c>
      <c r="V2607" t="b">
        <v>1</v>
      </c>
      <c r="X2607" t="b">
        <v>0</v>
      </c>
      <c r="Y2607" t="inlineStr">
        <is>
          <t>ON</t>
        </is>
      </c>
      <c r="Z2607" t="n">
        <v>935</v>
      </c>
      <c r="AA2607" t="n">
        <v>2.5</v>
      </c>
      <c r="AB2607" t="n">
        <v>9.5</v>
      </c>
    </row>
    <row r="2608">
      <c r="A2608" t="inlineStr">
        <is>
          <t>2026-09-24 20:11:34</t>
        </is>
      </c>
      <c r="B2608" t="inlineStr">
        <is>
          <t>MLLB_000_y1.0.3</t>
        </is>
      </c>
      <c r="C2608" t="inlineStr">
        <is>
          <t>WHITE</t>
        </is>
      </c>
      <c r="D2608" t="inlineStr">
        <is>
          <t>v4_white_MLLB_000_y103_0924</t>
        </is>
      </c>
      <c r="E2608" t="n">
        <v>2.6</v>
      </c>
      <c r="F2608" t="n">
        <v>2.608</v>
      </c>
      <c r="G2608" t="n">
        <v>15</v>
      </c>
      <c r="H2608" t="n">
        <v>60</v>
      </c>
      <c r="I2608" t="n">
        <v>48</v>
      </c>
      <c r="J2608" t="inlineStr">
        <is>
          <t>kaba</t>
        </is>
      </c>
      <c r="K2608" t="b">
        <v>1</v>
      </c>
      <c r="M2608" t="n">
        <v>58</v>
      </c>
      <c r="N2608" t="n">
        <v>28</v>
      </c>
      <c r="O2608" t="n">
        <v>38</v>
      </c>
      <c r="P2608" t="n">
        <v>944</v>
      </c>
      <c r="Q2608" t="n">
        <v>1002</v>
      </c>
      <c r="R2608" t="n">
        <v>1.069</v>
      </c>
      <c r="S2608" t="n">
        <v>33.303</v>
      </c>
      <c r="T2608" t="n">
        <v>31.153</v>
      </c>
      <c r="U2608" t="n">
        <v>0.7775</v>
      </c>
      <c r="V2608" t="b">
        <v>1</v>
      </c>
      <c r="X2608" t="b">
        <v>1</v>
      </c>
      <c r="Z2608" t="n">
        <v>935</v>
      </c>
      <c r="AA2608" t="n">
        <v>2.5</v>
      </c>
      <c r="AB2608" t="n">
        <v>9.5</v>
      </c>
    </row>
    <row r="2609">
      <c r="A2609" t="inlineStr">
        <is>
          <t>2026-09-24 20:11:50</t>
        </is>
      </c>
      <c r="B2609" t="inlineStr">
        <is>
          <t>MLLB_000_y1.0.3</t>
        </is>
      </c>
      <c r="C2609" t="inlineStr">
        <is>
          <t>WHITE</t>
        </is>
      </c>
      <c r="D2609" t="inlineStr">
        <is>
          <t>v4_white_MLLB_000_y103_0924</t>
        </is>
      </c>
      <c r="E2609" t="n">
        <v>2.6</v>
      </c>
      <c r="F2609" t="n">
        <v>2.608</v>
      </c>
      <c r="G2609" t="n">
        <v>15</v>
      </c>
      <c r="H2609" t="n">
        <v>60</v>
      </c>
      <c r="I2609" t="n">
        <v>52</v>
      </c>
      <c r="J2609" t="inlineStr">
        <is>
          <t>kaba</t>
        </is>
      </c>
      <c r="K2609" t="b">
        <v>1</v>
      </c>
      <c r="M2609" t="n">
        <v>58</v>
      </c>
      <c r="N2609" t="n">
        <v>28</v>
      </c>
      <c r="O2609" t="n">
        <v>38</v>
      </c>
      <c r="P2609" t="n">
        <v>944</v>
      </c>
      <c r="Q2609" t="n">
        <v>1002</v>
      </c>
      <c r="R2609" t="n">
        <v>1.253</v>
      </c>
      <c r="S2609" t="n">
        <v>39.037</v>
      </c>
      <c r="T2609" t="n">
        <v>31.154</v>
      </c>
      <c r="U2609" t="n">
        <v>0.7779</v>
      </c>
      <c r="V2609" t="b">
        <v>1</v>
      </c>
      <c r="X2609" t="b">
        <v>1</v>
      </c>
      <c r="Z2609" t="n">
        <v>935</v>
      </c>
      <c r="AA2609" t="n">
        <v>2.5</v>
      </c>
      <c r="AB2609" t="n">
        <v>9.5</v>
      </c>
    </row>
    <row r="2610">
      <c r="A2610" t="inlineStr">
        <is>
          <t>2026-09-24 20:12:06</t>
        </is>
      </c>
      <c r="B2610" t="inlineStr">
        <is>
          <t>MLLB_000_y1.0.3</t>
        </is>
      </c>
      <c r="C2610" t="inlineStr">
        <is>
          <t>WHITE</t>
        </is>
      </c>
      <c r="D2610" t="inlineStr">
        <is>
          <t>v4_white_MLLB_000_y103_0924</t>
        </is>
      </c>
      <c r="E2610" t="n">
        <v>2.6</v>
      </c>
      <c r="F2610" t="n">
        <v>2.608</v>
      </c>
      <c r="G2610" t="n">
        <v>15</v>
      </c>
      <c r="H2610" t="n">
        <v>60</v>
      </c>
      <c r="I2610" t="n">
        <v>56</v>
      </c>
      <c r="J2610" t="inlineStr">
        <is>
          <t>kaba</t>
        </is>
      </c>
      <c r="K2610" t="b">
        <v>1</v>
      </c>
      <c r="M2610" t="n">
        <v>58</v>
      </c>
      <c r="N2610" t="n">
        <v>28</v>
      </c>
      <c r="O2610" t="n">
        <v>38</v>
      </c>
      <c r="P2610" t="n">
        <v>944</v>
      </c>
      <c r="Q2610" t="n">
        <v>1002</v>
      </c>
      <c r="R2610" t="n">
        <v>2.657</v>
      </c>
      <c r="S2610" t="n">
        <v>94.667</v>
      </c>
      <c r="T2610" t="n">
        <v>35.623</v>
      </c>
      <c r="U2610" t="n">
        <v>0.7772</v>
      </c>
      <c r="V2610" t="b">
        <v>1</v>
      </c>
      <c r="X2610" t="b">
        <v>0</v>
      </c>
      <c r="Y2610" t="inlineStr">
        <is>
          <t>FLAS</t>
        </is>
      </c>
      <c r="Z2610" t="n">
        <v>935</v>
      </c>
      <c r="AA2610" t="n">
        <v>2.5</v>
      </c>
      <c r="AB2610" t="n">
        <v>9.5</v>
      </c>
    </row>
    <row r="2611">
      <c r="A2611" t="inlineStr">
        <is>
          <t>2026-09-24 20:12:22</t>
        </is>
      </c>
      <c r="B2611" t="inlineStr">
        <is>
          <t>MLLB_000_y1.0.3</t>
        </is>
      </c>
      <c r="C2611" t="inlineStr">
        <is>
          <t>WHITE</t>
        </is>
      </c>
      <c r="D2611" t="inlineStr">
        <is>
          <t>v4_white_MLLB_000_y103_0924</t>
        </is>
      </c>
      <c r="E2611" t="n">
        <v>2.6</v>
      </c>
      <c r="F2611" t="n">
        <v>2.608</v>
      </c>
      <c r="G2611" t="n">
        <v>15</v>
      </c>
      <c r="H2611" t="n">
        <v>60</v>
      </c>
      <c r="I2611" t="n">
        <v>58</v>
      </c>
      <c r="J2611" t="inlineStr">
        <is>
          <t>kaba</t>
        </is>
      </c>
      <c r="K2611" t="b">
        <v>1</v>
      </c>
      <c r="M2611" t="n">
        <v>58</v>
      </c>
      <c r="N2611" t="n">
        <v>28</v>
      </c>
      <c r="O2611" t="n">
        <v>38</v>
      </c>
      <c r="P2611" t="n">
        <v>944</v>
      </c>
      <c r="Q2611" t="n">
        <v>1002</v>
      </c>
      <c r="R2611" t="n">
        <v>3.425</v>
      </c>
      <c r="S2611" t="n">
        <v>106.707</v>
      </c>
      <c r="T2611" t="n">
        <v>31.156</v>
      </c>
      <c r="U2611" t="n">
        <v>0.778</v>
      </c>
      <c r="V2611" t="b">
        <v>1</v>
      </c>
      <c r="X2611" t="b">
        <v>0</v>
      </c>
      <c r="Y2611" t="inlineStr">
        <is>
          <t>FLAS</t>
        </is>
      </c>
      <c r="Z2611" t="n">
        <v>935</v>
      </c>
      <c r="AA2611" t="n">
        <v>2.5</v>
      </c>
      <c r="AB2611" t="n">
        <v>9.5</v>
      </c>
    </row>
    <row r="2612">
      <c r="A2612" t="inlineStr">
        <is>
          <t>2026-09-24 20:12:38</t>
        </is>
      </c>
      <c r="B2612" t="inlineStr">
        <is>
          <t>MLLB_000_y1.0.3</t>
        </is>
      </c>
      <c r="C2612" t="inlineStr">
        <is>
          <t>WHITE</t>
        </is>
      </c>
      <c r="D2612" t="inlineStr">
        <is>
          <t>v4_white_MLLB_000_y103_0924</t>
        </is>
      </c>
      <c r="E2612" t="n">
        <v>2.6</v>
      </c>
      <c r="F2612" t="n">
        <v>2.608</v>
      </c>
      <c r="G2612" t="n">
        <v>15</v>
      </c>
      <c r="H2612" t="n">
        <v>60</v>
      </c>
      <c r="I2612" t="n">
        <v>45</v>
      </c>
      <c r="J2612" t="inlineStr">
        <is>
          <t>ince</t>
        </is>
      </c>
      <c r="K2612" t="b">
        <v>1</v>
      </c>
      <c r="M2612" t="n">
        <v>68</v>
      </c>
      <c r="N2612" t="n">
        <v>30</v>
      </c>
      <c r="O2612" t="n">
        <v>48</v>
      </c>
      <c r="P2612" t="n">
        <v>934</v>
      </c>
      <c r="Q2612" t="n">
        <v>1002</v>
      </c>
      <c r="R2612" t="n">
        <v>1.071</v>
      </c>
      <c r="S2612" t="n">
        <v>33.354</v>
      </c>
      <c r="T2612" t="n">
        <v>31.156</v>
      </c>
      <c r="U2612" t="n">
        <v>0.7773</v>
      </c>
      <c r="V2612" t="b">
        <v>1</v>
      </c>
      <c r="X2612" t="b">
        <v>0</v>
      </c>
      <c r="Y2612" t="inlineStr">
        <is>
          <t>ON</t>
        </is>
      </c>
      <c r="Z2612" t="n">
        <v>935</v>
      </c>
      <c r="AA2612" t="n">
        <v>2.5</v>
      </c>
      <c r="AB2612" t="n">
        <v>9.5</v>
      </c>
    </row>
    <row r="2613">
      <c r="A2613" t="inlineStr">
        <is>
          <t>2026-09-24 20:12:54</t>
        </is>
      </c>
      <c r="B2613" t="inlineStr">
        <is>
          <t>MLLB_000_y1.0.3</t>
        </is>
      </c>
      <c r="C2613" t="inlineStr">
        <is>
          <t>WHITE</t>
        </is>
      </c>
      <c r="D2613" t="inlineStr">
        <is>
          <t>v4_white_MLLB_000_y103_0924</t>
        </is>
      </c>
      <c r="E2613" t="n">
        <v>2.6</v>
      </c>
      <c r="F2613" t="n">
        <v>2.608</v>
      </c>
      <c r="G2613" t="n">
        <v>15</v>
      </c>
      <c r="H2613" t="n">
        <v>60</v>
      </c>
      <c r="I2613" t="n">
        <v>46</v>
      </c>
      <c r="J2613" t="inlineStr">
        <is>
          <t>ince</t>
        </is>
      </c>
      <c r="K2613" t="b">
        <v>1</v>
      </c>
      <c r="M2613" t="n">
        <v>64</v>
      </c>
      <c r="N2613" t="n">
        <v>30</v>
      </c>
      <c r="O2613" t="n">
        <v>44</v>
      </c>
      <c r="P2613" t="n">
        <v>938</v>
      </c>
      <c r="Q2613" t="n">
        <v>1002</v>
      </c>
      <c r="R2613" t="n">
        <v>1.07</v>
      </c>
      <c r="S2613" t="n">
        <v>33.354</v>
      </c>
      <c r="T2613" t="n">
        <v>31.173</v>
      </c>
      <c r="U2613" t="n">
        <v>0.7776999999999999</v>
      </c>
      <c r="V2613" t="b">
        <v>1</v>
      </c>
      <c r="X2613" t="b">
        <v>1</v>
      </c>
      <c r="Z2613" t="n">
        <v>935</v>
      </c>
      <c r="AA2613" t="n">
        <v>2.5</v>
      </c>
      <c r="AB2613" t="n">
        <v>9.5</v>
      </c>
    </row>
    <row r="2614">
      <c r="A2614" t="inlineStr">
        <is>
          <t>2026-09-24 20:13:10</t>
        </is>
      </c>
      <c r="B2614" t="inlineStr">
        <is>
          <t>MLLB_000_y1.0.3</t>
        </is>
      </c>
      <c r="C2614" t="inlineStr">
        <is>
          <t>WHITE</t>
        </is>
      </c>
      <c r="D2614" t="inlineStr">
        <is>
          <t>v4_white_MLLB_000_y103_0924</t>
        </is>
      </c>
      <c r="E2614" t="n">
        <v>2.6</v>
      </c>
      <c r="F2614" t="n">
        <v>2.608</v>
      </c>
      <c r="G2614" t="n">
        <v>15</v>
      </c>
      <c r="H2614" t="n">
        <v>60</v>
      </c>
      <c r="I2614" t="n">
        <v>47</v>
      </c>
      <c r="J2614" t="inlineStr">
        <is>
          <t>ince</t>
        </is>
      </c>
      <c r="K2614" t="b">
        <v>1</v>
      </c>
      <c r="M2614" t="n">
        <v>60</v>
      </c>
      <c r="N2614" t="n">
        <v>28</v>
      </c>
      <c r="O2614" t="n">
        <v>42</v>
      </c>
      <c r="P2614" t="n">
        <v>942</v>
      </c>
      <c r="Q2614" t="n">
        <v>1002</v>
      </c>
      <c r="R2614" t="n">
        <v>1.07</v>
      </c>
      <c r="S2614" t="n">
        <v>33.371</v>
      </c>
      <c r="T2614" t="n">
        <v>31.178</v>
      </c>
      <c r="U2614" t="n">
        <v>0.7776</v>
      </c>
      <c r="V2614" t="b">
        <v>1</v>
      </c>
      <c r="X2614" t="b">
        <v>1</v>
      </c>
      <c r="Z2614" t="n">
        <v>935</v>
      </c>
      <c r="AA2614" t="n">
        <v>2.5</v>
      </c>
      <c r="AB2614" t="n">
        <v>9.5</v>
      </c>
    </row>
    <row r="2615">
      <c r="A2615" t="inlineStr">
        <is>
          <t>2026-09-24 20:13:10</t>
        </is>
      </c>
      <c r="B2615" t="inlineStr">
        <is>
          <t>MLLB_000_y1.0.3</t>
        </is>
      </c>
      <c r="C2615" t="inlineStr">
        <is>
          <t>WHITE</t>
        </is>
      </c>
      <c r="D2615" t="inlineStr">
        <is>
          <t>v4_white_MLLB_000_y103_0924</t>
        </is>
      </c>
      <c r="E2615" t="n">
        <v>2.6</v>
      </c>
      <c r="F2615" t="n">
        <v>2.608</v>
      </c>
      <c r="G2615" t="n">
        <v>15</v>
      </c>
      <c r="H2615" t="n">
        <v>60</v>
      </c>
      <c r="I2615" t="n">
        <v>49</v>
      </c>
      <c r="J2615" t="inlineStr">
        <is>
          <t>ince</t>
        </is>
      </c>
      <c r="K2615" t="b">
        <v>0</v>
      </c>
      <c r="L2615" t="inlineStr">
        <is>
          <t>iki-OK-arasi-monotonluk</t>
        </is>
      </c>
      <c r="X2615" t="b">
        <v>1</v>
      </c>
      <c r="Z2615" t="n">
        <v>935</v>
      </c>
      <c r="AA2615" t="n">
        <v>2.5</v>
      </c>
      <c r="AB2615" t="n">
        <v>9.5</v>
      </c>
    </row>
    <row r="2616">
      <c r="A2616" t="inlineStr">
        <is>
          <t>2026-09-24 20:13:10</t>
        </is>
      </c>
      <c r="B2616" t="inlineStr">
        <is>
          <t>MLLB_000_y1.0.3</t>
        </is>
      </c>
      <c r="C2616" t="inlineStr">
        <is>
          <t>WHITE</t>
        </is>
      </c>
      <c r="D2616" t="inlineStr">
        <is>
          <t>v4_white_MLLB_000_y103_0924</t>
        </is>
      </c>
      <c r="E2616" t="n">
        <v>2.6</v>
      </c>
      <c r="F2616" t="n">
        <v>2.608</v>
      </c>
      <c r="G2616" t="n">
        <v>15</v>
      </c>
      <c r="H2616" t="n">
        <v>60</v>
      </c>
      <c r="I2616" t="n">
        <v>50</v>
      </c>
      <c r="J2616" t="inlineStr">
        <is>
          <t>ince</t>
        </is>
      </c>
      <c r="K2616" t="b">
        <v>0</v>
      </c>
      <c r="L2616" t="inlineStr">
        <is>
          <t>iki-OK-arasi-monotonluk</t>
        </is>
      </c>
      <c r="X2616" t="b">
        <v>1</v>
      </c>
      <c r="Z2616" t="n">
        <v>935</v>
      </c>
      <c r="AA2616" t="n">
        <v>2.5</v>
      </c>
      <c r="AB2616" t="n">
        <v>9.5</v>
      </c>
    </row>
    <row r="2617">
      <c r="A2617" t="inlineStr">
        <is>
          <t>2026-09-24 20:13:10</t>
        </is>
      </c>
      <c r="B2617" t="inlineStr">
        <is>
          <t>MLLB_000_y1.0.3</t>
        </is>
      </c>
      <c r="C2617" t="inlineStr">
        <is>
          <t>WHITE</t>
        </is>
      </c>
      <c r="D2617" t="inlineStr">
        <is>
          <t>v4_white_MLLB_000_y103_0924</t>
        </is>
      </c>
      <c r="E2617" t="n">
        <v>2.6</v>
      </c>
      <c r="F2617" t="n">
        <v>2.608</v>
      </c>
      <c r="G2617" t="n">
        <v>15</v>
      </c>
      <c r="H2617" t="n">
        <v>60</v>
      </c>
      <c r="I2617" t="n">
        <v>51</v>
      </c>
      <c r="J2617" t="inlineStr">
        <is>
          <t>ince</t>
        </is>
      </c>
      <c r="K2617" t="b">
        <v>0</v>
      </c>
      <c r="L2617" t="inlineStr">
        <is>
          <t>iki-OK-arasi-monotonluk</t>
        </is>
      </c>
      <c r="X2617" t="b">
        <v>1</v>
      </c>
      <c r="Z2617" t="n">
        <v>935</v>
      </c>
      <c r="AA2617" t="n">
        <v>2.5</v>
      </c>
      <c r="AB2617" t="n">
        <v>9.5</v>
      </c>
    </row>
    <row r="2618">
      <c r="A2618" t="inlineStr">
        <is>
          <t>2026-09-24 20:13:26</t>
        </is>
      </c>
      <c r="B2618" t="inlineStr">
        <is>
          <t>MLLB_000_y1.0.3</t>
        </is>
      </c>
      <c r="C2618" t="inlineStr">
        <is>
          <t>WHITE</t>
        </is>
      </c>
      <c r="D2618" t="inlineStr">
        <is>
          <t>v4_white_MLLB_000_y103_0924</t>
        </is>
      </c>
      <c r="E2618" t="n">
        <v>2.6</v>
      </c>
      <c r="F2618" t="n">
        <v>2.608</v>
      </c>
      <c r="G2618" t="n">
        <v>15</v>
      </c>
      <c r="H2618" t="n">
        <v>60</v>
      </c>
      <c r="I2618" t="n">
        <v>53</v>
      </c>
      <c r="J2618" t="inlineStr">
        <is>
          <t>ince</t>
        </is>
      </c>
      <c r="K2618" t="b">
        <v>1</v>
      </c>
      <c r="M2618" t="n">
        <v>58</v>
      </c>
      <c r="N2618" t="n">
        <v>28</v>
      </c>
      <c r="O2618" t="n">
        <v>38</v>
      </c>
      <c r="P2618" t="n">
        <v>944</v>
      </c>
      <c r="Q2618" t="n">
        <v>1002</v>
      </c>
      <c r="R2618" t="n">
        <v>1.529</v>
      </c>
      <c r="S2618" t="n">
        <v>47.654</v>
      </c>
      <c r="T2618" t="n">
        <v>31.164</v>
      </c>
      <c r="U2618" t="n">
        <v>0.7782</v>
      </c>
      <c r="V2618" t="b">
        <v>1</v>
      </c>
      <c r="X2618" t="b">
        <v>1</v>
      </c>
      <c r="Z2618" t="n">
        <v>935</v>
      </c>
      <c r="AA2618" t="n">
        <v>2.5</v>
      </c>
      <c r="AB2618" t="n">
        <v>9.5</v>
      </c>
    </row>
    <row r="2619">
      <c r="A2619" t="inlineStr">
        <is>
          <t>2026-09-24 20:13:42</t>
        </is>
      </c>
      <c r="B2619" t="inlineStr">
        <is>
          <t>MLLB_000_y1.0.3</t>
        </is>
      </c>
      <c r="C2619" t="inlineStr">
        <is>
          <t>WHITE</t>
        </is>
      </c>
      <c r="D2619" t="inlineStr">
        <is>
          <t>v4_white_MLLB_000_y103_0924</t>
        </is>
      </c>
      <c r="E2619" t="n">
        <v>2.6</v>
      </c>
      <c r="F2619" t="n">
        <v>2.608</v>
      </c>
      <c r="G2619" t="n">
        <v>15</v>
      </c>
      <c r="H2619" t="n">
        <v>60</v>
      </c>
      <c r="I2619" t="n">
        <v>54</v>
      </c>
      <c r="J2619" t="inlineStr">
        <is>
          <t>ince</t>
        </is>
      </c>
      <c r="K2619" t="b">
        <v>1</v>
      </c>
      <c r="M2619" t="n">
        <v>58</v>
      </c>
      <c r="N2619" t="n">
        <v>28</v>
      </c>
      <c r="O2619" t="n">
        <v>38</v>
      </c>
      <c r="P2619" t="n">
        <v>944</v>
      </c>
      <c r="Q2619" t="n">
        <v>1002</v>
      </c>
      <c r="R2619" t="n">
        <v>1.765</v>
      </c>
      <c r="S2619" t="n">
        <v>55.004</v>
      </c>
      <c r="T2619" t="n">
        <v>31.171</v>
      </c>
      <c r="U2619" t="n">
        <v>0.778</v>
      </c>
      <c r="V2619" t="b">
        <v>1</v>
      </c>
      <c r="X2619" t="b">
        <v>1</v>
      </c>
      <c r="Z2619" t="n">
        <v>935</v>
      </c>
      <c r="AA2619" t="n">
        <v>2.5</v>
      </c>
      <c r="AB2619" t="n">
        <v>9.5</v>
      </c>
    </row>
    <row r="2620">
      <c r="A2620" t="inlineStr">
        <is>
          <t>2026-09-24 20:13:58</t>
        </is>
      </c>
      <c r="B2620" t="inlineStr">
        <is>
          <t>MLLB_000_y1.0.3</t>
        </is>
      </c>
      <c r="C2620" t="inlineStr">
        <is>
          <t>WHITE</t>
        </is>
      </c>
      <c r="D2620" t="inlineStr">
        <is>
          <t>v4_white_MLLB_000_y103_0924</t>
        </is>
      </c>
      <c r="E2620" t="n">
        <v>2.6</v>
      </c>
      <c r="F2620" t="n">
        <v>2.608</v>
      </c>
      <c r="G2620" t="n">
        <v>15</v>
      </c>
      <c r="H2620" t="n">
        <v>60</v>
      </c>
      <c r="I2620" t="n">
        <v>55</v>
      </c>
      <c r="J2620" t="inlineStr">
        <is>
          <t>ince</t>
        </is>
      </c>
      <c r="K2620" t="b">
        <v>1</v>
      </c>
      <c r="M2620" t="n">
        <v>58</v>
      </c>
      <c r="N2620" t="n">
        <v>28</v>
      </c>
      <c r="O2620" t="n">
        <v>38</v>
      </c>
      <c r="P2620" t="n">
        <v>944</v>
      </c>
      <c r="Q2620" t="n">
        <v>1002</v>
      </c>
      <c r="R2620" t="n">
        <v>2.701</v>
      </c>
      <c r="S2620" t="n">
        <v>84.152</v>
      </c>
      <c r="T2620" t="n">
        <v>31.151</v>
      </c>
      <c r="U2620" t="n">
        <v>0.7778</v>
      </c>
      <c r="V2620" t="b">
        <v>1</v>
      </c>
      <c r="X2620" t="b">
        <v>0</v>
      </c>
      <c r="Y2620" t="inlineStr">
        <is>
          <t>FLAS</t>
        </is>
      </c>
      <c r="Z2620" t="n">
        <v>935</v>
      </c>
      <c r="AA2620" t="n">
        <v>2.5</v>
      </c>
      <c r="AB2620" t="n">
        <v>9.5</v>
      </c>
    </row>
    <row r="2621">
      <c r="A2621" t="inlineStr">
        <is>
          <t>2026-09-24 20:13:59</t>
        </is>
      </c>
      <c r="B2621" t="inlineStr">
        <is>
          <t>MLLB_000_y1.0.3</t>
        </is>
      </c>
      <c r="C2621" t="inlineStr">
        <is>
          <t>WHITE</t>
        </is>
      </c>
      <c r="D2621" t="inlineStr">
        <is>
          <t>v4_white_MLLB_000_y103_0924</t>
        </is>
      </c>
      <c r="E2621" t="n">
        <v>2.6</v>
      </c>
      <c r="F2621" t="n">
        <v>2.608</v>
      </c>
      <c r="G2621" t="n">
        <v>15</v>
      </c>
      <c r="H2621" t="n">
        <v>60</v>
      </c>
      <c r="J2621" t="inlineStr">
        <is>
          <t>bitti</t>
        </is>
      </c>
      <c r="K2621" t="b">
        <v>0</v>
      </c>
      <c r="Z2621" t="n">
        <v>935</v>
      </c>
      <c r="AA2621" t="n">
        <v>2.5</v>
      </c>
      <c r="AB2621" t="n">
        <v>9.5</v>
      </c>
    </row>
    <row r="2622">
      <c r="A2622" t="inlineStr">
        <is>
          <t>2026-09-24 20:14:20</t>
        </is>
      </c>
      <c r="B2622" t="inlineStr">
        <is>
          <t>MLLB_000_y1.0.3</t>
        </is>
      </c>
      <c r="C2622" t="inlineStr">
        <is>
          <t>WHITE</t>
        </is>
      </c>
      <c r="D2622" t="inlineStr">
        <is>
          <t>v4_white_MLLB_000_y103_0924</t>
        </is>
      </c>
      <c r="E2622" t="n">
        <v>2.6</v>
      </c>
      <c r="F2622" t="n">
        <v>2.608</v>
      </c>
      <c r="G2622" t="n">
        <v>100</v>
      </c>
      <c r="H2622" t="n">
        <v>100</v>
      </c>
      <c r="I2622" t="n">
        <v>12</v>
      </c>
      <c r="J2622" t="inlineStr">
        <is>
          <t>kaba</t>
        </is>
      </c>
      <c r="K2622" t="b">
        <v>1</v>
      </c>
      <c r="M2622" t="n">
        <v>38</v>
      </c>
      <c r="N2622" t="n">
        <v>28</v>
      </c>
      <c r="O2622" t="n">
        <v>18</v>
      </c>
      <c r="P2622" t="n">
        <v>964</v>
      </c>
      <c r="Q2622" t="n">
        <v>1002</v>
      </c>
      <c r="R2622" t="n">
        <v>1.063</v>
      </c>
      <c r="S2622" t="n">
        <v>237.702</v>
      </c>
      <c r="T2622" t="n">
        <v>223.577</v>
      </c>
      <c r="U2622" t="n">
        <v>0.7778</v>
      </c>
      <c r="V2622" t="b">
        <v>1</v>
      </c>
      <c r="X2622" t="b">
        <v>1</v>
      </c>
      <c r="Z2622" t="n">
        <v>935</v>
      </c>
      <c r="AA2622" t="n">
        <v>2.5</v>
      </c>
      <c r="AB2622" t="n">
        <v>9.5</v>
      </c>
    </row>
    <row r="2623">
      <c r="A2623" t="inlineStr">
        <is>
          <t>2026-09-24 20:14:36</t>
        </is>
      </c>
      <c r="B2623" t="inlineStr">
        <is>
          <t>MLLB_000_y1.0.3</t>
        </is>
      </c>
      <c r="C2623" t="inlineStr">
        <is>
          <t>WHITE</t>
        </is>
      </c>
      <c r="D2623" t="inlineStr">
        <is>
          <t>v4_white_MLLB_000_y103_0924</t>
        </is>
      </c>
      <c r="E2623" t="n">
        <v>2.6</v>
      </c>
      <c r="F2623" t="n">
        <v>2.608</v>
      </c>
      <c r="G2623" t="n">
        <v>100</v>
      </c>
      <c r="H2623" t="n">
        <v>100</v>
      </c>
      <c r="I2623" t="n">
        <v>16</v>
      </c>
      <c r="J2623" t="inlineStr">
        <is>
          <t>kaba</t>
        </is>
      </c>
      <c r="K2623" t="b">
        <v>1</v>
      </c>
      <c r="M2623" t="n">
        <v>38</v>
      </c>
      <c r="N2623" t="n">
        <v>28</v>
      </c>
      <c r="O2623" t="n">
        <v>18</v>
      </c>
      <c r="P2623" t="n">
        <v>964</v>
      </c>
      <c r="Q2623" t="n">
        <v>1002</v>
      </c>
      <c r="R2623" t="n">
        <v>1.064</v>
      </c>
      <c r="S2623" t="n">
        <v>237.819</v>
      </c>
      <c r="T2623" t="n">
        <v>223.434</v>
      </c>
      <c r="U2623" t="n">
        <v>0.7781</v>
      </c>
      <c r="V2623" t="b">
        <v>1</v>
      </c>
      <c r="X2623" t="b">
        <v>1</v>
      </c>
      <c r="Z2623" t="n">
        <v>935</v>
      </c>
      <c r="AA2623" t="n">
        <v>2.5</v>
      </c>
      <c r="AB2623" t="n">
        <v>9.5</v>
      </c>
    </row>
    <row r="2624">
      <c r="A2624" t="inlineStr">
        <is>
          <t>2026-09-24 20:14:52</t>
        </is>
      </c>
      <c r="B2624" t="inlineStr">
        <is>
          <t>MLLB_000_y1.0.3</t>
        </is>
      </c>
      <c r="C2624" t="inlineStr">
        <is>
          <t>WHITE</t>
        </is>
      </c>
      <c r="D2624" t="inlineStr">
        <is>
          <t>v4_white_MLLB_000_y103_0924</t>
        </is>
      </c>
      <c r="E2624" t="n">
        <v>2.6</v>
      </c>
      <c r="F2624" t="n">
        <v>2.608</v>
      </c>
      <c r="G2624" t="n">
        <v>100</v>
      </c>
      <c r="H2624" t="n">
        <v>100</v>
      </c>
      <c r="I2624" t="n">
        <v>20</v>
      </c>
      <c r="J2624" t="inlineStr">
        <is>
          <t>kaba</t>
        </is>
      </c>
      <c r="K2624" t="b">
        <v>1</v>
      </c>
      <c r="M2624" t="n">
        <v>38</v>
      </c>
      <c r="N2624" t="n">
        <v>28</v>
      </c>
      <c r="O2624" t="n">
        <v>18</v>
      </c>
      <c r="P2624" t="n">
        <v>964</v>
      </c>
      <c r="Q2624" t="n">
        <v>1002</v>
      </c>
      <c r="R2624" t="n">
        <v>1.064</v>
      </c>
      <c r="S2624" t="n">
        <v>237.702</v>
      </c>
      <c r="T2624" t="n">
        <v>223.504</v>
      </c>
      <c r="U2624" t="n">
        <v>0.7778</v>
      </c>
      <c r="V2624" t="b">
        <v>1</v>
      </c>
      <c r="X2624" t="b">
        <v>1</v>
      </c>
      <c r="Z2624" t="n">
        <v>935</v>
      </c>
      <c r="AA2624" t="n">
        <v>2.5</v>
      </c>
      <c r="AB2624" t="n">
        <v>9.5</v>
      </c>
    </row>
    <row r="2625">
      <c r="A2625" t="inlineStr">
        <is>
          <t>2026-09-24 20:15:08</t>
        </is>
      </c>
      <c r="B2625" t="inlineStr">
        <is>
          <t>MLLB_000_y1.0.3</t>
        </is>
      </c>
      <c r="C2625" t="inlineStr">
        <is>
          <t>WHITE</t>
        </is>
      </c>
      <c r="D2625" t="inlineStr">
        <is>
          <t>v4_white_MLLB_000_y103_0924</t>
        </is>
      </c>
      <c r="E2625" t="n">
        <v>2.6</v>
      </c>
      <c r="F2625" t="n">
        <v>2.608</v>
      </c>
      <c r="G2625" t="n">
        <v>100</v>
      </c>
      <c r="H2625" t="n">
        <v>100</v>
      </c>
      <c r="I2625" t="n">
        <v>24</v>
      </c>
      <c r="J2625" t="inlineStr">
        <is>
          <t>kaba</t>
        </is>
      </c>
      <c r="K2625" t="b">
        <v>1</v>
      </c>
      <c r="M2625" t="n">
        <v>38</v>
      </c>
      <c r="N2625" t="n">
        <v>28</v>
      </c>
      <c r="O2625" t="n">
        <v>18</v>
      </c>
      <c r="P2625" t="n">
        <v>964</v>
      </c>
      <c r="Q2625" t="n">
        <v>1002</v>
      </c>
      <c r="R2625" t="n">
        <v>1.066</v>
      </c>
      <c r="S2625" t="n">
        <v>238.526</v>
      </c>
      <c r="T2625" t="n">
        <v>223.723</v>
      </c>
      <c r="U2625" t="n">
        <v>0.7779</v>
      </c>
      <c r="V2625" t="b">
        <v>1</v>
      </c>
      <c r="X2625" t="b">
        <v>1</v>
      </c>
      <c r="Z2625" t="n">
        <v>935</v>
      </c>
      <c r="AA2625" t="n">
        <v>2.5</v>
      </c>
      <c r="AB2625" t="n">
        <v>9.5</v>
      </c>
    </row>
    <row r="2626">
      <c r="A2626" t="inlineStr">
        <is>
          <t>2026-09-24 20:15:24</t>
        </is>
      </c>
      <c r="B2626" t="inlineStr">
        <is>
          <t>MLLB_000_y1.0.3</t>
        </is>
      </c>
      <c r="C2626" t="inlineStr">
        <is>
          <t>WHITE</t>
        </is>
      </c>
      <c r="D2626" t="inlineStr">
        <is>
          <t>v4_white_MLLB_000_y103_0924</t>
        </is>
      </c>
      <c r="E2626" t="n">
        <v>2.6</v>
      </c>
      <c r="F2626" t="n">
        <v>2.608</v>
      </c>
      <c r="G2626" t="n">
        <v>100</v>
      </c>
      <c r="H2626" t="n">
        <v>100</v>
      </c>
      <c r="I2626" t="n">
        <v>28</v>
      </c>
      <c r="J2626" t="inlineStr">
        <is>
          <t>kaba</t>
        </is>
      </c>
      <c r="K2626" t="b">
        <v>1</v>
      </c>
      <c r="M2626" t="n">
        <v>38</v>
      </c>
      <c r="N2626" t="n">
        <v>28</v>
      </c>
      <c r="O2626" t="n">
        <v>18</v>
      </c>
      <c r="P2626" t="n">
        <v>964</v>
      </c>
      <c r="Q2626" t="n">
        <v>1002</v>
      </c>
      <c r="R2626" t="n">
        <v>1.065</v>
      </c>
      <c r="S2626" t="n">
        <v>237.813</v>
      </c>
      <c r="T2626" t="n">
        <v>223.38</v>
      </c>
      <c r="U2626" t="n">
        <v>0.7778</v>
      </c>
      <c r="V2626" t="b">
        <v>1</v>
      </c>
      <c r="X2626" t="b">
        <v>1</v>
      </c>
      <c r="Z2626" t="n">
        <v>935</v>
      </c>
      <c r="AA2626" t="n">
        <v>2.5</v>
      </c>
      <c r="AB2626" t="n">
        <v>9.5</v>
      </c>
    </row>
    <row r="2627">
      <c r="A2627" t="inlineStr">
        <is>
          <t>2026-09-24 20:15:40</t>
        </is>
      </c>
      <c r="B2627" t="inlineStr">
        <is>
          <t>MLLB_000_y1.0.3</t>
        </is>
      </c>
      <c r="C2627" t="inlineStr">
        <is>
          <t>WHITE</t>
        </is>
      </c>
      <c r="D2627" t="inlineStr">
        <is>
          <t>v4_white_MLLB_000_y103_0924</t>
        </is>
      </c>
      <c r="E2627" t="n">
        <v>2.6</v>
      </c>
      <c r="F2627" t="n">
        <v>2.608</v>
      </c>
      <c r="G2627" t="n">
        <v>100</v>
      </c>
      <c r="H2627" t="n">
        <v>100</v>
      </c>
      <c r="I2627" t="n">
        <v>32</v>
      </c>
      <c r="J2627" t="inlineStr">
        <is>
          <t>kaba</t>
        </is>
      </c>
      <c r="K2627" t="b">
        <v>1</v>
      </c>
      <c r="M2627" t="n">
        <v>38</v>
      </c>
      <c r="N2627" t="n">
        <v>28</v>
      </c>
      <c r="O2627" t="n">
        <v>18</v>
      </c>
      <c r="P2627" t="n">
        <v>964</v>
      </c>
      <c r="Q2627" t="n">
        <v>1002</v>
      </c>
      <c r="R2627" t="n">
        <v>1.067</v>
      </c>
      <c r="S2627" t="n">
        <v>238.472</v>
      </c>
      <c r="T2627" t="n">
        <v>223.554</v>
      </c>
      <c r="U2627" t="n">
        <v>0.777</v>
      </c>
      <c r="V2627" t="b">
        <v>1</v>
      </c>
      <c r="X2627" t="b">
        <v>1</v>
      </c>
      <c r="Z2627" t="n">
        <v>935</v>
      </c>
      <c r="AA2627" t="n">
        <v>2.5</v>
      </c>
      <c r="AB2627" t="n">
        <v>9.5</v>
      </c>
    </row>
    <row r="2628">
      <c r="A2628" t="inlineStr">
        <is>
          <t>2026-09-24 20:15:56</t>
        </is>
      </c>
      <c r="B2628" t="inlineStr">
        <is>
          <t>MLLB_000_y1.0.3</t>
        </is>
      </c>
      <c r="C2628" t="inlineStr">
        <is>
          <t>WHITE</t>
        </is>
      </c>
      <c r="D2628" t="inlineStr">
        <is>
          <t>v4_white_MLLB_000_y103_0924</t>
        </is>
      </c>
      <c r="E2628" t="n">
        <v>2.6</v>
      </c>
      <c r="F2628" t="n">
        <v>2.608</v>
      </c>
      <c r="G2628" t="n">
        <v>100</v>
      </c>
      <c r="H2628" t="n">
        <v>100</v>
      </c>
      <c r="I2628" t="n">
        <v>36</v>
      </c>
      <c r="J2628" t="inlineStr">
        <is>
          <t>kaba</t>
        </is>
      </c>
      <c r="K2628" t="b">
        <v>1</v>
      </c>
      <c r="M2628" t="n">
        <v>38</v>
      </c>
      <c r="N2628" t="n">
        <v>28</v>
      </c>
      <c r="O2628" t="n">
        <v>18</v>
      </c>
      <c r="P2628" t="n">
        <v>964</v>
      </c>
      <c r="Q2628" t="n">
        <v>1002</v>
      </c>
      <c r="R2628" t="n">
        <v>1.063</v>
      </c>
      <c r="S2628" t="n">
        <v>237.745</v>
      </c>
      <c r="T2628" t="n">
        <v>223.618</v>
      </c>
      <c r="U2628" t="n">
        <v>0.7778</v>
      </c>
      <c r="V2628" t="b">
        <v>1</v>
      </c>
      <c r="X2628" t="b">
        <v>1</v>
      </c>
      <c r="Z2628" t="n">
        <v>935</v>
      </c>
      <c r="AA2628" t="n">
        <v>2.5</v>
      </c>
      <c r="AB2628" t="n">
        <v>9.5</v>
      </c>
    </row>
    <row r="2629">
      <c r="A2629" t="inlineStr">
        <is>
          <t>2026-09-24 20:16:12</t>
        </is>
      </c>
      <c r="B2629" t="inlineStr">
        <is>
          <t>MLLB_000_y1.0.3</t>
        </is>
      </c>
      <c r="C2629" t="inlineStr">
        <is>
          <t>WHITE</t>
        </is>
      </c>
      <c r="D2629" t="inlineStr">
        <is>
          <t>v4_white_MLLB_000_y103_0924</t>
        </is>
      </c>
      <c r="E2629" t="n">
        <v>2.6</v>
      </c>
      <c r="F2629" t="n">
        <v>2.608</v>
      </c>
      <c r="G2629" t="n">
        <v>100</v>
      </c>
      <c r="H2629" t="n">
        <v>100</v>
      </c>
      <c r="I2629" t="n">
        <v>40</v>
      </c>
      <c r="J2629" t="inlineStr">
        <is>
          <t>kaba</t>
        </is>
      </c>
      <c r="K2629" t="b">
        <v>1</v>
      </c>
      <c r="M2629" t="n">
        <v>38</v>
      </c>
      <c r="N2629" t="n">
        <v>28</v>
      </c>
      <c r="O2629" t="n">
        <v>18</v>
      </c>
      <c r="P2629" t="n">
        <v>964</v>
      </c>
      <c r="Q2629" t="n">
        <v>1002</v>
      </c>
      <c r="R2629" t="n">
        <v>1.064</v>
      </c>
      <c r="S2629" t="n">
        <v>237.702</v>
      </c>
      <c r="T2629" t="n">
        <v>223.475</v>
      </c>
      <c r="U2629" t="n">
        <v>0.7776999999999999</v>
      </c>
      <c r="V2629" t="b">
        <v>1</v>
      </c>
      <c r="X2629" t="b">
        <v>1</v>
      </c>
      <c r="Z2629" t="n">
        <v>935</v>
      </c>
      <c r="AA2629" t="n">
        <v>2.5</v>
      </c>
      <c r="AB2629" t="n">
        <v>9.5</v>
      </c>
    </row>
    <row r="2630">
      <c r="A2630" t="inlineStr">
        <is>
          <t>2026-09-24 20:16:28</t>
        </is>
      </c>
      <c r="B2630" t="inlineStr">
        <is>
          <t>MLLB_000_y1.0.3</t>
        </is>
      </c>
      <c r="C2630" t="inlineStr">
        <is>
          <t>WHITE</t>
        </is>
      </c>
      <c r="D2630" t="inlineStr">
        <is>
          <t>v4_white_MLLB_000_y103_0924</t>
        </is>
      </c>
      <c r="E2630" t="n">
        <v>2.6</v>
      </c>
      <c r="F2630" t="n">
        <v>2.608</v>
      </c>
      <c r="G2630" t="n">
        <v>100</v>
      </c>
      <c r="H2630" t="n">
        <v>100</v>
      </c>
      <c r="I2630" t="n">
        <v>44</v>
      </c>
      <c r="J2630" t="inlineStr">
        <is>
          <t>kaba</t>
        </is>
      </c>
      <c r="K2630" t="b">
        <v>1</v>
      </c>
      <c r="M2630" t="n">
        <v>38</v>
      </c>
      <c r="N2630" t="n">
        <v>28</v>
      </c>
      <c r="O2630" t="n">
        <v>18</v>
      </c>
      <c r="P2630" t="n">
        <v>964</v>
      </c>
      <c r="Q2630" t="n">
        <v>1002</v>
      </c>
      <c r="R2630" t="n">
        <v>1.067</v>
      </c>
      <c r="S2630" t="n">
        <v>238.472</v>
      </c>
      <c r="T2630" t="n">
        <v>223.587</v>
      </c>
      <c r="U2630" t="n">
        <v>0.7776999999999999</v>
      </c>
      <c r="V2630" t="b">
        <v>1</v>
      </c>
      <c r="X2630" t="b">
        <v>1</v>
      </c>
      <c r="Z2630" t="n">
        <v>935</v>
      </c>
      <c r="AA2630" t="n">
        <v>2.5</v>
      </c>
      <c r="AB2630" t="n">
        <v>9.5</v>
      </c>
    </row>
    <row r="2631">
      <c r="A2631" t="inlineStr">
        <is>
          <t>2026-09-24 20:16:44</t>
        </is>
      </c>
      <c r="B2631" t="inlineStr">
        <is>
          <t>MLLB_000_y1.0.3</t>
        </is>
      </c>
      <c r="C2631" t="inlineStr">
        <is>
          <t>WHITE</t>
        </is>
      </c>
      <c r="D2631" t="inlineStr">
        <is>
          <t>v4_white_MLLB_000_y103_0924</t>
        </is>
      </c>
      <c r="E2631" t="n">
        <v>2.6</v>
      </c>
      <c r="F2631" t="n">
        <v>2.608</v>
      </c>
      <c r="G2631" t="n">
        <v>100</v>
      </c>
      <c r="H2631" t="n">
        <v>100</v>
      </c>
      <c r="I2631" t="n">
        <v>48</v>
      </c>
      <c r="J2631" t="inlineStr">
        <is>
          <t>kaba</t>
        </is>
      </c>
      <c r="K2631" t="b">
        <v>1</v>
      </c>
      <c r="M2631" t="n">
        <v>38</v>
      </c>
      <c r="N2631" t="n">
        <v>28</v>
      </c>
      <c r="O2631" t="n">
        <v>18</v>
      </c>
      <c r="P2631" t="n">
        <v>964</v>
      </c>
      <c r="Q2631" t="n">
        <v>1002</v>
      </c>
      <c r="R2631" t="n">
        <v>1.064</v>
      </c>
      <c r="S2631" t="n">
        <v>237.702</v>
      </c>
      <c r="T2631" t="n">
        <v>223.483</v>
      </c>
      <c r="U2631" t="n">
        <v>0.7775</v>
      </c>
      <c r="V2631" t="b">
        <v>1</v>
      </c>
      <c r="X2631" t="b">
        <v>1</v>
      </c>
      <c r="Z2631" t="n">
        <v>935</v>
      </c>
      <c r="AA2631" t="n">
        <v>2.5</v>
      </c>
      <c r="AB2631" t="n">
        <v>9.5</v>
      </c>
    </row>
    <row r="2632">
      <c r="A2632" t="inlineStr">
        <is>
          <t>2026-09-24 20:17:00</t>
        </is>
      </c>
      <c r="B2632" t="inlineStr">
        <is>
          <t>MLLB_000_y1.0.3</t>
        </is>
      </c>
      <c r="C2632" t="inlineStr">
        <is>
          <t>WHITE</t>
        </is>
      </c>
      <c r="D2632" t="inlineStr">
        <is>
          <t>v4_white_MLLB_000_y103_0924</t>
        </is>
      </c>
      <c r="E2632" t="n">
        <v>2.6</v>
      </c>
      <c r="F2632" t="n">
        <v>2.608</v>
      </c>
      <c r="G2632" t="n">
        <v>100</v>
      </c>
      <c r="H2632" t="n">
        <v>100</v>
      </c>
      <c r="I2632" t="n">
        <v>52</v>
      </c>
      <c r="J2632" t="inlineStr">
        <is>
          <t>kaba</t>
        </is>
      </c>
      <c r="K2632" t="b">
        <v>1</v>
      </c>
      <c r="M2632" t="n">
        <v>38</v>
      </c>
      <c r="N2632" t="n">
        <v>28</v>
      </c>
      <c r="O2632" t="n">
        <v>18</v>
      </c>
      <c r="P2632" t="n">
        <v>964</v>
      </c>
      <c r="Q2632" t="n">
        <v>1002</v>
      </c>
      <c r="R2632" t="n">
        <v>1.064</v>
      </c>
      <c r="S2632" t="n">
        <v>237.702</v>
      </c>
      <c r="T2632" t="n">
        <v>223.493</v>
      </c>
      <c r="U2632" t="n">
        <v>0.7784</v>
      </c>
      <c r="V2632" t="b">
        <v>1</v>
      </c>
      <c r="X2632" t="b">
        <v>1</v>
      </c>
      <c r="Z2632" t="n">
        <v>935</v>
      </c>
      <c r="AA2632" t="n">
        <v>2.5</v>
      </c>
      <c r="AB2632" t="n">
        <v>9.5</v>
      </c>
    </row>
    <row r="2633">
      <c r="A2633" t="inlineStr">
        <is>
          <t>2026-09-24 20:17:16</t>
        </is>
      </c>
      <c r="B2633" t="inlineStr">
        <is>
          <t>MLLB_000_y1.0.3</t>
        </is>
      </c>
      <c r="C2633" t="inlineStr">
        <is>
          <t>WHITE</t>
        </is>
      </c>
      <c r="D2633" t="inlineStr">
        <is>
          <t>v4_white_MLLB_000_y103_0924</t>
        </is>
      </c>
      <c r="E2633" t="n">
        <v>2.6</v>
      </c>
      <c r="F2633" t="n">
        <v>2.608</v>
      </c>
      <c r="G2633" t="n">
        <v>100</v>
      </c>
      <c r="H2633" t="n">
        <v>100</v>
      </c>
      <c r="I2633" t="n">
        <v>56</v>
      </c>
      <c r="J2633" t="inlineStr">
        <is>
          <t>kaba</t>
        </is>
      </c>
      <c r="K2633" t="b">
        <v>1</v>
      </c>
      <c r="M2633" t="n">
        <v>38</v>
      </c>
      <c r="N2633" t="n">
        <v>28</v>
      </c>
      <c r="O2633" t="n">
        <v>18</v>
      </c>
      <c r="P2633" t="n">
        <v>964</v>
      </c>
      <c r="Q2633" t="n">
        <v>1002</v>
      </c>
      <c r="R2633" t="n">
        <v>1.063</v>
      </c>
      <c r="S2633" t="n">
        <v>237.849</v>
      </c>
      <c r="T2633" t="n">
        <v>223.778</v>
      </c>
      <c r="U2633" t="n">
        <v>0.7782</v>
      </c>
      <c r="V2633" t="b">
        <v>1</v>
      </c>
      <c r="X2633" t="b">
        <v>1</v>
      </c>
      <c r="Z2633" t="n">
        <v>935</v>
      </c>
      <c r="AA2633" t="n">
        <v>2.5</v>
      </c>
      <c r="AB2633" t="n">
        <v>9.5</v>
      </c>
    </row>
    <row r="2634">
      <c r="A2634" t="inlineStr">
        <is>
          <t>2026-09-24 20:17:32</t>
        </is>
      </c>
      <c r="B2634" t="inlineStr">
        <is>
          <t>MLLB_000_y1.0.3</t>
        </is>
      </c>
      <c r="C2634" t="inlineStr">
        <is>
          <t>WHITE</t>
        </is>
      </c>
      <c r="D2634" t="inlineStr">
        <is>
          <t>v4_white_MLLB_000_y103_0924</t>
        </is>
      </c>
      <c r="E2634" t="n">
        <v>2.6</v>
      </c>
      <c r="F2634" t="n">
        <v>2.608</v>
      </c>
      <c r="G2634" t="n">
        <v>100</v>
      </c>
      <c r="H2634" t="n">
        <v>100</v>
      </c>
      <c r="I2634" t="n">
        <v>58</v>
      </c>
      <c r="J2634" t="inlineStr">
        <is>
          <t>kaba</t>
        </is>
      </c>
      <c r="K2634" t="b">
        <v>1</v>
      </c>
      <c r="M2634" t="n">
        <v>38</v>
      </c>
      <c r="N2634" t="n">
        <v>28</v>
      </c>
      <c r="O2634" t="n">
        <v>18</v>
      </c>
      <c r="P2634" t="n">
        <v>964</v>
      </c>
      <c r="Q2634" t="n">
        <v>1002</v>
      </c>
      <c r="R2634" t="n">
        <v>1.063</v>
      </c>
      <c r="S2634" t="n">
        <v>237.814</v>
      </c>
      <c r="T2634" t="n">
        <v>223.784</v>
      </c>
      <c r="U2634" t="n">
        <v>0.7778</v>
      </c>
      <c r="V2634" t="b">
        <v>1</v>
      </c>
      <c r="X2634" t="b">
        <v>1</v>
      </c>
      <c r="Z2634" t="n">
        <v>935</v>
      </c>
      <c r="AA2634" t="n">
        <v>2.5</v>
      </c>
      <c r="AB2634" t="n">
        <v>9.5</v>
      </c>
    </row>
    <row r="2635">
      <c r="A2635" t="inlineStr">
        <is>
          <t>2026-09-24 20:17:33</t>
        </is>
      </c>
      <c r="B2635" t="inlineStr">
        <is>
          <t>MLLB_000_y1.0.3</t>
        </is>
      </c>
      <c r="C2635" t="inlineStr">
        <is>
          <t>WHITE</t>
        </is>
      </c>
      <c r="D2635" t="inlineStr">
        <is>
          <t>v4_white_MLLB_000_y103_0924</t>
        </is>
      </c>
      <c r="E2635" t="n">
        <v>2.6</v>
      </c>
      <c r="F2635" t="n">
        <v>2.608</v>
      </c>
      <c r="G2635" t="n">
        <v>100</v>
      </c>
      <c r="H2635" t="n">
        <v>100</v>
      </c>
      <c r="I2635" t="n">
        <v>13</v>
      </c>
      <c r="J2635" t="inlineStr">
        <is>
          <t>ince</t>
        </is>
      </c>
      <c r="K2635" t="b">
        <v>0</v>
      </c>
      <c r="L2635" t="inlineStr">
        <is>
          <t>iki-OK-arasi-monotonluk</t>
        </is>
      </c>
      <c r="X2635" t="b">
        <v>1</v>
      </c>
      <c r="Z2635" t="n">
        <v>935</v>
      </c>
      <c r="AA2635" t="n">
        <v>2.5</v>
      </c>
      <c r="AB2635" t="n">
        <v>9.5</v>
      </c>
    </row>
    <row r="2636">
      <c r="A2636" t="inlineStr">
        <is>
          <t>2026-09-24 20:17:33</t>
        </is>
      </c>
      <c r="B2636" t="inlineStr">
        <is>
          <t>MLLB_000_y1.0.3</t>
        </is>
      </c>
      <c r="C2636" t="inlineStr">
        <is>
          <t>WHITE</t>
        </is>
      </c>
      <c r="D2636" t="inlineStr">
        <is>
          <t>v4_white_MLLB_000_y103_0924</t>
        </is>
      </c>
      <c r="E2636" t="n">
        <v>2.6</v>
      </c>
      <c r="F2636" t="n">
        <v>2.608</v>
      </c>
      <c r="G2636" t="n">
        <v>100</v>
      </c>
      <c r="H2636" t="n">
        <v>100</v>
      </c>
      <c r="I2636" t="n">
        <v>14</v>
      </c>
      <c r="J2636" t="inlineStr">
        <is>
          <t>ince</t>
        </is>
      </c>
      <c r="K2636" t="b">
        <v>0</v>
      </c>
      <c r="L2636" t="inlineStr">
        <is>
          <t>iki-OK-arasi-monotonluk</t>
        </is>
      </c>
      <c r="X2636" t="b">
        <v>1</v>
      </c>
      <c r="Z2636" t="n">
        <v>935</v>
      </c>
      <c r="AA2636" t="n">
        <v>2.5</v>
      </c>
      <c r="AB2636" t="n">
        <v>9.5</v>
      </c>
    </row>
    <row r="2637">
      <c r="A2637" t="inlineStr">
        <is>
          <t>2026-09-24 20:17:33</t>
        </is>
      </c>
      <c r="B2637" t="inlineStr">
        <is>
          <t>MLLB_000_y1.0.3</t>
        </is>
      </c>
      <c r="C2637" t="inlineStr">
        <is>
          <t>WHITE</t>
        </is>
      </c>
      <c r="D2637" t="inlineStr">
        <is>
          <t>v4_white_MLLB_000_y103_0924</t>
        </is>
      </c>
      <c r="E2637" t="n">
        <v>2.6</v>
      </c>
      <c r="F2637" t="n">
        <v>2.608</v>
      </c>
      <c r="G2637" t="n">
        <v>100</v>
      </c>
      <c r="H2637" t="n">
        <v>100</v>
      </c>
      <c r="I2637" t="n">
        <v>15</v>
      </c>
      <c r="J2637" t="inlineStr">
        <is>
          <t>ince</t>
        </is>
      </c>
      <c r="K2637" t="b">
        <v>0</v>
      </c>
      <c r="L2637" t="inlineStr">
        <is>
          <t>iki-OK-arasi-monotonluk</t>
        </is>
      </c>
      <c r="X2637" t="b">
        <v>1</v>
      </c>
      <c r="Z2637" t="n">
        <v>935</v>
      </c>
      <c r="AA2637" t="n">
        <v>2.5</v>
      </c>
      <c r="AB2637" t="n">
        <v>9.5</v>
      </c>
    </row>
    <row r="2638">
      <c r="A2638" t="inlineStr">
        <is>
          <t>2026-09-24 20:17:33</t>
        </is>
      </c>
      <c r="B2638" t="inlineStr">
        <is>
          <t>MLLB_000_y1.0.3</t>
        </is>
      </c>
      <c r="C2638" t="inlineStr">
        <is>
          <t>WHITE</t>
        </is>
      </c>
      <c r="D2638" t="inlineStr">
        <is>
          <t>v4_white_MLLB_000_y103_0924</t>
        </is>
      </c>
      <c r="E2638" t="n">
        <v>2.6</v>
      </c>
      <c r="F2638" t="n">
        <v>2.608</v>
      </c>
      <c r="G2638" t="n">
        <v>100</v>
      </c>
      <c r="H2638" t="n">
        <v>100</v>
      </c>
      <c r="I2638" t="n">
        <v>17</v>
      </c>
      <c r="J2638" t="inlineStr">
        <is>
          <t>ince</t>
        </is>
      </c>
      <c r="K2638" t="b">
        <v>0</v>
      </c>
      <c r="L2638" t="inlineStr">
        <is>
          <t>iki-OK-arasi-monotonluk</t>
        </is>
      </c>
      <c r="X2638" t="b">
        <v>1</v>
      </c>
      <c r="Z2638" t="n">
        <v>935</v>
      </c>
      <c r="AA2638" t="n">
        <v>2.5</v>
      </c>
      <c r="AB2638" t="n">
        <v>9.5</v>
      </c>
    </row>
    <row r="2639">
      <c r="A2639" t="inlineStr">
        <is>
          <t>2026-09-24 20:17:33</t>
        </is>
      </c>
      <c r="B2639" t="inlineStr">
        <is>
          <t>MLLB_000_y1.0.3</t>
        </is>
      </c>
      <c r="C2639" t="inlineStr">
        <is>
          <t>WHITE</t>
        </is>
      </c>
      <c r="D2639" t="inlineStr">
        <is>
          <t>v4_white_MLLB_000_y103_0924</t>
        </is>
      </c>
      <c r="E2639" t="n">
        <v>2.6</v>
      </c>
      <c r="F2639" t="n">
        <v>2.608</v>
      </c>
      <c r="G2639" t="n">
        <v>100</v>
      </c>
      <c r="H2639" t="n">
        <v>100</v>
      </c>
      <c r="I2639" t="n">
        <v>18</v>
      </c>
      <c r="J2639" t="inlineStr">
        <is>
          <t>ince</t>
        </is>
      </c>
      <c r="K2639" t="b">
        <v>0</v>
      </c>
      <c r="L2639" t="inlineStr">
        <is>
          <t>iki-OK-arasi-monotonluk</t>
        </is>
      </c>
      <c r="X2639" t="b">
        <v>1</v>
      </c>
      <c r="Z2639" t="n">
        <v>935</v>
      </c>
      <c r="AA2639" t="n">
        <v>2.5</v>
      </c>
      <c r="AB2639" t="n">
        <v>9.5</v>
      </c>
    </row>
    <row r="2640">
      <c r="A2640" t="inlineStr">
        <is>
          <t>2026-09-24 20:17:33</t>
        </is>
      </c>
      <c r="B2640" t="inlineStr">
        <is>
          <t>MLLB_000_y1.0.3</t>
        </is>
      </c>
      <c r="C2640" t="inlineStr">
        <is>
          <t>WHITE</t>
        </is>
      </c>
      <c r="D2640" t="inlineStr">
        <is>
          <t>v4_white_MLLB_000_y103_0924</t>
        </is>
      </c>
      <c r="E2640" t="n">
        <v>2.6</v>
      </c>
      <c r="F2640" t="n">
        <v>2.608</v>
      </c>
      <c r="G2640" t="n">
        <v>100</v>
      </c>
      <c r="H2640" t="n">
        <v>100</v>
      </c>
      <c r="I2640" t="n">
        <v>19</v>
      </c>
      <c r="J2640" t="inlineStr">
        <is>
          <t>ince</t>
        </is>
      </c>
      <c r="K2640" t="b">
        <v>0</v>
      </c>
      <c r="L2640" t="inlineStr">
        <is>
          <t>iki-OK-arasi-monotonluk</t>
        </is>
      </c>
      <c r="X2640" t="b">
        <v>1</v>
      </c>
      <c r="Z2640" t="n">
        <v>935</v>
      </c>
      <c r="AA2640" t="n">
        <v>2.5</v>
      </c>
      <c r="AB2640" t="n">
        <v>9.5</v>
      </c>
    </row>
    <row r="2641">
      <c r="A2641" t="inlineStr">
        <is>
          <t>2026-09-24 20:17:33</t>
        </is>
      </c>
      <c r="B2641" t="inlineStr">
        <is>
          <t>MLLB_000_y1.0.3</t>
        </is>
      </c>
      <c r="C2641" t="inlineStr">
        <is>
          <t>WHITE</t>
        </is>
      </c>
      <c r="D2641" t="inlineStr">
        <is>
          <t>v4_white_MLLB_000_y103_0924</t>
        </is>
      </c>
      <c r="E2641" t="n">
        <v>2.6</v>
      </c>
      <c r="F2641" t="n">
        <v>2.608</v>
      </c>
      <c r="G2641" t="n">
        <v>100</v>
      </c>
      <c r="H2641" t="n">
        <v>100</v>
      </c>
      <c r="I2641" t="n">
        <v>21</v>
      </c>
      <c r="J2641" t="inlineStr">
        <is>
          <t>ince</t>
        </is>
      </c>
      <c r="K2641" t="b">
        <v>0</v>
      </c>
      <c r="L2641" t="inlineStr">
        <is>
          <t>iki-OK-arasi-monotonluk</t>
        </is>
      </c>
      <c r="X2641" t="b">
        <v>1</v>
      </c>
      <c r="Z2641" t="n">
        <v>935</v>
      </c>
      <c r="AA2641" t="n">
        <v>2.5</v>
      </c>
      <c r="AB2641" t="n">
        <v>9.5</v>
      </c>
    </row>
    <row r="2642">
      <c r="A2642" t="inlineStr">
        <is>
          <t>2026-09-24 20:17:33</t>
        </is>
      </c>
      <c r="B2642" t="inlineStr">
        <is>
          <t>MLLB_000_y1.0.3</t>
        </is>
      </c>
      <c r="C2642" t="inlineStr">
        <is>
          <t>WHITE</t>
        </is>
      </c>
      <c r="D2642" t="inlineStr">
        <is>
          <t>v4_white_MLLB_000_y103_0924</t>
        </is>
      </c>
      <c r="E2642" t="n">
        <v>2.6</v>
      </c>
      <c r="F2642" t="n">
        <v>2.608</v>
      </c>
      <c r="G2642" t="n">
        <v>100</v>
      </c>
      <c r="H2642" t="n">
        <v>100</v>
      </c>
      <c r="I2642" t="n">
        <v>22</v>
      </c>
      <c r="J2642" t="inlineStr">
        <is>
          <t>ince</t>
        </is>
      </c>
      <c r="K2642" t="b">
        <v>0</v>
      </c>
      <c r="L2642" t="inlineStr">
        <is>
          <t>iki-OK-arasi-monotonluk</t>
        </is>
      </c>
      <c r="X2642" t="b">
        <v>1</v>
      </c>
      <c r="Z2642" t="n">
        <v>935</v>
      </c>
      <c r="AA2642" t="n">
        <v>2.5</v>
      </c>
      <c r="AB2642" t="n">
        <v>9.5</v>
      </c>
    </row>
    <row r="2643">
      <c r="A2643" t="inlineStr">
        <is>
          <t>2026-09-24 20:17:33</t>
        </is>
      </c>
      <c r="B2643" t="inlineStr">
        <is>
          <t>MLLB_000_y1.0.3</t>
        </is>
      </c>
      <c r="C2643" t="inlineStr">
        <is>
          <t>WHITE</t>
        </is>
      </c>
      <c r="D2643" t="inlineStr">
        <is>
          <t>v4_white_MLLB_000_y103_0924</t>
        </is>
      </c>
      <c r="E2643" t="n">
        <v>2.6</v>
      </c>
      <c r="F2643" t="n">
        <v>2.608</v>
      </c>
      <c r="G2643" t="n">
        <v>100</v>
      </c>
      <c r="H2643" t="n">
        <v>100</v>
      </c>
      <c r="I2643" t="n">
        <v>23</v>
      </c>
      <c r="J2643" t="inlineStr">
        <is>
          <t>ince</t>
        </is>
      </c>
      <c r="K2643" t="b">
        <v>0</v>
      </c>
      <c r="L2643" t="inlineStr">
        <is>
          <t>iki-OK-arasi-monotonluk</t>
        </is>
      </c>
      <c r="X2643" t="b">
        <v>1</v>
      </c>
      <c r="Z2643" t="n">
        <v>935</v>
      </c>
      <c r="AA2643" t="n">
        <v>2.5</v>
      </c>
      <c r="AB2643" t="n">
        <v>9.5</v>
      </c>
    </row>
    <row r="2644">
      <c r="A2644" t="inlineStr">
        <is>
          <t>2026-09-24 20:17:33</t>
        </is>
      </c>
      <c r="B2644" t="inlineStr">
        <is>
          <t>MLLB_000_y1.0.3</t>
        </is>
      </c>
      <c r="C2644" t="inlineStr">
        <is>
          <t>WHITE</t>
        </is>
      </c>
      <c r="D2644" t="inlineStr">
        <is>
          <t>v4_white_MLLB_000_y103_0924</t>
        </is>
      </c>
      <c r="E2644" t="n">
        <v>2.6</v>
      </c>
      <c r="F2644" t="n">
        <v>2.608</v>
      </c>
      <c r="G2644" t="n">
        <v>100</v>
      </c>
      <c r="H2644" t="n">
        <v>100</v>
      </c>
      <c r="I2644" t="n">
        <v>25</v>
      </c>
      <c r="J2644" t="inlineStr">
        <is>
          <t>ince</t>
        </is>
      </c>
      <c r="K2644" t="b">
        <v>0</v>
      </c>
      <c r="L2644" t="inlineStr">
        <is>
          <t>iki-OK-arasi-monotonluk</t>
        </is>
      </c>
      <c r="X2644" t="b">
        <v>1</v>
      </c>
      <c r="Z2644" t="n">
        <v>935</v>
      </c>
      <c r="AA2644" t="n">
        <v>2.5</v>
      </c>
      <c r="AB2644" t="n">
        <v>9.5</v>
      </c>
    </row>
    <row r="2645">
      <c r="A2645" t="inlineStr">
        <is>
          <t>2026-09-24 20:17:33</t>
        </is>
      </c>
      <c r="B2645" t="inlineStr">
        <is>
          <t>MLLB_000_y1.0.3</t>
        </is>
      </c>
      <c r="C2645" t="inlineStr">
        <is>
          <t>WHITE</t>
        </is>
      </c>
      <c r="D2645" t="inlineStr">
        <is>
          <t>v4_white_MLLB_000_y103_0924</t>
        </is>
      </c>
      <c r="E2645" t="n">
        <v>2.6</v>
      </c>
      <c r="F2645" t="n">
        <v>2.608</v>
      </c>
      <c r="G2645" t="n">
        <v>100</v>
      </c>
      <c r="H2645" t="n">
        <v>100</v>
      </c>
      <c r="I2645" t="n">
        <v>26</v>
      </c>
      <c r="J2645" t="inlineStr">
        <is>
          <t>ince</t>
        </is>
      </c>
      <c r="K2645" t="b">
        <v>0</v>
      </c>
      <c r="L2645" t="inlineStr">
        <is>
          <t>iki-OK-arasi-monotonluk</t>
        </is>
      </c>
      <c r="X2645" t="b">
        <v>1</v>
      </c>
      <c r="Z2645" t="n">
        <v>935</v>
      </c>
      <c r="AA2645" t="n">
        <v>2.5</v>
      </c>
      <c r="AB2645" t="n">
        <v>9.5</v>
      </c>
    </row>
    <row r="2646">
      <c r="A2646" t="inlineStr">
        <is>
          <t>2026-09-24 20:17:33</t>
        </is>
      </c>
      <c r="B2646" t="inlineStr">
        <is>
          <t>MLLB_000_y1.0.3</t>
        </is>
      </c>
      <c r="C2646" t="inlineStr">
        <is>
          <t>WHITE</t>
        </is>
      </c>
      <c r="D2646" t="inlineStr">
        <is>
          <t>v4_white_MLLB_000_y103_0924</t>
        </is>
      </c>
      <c r="E2646" t="n">
        <v>2.6</v>
      </c>
      <c r="F2646" t="n">
        <v>2.608</v>
      </c>
      <c r="G2646" t="n">
        <v>100</v>
      </c>
      <c r="H2646" t="n">
        <v>100</v>
      </c>
      <c r="I2646" t="n">
        <v>27</v>
      </c>
      <c r="J2646" t="inlineStr">
        <is>
          <t>ince</t>
        </is>
      </c>
      <c r="K2646" t="b">
        <v>0</v>
      </c>
      <c r="L2646" t="inlineStr">
        <is>
          <t>iki-OK-arasi-monotonluk</t>
        </is>
      </c>
      <c r="X2646" t="b">
        <v>1</v>
      </c>
      <c r="Z2646" t="n">
        <v>935</v>
      </c>
      <c r="AA2646" t="n">
        <v>2.5</v>
      </c>
      <c r="AB2646" t="n">
        <v>9.5</v>
      </c>
    </row>
    <row r="2647">
      <c r="A2647" t="inlineStr">
        <is>
          <t>2026-09-24 20:17:33</t>
        </is>
      </c>
      <c r="B2647" t="inlineStr">
        <is>
          <t>MLLB_000_y1.0.3</t>
        </is>
      </c>
      <c r="C2647" t="inlineStr">
        <is>
          <t>WHITE</t>
        </is>
      </c>
      <c r="D2647" t="inlineStr">
        <is>
          <t>v4_white_MLLB_000_y103_0924</t>
        </is>
      </c>
      <c r="E2647" t="n">
        <v>2.6</v>
      </c>
      <c r="F2647" t="n">
        <v>2.608</v>
      </c>
      <c r="G2647" t="n">
        <v>100</v>
      </c>
      <c r="H2647" t="n">
        <v>100</v>
      </c>
      <c r="I2647" t="n">
        <v>29</v>
      </c>
      <c r="J2647" t="inlineStr">
        <is>
          <t>ince</t>
        </is>
      </c>
      <c r="K2647" t="b">
        <v>0</v>
      </c>
      <c r="L2647" t="inlineStr">
        <is>
          <t>iki-OK-arasi-monotonluk</t>
        </is>
      </c>
      <c r="X2647" t="b">
        <v>1</v>
      </c>
      <c r="Z2647" t="n">
        <v>935</v>
      </c>
      <c r="AA2647" t="n">
        <v>2.5</v>
      </c>
      <c r="AB2647" t="n">
        <v>9.5</v>
      </c>
    </row>
    <row r="2648">
      <c r="A2648" t="inlineStr">
        <is>
          <t>2026-09-24 20:17:33</t>
        </is>
      </c>
      <c r="B2648" t="inlineStr">
        <is>
          <t>MLLB_000_y1.0.3</t>
        </is>
      </c>
      <c r="C2648" t="inlineStr">
        <is>
          <t>WHITE</t>
        </is>
      </c>
      <c r="D2648" t="inlineStr">
        <is>
          <t>v4_white_MLLB_000_y103_0924</t>
        </is>
      </c>
      <c r="E2648" t="n">
        <v>2.6</v>
      </c>
      <c r="F2648" t="n">
        <v>2.608</v>
      </c>
      <c r="G2648" t="n">
        <v>100</v>
      </c>
      <c r="H2648" t="n">
        <v>100</v>
      </c>
      <c r="I2648" t="n">
        <v>30</v>
      </c>
      <c r="J2648" t="inlineStr">
        <is>
          <t>ince</t>
        </is>
      </c>
      <c r="K2648" t="b">
        <v>0</v>
      </c>
      <c r="L2648" t="inlineStr">
        <is>
          <t>iki-OK-arasi-monotonluk</t>
        </is>
      </c>
      <c r="X2648" t="b">
        <v>1</v>
      </c>
      <c r="Z2648" t="n">
        <v>935</v>
      </c>
      <c r="AA2648" t="n">
        <v>2.5</v>
      </c>
      <c r="AB2648" t="n">
        <v>9.5</v>
      </c>
    </row>
    <row r="2649">
      <c r="A2649" t="inlineStr">
        <is>
          <t>2026-09-24 20:17:33</t>
        </is>
      </c>
      <c r="B2649" t="inlineStr">
        <is>
          <t>MLLB_000_y1.0.3</t>
        </is>
      </c>
      <c r="C2649" t="inlineStr">
        <is>
          <t>WHITE</t>
        </is>
      </c>
      <c r="D2649" t="inlineStr">
        <is>
          <t>v4_white_MLLB_000_y103_0924</t>
        </is>
      </c>
      <c r="E2649" t="n">
        <v>2.6</v>
      </c>
      <c r="F2649" t="n">
        <v>2.608</v>
      </c>
      <c r="G2649" t="n">
        <v>100</v>
      </c>
      <c r="H2649" t="n">
        <v>100</v>
      </c>
      <c r="I2649" t="n">
        <v>31</v>
      </c>
      <c r="J2649" t="inlineStr">
        <is>
          <t>ince</t>
        </is>
      </c>
      <c r="K2649" t="b">
        <v>0</v>
      </c>
      <c r="L2649" t="inlineStr">
        <is>
          <t>iki-OK-arasi-monotonluk</t>
        </is>
      </c>
      <c r="X2649" t="b">
        <v>1</v>
      </c>
      <c r="Z2649" t="n">
        <v>935</v>
      </c>
      <c r="AA2649" t="n">
        <v>2.5</v>
      </c>
      <c r="AB2649" t="n">
        <v>9.5</v>
      </c>
    </row>
    <row r="2650">
      <c r="A2650" t="inlineStr">
        <is>
          <t>2026-09-24 20:17:33</t>
        </is>
      </c>
      <c r="B2650" t="inlineStr">
        <is>
          <t>MLLB_000_y1.0.3</t>
        </is>
      </c>
      <c r="C2650" t="inlineStr">
        <is>
          <t>WHITE</t>
        </is>
      </c>
      <c r="D2650" t="inlineStr">
        <is>
          <t>v4_white_MLLB_000_y103_0924</t>
        </is>
      </c>
      <c r="E2650" t="n">
        <v>2.6</v>
      </c>
      <c r="F2650" t="n">
        <v>2.608</v>
      </c>
      <c r="G2650" t="n">
        <v>100</v>
      </c>
      <c r="H2650" t="n">
        <v>100</v>
      </c>
      <c r="I2650" t="n">
        <v>33</v>
      </c>
      <c r="J2650" t="inlineStr">
        <is>
          <t>ince</t>
        </is>
      </c>
      <c r="K2650" t="b">
        <v>0</v>
      </c>
      <c r="L2650" t="inlineStr">
        <is>
          <t>iki-OK-arasi-monotonluk</t>
        </is>
      </c>
      <c r="X2650" t="b">
        <v>1</v>
      </c>
      <c r="Z2650" t="n">
        <v>935</v>
      </c>
      <c r="AA2650" t="n">
        <v>2.5</v>
      </c>
      <c r="AB2650" t="n">
        <v>9.5</v>
      </c>
    </row>
    <row r="2651">
      <c r="A2651" t="inlineStr">
        <is>
          <t>2026-09-24 20:17:33</t>
        </is>
      </c>
      <c r="B2651" t="inlineStr">
        <is>
          <t>MLLB_000_y1.0.3</t>
        </is>
      </c>
      <c r="C2651" t="inlineStr">
        <is>
          <t>WHITE</t>
        </is>
      </c>
      <c r="D2651" t="inlineStr">
        <is>
          <t>v4_white_MLLB_000_y103_0924</t>
        </is>
      </c>
      <c r="E2651" t="n">
        <v>2.6</v>
      </c>
      <c r="F2651" t="n">
        <v>2.608</v>
      </c>
      <c r="G2651" t="n">
        <v>100</v>
      </c>
      <c r="H2651" t="n">
        <v>100</v>
      </c>
      <c r="I2651" t="n">
        <v>34</v>
      </c>
      <c r="J2651" t="inlineStr">
        <is>
          <t>ince</t>
        </is>
      </c>
      <c r="K2651" t="b">
        <v>0</v>
      </c>
      <c r="L2651" t="inlineStr">
        <is>
          <t>iki-OK-arasi-monotonluk</t>
        </is>
      </c>
      <c r="X2651" t="b">
        <v>1</v>
      </c>
      <c r="Z2651" t="n">
        <v>935</v>
      </c>
      <c r="AA2651" t="n">
        <v>2.5</v>
      </c>
      <c r="AB2651" t="n">
        <v>9.5</v>
      </c>
    </row>
    <row r="2652">
      <c r="A2652" t="inlineStr">
        <is>
          <t>2026-09-24 20:17:33</t>
        </is>
      </c>
      <c r="B2652" t="inlineStr">
        <is>
          <t>MLLB_000_y1.0.3</t>
        </is>
      </c>
      <c r="C2652" t="inlineStr">
        <is>
          <t>WHITE</t>
        </is>
      </c>
      <c r="D2652" t="inlineStr">
        <is>
          <t>v4_white_MLLB_000_y103_0924</t>
        </is>
      </c>
      <c r="E2652" t="n">
        <v>2.6</v>
      </c>
      <c r="F2652" t="n">
        <v>2.608</v>
      </c>
      <c r="G2652" t="n">
        <v>100</v>
      </c>
      <c r="H2652" t="n">
        <v>100</v>
      </c>
      <c r="I2652" t="n">
        <v>35</v>
      </c>
      <c r="J2652" t="inlineStr">
        <is>
          <t>ince</t>
        </is>
      </c>
      <c r="K2652" t="b">
        <v>0</v>
      </c>
      <c r="L2652" t="inlineStr">
        <is>
          <t>iki-OK-arasi-monotonluk</t>
        </is>
      </c>
      <c r="X2652" t="b">
        <v>1</v>
      </c>
      <c r="Z2652" t="n">
        <v>935</v>
      </c>
      <c r="AA2652" t="n">
        <v>2.5</v>
      </c>
      <c r="AB2652" t="n">
        <v>9.5</v>
      </c>
    </row>
    <row r="2653">
      <c r="A2653" t="inlineStr">
        <is>
          <t>2026-09-24 20:17:33</t>
        </is>
      </c>
      <c r="B2653" t="inlineStr">
        <is>
          <t>MLLB_000_y1.0.3</t>
        </is>
      </c>
      <c r="C2653" t="inlineStr">
        <is>
          <t>WHITE</t>
        </is>
      </c>
      <c r="D2653" t="inlineStr">
        <is>
          <t>v4_white_MLLB_000_y103_0924</t>
        </is>
      </c>
      <c r="E2653" t="n">
        <v>2.6</v>
      </c>
      <c r="F2653" t="n">
        <v>2.608</v>
      </c>
      <c r="G2653" t="n">
        <v>100</v>
      </c>
      <c r="H2653" t="n">
        <v>100</v>
      </c>
      <c r="I2653" t="n">
        <v>37</v>
      </c>
      <c r="J2653" t="inlineStr">
        <is>
          <t>ince</t>
        </is>
      </c>
      <c r="K2653" t="b">
        <v>0</v>
      </c>
      <c r="L2653" t="inlineStr">
        <is>
          <t>iki-OK-arasi-monotonluk</t>
        </is>
      </c>
      <c r="X2653" t="b">
        <v>1</v>
      </c>
      <c r="Z2653" t="n">
        <v>935</v>
      </c>
      <c r="AA2653" t="n">
        <v>2.5</v>
      </c>
      <c r="AB2653" t="n">
        <v>9.5</v>
      </c>
    </row>
    <row r="2654">
      <c r="A2654" t="inlineStr">
        <is>
          <t>2026-09-24 20:17:33</t>
        </is>
      </c>
      <c r="B2654" t="inlineStr">
        <is>
          <t>MLLB_000_y1.0.3</t>
        </is>
      </c>
      <c r="C2654" t="inlineStr">
        <is>
          <t>WHITE</t>
        </is>
      </c>
      <c r="D2654" t="inlineStr">
        <is>
          <t>v4_white_MLLB_000_y103_0924</t>
        </is>
      </c>
      <c r="E2654" t="n">
        <v>2.6</v>
      </c>
      <c r="F2654" t="n">
        <v>2.608</v>
      </c>
      <c r="G2654" t="n">
        <v>100</v>
      </c>
      <c r="H2654" t="n">
        <v>100</v>
      </c>
      <c r="I2654" t="n">
        <v>38</v>
      </c>
      <c r="J2654" t="inlineStr">
        <is>
          <t>ince</t>
        </is>
      </c>
      <c r="K2654" t="b">
        <v>0</v>
      </c>
      <c r="L2654" t="inlineStr">
        <is>
          <t>iki-OK-arasi-monotonluk</t>
        </is>
      </c>
      <c r="X2654" t="b">
        <v>1</v>
      </c>
      <c r="Z2654" t="n">
        <v>935</v>
      </c>
      <c r="AA2654" t="n">
        <v>2.5</v>
      </c>
      <c r="AB2654" t="n">
        <v>9.5</v>
      </c>
    </row>
    <row r="2655">
      <c r="A2655" t="inlineStr">
        <is>
          <t>2026-09-24 20:17:33</t>
        </is>
      </c>
      <c r="B2655" t="inlineStr">
        <is>
          <t>MLLB_000_y1.0.3</t>
        </is>
      </c>
      <c r="C2655" t="inlineStr">
        <is>
          <t>WHITE</t>
        </is>
      </c>
      <c r="D2655" t="inlineStr">
        <is>
          <t>v4_white_MLLB_000_y103_0924</t>
        </is>
      </c>
      <c r="E2655" t="n">
        <v>2.6</v>
      </c>
      <c r="F2655" t="n">
        <v>2.608</v>
      </c>
      <c r="G2655" t="n">
        <v>100</v>
      </c>
      <c r="H2655" t="n">
        <v>100</v>
      </c>
      <c r="I2655" t="n">
        <v>39</v>
      </c>
      <c r="J2655" t="inlineStr">
        <is>
          <t>ince</t>
        </is>
      </c>
      <c r="K2655" t="b">
        <v>0</v>
      </c>
      <c r="L2655" t="inlineStr">
        <is>
          <t>iki-OK-arasi-monotonluk</t>
        </is>
      </c>
      <c r="X2655" t="b">
        <v>1</v>
      </c>
      <c r="Z2655" t="n">
        <v>935</v>
      </c>
      <c r="AA2655" t="n">
        <v>2.5</v>
      </c>
      <c r="AB2655" t="n">
        <v>9.5</v>
      </c>
    </row>
    <row r="2656">
      <c r="A2656" t="inlineStr">
        <is>
          <t>2026-09-24 20:17:33</t>
        </is>
      </c>
      <c r="B2656" t="inlineStr">
        <is>
          <t>MLLB_000_y1.0.3</t>
        </is>
      </c>
      <c r="C2656" t="inlineStr">
        <is>
          <t>WHITE</t>
        </is>
      </c>
      <c r="D2656" t="inlineStr">
        <is>
          <t>v4_white_MLLB_000_y103_0924</t>
        </is>
      </c>
      <c r="E2656" t="n">
        <v>2.6</v>
      </c>
      <c r="F2656" t="n">
        <v>2.608</v>
      </c>
      <c r="G2656" t="n">
        <v>100</v>
      </c>
      <c r="H2656" t="n">
        <v>100</v>
      </c>
      <c r="I2656" t="n">
        <v>41</v>
      </c>
      <c r="J2656" t="inlineStr">
        <is>
          <t>ince</t>
        </is>
      </c>
      <c r="K2656" t="b">
        <v>0</v>
      </c>
      <c r="L2656" t="inlineStr">
        <is>
          <t>iki-OK-arasi-monotonluk</t>
        </is>
      </c>
      <c r="X2656" t="b">
        <v>1</v>
      </c>
      <c r="Z2656" t="n">
        <v>935</v>
      </c>
      <c r="AA2656" t="n">
        <v>2.5</v>
      </c>
      <c r="AB2656" t="n">
        <v>9.5</v>
      </c>
    </row>
    <row r="2657">
      <c r="A2657" t="inlineStr">
        <is>
          <t>2026-09-24 20:17:33</t>
        </is>
      </c>
      <c r="B2657" t="inlineStr">
        <is>
          <t>MLLB_000_y1.0.3</t>
        </is>
      </c>
      <c r="C2657" t="inlineStr">
        <is>
          <t>WHITE</t>
        </is>
      </c>
      <c r="D2657" t="inlineStr">
        <is>
          <t>v4_white_MLLB_000_y103_0924</t>
        </is>
      </c>
      <c r="E2657" t="n">
        <v>2.6</v>
      </c>
      <c r="F2657" t="n">
        <v>2.608</v>
      </c>
      <c r="G2657" t="n">
        <v>100</v>
      </c>
      <c r="H2657" t="n">
        <v>100</v>
      </c>
      <c r="I2657" t="n">
        <v>42</v>
      </c>
      <c r="J2657" t="inlineStr">
        <is>
          <t>ince</t>
        </is>
      </c>
      <c r="K2657" t="b">
        <v>0</v>
      </c>
      <c r="L2657" t="inlineStr">
        <is>
          <t>iki-OK-arasi-monotonluk</t>
        </is>
      </c>
      <c r="X2657" t="b">
        <v>1</v>
      </c>
      <c r="Z2657" t="n">
        <v>935</v>
      </c>
      <c r="AA2657" t="n">
        <v>2.5</v>
      </c>
      <c r="AB2657" t="n">
        <v>9.5</v>
      </c>
    </row>
    <row r="2658">
      <c r="A2658" t="inlineStr">
        <is>
          <t>2026-09-24 20:17:33</t>
        </is>
      </c>
      <c r="B2658" t="inlineStr">
        <is>
          <t>MLLB_000_y1.0.3</t>
        </is>
      </c>
      <c r="C2658" t="inlineStr">
        <is>
          <t>WHITE</t>
        </is>
      </c>
      <c r="D2658" t="inlineStr">
        <is>
          <t>v4_white_MLLB_000_y103_0924</t>
        </is>
      </c>
      <c r="E2658" t="n">
        <v>2.6</v>
      </c>
      <c r="F2658" t="n">
        <v>2.608</v>
      </c>
      <c r="G2658" t="n">
        <v>100</v>
      </c>
      <c r="H2658" t="n">
        <v>100</v>
      </c>
      <c r="I2658" t="n">
        <v>43</v>
      </c>
      <c r="J2658" t="inlineStr">
        <is>
          <t>ince</t>
        </is>
      </c>
      <c r="K2658" t="b">
        <v>0</v>
      </c>
      <c r="L2658" t="inlineStr">
        <is>
          <t>iki-OK-arasi-monotonluk</t>
        </is>
      </c>
      <c r="X2658" t="b">
        <v>1</v>
      </c>
      <c r="Z2658" t="n">
        <v>935</v>
      </c>
      <c r="AA2658" t="n">
        <v>2.5</v>
      </c>
      <c r="AB2658" t="n">
        <v>9.5</v>
      </c>
    </row>
    <row r="2659">
      <c r="A2659" t="inlineStr">
        <is>
          <t>2026-09-24 20:17:33</t>
        </is>
      </c>
      <c r="B2659" t="inlineStr">
        <is>
          <t>MLLB_000_y1.0.3</t>
        </is>
      </c>
      <c r="C2659" t="inlineStr">
        <is>
          <t>WHITE</t>
        </is>
      </c>
      <c r="D2659" t="inlineStr">
        <is>
          <t>v4_white_MLLB_000_y103_0924</t>
        </is>
      </c>
      <c r="E2659" t="n">
        <v>2.6</v>
      </c>
      <c r="F2659" t="n">
        <v>2.608</v>
      </c>
      <c r="G2659" t="n">
        <v>100</v>
      </c>
      <c r="H2659" t="n">
        <v>100</v>
      </c>
      <c r="I2659" t="n">
        <v>45</v>
      </c>
      <c r="J2659" t="inlineStr">
        <is>
          <t>ince</t>
        </is>
      </c>
      <c r="K2659" t="b">
        <v>0</v>
      </c>
      <c r="L2659" t="inlineStr">
        <is>
          <t>iki-OK-arasi-monotonluk</t>
        </is>
      </c>
      <c r="X2659" t="b">
        <v>1</v>
      </c>
      <c r="Z2659" t="n">
        <v>935</v>
      </c>
      <c r="AA2659" t="n">
        <v>2.5</v>
      </c>
      <c r="AB2659" t="n">
        <v>9.5</v>
      </c>
    </row>
    <row r="2660">
      <c r="A2660" t="inlineStr">
        <is>
          <t>2026-09-24 20:17:33</t>
        </is>
      </c>
      <c r="B2660" t="inlineStr">
        <is>
          <t>MLLB_000_y1.0.3</t>
        </is>
      </c>
      <c r="C2660" t="inlineStr">
        <is>
          <t>WHITE</t>
        </is>
      </c>
      <c r="D2660" t="inlineStr">
        <is>
          <t>v4_white_MLLB_000_y103_0924</t>
        </is>
      </c>
      <c r="E2660" t="n">
        <v>2.6</v>
      </c>
      <c r="F2660" t="n">
        <v>2.608</v>
      </c>
      <c r="G2660" t="n">
        <v>100</v>
      </c>
      <c r="H2660" t="n">
        <v>100</v>
      </c>
      <c r="I2660" t="n">
        <v>46</v>
      </c>
      <c r="J2660" t="inlineStr">
        <is>
          <t>ince</t>
        </is>
      </c>
      <c r="K2660" t="b">
        <v>0</v>
      </c>
      <c r="L2660" t="inlineStr">
        <is>
          <t>iki-OK-arasi-monotonluk</t>
        </is>
      </c>
      <c r="X2660" t="b">
        <v>1</v>
      </c>
      <c r="Z2660" t="n">
        <v>935</v>
      </c>
      <c r="AA2660" t="n">
        <v>2.5</v>
      </c>
      <c r="AB2660" t="n">
        <v>9.5</v>
      </c>
    </row>
    <row r="2661">
      <c r="A2661" t="inlineStr">
        <is>
          <t>2026-09-24 20:17:33</t>
        </is>
      </c>
      <c r="B2661" t="inlineStr">
        <is>
          <t>MLLB_000_y1.0.3</t>
        </is>
      </c>
      <c r="C2661" t="inlineStr">
        <is>
          <t>WHITE</t>
        </is>
      </c>
      <c r="D2661" t="inlineStr">
        <is>
          <t>v4_white_MLLB_000_y103_0924</t>
        </is>
      </c>
      <c r="E2661" t="n">
        <v>2.6</v>
      </c>
      <c r="F2661" t="n">
        <v>2.608</v>
      </c>
      <c r="G2661" t="n">
        <v>100</v>
      </c>
      <c r="H2661" t="n">
        <v>100</v>
      </c>
      <c r="I2661" t="n">
        <v>47</v>
      </c>
      <c r="J2661" t="inlineStr">
        <is>
          <t>ince</t>
        </is>
      </c>
      <c r="K2661" t="b">
        <v>0</v>
      </c>
      <c r="L2661" t="inlineStr">
        <is>
          <t>iki-OK-arasi-monotonluk</t>
        </is>
      </c>
      <c r="X2661" t="b">
        <v>1</v>
      </c>
      <c r="Z2661" t="n">
        <v>935</v>
      </c>
      <c r="AA2661" t="n">
        <v>2.5</v>
      </c>
      <c r="AB2661" t="n">
        <v>9.5</v>
      </c>
    </row>
    <row r="2662">
      <c r="A2662" t="inlineStr">
        <is>
          <t>2026-09-24 20:17:33</t>
        </is>
      </c>
      <c r="B2662" t="inlineStr">
        <is>
          <t>MLLB_000_y1.0.3</t>
        </is>
      </c>
      <c r="C2662" t="inlineStr">
        <is>
          <t>WHITE</t>
        </is>
      </c>
      <c r="D2662" t="inlineStr">
        <is>
          <t>v4_white_MLLB_000_y103_0924</t>
        </is>
      </c>
      <c r="E2662" t="n">
        <v>2.6</v>
      </c>
      <c r="F2662" t="n">
        <v>2.608</v>
      </c>
      <c r="G2662" t="n">
        <v>100</v>
      </c>
      <c r="H2662" t="n">
        <v>100</v>
      </c>
      <c r="I2662" t="n">
        <v>49</v>
      </c>
      <c r="J2662" t="inlineStr">
        <is>
          <t>ince</t>
        </is>
      </c>
      <c r="K2662" t="b">
        <v>0</v>
      </c>
      <c r="L2662" t="inlineStr">
        <is>
          <t>iki-OK-arasi-monotonluk</t>
        </is>
      </c>
      <c r="X2662" t="b">
        <v>1</v>
      </c>
      <c r="Z2662" t="n">
        <v>935</v>
      </c>
      <c r="AA2662" t="n">
        <v>2.5</v>
      </c>
      <c r="AB2662" t="n">
        <v>9.5</v>
      </c>
    </row>
    <row r="2663">
      <c r="A2663" t="inlineStr">
        <is>
          <t>2026-09-24 20:17:33</t>
        </is>
      </c>
      <c r="B2663" t="inlineStr">
        <is>
          <t>MLLB_000_y1.0.3</t>
        </is>
      </c>
      <c r="C2663" t="inlineStr">
        <is>
          <t>WHITE</t>
        </is>
      </c>
      <c r="D2663" t="inlineStr">
        <is>
          <t>v4_white_MLLB_000_y103_0924</t>
        </is>
      </c>
      <c r="E2663" t="n">
        <v>2.6</v>
      </c>
      <c r="F2663" t="n">
        <v>2.608</v>
      </c>
      <c r="G2663" t="n">
        <v>100</v>
      </c>
      <c r="H2663" t="n">
        <v>100</v>
      </c>
      <c r="I2663" t="n">
        <v>50</v>
      </c>
      <c r="J2663" t="inlineStr">
        <is>
          <t>ince</t>
        </is>
      </c>
      <c r="K2663" t="b">
        <v>0</v>
      </c>
      <c r="L2663" t="inlineStr">
        <is>
          <t>iki-OK-arasi-monotonluk</t>
        </is>
      </c>
      <c r="X2663" t="b">
        <v>1</v>
      </c>
      <c r="Z2663" t="n">
        <v>935</v>
      </c>
      <c r="AA2663" t="n">
        <v>2.5</v>
      </c>
      <c r="AB2663" t="n">
        <v>9.5</v>
      </c>
    </row>
    <row r="2664">
      <c r="A2664" t="inlineStr">
        <is>
          <t>2026-09-24 20:17:33</t>
        </is>
      </c>
      <c r="B2664" t="inlineStr">
        <is>
          <t>MLLB_000_y1.0.3</t>
        </is>
      </c>
      <c r="C2664" t="inlineStr">
        <is>
          <t>WHITE</t>
        </is>
      </c>
      <c r="D2664" t="inlineStr">
        <is>
          <t>v4_white_MLLB_000_y103_0924</t>
        </is>
      </c>
      <c r="E2664" t="n">
        <v>2.6</v>
      </c>
      <c r="F2664" t="n">
        <v>2.608</v>
      </c>
      <c r="G2664" t="n">
        <v>100</v>
      </c>
      <c r="H2664" t="n">
        <v>100</v>
      </c>
      <c r="I2664" t="n">
        <v>51</v>
      </c>
      <c r="J2664" t="inlineStr">
        <is>
          <t>ince</t>
        </is>
      </c>
      <c r="K2664" t="b">
        <v>0</v>
      </c>
      <c r="L2664" t="inlineStr">
        <is>
          <t>iki-OK-arasi-monotonluk</t>
        </is>
      </c>
      <c r="X2664" t="b">
        <v>1</v>
      </c>
      <c r="Z2664" t="n">
        <v>935</v>
      </c>
      <c r="AA2664" t="n">
        <v>2.5</v>
      </c>
      <c r="AB2664" t="n">
        <v>9.5</v>
      </c>
    </row>
    <row r="2665">
      <c r="A2665" t="inlineStr">
        <is>
          <t>2026-09-24 20:17:33</t>
        </is>
      </c>
      <c r="B2665" t="inlineStr">
        <is>
          <t>MLLB_000_y1.0.3</t>
        </is>
      </c>
      <c r="C2665" t="inlineStr">
        <is>
          <t>WHITE</t>
        </is>
      </c>
      <c r="D2665" t="inlineStr">
        <is>
          <t>v4_white_MLLB_000_y103_0924</t>
        </is>
      </c>
      <c r="E2665" t="n">
        <v>2.6</v>
      </c>
      <c r="F2665" t="n">
        <v>2.608</v>
      </c>
      <c r="G2665" t="n">
        <v>100</v>
      </c>
      <c r="H2665" t="n">
        <v>100</v>
      </c>
      <c r="I2665" t="n">
        <v>53</v>
      </c>
      <c r="J2665" t="inlineStr">
        <is>
          <t>ince</t>
        </is>
      </c>
      <c r="K2665" t="b">
        <v>0</v>
      </c>
      <c r="L2665" t="inlineStr">
        <is>
          <t>iki-OK-arasi-monotonluk</t>
        </is>
      </c>
      <c r="X2665" t="b">
        <v>1</v>
      </c>
      <c r="Z2665" t="n">
        <v>935</v>
      </c>
      <c r="AA2665" t="n">
        <v>2.5</v>
      </c>
      <c r="AB2665" t="n">
        <v>9.5</v>
      </c>
    </row>
    <row r="2666">
      <c r="A2666" t="inlineStr">
        <is>
          <t>2026-09-24 20:17:33</t>
        </is>
      </c>
      <c r="B2666" t="inlineStr">
        <is>
          <t>MLLB_000_y1.0.3</t>
        </is>
      </c>
      <c r="C2666" t="inlineStr">
        <is>
          <t>WHITE</t>
        </is>
      </c>
      <c r="D2666" t="inlineStr">
        <is>
          <t>v4_white_MLLB_000_y103_0924</t>
        </is>
      </c>
      <c r="E2666" t="n">
        <v>2.6</v>
      </c>
      <c r="F2666" t="n">
        <v>2.608</v>
      </c>
      <c r="G2666" t="n">
        <v>100</v>
      </c>
      <c r="H2666" t="n">
        <v>100</v>
      </c>
      <c r="I2666" t="n">
        <v>54</v>
      </c>
      <c r="J2666" t="inlineStr">
        <is>
          <t>ince</t>
        </is>
      </c>
      <c r="K2666" t="b">
        <v>0</v>
      </c>
      <c r="L2666" t="inlineStr">
        <is>
          <t>iki-OK-arasi-monotonluk</t>
        </is>
      </c>
      <c r="X2666" t="b">
        <v>1</v>
      </c>
      <c r="Z2666" t="n">
        <v>935</v>
      </c>
      <c r="AA2666" t="n">
        <v>2.5</v>
      </c>
      <c r="AB2666" t="n">
        <v>9.5</v>
      </c>
    </row>
    <row r="2667">
      <c r="A2667" t="inlineStr">
        <is>
          <t>2026-09-24 20:17:33</t>
        </is>
      </c>
      <c r="B2667" t="inlineStr">
        <is>
          <t>MLLB_000_y1.0.3</t>
        </is>
      </c>
      <c r="C2667" t="inlineStr">
        <is>
          <t>WHITE</t>
        </is>
      </c>
      <c r="D2667" t="inlineStr">
        <is>
          <t>v4_white_MLLB_000_y103_0924</t>
        </is>
      </c>
      <c r="E2667" t="n">
        <v>2.6</v>
      </c>
      <c r="F2667" t="n">
        <v>2.608</v>
      </c>
      <c r="G2667" t="n">
        <v>100</v>
      </c>
      <c r="H2667" t="n">
        <v>100</v>
      </c>
      <c r="I2667" t="n">
        <v>55</v>
      </c>
      <c r="J2667" t="inlineStr">
        <is>
          <t>ince</t>
        </is>
      </c>
      <c r="K2667" t="b">
        <v>0</v>
      </c>
      <c r="L2667" t="inlineStr">
        <is>
          <t>iki-OK-arasi-monotonluk</t>
        </is>
      </c>
      <c r="X2667" t="b">
        <v>1</v>
      </c>
      <c r="Z2667" t="n">
        <v>935</v>
      </c>
      <c r="AA2667" t="n">
        <v>2.5</v>
      </c>
      <c r="AB2667" t="n">
        <v>9.5</v>
      </c>
    </row>
    <row r="2668">
      <c r="A2668" t="inlineStr">
        <is>
          <t>2026-09-24 20:17:33</t>
        </is>
      </c>
      <c r="B2668" t="inlineStr">
        <is>
          <t>MLLB_000_y1.0.3</t>
        </is>
      </c>
      <c r="C2668" t="inlineStr">
        <is>
          <t>WHITE</t>
        </is>
      </c>
      <c r="D2668" t="inlineStr">
        <is>
          <t>v4_white_MLLB_000_y103_0924</t>
        </is>
      </c>
      <c r="E2668" t="n">
        <v>2.6</v>
      </c>
      <c r="F2668" t="n">
        <v>2.608</v>
      </c>
      <c r="G2668" t="n">
        <v>100</v>
      </c>
      <c r="H2668" t="n">
        <v>100</v>
      </c>
      <c r="I2668" t="n">
        <v>57</v>
      </c>
      <c r="J2668" t="inlineStr">
        <is>
          <t>ince</t>
        </is>
      </c>
      <c r="K2668" t="b">
        <v>0</v>
      </c>
      <c r="L2668" t="inlineStr">
        <is>
          <t>iki-OK-arasi-monotonluk</t>
        </is>
      </c>
      <c r="X2668" t="b">
        <v>1</v>
      </c>
      <c r="Z2668" t="n">
        <v>935</v>
      </c>
      <c r="AA2668" t="n">
        <v>2.5</v>
      </c>
      <c r="AB2668" t="n">
        <v>9.5</v>
      </c>
    </row>
    <row r="2669">
      <c r="A2669" t="inlineStr">
        <is>
          <t>2026-09-24 20:17:33</t>
        </is>
      </c>
      <c r="B2669" t="inlineStr">
        <is>
          <t>MLLB_000_y1.0.3</t>
        </is>
      </c>
      <c r="C2669" t="inlineStr">
        <is>
          <t>WHITE</t>
        </is>
      </c>
      <c r="D2669" t="inlineStr">
        <is>
          <t>v4_white_MLLB_000_y103_0924</t>
        </is>
      </c>
      <c r="E2669" t="n">
        <v>2.6</v>
      </c>
      <c r="F2669" t="n">
        <v>2.608</v>
      </c>
      <c r="G2669" t="n">
        <v>100</v>
      </c>
      <c r="H2669" t="n">
        <v>100</v>
      </c>
      <c r="J2669" t="inlineStr">
        <is>
          <t>bitti</t>
        </is>
      </c>
      <c r="K2669" t="b">
        <v>0</v>
      </c>
      <c r="Z2669" t="n">
        <v>935</v>
      </c>
      <c r="AA2669" t="n">
        <v>2.5</v>
      </c>
      <c r="AB2669" t="n">
        <v>9.5</v>
      </c>
    </row>
    <row r="2670">
      <c r="A2670" t="inlineStr">
        <is>
          <t>2026-09-24 20:17:48</t>
        </is>
      </c>
      <c r="B2670" t="inlineStr">
        <is>
          <t>MLLB_000_y1.0.3</t>
        </is>
      </c>
      <c r="C2670" t="inlineStr">
        <is>
          <t>WHITE</t>
        </is>
      </c>
      <c r="D2670" t="inlineStr">
        <is>
          <t>v4_white_MLLB_000_y103_0924</t>
        </is>
      </c>
      <c r="E2670" t="n">
        <v>2.6</v>
      </c>
      <c r="F2670" t="n">
        <v>2.608</v>
      </c>
      <c r="G2670" t="n">
        <v>100</v>
      </c>
      <c r="H2670" t="n">
        <v>80</v>
      </c>
      <c r="I2670" t="n">
        <v>12</v>
      </c>
      <c r="J2670" t="inlineStr">
        <is>
          <t>kaba</t>
        </is>
      </c>
      <c r="K2670" t="b">
        <v>1</v>
      </c>
      <c r="M2670" t="n">
        <v>38</v>
      </c>
      <c r="N2670" t="n">
        <v>28</v>
      </c>
      <c r="O2670" t="n">
        <v>18</v>
      </c>
      <c r="P2670" t="n">
        <v>964</v>
      </c>
      <c r="Q2670" t="n">
        <v>1002</v>
      </c>
      <c r="R2670" t="n">
        <v>1.063</v>
      </c>
      <c r="S2670" t="n">
        <v>237.873</v>
      </c>
      <c r="T2670" t="n">
        <v>223.834</v>
      </c>
      <c r="U2670" t="n">
        <v>0.7776</v>
      </c>
      <c r="V2670" t="b">
        <v>1</v>
      </c>
      <c r="X2670" t="b">
        <v>1</v>
      </c>
      <c r="Z2670" t="n">
        <v>935</v>
      </c>
      <c r="AA2670" t="n">
        <v>2.5</v>
      </c>
      <c r="AB2670" t="n">
        <v>9.5</v>
      </c>
    </row>
    <row r="2671">
      <c r="A2671" t="inlineStr">
        <is>
          <t>2026-09-24 20:18:04</t>
        </is>
      </c>
      <c r="B2671" t="inlineStr">
        <is>
          <t>MLLB_000_y1.0.3</t>
        </is>
      </c>
      <c r="C2671" t="inlineStr">
        <is>
          <t>WHITE</t>
        </is>
      </c>
      <c r="D2671" t="inlineStr">
        <is>
          <t>v4_white_MLLB_000_y103_0924</t>
        </is>
      </c>
      <c r="E2671" t="n">
        <v>2.6</v>
      </c>
      <c r="F2671" t="n">
        <v>2.608</v>
      </c>
      <c r="G2671" t="n">
        <v>100</v>
      </c>
      <c r="H2671" t="n">
        <v>80</v>
      </c>
      <c r="I2671" t="n">
        <v>16</v>
      </c>
      <c r="J2671" t="inlineStr">
        <is>
          <t>kaba</t>
        </is>
      </c>
      <c r="K2671" t="b">
        <v>1</v>
      </c>
      <c r="M2671" t="n">
        <v>38</v>
      </c>
      <c r="N2671" t="n">
        <v>28</v>
      </c>
      <c r="O2671" t="n">
        <v>18</v>
      </c>
      <c r="P2671" t="n">
        <v>964</v>
      </c>
      <c r="Q2671" t="n">
        <v>1002</v>
      </c>
      <c r="R2671" t="n">
        <v>1.066</v>
      </c>
      <c r="S2671" t="n">
        <v>238.472</v>
      </c>
      <c r="T2671" t="n">
        <v>223.654</v>
      </c>
      <c r="U2671" t="n">
        <v>0.7779</v>
      </c>
      <c r="V2671" t="b">
        <v>1</v>
      </c>
      <c r="X2671" t="b">
        <v>1</v>
      </c>
      <c r="Z2671" t="n">
        <v>935</v>
      </c>
      <c r="AA2671" t="n">
        <v>2.5</v>
      </c>
      <c r="AB2671" t="n">
        <v>9.5</v>
      </c>
    </row>
    <row r="2672">
      <c r="A2672" t="inlineStr">
        <is>
          <t>2026-09-24 20:18:20</t>
        </is>
      </c>
      <c r="B2672" t="inlineStr">
        <is>
          <t>MLLB_000_y1.0.3</t>
        </is>
      </c>
      <c r="C2672" t="inlineStr">
        <is>
          <t>WHITE</t>
        </is>
      </c>
      <c r="D2672" t="inlineStr">
        <is>
          <t>v4_white_MLLB_000_y103_0924</t>
        </is>
      </c>
      <c r="E2672" t="n">
        <v>2.6</v>
      </c>
      <c r="F2672" t="n">
        <v>2.608</v>
      </c>
      <c r="G2672" t="n">
        <v>100</v>
      </c>
      <c r="H2672" t="n">
        <v>80</v>
      </c>
      <c r="I2672" t="n">
        <v>20</v>
      </c>
      <c r="J2672" t="inlineStr">
        <is>
          <t>kaba</t>
        </is>
      </c>
      <c r="K2672" t="b">
        <v>1</v>
      </c>
      <c r="M2672" t="n">
        <v>38</v>
      </c>
      <c r="N2672" t="n">
        <v>28</v>
      </c>
      <c r="O2672" t="n">
        <v>18</v>
      </c>
      <c r="P2672" t="n">
        <v>964</v>
      </c>
      <c r="Q2672" t="n">
        <v>1002</v>
      </c>
      <c r="R2672" t="n">
        <v>1.067</v>
      </c>
      <c r="S2672" t="n">
        <v>238.472</v>
      </c>
      <c r="T2672" t="n">
        <v>223.572</v>
      </c>
      <c r="U2672" t="n">
        <v>0.7773</v>
      </c>
      <c r="V2672" t="b">
        <v>1</v>
      </c>
      <c r="X2672" t="b">
        <v>1</v>
      </c>
      <c r="Z2672" t="n">
        <v>935</v>
      </c>
      <c r="AA2672" t="n">
        <v>2.5</v>
      </c>
      <c r="AB2672" t="n">
        <v>9.5</v>
      </c>
    </row>
    <row r="2673">
      <c r="A2673" t="inlineStr">
        <is>
          <t>2026-09-24 20:18:36</t>
        </is>
      </c>
      <c r="B2673" t="inlineStr">
        <is>
          <t>MLLB_000_y1.0.3</t>
        </is>
      </c>
      <c r="C2673" t="inlineStr">
        <is>
          <t>WHITE</t>
        </is>
      </c>
      <c r="D2673" t="inlineStr">
        <is>
          <t>v4_white_MLLB_000_y103_0924</t>
        </is>
      </c>
      <c r="E2673" t="n">
        <v>2.6</v>
      </c>
      <c r="F2673" t="n">
        <v>2.608</v>
      </c>
      <c r="G2673" t="n">
        <v>100</v>
      </c>
      <c r="H2673" t="n">
        <v>80</v>
      </c>
      <c r="I2673" t="n">
        <v>24</v>
      </c>
      <c r="J2673" t="inlineStr">
        <is>
          <t>kaba</t>
        </is>
      </c>
      <c r="K2673" t="b">
        <v>1</v>
      </c>
      <c r="M2673" t="n">
        <v>38</v>
      </c>
      <c r="N2673" t="n">
        <v>28</v>
      </c>
      <c r="O2673" t="n">
        <v>18</v>
      </c>
      <c r="P2673" t="n">
        <v>964</v>
      </c>
      <c r="Q2673" t="n">
        <v>1002</v>
      </c>
      <c r="R2673" t="n">
        <v>1.067</v>
      </c>
      <c r="S2673" t="n">
        <v>238.638</v>
      </c>
      <c r="T2673" t="n">
        <v>223.73</v>
      </c>
      <c r="U2673" t="n">
        <v>0.7776999999999999</v>
      </c>
      <c r="V2673" t="b">
        <v>1</v>
      </c>
      <c r="X2673" t="b">
        <v>1</v>
      </c>
      <c r="Z2673" t="n">
        <v>935</v>
      </c>
      <c r="AA2673" t="n">
        <v>2.5</v>
      </c>
      <c r="AB2673" t="n">
        <v>9.5</v>
      </c>
    </row>
    <row r="2674">
      <c r="A2674" t="inlineStr">
        <is>
          <t>2026-09-24 20:18:52</t>
        </is>
      </c>
      <c r="B2674" t="inlineStr">
        <is>
          <t>MLLB_000_y1.0.3</t>
        </is>
      </c>
      <c r="C2674" t="inlineStr">
        <is>
          <t>WHITE</t>
        </is>
      </c>
      <c r="D2674" t="inlineStr">
        <is>
          <t>v4_white_MLLB_000_y103_0924</t>
        </is>
      </c>
      <c r="E2674" t="n">
        <v>2.6</v>
      </c>
      <c r="F2674" t="n">
        <v>2.608</v>
      </c>
      <c r="G2674" t="n">
        <v>100</v>
      </c>
      <c r="H2674" t="n">
        <v>80</v>
      </c>
      <c r="I2674" t="n">
        <v>28</v>
      </c>
      <c r="J2674" t="inlineStr">
        <is>
          <t>kaba</t>
        </is>
      </c>
      <c r="K2674" t="b">
        <v>1</v>
      </c>
      <c r="M2674" t="n">
        <v>38</v>
      </c>
      <c r="N2674" t="n">
        <v>28</v>
      </c>
      <c r="O2674" t="n">
        <v>18</v>
      </c>
      <c r="P2674" t="n">
        <v>964</v>
      </c>
      <c r="Q2674" t="n">
        <v>1002</v>
      </c>
      <c r="R2674" t="n">
        <v>1.069</v>
      </c>
      <c r="S2674" t="n">
        <v>239.242</v>
      </c>
      <c r="T2674" t="n">
        <v>223.725</v>
      </c>
      <c r="U2674" t="n">
        <v>0.778</v>
      </c>
      <c r="V2674" t="b">
        <v>1</v>
      </c>
      <c r="X2674" t="b">
        <v>1</v>
      </c>
      <c r="Z2674" t="n">
        <v>935</v>
      </c>
      <c r="AA2674" t="n">
        <v>2.5</v>
      </c>
      <c r="AB2674" t="n">
        <v>9.5</v>
      </c>
    </row>
    <row r="2675">
      <c r="A2675" t="inlineStr">
        <is>
          <t>2026-09-24 20:19:08</t>
        </is>
      </c>
      <c r="B2675" t="inlineStr">
        <is>
          <t>MLLB_000_y1.0.3</t>
        </is>
      </c>
      <c r="C2675" t="inlineStr">
        <is>
          <t>WHITE</t>
        </is>
      </c>
      <c r="D2675" t="inlineStr">
        <is>
          <t>v4_white_MLLB_000_y103_0924</t>
        </is>
      </c>
      <c r="E2675" t="n">
        <v>2.6</v>
      </c>
      <c r="F2675" t="n">
        <v>2.608</v>
      </c>
      <c r="G2675" t="n">
        <v>100</v>
      </c>
      <c r="H2675" t="n">
        <v>80</v>
      </c>
      <c r="I2675" t="n">
        <v>32</v>
      </c>
      <c r="J2675" t="inlineStr">
        <is>
          <t>kaba</t>
        </is>
      </c>
      <c r="K2675" t="b">
        <v>1</v>
      </c>
      <c r="M2675" t="n">
        <v>38</v>
      </c>
      <c r="N2675" t="n">
        <v>28</v>
      </c>
      <c r="O2675" t="n">
        <v>18</v>
      </c>
      <c r="P2675" t="n">
        <v>964</v>
      </c>
      <c r="Q2675" t="n">
        <v>1002</v>
      </c>
      <c r="R2675" t="n">
        <v>1.065</v>
      </c>
      <c r="S2675" t="n">
        <v>238.472</v>
      </c>
      <c r="T2675" t="n">
        <v>223.832</v>
      </c>
      <c r="U2675" t="n">
        <v>0.7781</v>
      </c>
      <c r="V2675" t="b">
        <v>1</v>
      </c>
      <c r="X2675" t="b">
        <v>1</v>
      </c>
      <c r="Z2675" t="n">
        <v>935</v>
      </c>
      <c r="AA2675" t="n">
        <v>2.5</v>
      </c>
      <c r="AB2675" t="n">
        <v>9.5</v>
      </c>
    </row>
    <row r="2676">
      <c r="A2676" t="inlineStr">
        <is>
          <t>2026-09-24 20:19:24</t>
        </is>
      </c>
      <c r="B2676" t="inlineStr">
        <is>
          <t>MLLB_000_y1.0.3</t>
        </is>
      </c>
      <c r="C2676" t="inlineStr">
        <is>
          <t>WHITE</t>
        </is>
      </c>
      <c r="D2676" t="inlineStr">
        <is>
          <t>v4_white_MLLB_000_y103_0924</t>
        </is>
      </c>
      <c r="E2676" t="n">
        <v>2.6</v>
      </c>
      <c r="F2676" t="n">
        <v>2.608</v>
      </c>
      <c r="G2676" t="n">
        <v>100</v>
      </c>
      <c r="H2676" t="n">
        <v>80</v>
      </c>
      <c r="I2676" t="n">
        <v>36</v>
      </c>
      <c r="J2676" t="inlineStr">
        <is>
          <t>kaba</t>
        </is>
      </c>
      <c r="K2676" t="b">
        <v>1</v>
      </c>
      <c r="M2676" t="n">
        <v>38</v>
      </c>
      <c r="N2676" t="n">
        <v>28</v>
      </c>
      <c r="O2676" t="n">
        <v>18</v>
      </c>
      <c r="P2676" t="n">
        <v>964</v>
      </c>
      <c r="Q2676" t="n">
        <v>1002</v>
      </c>
      <c r="R2676" t="n">
        <v>1.065</v>
      </c>
      <c r="S2676" t="n">
        <v>238.472</v>
      </c>
      <c r="T2676" t="n">
        <v>223.876</v>
      </c>
      <c r="U2676" t="n">
        <v>0.7776</v>
      </c>
      <c r="V2676" t="b">
        <v>1</v>
      </c>
      <c r="X2676" t="b">
        <v>1</v>
      </c>
      <c r="Z2676" t="n">
        <v>935</v>
      </c>
      <c r="AA2676" t="n">
        <v>2.5</v>
      </c>
      <c r="AB2676" t="n">
        <v>9.5</v>
      </c>
    </row>
    <row r="2677">
      <c r="A2677" t="inlineStr">
        <is>
          <t>2026-09-24 20:19:40</t>
        </is>
      </c>
      <c r="B2677" t="inlineStr">
        <is>
          <t>MLLB_000_y1.0.3</t>
        </is>
      </c>
      <c r="C2677" t="inlineStr">
        <is>
          <t>WHITE</t>
        </is>
      </c>
      <c r="D2677" t="inlineStr">
        <is>
          <t>v4_white_MLLB_000_y103_0924</t>
        </is>
      </c>
      <c r="E2677" t="n">
        <v>2.6</v>
      </c>
      <c r="F2677" t="n">
        <v>2.608</v>
      </c>
      <c r="G2677" t="n">
        <v>100</v>
      </c>
      <c r="H2677" t="n">
        <v>80</v>
      </c>
      <c r="I2677" t="n">
        <v>40</v>
      </c>
      <c r="J2677" t="inlineStr">
        <is>
          <t>kaba</t>
        </is>
      </c>
      <c r="K2677" t="b">
        <v>1</v>
      </c>
      <c r="M2677" t="n">
        <v>38</v>
      </c>
      <c r="N2677" t="n">
        <v>28</v>
      </c>
      <c r="O2677" t="n">
        <v>18</v>
      </c>
      <c r="P2677" t="n">
        <v>964</v>
      </c>
      <c r="Q2677" t="n">
        <v>1002</v>
      </c>
      <c r="R2677" t="n">
        <v>1.063</v>
      </c>
      <c r="S2677" t="n">
        <v>237.805</v>
      </c>
      <c r="T2677" t="n">
        <v>223.772</v>
      </c>
      <c r="U2677" t="n">
        <v>0.7779</v>
      </c>
      <c r="V2677" t="b">
        <v>1</v>
      </c>
      <c r="X2677" t="b">
        <v>1</v>
      </c>
      <c r="Z2677" t="n">
        <v>935</v>
      </c>
      <c r="AA2677" t="n">
        <v>2.5</v>
      </c>
      <c r="AB2677" t="n">
        <v>9.5</v>
      </c>
    </row>
    <row r="2678">
      <c r="A2678" t="inlineStr">
        <is>
          <t>2026-09-24 20:19:56</t>
        </is>
      </c>
      <c r="B2678" t="inlineStr">
        <is>
          <t>MLLB_000_y1.0.3</t>
        </is>
      </c>
      <c r="C2678" t="inlineStr">
        <is>
          <t>WHITE</t>
        </is>
      </c>
      <c r="D2678" t="inlineStr">
        <is>
          <t>v4_white_MLLB_000_y103_0924</t>
        </is>
      </c>
      <c r="E2678" t="n">
        <v>2.6</v>
      </c>
      <c r="F2678" t="n">
        <v>2.608</v>
      </c>
      <c r="G2678" t="n">
        <v>100</v>
      </c>
      <c r="H2678" t="n">
        <v>80</v>
      </c>
      <c r="I2678" t="n">
        <v>44</v>
      </c>
      <c r="J2678" t="inlineStr">
        <is>
          <t>kaba</t>
        </is>
      </c>
      <c r="K2678" t="b">
        <v>1</v>
      </c>
      <c r="M2678" t="n">
        <v>38</v>
      </c>
      <c r="N2678" t="n">
        <v>28</v>
      </c>
      <c r="O2678" t="n">
        <v>18</v>
      </c>
      <c r="P2678" t="n">
        <v>964</v>
      </c>
      <c r="Q2678" t="n">
        <v>1002</v>
      </c>
      <c r="R2678" t="n">
        <v>1.066</v>
      </c>
      <c r="S2678" t="n">
        <v>238.472</v>
      </c>
      <c r="T2678" t="n">
        <v>223.702</v>
      </c>
      <c r="U2678" t="n">
        <v>0.7781</v>
      </c>
      <c r="V2678" t="b">
        <v>1</v>
      </c>
      <c r="X2678" t="b">
        <v>1</v>
      </c>
      <c r="Z2678" t="n">
        <v>935</v>
      </c>
      <c r="AA2678" t="n">
        <v>2.5</v>
      </c>
      <c r="AB2678" t="n">
        <v>9.5</v>
      </c>
    </row>
    <row r="2679">
      <c r="A2679" t="inlineStr">
        <is>
          <t>2026-09-24 20:20:12</t>
        </is>
      </c>
      <c r="B2679" t="inlineStr">
        <is>
          <t>MLLB_000_y1.0.3</t>
        </is>
      </c>
      <c r="C2679" t="inlineStr">
        <is>
          <t>WHITE</t>
        </is>
      </c>
      <c r="D2679" t="inlineStr">
        <is>
          <t>v4_white_MLLB_000_y103_0924</t>
        </is>
      </c>
      <c r="E2679" t="n">
        <v>2.6</v>
      </c>
      <c r="F2679" t="n">
        <v>2.608</v>
      </c>
      <c r="G2679" t="n">
        <v>100</v>
      </c>
      <c r="H2679" t="n">
        <v>80</v>
      </c>
      <c r="I2679" t="n">
        <v>48</v>
      </c>
      <c r="J2679" t="inlineStr">
        <is>
          <t>kaba</t>
        </is>
      </c>
      <c r="K2679" t="b">
        <v>1</v>
      </c>
      <c r="M2679" t="n">
        <v>38</v>
      </c>
      <c r="N2679" t="n">
        <v>28</v>
      </c>
      <c r="O2679" t="n">
        <v>18</v>
      </c>
      <c r="P2679" t="n">
        <v>964</v>
      </c>
      <c r="Q2679" t="n">
        <v>1002</v>
      </c>
      <c r="R2679" t="n">
        <v>1.066</v>
      </c>
      <c r="S2679" t="n">
        <v>238.472</v>
      </c>
      <c r="T2679" t="n">
        <v>223.705</v>
      </c>
      <c r="U2679" t="n">
        <v>0.7781</v>
      </c>
      <c r="V2679" t="b">
        <v>1</v>
      </c>
      <c r="X2679" t="b">
        <v>1</v>
      </c>
      <c r="Z2679" t="n">
        <v>935</v>
      </c>
      <c r="AA2679" t="n">
        <v>2.5</v>
      </c>
      <c r="AB2679" t="n">
        <v>9.5</v>
      </c>
    </row>
    <row r="2680">
      <c r="A2680" t="inlineStr">
        <is>
          <t>2026-09-24 20:20:28</t>
        </is>
      </c>
      <c r="B2680" t="inlineStr">
        <is>
          <t>MLLB_000_y1.0.3</t>
        </is>
      </c>
      <c r="C2680" t="inlineStr">
        <is>
          <t>WHITE</t>
        </is>
      </c>
      <c r="D2680" t="inlineStr">
        <is>
          <t>v4_white_MLLB_000_y103_0924</t>
        </is>
      </c>
      <c r="E2680" t="n">
        <v>2.6</v>
      </c>
      <c r="F2680" t="n">
        <v>2.608</v>
      </c>
      <c r="G2680" t="n">
        <v>100</v>
      </c>
      <c r="H2680" t="n">
        <v>80</v>
      </c>
      <c r="I2680" t="n">
        <v>52</v>
      </c>
      <c r="J2680" t="inlineStr">
        <is>
          <t>kaba</t>
        </is>
      </c>
      <c r="K2680" t="b">
        <v>1</v>
      </c>
      <c r="M2680" t="n">
        <v>38</v>
      </c>
      <c r="N2680" t="n">
        <v>28</v>
      </c>
      <c r="O2680" t="n">
        <v>18</v>
      </c>
      <c r="P2680" t="n">
        <v>964</v>
      </c>
      <c r="Q2680" t="n">
        <v>1002</v>
      </c>
      <c r="R2680" t="n">
        <v>1.066</v>
      </c>
      <c r="S2680" t="n">
        <v>238.472</v>
      </c>
      <c r="T2680" t="n">
        <v>223.712</v>
      </c>
      <c r="U2680" t="n">
        <v>0.778</v>
      </c>
      <c r="V2680" t="b">
        <v>1</v>
      </c>
      <c r="X2680" t="b">
        <v>1</v>
      </c>
      <c r="Z2680" t="n">
        <v>935</v>
      </c>
      <c r="AA2680" t="n">
        <v>2.5</v>
      </c>
      <c r="AB2680" t="n">
        <v>9.5</v>
      </c>
    </row>
    <row r="2681">
      <c r="A2681" t="inlineStr">
        <is>
          <t>2026-09-24 20:20:44</t>
        </is>
      </c>
      <c r="B2681" t="inlineStr">
        <is>
          <t>MLLB_000_y1.0.3</t>
        </is>
      </c>
      <c r="C2681" t="inlineStr">
        <is>
          <t>WHITE</t>
        </is>
      </c>
      <c r="D2681" t="inlineStr">
        <is>
          <t>v4_white_MLLB_000_y103_0924</t>
        </is>
      </c>
      <c r="E2681" t="n">
        <v>2.6</v>
      </c>
      <c r="F2681" t="n">
        <v>2.608</v>
      </c>
      <c r="G2681" t="n">
        <v>100</v>
      </c>
      <c r="H2681" t="n">
        <v>80</v>
      </c>
      <c r="I2681" t="n">
        <v>56</v>
      </c>
      <c r="J2681" t="inlineStr">
        <is>
          <t>kaba</t>
        </is>
      </c>
      <c r="K2681" t="b">
        <v>1</v>
      </c>
      <c r="M2681" t="n">
        <v>38</v>
      </c>
      <c r="N2681" t="n">
        <v>28</v>
      </c>
      <c r="O2681" t="n">
        <v>18</v>
      </c>
      <c r="P2681" t="n">
        <v>964</v>
      </c>
      <c r="Q2681" t="n">
        <v>1002</v>
      </c>
      <c r="R2681" t="n">
        <v>1.066</v>
      </c>
      <c r="S2681" t="n">
        <v>238.472</v>
      </c>
      <c r="T2681" t="n">
        <v>223.716</v>
      </c>
      <c r="U2681" t="n">
        <v>0.7778</v>
      </c>
      <c r="V2681" t="b">
        <v>1</v>
      </c>
      <c r="X2681" t="b">
        <v>1</v>
      </c>
      <c r="Z2681" t="n">
        <v>935</v>
      </c>
      <c r="AA2681" t="n">
        <v>2.5</v>
      </c>
      <c r="AB2681" t="n">
        <v>9.5</v>
      </c>
    </row>
    <row r="2682">
      <c r="A2682" t="inlineStr">
        <is>
          <t>2026-09-24 20:21:00</t>
        </is>
      </c>
      <c r="B2682" t="inlineStr">
        <is>
          <t>MLLB_000_y1.0.3</t>
        </is>
      </c>
      <c r="C2682" t="inlineStr">
        <is>
          <t>WHITE</t>
        </is>
      </c>
      <c r="D2682" t="inlineStr">
        <is>
          <t>v4_white_MLLB_000_y103_0924</t>
        </is>
      </c>
      <c r="E2682" t="n">
        <v>2.6</v>
      </c>
      <c r="F2682" t="n">
        <v>2.608</v>
      </c>
      <c r="G2682" t="n">
        <v>100</v>
      </c>
      <c r="H2682" t="n">
        <v>80</v>
      </c>
      <c r="I2682" t="n">
        <v>58</v>
      </c>
      <c r="J2682" t="inlineStr">
        <is>
          <t>kaba</t>
        </is>
      </c>
      <c r="K2682" t="b">
        <v>1</v>
      </c>
      <c r="M2682" t="n">
        <v>38</v>
      </c>
      <c r="N2682" t="n">
        <v>28</v>
      </c>
      <c r="O2682" t="n">
        <v>18</v>
      </c>
      <c r="P2682" t="n">
        <v>964</v>
      </c>
      <c r="Q2682" t="n">
        <v>1002</v>
      </c>
      <c r="R2682" t="n">
        <v>1.066</v>
      </c>
      <c r="S2682" t="n">
        <v>238.472</v>
      </c>
      <c r="T2682" t="n">
        <v>223.696</v>
      </c>
      <c r="U2682" t="n">
        <v>0.7779</v>
      </c>
      <c r="V2682" t="b">
        <v>1</v>
      </c>
      <c r="X2682" t="b">
        <v>1</v>
      </c>
      <c r="Z2682" t="n">
        <v>935</v>
      </c>
      <c r="AA2682" t="n">
        <v>2.5</v>
      </c>
      <c r="AB2682" t="n">
        <v>9.5</v>
      </c>
    </row>
    <row r="2683">
      <c r="A2683" t="inlineStr">
        <is>
          <t>2026-09-24 20:21:01</t>
        </is>
      </c>
      <c r="B2683" t="inlineStr">
        <is>
          <t>MLLB_000_y1.0.3</t>
        </is>
      </c>
      <c r="C2683" t="inlineStr">
        <is>
          <t>WHITE</t>
        </is>
      </c>
      <c r="D2683" t="inlineStr">
        <is>
          <t>v4_white_MLLB_000_y103_0924</t>
        </is>
      </c>
      <c r="E2683" t="n">
        <v>2.6</v>
      </c>
      <c r="F2683" t="n">
        <v>2.608</v>
      </c>
      <c r="G2683" t="n">
        <v>100</v>
      </c>
      <c r="H2683" t="n">
        <v>80</v>
      </c>
      <c r="I2683" t="n">
        <v>13</v>
      </c>
      <c r="J2683" t="inlineStr">
        <is>
          <t>ince</t>
        </is>
      </c>
      <c r="K2683" t="b">
        <v>0</v>
      </c>
      <c r="L2683" t="inlineStr">
        <is>
          <t>iki-OK-arasi-monotonluk</t>
        </is>
      </c>
      <c r="X2683" t="b">
        <v>1</v>
      </c>
      <c r="Z2683" t="n">
        <v>935</v>
      </c>
      <c r="AA2683" t="n">
        <v>2.5</v>
      </c>
      <c r="AB2683" t="n">
        <v>9.5</v>
      </c>
    </row>
    <row r="2684">
      <c r="A2684" t="inlineStr">
        <is>
          <t>2026-09-24 20:21:01</t>
        </is>
      </c>
      <c r="B2684" t="inlineStr">
        <is>
          <t>MLLB_000_y1.0.3</t>
        </is>
      </c>
      <c r="C2684" t="inlineStr">
        <is>
          <t>WHITE</t>
        </is>
      </c>
      <c r="D2684" t="inlineStr">
        <is>
          <t>v4_white_MLLB_000_y103_0924</t>
        </is>
      </c>
      <c r="E2684" t="n">
        <v>2.6</v>
      </c>
      <c r="F2684" t="n">
        <v>2.608</v>
      </c>
      <c r="G2684" t="n">
        <v>100</v>
      </c>
      <c r="H2684" t="n">
        <v>80</v>
      </c>
      <c r="I2684" t="n">
        <v>14</v>
      </c>
      <c r="J2684" t="inlineStr">
        <is>
          <t>ince</t>
        </is>
      </c>
      <c r="K2684" t="b">
        <v>0</v>
      </c>
      <c r="L2684" t="inlineStr">
        <is>
          <t>iki-OK-arasi-monotonluk</t>
        </is>
      </c>
      <c r="X2684" t="b">
        <v>1</v>
      </c>
      <c r="Z2684" t="n">
        <v>935</v>
      </c>
      <c r="AA2684" t="n">
        <v>2.5</v>
      </c>
      <c r="AB2684" t="n">
        <v>9.5</v>
      </c>
    </row>
    <row r="2685">
      <c r="A2685" t="inlineStr">
        <is>
          <t>2026-09-24 20:21:01</t>
        </is>
      </c>
      <c r="B2685" t="inlineStr">
        <is>
          <t>MLLB_000_y1.0.3</t>
        </is>
      </c>
      <c r="C2685" t="inlineStr">
        <is>
          <t>WHITE</t>
        </is>
      </c>
      <c r="D2685" t="inlineStr">
        <is>
          <t>v4_white_MLLB_000_y103_0924</t>
        </is>
      </c>
      <c r="E2685" t="n">
        <v>2.6</v>
      </c>
      <c r="F2685" t="n">
        <v>2.608</v>
      </c>
      <c r="G2685" t="n">
        <v>100</v>
      </c>
      <c r="H2685" t="n">
        <v>80</v>
      </c>
      <c r="I2685" t="n">
        <v>15</v>
      </c>
      <c r="J2685" t="inlineStr">
        <is>
          <t>ince</t>
        </is>
      </c>
      <c r="K2685" t="b">
        <v>0</v>
      </c>
      <c r="L2685" t="inlineStr">
        <is>
          <t>iki-OK-arasi-monotonluk</t>
        </is>
      </c>
      <c r="X2685" t="b">
        <v>1</v>
      </c>
      <c r="Z2685" t="n">
        <v>935</v>
      </c>
      <c r="AA2685" t="n">
        <v>2.5</v>
      </c>
      <c r="AB2685" t="n">
        <v>9.5</v>
      </c>
    </row>
    <row r="2686">
      <c r="A2686" t="inlineStr">
        <is>
          <t>2026-09-24 20:21:01</t>
        </is>
      </c>
      <c r="B2686" t="inlineStr">
        <is>
          <t>MLLB_000_y1.0.3</t>
        </is>
      </c>
      <c r="C2686" t="inlineStr">
        <is>
          <t>WHITE</t>
        </is>
      </c>
      <c r="D2686" t="inlineStr">
        <is>
          <t>v4_white_MLLB_000_y103_0924</t>
        </is>
      </c>
      <c r="E2686" t="n">
        <v>2.6</v>
      </c>
      <c r="F2686" t="n">
        <v>2.608</v>
      </c>
      <c r="G2686" t="n">
        <v>100</v>
      </c>
      <c r="H2686" t="n">
        <v>80</v>
      </c>
      <c r="I2686" t="n">
        <v>17</v>
      </c>
      <c r="J2686" t="inlineStr">
        <is>
          <t>ince</t>
        </is>
      </c>
      <c r="K2686" t="b">
        <v>0</v>
      </c>
      <c r="L2686" t="inlineStr">
        <is>
          <t>iki-OK-arasi-monotonluk</t>
        </is>
      </c>
      <c r="X2686" t="b">
        <v>1</v>
      </c>
      <c r="Z2686" t="n">
        <v>935</v>
      </c>
      <c r="AA2686" t="n">
        <v>2.5</v>
      </c>
      <c r="AB2686" t="n">
        <v>9.5</v>
      </c>
    </row>
    <row r="2687">
      <c r="A2687" t="inlineStr">
        <is>
          <t>2026-09-24 20:21:01</t>
        </is>
      </c>
      <c r="B2687" t="inlineStr">
        <is>
          <t>MLLB_000_y1.0.3</t>
        </is>
      </c>
      <c r="C2687" t="inlineStr">
        <is>
          <t>WHITE</t>
        </is>
      </c>
      <c r="D2687" t="inlineStr">
        <is>
          <t>v4_white_MLLB_000_y103_0924</t>
        </is>
      </c>
      <c r="E2687" t="n">
        <v>2.6</v>
      </c>
      <c r="F2687" t="n">
        <v>2.608</v>
      </c>
      <c r="G2687" t="n">
        <v>100</v>
      </c>
      <c r="H2687" t="n">
        <v>80</v>
      </c>
      <c r="I2687" t="n">
        <v>18</v>
      </c>
      <c r="J2687" t="inlineStr">
        <is>
          <t>ince</t>
        </is>
      </c>
      <c r="K2687" t="b">
        <v>0</v>
      </c>
      <c r="L2687" t="inlineStr">
        <is>
          <t>iki-OK-arasi-monotonluk</t>
        </is>
      </c>
      <c r="X2687" t="b">
        <v>1</v>
      </c>
      <c r="Z2687" t="n">
        <v>935</v>
      </c>
      <c r="AA2687" t="n">
        <v>2.5</v>
      </c>
      <c r="AB2687" t="n">
        <v>9.5</v>
      </c>
    </row>
    <row r="2688">
      <c r="A2688" t="inlineStr">
        <is>
          <t>2026-09-24 20:21:01</t>
        </is>
      </c>
      <c r="B2688" t="inlineStr">
        <is>
          <t>MLLB_000_y1.0.3</t>
        </is>
      </c>
      <c r="C2688" t="inlineStr">
        <is>
          <t>WHITE</t>
        </is>
      </c>
      <c r="D2688" t="inlineStr">
        <is>
          <t>v4_white_MLLB_000_y103_0924</t>
        </is>
      </c>
      <c r="E2688" t="n">
        <v>2.6</v>
      </c>
      <c r="F2688" t="n">
        <v>2.608</v>
      </c>
      <c r="G2688" t="n">
        <v>100</v>
      </c>
      <c r="H2688" t="n">
        <v>80</v>
      </c>
      <c r="I2688" t="n">
        <v>19</v>
      </c>
      <c r="J2688" t="inlineStr">
        <is>
          <t>ince</t>
        </is>
      </c>
      <c r="K2688" t="b">
        <v>0</v>
      </c>
      <c r="L2688" t="inlineStr">
        <is>
          <t>iki-OK-arasi-monotonluk</t>
        </is>
      </c>
      <c r="X2688" t="b">
        <v>1</v>
      </c>
      <c r="Z2688" t="n">
        <v>935</v>
      </c>
      <c r="AA2688" t="n">
        <v>2.5</v>
      </c>
      <c r="AB2688" t="n">
        <v>9.5</v>
      </c>
    </row>
    <row r="2689">
      <c r="A2689" t="inlineStr">
        <is>
          <t>2026-09-24 20:21:01</t>
        </is>
      </c>
      <c r="B2689" t="inlineStr">
        <is>
          <t>MLLB_000_y1.0.3</t>
        </is>
      </c>
      <c r="C2689" t="inlineStr">
        <is>
          <t>WHITE</t>
        </is>
      </c>
      <c r="D2689" t="inlineStr">
        <is>
          <t>v4_white_MLLB_000_y103_0924</t>
        </is>
      </c>
      <c r="E2689" t="n">
        <v>2.6</v>
      </c>
      <c r="F2689" t="n">
        <v>2.608</v>
      </c>
      <c r="G2689" t="n">
        <v>100</v>
      </c>
      <c r="H2689" t="n">
        <v>80</v>
      </c>
      <c r="I2689" t="n">
        <v>21</v>
      </c>
      <c r="J2689" t="inlineStr">
        <is>
          <t>ince</t>
        </is>
      </c>
      <c r="K2689" t="b">
        <v>0</v>
      </c>
      <c r="L2689" t="inlineStr">
        <is>
          <t>iki-OK-arasi-monotonluk</t>
        </is>
      </c>
      <c r="X2689" t="b">
        <v>1</v>
      </c>
      <c r="Z2689" t="n">
        <v>935</v>
      </c>
      <c r="AA2689" t="n">
        <v>2.5</v>
      </c>
      <c r="AB2689" t="n">
        <v>9.5</v>
      </c>
    </row>
    <row r="2690">
      <c r="A2690" t="inlineStr">
        <is>
          <t>2026-09-24 20:21:01</t>
        </is>
      </c>
      <c r="B2690" t="inlineStr">
        <is>
          <t>MLLB_000_y1.0.3</t>
        </is>
      </c>
      <c r="C2690" t="inlineStr">
        <is>
          <t>WHITE</t>
        </is>
      </c>
      <c r="D2690" t="inlineStr">
        <is>
          <t>v4_white_MLLB_000_y103_0924</t>
        </is>
      </c>
      <c r="E2690" t="n">
        <v>2.6</v>
      </c>
      <c r="F2690" t="n">
        <v>2.608</v>
      </c>
      <c r="G2690" t="n">
        <v>100</v>
      </c>
      <c r="H2690" t="n">
        <v>80</v>
      </c>
      <c r="I2690" t="n">
        <v>22</v>
      </c>
      <c r="J2690" t="inlineStr">
        <is>
          <t>ince</t>
        </is>
      </c>
      <c r="K2690" t="b">
        <v>0</v>
      </c>
      <c r="L2690" t="inlineStr">
        <is>
          <t>iki-OK-arasi-monotonluk</t>
        </is>
      </c>
      <c r="X2690" t="b">
        <v>1</v>
      </c>
      <c r="Z2690" t="n">
        <v>935</v>
      </c>
      <c r="AA2690" t="n">
        <v>2.5</v>
      </c>
      <c r="AB2690" t="n">
        <v>9.5</v>
      </c>
    </row>
    <row r="2691">
      <c r="A2691" t="inlineStr">
        <is>
          <t>2026-09-24 20:21:01</t>
        </is>
      </c>
      <c r="B2691" t="inlineStr">
        <is>
          <t>MLLB_000_y1.0.3</t>
        </is>
      </c>
      <c r="C2691" t="inlineStr">
        <is>
          <t>WHITE</t>
        </is>
      </c>
      <c r="D2691" t="inlineStr">
        <is>
          <t>v4_white_MLLB_000_y103_0924</t>
        </is>
      </c>
      <c r="E2691" t="n">
        <v>2.6</v>
      </c>
      <c r="F2691" t="n">
        <v>2.608</v>
      </c>
      <c r="G2691" t="n">
        <v>100</v>
      </c>
      <c r="H2691" t="n">
        <v>80</v>
      </c>
      <c r="I2691" t="n">
        <v>23</v>
      </c>
      <c r="J2691" t="inlineStr">
        <is>
          <t>ince</t>
        </is>
      </c>
      <c r="K2691" t="b">
        <v>0</v>
      </c>
      <c r="L2691" t="inlineStr">
        <is>
          <t>iki-OK-arasi-monotonluk</t>
        </is>
      </c>
      <c r="X2691" t="b">
        <v>1</v>
      </c>
      <c r="Z2691" t="n">
        <v>935</v>
      </c>
      <c r="AA2691" t="n">
        <v>2.5</v>
      </c>
      <c r="AB2691" t="n">
        <v>9.5</v>
      </c>
    </row>
    <row r="2692">
      <c r="A2692" t="inlineStr">
        <is>
          <t>2026-09-24 20:21:01</t>
        </is>
      </c>
      <c r="B2692" t="inlineStr">
        <is>
          <t>MLLB_000_y1.0.3</t>
        </is>
      </c>
      <c r="C2692" t="inlineStr">
        <is>
          <t>WHITE</t>
        </is>
      </c>
      <c r="D2692" t="inlineStr">
        <is>
          <t>v4_white_MLLB_000_y103_0924</t>
        </is>
      </c>
      <c r="E2692" t="n">
        <v>2.6</v>
      </c>
      <c r="F2692" t="n">
        <v>2.608</v>
      </c>
      <c r="G2692" t="n">
        <v>100</v>
      </c>
      <c r="H2692" t="n">
        <v>80</v>
      </c>
      <c r="I2692" t="n">
        <v>25</v>
      </c>
      <c r="J2692" t="inlineStr">
        <is>
          <t>ince</t>
        </is>
      </c>
      <c r="K2692" t="b">
        <v>0</v>
      </c>
      <c r="L2692" t="inlineStr">
        <is>
          <t>iki-OK-arasi-monotonluk</t>
        </is>
      </c>
      <c r="X2692" t="b">
        <v>1</v>
      </c>
      <c r="Z2692" t="n">
        <v>935</v>
      </c>
      <c r="AA2692" t="n">
        <v>2.5</v>
      </c>
      <c r="AB2692" t="n">
        <v>9.5</v>
      </c>
    </row>
    <row r="2693">
      <c r="A2693" t="inlineStr">
        <is>
          <t>2026-09-24 20:21:01</t>
        </is>
      </c>
      <c r="B2693" t="inlineStr">
        <is>
          <t>MLLB_000_y1.0.3</t>
        </is>
      </c>
      <c r="C2693" t="inlineStr">
        <is>
          <t>WHITE</t>
        </is>
      </c>
      <c r="D2693" t="inlineStr">
        <is>
          <t>v4_white_MLLB_000_y103_0924</t>
        </is>
      </c>
      <c r="E2693" t="n">
        <v>2.6</v>
      </c>
      <c r="F2693" t="n">
        <v>2.608</v>
      </c>
      <c r="G2693" t="n">
        <v>100</v>
      </c>
      <c r="H2693" t="n">
        <v>80</v>
      </c>
      <c r="I2693" t="n">
        <v>26</v>
      </c>
      <c r="J2693" t="inlineStr">
        <is>
          <t>ince</t>
        </is>
      </c>
      <c r="K2693" t="b">
        <v>0</v>
      </c>
      <c r="L2693" t="inlineStr">
        <is>
          <t>iki-OK-arasi-monotonluk</t>
        </is>
      </c>
      <c r="X2693" t="b">
        <v>1</v>
      </c>
      <c r="Z2693" t="n">
        <v>935</v>
      </c>
      <c r="AA2693" t="n">
        <v>2.5</v>
      </c>
      <c r="AB2693" t="n">
        <v>9.5</v>
      </c>
    </row>
    <row r="2694">
      <c r="A2694" t="inlineStr">
        <is>
          <t>2026-09-24 20:21:01</t>
        </is>
      </c>
      <c r="B2694" t="inlineStr">
        <is>
          <t>MLLB_000_y1.0.3</t>
        </is>
      </c>
      <c r="C2694" t="inlineStr">
        <is>
          <t>WHITE</t>
        </is>
      </c>
      <c r="D2694" t="inlineStr">
        <is>
          <t>v4_white_MLLB_000_y103_0924</t>
        </is>
      </c>
      <c r="E2694" t="n">
        <v>2.6</v>
      </c>
      <c r="F2694" t="n">
        <v>2.608</v>
      </c>
      <c r="G2694" t="n">
        <v>100</v>
      </c>
      <c r="H2694" t="n">
        <v>80</v>
      </c>
      <c r="I2694" t="n">
        <v>27</v>
      </c>
      <c r="J2694" t="inlineStr">
        <is>
          <t>ince</t>
        </is>
      </c>
      <c r="K2694" t="b">
        <v>0</v>
      </c>
      <c r="L2694" t="inlineStr">
        <is>
          <t>iki-OK-arasi-monotonluk</t>
        </is>
      </c>
      <c r="X2694" t="b">
        <v>1</v>
      </c>
      <c r="Z2694" t="n">
        <v>935</v>
      </c>
      <c r="AA2694" t="n">
        <v>2.5</v>
      </c>
      <c r="AB2694" t="n">
        <v>9.5</v>
      </c>
    </row>
    <row r="2695">
      <c r="A2695" t="inlineStr">
        <is>
          <t>2026-09-24 20:21:01</t>
        </is>
      </c>
      <c r="B2695" t="inlineStr">
        <is>
          <t>MLLB_000_y1.0.3</t>
        </is>
      </c>
      <c r="C2695" t="inlineStr">
        <is>
          <t>WHITE</t>
        </is>
      </c>
      <c r="D2695" t="inlineStr">
        <is>
          <t>v4_white_MLLB_000_y103_0924</t>
        </is>
      </c>
      <c r="E2695" t="n">
        <v>2.6</v>
      </c>
      <c r="F2695" t="n">
        <v>2.608</v>
      </c>
      <c r="G2695" t="n">
        <v>100</v>
      </c>
      <c r="H2695" t="n">
        <v>80</v>
      </c>
      <c r="I2695" t="n">
        <v>29</v>
      </c>
      <c r="J2695" t="inlineStr">
        <is>
          <t>ince</t>
        </is>
      </c>
      <c r="K2695" t="b">
        <v>0</v>
      </c>
      <c r="L2695" t="inlineStr">
        <is>
          <t>iki-OK-arasi-monotonluk</t>
        </is>
      </c>
      <c r="X2695" t="b">
        <v>1</v>
      </c>
      <c r="Z2695" t="n">
        <v>935</v>
      </c>
      <c r="AA2695" t="n">
        <v>2.5</v>
      </c>
      <c r="AB2695" t="n">
        <v>9.5</v>
      </c>
    </row>
    <row r="2696">
      <c r="A2696" t="inlineStr">
        <is>
          <t>2026-09-24 20:21:01</t>
        </is>
      </c>
      <c r="B2696" t="inlineStr">
        <is>
          <t>MLLB_000_y1.0.3</t>
        </is>
      </c>
      <c r="C2696" t="inlineStr">
        <is>
          <t>WHITE</t>
        </is>
      </c>
      <c r="D2696" t="inlineStr">
        <is>
          <t>v4_white_MLLB_000_y103_0924</t>
        </is>
      </c>
      <c r="E2696" t="n">
        <v>2.6</v>
      </c>
      <c r="F2696" t="n">
        <v>2.608</v>
      </c>
      <c r="G2696" t="n">
        <v>100</v>
      </c>
      <c r="H2696" t="n">
        <v>80</v>
      </c>
      <c r="I2696" t="n">
        <v>30</v>
      </c>
      <c r="J2696" t="inlineStr">
        <is>
          <t>ince</t>
        </is>
      </c>
      <c r="K2696" t="b">
        <v>0</v>
      </c>
      <c r="L2696" t="inlineStr">
        <is>
          <t>iki-OK-arasi-monotonluk</t>
        </is>
      </c>
      <c r="X2696" t="b">
        <v>1</v>
      </c>
      <c r="Z2696" t="n">
        <v>935</v>
      </c>
      <c r="AA2696" t="n">
        <v>2.5</v>
      </c>
      <c r="AB2696" t="n">
        <v>9.5</v>
      </c>
    </row>
    <row r="2697">
      <c r="A2697" t="inlineStr">
        <is>
          <t>2026-09-24 20:21:01</t>
        </is>
      </c>
      <c r="B2697" t="inlineStr">
        <is>
          <t>MLLB_000_y1.0.3</t>
        </is>
      </c>
      <c r="C2697" t="inlineStr">
        <is>
          <t>WHITE</t>
        </is>
      </c>
      <c r="D2697" t="inlineStr">
        <is>
          <t>v4_white_MLLB_000_y103_0924</t>
        </is>
      </c>
      <c r="E2697" t="n">
        <v>2.6</v>
      </c>
      <c r="F2697" t="n">
        <v>2.608</v>
      </c>
      <c r="G2697" t="n">
        <v>100</v>
      </c>
      <c r="H2697" t="n">
        <v>80</v>
      </c>
      <c r="I2697" t="n">
        <v>31</v>
      </c>
      <c r="J2697" t="inlineStr">
        <is>
          <t>ince</t>
        </is>
      </c>
      <c r="K2697" t="b">
        <v>0</v>
      </c>
      <c r="L2697" t="inlineStr">
        <is>
          <t>iki-OK-arasi-monotonluk</t>
        </is>
      </c>
      <c r="X2697" t="b">
        <v>1</v>
      </c>
      <c r="Z2697" t="n">
        <v>935</v>
      </c>
      <c r="AA2697" t="n">
        <v>2.5</v>
      </c>
      <c r="AB2697" t="n">
        <v>9.5</v>
      </c>
    </row>
    <row r="2698">
      <c r="A2698" t="inlineStr">
        <is>
          <t>2026-09-24 20:21:01</t>
        </is>
      </c>
      <c r="B2698" t="inlineStr">
        <is>
          <t>MLLB_000_y1.0.3</t>
        </is>
      </c>
      <c r="C2698" t="inlineStr">
        <is>
          <t>WHITE</t>
        </is>
      </c>
      <c r="D2698" t="inlineStr">
        <is>
          <t>v4_white_MLLB_000_y103_0924</t>
        </is>
      </c>
      <c r="E2698" t="n">
        <v>2.6</v>
      </c>
      <c r="F2698" t="n">
        <v>2.608</v>
      </c>
      <c r="G2698" t="n">
        <v>100</v>
      </c>
      <c r="H2698" t="n">
        <v>80</v>
      </c>
      <c r="I2698" t="n">
        <v>33</v>
      </c>
      <c r="J2698" t="inlineStr">
        <is>
          <t>ince</t>
        </is>
      </c>
      <c r="K2698" t="b">
        <v>0</v>
      </c>
      <c r="L2698" t="inlineStr">
        <is>
          <t>iki-OK-arasi-monotonluk</t>
        </is>
      </c>
      <c r="X2698" t="b">
        <v>1</v>
      </c>
      <c r="Z2698" t="n">
        <v>935</v>
      </c>
      <c r="AA2698" t="n">
        <v>2.5</v>
      </c>
      <c r="AB2698" t="n">
        <v>9.5</v>
      </c>
    </row>
    <row r="2699">
      <c r="A2699" t="inlineStr">
        <is>
          <t>2026-09-24 20:21:01</t>
        </is>
      </c>
      <c r="B2699" t="inlineStr">
        <is>
          <t>MLLB_000_y1.0.3</t>
        </is>
      </c>
      <c r="C2699" t="inlineStr">
        <is>
          <t>WHITE</t>
        </is>
      </c>
      <c r="D2699" t="inlineStr">
        <is>
          <t>v4_white_MLLB_000_y103_0924</t>
        </is>
      </c>
      <c r="E2699" t="n">
        <v>2.6</v>
      </c>
      <c r="F2699" t="n">
        <v>2.608</v>
      </c>
      <c r="G2699" t="n">
        <v>100</v>
      </c>
      <c r="H2699" t="n">
        <v>80</v>
      </c>
      <c r="I2699" t="n">
        <v>34</v>
      </c>
      <c r="J2699" t="inlineStr">
        <is>
          <t>ince</t>
        </is>
      </c>
      <c r="K2699" t="b">
        <v>0</v>
      </c>
      <c r="L2699" t="inlineStr">
        <is>
          <t>iki-OK-arasi-monotonluk</t>
        </is>
      </c>
      <c r="X2699" t="b">
        <v>1</v>
      </c>
      <c r="Z2699" t="n">
        <v>935</v>
      </c>
      <c r="AA2699" t="n">
        <v>2.5</v>
      </c>
      <c r="AB2699" t="n">
        <v>9.5</v>
      </c>
    </row>
    <row r="2700">
      <c r="A2700" t="inlineStr">
        <is>
          <t>2026-09-24 20:21:01</t>
        </is>
      </c>
      <c r="B2700" t="inlineStr">
        <is>
          <t>MLLB_000_y1.0.3</t>
        </is>
      </c>
      <c r="C2700" t="inlineStr">
        <is>
          <t>WHITE</t>
        </is>
      </c>
      <c r="D2700" t="inlineStr">
        <is>
          <t>v4_white_MLLB_000_y103_0924</t>
        </is>
      </c>
      <c r="E2700" t="n">
        <v>2.6</v>
      </c>
      <c r="F2700" t="n">
        <v>2.608</v>
      </c>
      <c r="G2700" t="n">
        <v>100</v>
      </c>
      <c r="H2700" t="n">
        <v>80</v>
      </c>
      <c r="I2700" t="n">
        <v>35</v>
      </c>
      <c r="J2700" t="inlineStr">
        <is>
          <t>ince</t>
        </is>
      </c>
      <c r="K2700" t="b">
        <v>0</v>
      </c>
      <c r="L2700" t="inlineStr">
        <is>
          <t>iki-OK-arasi-monotonluk</t>
        </is>
      </c>
      <c r="X2700" t="b">
        <v>1</v>
      </c>
      <c r="Z2700" t="n">
        <v>935</v>
      </c>
      <c r="AA2700" t="n">
        <v>2.5</v>
      </c>
      <c r="AB2700" t="n">
        <v>9.5</v>
      </c>
    </row>
    <row r="2701">
      <c r="A2701" t="inlineStr">
        <is>
          <t>2026-09-24 20:21:01</t>
        </is>
      </c>
      <c r="B2701" t="inlineStr">
        <is>
          <t>MLLB_000_y1.0.3</t>
        </is>
      </c>
      <c r="C2701" t="inlineStr">
        <is>
          <t>WHITE</t>
        </is>
      </c>
      <c r="D2701" t="inlineStr">
        <is>
          <t>v4_white_MLLB_000_y103_0924</t>
        </is>
      </c>
      <c r="E2701" t="n">
        <v>2.6</v>
      </c>
      <c r="F2701" t="n">
        <v>2.608</v>
      </c>
      <c r="G2701" t="n">
        <v>100</v>
      </c>
      <c r="H2701" t="n">
        <v>80</v>
      </c>
      <c r="I2701" t="n">
        <v>37</v>
      </c>
      <c r="J2701" t="inlineStr">
        <is>
          <t>ince</t>
        </is>
      </c>
      <c r="K2701" t="b">
        <v>0</v>
      </c>
      <c r="L2701" t="inlineStr">
        <is>
          <t>iki-OK-arasi-monotonluk</t>
        </is>
      </c>
      <c r="X2701" t="b">
        <v>1</v>
      </c>
      <c r="Z2701" t="n">
        <v>935</v>
      </c>
      <c r="AA2701" t="n">
        <v>2.5</v>
      </c>
      <c r="AB2701" t="n">
        <v>9.5</v>
      </c>
    </row>
    <row r="2702">
      <c r="A2702" t="inlineStr">
        <is>
          <t>2026-09-24 20:21:01</t>
        </is>
      </c>
      <c r="B2702" t="inlineStr">
        <is>
          <t>MLLB_000_y1.0.3</t>
        </is>
      </c>
      <c r="C2702" t="inlineStr">
        <is>
          <t>WHITE</t>
        </is>
      </c>
      <c r="D2702" t="inlineStr">
        <is>
          <t>v4_white_MLLB_000_y103_0924</t>
        </is>
      </c>
      <c r="E2702" t="n">
        <v>2.6</v>
      </c>
      <c r="F2702" t="n">
        <v>2.608</v>
      </c>
      <c r="G2702" t="n">
        <v>100</v>
      </c>
      <c r="H2702" t="n">
        <v>80</v>
      </c>
      <c r="I2702" t="n">
        <v>38</v>
      </c>
      <c r="J2702" t="inlineStr">
        <is>
          <t>ince</t>
        </is>
      </c>
      <c r="K2702" t="b">
        <v>0</v>
      </c>
      <c r="L2702" t="inlineStr">
        <is>
          <t>iki-OK-arasi-monotonluk</t>
        </is>
      </c>
      <c r="X2702" t="b">
        <v>1</v>
      </c>
      <c r="Z2702" t="n">
        <v>935</v>
      </c>
      <c r="AA2702" t="n">
        <v>2.5</v>
      </c>
      <c r="AB2702" t="n">
        <v>9.5</v>
      </c>
    </row>
    <row r="2703">
      <c r="A2703" t="inlineStr">
        <is>
          <t>2026-09-24 20:21:01</t>
        </is>
      </c>
      <c r="B2703" t="inlineStr">
        <is>
          <t>MLLB_000_y1.0.3</t>
        </is>
      </c>
      <c r="C2703" t="inlineStr">
        <is>
          <t>WHITE</t>
        </is>
      </c>
      <c r="D2703" t="inlineStr">
        <is>
          <t>v4_white_MLLB_000_y103_0924</t>
        </is>
      </c>
      <c r="E2703" t="n">
        <v>2.6</v>
      </c>
      <c r="F2703" t="n">
        <v>2.608</v>
      </c>
      <c r="G2703" t="n">
        <v>100</v>
      </c>
      <c r="H2703" t="n">
        <v>80</v>
      </c>
      <c r="I2703" t="n">
        <v>39</v>
      </c>
      <c r="J2703" t="inlineStr">
        <is>
          <t>ince</t>
        </is>
      </c>
      <c r="K2703" t="b">
        <v>0</v>
      </c>
      <c r="L2703" t="inlineStr">
        <is>
          <t>iki-OK-arasi-monotonluk</t>
        </is>
      </c>
      <c r="X2703" t="b">
        <v>1</v>
      </c>
      <c r="Z2703" t="n">
        <v>935</v>
      </c>
      <c r="AA2703" t="n">
        <v>2.5</v>
      </c>
      <c r="AB2703" t="n">
        <v>9.5</v>
      </c>
    </row>
    <row r="2704">
      <c r="A2704" t="inlineStr">
        <is>
          <t>2026-09-24 20:21:01</t>
        </is>
      </c>
      <c r="B2704" t="inlineStr">
        <is>
          <t>MLLB_000_y1.0.3</t>
        </is>
      </c>
      <c r="C2704" t="inlineStr">
        <is>
          <t>WHITE</t>
        </is>
      </c>
      <c r="D2704" t="inlineStr">
        <is>
          <t>v4_white_MLLB_000_y103_0924</t>
        </is>
      </c>
      <c r="E2704" t="n">
        <v>2.6</v>
      </c>
      <c r="F2704" t="n">
        <v>2.608</v>
      </c>
      <c r="G2704" t="n">
        <v>100</v>
      </c>
      <c r="H2704" t="n">
        <v>80</v>
      </c>
      <c r="I2704" t="n">
        <v>41</v>
      </c>
      <c r="J2704" t="inlineStr">
        <is>
          <t>ince</t>
        </is>
      </c>
      <c r="K2704" t="b">
        <v>0</v>
      </c>
      <c r="L2704" t="inlineStr">
        <is>
          <t>iki-OK-arasi-monotonluk</t>
        </is>
      </c>
      <c r="X2704" t="b">
        <v>1</v>
      </c>
      <c r="Z2704" t="n">
        <v>935</v>
      </c>
      <c r="AA2704" t="n">
        <v>2.5</v>
      </c>
      <c r="AB2704" t="n">
        <v>9.5</v>
      </c>
    </row>
    <row r="2705">
      <c r="A2705" t="inlineStr">
        <is>
          <t>2026-09-24 20:21:01</t>
        </is>
      </c>
      <c r="B2705" t="inlineStr">
        <is>
          <t>MLLB_000_y1.0.3</t>
        </is>
      </c>
      <c r="C2705" t="inlineStr">
        <is>
          <t>WHITE</t>
        </is>
      </c>
      <c r="D2705" t="inlineStr">
        <is>
          <t>v4_white_MLLB_000_y103_0924</t>
        </is>
      </c>
      <c r="E2705" t="n">
        <v>2.6</v>
      </c>
      <c r="F2705" t="n">
        <v>2.608</v>
      </c>
      <c r="G2705" t="n">
        <v>100</v>
      </c>
      <c r="H2705" t="n">
        <v>80</v>
      </c>
      <c r="I2705" t="n">
        <v>42</v>
      </c>
      <c r="J2705" t="inlineStr">
        <is>
          <t>ince</t>
        </is>
      </c>
      <c r="K2705" t="b">
        <v>0</v>
      </c>
      <c r="L2705" t="inlineStr">
        <is>
          <t>iki-OK-arasi-monotonluk</t>
        </is>
      </c>
      <c r="X2705" t="b">
        <v>1</v>
      </c>
      <c r="Z2705" t="n">
        <v>935</v>
      </c>
      <c r="AA2705" t="n">
        <v>2.5</v>
      </c>
      <c r="AB2705" t="n">
        <v>9.5</v>
      </c>
    </row>
    <row r="2706">
      <c r="A2706" t="inlineStr">
        <is>
          <t>2026-09-24 20:21:01</t>
        </is>
      </c>
      <c r="B2706" t="inlineStr">
        <is>
          <t>MLLB_000_y1.0.3</t>
        </is>
      </c>
      <c r="C2706" t="inlineStr">
        <is>
          <t>WHITE</t>
        </is>
      </c>
      <c r="D2706" t="inlineStr">
        <is>
          <t>v4_white_MLLB_000_y103_0924</t>
        </is>
      </c>
      <c r="E2706" t="n">
        <v>2.6</v>
      </c>
      <c r="F2706" t="n">
        <v>2.608</v>
      </c>
      <c r="G2706" t="n">
        <v>100</v>
      </c>
      <c r="H2706" t="n">
        <v>80</v>
      </c>
      <c r="I2706" t="n">
        <v>43</v>
      </c>
      <c r="J2706" t="inlineStr">
        <is>
          <t>ince</t>
        </is>
      </c>
      <c r="K2706" t="b">
        <v>0</v>
      </c>
      <c r="L2706" t="inlineStr">
        <is>
          <t>iki-OK-arasi-monotonluk</t>
        </is>
      </c>
      <c r="X2706" t="b">
        <v>1</v>
      </c>
      <c r="Z2706" t="n">
        <v>935</v>
      </c>
      <c r="AA2706" t="n">
        <v>2.5</v>
      </c>
      <c r="AB2706" t="n">
        <v>9.5</v>
      </c>
    </row>
    <row r="2707">
      <c r="A2707" t="inlineStr">
        <is>
          <t>2026-09-24 20:21:01</t>
        </is>
      </c>
      <c r="B2707" t="inlineStr">
        <is>
          <t>MLLB_000_y1.0.3</t>
        </is>
      </c>
      <c r="C2707" t="inlineStr">
        <is>
          <t>WHITE</t>
        </is>
      </c>
      <c r="D2707" t="inlineStr">
        <is>
          <t>v4_white_MLLB_000_y103_0924</t>
        </is>
      </c>
      <c r="E2707" t="n">
        <v>2.6</v>
      </c>
      <c r="F2707" t="n">
        <v>2.608</v>
      </c>
      <c r="G2707" t="n">
        <v>100</v>
      </c>
      <c r="H2707" t="n">
        <v>80</v>
      </c>
      <c r="I2707" t="n">
        <v>45</v>
      </c>
      <c r="J2707" t="inlineStr">
        <is>
          <t>ince</t>
        </is>
      </c>
      <c r="K2707" t="b">
        <v>0</v>
      </c>
      <c r="L2707" t="inlineStr">
        <is>
          <t>iki-OK-arasi-monotonluk</t>
        </is>
      </c>
      <c r="X2707" t="b">
        <v>1</v>
      </c>
      <c r="Z2707" t="n">
        <v>935</v>
      </c>
      <c r="AA2707" t="n">
        <v>2.5</v>
      </c>
      <c r="AB2707" t="n">
        <v>9.5</v>
      </c>
    </row>
    <row r="2708">
      <c r="A2708" t="inlineStr">
        <is>
          <t>2026-09-24 20:21:01</t>
        </is>
      </c>
      <c r="B2708" t="inlineStr">
        <is>
          <t>MLLB_000_y1.0.3</t>
        </is>
      </c>
      <c r="C2708" t="inlineStr">
        <is>
          <t>WHITE</t>
        </is>
      </c>
      <c r="D2708" t="inlineStr">
        <is>
          <t>v4_white_MLLB_000_y103_0924</t>
        </is>
      </c>
      <c r="E2708" t="n">
        <v>2.6</v>
      </c>
      <c r="F2708" t="n">
        <v>2.608</v>
      </c>
      <c r="G2708" t="n">
        <v>100</v>
      </c>
      <c r="H2708" t="n">
        <v>80</v>
      </c>
      <c r="I2708" t="n">
        <v>46</v>
      </c>
      <c r="J2708" t="inlineStr">
        <is>
          <t>ince</t>
        </is>
      </c>
      <c r="K2708" t="b">
        <v>0</v>
      </c>
      <c r="L2708" t="inlineStr">
        <is>
          <t>iki-OK-arasi-monotonluk</t>
        </is>
      </c>
      <c r="X2708" t="b">
        <v>1</v>
      </c>
      <c r="Z2708" t="n">
        <v>935</v>
      </c>
      <c r="AA2708" t="n">
        <v>2.5</v>
      </c>
      <c r="AB2708" t="n">
        <v>9.5</v>
      </c>
    </row>
    <row r="2709">
      <c r="A2709" t="inlineStr">
        <is>
          <t>2026-09-24 20:21:01</t>
        </is>
      </c>
      <c r="B2709" t="inlineStr">
        <is>
          <t>MLLB_000_y1.0.3</t>
        </is>
      </c>
      <c r="C2709" t="inlineStr">
        <is>
          <t>WHITE</t>
        </is>
      </c>
      <c r="D2709" t="inlineStr">
        <is>
          <t>v4_white_MLLB_000_y103_0924</t>
        </is>
      </c>
      <c r="E2709" t="n">
        <v>2.6</v>
      </c>
      <c r="F2709" t="n">
        <v>2.608</v>
      </c>
      <c r="G2709" t="n">
        <v>100</v>
      </c>
      <c r="H2709" t="n">
        <v>80</v>
      </c>
      <c r="I2709" t="n">
        <v>47</v>
      </c>
      <c r="J2709" t="inlineStr">
        <is>
          <t>ince</t>
        </is>
      </c>
      <c r="K2709" t="b">
        <v>0</v>
      </c>
      <c r="L2709" t="inlineStr">
        <is>
          <t>iki-OK-arasi-monotonluk</t>
        </is>
      </c>
      <c r="X2709" t="b">
        <v>1</v>
      </c>
      <c r="Z2709" t="n">
        <v>935</v>
      </c>
      <c r="AA2709" t="n">
        <v>2.5</v>
      </c>
      <c r="AB2709" t="n">
        <v>9.5</v>
      </c>
    </row>
    <row r="2710">
      <c r="A2710" t="inlineStr">
        <is>
          <t>2026-09-24 20:21:01</t>
        </is>
      </c>
      <c r="B2710" t="inlineStr">
        <is>
          <t>MLLB_000_y1.0.3</t>
        </is>
      </c>
      <c r="C2710" t="inlineStr">
        <is>
          <t>WHITE</t>
        </is>
      </c>
      <c r="D2710" t="inlineStr">
        <is>
          <t>v4_white_MLLB_000_y103_0924</t>
        </is>
      </c>
      <c r="E2710" t="n">
        <v>2.6</v>
      </c>
      <c r="F2710" t="n">
        <v>2.608</v>
      </c>
      <c r="G2710" t="n">
        <v>100</v>
      </c>
      <c r="H2710" t="n">
        <v>80</v>
      </c>
      <c r="I2710" t="n">
        <v>49</v>
      </c>
      <c r="J2710" t="inlineStr">
        <is>
          <t>ince</t>
        </is>
      </c>
      <c r="K2710" t="b">
        <v>0</v>
      </c>
      <c r="L2710" t="inlineStr">
        <is>
          <t>iki-OK-arasi-monotonluk</t>
        </is>
      </c>
      <c r="X2710" t="b">
        <v>1</v>
      </c>
      <c r="Z2710" t="n">
        <v>935</v>
      </c>
      <c r="AA2710" t="n">
        <v>2.5</v>
      </c>
      <c r="AB2710" t="n">
        <v>9.5</v>
      </c>
    </row>
    <row r="2711">
      <c r="A2711" t="inlineStr">
        <is>
          <t>2026-09-24 20:21:01</t>
        </is>
      </c>
      <c r="B2711" t="inlineStr">
        <is>
          <t>MLLB_000_y1.0.3</t>
        </is>
      </c>
      <c r="C2711" t="inlineStr">
        <is>
          <t>WHITE</t>
        </is>
      </c>
      <c r="D2711" t="inlineStr">
        <is>
          <t>v4_white_MLLB_000_y103_0924</t>
        </is>
      </c>
      <c r="E2711" t="n">
        <v>2.6</v>
      </c>
      <c r="F2711" t="n">
        <v>2.608</v>
      </c>
      <c r="G2711" t="n">
        <v>100</v>
      </c>
      <c r="H2711" t="n">
        <v>80</v>
      </c>
      <c r="I2711" t="n">
        <v>50</v>
      </c>
      <c r="J2711" t="inlineStr">
        <is>
          <t>ince</t>
        </is>
      </c>
      <c r="K2711" t="b">
        <v>0</v>
      </c>
      <c r="L2711" t="inlineStr">
        <is>
          <t>iki-OK-arasi-monotonluk</t>
        </is>
      </c>
      <c r="X2711" t="b">
        <v>1</v>
      </c>
      <c r="Z2711" t="n">
        <v>935</v>
      </c>
      <c r="AA2711" t="n">
        <v>2.5</v>
      </c>
      <c r="AB2711" t="n">
        <v>9.5</v>
      </c>
    </row>
    <row r="2712">
      <c r="A2712" t="inlineStr">
        <is>
          <t>2026-09-24 20:21:01</t>
        </is>
      </c>
      <c r="B2712" t="inlineStr">
        <is>
          <t>MLLB_000_y1.0.3</t>
        </is>
      </c>
      <c r="C2712" t="inlineStr">
        <is>
          <t>WHITE</t>
        </is>
      </c>
      <c r="D2712" t="inlineStr">
        <is>
          <t>v4_white_MLLB_000_y103_0924</t>
        </is>
      </c>
      <c r="E2712" t="n">
        <v>2.6</v>
      </c>
      <c r="F2712" t="n">
        <v>2.608</v>
      </c>
      <c r="G2712" t="n">
        <v>100</v>
      </c>
      <c r="H2712" t="n">
        <v>80</v>
      </c>
      <c r="I2712" t="n">
        <v>51</v>
      </c>
      <c r="J2712" t="inlineStr">
        <is>
          <t>ince</t>
        </is>
      </c>
      <c r="K2712" t="b">
        <v>0</v>
      </c>
      <c r="L2712" t="inlineStr">
        <is>
          <t>iki-OK-arasi-monotonluk</t>
        </is>
      </c>
      <c r="X2712" t="b">
        <v>1</v>
      </c>
      <c r="Z2712" t="n">
        <v>935</v>
      </c>
      <c r="AA2712" t="n">
        <v>2.5</v>
      </c>
      <c r="AB2712" t="n">
        <v>9.5</v>
      </c>
    </row>
    <row r="2713">
      <c r="A2713" t="inlineStr">
        <is>
          <t>2026-09-24 20:21:01</t>
        </is>
      </c>
      <c r="B2713" t="inlineStr">
        <is>
          <t>MLLB_000_y1.0.3</t>
        </is>
      </c>
      <c r="C2713" t="inlineStr">
        <is>
          <t>WHITE</t>
        </is>
      </c>
      <c r="D2713" t="inlineStr">
        <is>
          <t>v4_white_MLLB_000_y103_0924</t>
        </is>
      </c>
      <c r="E2713" t="n">
        <v>2.6</v>
      </c>
      <c r="F2713" t="n">
        <v>2.608</v>
      </c>
      <c r="G2713" t="n">
        <v>100</v>
      </c>
      <c r="H2713" t="n">
        <v>80</v>
      </c>
      <c r="I2713" t="n">
        <v>53</v>
      </c>
      <c r="J2713" t="inlineStr">
        <is>
          <t>ince</t>
        </is>
      </c>
      <c r="K2713" t="b">
        <v>0</v>
      </c>
      <c r="L2713" t="inlineStr">
        <is>
          <t>iki-OK-arasi-monotonluk</t>
        </is>
      </c>
      <c r="X2713" t="b">
        <v>1</v>
      </c>
      <c r="Z2713" t="n">
        <v>935</v>
      </c>
      <c r="AA2713" t="n">
        <v>2.5</v>
      </c>
      <c r="AB2713" t="n">
        <v>9.5</v>
      </c>
    </row>
    <row r="2714">
      <c r="A2714" t="inlineStr">
        <is>
          <t>2026-09-24 20:21:01</t>
        </is>
      </c>
      <c r="B2714" t="inlineStr">
        <is>
          <t>MLLB_000_y1.0.3</t>
        </is>
      </c>
      <c r="C2714" t="inlineStr">
        <is>
          <t>WHITE</t>
        </is>
      </c>
      <c r="D2714" t="inlineStr">
        <is>
          <t>v4_white_MLLB_000_y103_0924</t>
        </is>
      </c>
      <c r="E2714" t="n">
        <v>2.6</v>
      </c>
      <c r="F2714" t="n">
        <v>2.608</v>
      </c>
      <c r="G2714" t="n">
        <v>100</v>
      </c>
      <c r="H2714" t="n">
        <v>80</v>
      </c>
      <c r="I2714" t="n">
        <v>54</v>
      </c>
      <c r="J2714" t="inlineStr">
        <is>
          <t>ince</t>
        </is>
      </c>
      <c r="K2714" t="b">
        <v>0</v>
      </c>
      <c r="L2714" t="inlineStr">
        <is>
          <t>iki-OK-arasi-monotonluk</t>
        </is>
      </c>
      <c r="X2714" t="b">
        <v>1</v>
      </c>
      <c r="Z2714" t="n">
        <v>935</v>
      </c>
      <c r="AA2714" t="n">
        <v>2.5</v>
      </c>
      <c r="AB2714" t="n">
        <v>9.5</v>
      </c>
    </row>
    <row r="2715">
      <c r="A2715" t="inlineStr">
        <is>
          <t>2026-09-24 20:21:01</t>
        </is>
      </c>
      <c r="B2715" t="inlineStr">
        <is>
          <t>MLLB_000_y1.0.3</t>
        </is>
      </c>
      <c r="C2715" t="inlineStr">
        <is>
          <t>WHITE</t>
        </is>
      </c>
      <c r="D2715" t="inlineStr">
        <is>
          <t>v4_white_MLLB_000_y103_0924</t>
        </is>
      </c>
      <c r="E2715" t="n">
        <v>2.6</v>
      </c>
      <c r="F2715" t="n">
        <v>2.608</v>
      </c>
      <c r="G2715" t="n">
        <v>100</v>
      </c>
      <c r="H2715" t="n">
        <v>80</v>
      </c>
      <c r="I2715" t="n">
        <v>55</v>
      </c>
      <c r="J2715" t="inlineStr">
        <is>
          <t>ince</t>
        </is>
      </c>
      <c r="K2715" t="b">
        <v>0</v>
      </c>
      <c r="L2715" t="inlineStr">
        <is>
          <t>iki-OK-arasi-monotonluk</t>
        </is>
      </c>
      <c r="X2715" t="b">
        <v>1</v>
      </c>
      <c r="Z2715" t="n">
        <v>935</v>
      </c>
      <c r="AA2715" t="n">
        <v>2.5</v>
      </c>
      <c r="AB2715" t="n">
        <v>9.5</v>
      </c>
    </row>
    <row r="2716">
      <c r="A2716" t="inlineStr">
        <is>
          <t>2026-09-24 20:21:01</t>
        </is>
      </c>
      <c r="B2716" t="inlineStr">
        <is>
          <t>MLLB_000_y1.0.3</t>
        </is>
      </c>
      <c r="C2716" t="inlineStr">
        <is>
          <t>WHITE</t>
        </is>
      </c>
      <c r="D2716" t="inlineStr">
        <is>
          <t>v4_white_MLLB_000_y103_0924</t>
        </is>
      </c>
      <c r="E2716" t="n">
        <v>2.6</v>
      </c>
      <c r="F2716" t="n">
        <v>2.608</v>
      </c>
      <c r="G2716" t="n">
        <v>100</v>
      </c>
      <c r="H2716" t="n">
        <v>80</v>
      </c>
      <c r="I2716" t="n">
        <v>57</v>
      </c>
      <c r="J2716" t="inlineStr">
        <is>
          <t>ince</t>
        </is>
      </c>
      <c r="K2716" t="b">
        <v>0</v>
      </c>
      <c r="L2716" t="inlineStr">
        <is>
          <t>iki-OK-arasi-monotonluk</t>
        </is>
      </c>
      <c r="X2716" t="b">
        <v>1</v>
      </c>
      <c r="Z2716" t="n">
        <v>935</v>
      </c>
      <c r="AA2716" t="n">
        <v>2.5</v>
      </c>
      <c r="AB2716" t="n">
        <v>9.5</v>
      </c>
    </row>
    <row r="2717">
      <c r="A2717" t="inlineStr">
        <is>
          <t>2026-09-24 20:21:01</t>
        </is>
      </c>
      <c r="B2717" t="inlineStr">
        <is>
          <t>MLLB_000_y1.0.3</t>
        </is>
      </c>
      <c r="C2717" t="inlineStr">
        <is>
          <t>WHITE</t>
        </is>
      </c>
      <c r="D2717" t="inlineStr">
        <is>
          <t>v4_white_MLLB_000_y103_0924</t>
        </is>
      </c>
      <c r="E2717" t="n">
        <v>2.6</v>
      </c>
      <c r="F2717" t="n">
        <v>2.608</v>
      </c>
      <c r="G2717" t="n">
        <v>100</v>
      </c>
      <c r="H2717" t="n">
        <v>80</v>
      </c>
      <c r="J2717" t="inlineStr">
        <is>
          <t>bitti</t>
        </is>
      </c>
      <c r="K2717" t="b">
        <v>0</v>
      </c>
      <c r="Z2717" t="n">
        <v>935</v>
      </c>
      <c r="AA2717" t="n">
        <v>2.5</v>
      </c>
      <c r="AB2717" t="n">
        <v>9.5</v>
      </c>
    </row>
    <row r="2718">
      <c r="A2718" t="inlineStr">
        <is>
          <t>2026-09-24 20:21:13</t>
        </is>
      </c>
      <c r="B2718" t="inlineStr">
        <is>
          <t>MLLB_000_y1.0.3</t>
        </is>
      </c>
      <c r="C2718" t="inlineStr">
        <is>
          <t>WHITE</t>
        </is>
      </c>
      <c r="D2718" t="inlineStr">
        <is>
          <t>v4_white_MLLB_000_y103_0924</t>
        </is>
      </c>
      <c r="E2718" t="n">
        <v>2.6</v>
      </c>
      <c r="F2718" t="n">
        <v>2.608</v>
      </c>
      <c r="G2718" t="n">
        <v>100</v>
      </c>
      <c r="H2718" t="n">
        <v>60</v>
      </c>
      <c r="I2718" t="n">
        <v>12</v>
      </c>
      <c r="J2718" t="inlineStr">
        <is>
          <t>kaba</t>
        </is>
      </c>
      <c r="K2718" t="b">
        <v>1</v>
      </c>
      <c r="M2718" t="n">
        <v>38</v>
      </c>
      <c r="N2718" t="n">
        <v>28</v>
      </c>
      <c r="O2718" t="n">
        <v>18</v>
      </c>
      <c r="P2718" t="n">
        <v>964</v>
      </c>
      <c r="Q2718" t="n">
        <v>1002</v>
      </c>
      <c r="R2718" t="n">
        <v>1.066</v>
      </c>
      <c r="S2718" t="n">
        <v>238.472</v>
      </c>
      <c r="T2718" t="n">
        <v>223.624</v>
      </c>
      <c r="U2718" t="n">
        <v>0.7776999999999999</v>
      </c>
      <c r="V2718" t="b">
        <v>1</v>
      </c>
      <c r="X2718" t="b">
        <v>1</v>
      </c>
      <c r="Z2718" t="n">
        <v>935</v>
      </c>
      <c r="AA2718" t="n">
        <v>2.5</v>
      </c>
      <c r="AB2718" t="n">
        <v>9.5</v>
      </c>
    </row>
    <row r="2719">
      <c r="A2719" t="inlineStr">
        <is>
          <t>2026-09-24 20:21:28</t>
        </is>
      </c>
      <c r="B2719" t="inlineStr">
        <is>
          <t>MLLB_000_y1.0.3</t>
        </is>
      </c>
      <c r="C2719" t="inlineStr">
        <is>
          <t>WHITE</t>
        </is>
      </c>
      <c r="D2719" t="inlineStr">
        <is>
          <t>v4_white_MLLB_000_y103_0924</t>
        </is>
      </c>
      <c r="E2719" t="n">
        <v>2.6</v>
      </c>
      <c r="F2719" t="n">
        <v>2.608</v>
      </c>
      <c r="G2719" t="n">
        <v>100</v>
      </c>
      <c r="H2719" t="n">
        <v>60</v>
      </c>
      <c r="I2719" t="n">
        <v>16</v>
      </c>
      <c r="J2719" t="inlineStr">
        <is>
          <t>kaba</t>
        </is>
      </c>
      <c r="K2719" t="b">
        <v>1</v>
      </c>
      <c r="M2719" t="n">
        <v>38</v>
      </c>
      <c r="N2719" t="n">
        <v>28</v>
      </c>
      <c r="O2719" t="n">
        <v>18</v>
      </c>
      <c r="P2719" t="n">
        <v>964</v>
      </c>
      <c r="Q2719" t="n">
        <v>1002</v>
      </c>
      <c r="R2719" t="n">
        <v>1.066</v>
      </c>
      <c r="S2719" t="n">
        <v>238.472</v>
      </c>
      <c r="T2719" t="n">
        <v>223.611</v>
      </c>
      <c r="U2719" t="n">
        <v>0.7776</v>
      </c>
      <c r="V2719" t="b">
        <v>1</v>
      </c>
      <c r="X2719" t="b">
        <v>1</v>
      </c>
      <c r="Z2719" t="n">
        <v>935</v>
      </c>
      <c r="AA2719" t="n">
        <v>2.5</v>
      </c>
      <c r="AB2719" t="n">
        <v>9.5</v>
      </c>
    </row>
    <row r="2720">
      <c r="A2720" t="inlineStr">
        <is>
          <t>2026-09-24 20:21:44</t>
        </is>
      </c>
      <c r="B2720" t="inlineStr">
        <is>
          <t>MLLB_000_y1.0.3</t>
        </is>
      </c>
      <c r="C2720" t="inlineStr">
        <is>
          <t>WHITE</t>
        </is>
      </c>
      <c r="D2720" t="inlineStr">
        <is>
          <t>v4_white_MLLB_000_y103_0924</t>
        </is>
      </c>
      <c r="E2720" t="n">
        <v>2.6</v>
      </c>
      <c r="F2720" t="n">
        <v>2.608</v>
      </c>
      <c r="G2720" t="n">
        <v>100</v>
      </c>
      <c r="H2720" t="n">
        <v>60</v>
      </c>
      <c r="I2720" t="n">
        <v>20</v>
      </c>
      <c r="J2720" t="inlineStr">
        <is>
          <t>kaba</t>
        </is>
      </c>
      <c r="K2720" t="b">
        <v>1</v>
      </c>
      <c r="M2720" t="n">
        <v>38</v>
      </c>
      <c r="N2720" t="n">
        <v>28</v>
      </c>
      <c r="O2720" t="n">
        <v>18</v>
      </c>
      <c r="P2720" t="n">
        <v>964</v>
      </c>
      <c r="Q2720" t="n">
        <v>1002</v>
      </c>
      <c r="R2720" t="n">
        <v>1.07</v>
      </c>
      <c r="S2720" t="n">
        <v>239.242</v>
      </c>
      <c r="T2720" t="n">
        <v>223.609</v>
      </c>
      <c r="U2720" t="n">
        <v>0.7776999999999999</v>
      </c>
      <c r="V2720" t="b">
        <v>1</v>
      </c>
      <c r="X2720" t="b">
        <v>1</v>
      </c>
      <c r="Z2720" t="n">
        <v>935</v>
      </c>
      <c r="AA2720" t="n">
        <v>2.5</v>
      </c>
      <c r="AB2720" t="n">
        <v>9.5</v>
      </c>
    </row>
    <row r="2721">
      <c r="A2721" t="inlineStr">
        <is>
          <t>2026-09-24 20:22:00</t>
        </is>
      </c>
      <c r="B2721" t="inlineStr">
        <is>
          <t>MLLB_000_y1.0.3</t>
        </is>
      </c>
      <c r="C2721" t="inlineStr">
        <is>
          <t>WHITE</t>
        </is>
      </c>
      <c r="D2721" t="inlineStr">
        <is>
          <t>v4_white_MLLB_000_y103_0924</t>
        </is>
      </c>
      <c r="E2721" t="n">
        <v>2.6</v>
      </c>
      <c r="F2721" t="n">
        <v>2.608</v>
      </c>
      <c r="G2721" t="n">
        <v>100</v>
      </c>
      <c r="H2721" t="n">
        <v>60</v>
      </c>
      <c r="I2721" t="n">
        <v>24</v>
      </c>
      <c r="J2721" t="inlineStr">
        <is>
          <t>kaba</t>
        </is>
      </c>
      <c r="K2721" t="b">
        <v>1</v>
      </c>
      <c r="M2721" t="n">
        <v>38</v>
      </c>
      <c r="N2721" t="n">
        <v>28</v>
      </c>
      <c r="O2721" t="n">
        <v>18</v>
      </c>
      <c r="P2721" t="n">
        <v>964</v>
      </c>
      <c r="Q2721" t="n">
        <v>1002</v>
      </c>
      <c r="R2721" t="n">
        <v>1.063</v>
      </c>
      <c r="S2721" t="n">
        <v>237.702</v>
      </c>
      <c r="T2721" t="n">
        <v>223.531</v>
      </c>
      <c r="U2721" t="n">
        <v>0.7779</v>
      </c>
      <c r="V2721" t="b">
        <v>1</v>
      </c>
      <c r="X2721" t="b">
        <v>1</v>
      </c>
      <c r="Z2721" t="n">
        <v>935</v>
      </c>
      <c r="AA2721" t="n">
        <v>2.5</v>
      </c>
      <c r="AB2721" t="n">
        <v>9.5</v>
      </c>
    </row>
    <row r="2722">
      <c r="A2722" t="inlineStr">
        <is>
          <t>2026-09-24 20:22:16</t>
        </is>
      </c>
      <c r="B2722" t="inlineStr">
        <is>
          <t>MLLB_000_y1.0.3</t>
        </is>
      </c>
      <c r="C2722" t="inlineStr">
        <is>
          <t>WHITE</t>
        </is>
      </c>
      <c r="D2722" t="inlineStr">
        <is>
          <t>v4_white_MLLB_000_y103_0924</t>
        </is>
      </c>
      <c r="E2722" t="n">
        <v>2.6</v>
      </c>
      <c r="F2722" t="n">
        <v>2.608</v>
      </c>
      <c r="G2722" t="n">
        <v>100</v>
      </c>
      <c r="H2722" t="n">
        <v>60</v>
      </c>
      <c r="I2722" t="n">
        <v>28</v>
      </c>
      <c r="J2722" t="inlineStr">
        <is>
          <t>kaba</t>
        </is>
      </c>
      <c r="K2722" t="b">
        <v>1</v>
      </c>
      <c r="M2722" t="n">
        <v>38</v>
      </c>
      <c r="N2722" t="n">
        <v>28</v>
      </c>
      <c r="O2722" t="n">
        <v>18</v>
      </c>
      <c r="P2722" t="n">
        <v>964</v>
      </c>
      <c r="Q2722" t="n">
        <v>1002</v>
      </c>
      <c r="R2722" t="n">
        <v>1.063</v>
      </c>
      <c r="S2722" t="n">
        <v>237.719</v>
      </c>
      <c r="T2722" t="n">
        <v>223.652</v>
      </c>
      <c r="U2722" t="n">
        <v>0.7778</v>
      </c>
      <c r="V2722" t="b">
        <v>1</v>
      </c>
      <c r="X2722" t="b">
        <v>1</v>
      </c>
      <c r="Z2722" t="n">
        <v>935</v>
      </c>
      <c r="AA2722" t="n">
        <v>2.5</v>
      </c>
      <c r="AB2722" t="n">
        <v>9.5</v>
      </c>
    </row>
    <row r="2723">
      <c r="A2723" t="inlineStr">
        <is>
          <t>2026-09-24 20:22:32</t>
        </is>
      </c>
      <c r="B2723" t="inlineStr">
        <is>
          <t>MLLB_000_y1.0.3</t>
        </is>
      </c>
      <c r="C2723" t="inlineStr">
        <is>
          <t>WHITE</t>
        </is>
      </c>
      <c r="D2723" t="inlineStr">
        <is>
          <t>v4_white_MLLB_000_y103_0924</t>
        </is>
      </c>
      <c r="E2723" t="n">
        <v>2.6</v>
      </c>
      <c r="F2723" t="n">
        <v>2.608</v>
      </c>
      <c r="G2723" t="n">
        <v>100</v>
      </c>
      <c r="H2723" t="n">
        <v>60</v>
      </c>
      <c r="I2723" t="n">
        <v>32</v>
      </c>
      <c r="J2723" t="inlineStr">
        <is>
          <t>kaba</t>
        </is>
      </c>
      <c r="K2723" t="b">
        <v>1</v>
      </c>
      <c r="M2723" t="n">
        <v>38</v>
      </c>
      <c r="N2723" t="n">
        <v>28</v>
      </c>
      <c r="O2723" t="n">
        <v>18</v>
      </c>
      <c r="P2723" t="n">
        <v>964</v>
      </c>
      <c r="Q2723" t="n">
        <v>1002</v>
      </c>
      <c r="R2723" t="n">
        <v>1.062</v>
      </c>
      <c r="S2723" t="n">
        <v>237.724</v>
      </c>
      <c r="T2723" t="n">
        <v>223.829</v>
      </c>
      <c r="U2723" t="n">
        <v>0.7776</v>
      </c>
      <c r="V2723" t="b">
        <v>1</v>
      </c>
      <c r="X2723" t="b">
        <v>1</v>
      </c>
      <c r="Z2723" t="n">
        <v>935</v>
      </c>
      <c r="AA2723" t="n">
        <v>2.5</v>
      </c>
      <c r="AB2723" t="n">
        <v>9.5</v>
      </c>
    </row>
    <row r="2724">
      <c r="A2724" t="inlineStr">
        <is>
          <t>2026-09-24 20:22:48</t>
        </is>
      </c>
      <c r="B2724" t="inlineStr">
        <is>
          <t>MLLB_000_y1.0.3</t>
        </is>
      </c>
      <c r="C2724" t="inlineStr">
        <is>
          <t>WHITE</t>
        </is>
      </c>
      <c r="D2724" t="inlineStr">
        <is>
          <t>v4_white_MLLB_000_y103_0924</t>
        </is>
      </c>
      <c r="E2724" t="n">
        <v>2.6</v>
      </c>
      <c r="F2724" t="n">
        <v>2.608</v>
      </c>
      <c r="G2724" t="n">
        <v>100</v>
      </c>
      <c r="H2724" t="n">
        <v>60</v>
      </c>
      <c r="I2724" t="n">
        <v>36</v>
      </c>
      <c r="J2724" t="inlineStr">
        <is>
          <t>kaba</t>
        </is>
      </c>
      <c r="K2724" t="b">
        <v>1</v>
      </c>
      <c r="M2724" t="n">
        <v>38</v>
      </c>
      <c r="N2724" t="n">
        <v>28</v>
      </c>
      <c r="O2724" t="n">
        <v>18</v>
      </c>
      <c r="P2724" t="n">
        <v>964</v>
      </c>
      <c r="Q2724" t="n">
        <v>1002</v>
      </c>
      <c r="R2724" t="n">
        <v>1.067</v>
      </c>
      <c r="S2724" t="n">
        <v>238.56</v>
      </c>
      <c r="T2724" t="n">
        <v>223.666</v>
      </c>
      <c r="U2724" t="n">
        <v>0.7778</v>
      </c>
      <c r="V2724" t="b">
        <v>1</v>
      </c>
      <c r="X2724" t="b">
        <v>1</v>
      </c>
      <c r="Z2724" t="n">
        <v>935</v>
      </c>
      <c r="AA2724" t="n">
        <v>2.5</v>
      </c>
      <c r="AB2724" t="n">
        <v>9.5</v>
      </c>
    </row>
    <row r="2725">
      <c r="A2725" t="inlineStr">
        <is>
          <t>2026-09-24 20:23:04</t>
        </is>
      </c>
      <c r="B2725" t="inlineStr">
        <is>
          <t>MLLB_000_y1.0.3</t>
        </is>
      </c>
      <c r="C2725" t="inlineStr">
        <is>
          <t>WHITE</t>
        </is>
      </c>
      <c r="D2725" t="inlineStr">
        <is>
          <t>v4_white_MLLB_000_y103_0924</t>
        </is>
      </c>
      <c r="E2725" t="n">
        <v>2.6</v>
      </c>
      <c r="F2725" t="n">
        <v>2.608</v>
      </c>
      <c r="G2725" t="n">
        <v>100</v>
      </c>
      <c r="H2725" t="n">
        <v>60</v>
      </c>
      <c r="I2725" t="n">
        <v>40</v>
      </c>
      <c r="J2725" t="inlineStr">
        <is>
          <t>kaba</t>
        </is>
      </c>
      <c r="K2725" t="b">
        <v>1</v>
      </c>
      <c r="M2725" t="n">
        <v>38</v>
      </c>
      <c r="N2725" t="n">
        <v>28</v>
      </c>
      <c r="O2725" t="n">
        <v>18</v>
      </c>
      <c r="P2725" t="n">
        <v>964</v>
      </c>
      <c r="Q2725" t="n">
        <v>1002</v>
      </c>
      <c r="R2725" t="n">
        <v>1.067</v>
      </c>
      <c r="S2725" t="n">
        <v>238.472</v>
      </c>
      <c r="T2725" t="n">
        <v>223.581</v>
      </c>
      <c r="U2725" t="n">
        <v>0.7782</v>
      </c>
      <c r="V2725" t="b">
        <v>1</v>
      </c>
      <c r="X2725" t="b">
        <v>1</v>
      </c>
      <c r="Z2725" t="n">
        <v>935</v>
      </c>
      <c r="AA2725" t="n">
        <v>2.5</v>
      </c>
      <c r="AB2725" t="n">
        <v>9.5</v>
      </c>
    </row>
    <row r="2726">
      <c r="A2726" t="inlineStr">
        <is>
          <t>2026-09-24 20:23:20</t>
        </is>
      </c>
      <c r="B2726" t="inlineStr">
        <is>
          <t>MLLB_000_y1.0.3</t>
        </is>
      </c>
      <c r="C2726" t="inlineStr">
        <is>
          <t>WHITE</t>
        </is>
      </c>
      <c r="D2726" t="inlineStr">
        <is>
          <t>v4_white_MLLB_000_y103_0924</t>
        </is>
      </c>
      <c r="E2726" t="n">
        <v>2.6</v>
      </c>
      <c r="F2726" t="n">
        <v>2.608</v>
      </c>
      <c r="G2726" t="n">
        <v>100</v>
      </c>
      <c r="H2726" t="n">
        <v>60</v>
      </c>
      <c r="I2726" t="n">
        <v>44</v>
      </c>
      <c r="J2726" t="inlineStr">
        <is>
          <t>kaba</t>
        </is>
      </c>
      <c r="K2726" t="b">
        <v>1</v>
      </c>
      <c r="M2726" t="n">
        <v>38</v>
      </c>
      <c r="N2726" t="n">
        <v>28</v>
      </c>
      <c r="O2726" t="n">
        <v>18</v>
      </c>
      <c r="P2726" t="n">
        <v>964</v>
      </c>
      <c r="Q2726" t="n">
        <v>1002</v>
      </c>
      <c r="R2726" t="n">
        <v>1.067</v>
      </c>
      <c r="S2726" t="n">
        <v>238.472</v>
      </c>
      <c r="T2726" t="n">
        <v>223.523</v>
      </c>
      <c r="U2726" t="n">
        <v>0.7774</v>
      </c>
      <c r="V2726" t="b">
        <v>1</v>
      </c>
      <c r="X2726" t="b">
        <v>1</v>
      </c>
      <c r="Z2726" t="n">
        <v>935</v>
      </c>
      <c r="AA2726" t="n">
        <v>2.5</v>
      </c>
      <c r="AB2726" t="n">
        <v>9.5</v>
      </c>
    </row>
    <row r="2727">
      <c r="A2727" t="inlineStr">
        <is>
          <t>2026-09-24 20:23:36</t>
        </is>
      </c>
      <c r="B2727" t="inlineStr">
        <is>
          <t>MLLB_000_y1.0.3</t>
        </is>
      </c>
      <c r="C2727" t="inlineStr">
        <is>
          <t>WHITE</t>
        </is>
      </c>
      <c r="D2727" t="inlineStr">
        <is>
          <t>v4_white_MLLB_000_y103_0924</t>
        </is>
      </c>
      <c r="E2727" t="n">
        <v>2.6</v>
      </c>
      <c r="F2727" t="n">
        <v>2.608</v>
      </c>
      <c r="G2727" t="n">
        <v>100</v>
      </c>
      <c r="H2727" t="n">
        <v>60</v>
      </c>
      <c r="I2727" t="n">
        <v>48</v>
      </c>
      <c r="J2727" t="inlineStr">
        <is>
          <t>kaba</t>
        </is>
      </c>
      <c r="K2727" t="b">
        <v>1</v>
      </c>
      <c r="M2727" t="n">
        <v>38</v>
      </c>
      <c r="N2727" t="n">
        <v>28</v>
      </c>
      <c r="O2727" t="n">
        <v>18</v>
      </c>
      <c r="P2727" t="n">
        <v>964</v>
      </c>
      <c r="Q2727" t="n">
        <v>1002</v>
      </c>
      <c r="R2727" t="n">
        <v>1.064</v>
      </c>
      <c r="S2727" t="n">
        <v>237.889</v>
      </c>
      <c r="T2727" t="n">
        <v>223.589</v>
      </c>
      <c r="U2727" t="n">
        <v>0.7775</v>
      </c>
      <c r="V2727" t="b">
        <v>1</v>
      </c>
      <c r="X2727" t="b">
        <v>1</v>
      </c>
      <c r="Z2727" t="n">
        <v>935</v>
      </c>
      <c r="AA2727" t="n">
        <v>2.5</v>
      </c>
      <c r="AB2727" t="n">
        <v>9.5</v>
      </c>
    </row>
    <row r="2728">
      <c r="A2728" t="inlineStr">
        <is>
          <t>2026-09-24 20:23:52</t>
        </is>
      </c>
      <c r="B2728" t="inlineStr">
        <is>
          <t>MLLB_000_y1.0.3</t>
        </is>
      </c>
      <c r="C2728" t="inlineStr">
        <is>
          <t>WHITE</t>
        </is>
      </c>
      <c r="D2728" t="inlineStr">
        <is>
          <t>v4_white_MLLB_000_y103_0924</t>
        </is>
      </c>
      <c r="E2728" t="n">
        <v>2.6</v>
      </c>
      <c r="F2728" t="n">
        <v>2.608</v>
      </c>
      <c r="G2728" t="n">
        <v>100</v>
      </c>
      <c r="H2728" t="n">
        <v>60</v>
      </c>
      <c r="I2728" t="n">
        <v>52</v>
      </c>
      <c r="J2728" t="inlineStr">
        <is>
          <t>kaba</t>
        </is>
      </c>
      <c r="K2728" t="b">
        <v>1</v>
      </c>
      <c r="M2728" t="n">
        <v>38</v>
      </c>
      <c r="N2728" t="n">
        <v>28</v>
      </c>
      <c r="O2728" t="n">
        <v>18</v>
      </c>
      <c r="P2728" t="n">
        <v>964</v>
      </c>
      <c r="Q2728" t="n">
        <v>1002</v>
      </c>
      <c r="R2728" t="n">
        <v>1.067</v>
      </c>
      <c r="S2728" t="n">
        <v>238.472</v>
      </c>
      <c r="T2728" t="n">
        <v>223.536</v>
      </c>
      <c r="U2728" t="n">
        <v>0.778</v>
      </c>
      <c r="V2728" t="b">
        <v>1</v>
      </c>
      <c r="X2728" t="b">
        <v>1</v>
      </c>
      <c r="Z2728" t="n">
        <v>935</v>
      </c>
      <c r="AA2728" t="n">
        <v>2.5</v>
      </c>
      <c r="AB2728" t="n">
        <v>9.5</v>
      </c>
    </row>
    <row r="2729">
      <c r="A2729" t="inlineStr">
        <is>
          <t>2026-09-24 20:24:08</t>
        </is>
      </c>
      <c r="B2729" t="inlineStr">
        <is>
          <t>MLLB_000_y1.0.3</t>
        </is>
      </c>
      <c r="C2729" t="inlineStr">
        <is>
          <t>WHITE</t>
        </is>
      </c>
      <c r="D2729" t="inlineStr">
        <is>
          <t>v4_white_MLLB_000_y103_0924</t>
        </is>
      </c>
      <c r="E2729" t="n">
        <v>2.6</v>
      </c>
      <c r="F2729" t="n">
        <v>2.608</v>
      </c>
      <c r="G2729" t="n">
        <v>100</v>
      </c>
      <c r="H2729" t="n">
        <v>60</v>
      </c>
      <c r="I2729" t="n">
        <v>56</v>
      </c>
      <c r="J2729" t="inlineStr">
        <is>
          <t>kaba</t>
        </is>
      </c>
      <c r="K2729" t="b">
        <v>1</v>
      </c>
      <c r="M2729" t="n">
        <v>38</v>
      </c>
      <c r="N2729" t="n">
        <v>28</v>
      </c>
      <c r="O2729" t="n">
        <v>18</v>
      </c>
      <c r="P2729" t="n">
        <v>964</v>
      </c>
      <c r="Q2729" t="n">
        <v>1002</v>
      </c>
      <c r="R2729" t="n">
        <v>1.063</v>
      </c>
      <c r="S2729" t="n">
        <v>237.702</v>
      </c>
      <c r="T2729" t="n">
        <v>223.596</v>
      </c>
      <c r="U2729" t="n">
        <v>0.7782</v>
      </c>
      <c r="V2729" t="b">
        <v>1</v>
      </c>
      <c r="X2729" t="b">
        <v>1</v>
      </c>
      <c r="Z2729" t="n">
        <v>935</v>
      </c>
      <c r="AA2729" t="n">
        <v>2.5</v>
      </c>
      <c r="AB2729" t="n">
        <v>9.5</v>
      </c>
    </row>
    <row r="2730">
      <c r="A2730" t="inlineStr">
        <is>
          <t>2026-09-24 20:24:24</t>
        </is>
      </c>
      <c r="B2730" t="inlineStr">
        <is>
          <t>MLLB_000_y1.0.3</t>
        </is>
      </c>
      <c r="C2730" t="inlineStr">
        <is>
          <t>WHITE</t>
        </is>
      </c>
      <c r="D2730" t="inlineStr">
        <is>
          <t>v4_white_MLLB_000_y103_0924</t>
        </is>
      </c>
      <c r="E2730" t="n">
        <v>2.6</v>
      </c>
      <c r="F2730" t="n">
        <v>2.608</v>
      </c>
      <c r="G2730" t="n">
        <v>100</v>
      </c>
      <c r="H2730" t="n">
        <v>60</v>
      </c>
      <c r="I2730" t="n">
        <v>58</v>
      </c>
      <c r="J2730" t="inlineStr">
        <is>
          <t>kaba</t>
        </is>
      </c>
      <c r="K2730" t="b">
        <v>1</v>
      </c>
      <c r="M2730" t="n">
        <v>38</v>
      </c>
      <c r="N2730" t="n">
        <v>28</v>
      </c>
      <c r="O2730" t="n">
        <v>18</v>
      </c>
      <c r="P2730" t="n">
        <v>964</v>
      </c>
      <c r="Q2730" t="n">
        <v>1002</v>
      </c>
      <c r="R2730" t="n">
        <v>1.066</v>
      </c>
      <c r="S2730" t="n">
        <v>238.472</v>
      </c>
      <c r="T2730" t="n">
        <v>223.604</v>
      </c>
      <c r="U2730" t="n">
        <v>0.7784</v>
      </c>
      <c r="V2730" t="b">
        <v>1</v>
      </c>
      <c r="X2730" t="b">
        <v>1</v>
      </c>
      <c r="Z2730" t="n">
        <v>935</v>
      </c>
      <c r="AA2730" t="n">
        <v>2.5</v>
      </c>
      <c r="AB2730" t="n">
        <v>9.5</v>
      </c>
    </row>
    <row r="2731">
      <c r="A2731" t="inlineStr">
        <is>
          <t>2026-09-24 20:24:25</t>
        </is>
      </c>
      <c r="B2731" t="inlineStr">
        <is>
          <t>MLLB_000_y1.0.3</t>
        </is>
      </c>
      <c r="C2731" t="inlineStr">
        <is>
          <t>WHITE</t>
        </is>
      </c>
      <c r="D2731" t="inlineStr">
        <is>
          <t>v4_white_MLLB_000_y103_0924</t>
        </is>
      </c>
      <c r="E2731" t="n">
        <v>2.6</v>
      </c>
      <c r="F2731" t="n">
        <v>2.608</v>
      </c>
      <c r="G2731" t="n">
        <v>100</v>
      </c>
      <c r="H2731" t="n">
        <v>60</v>
      </c>
      <c r="I2731" t="n">
        <v>13</v>
      </c>
      <c r="J2731" t="inlineStr">
        <is>
          <t>ince</t>
        </is>
      </c>
      <c r="K2731" t="b">
        <v>0</v>
      </c>
      <c r="L2731" t="inlineStr">
        <is>
          <t>iki-OK-arasi-monotonluk</t>
        </is>
      </c>
      <c r="X2731" t="b">
        <v>1</v>
      </c>
      <c r="Z2731" t="n">
        <v>935</v>
      </c>
      <c r="AA2731" t="n">
        <v>2.5</v>
      </c>
      <c r="AB2731" t="n">
        <v>9.5</v>
      </c>
    </row>
    <row r="2732">
      <c r="A2732" t="inlineStr">
        <is>
          <t>2026-09-24 20:24:25</t>
        </is>
      </c>
      <c r="B2732" t="inlineStr">
        <is>
          <t>MLLB_000_y1.0.3</t>
        </is>
      </c>
      <c r="C2732" t="inlineStr">
        <is>
          <t>WHITE</t>
        </is>
      </c>
      <c r="D2732" t="inlineStr">
        <is>
          <t>v4_white_MLLB_000_y103_0924</t>
        </is>
      </c>
      <c r="E2732" t="n">
        <v>2.6</v>
      </c>
      <c r="F2732" t="n">
        <v>2.608</v>
      </c>
      <c r="G2732" t="n">
        <v>100</v>
      </c>
      <c r="H2732" t="n">
        <v>60</v>
      </c>
      <c r="I2732" t="n">
        <v>14</v>
      </c>
      <c r="J2732" t="inlineStr">
        <is>
          <t>ince</t>
        </is>
      </c>
      <c r="K2732" t="b">
        <v>0</v>
      </c>
      <c r="L2732" t="inlineStr">
        <is>
          <t>iki-OK-arasi-monotonluk</t>
        </is>
      </c>
      <c r="X2732" t="b">
        <v>1</v>
      </c>
      <c r="Z2732" t="n">
        <v>935</v>
      </c>
      <c r="AA2732" t="n">
        <v>2.5</v>
      </c>
      <c r="AB2732" t="n">
        <v>9.5</v>
      </c>
    </row>
    <row r="2733">
      <c r="A2733" t="inlineStr">
        <is>
          <t>2026-09-24 20:24:25</t>
        </is>
      </c>
      <c r="B2733" t="inlineStr">
        <is>
          <t>MLLB_000_y1.0.3</t>
        </is>
      </c>
      <c r="C2733" t="inlineStr">
        <is>
          <t>WHITE</t>
        </is>
      </c>
      <c r="D2733" t="inlineStr">
        <is>
          <t>v4_white_MLLB_000_y103_0924</t>
        </is>
      </c>
      <c r="E2733" t="n">
        <v>2.6</v>
      </c>
      <c r="F2733" t="n">
        <v>2.608</v>
      </c>
      <c r="G2733" t="n">
        <v>100</v>
      </c>
      <c r="H2733" t="n">
        <v>60</v>
      </c>
      <c r="I2733" t="n">
        <v>15</v>
      </c>
      <c r="J2733" t="inlineStr">
        <is>
          <t>ince</t>
        </is>
      </c>
      <c r="K2733" t="b">
        <v>0</v>
      </c>
      <c r="L2733" t="inlineStr">
        <is>
          <t>iki-OK-arasi-monotonluk</t>
        </is>
      </c>
      <c r="X2733" t="b">
        <v>1</v>
      </c>
      <c r="Z2733" t="n">
        <v>935</v>
      </c>
      <c r="AA2733" t="n">
        <v>2.5</v>
      </c>
      <c r="AB2733" t="n">
        <v>9.5</v>
      </c>
    </row>
    <row r="2734">
      <c r="A2734" t="inlineStr">
        <is>
          <t>2026-09-24 20:24:25</t>
        </is>
      </c>
      <c r="B2734" t="inlineStr">
        <is>
          <t>MLLB_000_y1.0.3</t>
        </is>
      </c>
      <c r="C2734" t="inlineStr">
        <is>
          <t>WHITE</t>
        </is>
      </c>
      <c r="D2734" t="inlineStr">
        <is>
          <t>v4_white_MLLB_000_y103_0924</t>
        </is>
      </c>
      <c r="E2734" t="n">
        <v>2.6</v>
      </c>
      <c r="F2734" t="n">
        <v>2.608</v>
      </c>
      <c r="G2734" t="n">
        <v>100</v>
      </c>
      <c r="H2734" t="n">
        <v>60</v>
      </c>
      <c r="I2734" t="n">
        <v>17</v>
      </c>
      <c r="J2734" t="inlineStr">
        <is>
          <t>ince</t>
        </is>
      </c>
      <c r="K2734" t="b">
        <v>0</v>
      </c>
      <c r="L2734" t="inlineStr">
        <is>
          <t>iki-OK-arasi-monotonluk</t>
        </is>
      </c>
      <c r="X2734" t="b">
        <v>1</v>
      </c>
      <c r="Z2734" t="n">
        <v>935</v>
      </c>
      <c r="AA2734" t="n">
        <v>2.5</v>
      </c>
      <c r="AB2734" t="n">
        <v>9.5</v>
      </c>
    </row>
    <row r="2735">
      <c r="A2735" t="inlineStr">
        <is>
          <t>2026-09-24 20:24:25</t>
        </is>
      </c>
      <c r="B2735" t="inlineStr">
        <is>
          <t>MLLB_000_y1.0.3</t>
        </is>
      </c>
      <c r="C2735" t="inlineStr">
        <is>
          <t>WHITE</t>
        </is>
      </c>
      <c r="D2735" t="inlineStr">
        <is>
          <t>v4_white_MLLB_000_y103_0924</t>
        </is>
      </c>
      <c r="E2735" t="n">
        <v>2.6</v>
      </c>
      <c r="F2735" t="n">
        <v>2.608</v>
      </c>
      <c r="G2735" t="n">
        <v>100</v>
      </c>
      <c r="H2735" t="n">
        <v>60</v>
      </c>
      <c r="I2735" t="n">
        <v>18</v>
      </c>
      <c r="J2735" t="inlineStr">
        <is>
          <t>ince</t>
        </is>
      </c>
      <c r="K2735" t="b">
        <v>0</v>
      </c>
      <c r="L2735" t="inlineStr">
        <is>
          <t>iki-OK-arasi-monotonluk</t>
        </is>
      </c>
      <c r="X2735" t="b">
        <v>1</v>
      </c>
      <c r="Z2735" t="n">
        <v>935</v>
      </c>
      <c r="AA2735" t="n">
        <v>2.5</v>
      </c>
      <c r="AB2735" t="n">
        <v>9.5</v>
      </c>
    </row>
    <row r="2736">
      <c r="A2736" t="inlineStr">
        <is>
          <t>2026-09-24 20:24:25</t>
        </is>
      </c>
      <c r="B2736" t="inlineStr">
        <is>
          <t>MLLB_000_y1.0.3</t>
        </is>
      </c>
      <c r="C2736" t="inlineStr">
        <is>
          <t>WHITE</t>
        </is>
      </c>
      <c r="D2736" t="inlineStr">
        <is>
          <t>v4_white_MLLB_000_y103_0924</t>
        </is>
      </c>
      <c r="E2736" t="n">
        <v>2.6</v>
      </c>
      <c r="F2736" t="n">
        <v>2.608</v>
      </c>
      <c r="G2736" t="n">
        <v>100</v>
      </c>
      <c r="H2736" t="n">
        <v>60</v>
      </c>
      <c r="I2736" t="n">
        <v>19</v>
      </c>
      <c r="J2736" t="inlineStr">
        <is>
          <t>ince</t>
        </is>
      </c>
      <c r="K2736" t="b">
        <v>0</v>
      </c>
      <c r="L2736" t="inlineStr">
        <is>
          <t>iki-OK-arasi-monotonluk</t>
        </is>
      </c>
      <c r="X2736" t="b">
        <v>1</v>
      </c>
      <c r="Z2736" t="n">
        <v>935</v>
      </c>
      <c r="AA2736" t="n">
        <v>2.5</v>
      </c>
      <c r="AB2736" t="n">
        <v>9.5</v>
      </c>
    </row>
    <row r="2737">
      <c r="A2737" t="inlineStr">
        <is>
          <t>2026-09-24 20:24:25</t>
        </is>
      </c>
      <c r="B2737" t="inlineStr">
        <is>
          <t>MLLB_000_y1.0.3</t>
        </is>
      </c>
      <c r="C2737" t="inlineStr">
        <is>
          <t>WHITE</t>
        </is>
      </c>
      <c r="D2737" t="inlineStr">
        <is>
          <t>v4_white_MLLB_000_y103_0924</t>
        </is>
      </c>
      <c r="E2737" t="n">
        <v>2.6</v>
      </c>
      <c r="F2737" t="n">
        <v>2.608</v>
      </c>
      <c r="G2737" t="n">
        <v>100</v>
      </c>
      <c r="H2737" t="n">
        <v>60</v>
      </c>
      <c r="I2737" t="n">
        <v>21</v>
      </c>
      <c r="J2737" t="inlineStr">
        <is>
          <t>ince</t>
        </is>
      </c>
      <c r="K2737" t="b">
        <v>0</v>
      </c>
      <c r="L2737" t="inlineStr">
        <is>
          <t>iki-OK-arasi-monotonluk</t>
        </is>
      </c>
      <c r="X2737" t="b">
        <v>1</v>
      </c>
      <c r="Z2737" t="n">
        <v>935</v>
      </c>
      <c r="AA2737" t="n">
        <v>2.5</v>
      </c>
      <c r="AB2737" t="n">
        <v>9.5</v>
      </c>
    </row>
    <row r="2738">
      <c r="A2738" t="inlineStr">
        <is>
          <t>2026-09-24 20:24:25</t>
        </is>
      </c>
      <c r="B2738" t="inlineStr">
        <is>
          <t>MLLB_000_y1.0.3</t>
        </is>
      </c>
      <c r="C2738" t="inlineStr">
        <is>
          <t>WHITE</t>
        </is>
      </c>
      <c r="D2738" t="inlineStr">
        <is>
          <t>v4_white_MLLB_000_y103_0924</t>
        </is>
      </c>
      <c r="E2738" t="n">
        <v>2.6</v>
      </c>
      <c r="F2738" t="n">
        <v>2.608</v>
      </c>
      <c r="G2738" t="n">
        <v>100</v>
      </c>
      <c r="H2738" t="n">
        <v>60</v>
      </c>
      <c r="I2738" t="n">
        <v>22</v>
      </c>
      <c r="J2738" t="inlineStr">
        <is>
          <t>ince</t>
        </is>
      </c>
      <c r="K2738" t="b">
        <v>0</v>
      </c>
      <c r="L2738" t="inlineStr">
        <is>
          <t>iki-OK-arasi-monotonluk</t>
        </is>
      </c>
      <c r="X2738" t="b">
        <v>1</v>
      </c>
      <c r="Z2738" t="n">
        <v>935</v>
      </c>
      <c r="AA2738" t="n">
        <v>2.5</v>
      </c>
      <c r="AB2738" t="n">
        <v>9.5</v>
      </c>
    </row>
    <row r="2739">
      <c r="A2739" t="inlineStr">
        <is>
          <t>2026-09-24 20:24:25</t>
        </is>
      </c>
      <c r="B2739" t="inlineStr">
        <is>
          <t>MLLB_000_y1.0.3</t>
        </is>
      </c>
      <c r="C2739" t="inlineStr">
        <is>
          <t>WHITE</t>
        </is>
      </c>
      <c r="D2739" t="inlineStr">
        <is>
          <t>v4_white_MLLB_000_y103_0924</t>
        </is>
      </c>
      <c r="E2739" t="n">
        <v>2.6</v>
      </c>
      <c r="F2739" t="n">
        <v>2.608</v>
      </c>
      <c r="G2739" t="n">
        <v>100</v>
      </c>
      <c r="H2739" t="n">
        <v>60</v>
      </c>
      <c r="I2739" t="n">
        <v>23</v>
      </c>
      <c r="J2739" t="inlineStr">
        <is>
          <t>ince</t>
        </is>
      </c>
      <c r="K2739" t="b">
        <v>0</v>
      </c>
      <c r="L2739" t="inlineStr">
        <is>
          <t>iki-OK-arasi-monotonluk</t>
        </is>
      </c>
      <c r="X2739" t="b">
        <v>1</v>
      </c>
      <c r="Z2739" t="n">
        <v>935</v>
      </c>
      <c r="AA2739" t="n">
        <v>2.5</v>
      </c>
      <c r="AB2739" t="n">
        <v>9.5</v>
      </c>
    </row>
    <row r="2740">
      <c r="A2740" t="inlineStr">
        <is>
          <t>2026-09-24 20:24:25</t>
        </is>
      </c>
      <c r="B2740" t="inlineStr">
        <is>
          <t>MLLB_000_y1.0.3</t>
        </is>
      </c>
      <c r="C2740" t="inlineStr">
        <is>
          <t>WHITE</t>
        </is>
      </c>
      <c r="D2740" t="inlineStr">
        <is>
          <t>v4_white_MLLB_000_y103_0924</t>
        </is>
      </c>
      <c r="E2740" t="n">
        <v>2.6</v>
      </c>
      <c r="F2740" t="n">
        <v>2.608</v>
      </c>
      <c r="G2740" t="n">
        <v>100</v>
      </c>
      <c r="H2740" t="n">
        <v>60</v>
      </c>
      <c r="I2740" t="n">
        <v>25</v>
      </c>
      <c r="J2740" t="inlineStr">
        <is>
          <t>ince</t>
        </is>
      </c>
      <c r="K2740" t="b">
        <v>0</v>
      </c>
      <c r="L2740" t="inlineStr">
        <is>
          <t>iki-OK-arasi-monotonluk</t>
        </is>
      </c>
      <c r="X2740" t="b">
        <v>1</v>
      </c>
      <c r="Z2740" t="n">
        <v>935</v>
      </c>
      <c r="AA2740" t="n">
        <v>2.5</v>
      </c>
      <c r="AB2740" t="n">
        <v>9.5</v>
      </c>
    </row>
    <row r="2741">
      <c r="A2741" t="inlineStr">
        <is>
          <t>2026-09-24 20:24:25</t>
        </is>
      </c>
      <c r="B2741" t="inlineStr">
        <is>
          <t>MLLB_000_y1.0.3</t>
        </is>
      </c>
      <c r="C2741" t="inlineStr">
        <is>
          <t>WHITE</t>
        </is>
      </c>
      <c r="D2741" t="inlineStr">
        <is>
          <t>v4_white_MLLB_000_y103_0924</t>
        </is>
      </c>
      <c r="E2741" t="n">
        <v>2.6</v>
      </c>
      <c r="F2741" t="n">
        <v>2.608</v>
      </c>
      <c r="G2741" t="n">
        <v>100</v>
      </c>
      <c r="H2741" t="n">
        <v>60</v>
      </c>
      <c r="I2741" t="n">
        <v>26</v>
      </c>
      <c r="J2741" t="inlineStr">
        <is>
          <t>ince</t>
        </is>
      </c>
      <c r="K2741" t="b">
        <v>0</v>
      </c>
      <c r="L2741" t="inlineStr">
        <is>
          <t>iki-OK-arasi-monotonluk</t>
        </is>
      </c>
      <c r="X2741" t="b">
        <v>1</v>
      </c>
      <c r="Z2741" t="n">
        <v>935</v>
      </c>
      <c r="AA2741" t="n">
        <v>2.5</v>
      </c>
      <c r="AB2741" t="n">
        <v>9.5</v>
      </c>
    </row>
    <row r="2742">
      <c r="A2742" t="inlineStr">
        <is>
          <t>2026-09-24 20:24:25</t>
        </is>
      </c>
      <c r="B2742" t="inlineStr">
        <is>
          <t>MLLB_000_y1.0.3</t>
        </is>
      </c>
      <c r="C2742" t="inlineStr">
        <is>
          <t>WHITE</t>
        </is>
      </c>
      <c r="D2742" t="inlineStr">
        <is>
          <t>v4_white_MLLB_000_y103_0924</t>
        </is>
      </c>
      <c r="E2742" t="n">
        <v>2.6</v>
      </c>
      <c r="F2742" t="n">
        <v>2.608</v>
      </c>
      <c r="G2742" t="n">
        <v>100</v>
      </c>
      <c r="H2742" t="n">
        <v>60</v>
      </c>
      <c r="I2742" t="n">
        <v>27</v>
      </c>
      <c r="J2742" t="inlineStr">
        <is>
          <t>ince</t>
        </is>
      </c>
      <c r="K2742" t="b">
        <v>0</v>
      </c>
      <c r="L2742" t="inlineStr">
        <is>
          <t>iki-OK-arasi-monotonluk</t>
        </is>
      </c>
      <c r="X2742" t="b">
        <v>1</v>
      </c>
      <c r="Z2742" t="n">
        <v>935</v>
      </c>
      <c r="AA2742" t="n">
        <v>2.5</v>
      </c>
      <c r="AB2742" t="n">
        <v>9.5</v>
      </c>
    </row>
    <row r="2743">
      <c r="A2743" t="inlineStr">
        <is>
          <t>2026-09-24 20:24:25</t>
        </is>
      </c>
      <c r="B2743" t="inlineStr">
        <is>
          <t>MLLB_000_y1.0.3</t>
        </is>
      </c>
      <c r="C2743" t="inlineStr">
        <is>
          <t>WHITE</t>
        </is>
      </c>
      <c r="D2743" t="inlineStr">
        <is>
          <t>v4_white_MLLB_000_y103_0924</t>
        </is>
      </c>
      <c r="E2743" t="n">
        <v>2.6</v>
      </c>
      <c r="F2743" t="n">
        <v>2.608</v>
      </c>
      <c r="G2743" t="n">
        <v>100</v>
      </c>
      <c r="H2743" t="n">
        <v>60</v>
      </c>
      <c r="I2743" t="n">
        <v>29</v>
      </c>
      <c r="J2743" t="inlineStr">
        <is>
          <t>ince</t>
        </is>
      </c>
      <c r="K2743" t="b">
        <v>0</v>
      </c>
      <c r="L2743" t="inlineStr">
        <is>
          <t>iki-OK-arasi-monotonluk</t>
        </is>
      </c>
      <c r="X2743" t="b">
        <v>1</v>
      </c>
      <c r="Z2743" t="n">
        <v>935</v>
      </c>
      <c r="AA2743" t="n">
        <v>2.5</v>
      </c>
      <c r="AB2743" t="n">
        <v>9.5</v>
      </c>
    </row>
    <row r="2744">
      <c r="A2744" t="inlineStr">
        <is>
          <t>2026-09-24 20:24:25</t>
        </is>
      </c>
      <c r="B2744" t="inlineStr">
        <is>
          <t>MLLB_000_y1.0.3</t>
        </is>
      </c>
      <c r="C2744" t="inlineStr">
        <is>
          <t>WHITE</t>
        </is>
      </c>
      <c r="D2744" t="inlineStr">
        <is>
          <t>v4_white_MLLB_000_y103_0924</t>
        </is>
      </c>
      <c r="E2744" t="n">
        <v>2.6</v>
      </c>
      <c r="F2744" t="n">
        <v>2.608</v>
      </c>
      <c r="G2744" t="n">
        <v>100</v>
      </c>
      <c r="H2744" t="n">
        <v>60</v>
      </c>
      <c r="I2744" t="n">
        <v>30</v>
      </c>
      <c r="J2744" t="inlineStr">
        <is>
          <t>ince</t>
        </is>
      </c>
      <c r="K2744" t="b">
        <v>0</v>
      </c>
      <c r="L2744" t="inlineStr">
        <is>
          <t>iki-OK-arasi-monotonluk</t>
        </is>
      </c>
      <c r="X2744" t="b">
        <v>1</v>
      </c>
      <c r="Z2744" t="n">
        <v>935</v>
      </c>
      <c r="AA2744" t="n">
        <v>2.5</v>
      </c>
      <c r="AB2744" t="n">
        <v>9.5</v>
      </c>
    </row>
    <row r="2745">
      <c r="A2745" t="inlineStr">
        <is>
          <t>2026-09-24 20:24:25</t>
        </is>
      </c>
      <c r="B2745" t="inlineStr">
        <is>
          <t>MLLB_000_y1.0.3</t>
        </is>
      </c>
      <c r="C2745" t="inlineStr">
        <is>
          <t>WHITE</t>
        </is>
      </c>
      <c r="D2745" t="inlineStr">
        <is>
          <t>v4_white_MLLB_000_y103_0924</t>
        </is>
      </c>
      <c r="E2745" t="n">
        <v>2.6</v>
      </c>
      <c r="F2745" t="n">
        <v>2.608</v>
      </c>
      <c r="G2745" t="n">
        <v>100</v>
      </c>
      <c r="H2745" t="n">
        <v>60</v>
      </c>
      <c r="I2745" t="n">
        <v>31</v>
      </c>
      <c r="J2745" t="inlineStr">
        <is>
          <t>ince</t>
        </is>
      </c>
      <c r="K2745" t="b">
        <v>0</v>
      </c>
      <c r="L2745" t="inlineStr">
        <is>
          <t>iki-OK-arasi-monotonluk</t>
        </is>
      </c>
      <c r="X2745" t="b">
        <v>1</v>
      </c>
      <c r="Z2745" t="n">
        <v>935</v>
      </c>
      <c r="AA2745" t="n">
        <v>2.5</v>
      </c>
      <c r="AB2745" t="n">
        <v>9.5</v>
      </c>
    </row>
    <row r="2746">
      <c r="A2746" t="inlineStr">
        <is>
          <t>2026-09-24 20:24:25</t>
        </is>
      </c>
      <c r="B2746" t="inlineStr">
        <is>
          <t>MLLB_000_y1.0.3</t>
        </is>
      </c>
      <c r="C2746" t="inlineStr">
        <is>
          <t>WHITE</t>
        </is>
      </c>
      <c r="D2746" t="inlineStr">
        <is>
          <t>v4_white_MLLB_000_y103_0924</t>
        </is>
      </c>
      <c r="E2746" t="n">
        <v>2.6</v>
      </c>
      <c r="F2746" t="n">
        <v>2.608</v>
      </c>
      <c r="G2746" t="n">
        <v>100</v>
      </c>
      <c r="H2746" t="n">
        <v>60</v>
      </c>
      <c r="I2746" t="n">
        <v>33</v>
      </c>
      <c r="J2746" t="inlineStr">
        <is>
          <t>ince</t>
        </is>
      </c>
      <c r="K2746" t="b">
        <v>0</v>
      </c>
      <c r="L2746" t="inlineStr">
        <is>
          <t>iki-OK-arasi-monotonluk</t>
        </is>
      </c>
      <c r="X2746" t="b">
        <v>1</v>
      </c>
      <c r="Z2746" t="n">
        <v>935</v>
      </c>
      <c r="AA2746" t="n">
        <v>2.5</v>
      </c>
      <c r="AB2746" t="n">
        <v>9.5</v>
      </c>
    </row>
    <row r="2747">
      <c r="A2747" t="inlineStr">
        <is>
          <t>2026-09-24 20:24:25</t>
        </is>
      </c>
      <c r="B2747" t="inlineStr">
        <is>
          <t>MLLB_000_y1.0.3</t>
        </is>
      </c>
      <c r="C2747" t="inlineStr">
        <is>
          <t>WHITE</t>
        </is>
      </c>
      <c r="D2747" t="inlineStr">
        <is>
          <t>v4_white_MLLB_000_y103_0924</t>
        </is>
      </c>
      <c r="E2747" t="n">
        <v>2.6</v>
      </c>
      <c r="F2747" t="n">
        <v>2.608</v>
      </c>
      <c r="G2747" t="n">
        <v>100</v>
      </c>
      <c r="H2747" t="n">
        <v>60</v>
      </c>
      <c r="I2747" t="n">
        <v>34</v>
      </c>
      <c r="J2747" t="inlineStr">
        <is>
          <t>ince</t>
        </is>
      </c>
      <c r="K2747" t="b">
        <v>0</v>
      </c>
      <c r="L2747" t="inlineStr">
        <is>
          <t>iki-OK-arasi-monotonluk</t>
        </is>
      </c>
      <c r="X2747" t="b">
        <v>1</v>
      </c>
      <c r="Z2747" t="n">
        <v>935</v>
      </c>
      <c r="AA2747" t="n">
        <v>2.5</v>
      </c>
      <c r="AB2747" t="n">
        <v>9.5</v>
      </c>
    </row>
    <row r="2748">
      <c r="A2748" t="inlineStr">
        <is>
          <t>2026-09-24 20:24:25</t>
        </is>
      </c>
      <c r="B2748" t="inlineStr">
        <is>
          <t>MLLB_000_y1.0.3</t>
        </is>
      </c>
      <c r="C2748" t="inlineStr">
        <is>
          <t>WHITE</t>
        </is>
      </c>
      <c r="D2748" t="inlineStr">
        <is>
          <t>v4_white_MLLB_000_y103_0924</t>
        </is>
      </c>
      <c r="E2748" t="n">
        <v>2.6</v>
      </c>
      <c r="F2748" t="n">
        <v>2.608</v>
      </c>
      <c r="G2748" t="n">
        <v>100</v>
      </c>
      <c r="H2748" t="n">
        <v>60</v>
      </c>
      <c r="I2748" t="n">
        <v>35</v>
      </c>
      <c r="J2748" t="inlineStr">
        <is>
          <t>ince</t>
        </is>
      </c>
      <c r="K2748" t="b">
        <v>0</v>
      </c>
      <c r="L2748" t="inlineStr">
        <is>
          <t>iki-OK-arasi-monotonluk</t>
        </is>
      </c>
      <c r="X2748" t="b">
        <v>1</v>
      </c>
      <c r="Z2748" t="n">
        <v>935</v>
      </c>
      <c r="AA2748" t="n">
        <v>2.5</v>
      </c>
      <c r="AB2748" t="n">
        <v>9.5</v>
      </c>
    </row>
    <row r="2749">
      <c r="A2749" t="inlineStr">
        <is>
          <t>2026-09-24 20:24:25</t>
        </is>
      </c>
      <c r="B2749" t="inlineStr">
        <is>
          <t>MLLB_000_y1.0.3</t>
        </is>
      </c>
      <c r="C2749" t="inlineStr">
        <is>
          <t>WHITE</t>
        </is>
      </c>
      <c r="D2749" t="inlineStr">
        <is>
          <t>v4_white_MLLB_000_y103_0924</t>
        </is>
      </c>
      <c r="E2749" t="n">
        <v>2.6</v>
      </c>
      <c r="F2749" t="n">
        <v>2.608</v>
      </c>
      <c r="G2749" t="n">
        <v>100</v>
      </c>
      <c r="H2749" t="n">
        <v>60</v>
      </c>
      <c r="I2749" t="n">
        <v>37</v>
      </c>
      <c r="J2749" t="inlineStr">
        <is>
          <t>ince</t>
        </is>
      </c>
      <c r="K2749" t="b">
        <v>0</v>
      </c>
      <c r="L2749" t="inlineStr">
        <is>
          <t>iki-OK-arasi-monotonluk</t>
        </is>
      </c>
      <c r="X2749" t="b">
        <v>1</v>
      </c>
      <c r="Z2749" t="n">
        <v>935</v>
      </c>
      <c r="AA2749" t="n">
        <v>2.5</v>
      </c>
      <c r="AB2749" t="n">
        <v>9.5</v>
      </c>
    </row>
    <row r="2750">
      <c r="A2750" t="inlineStr">
        <is>
          <t>2026-09-24 20:24:25</t>
        </is>
      </c>
      <c r="B2750" t="inlineStr">
        <is>
          <t>MLLB_000_y1.0.3</t>
        </is>
      </c>
      <c r="C2750" t="inlineStr">
        <is>
          <t>WHITE</t>
        </is>
      </c>
      <c r="D2750" t="inlineStr">
        <is>
          <t>v4_white_MLLB_000_y103_0924</t>
        </is>
      </c>
      <c r="E2750" t="n">
        <v>2.6</v>
      </c>
      <c r="F2750" t="n">
        <v>2.608</v>
      </c>
      <c r="G2750" t="n">
        <v>100</v>
      </c>
      <c r="H2750" t="n">
        <v>60</v>
      </c>
      <c r="I2750" t="n">
        <v>38</v>
      </c>
      <c r="J2750" t="inlineStr">
        <is>
          <t>ince</t>
        </is>
      </c>
      <c r="K2750" t="b">
        <v>0</v>
      </c>
      <c r="L2750" t="inlineStr">
        <is>
          <t>iki-OK-arasi-monotonluk</t>
        </is>
      </c>
      <c r="X2750" t="b">
        <v>1</v>
      </c>
      <c r="Z2750" t="n">
        <v>935</v>
      </c>
      <c r="AA2750" t="n">
        <v>2.5</v>
      </c>
      <c r="AB2750" t="n">
        <v>9.5</v>
      </c>
    </row>
    <row r="2751">
      <c r="A2751" t="inlineStr">
        <is>
          <t>2026-09-24 20:24:25</t>
        </is>
      </c>
      <c r="B2751" t="inlineStr">
        <is>
          <t>MLLB_000_y1.0.3</t>
        </is>
      </c>
      <c r="C2751" t="inlineStr">
        <is>
          <t>WHITE</t>
        </is>
      </c>
      <c r="D2751" t="inlineStr">
        <is>
          <t>v4_white_MLLB_000_y103_0924</t>
        </is>
      </c>
      <c r="E2751" t="n">
        <v>2.6</v>
      </c>
      <c r="F2751" t="n">
        <v>2.608</v>
      </c>
      <c r="G2751" t="n">
        <v>100</v>
      </c>
      <c r="H2751" t="n">
        <v>60</v>
      </c>
      <c r="I2751" t="n">
        <v>39</v>
      </c>
      <c r="J2751" t="inlineStr">
        <is>
          <t>ince</t>
        </is>
      </c>
      <c r="K2751" t="b">
        <v>0</v>
      </c>
      <c r="L2751" t="inlineStr">
        <is>
          <t>iki-OK-arasi-monotonluk</t>
        </is>
      </c>
      <c r="X2751" t="b">
        <v>1</v>
      </c>
      <c r="Z2751" t="n">
        <v>935</v>
      </c>
      <c r="AA2751" t="n">
        <v>2.5</v>
      </c>
      <c r="AB2751" t="n">
        <v>9.5</v>
      </c>
    </row>
    <row r="2752">
      <c r="A2752" t="inlineStr">
        <is>
          <t>2026-09-24 20:24:25</t>
        </is>
      </c>
      <c r="B2752" t="inlineStr">
        <is>
          <t>MLLB_000_y1.0.3</t>
        </is>
      </c>
      <c r="C2752" t="inlineStr">
        <is>
          <t>WHITE</t>
        </is>
      </c>
      <c r="D2752" t="inlineStr">
        <is>
          <t>v4_white_MLLB_000_y103_0924</t>
        </is>
      </c>
      <c r="E2752" t="n">
        <v>2.6</v>
      </c>
      <c r="F2752" t="n">
        <v>2.608</v>
      </c>
      <c r="G2752" t="n">
        <v>100</v>
      </c>
      <c r="H2752" t="n">
        <v>60</v>
      </c>
      <c r="I2752" t="n">
        <v>41</v>
      </c>
      <c r="J2752" t="inlineStr">
        <is>
          <t>ince</t>
        </is>
      </c>
      <c r="K2752" t="b">
        <v>0</v>
      </c>
      <c r="L2752" t="inlineStr">
        <is>
          <t>iki-OK-arasi-monotonluk</t>
        </is>
      </c>
      <c r="X2752" t="b">
        <v>1</v>
      </c>
      <c r="Z2752" t="n">
        <v>935</v>
      </c>
      <c r="AA2752" t="n">
        <v>2.5</v>
      </c>
      <c r="AB2752" t="n">
        <v>9.5</v>
      </c>
    </row>
    <row r="2753">
      <c r="A2753" t="inlineStr">
        <is>
          <t>2026-09-24 20:24:25</t>
        </is>
      </c>
      <c r="B2753" t="inlineStr">
        <is>
          <t>MLLB_000_y1.0.3</t>
        </is>
      </c>
      <c r="C2753" t="inlineStr">
        <is>
          <t>WHITE</t>
        </is>
      </c>
      <c r="D2753" t="inlineStr">
        <is>
          <t>v4_white_MLLB_000_y103_0924</t>
        </is>
      </c>
      <c r="E2753" t="n">
        <v>2.6</v>
      </c>
      <c r="F2753" t="n">
        <v>2.608</v>
      </c>
      <c r="G2753" t="n">
        <v>100</v>
      </c>
      <c r="H2753" t="n">
        <v>60</v>
      </c>
      <c r="I2753" t="n">
        <v>42</v>
      </c>
      <c r="J2753" t="inlineStr">
        <is>
          <t>ince</t>
        </is>
      </c>
      <c r="K2753" t="b">
        <v>0</v>
      </c>
      <c r="L2753" t="inlineStr">
        <is>
          <t>iki-OK-arasi-monotonluk</t>
        </is>
      </c>
      <c r="X2753" t="b">
        <v>1</v>
      </c>
      <c r="Z2753" t="n">
        <v>935</v>
      </c>
      <c r="AA2753" t="n">
        <v>2.5</v>
      </c>
      <c r="AB2753" t="n">
        <v>9.5</v>
      </c>
    </row>
    <row r="2754">
      <c r="A2754" t="inlineStr">
        <is>
          <t>2026-09-24 20:24:25</t>
        </is>
      </c>
      <c r="B2754" t="inlineStr">
        <is>
          <t>MLLB_000_y1.0.3</t>
        </is>
      </c>
      <c r="C2754" t="inlineStr">
        <is>
          <t>WHITE</t>
        </is>
      </c>
      <c r="D2754" t="inlineStr">
        <is>
          <t>v4_white_MLLB_000_y103_0924</t>
        </is>
      </c>
      <c r="E2754" t="n">
        <v>2.6</v>
      </c>
      <c r="F2754" t="n">
        <v>2.608</v>
      </c>
      <c r="G2754" t="n">
        <v>100</v>
      </c>
      <c r="H2754" t="n">
        <v>60</v>
      </c>
      <c r="I2754" t="n">
        <v>43</v>
      </c>
      <c r="J2754" t="inlineStr">
        <is>
          <t>ince</t>
        </is>
      </c>
      <c r="K2754" t="b">
        <v>0</v>
      </c>
      <c r="L2754" t="inlineStr">
        <is>
          <t>iki-OK-arasi-monotonluk</t>
        </is>
      </c>
      <c r="X2754" t="b">
        <v>1</v>
      </c>
      <c r="Z2754" t="n">
        <v>935</v>
      </c>
      <c r="AA2754" t="n">
        <v>2.5</v>
      </c>
      <c r="AB2754" t="n">
        <v>9.5</v>
      </c>
    </row>
    <row r="2755">
      <c r="A2755" t="inlineStr">
        <is>
          <t>2026-09-24 20:24:25</t>
        </is>
      </c>
      <c r="B2755" t="inlineStr">
        <is>
          <t>MLLB_000_y1.0.3</t>
        </is>
      </c>
      <c r="C2755" t="inlineStr">
        <is>
          <t>WHITE</t>
        </is>
      </c>
      <c r="D2755" t="inlineStr">
        <is>
          <t>v4_white_MLLB_000_y103_0924</t>
        </is>
      </c>
      <c r="E2755" t="n">
        <v>2.6</v>
      </c>
      <c r="F2755" t="n">
        <v>2.608</v>
      </c>
      <c r="G2755" t="n">
        <v>100</v>
      </c>
      <c r="H2755" t="n">
        <v>60</v>
      </c>
      <c r="I2755" t="n">
        <v>45</v>
      </c>
      <c r="J2755" t="inlineStr">
        <is>
          <t>ince</t>
        </is>
      </c>
      <c r="K2755" t="b">
        <v>0</v>
      </c>
      <c r="L2755" t="inlineStr">
        <is>
          <t>iki-OK-arasi-monotonluk</t>
        </is>
      </c>
      <c r="X2755" t="b">
        <v>1</v>
      </c>
      <c r="Z2755" t="n">
        <v>935</v>
      </c>
      <c r="AA2755" t="n">
        <v>2.5</v>
      </c>
      <c r="AB2755" t="n">
        <v>9.5</v>
      </c>
    </row>
    <row r="2756">
      <c r="A2756" t="inlineStr">
        <is>
          <t>2026-09-24 20:24:25</t>
        </is>
      </c>
      <c r="B2756" t="inlineStr">
        <is>
          <t>MLLB_000_y1.0.3</t>
        </is>
      </c>
      <c r="C2756" t="inlineStr">
        <is>
          <t>WHITE</t>
        </is>
      </c>
      <c r="D2756" t="inlineStr">
        <is>
          <t>v4_white_MLLB_000_y103_0924</t>
        </is>
      </c>
      <c r="E2756" t="n">
        <v>2.6</v>
      </c>
      <c r="F2756" t="n">
        <v>2.608</v>
      </c>
      <c r="G2756" t="n">
        <v>100</v>
      </c>
      <c r="H2756" t="n">
        <v>60</v>
      </c>
      <c r="I2756" t="n">
        <v>46</v>
      </c>
      <c r="J2756" t="inlineStr">
        <is>
          <t>ince</t>
        </is>
      </c>
      <c r="K2756" t="b">
        <v>0</v>
      </c>
      <c r="L2756" t="inlineStr">
        <is>
          <t>iki-OK-arasi-monotonluk</t>
        </is>
      </c>
      <c r="X2756" t="b">
        <v>1</v>
      </c>
      <c r="Z2756" t="n">
        <v>935</v>
      </c>
      <c r="AA2756" t="n">
        <v>2.5</v>
      </c>
      <c r="AB2756" t="n">
        <v>9.5</v>
      </c>
    </row>
    <row r="2757">
      <c r="A2757" t="inlineStr">
        <is>
          <t>2026-09-24 20:24:25</t>
        </is>
      </c>
      <c r="B2757" t="inlineStr">
        <is>
          <t>MLLB_000_y1.0.3</t>
        </is>
      </c>
      <c r="C2757" t="inlineStr">
        <is>
          <t>WHITE</t>
        </is>
      </c>
      <c r="D2757" t="inlineStr">
        <is>
          <t>v4_white_MLLB_000_y103_0924</t>
        </is>
      </c>
      <c r="E2757" t="n">
        <v>2.6</v>
      </c>
      <c r="F2757" t="n">
        <v>2.608</v>
      </c>
      <c r="G2757" t="n">
        <v>100</v>
      </c>
      <c r="H2757" t="n">
        <v>60</v>
      </c>
      <c r="I2757" t="n">
        <v>47</v>
      </c>
      <c r="J2757" t="inlineStr">
        <is>
          <t>ince</t>
        </is>
      </c>
      <c r="K2757" t="b">
        <v>0</v>
      </c>
      <c r="L2757" t="inlineStr">
        <is>
          <t>iki-OK-arasi-monotonluk</t>
        </is>
      </c>
      <c r="X2757" t="b">
        <v>1</v>
      </c>
      <c r="Z2757" t="n">
        <v>935</v>
      </c>
      <c r="AA2757" t="n">
        <v>2.5</v>
      </c>
      <c r="AB2757" t="n">
        <v>9.5</v>
      </c>
    </row>
    <row r="2758">
      <c r="A2758" t="inlineStr">
        <is>
          <t>2026-09-24 20:24:25</t>
        </is>
      </c>
      <c r="B2758" t="inlineStr">
        <is>
          <t>MLLB_000_y1.0.3</t>
        </is>
      </c>
      <c r="C2758" t="inlineStr">
        <is>
          <t>WHITE</t>
        </is>
      </c>
      <c r="D2758" t="inlineStr">
        <is>
          <t>v4_white_MLLB_000_y103_0924</t>
        </is>
      </c>
      <c r="E2758" t="n">
        <v>2.6</v>
      </c>
      <c r="F2758" t="n">
        <v>2.608</v>
      </c>
      <c r="G2758" t="n">
        <v>100</v>
      </c>
      <c r="H2758" t="n">
        <v>60</v>
      </c>
      <c r="I2758" t="n">
        <v>49</v>
      </c>
      <c r="J2758" t="inlineStr">
        <is>
          <t>ince</t>
        </is>
      </c>
      <c r="K2758" t="b">
        <v>0</v>
      </c>
      <c r="L2758" t="inlineStr">
        <is>
          <t>iki-OK-arasi-monotonluk</t>
        </is>
      </c>
      <c r="X2758" t="b">
        <v>1</v>
      </c>
      <c r="Z2758" t="n">
        <v>935</v>
      </c>
      <c r="AA2758" t="n">
        <v>2.5</v>
      </c>
      <c r="AB2758" t="n">
        <v>9.5</v>
      </c>
    </row>
    <row r="2759">
      <c r="A2759" t="inlineStr">
        <is>
          <t>2026-09-24 20:24:25</t>
        </is>
      </c>
      <c r="B2759" t="inlineStr">
        <is>
          <t>MLLB_000_y1.0.3</t>
        </is>
      </c>
      <c r="C2759" t="inlineStr">
        <is>
          <t>WHITE</t>
        </is>
      </c>
      <c r="D2759" t="inlineStr">
        <is>
          <t>v4_white_MLLB_000_y103_0924</t>
        </is>
      </c>
      <c r="E2759" t="n">
        <v>2.6</v>
      </c>
      <c r="F2759" t="n">
        <v>2.608</v>
      </c>
      <c r="G2759" t="n">
        <v>100</v>
      </c>
      <c r="H2759" t="n">
        <v>60</v>
      </c>
      <c r="I2759" t="n">
        <v>50</v>
      </c>
      <c r="J2759" t="inlineStr">
        <is>
          <t>ince</t>
        </is>
      </c>
      <c r="K2759" t="b">
        <v>0</v>
      </c>
      <c r="L2759" t="inlineStr">
        <is>
          <t>iki-OK-arasi-monotonluk</t>
        </is>
      </c>
      <c r="X2759" t="b">
        <v>1</v>
      </c>
      <c r="Z2759" t="n">
        <v>935</v>
      </c>
      <c r="AA2759" t="n">
        <v>2.5</v>
      </c>
      <c r="AB2759" t="n">
        <v>9.5</v>
      </c>
    </row>
    <row r="2760">
      <c r="A2760" t="inlineStr">
        <is>
          <t>2026-09-24 20:24:25</t>
        </is>
      </c>
      <c r="B2760" t="inlineStr">
        <is>
          <t>MLLB_000_y1.0.3</t>
        </is>
      </c>
      <c r="C2760" t="inlineStr">
        <is>
          <t>WHITE</t>
        </is>
      </c>
      <c r="D2760" t="inlineStr">
        <is>
          <t>v4_white_MLLB_000_y103_0924</t>
        </is>
      </c>
      <c r="E2760" t="n">
        <v>2.6</v>
      </c>
      <c r="F2760" t="n">
        <v>2.608</v>
      </c>
      <c r="G2760" t="n">
        <v>100</v>
      </c>
      <c r="H2760" t="n">
        <v>60</v>
      </c>
      <c r="I2760" t="n">
        <v>51</v>
      </c>
      <c r="J2760" t="inlineStr">
        <is>
          <t>ince</t>
        </is>
      </c>
      <c r="K2760" t="b">
        <v>0</v>
      </c>
      <c r="L2760" t="inlineStr">
        <is>
          <t>iki-OK-arasi-monotonluk</t>
        </is>
      </c>
      <c r="X2760" t="b">
        <v>1</v>
      </c>
      <c r="Z2760" t="n">
        <v>935</v>
      </c>
      <c r="AA2760" t="n">
        <v>2.5</v>
      </c>
      <c r="AB2760" t="n">
        <v>9.5</v>
      </c>
    </row>
    <row r="2761">
      <c r="A2761" t="inlineStr">
        <is>
          <t>2026-09-24 20:24:25</t>
        </is>
      </c>
      <c r="B2761" t="inlineStr">
        <is>
          <t>MLLB_000_y1.0.3</t>
        </is>
      </c>
      <c r="C2761" t="inlineStr">
        <is>
          <t>WHITE</t>
        </is>
      </c>
      <c r="D2761" t="inlineStr">
        <is>
          <t>v4_white_MLLB_000_y103_0924</t>
        </is>
      </c>
      <c r="E2761" t="n">
        <v>2.6</v>
      </c>
      <c r="F2761" t="n">
        <v>2.608</v>
      </c>
      <c r="G2761" t="n">
        <v>100</v>
      </c>
      <c r="H2761" t="n">
        <v>60</v>
      </c>
      <c r="I2761" t="n">
        <v>53</v>
      </c>
      <c r="J2761" t="inlineStr">
        <is>
          <t>ince</t>
        </is>
      </c>
      <c r="K2761" t="b">
        <v>0</v>
      </c>
      <c r="L2761" t="inlineStr">
        <is>
          <t>iki-OK-arasi-monotonluk</t>
        </is>
      </c>
      <c r="X2761" t="b">
        <v>1</v>
      </c>
      <c r="Z2761" t="n">
        <v>935</v>
      </c>
      <c r="AA2761" t="n">
        <v>2.5</v>
      </c>
      <c r="AB2761" t="n">
        <v>9.5</v>
      </c>
    </row>
    <row r="2762">
      <c r="A2762" t="inlineStr">
        <is>
          <t>2026-09-24 20:24:25</t>
        </is>
      </c>
      <c r="B2762" t="inlineStr">
        <is>
          <t>MLLB_000_y1.0.3</t>
        </is>
      </c>
      <c r="C2762" t="inlineStr">
        <is>
          <t>WHITE</t>
        </is>
      </c>
      <c r="D2762" t="inlineStr">
        <is>
          <t>v4_white_MLLB_000_y103_0924</t>
        </is>
      </c>
      <c r="E2762" t="n">
        <v>2.6</v>
      </c>
      <c r="F2762" t="n">
        <v>2.608</v>
      </c>
      <c r="G2762" t="n">
        <v>100</v>
      </c>
      <c r="H2762" t="n">
        <v>60</v>
      </c>
      <c r="I2762" t="n">
        <v>54</v>
      </c>
      <c r="J2762" t="inlineStr">
        <is>
          <t>ince</t>
        </is>
      </c>
      <c r="K2762" t="b">
        <v>0</v>
      </c>
      <c r="L2762" t="inlineStr">
        <is>
          <t>iki-OK-arasi-monotonluk</t>
        </is>
      </c>
      <c r="X2762" t="b">
        <v>1</v>
      </c>
      <c r="Z2762" t="n">
        <v>935</v>
      </c>
      <c r="AA2762" t="n">
        <v>2.5</v>
      </c>
      <c r="AB2762" t="n">
        <v>9.5</v>
      </c>
    </row>
    <row r="2763">
      <c r="A2763" t="inlineStr">
        <is>
          <t>2026-09-24 20:24:25</t>
        </is>
      </c>
      <c r="B2763" t="inlineStr">
        <is>
          <t>MLLB_000_y1.0.3</t>
        </is>
      </c>
      <c r="C2763" t="inlineStr">
        <is>
          <t>WHITE</t>
        </is>
      </c>
      <c r="D2763" t="inlineStr">
        <is>
          <t>v4_white_MLLB_000_y103_0924</t>
        </is>
      </c>
      <c r="E2763" t="n">
        <v>2.6</v>
      </c>
      <c r="F2763" t="n">
        <v>2.608</v>
      </c>
      <c r="G2763" t="n">
        <v>100</v>
      </c>
      <c r="H2763" t="n">
        <v>60</v>
      </c>
      <c r="I2763" t="n">
        <v>55</v>
      </c>
      <c r="J2763" t="inlineStr">
        <is>
          <t>ince</t>
        </is>
      </c>
      <c r="K2763" t="b">
        <v>0</v>
      </c>
      <c r="L2763" t="inlineStr">
        <is>
          <t>iki-OK-arasi-monotonluk</t>
        </is>
      </c>
      <c r="X2763" t="b">
        <v>1</v>
      </c>
      <c r="Z2763" t="n">
        <v>935</v>
      </c>
      <c r="AA2763" t="n">
        <v>2.5</v>
      </c>
      <c r="AB2763" t="n">
        <v>9.5</v>
      </c>
    </row>
    <row r="2764">
      <c r="A2764" t="inlineStr">
        <is>
          <t>2026-09-24 20:24:25</t>
        </is>
      </c>
      <c r="B2764" t="inlineStr">
        <is>
          <t>MLLB_000_y1.0.3</t>
        </is>
      </c>
      <c r="C2764" t="inlineStr">
        <is>
          <t>WHITE</t>
        </is>
      </c>
      <c r="D2764" t="inlineStr">
        <is>
          <t>v4_white_MLLB_000_y103_0924</t>
        </is>
      </c>
      <c r="E2764" t="n">
        <v>2.6</v>
      </c>
      <c r="F2764" t="n">
        <v>2.608</v>
      </c>
      <c r="G2764" t="n">
        <v>100</v>
      </c>
      <c r="H2764" t="n">
        <v>60</v>
      </c>
      <c r="I2764" t="n">
        <v>57</v>
      </c>
      <c r="J2764" t="inlineStr">
        <is>
          <t>ince</t>
        </is>
      </c>
      <c r="K2764" t="b">
        <v>0</v>
      </c>
      <c r="L2764" t="inlineStr">
        <is>
          <t>iki-OK-arasi-monotonluk</t>
        </is>
      </c>
      <c r="X2764" t="b">
        <v>1</v>
      </c>
      <c r="Z2764" t="n">
        <v>935</v>
      </c>
      <c r="AA2764" t="n">
        <v>2.5</v>
      </c>
      <c r="AB2764" t="n">
        <v>9.5</v>
      </c>
    </row>
    <row r="2765">
      <c r="A2765" t="inlineStr">
        <is>
          <t>2026-09-24 20:24:25</t>
        </is>
      </c>
      <c r="B2765" t="inlineStr">
        <is>
          <t>MLLB_000_y1.0.3</t>
        </is>
      </c>
      <c r="C2765" t="inlineStr">
        <is>
          <t>WHITE</t>
        </is>
      </c>
      <c r="D2765" t="inlineStr">
        <is>
          <t>v4_white_MLLB_000_y103_0924</t>
        </is>
      </c>
      <c r="E2765" t="n">
        <v>2.6</v>
      </c>
      <c r="F2765" t="n">
        <v>2.608</v>
      </c>
      <c r="G2765" t="n">
        <v>100</v>
      </c>
      <c r="H2765" t="n">
        <v>60</v>
      </c>
      <c r="J2765" t="inlineStr">
        <is>
          <t>bitti</t>
        </is>
      </c>
      <c r="K2765" t="b">
        <v>0</v>
      </c>
      <c r="Z2765" t="n">
        <v>935</v>
      </c>
      <c r="AA2765" t="n">
        <v>2.5</v>
      </c>
      <c r="AB2765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09375" customWidth="1" min="19" max="19"/>
  </cols>
  <sheetData>
    <row r="1">
      <c r="A1" s="2" t="inlineStr">
        <is>
          <t>voltage</t>
        </is>
      </c>
      <c r="B1" s="2" t="inlineStr">
        <is>
          <t>intensity</t>
        </is>
      </c>
      <c r="C1" s="2" t="inlineStr">
        <is>
          <t>kick_pc</t>
        </is>
      </c>
      <c r="D1" s="2" t="inlineStr">
        <is>
          <t>kick_ms</t>
        </is>
      </c>
      <c r="E1" s="2" t="inlineStr">
        <is>
          <t>t_on_ms</t>
        </is>
      </c>
      <c r="F1" s="2" t="inlineStr">
        <is>
          <t>t_dead_ms</t>
        </is>
      </c>
      <c r="G1" s="2" t="inlineStr">
        <is>
          <t>warmup_ms</t>
        </is>
      </c>
      <c r="H1" s="2" t="inlineStr">
        <is>
          <t>on_ms</t>
        </is>
      </c>
      <c r="I1" s="2" t="inlineStr">
        <is>
          <t>real_on_ms</t>
        </is>
      </c>
      <c r="J1" s="2" t="inlineStr">
        <is>
          <t>calc_total</t>
        </is>
      </c>
      <c r="K1" s="2" t="inlineStr">
        <is>
          <t>flash</t>
        </is>
      </c>
      <c r="L1" s="2" t="inlineStr">
        <is>
          <t>settled_mA</t>
        </is>
      </c>
      <c r="M1" s="2" t="inlineStr">
        <is>
          <t>all_zero</t>
        </is>
      </c>
      <c r="N1" s="2" t="inlineStr">
        <is>
          <t>pass_warmup_on_ms</t>
        </is>
      </c>
      <c r="O1" s="2" t="inlineStr">
        <is>
          <t>pass_warmup_real_ms</t>
        </is>
      </c>
      <c r="P1" s="2" t="inlineStr">
        <is>
          <t>pass_on_ms</t>
        </is>
      </c>
      <c r="Q1" s="2" t="inlineStr">
        <is>
          <t>pass_real_on_ms</t>
        </is>
      </c>
      <c r="R1" s="2" t="inlineStr">
        <is>
          <t>.</t>
        </is>
      </c>
    </row>
    <row r="2">
      <c r="A2">
        <f>Data!E2</f>
        <v/>
      </c>
      <c r="B2">
        <f>Data!G2</f>
        <v/>
      </c>
      <c r="C2">
        <f>Data!H2</f>
        <v/>
      </c>
      <c r="D2">
        <f>Data!I2</f>
        <v/>
      </c>
      <c r="E2">
        <f>Data!M2</f>
        <v/>
      </c>
      <c r="F2">
        <f>Data!O2</f>
        <v/>
      </c>
      <c r="G2">
        <f>E2-F2</f>
        <v/>
      </c>
      <c r="H2">
        <f>Data!P2</f>
        <v/>
      </c>
      <c r="I2">
        <f>G2+H2</f>
        <v/>
      </c>
      <c r="J2">
        <f>F2+G2+H2</f>
        <v/>
      </c>
      <c r="K2">
        <f>Data!R2</f>
        <v/>
      </c>
      <c r="L2">
        <f>Data!T2</f>
        <v/>
      </c>
      <c r="M2">
        <f>AND(E2=0,F2=0,G2=0,H2=0,I2=0,J2=0,K2=0,L2=0)</f>
        <v/>
      </c>
      <c r="N2">
        <f>G2&lt;=$T$6</f>
        <v/>
      </c>
      <c r="O2">
        <f>G2&lt;=$T$12</f>
        <v/>
      </c>
      <c r="P2">
        <f>OR(AND(H2&gt;=$T$4,K2&lt;=$T$5,N2),M2)</f>
        <v/>
      </c>
      <c r="Q2">
        <f>OR(AND(I2&gt;=$T$10,K2&lt;=$T$11,O2),M2)</f>
        <v/>
      </c>
    </row>
    <row r="3">
      <c r="A3">
        <f>Data!E3</f>
        <v/>
      </c>
      <c r="B3">
        <f>Data!G3</f>
        <v/>
      </c>
      <c r="C3">
        <f>Data!H3</f>
        <v/>
      </c>
      <c r="D3">
        <f>Data!I3</f>
        <v/>
      </c>
      <c r="E3">
        <f>Data!M3</f>
        <v/>
      </c>
      <c r="F3">
        <f>Data!O3</f>
        <v/>
      </c>
      <c r="G3">
        <f>E3-F3</f>
        <v/>
      </c>
      <c r="H3">
        <f>Data!P3</f>
        <v/>
      </c>
      <c r="I3">
        <f>G3+H3</f>
        <v/>
      </c>
      <c r="J3">
        <f>F3+G3+H3</f>
        <v/>
      </c>
      <c r="K3">
        <f>Data!R3</f>
        <v/>
      </c>
      <c r="L3">
        <f>Data!T3</f>
        <v/>
      </c>
      <c r="M3">
        <f>AND(E3=0,F3=0,G3=0,H3=0,I3=0,J3=0,K3=0,L3=0)</f>
        <v/>
      </c>
      <c r="N3">
        <f>G3&lt;=$T$6</f>
        <v/>
      </c>
      <c r="O3">
        <f>G3&lt;=$T$12</f>
        <v/>
      </c>
      <c r="P3">
        <f>OR(AND(H3&gt;=$T$4,K3&lt;=$T$5,N3),M3)</f>
        <v/>
      </c>
      <c r="Q3">
        <f>OR(AND(I3&gt;=$T$10,K3&lt;=$T$11,O3),M3)</f>
        <v/>
      </c>
    </row>
    <row r="4">
      <c r="A4">
        <f>Data!E4</f>
        <v/>
      </c>
      <c r="B4">
        <f>Data!G4</f>
        <v/>
      </c>
      <c r="C4">
        <f>Data!H4</f>
        <v/>
      </c>
      <c r="D4">
        <f>Data!I4</f>
        <v/>
      </c>
      <c r="E4">
        <f>Data!M4</f>
        <v/>
      </c>
      <c r="F4">
        <f>Data!O4</f>
        <v/>
      </c>
      <c r="G4">
        <f>E4-F4</f>
        <v/>
      </c>
      <c r="H4">
        <f>Data!P4</f>
        <v/>
      </c>
      <c r="I4">
        <f>G4+H4</f>
        <v/>
      </c>
      <c r="J4">
        <f>F4+G4+H4</f>
        <v/>
      </c>
      <c r="K4">
        <f>Data!R4</f>
        <v/>
      </c>
      <c r="L4">
        <f>Data!T4</f>
        <v/>
      </c>
      <c r="M4">
        <f>AND(E4=0,F4=0,G4=0,H4=0,I4=0,J4=0,K4=0,L4=0)</f>
        <v/>
      </c>
      <c r="N4">
        <f>G4&lt;=$T$6</f>
        <v/>
      </c>
      <c r="O4">
        <f>G4&lt;=$T$12</f>
        <v/>
      </c>
      <c r="P4">
        <f>OR(AND(H4&gt;=$T$4,K4&lt;=$T$5,N4),M4)</f>
        <v/>
      </c>
      <c r="Q4">
        <f>OR(AND(I4&gt;=$T$10,K4&lt;=$T$11,O4),M4)</f>
        <v/>
      </c>
      <c r="S4" s="3" t="inlineStr">
        <is>
          <t>min on_ms</t>
        </is>
      </c>
      <c r="T4" s="4" t="n">
        <v>800</v>
      </c>
      <c r="U4" s="5" t="n"/>
    </row>
    <row r="5">
      <c r="A5">
        <f>Data!E5</f>
        <v/>
      </c>
      <c r="B5">
        <f>Data!G5</f>
        <v/>
      </c>
      <c r="C5">
        <f>Data!H5</f>
        <v/>
      </c>
      <c r="D5">
        <f>Data!I5</f>
        <v/>
      </c>
      <c r="E5">
        <f>Data!M5</f>
        <v/>
      </c>
      <c r="F5">
        <f>Data!O5</f>
        <v/>
      </c>
      <c r="G5">
        <f>E5-F5</f>
        <v/>
      </c>
      <c r="H5">
        <f>Data!P5</f>
        <v/>
      </c>
      <c r="I5">
        <f>G5+H5</f>
        <v/>
      </c>
      <c r="J5">
        <f>F5+G5+H5</f>
        <v/>
      </c>
      <c r="K5">
        <f>Data!R5</f>
        <v/>
      </c>
      <c r="L5">
        <f>Data!T5</f>
        <v/>
      </c>
      <c r="M5">
        <f>AND(E5=0,F5=0,G5=0,H5=0,I5=0,J5=0,K5=0,L5=0)</f>
        <v/>
      </c>
      <c r="N5">
        <f>G5&lt;=$T$6</f>
        <v/>
      </c>
      <c r="O5">
        <f>G5&lt;=$T$12</f>
        <v/>
      </c>
      <c r="P5">
        <f>OR(AND(H5&gt;=$T$4,K5&lt;=$T$5,N5),M5)</f>
        <v/>
      </c>
      <c r="Q5">
        <f>OR(AND(I5&gt;=$T$10,K5&lt;=$T$11,O5),M5)</f>
        <v/>
      </c>
      <c r="S5" s="6" t="inlineStr">
        <is>
          <t>max flash</t>
        </is>
      </c>
      <c r="T5" s="7" t="n">
        <v>3.5</v>
      </c>
      <c r="U5" s="8" t="n"/>
    </row>
    <row r="6">
      <c r="A6">
        <f>Data!E6</f>
        <v/>
      </c>
      <c r="B6">
        <f>Data!G6</f>
        <v/>
      </c>
      <c r="C6">
        <f>Data!H6</f>
        <v/>
      </c>
      <c r="D6">
        <f>Data!I6</f>
        <v/>
      </c>
      <c r="E6">
        <f>Data!M6</f>
        <v/>
      </c>
      <c r="F6">
        <f>Data!O6</f>
        <v/>
      </c>
      <c r="G6">
        <f>E6-F6</f>
        <v/>
      </c>
      <c r="H6">
        <f>Data!P6</f>
        <v/>
      </c>
      <c r="I6">
        <f>G6+H6</f>
        <v/>
      </c>
      <c r="J6">
        <f>F6+G6+H6</f>
        <v/>
      </c>
      <c r="K6">
        <f>Data!R6</f>
        <v/>
      </c>
      <c r="L6">
        <f>Data!T6</f>
        <v/>
      </c>
      <c r="M6">
        <f>AND(E6=0,F6=0,G6=0,H6=0,I6=0,J6=0,K6=0,L6=0)</f>
        <v/>
      </c>
      <c r="N6">
        <f>G6&lt;=$T$6</f>
        <v/>
      </c>
      <c r="O6">
        <f>G6&lt;=$T$12</f>
        <v/>
      </c>
      <c r="P6">
        <f>OR(AND(H6&gt;=$T$4,K6&lt;=$T$5,N6),M6)</f>
        <v/>
      </c>
      <c r="Q6">
        <f>OR(AND(I6&gt;=$T$10,K6&lt;=$T$11,O6),M6)</f>
        <v/>
      </c>
      <c r="S6" s="6" t="inlineStr">
        <is>
          <t>max_warmup_ms</t>
        </is>
      </c>
      <c r="T6" s="7" t="n">
        <v>300</v>
      </c>
      <c r="U6" s="8" t="n"/>
    </row>
    <row r="7">
      <c r="A7">
        <f>Data!E7</f>
        <v/>
      </c>
      <c r="B7">
        <f>Data!G7</f>
        <v/>
      </c>
      <c r="C7">
        <f>Data!H7</f>
        <v/>
      </c>
      <c r="D7">
        <f>Data!I7</f>
        <v/>
      </c>
      <c r="E7">
        <f>Data!M7</f>
        <v/>
      </c>
      <c r="F7">
        <f>Data!O7</f>
        <v/>
      </c>
      <c r="G7">
        <f>E7-F7</f>
        <v/>
      </c>
      <c r="H7">
        <f>Data!P7</f>
        <v/>
      </c>
      <c r="I7">
        <f>G7+H7</f>
        <v/>
      </c>
      <c r="J7">
        <f>F7+G7+H7</f>
        <v/>
      </c>
      <c r="K7">
        <f>Data!R7</f>
        <v/>
      </c>
      <c r="L7">
        <f>Data!T7</f>
        <v/>
      </c>
      <c r="M7">
        <f>AND(E7=0,F7=0,G7=0,H7=0,I7=0,J7=0,K7=0,L7=0)</f>
        <v/>
      </c>
      <c r="N7">
        <f>G7&lt;=$T$6</f>
        <v/>
      </c>
      <c r="O7">
        <f>G7&lt;=$T$12</f>
        <v/>
      </c>
      <c r="P7">
        <f>OR(AND(H7&gt;=$T$4,K7&lt;=$T$5,N7),M7)</f>
        <v/>
      </c>
      <c r="Q7">
        <f>OR(AND(I7&gt;=$T$10,K7&lt;=$T$11,O7),M7)</f>
        <v/>
      </c>
      <c r="S7" s="6" t="inlineStr">
        <is>
          <t>pass True</t>
        </is>
      </c>
      <c r="T7">
        <f t="array" ref="T7">SUMPRODUCT(((($H$2:$H$2639&gt;=T4)*($K$2:$K$2639&lt;=T5)*($G$2:$G$2639&lt;=T6))+(--$M$2:$M$2639)&gt;0)*1)</f>
        <v/>
      </c>
      <c r="U7" s="9">
        <f>T7/COUNT($A$2:$A$2639)</f>
        <v/>
      </c>
    </row>
    <row r="8">
      <c r="A8">
        <f>Data!E8</f>
        <v/>
      </c>
      <c r="B8">
        <f>Data!G8</f>
        <v/>
      </c>
      <c r="C8">
        <f>Data!H8</f>
        <v/>
      </c>
      <c r="D8">
        <f>Data!I8</f>
        <v/>
      </c>
      <c r="E8">
        <f>Data!M8</f>
        <v/>
      </c>
      <c r="F8">
        <f>Data!O8</f>
        <v/>
      </c>
      <c r="G8">
        <f>E8-F8</f>
        <v/>
      </c>
      <c r="H8">
        <f>Data!P8</f>
        <v/>
      </c>
      <c r="I8">
        <f>G8+H8</f>
        <v/>
      </c>
      <c r="J8">
        <f>F8+G8+H8</f>
        <v/>
      </c>
      <c r="K8">
        <f>Data!R8</f>
        <v/>
      </c>
      <c r="L8">
        <f>Data!T8</f>
        <v/>
      </c>
      <c r="M8">
        <f>AND(E8=0,F8=0,G8=0,H8=0,I8=0,J8=0,K8=0,L8=0)</f>
        <v/>
      </c>
      <c r="N8">
        <f>G8&lt;=$T$6</f>
        <v/>
      </c>
      <c r="O8">
        <f>G8&lt;=$T$12</f>
        <v/>
      </c>
      <c r="P8">
        <f>OR(AND(H8&gt;=$T$4,K8&lt;=$T$5,N8),M8)</f>
        <v/>
      </c>
      <c r="Q8">
        <f>OR(AND(I8&gt;=$T$10,K8&lt;=$T$11,O8),M8)</f>
        <v/>
      </c>
      <c r="S8" s="10" t="inlineStr">
        <is>
          <t>pass False</t>
        </is>
      </c>
      <c r="T8" s="11">
        <f>COUNT($A$2:$A$2639)-T7</f>
        <v/>
      </c>
      <c r="U8" s="12">
        <f>T8/COUNT($A$2:$A$2639)</f>
        <v/>
      </c>
    </row>
    <row r="9">
      <c r="A9">
        <f>Data!E9</f>
        <v/>
      </c>
      <c r="B9">
        <f>Data!G9</f>
        <v/>
      </c>
      <c r="C9">
        <f>Data!H9</f>
        <v/>
      </c>
      <c r="D9">
        <f>Data!I9</f>
        <v/>
      </c>
      <c r="E9">
        <f>Data!M9</f>
        <v/>
      </c>
      <c r="F9">
        <f>Data!O9</f>
        <v/>
      </c>
      <c r="G9">
        <f>E9-F9</f>
        <v/>
      </c>
      <c r="H9">
        <f>Data!P9</f>
        <v/>
      </c>
      <c r="I9">
        <f>G9+H9</f>
        <v/>
      </c>
      <c r="J9">
        <f>F9+G9+H9</f>
        <v/>
      </c>
      <c r="K9">
        <f>Data!R9</f>
        <v/>
      </c>
      <c r="L9">
        <f>Data!T9</f>
        <v/>
      </c>
      <c r="M9">
        <f>AND(E9=0,F9=0,G9=0,H9=0,I9=0,J9=0,K9=0,L9=0)</f>
        <v/>
      </c>
      <c r="N9">
        <f>G9&lt;=$T$6</f>
        <v/>
      </c>
      <c r="O9">
        <f>G9&lt;=$T$12</f>
        <v/>
      </c>
      <c r="P9">
        <f>OR(AND(H9&gt;=$T$4,K9&lt;=$T$5,N9),M9)</f>
        <v/>
      </c>
      <c r="Q9">
        <f>OR(AND(I9&gt;=$T$10,K9&lt;=$T$11,O9),M9)</f>
        <v/>
      </c>
    </row>
    <row r="10">
      <c r="A10">
        <f>Data!E10</f>
        <v/>
      </c>
      <c r="B10">
        <f>Data!G10</f>
        <v/>
      </c>
      <c r="C10">
        <f>Data!H10</f>
        <v/>
      </c>
      <c r="D10">
        <f>Data!I10</f>
        <v/>
      </c>
      <c r="E10">
        <f>Data!M10</f>
        <v/>
      </c>
      <c r="F10">
        <f>Data!O10</f>
        <v/>
      </c>
      <c r="G10">
        <f>E10-F10</f>
        <v/>
      </c>
      <c r="H10">
        <f>Data!P10</f>
        <v/>
      </c>
      <c r="I10">
        <f>G10+H10</f>
        <v/>
      </c>
      <c r="J10">
        <f>F10+G10+H10</f>
        <v/>
      </c>
      <c r="K10">
        <f>Data!R10</f>
        <v/>
      </c>
      <c r="L10">
        <f>Data!T10</f>
        <v/>
      </c>
      <c r="M10">
        <f>AND(E10=0,F10=0,G10=0,H10=0,I10=0,J10=0,K10=0,L10=0)</f>
        <v/>
      </c>
      <c r="N10">
        <f>G10&lt;=$T$6</f>
        <v/>
      </c>
      <c r="O10">
        <f>G10&lt;=$T$12</f>
        <v/>
      </c>
      <c r="P10">
        <f>OR(AND(H10&gt;=$T$4,K10&lt;=$T$5,N10),M10)</f>
        <v/>
      </c>
      <c r="Q10">
        <f>OR(AND(I10&gt;=$T$10,K10&lt;=$T$11,O10),M10)</f>
        <v/>
      </c>
      <c r="S10" s="3" t="inlineStr">
        <is>
          <t>min real_on_ms</t>
        </is>
      </c>
      <c r="T10" s="4" t="n">
        <v>800</v>
      </c>
      <c r="U10" s="5" t="n"/>
    </row>
    <row r="11">
      <c r="A11">
        <f>Data!E11</f>
        <v/>
      </c>
      <c r="B11">
        <f>Data!G11</f>
        <v/>
      </c>
      <c r="C11">
        <f>Data!H11</f>
        <v/>
      </c>
      <c r="D11">
        <f>Data!I11</f>
        <v/>
      </c>
      <c r="E11">
        <f>Data!M11</f>
        <v/>
      </c>
      <c r="F11">
        <f>Data!O11</f>
        <v/>
      </c>
      <c r="G11">
        <f>E11-F11</f>
        <v/>
      </c>
      <c r="H11">
        <f>Data!P11</f>
        <v/>
      </c>
      <c r="I11">
        <f>G11+H11</f>
        <v/>
      </c>
      <c r="J11">
        <f>F11+G11+H11</f>
        <v/>
      </c>
      <c r="K11">
        <f>Data!R11</f>
        <v/>
      </c>
      <c r="L11">
        <f>Data!T11</f>
        <v/>
      </c>
      <c r="M11">
        <f>AND(E11=0,F11=0,G11=0,H11=0,I11=0,J11=0,K11=0,L11=0)</f>
        <v/>
      </c>
      <c r="N11">
        <f>G11&lt;=$T$6</f>
        <v/>
      </c>
      <c r="O11">
        <f>G11&lt;=$T$12</f>
        <v/>
      </c>
      <c r="P11">
        <f>OR(AND(H11&gt;=$T$4,K11&lt;=$T$5,N11),M11)</f>
        <v/>
      </c>
      <c r="Q11">
        <f>OR(AND(I11&gt;=$T$10,K11&lt;=$T$11,O11),M11)</f>
        <v/>
      </c>
      <c r="S11" s="6" t="inlineStr">
        <is>
          <t>max flash</t>
        </is>
      </c>
      <c r="T11" s="7" t="n">
        <v>3.5</v>
      </c>
      <c r="U11" s="8" t="n"/>
    </row>
    <row r="12">
      <c r="A12">
        <f>Data!E13</f>
        <v/>
      </c>
      <c r="B12">
        <f>Data!G13</f>
        <v/>
      </c>
      <c r="C12">
        <f>Data!H13</f>
        <v/>
      </c>
      <c r="D12">
        <f>Data!I13</f>
        <v/>
      </c>
      <c r="E12">
        <f>Data!M13</f>
        <v/>
      </c>
      <c r="F12">
        <f>Data!O13</f>
        <v/>
      </c>
      <c r="G12">
        <f>E12-F12</f>
        <v/>
      </c>
      <c r="H12">
        <f>Data!P13</f>
        <v/>
      </c>
      <c r="I12">
        <f>G12+H12</f>
        <v/>
      </c>
      <c r="J12">
        <f>F12+G12+H12</f>
        <v/>
      </c>
      <c r="K12">
        <f>Data!R13</f>
        <v/>
      </c>
      <c r="L12">
        <f>Data!T13</f>
        <v/>
      </c>
      <c r="M12">
        <f>AND(E12=0,F12=0,G12=0,H12=0,I12=0,J12=0,K12=0,L12=0)</f>
        <v/>
      </c>
      <c r="N12">
        <f>G12&lt;=$T$6</f>
        <v/>
      </c>
      <c r="O12">
        <f>G12&lt;=$T$12</f>
        <v/>
      </c>
      <c r="P12">
        <f>OR(AND(H12&gt;=$T$4,K12&lt;=$T$5,N12),M12)</f>
        <v/>
      </c>
      <c r="Q12">
        <f>OR(AND(I12&gt;=$T$10,K12&lt;=$T$11,O12),M12)</f>
        <v/>
      </c>
      <c r="S12" s="6" t="inlineStr">
        <is>
          <t>max_warmup_ms</t>
        </is>
      </c>
      <c r="T12" s="7" t="n">
        <v>500</v>
      </c>
      <c r="U12" s="8" t="n"/>
    </row>
    <row r="13">
      <c r="A13">
        <f>Data!E14</f>
        <v/>
      </c>
      <c r="B13">
        <f>Data!G14</f>
        <v/>
      </c>
      <c r="C13">
        <f>Data!H14</f>
        <v/>
      </c>
      <c r="D13">
        <f>Data!I14</f>
        <v/>
      </c>
      <c r="E13">
        <f>Data!M14</f>
        <v/>
      </c>
      <c r="F13">
        <f>Data!O14</f>
        <v/>
      </c>
      <c r="G13">
        <f>E13-F13</f>
        <v/>
      </c>
      <c r="H13">
        <f>Data!P14</f>
        <v/>
      </c>
      <c r="I13">
        <f>G13+H13</f>
        <v/>
      </c>
      <c r="J13">
        <f>F13+G13+H13</f>
        <v/>
      </c>
      <c r="K13">
        <f>Data!R14</f>
        <v/>
      </c>
      <c r="L13">
        <f>Data!T14</f>
        <v/>
      </c>
      <c r="M13">
        <f>AND(E13=0,F13=0,G13=0,H13=0,I13=0,J13=0,K13=0,L13=0)</f>
        <v/>
      </c>
      <c r="N13">
        <f>G13&lt;=$T$6</f>
        <v/>
      </c>
      <c r="O13">
        <f>G13&lt;=$T$12</f>
        <v/>
      </c>
      <c r="P13">
        <f>OR(AND(H13&gt;=$T$4,K13&lt;=$T$5,N13),M13)</f>
        <v/>
      </c>
      <c r="Q13">
        <f>OR(AND(I13&gt;=$T$10,K13&lt;=$T$11,O13),M13)</f>
        <v/>
      </c>
      <c r="S13" s="6" t="inlineStr">
        <is>
          <t>pass True</t>
        </is>
      </c>
      <c r="T13">
        <f t="array" ref="T13">SUMPRODUCT(((($I$2:$I$2639&gt;=T10)*($K$2:$K$2639&lt;=T11)*($G$2:$G$2639&lt;=T12))+(--$M$2:$M$2639)&gt;0)*1)</f>
        <v/>
      </c>
      <c r="U13" s="9">
        <f>T13/COUNT($A$2:$A$2639)</f>
        <v/>
      </c>
    </row>
    <row r="14">
      <c r="A14">
        <f>Data!E15</f>
        <v/>
      </c>
      <c r="B14">
        <f>Data!G15</f>
        <v/>
      </c>
      <c r="C14">
        <f>Data!H15</f>
        <v/>
      </c>
      <c r="D14">
        <f>Data!I15</f>
        <v/>
      </c>
      <c r="E14">
        <f>Data!M15</f>
        <v/>
      </c>
      <c r="F14">
        <f>Data!O15</f>
        <v/>
      </c>
      <c r="G14">
        <f>E14-F14</f>
        <v/>
      </c>
      <c r="H14">
        <f>Data!P15</f>
        <v/>
      </c>
      <c r="I14">
        <f>G14+H14</f>
        <v/>
      </c>
      <c r="J14">
        <f>F14+G14+H14</f>
        <v/>
      </c>
      <c r="K14">
        <f>Data!R15</f>
        <v/>
      </c>
      <c r="L14">
        <f>Data!T15</f>
        <v/>
      </c>
      <c r="M14">
        <f>AND(E14=0,F14=0,G14=0,H14=0,I14=0,J14=0,K14=0,L14=0)</f>
        <v/>
      </c>
      <c r="N14">
        <f>G14&lt;=$T$6</f>
        <v/>
      </c>
      <c r="O14">
        <f>G14&lt;=$T$12</f>
        <v/>
      </c>
      <c r="P14">
        <f>OR(AND(H14&gt;=$T$4,K14&lt;=$T$5,N14),M14)</f>
        <v/>
      </c>
      <c r="Q14">
        <f>OR(AND(I14&gt;=$T$10,K14&lt;=$T$11,O14),M14)</f>
        <v/>
      </c>
      <c r="S14" s="10" t="inlineStr">
        <is>
          <t>pass False</t>
        </is>
      </c>
      <c r="T14" s="11">
        <f>COUNT($A$2:$A$2639)-T13</f>
        <v/>
      </c>
      <c r="U14" s="12">
        <f>T14/COUNT($A$2:$A$2639)</f>
        <v/>
      </c>
    </row>
    <row r="15">
      <c r="A15">
        <f>Data!E16</f>
        <v/>
      </c>
      <c r="B15">
        <f>Data!G16</f>
        <v/>
      </c>
      <c r="C15">
        <f>Data!H16</f>
        <v/>
      </c>
      <c r="D15">
        <f>Data!I16</f>
        <v/>
      </c>
      <c r="E15">
        <f>Data!M16</f>
        <v/>
      </c>
      <c r="F15">
        <f>Data!O16</f>
        <v/>
      </c>
      <c r="G15">
        <f>E15-F15</f>
        <v/>
      </c>
      <c r="H15">
        <f>Data!P16</f>
        <v/>
      </c>
      <c r="I15">
        <f>G15+H15</f>
        <v/>
      </c>
      <c r="J15">
        <f>F15+G15+H15</f>
        <v/>
      </c>
      <c r="K15">
        <f>Data!R16</f>
        <v/>
      </c>
      <c r="L15">
        <f>Data!T16</f>
        <v/>
      </c>
      <c r="M15">
        <f>AND(E15=0,F15=0,G15=0,H15=0,I15=0,J15=0,K15=0,L15=0)</f>
        <v/>
      </c>
      <c r="N15">
        <f>G15&lt;=$T$6</f>
        <v/>
      </c>
      <c r="O15">
        <f>G15&lt;=$T$12</f>
        <v/>
      </c>
      <c r="P15">
        <f>OR(AND(H15&gt;=$T$4,K15&lt;=$T$5,N15),M15)</f>
        <v/>
      </c>
      <c r="Q15">
        <f>OR(AND(I15&gt;=$T$10,K15&lt;=$T$11,O15),M15)</f>
        <v/>
      </c>
    </row>
    <row r="16">
      <c r="A16">
        <f>Data!E17</f>
        <v/>
      </c>
      <c r="B16">
        <f>Data!G17</f>
        <v/>
      </c>
      <c r="C16">
        <f>Data!H17</f>
        <v/>
      </c>
      <c r="D16">
        <f>Data!I17</f>
        <v/>
      </c>
      <c r="E16">
        <f>Data!M17</f>
        <v/>
      </c>
      <c r="F16">
        <f>Data!O17</f>
        <v/>
      </c>
      <c r="G16">
        <f>E16-F16</f>
        <v/>
      </c>
      <c r="H16">
        <f>Data!P17</f>
        <v/>
      </c>
      <c r="I16">
        <f>G16+H16</f>
        <v/>
      </c>
      <c r="J16">
        <f>F16+G16+H16</f>
        <v/>
      </c>
      <c r="K16">
        <f>Data!R17</f>
        <v/>
      </c>
      <c r="L16">
        <f>Data!T17</f>
        <v/>
      </c>
      <c r="M16">
        <f>AND(E16=0,F16=0,G16=0,H16=0,I16=0,J16=0,K16=0,L16=0)</f>
        <v/>
      </c>
      <c r="N16">
        <f>G16&lt;=$T$6</f>
        <v/>
      </c>
      <c r="O16">
        <f>G16&lt;=$T$12</f>
        <v/>
      </c>
      <c r="P16">
        <f>OR(AND(H16&gt;=$T$4,K16&lt;=$T$5,N16),M16)</f>
        <v/>
      </c>
      <c r="Q16">
        <f>OR(AND(I16&gt;=$T$10,K16&lt;=$T$11,O16),M16)</f>
        <v/>
      </c>
    </row>
    <row r="17">
      <c r="A17">
        <f>Data!E18</f>
        <v/>
      </c>
      <c r="B17">
        <f>Data!G18</f>
        <v/>
      </c>
      <c r="C17">
        <f>Data!H18</f>
        <v/>
      </c>
      <c r="D17">
        <f>Data!I18</f>
        <v/>
      </c>
      <c r="E17">
        <f>Data!M18</f>
        <v/>
      </c>
      <c r="F17">
        <f>Data!O18</f>
        <v/>
      </c>
      <c r="G17">
        <f>E17-F17</f>
        <v/>
      </c>
      <c r="H17">
        <f>Data!P18</f>
        <v/>
      </c>
      <c r="I17">
        <f>G17+H17</f>
        <v/>
      </c>
      <c r="J17">
        <f>F17+G17+H17</f>
        <v/>
      </c>
      <c r="K17">
        <f>Data!R18</f>
        <v/>
      </c>
      <c r="L17">
        <f>Data!T18</f>
        <v/>
      </c>
      <c r="M17">
        <f>AND(E17=0,F17=0,G17=0,H17=0,I17=0,J17=0,K17=0,L17=0)</f>
        <v/>
      </c>
      <c r="N17">
        <f>G17&lt;=$T$6</f>
        <v/>
      </c>
      <c r="O17">
        <f>G17&lt;=$T$12</f>
        <v/>
      </c>
      <c r="P17">
        <f>OR(AND(H17&gt;=$T$4,K17&lt;=$T$5,N17),M17)</f>
        <v/>
      </c>
      <c r="Q17">
        <f>OR(AND(I17&gt;=$T$10,K17&lt;=$T$11,O17),M17)</f>
        <v/>
      </c>
    </row>
    <row r="18">
      <c r="A18">
        <f>Data!E19</f>
        <v/>
      </c>
      <c r="B18">
        <f>Data!G19</f>
        <v/>
      </c>
      <c r="C18">
        <f>Data!H19</f>
        <v/>
      </c>
      <c r="D18">
        <f>Data!I19</f>
        <v/>
      </c>
      <c r="E18">
        <f>Data!M19</f>
        <v/>
      </c>
      <c r="F18">
        <f>Data!O19</f>
        <v/>
      </c>
      <c r="G18">
        <f>E18-F18</f>
        <v/>
      </c>
      <c r="H18">
        <f>Data!P19</f>
        <v/>
      </c>
      <c r="I18">
        <f>G18+H18</f>
        <v/>
      </c>
      <c r="J18">
        <f>F18+G18+H18</f>
        <v/>
      </c>
      <c r="K18">
        <f>Data!R19</f>
        <v/>
      </c>
      <c r="L18">
        <f>Data!T19</f>
        <v/>
      </c>
      <c r="M18">
        <f>AND(E18=0,F18=0,G18=0,H18=0,I18=0,J18=0,K18=0,L18=0)</f>
        <v/>
      </c>
      <c r="N18">
        <f>G18&lt;=$T$6</f>
        <v/>
      </c>
      <c r="O18">
        <f>G18&lt;=$T$12</f>
        <v/>
      </c>
      <c r="P18">
        <f>OR(AND(H18&gt;=$T$4,K18&lt;=$T$5,N18),M18)</f>
        <v/>
      </c>
      <c r="Q18">
        <f>OR(AND(I18&gt;=$T$10,K18&lt;=$T$11,O18),M18)</f>
        <v/>
      </c>
    </row>
    <row r="19">
      <c r="A19">
        <f>Data!E20</f>
        <v/>
      </c>
      <c r="B19">
        <f>Data!G20</f>
        <v/>
      </c>
      <c r="C19">
        <f>Data!H20</f>
        <v/>
      </c>
      <c r="D19">
        <f>Data!I20</f>
        <v/>
      </c>
      <c r="E19">
        <f>Data!M20</f>
        <v/>
      </c>
      <c r="F19">
        <f>Data!O20</f>
        <v/>
      </c>
      <c r="G19">
        <f>E19-F19</f>
        <v/>
      </c>
      <c r="H19">
        <f>Data!P20</f>
        <v/>
      </c>
      <c r="I19">
        <f>G19+H19</f>
        <v/>
      </c>
      <c r="J19">
        <f>F19+G19+H19</f>
        <v/>
      </c>
      <c r="K19">
        <f>Data!R20</f>
        <v/>
      </c>
      <c r="L19">
        <f>Data!T20</f>
        <v/>
      </c>
      <c r="M19">
        <f>AND(E19=0,F19=0,G19=0,H19=0,I19=0,J19=0,K19=0,L19=0)</f>
        <v/>
      </c>
      <c r="N19">
        <f>G19&lt;=$T$6</f>
        <v/>
      </c>
      <c r="O19">
        <f>G19&lt;=$T$12</f>
        <v/>
      </c>
      <c r="P19">
        <f>OR(AND(H19&gt;=$T$4,K19&lt;=$T$5,N19),M19)</f>
        <v/>
      </c>
      <c r="Q19">
        <f>OR(AND(I19&gt;=$T$10,K19&lt;=$T$11,O19),M19)</f>
        <v/>
      </c>
    </row>
    <row r="20">
      <c r="A20">
        <f>Data!E21</f>
        <v/>
      </c>
      <c r="B20">
        <f>Data!G21</f>
        <v/>
      </c>
      <c r="C20">
        <f>Data!H21</f>
        <v/>
      </c>
      <c r="D20">
        <f>Data!I21</f>
        <v/>
      </c>
      <c r="E20">
        <f>Data!M21</f>
        <v/>
      </c>
      <c r="F20">
        <f>Data!O21</f>
        <v/>
      </c>
      <c r="G20">
        <f>E20-F20</f>
        <v/>
      </c>
      <c r="H20">
        <f>Data!P21</f>
        <v/>
      </c>
      <c r="I20">
        <f>G20+H20</f>
        <v/>
      </c>
      <c r="J20">
        <f>F20+G20+H20</f>
        <v/>
      </c>
      <c r="K20">
        <f>Data!R21</f>
        <v/>
      </c>
      <c r="L20">
        <f>Data!T21</f>
        <v/>
      </c>
      <c r="M20">
        <f>AND(E20=0,F20=0,G20=0,H20=0,I20=0,J20=0,K20=0,L20=0)</f>
        <v/>
      </c>
      <c r="N20">
        <f>G20&lt;=$T$6</f>
        <v/>
      </c>
      <c r="O20">
        <f>G20&lt;=$T$12</f>
        <v/>
      </c>
      <c r="P20">
        <f>OR(AND(H20&gt;=$T$4,K20&lt;=$T$5,N20),M20)</f>
        <v/>
      </c>
      <c r="Q20">
        <f>OR(AND(I20&gt;=$T$10,K20&lt;=$T$11,O20),M20)</f>
        <v/>
      </c>
    </row>
    <row r="21">
      <c r="A21">
        <f>Data!E22</f>
        <v/>
      </c>
      <c r="B21">
        <f>Data!G22</f>
        <v/>
      </c>
      <c r="C21">
        <f>Data!H22</f>
        <v/>
      </c>
      <c r="D21">
        <f>Data!I22</f>
        <v/>
      </c>
      <c r="E21">
        <f>Data!M22</f>
        <v/>
      </c>
      <c r="F21">
        <f>Data!O22</f>
        <v/>
      </c>
      <c r="G21">
        <f>E21-F21</f>
        <v/>
      </c>
      <c r="H21">
        <f>Data!P22</f>
        <v/>
      </c>
      <c r="I21">
        <f>G21+H21</f>
        <v/>
      </c>
      <c r="J21">
        <f>F21+G21+H21</f>
        <v/>
      </c>
      <c r="K21">
        <f>Data!R22</f>
        <v/>
      </c>
      <c r="L21">
        <f>Data!T22</f>
        <v/>
      </c>
      <c r="M21">
        <f>AND(E21=0,F21=0,G21=0,H21=0,I21=0,J21=0,K21=0,L21=0)</f>
        <v/>
      </c>
      <c r="N21">
        <f>G21&lt;=$T$6</f>
        <v/>
      </c>
      <c r="O21">
        <f>G21&lt;=$T$12</f>
        <v/>
      </c>
      <c r="P21">
        <f>OR(AND(H21&gt;=$T$4,K21&lt;=$T$5,N21),M21)</f>
        <v/>
      </c>
      <c r="Q21">
        <f>OR(AND(I21&gt;=$T$10,K21&lt;=$T$11,O21),M21)</f>
        <v/>
      </c>
    </row>
    <row r="22">
      <c r="A22">
        <f>Data!E23</f>
        <v/>
      </c>
      <c r="B22">
        <f>Data!G23</f>
        <v/>
      </c>
      <c r="C22">
        <f>Data!H23</f>
        <v/>
      </c>
      <c r="D22">
        <f>Data!I23</f>
        <v/>
      </c>
      <c r="E22">
        <f>Data!M23</f>
        <v/>
      </c>
      <c r="F22">
        <f>Data!O23</f>
        <v/>
      </c>
      <c r="G22">
        <f>E22-F22</f>
        <v/>
      </c>
      <c r="H22">
        <f>Data!P23</f>
        <v/>
      </c>
      <c r="I22">
        <f>G22+H22</f>
        <v/>
      </c>
      <c r="J22">
        <f>F22+G22+H22</f>
        <v/>
      </c>
      <c r="K22">
        <f>Data!R23</f>
        <v/>
      </c>
      <c r="L22">
        <f>Data!T23</f>
        <v/>
      </c>
      <c r="M22">
        <f>AND(E22=0,F22=0,G22=0,H22=0,I22=0,J22=0,K22=0,L22=0)</f>
        <v/>
      </c>
      <c r="N22">
        <f>G22&lt;=$T$6</f>
        <v/>
      </c>
      <c r="O22">
        <f>G22&lt;=$T$12</f>
        <v/>
      </c>
      <c r="P22">
        <f>OR(AND(H22&gt;=$T$4,K22&lt;=$T$5,N22),M22)</f>
        <v/>
      </c>
      <c r="Q22">
        <f>OR(AND(I22&gt;=$T$10,K22&lt;=$T$11,O22),M22)</f>
        <v/>
      </c>
    </row>
    <row r="23">
      <c r="A23">
        <f>Data!E25</f>
        <v/>
      </c>
      <c r="B23">
        <f>Data!G25</f>
        <v/>
      </c>
      <c r="C23">
        <f>Data!H25</f>
        <v/>
      </c>
      <c r="D23">
        <f>Data!I25</f>
        <v/>
      </c>
      <c r="E23">
        <f>Data!M25</f>
        <v/>
      </c>
      <c r="F23">
        <f>Data!O25</f>
        <v/>
      </c>
      <c r="G23">
        <f>E23-F23</f>
        <v/>
      </c>
      <c r="H23">
        <f>Data!P25</f>
        <v/>
      </c>
      <c r="I23">
        <f>G23+H23</f>
        <v/>
      </c>
      <c r="J23">
        <f>F23+G23+H23</f>
        <v/>
      </c>
      <c r="K23">
        <f>Data!R25</f>
        <v/>
      </c>
      <c r="L23">
        <f>Data!T25</f>
        <v/>
      </c>
      <c r="M23">
        <f>AND(E23=0,F23=0,G23=0,H23=0,I23=0,J23=0,K23=0,L23=0)</f>
        <v/>
      </c>
      <c r="N23">
        <f>G23&lt;=$T$6</f>
        <v/>
      </c>
      <c r="O23">
        <f>G23&lt;=$T$12</f>
        <v/>
      </c>
      <c r="P23">
        <f>OR(AND(H23&gt;=$T$4,K23&lt;=$T$5,N23),M23)</f>
        <v/>
      </c>
      <c r="Q23">
        <f>OR(AND(I23&gt;=$T$10,K23&lt;=$T$11,O23),M23)</f>
        <v/>
      </c>
    </row>
    <row r="24">
      <c r="A24">
        <f>Data!E26</f>
        <v/>
      </c>
      <c r="B24">
        <f>Data!G26</f>
        <v/>
      </c>
      <c r="C24">
        <f>Data!H26</f>
        <v/>
      </c>
      <c r="D24">
        <f>Data!I26</f>
        <v/>
      </c>
      <c r="E24">
        <f>Data!M26</f>
        <v/>
      </c>
      <c r="F24">
        <f>Data!O26</f>
        <v/>
      </c>
      <c r="G24">
        <f>E24-F24</f>
        <v/>
      </c>
      <c r="H24">
        <f>Data!P26</f>
        <v/>
      </c>
      <c r="I24">
        <f>G24+H24</f>
        <v/>
      </c>
      <c r="J24">
        <f>F24+G24+H24</f>
        <v/>
      </c>
      <c r="K24">
        <f>Data!R26</f>
        <v/>
      </c>
      <c r="L24">
        <f>Data!T26</f>
        <v/>
      </c>
      <c r="M24">
        <f>AND(E24=0,F24=0,G24=0,H24=0,I24=0,J24=0,K24=0,L24=0)</f>
        <v/>
      </c>
      <c r="N24">
        <f>G24&lt;=$T$6</f>
        <v/>
      </c>
      <c r="O24">
        <f>G24&lt;=$T$12</f>
        <v/>
      </c>
      <c r="P24">
        <f>OR(AND(H24&gt;=$T$4,K24&lt;=$T$5,N24),M24)</f>
        <v/>
      </c>
      <c r="Q24">
        <f>OR(AND(I24&gt;=$T$10,K24&lt;=$T$11,O24),M24)</f>
        <v/>
      </c>
    </row>
    <row r="25">
      <c r="A25">
        <f>Data!E27</f>
        <v/>
      </c>
      <c r="B25">
        <f>Data!G27</f>
        <v/>
      </c>
      <c r="C25">
        <f>Data!H27</f>
        <v/>
      </c>
      <c r="D25">
        <f>Data!I27</f>
        <v/>
      </c>
      <c r="E25">
        <f>Data!M27</f>
        <v/>
      </c>
      <c r="F25">
        <f>Data!O27</f>
        <v/>
      </c>
      <c r="G25">
        <f>E25-F25</f>
        <v/>
      </c>
      <c r="H25">
        <f>Data!P27</f>
        <v/>
      </c>
      <c r="I25">
        <f>G25+H25</f>
        <v/>
      </c>
      <c r="J25">
        <f>F25+G25+H25</f>
        <v/>
      </c>
      <c r="K25">
        <f>Data!R27</f>
        <v/>
      </c>
      <c r="L25">
        <f>Data!T27</f>
        <v/>
      </c>
      <c r="M25">
        <f>AND(E25=0,F25=0,G25=0,H25=0,I25=0,J25=0,K25=0,L25=0)</f>
        <v/>
      </c>
      <c r="N25">
        <f>G25&lt;=$T$6</f>
        <v/>
      </c>
      <c r="O25">
        <f>G25&lt;=$T$12</f>
        <v/>
      </c>
      <c r="P25">
        <f>OR(AND(H25&gt;=$T$4,K25&lt;=$T$5,N25),M25)</f>
        <v/>
      </c>
      <c r="Q25">
        <f>OR(AND(I25&gt;=$T$10,K25&lt;=$T$11,O25),M25)</f>
        <v/>
      </c>
    </row>
    <row r="26">
      <c r="A26">
        <f>Data!E28</f>
        <v/>
      </c>
      <c r="B26">
        <f>Data!G28</f>
        <v/>
      </c>
      <c r="C26">
        <f>Data!H28</f>
        <v/>
      </c>
      <c r="D26">
        <f>Data!I28</f>
        <v/>
      </c>
      <c r="E26">
        <f>Data!M28</f>
        <v/>
      </c>
      <c r="F26">
        <f>Data!O28</f>
        <v/>
      </c>
      <c r="G26">
        <f>E26-F26</f>
        <v/>
      </c>
      <c r="H26">
        <f>Data!P28</f>
        <v/>
      </c>
      <c r="I26">
        <f>G26+H26</f>
        <v/>
      </c>
      <c r="J26">
        <f>F26+G26+H26</f>
        <v/>
      </c>
      <c r="K26">
        <f>Data!R28</f>
        <v/>
      </c>
      <c r="L26">
        <f>Data!T28</f>
        <v/>
      </c>
      <c r="M26">
        <f>AND(E26=0,F26=0,G26=0,H26=0,I26=0,J26=0,K26=0,L26=0)</f>
        <v/>
      </c>
      <c r="N26">
        <f>G26&lt;=$T$6</f>
        <v/>
      </c>
      <c r="O26">
        <f>G26&lt;=$T$12</f>
        <v/>
      </c>
      <c r="P26">
        <f>OR(AND(H26&gt;=$T$4,K26&lt;=$T$5,N26),M26)</f>
        <v/>
      </c>
      <c r="Q26">
        <f>OR(AND(I26&gt;=$T$10,K26&lt;=$T$11,O26),M26)</f>
        <v/>
      </c>
    </row>
    <row r="27">
      <c r="A27">
        <f>Data!E29</f>
        <v/>
      </c>
      <c r="B27">
        <f>Data!G29</f>
        <v/>
      </c>
      <c r="C27">
        <f>Data!H29</f>
        <v/>
      </c>
      <c r="D27">
        <f>Data!I29</f>
        <v/>
      </c>
      <c r="E27">
        <f>Data!M29</f>
        <v/>
      </c>
      <c r="F27">
        <f>Data!O29</f>
        <v/>
      </c>
      <c r="G27">
        <f>E27-F27</f>
        <v/>
      </c>
      <c r="H27">
        <f>Data!P29</f>
        <v/>
      </c>
      <c r="I27">
        <f>G27+H27</f>
        <v/>
      </c>
      <c r="J27">
        <f>F27+G27+H27</f>
        <v/>
      </c>
      <c r="K27">
        <f>Data!R29</f>
        <v/>
      </c>
      <c r="L27">
        <f>Data!T29</f>
        <v/>
      </c>
      <c r="M27">
        <f>AND(E27=0,F27=0,G27=0,H27=0,I27=0,J27=0,K27=0,L27=0)</f>
        <v/>
      </c>
      <c r="N27">
        <f>G27&lt;=$T$6</f>
        <v/>
      </c>
      <c r="O27">
        <f>G27&lt;=$T$12</f>
        <v/>
      </c>
      <c r="P27">
        <f>OR(AND(H27&gt;=$T$4,K27&lt;=$T$5,N27),M27)</f>
        <v/>
      </c>
      <c r="Q27">
        <f>OR(AND(I27&gt;=$T$10,K27&lt;=$T$11,O27),M27)</f>
        <v/>
      </c>
    </row>
    <row r="28">
      <c r="A28">
        <f>Data!E30</f>
        <v/>
      </c>
      <c r="B28">
        <f>Data!G30</f>
        <v/>
      </c>
      <c r="C28">
        <f>Data!H30</f>
        <v/>
      </c>
      <c r="D28">
        <f>Data!I30</f>
        <v/>
      </c>
      <c r="E28">
        <f>Data!M30</f>
        <v/>
      </c>
      <c r="F28">
        <f>Data!O30</f>
        <v/>
      </c>
      <c r="G28">
        <f>E28-F28</f>
        <v/>
      </c>
      <c r="H28">
        <f>Data!P30</f>
        <v/>
      </c>
      <c r="I28">
        <f>G28+H28</f>
        <v/>
      </c>
      <c r="J28">
        <f>F28+G28+H28</f>
        <v/>
      </c>
      <c r="K28">
        <f>Data!R30</f>
        <v/>
      </c>
      <c r="L28">
        <f>Data!T30</f>
        <v/>
      </c>
      <c r="M28">
        <f>AND(E28=0,F28=0,G28=0,H28=0,I28=0,J28=0,K28=0,L28=0)</f>
        <v/>
      </c>
      <c r="N28">
        <f>G28&lt;=$T$6</f>
        <v/>
      </c>
      <c r="O28">
        <f>G28&lt;=$T$12</f>
        <v/>
      </c>
      <c r="P28">
        <f>OR(AND(H28&gt;=$T$4,K28&lt;=$T$5,N28),M28)</f>
        <v/>
      </c>
      <c r="Q28">
        <f>OR(AND(I28&gt;=$T$10,K28&lt;=$T$11,O28),M28)</f>
        <v/>
      </c>
    </row>
    <row r="29">
      <c r="A29">
        <f>Data!E31</f>
        <v/>
      </c>
      <c r="B29">
        <f>Data!G31</f>
        <v/>
      </c>
      <c r="C29">
        <f>Data!H31</f>
        <v/>
      </c>
      <c r="D29">
        <f>Data!I31</f>
        <v/>
      </c>
      <c r="E29">
        <f>Data!M31</f>
        <v/>
      </c>
      <c r="F29">
        <f>Data!O31</f>
        <v/>
      </c>
      <c r="G29">
        <f>E29-F29</f>
        <v/>
      </c>
      <c r="H29">
        <f>Data!P31</f>
        <v/>
      </c>
      <c r="I29">
        <f>G29+H29</f>
        <v/>
      </c>
      <c r="J29">
        <f>F29+G29+H29</f>
        <v/>
      </c>
      <c r="K29">
        <f>Data!R31</f>
        <v/>
      </c>
      <c r="L29">
        <f>Data!T31</f>
        <v/>
      </c>
      <c r="M29">
        <f>AND(E29=0,F29=0,G29=0,H29=0,I29=0,J29=0,K29=0,L29=0)</f>
        <v/>
      </c>
      <c r="N29">
        <f>G29&lt;=$T$6</f>
        <v/>
      </c>
      <c r="O29">
        <f>G29&lt;=$T$12</f>
        <v/>
      </c>
      <c r="P29">
        <f>OR(AND(H29&gt;=$T$4,K29&lt;=$T$5,N29),M29)</f>
        <v/>
      </c>
      <c r="Q29">
        <f>OR(AND(I29&gt;=$T$10,K29&lt;=$T$11,O29),M29)</f>
        <v/>
      </c>
    </row>
    <row r="30">
      <c r="A30">
        <f>Data!E32</f>
        <v/>
      </c>
      <c r="B30">
        <f>Data!G32</f>
        <v/>
      </c>
      <c r="C30">
        <f>Data!H32</f>
        <v/>
      </c>
      <c r="D30">
        <f>Data!I32</f>
        <v/>
      </c>
      <c r="E30">
        <f>Data!M32</f>
        <v/>
      </c>
      <c r="F30">
        <f>Data!O32</f>
        <v/>
      </c>
      <c r="G30">
        <f>E30-F30</f>
        <v/>
      </c>
      <c r="H30">
        <f>Data!P32</f>
        <v/>
      </c>
      <c r="I30">
        <f>G30+H30</f>
        <v/>
      </c>
      <c r="J30">
        <f>F30+G30+H30</f>
        <v/>
      </c>
      <c r="K30">
        <f>Data!R32</f>
        <v/>
      </c>
      <c r="L30">
        <f>Data!T32</f>
        <v/>
      </c>
      <c r="M30">
        <f>AND(E30=0,F30=0,G30=0,H30=0,I30=0,J30=0,K30=0,L30=0)</f>
        <v/>
      </c>
      <c r="N30">
        <f>G30&lt;=$T$6</f>
        <v/>
      </c>
      <c r="O30">
        <f>G30&lt;=$T$12</f>
        <v/>
      </c>
      <c r="P30">
        <f>OR(AND(H30&gt;=$T$4,K30&lt;=$T$5,N30),M30)</f>
        <v/>
      </c>
      <c r="Q30">
        <f>OR(AND(I30&gt;=$T$10,K30&lt;=$T$11,O30),M30)</f>
        <v/>
      </c>
    </row>
    <row r="31">
      <c r="A31">
        <f>Data!E33</f>
        <v/>
      </c>
      <c r="B31">
        <f>Data!G33</f>
        <v/>
      </c>
      <c r="C31">
        <f>Data!H33</f>
        <v/>
      </c>
      <c r="D31">
        <f>Data!I33</f>
        <v/>
      </c>
      <c r="E31">
        <f>Data!M33</f>
        <v/>
      </c>
      <c r="F31">
        <f>Data!O33</f>
        <v/>
      </c>
      <c r="G31">
        <f>E31-F31</f>
        <v/>
      </c>
      <c r="H31">
        <f>Data!P33</f>
        <v/>
      </c>
      <c r="I31">
        <f>G31+H31</f>
        <v/>
      </c>
      <c r="J31">
        <f>F31+G31+H31</f>
        <v/>
      </c>
      <c r="K31">
        <f>Data!R33</f>
        <v/>
      </c>
      <c r="L31">
        <f>Data!T33</f>
        <v/>
      </c>
      <c r="M31">
        <f>AND(E31=0,F31=0,G31=0,H31=0,I31=0,J31=0,K31=0,L31=0)</f>
        <v/>
      </c>
      <c r="N31">
        <f>G31&lt;=$T$6</f>
        <v/>
      </c>
      <c r="O31">
        <f>G31&lt;=$T$12</f>
        <v/>
      </c>
      <c r="P31">
        <f>OR(AND(H31&gt;=$T$4,K31&lt;=$T$5,N31),M31)</f>
        <v/>
      </c>
      <c r="Q31">
        <f>OR(AND(I31&gt;=$T$10,K31&lt;=$T$11,O31),M31)</f>
        <v/>
      </c>
    </row>
    <row r="32">
      <c r="A32">
        <f>Data!E34</f>
        <v/>
      </c>
      <c r="B32">
        <f>Data!G34</f>
        <v/>
      </c>
      <c r="C32">
        <f>Data!H34</f>
        <v/>
      </c>
      <c r="D32">
        <f>Data!I34</f>
        <v/>
      </c>
      <c r="E32">
        <f>Data!M34</f>
        <v/>
      </c>
      <c r="F32">
        <f>Data!O34</f>
        <v/>
      </c>
      <c r="G32">
        <f>E32-F32</f>
        <v/>
      </c>
      <c r="H32">
        <f>Data!P34</f>
        <v/>
      </c>
      <c r="I32">
        <f>G32+H32</f>
        <v/>
      </c>
      <c r="J32">
        <f>F32+G32+H32</f>
        <v/>
      </c>
      <c r="K32">
        <f>Data!R34</f>
        <v/>
      </c>
      <c r="L32">
        <f>Data!T34</f>
        <v/>
      </c>
      <c r="M32">
        <f>AND(E32=0,F32=0,G32=0,H32=0,I32=0,J32=0,K32=0,L32=0)</f>
        <v/>
      </c>
      <c r="N32">
        <f>G32&lt;=$T$6</f>
        <v/>
      </c>
      <c r="O32">
        <f>G32&lt;=$T$12</f>
        <v/>
      </c>
      <c r="P32">
        <f>OR(AND(H32&gt;=$T$4,K32&lt;=$T$5,N32),M32)</f>
        <v/>
      </c>
      <c r="Q32">
        <f>OR(AND(I32&gt;=$T$10,K32&lt;=$T$11,O32),M32)</f>
        <v/>
      </c>
    </row>
    <row r="33">
      <c r="A33">
        <f>Data!E35</f>
        <v/>
      </c>
      <c r="B33">
        <f>Data!G35</f>
        <v/>
      </c>
      <c r="C33">
        <f>Data!H35</f>
        <v/>
      </c>
      <c r="D33">
        <f>Data!I35</f>
        <v/>
      </c>
      <c r="E33">
        <f>Data!M35</f>
        <v/>
      </c>
      <c r="F33">
        <f>Data!O35</f>
        <v/>
      </c>
      <c r="G33">
        <f>E33-F33</f>
        <v/>
      </c>
      <c r="H33">
        <f>Data!P35</f>
        <v/>
      </c>
      <c r="I33">
        <f>G33+H33</f>
        <v/>
      </c>
      <c r="J33">
        <f>F33+G33+H33</f>
        <v/>
      </c>
      <c r="K33">
        <f>Data!R35</f>
        <v/>
      </c>
      <c r="L33">
        <f>Data!T35</f>
        <v/>
      </c>
      <c r="M33">
        <f>AND(E33=0,F33=0,G33=0,H33=0,I33=0,J33=0,K33=0,L33=0)</f>
        <v/>
      </c>
      <c r="N33">
        <f>G33&lt;=$T$6</f>
        <v/>
      </c>
      <c r="O33">
        <f>G33&lt;=$T$12</f>
        <v/>
      </c>
      <c r="P33">
        <f>OR(AND(H33&gt;=$T$4,K33&lt;=$T$5,N33),M33)</f>
        <v/>
      </c>
      <c r="Q33">
        <f>OR(AND(I33&gt;=$T$10,K33&lt;=$T$11,O33),M33)</f>
        <v/>
      </c>
    </row>
    <row r="34">
      <c r="A34">
        <f>Data!E36</f>
        <v/>
      </c>
      <c r="B34">
        <f>Data!G36</f>
        <v/>
      </c>
      <c r="C34">
        <f>Data!H36</f>
        <v/>
      </c>
      <c r="D34">
        <f>Data!I36</f>
        <v/>
      </c>
      <c r="E34">
        <f>Data!M36</f>
        <v/>
      </c>
      <c r="F34">
        <f>Data!O36</f>
        <v/>
      </c>
      <c r="G34">
        <f>E34-F34</f>
        <v/>
      </c>
      <c r="H34">
        <f>Data!P36</f>
        <v/>
      </c>
      <c r="I34">
        <f>G34+H34</f>
        <v/>
      </c>
      <c r="J34">
        <f>F34+G34+H34</f>
        <v/>
      </c>
      <c r="K34">
        <f>Data!R36</f>
        <v/>
      </c>
      <c r="L34">
        <f>Data!T36</f>
        <v/>
      </c>
      <c r="M34">
        <f>AND(E34=0,F34=0,G34=0,H34=0,I34=0,J34=0,K34=0,L34=0)</f>
        <v/>
      </c>
      <c r="N34">
        <f>G34&lt;=$T$6</f>
        <v/>
      </c>
      <c r="O34">
        <f>G34&lt;=$T$12</f>
        <v/>
      </c>
      <c r="P34">
        <f>OR(AND(H34&gt;=$T$4,K34&lt;=$T$5,N34),M34)</f>
        <v/>
      </c>
      <c r="Q34">
        <f>OR(AND(I34&gt;=$T$10,K34&lt;=$T$11,O34),M34)</f>
        <v/>
      </c>
    </row>
    <row r="35">
      <c r="A35">
        <f>Data!E37</f>
        <v/>
      </c>
      <c r="B35">
        <f>Data!G37</f>
        <v/>
      </c>
      <c r="C35">
        <f>Data!H37</f>
        <v/>
      </c>
      <c r="D35">
        <f>Data!I37</f>
        <v/>
      </c>
      <c r="E35">
        <f>Data!M37</f>
        <v/>
      </c>
      <c r="F35">
        <f>Data!O37</f>
        <v/>
      </c>
      <c r="G35">
        <f>E35-F35</f>
        <v/>
      </c>
      <c r="H35">
        <f>Data!P37</f>
        <v/>
      </c>
      <c r="I35">
        <f>G35+H35</f>
        <v/>
      </c>
      <c r="J35">
        <f>F35+G35+H35</f>
        <v/>
      </c>
      <c r="K35">
        <f>Data!R37</f>
        <v/>
      </c>
      <c r="L35">
        <f>Data!T37</f>
        <v/>
      </c>
      <c r="M35">
        <f>AND(E35=0,F35=0,G35=0,H35=0,I35=0,J35=0,K35=0,L35=0)</f>
        <v/>
      </c>
      <c r="N35">
        <f>G35&lt;=$T$6</f>
        <v/>
      </c>
      <c r="O35">
        <f>G35&lt;=$T$12</f>
        <v/>
      </c>
      <c r="P35">
        <f>OR(AND(H35&gt;=$T$4,K35&lt;=$T$5,N35),M35)</f>
        <v/>
      </c>
      <c r="Q35">
        <f>OR(AND(I35&gt;=$T$10,K35&lt;=$T$11,O35),M35)</f>
        <v/>
      </c>
    </row>
    <row r="36">
      <c r="A36">
        <f>Data!E38</f>
        <v/>
      </c>
      <c r="B36">
        <f>Data!G38</f>
        <v/>
      </c>
      <c r="C36">
        <f>Data!H38</f>
        <v/>
      </c>
      <c r="D36">
        <f>Data!I38</f>
        <v/>
      </c>
      <c r="E36">
        <f>Data!M38</f>
        <v/>
      </c>
      <c r="F36">
        <f>Data!O38</f>
        <v/>
      </c>
      <c r="G36">
        <f>E36-F36</f>
        <v/>
      </c>
      <c r="H36">
        <f>Data!P38</f>
        <v/>
      </c>
      <c r="I36">
        <f>G36+H36</f>
        <v/>
      </c>
      <c r="J36">
        <f>F36+G36+H36</f>
        <v/>
      </c>
      <c r="K36">
        <f>Data!R38</f>
        <v/>
      </c>
      <c r="L36">
        <f>Data!T38</f>
        <v/>
      </c>
      <c r="M36">
        <f>AND(E36=0,F36=0,G36=0,H36=0,I36=0,J36=0,K36=0,L36=0)</f>
        <v/>
      </c>
      <c r="N36">
        <f>G36&lt;=$T$6</f>
        <v/>
      </c>
      <c r="O36">
        <f>G36&lt;=$T$12</f>
        <v/>
      </c>
      <c r="P36">
        <f>OR(AND(H36&gt;=$T$4,K36&lt;=$T$5,N36),M36)</f>
        <v/>
      </c>
      <c r="Q36">
        <f>OR(AND(I36&gt;=$T$10,K36&lt;=$T$11,O36),M36)</f>
        <v/>
      </c>
    </row>
    <row r="37">
      <c r="A37">
        <f>Data!E40</f>
        <v/>
      </c>
      <c r="B37">
        <f>Data!G40</f>
        <v/>
      </c>
      <c r="C37">
        <f>Data!H40</f>
        <v/>
      </c>
      <c r="D37">
        <f>Data!I40</f>
        <v/>
      </c>
      <c r="E37">
        <f>Data!M40</f>
        <v/>
      </c>
      <c r="F37">
        <f>Data!O40</f>
        <v/>
      </c>
      <c r="G37">
        <f>E37-F37</f>
        <v/>
      </c>
      <c r="H37">
        <f>Data!P40</f>
        <v/>
      </c>
      <c r="I37">
        <f>G37+H37</f>
        <v/>
      </c>
      <c r="J37">
        <f>F37+G37+H37</f>
        <v/>
      </c>
      <c r="K37">
        <f>Data!R40</f>
        <v/>
      </c>
      <c r="L37">
        <f>Data!T40</f>
        <v/>
      </c>
      <c r="M37">
        <f>AND(E37=0,F37=0,G37=0,H37=0,I37=0,J37=0,K37=0,L37=0)</f>
        <v/>
      </c>
      <c r="N37">
        <f>G37&lt;=$T$6</f>
        <v/>
      </c>
      <c r="O37">
        <f>G37&lt;=$T$12</f>
        <v/>
      </c>
      <c r="P37">
        <f>OR(AND(H37&gt;=$T$4,K37&lt;=$T$5,N37),M37)</f>
        <v/>
      </c>
      <c r="Q37">
        <f>OR(AND(I37&gt;=$T$10,K37&lt;=$T$11,O37),M37)</f>
        <v/>
      </c>
    </row>
    <row r="38">
      <c r="A38">
        <f>Data!E41</f>
        <v/>
      </c>
      <c r="B38">
        <f>Data!G41</f>
        <v/>
      </c>
      <c r="C38">
        <f>Data!H41</f>
        <v/>
      </c>
      <c r="D38">
        <f>Data!I41</f>
        <v/>
      </c>
      <c r="E38">
        <f>Data!M41</f>
        <v/>
      </c>
      <c r="F38">
        <f>Data!O41</f>
        <v/>
      </c>
      <c r="G38">
        <f>E38-F38</f>
        <v/>
      </c>
      <c r="H38">
        <f>Data!P41</f>
        <v/>
      </c>
      <c r="I38">
        <f>G38+H38</f>
        <v/>
      </c>
      <c r="J38">
        <f>F38+G38+H38</f>
        <v/>
      </c>
      <c r="K38">
        <f>Data!R41</f>
        <v/>
      </c>
      <c r="L38">
        <f>Data!T41</f>
        <v/>
      </c>
      <c r="M38">
        <f>AND(E38=0,F38=0,G38=0,H38=0,I38=0,J38=0,K38=0,L38=0)</f>
        <v/>
      </c>
      <c r="N38">
        <f>G38&lt;=$T$6</f>
        <v/>
      </c>
      <c r="O38">
        <f>G38&lt;=$T$12</f>
        <v/>
      </c>
      <c r="P38">
        <f>OR(AND(H38&gt;=$T$4,K38&lt;=$T$5,N38),M38)</f>
        <v/>
      </c>
      <c r="Q38">
        <f>OR(AND(I38&gt;=$T$10,K38&lt;=$T$11,O38),M38)</f>
        <v/>
      </c>
    </row>
    <row r="39">
      <c r="A39">
        <f>Data!E42</f>
        <v/>
      </c>
      <c r="B39">
        <f>Data!G42</f>
        <v/>
      </c>
      <c r="C39">
        <f>Data!H42</f>
        <v/>
      </c>
      <c r="D39">
        <f>Data!I42</f>
        <v/>
      </c>
      <c r="E39">
        <f>Data!M42</f>
        <v/>
      </c>
      <c r="F39">
        <f>Data!O42</f>
        <v/>
      </c>
      <c r="G39">
        <f>E39-F39</f>
        <v/>
      </c>
      <c r="H39">
        <f>Data!P42</f>
        <v/>
      </c>
      <c r="I39">
        <f>G39+H39</f>
        <v/>
      </c>
      <c r="J39">
        <f>F39+G39+H39</f>
        <v/>
      </c>
      <c r="K39">
        <f>Data!R42</f>
        <v/>
      </c>
      <c r="L39">
        <f>Data!T42</f>
        <v/>
      </c>
      <c r="M39">
        <f>AND(E39=0,F39=0,G39=0,H39=0,I39=0,J39=0,K39=0,L39=0)</f>
        <v/>
      </c>
      <c r="N39">
        <f>G39&lt;=$T$6</f>
        <v/>
      </c>
      <c r="O39">
        <f>G39&lt;=$T$12</f>
        <v/>
      </c>
      <c r="P39">
        <f>OR(AND(H39&gt;=$T$4,K39&lt;=$T$5,N39),M39)</f>
        <v/>
      </c>
      <c r="Q39">
        <f>OR(AND(I39&gt;=$T$10,K39&lt;=$T$11,O39),M39)</f>
        <v/>
      </c>
    </row>
    <row r="40">
      <c r="A40">
        <f>Data!E43</f>
        <v/>
      </c>
      <c r="B40">
        <f>Data!G43</f>
        <v/>
      </c>
      <c r="C40">
        <f>Data!H43</f>
        <v/>
      </c>
      <c r="D40">
        <f>Data!I43</f>
        <v/>
      </c>
      <c r="E40">
        <f>Data!M43</f>
        <v/>
      </c>
      <c r="F40">
        <f>Data!O43</f>
        <v/>
      </c>
      <c r="G40">
        <f>E40-F40</f>
        <v/>
      </c>
      <c r="H40">
        <f>Data!P43</f>
        <v/>
      </c>
      <c r="I40">
        <f>G40+H40</f>
        <v/>
      </c>
      <c r="J40">
        <f>F40+G40+H40</f>
        <v/>
      </c>
      <c r="K40">
        <f>Data!R43</f>
        <v/>
      </c>
      <c r="L40">
        <f>Data!T43</f>
        <v/>
      </c>
      <c r="M40">
        <f>AND(E40=0,F40=0,G40=0,H40=0,I40=0,J40=0,K40=0,L40=0)</f>
        <v/>
      </c>
      <c r="N40">
        <f>G40&lt;=$T$6</f>
        <v/>
      </c>
      <c r="O40">
        <f>G40&lt;=$T$12</f>
        <v/>
      </c>
      <c r="P40">
        <f>OR(AND(H40&gt;=$T$4,K40&lt;=$T$5,N40),M40)</f>
        <v/>
      </c>
      <c r="Q40">
        <f>OR(AND(I40&gt;=$T$10,K40&lt;=$T$11,O40),M40)</f>
        <v/>
      </c>
    </row>
    <row r="41">
      <c r="A41">
        <f>Data!E44</f>
        <v/>
      </c>
      <c r="B41">
        <f>Data!G44</f>
        <v/>
      </c>
      <c r="C41">
        <f>Data!H44</f>
        <v/>
      </c>
      <c r="D41">
        <f>Data!I44</f>
        <v/>
      </c>
      <c r="E41">
        <f>Data!M44</f>
        <v/>
      </c>
      <c r="F41">
        <f>Data!O44</f>
        <v/>
      </c>
      <c r="G41">
        <f>E41-F41</f>
        <v/>
      </c>
      <c r="H41">
        <f>Data!P44</f>
        <v/>
      </c>
      <c r="I41">
        <f>G41+H41</f>
        <v/>
      </c>
      <c r="J41">
        <f>F41+G41+H41</f>
        <v/>
      </c>
      <c r="K41">
        <f>Data!R44</f>
        <v/>
      </c>
      <c r="L41">
        <f>Data!T44</f>
        <v/>
      </c>
      <c r="M41">
        <f>AND(E41=0,F41=0,G41=0,H41=0,I41=0,J41=0,K41=0,L41=0)</f>
        <v/>
      </c>
      <c r="N41">
        <f>G41&lt;=$T$6</f>
        <v/>
      </c>
      <c r="O41">
        <f>G41&lt;=$T$12</f>
        <v/>
      </c>
      <c r="P41">
        <f>OR(AND(H41&gt;=$T$4,K41&lt;=$T$5,N41),M41)</f>
        <v/>
      </c>
      <c r="Q41">
        <f>OR(AND(I41&gt;=$T$10,K41&lt;=$T$11,O41),M41)</f>
        <v/>
      </c>
    </row>
    <row r="42">
      <c r="A42">
        <f>Data!E45</f>
        <v/>
      </c>
      <c r="B42">
        <f>Data!G45</f>
        <v/>
      </c>
      <c r="C42">
        <f>Data!H45</f>
        <v/>
      </c>
      <c r="D42">
        <f>Data!I45</f>
        <v/>
      </c>
      <c r="E42">
        <f>Data!M45</f>
        <v/>
      </c>
      <c r="F42">
        <f>Data!O45</f>
        <v/>
      </c>
      <c r="G42">
        <f>E42-F42</f>
        <v/>
      </c>
      <c r="H42">
        <f>Data!P45</f>
        <v/>
      </c>
      <c r="I42">
        <f>G42+H42</f>
        <v/>
      </c>
      <c r="J42">
        <f>F42+G42+H42</f>
        <v/>
      </c>
      <c r="K42">
        <f>Data!R45</f>
        <v/>
      </c>
      <c r="L42">
        <f>Data!T45</f>
        <v/>
      </c>
      <c r="M42">
        <f>AND(E42=0,F42=0,G42=0,H42=0,I42=0,J42=0,K42=0,L42=0)</f>
        <v/>
      </c>
      <c r="N42">
        <f>G42&lt;=$T$6</f>
        <v/>
      </c>
      <c r="O42">
        <f>G42&lt;=$T$12</f>
        <v/>
      </c>
      <c r="P42">
        <f>OR(AND(H42&gt;=$T$4,K42&lt;=$T$5,N42),M42)</f>
        <v/>
      </c>
      <c r="Q42">
        <f>OR(AND(I42&gt;=$T$10,K42&lt;=$T$11,O42),M42)</f>
        <v/>
      </c>
    </row>
    <row r="43">
      <c r="A43">
        <f>Data!E46</f>
        <v/>
      </c>
      <c r="B43">
        <f>Data!G46</f>
        <v/>
      </c>
      <c r="C43">
        <f>Data!H46</f>
        <v/>
      </c>
      <c r="D43">
        <f>Data!I46</f>
        <v/>
      </c>
      <c r="E43">
        <f>Data!M46</f>
        <v/>
      </c>
      <c r="F43">
        <f>Data!O46</f>
        <v/>
      </c>
      <c r="G43">
        <f>E43-F43</f>
        <v/>
      </c>
      <c r="H43">
        <f>Data!P46</f>
        <v/>
      </c>
      <c r="I43">
        <f>G43+H43</f>
        <v/>
      </c>
      <c r="J43">
        <f>F43+G43+H43</f>
        <v/>
      </c>
      <c r="K43">
        <f>Data!R46</f>
        <v/>
      </c>
      <c r="L43">
        <f>Data!T46</f>
        <v/>
      </c>
      <c r="M43">
        <f>AND(E43=0,F43=0,G43=0,H43=0,I43=0,J43=0,K43=0,L43=0)</f>
        <v/>
      </c>
      <c r="N43">
        <f>G43&lt;=$T$6</f>
        <v/>
      </c>
      <c r="O43">
        <f>G43&lt;=$T$12</f>
        <v/>
      </c>
      <c r="P43">
        <f>OR(AND(H43&gt;=$T$4,K43&lt;=$T$5,N43),M43)</f>
        <v/>
      </c>
      <c r="Q43">
        <f>OR(AND(I43&gt;=$T$10,K43&lt;=$T$11,O43),M43)</f>
        <v/>
      </c>
    </row>
    <row r="44">
      <c r="A44">
        <f>Data!E47</f>
        <v/>
      </c>
      <c r="B44">
        <f>Data!G47</f>
        <v/>
      </c>
      <c r="C44">
        <f>Data!H47</f>
        <v/>
      </c>
      <c r="D44">
        <f>Data!I47</f>
        <v/>
      </c>
      <c r="E44">
        <f>Data!M47</f>
        <v/>
      </c>
      <c r="F44">
        <f>Data!O47</f>
        <v/>
      </c>
      <c r="G44">
        <f>E44-F44</f>
        <v/>
      </c>
      <c r="H44">
        <f>Data!P47</f>
        <v/>
      </c>
      <c r="I44">
        <f>G44+H44</f>
        <v/>
      </c>
      <c r="J44">
        <f>F44+G44+H44</f>
        <v/>
      </c>
      <c r="K44">
        <f>Data!R47</f>
        <v/>
      </c>
      <c r="L44">
        <f>Data!T47</f>
        <v/>
      </c>
      <c r="M44">
        <f>AND(E44=0,F44=0,G44=0,H44=0,I44=0,J44=0,K44=0,L44=0)</f>
        <v/>
      </c>
      <c r="N44">
        <f>G44&lt;=$T$6</f>
        <v/>
      </c>
      <c r="O44">
        <f>G44&lt;=$T$12</f>
        <v/>
      </c>
      <c r="P44">
        <f>OR(AND(H44&gt;=$T$4,K44&lt;=$T$5,N44),M44)</f>
        <v/>
      </c>
      <c r="Q44">
        <f>OR(AND(I44&gt;=$T$10,K44&lt;=$T$11,O44),M44)</f>
        <v/>
      </c>
    </row>
    <row r="45">
      <c r="A45">
        <f>Data!E48</f>
        <v/>
      </c>
      <c r="B45">
        <f>Data!G48</f>
        <v/>
      </c>
      <c r="C45">
        <f>Data!H48</f>
        <v/>
      </c>
      <c r="D45">
        <f>Data!I48</f>
        <v/>
      </c>
      <c r="E45">
        <f>Data!M48</f>
        <v/>
      </c>
      <c r="F45">
        <f>Data!O48</f>
        <v/>
      </c>
      <c r="G45">
        <f>E45-F45</f>
        <v/>
      </c>
      <c r="H45">
        <f>Data!P48</f>
        <v/>
      </c>
      <c r="I45">
        <f>G45+H45</f>
        <v/>
      </c>
      <c r="J45">
        <f>F45+G45+H45</f>
        <v/>
      </c>
      <c r="K45">
        <f>Data!R48</f>
        <v/>
      </c>
      <c r="L45">
        <f>Data!T48</f>
        <v/>
      </c>
      <c r="M45">
        <f>AND(E45=0,F45=0,G45=0,H45=0,I45=0,J45=0,K45=0,L45=0)</f>
        <v/>
      </c>
      <c r="N45">
        <f>G45&lt;=$T$6</f>
        <v/>
      </c>
      <c r="O45">
        <f>G45&lt;=$T$12</f>
        <v/>
      </c>
      <c r="P45">
        <f>OR(AND(H45&gt;=$T$4,K45&lt;=$T$5,N45),M45)</f>
        <v/>
      </c>
      <c r="Q45">
        <f>OR(AND(I45&gt;=$T$10,K45&lt;=$T$11,O45),M45)</f>
        <v/>
      </c>
    </row>
    <row r="46">
      <c r="A46">
        <f>Data!E49</f>
        <v/>
      </c>
      <c r="B46">
        <f>Data!G49</f>
        <v/>
      </c>
      <c r="C46">
        <f>Data!H49</f>
        <v/>
      </c>
      <c r="D46">
        <f>Data!I49</f>
        <v/>
      </c>
      <c r="E46">
        <f>Data!M49</f>
        <v/>
      </c>
      <c r="F46">
        <f>Data!O49</f>
        <v/>
      </c>
      <c r="G46">
        <f>E46-F46</f>
        <v/>
      </c>
      <c r="H46">
        <f>Data!P49</f>
        <v/>
      </c>
      <c r="I46">
        <f>G46+H46</f>
        <v/>
      </c>
      <c r="J46">
        <f>F46+G46+H46</f>
        <v/>
      </c>
      <c r="K46">
        <f>Data!R49</f>
        <v/>
      </c>
      <c r="L46">
        <f>Data!T49</f>
        <v/>
      </c>
      <c r="M46">
        <f>AND(E46=0,F46=0,G46=0,H46=0,I46=0,J46=0,K46=0,L46=0)</f>
        <v/>
      </c>
      <c r="N46">
        <f>G46&lt;=$T$6</f>
        <v/>
      </c>
      <c r="O46">
        <f>G46&lt;=$T$12</f>
        <v/>
      </c>
      <c r="P46">
        <f>OR(AND(H46&gt;=$T$4,K46&lt;=$T$5,N46),M46)</f>
        <v/>
      </c>
      <c r="Q46">
        <f>OR(AND(I46&gt;=$T$10,K46&lt;=$T$11,O46),M46)</f>
        <v/>
      </c>
    </row>
    <row r="47">
      <c r="A47">
        <f>Data!E51</f>
        <v/>
      </c>
      <c r="B47">
        <f>Data!G51</f>
        <v/>
      </c>
      <c r="C47">
        <f>Data!H51</f>
        <v/>
      </c>
      <c r="D47">
        <f>Data!I51</f>
        <v/>
      </c>
      <c r="E47">
        <f>Data!M51</f>
        <v/>
      </c>
      <c r="F47">
        <f>Data!O51</f>
        <v/>
      </c>
      <c r="G47">
        <f>E47-F47</f>
        <v/>
      </c>
      <c r="H47">
        <f>Data!P51</f>
        <v/>
      </c>
      <c r="I47">
        <f>G47+H47</f>
        <v/>
      </c>
      <c r="J47">
        <f>F47+G47+H47</f>
        <v/>
      </c>
      <c r="K47">
        <f>Data!R51</f>
        <v/>
      </c>
      <c r="L47">
        <f>Data!T51</f>
        <v/>
      </c>
      <c r="M47">
        <f>AND(E47=0,F47=0,G47=0,H47=0,I47=0,J47=0,K47=0,L47=0)</f>
        <v/>
      </c>
      <c r="N47">
        <f>G47&lt;=$T$6</f>
        <v/>
      </c>
      <c r="O47">
        <f>G47&lt;=$T$12</f>
        <v/>
      </c>
      <c r="P47">
        <f>OR(AND(H47&gt;=$T$4,K47&lt;=$T$5,N47),M47)</f>
        <v/>
      </c>
      <c r="Q47">
        <f>OR(AND(I47&gt;=$T$10,K47&lt;=$T$11,O47),M47)</f>
        <v/>
      </c>
    </row>
    <row r="48">
      <c r="A48">
        <f>Data!E52</f>
        <v/>
      </c>
      <c r="B48">
        <f>Data!G52</f>
        <v/>
      </c>
      <c r="C48">
        <f>Data!H52</f>
        <v/>
      </c>
      <c r="D48">
        <f>Data!I52</f>
        <v/>
      </c>
      <c r="E48">
        <f>Data!M52</f>
        <v/>
      </c>
      <c r="F48">
        <f>Data!O52</f>
        <v/>
      </c>
      <c r="G48">
        <f>E48-F48</f>
        <v/>
      </c>
      <c r="H48">
        <f>Data!P52</f>
        <v/>
      </c>
      <c r="I48">
        <f>G48+H48</f>
        <v/>
      </c>
      <c r="J48">
        <f>F48+G48+H48</f>
        <v/>
      </c>
      <c r="K48">
        <f>Data!R52</f>
        <v/>
      </c>
      <c r="L48">
        <f>Data!T52</f>
        <v/>
      </c>
      <c r="M48">
        <f>AND(E48=0,F48=0,G48=0,H48=0,I48=0,J48=0,K48=0,L48=0)</f>
        <v/>
      </c>
      <c r="N48">
        <f>G48&lt;=$T$6</f>
        <v/>
      </c>
      <c r="O48">
        <f>G48&lt;=$T$12</f>
        <v/>
      </c>
      <c r="P48">
        <f>OR(AND(H48&gt;=$T$4,K48&lt;=$T$5,N48),M48)</f>
        <v/>
      </c>
      <c r="Q48">
        <f>OR(AND(I48&gt;=$T$10,K48&lt;=$T$11,O48),M48)</f>
        <v/>
      </c>
    </row>
    <row r="49">
      <c r="A49">
        <f>Data!E53</f>
        <v/>
      </c>
      <c r="B49">
        <f>Data!G53</f>
        <v/>
      </c>
      <c r="C49">
        <f>Data!H53</f>
        <v/>
      </c>
      <c r="D49">
        <f>Data!I53</f>
        <v/>
      </c>
      <c r="E49">
        <f>Data!M53</f>
        <v/>
      </c>
      <c r="F49">
        <f>Data!O53</f>
        <v/>
      </c>
      <c r="G49">
        <f>E49-F49</f>
        <v/>
      </c>
      <c r="H49">
        <f>Data!P53</f>
        <v/>
      </c>
      <c r="I49">
        <f>G49+H49</f>
        <v/>
      </c>
      <c r="J49">
        <f>F49+G49+H49</f>
        <v/>
      </c>
      <c r="K49">
        <f>Data!R53</f>
        <v/>
      </c>
      <c r="L49">
        <f>Data!T53</f>
        <v/>
      </c>
      <c r="M49">
        <f>AND(E49=0,F49=0,G49=0,H49=0,I49=0,J49=0,K49=0,L49=0)</f>
        <v/>
      </c>
      <c r="N49">
        <f>G49&lt;=$T$6</f>
        <v/>
      </c>
      <c r="O49">
        <f>G49&lt;=$T$12</f>
        <v/>
      </c>
      <c r="P49">
        <f>OR(AND(H49&gt;=$T$4,K49&lt;=$T$5,N49),M49)</f>
        <v/>
      </c>
      <c r="Q49">
        <f>OR(AND(I49&gt;=$T$10,K49&lt;=$T$11,O49),M49)</f>
        <v/>
      </c>
    </row>
    <row r="50">
      <c r="A50">
        <f>Data!E54</f>
        <v/>
      </c>
      <c r="B50">
        <f>Data!G54</f>
        <v/>
      </c>
      <c r="C50">
        <f>Data!H54</f>
        <v/>
      </c>
      <c r="D50">
        <f>Data!I54</f>
        <v/>
      </c>
      <c r="E50">
        <f>Data!M54</f>
        <v/>
      </c>
      <c r="F50">
        <f>Data!O54</f>
        <v/>
      </c>
      <c r="G50">
        <f>E50-F50</f>
        <v/>
      </c>
      <c r="H50">
        <f>Data!P54</f>
        <v/>
      </c>
      <c r="I50">
        <f>G50+H50</f>
        <v/>
      </c>
      <c r="J50">
        <f>F50+G50+H50</f>
        <v/>
      </c>
      <c r="K50">
        <f>Data!R54</f>
        <v/>
      </c>
      <c r="L50">
        <f>Data!T54</f>
        <v/>
      </c>
      <c r="M50">
        <f>AND(E50=0,F50=0,G50=0,H50=0,I50=0,J50=0,K50=0,L50=0)</f>
        <v/>
      </c>
      <c r="N50">
        <f>G50&lt;=$T$6</f>
        <v/>
      </c>
      <c r="O50">
        <f>G50&lt;=$T$12</f>
        <v/>
      </c>
      <c r="P50">
        <f>OR(AND(H50&gt;=$T$4,K50&lt;=$T$5,N50),M50)</f>
        <v/>
      </c>
      <c r="Q50">
        <f>OR(AND(I50&gt;=$T$10,K50&lt;=$T$11,O50),M50)</f>
        <v/>
      </c>
    </row>
    <row r="51">
      <c r="A51">
        <f>Data!E55</f>
        <v/>
      </c>
      <c r="B51">
        <f>Data!G55</f>
        <v/>
      </c>
      <c r="C51">
        <f>Data!H55</f>
        <v/>
      </c>
      <c r="D51">
        <f>Data!I55</f>
        <v/>
      </c>
      <c r="E51">
        <f>Data!M55</f>
        <v/>
      </c>
      <c r="F51">
        <f>Data!O55</f>
        <v/>
      </c>
      <c r="G51">
        <f>E51-F51</f>
        <v/>
      </c>
      <c r="H51">
        <f>Data!P55</f>
        <v/>
      </c>
      <c r="I51">
        <f>G51+H51</f>
        <v/>
      </c>
      <c r="J51">
        <f>F51+G51+H51</f>
        <v/>
      </c>
      <c r="K51">
        <f>Data!R55</f>
        <v/>
      </c>
      <c r="L51">
        <f>Data!T55</f>
        <v/>
      </c>
      <c r="M51">
        <f>AND(E51=0,F51=0,G51=0,H51=0,I51=0,J51=0,K51=0,L51=0)</f>
        <v/>
      </c>
      <c r="N51">
        <f>G51&lt;=$T$6</f>
        <v/>
      </c>
      <c r="O51">
        <f>G51&lt;=$T$12</f>
        <v/>
      </c>
      <c r="P51">
        <f>OR(AND(H51&gt;=$T$4,K51&lt;=$T$5,N51),M51)</f>
        <v/>
      </c>
      <c r="Q51">
        <f>OR(AND(I51&gt;=$T$10,K51&lt;=$T$11,O51),M51)</f>
        <v/>
      </c>
    </row>
    <row r="52">
      <c r="A52">
        <f>Data!E56</f>
        <v/>
      </c>
      <c r="B52">
        <f>Data!G56</f>
        <v/>
      </c>
      <c r="C52">
        <f>Data!H56</f>
        <v/>
      </c>
      <c r="D52">
        <f>Data!I56</f>
        <v/>
      </c>
      <c r="E52">
        <f>Data!M56</f>
        <v/>
      </c>
      <c r="F52">
        <f>Data!O56</f>
        <v/>
      </c>
      <c r="G52">
        <f>E52-F52</f>
        <v/>
      </c>
      <c r="H52">
        <f>Data!P56</f>
        <v/>
      </c>
      <c r="I52">
        <f>G52+H52</f>
        <v/>
      </c>
      <c r="J52">
        <f>F52+G52+H52</f>
        <v/>
      </c>
      <c r="K52">
        <f>Data!R56</f>
        <v/>
      </c>
      <c r="L52">
        <f>Data!T56</f>
        <v/>
      </c>
      <c r="M52">
        <f>AND(E52=0,F52=0,G52=0,H52=0,I52=0,J52=0,K52=0,L52=0)</f>
        <v/>
      </c>
      <c r="N52">
        <f>G52&lt;=$T$6</f>
        <v/>
      </c>
      <c r="O52">
        <f>G52&lt;=$T$12</f>
        <v/>
      </c>
      <c r="P52">
        <f>OR(AND(H52&gt;=$T$4,K52&lt;=$T$5,N52),M52)</f>
        <v/>
      </c>
      <c r="Q52">
        <f>OR(AND(I52&gt;=$T$10,K52&lt;=$T$11,O52),M52)</f>
        <v/>
      </c>
    </row>
    <row r="53">
      <c r="A53">
        <f>Data!E57</f>
        <v/>
      </c>
      <c r="B53">
        <f>Data!G57</f>
        <v/>
      </c>
      <c r="C53">
        <f>Data!H57</f>
        <v/>
      </c>
      <c r="D53">
        <f>Data!I57</f>
        <v/>
      </c>
      <c r="E53">
        <f>Data!M57</f>
        <v/>
      </c>
      <c r="F53">
        <f>Data!O57</f>
        <v/>
      </c>
      <c r="G53">
        <f>E53-F53</f>
        <v/>
      </c>
      <c r="H53">
        <f>Data!P57</f>
        <v/>
      </c>
      <c r="I53">
        <f>G53+H53</f>
        <v/>
      </c>
      <c r="J53">
        <f>F53+G53+H53</f>
        <v/>
      </c>
      <c r="K53">
        <f>Data!R57</f>
        <v/>
      </c>
      <c r="L53">
        <f>Data!T57</f>
        <v/>
      </c>
      <c r="M53">
        <f>AND(E53=0,F53=0,G53=0,H53=0,I53=0,J53=0,K53=0,L53=0)</f>
        <v/>
      </c>
      <c r="N53">
        <f>G53&lt;=$T$6</f>
        <v/>
      </c>
      <c r="O53">
        <f>G53&lt;=$T$12</f>
        <v/>
      </c>
      <c r="P53">
        <f>OR(AND(H53&gt;=$T$4,K53&lt;=$T$5,N53),M53)</f>
        <v/>
      </c>
      <c r="Q53">
        <f>OR(AND(I53&gt;=$T$10,K53&lt;=$T$11,O53),M53)</f>
        <v/>
      </c>
    </row>
    <row r="54">
      <c r="A54">
        <f>Data!E58</f>
        <v/>
      </c>
      <c r="B54">
        <f>Data!G58</f>
        <v/>
      </c>
      <c r="C54">
        <f>Data!H58</f>
        <v/>
      </c>
      <c r="D54">
        <f>Data!I58</f>
        <v/>
      </c>
      <c r="E54">
        <f>Data!M58</f>
        <v/>
      </c>
      <c r="F54">
        <f>Data!O58</f>
        <v/>
      </c>
      <c r="G54">
        <f>E54-F54</f>
        <v/>
      </c>
      <c r="H54">
        <f>Data!P58</f>
        <v/>
      </c>
      <c r="I54">
        <f>G54+H54</f>
        <v/>
      </c>
      <c r="J54">
        <f>F54+G54+H54</f>
        <v/>
      </c>
      <c r="K54">
        <f>Data!R58</f>
        <v/>
      </c>
      <c r="L54">
        <f>Data!T58</f>
        <v/>
      </c>
      <c r="M54">
        <f>AND(E54=0,F54=0,G54=0,H54=0,I54=0,J54=0,K54=0,L54=0)</f>
        <v/>
      </c>
      <c r="N54">
        <f>G54&lt;=$T$6</f>
        <v/>
      </c>
      <c r="O54">
        <f>G54&lt;=$T$12</f>
        <v/>
      </c>
      <c r="P54">
        <f>OR(AND(H54&gt;=$T$4,K54&lt;=$T$5,N54),M54)</f>
        <v/>
      </c>
      <c r="Q54">
        <f>OR(AND(I54&gt;=$T$10,K54&lt;=$T$11,O54),M54)</f>
        <v/>
      </c>
    </row>
    <row r="55">
      <c r="A55">
        <f>Data!E59</f>
        <v/>
      </c>
      <c r="B55">
        <f>Data!G59</f>
        <v/>
      </c>
      <c r="C55">
        <f>Data!H59</f>
        <v/>
      </c>
      <c r="D55">
        <f>Data!I59</f>
        <v/>
      </c>
      <c r="E55">
        <f>Data!M59</f>
        <v/>
      </c>
      <c r="F55">
        <f>Data!O59</f>
        <v/>
      </c>
      <c r="G55">
        <f>E55-F55</f>
        <v/>
      </c>
      <c r="H55">
        <f>Data!P59</f>
        <v/>
      </c>
      <c r="I55">
        <f>G55+H55</f>
        <v/>
      </c>
      <c r="J55">
        <f>F55+G55+H55</f>
        <v/>
      </c>
      <c r="K55">
        <f>Data!R59</f>
        <v/>
      </c>
      <c r="L55">
        <f>Data!T59</f>
        <v/>
      </c>
      <c r="M55">
        <f>AND(E55=0,F55=0,G55=0,H55=0,I55=0,J55=0,K55=0,L55=0)</f>
        <v/>
      </c>
      <c r="N55">
        <f>G55&lt;=$T$6</f>
        <v/>
      </c>
      <c r="O55">
        <f>G55&lt;=$T$12</f>
        <v/>
      </c>
      <c r="P55">
        <f>OR(AND(H55&gt;=$T$4,K55&lt;=$T$5,N55),M55)</f>
        <v/>
      </c>
      <c r="Q55">
        <f>OR(AND(I55&gt;=$T$10,K55&lt;=$T$11,O55),M55)</f>
        <v/>
      </c>
    </row>
    <row r="56">
      <c r="A56">
        <f>Data!E60</f>
        <v/>
      </c>
      <c r="B56">
        <f>Data!G60</f>
        <v/>
      </c>
      <c r="C56">
        <f>Data!H60</f>
        <v/>
      </c>
      <c r="D56">
        <f>Data!I60</f>
        <v/>
      </c>
      <c r="E56">
        <f>Data!M60</f>
        <v/>
      </c>
      <c r="F56">
        <f>Data!O60</f>
        <v/>
      </c>
      <c r="G56">
        <f>E56-F56</f>
        <v/>
      </c>
      <c r="H56">
        <f>Data!P60</f>
        <v/>
      </c>
      <c r="I56">
        <f>G56+H56</f>
        <v/>
      </c>
      <c r="J56">
        <f>F56+G56+H56</f>
        <v/>
      </c>
      <c r="K56">
        <f>Data!R60</f>
        <v/>
      </c>
      <c r="L56">
        <f>Data!T60</f>
        <v/>
      </c>
      <c r="M56">
        <f>AND(E56=0,F56=0,G56=0,H56=0,I56=0,J56=0,K56=0,L56=0)</f>
        <v/>
      </c>
      <c r="N56">
        <f>G56&lt;=$T$6</f>
        <v/>
      </c>
      <c r="O56">
        <f>G56&lt;=$T$12</f>
        <v/>
      </c>
      <c r="P56">
        <f>OR(AND(H56&gt;=$T$4,K56&lt;=$T$5,N56),M56)</f>
        <v/>
      </c>
      <c r="Q56">
        <f>OR(AND(I56&gt;=$T$10,K56&lt;=$T$11,O56),M56)</f>
        <v/>
      </c>
    </row>
    <row r="57">
      <c r="A57">
        <f>Data!E61</f>
        <v/>
      </c>
      <c r="B57">
        <f>Data!G61</f>
        <v/>
      </c>
      <c r="C57">
        <f>Data!H61</f>
        <v/>
      </c>
      <c r="D57">
        <f>Data!I61</f>
        <v/>
      </c>
      <c r="E57">
        <f>Data!M61</f>
        <v/>
      </c>
      <c r="F57">
        <f>Data!O61</f>
        <v/>
      </c>
      <c r="G57">
        <f>E57-F57</f>
        <v/>
      </c>
      <c r="H57">
        <f>Data!P61</f>
        <v/>
      </c>
      <c r="I57">
        <f>G57+H57</f>
        <v/>
      </c>
      <c r="J57">
        <f>F57+G57+H57</f>
        <v/>
      </c>
      <c r="K57">
        <f>Data!R61</f>
        <v/>
      </c>
      <c r="L57">
        <f>Data!T61</f>
        <v/>
      </c>
      <c r="M57">
        <f>AND(E57=0,F57=0,G57=0,H57=0,I57=0,J57=0,K57=0,L57=0)</f>
        <v/>
      </c>
      <c r="N57">
        <f>G57&lt;=$T$6</f>
        <v/>
      </c>
      <c r="O57">
        <f>G57&lt;=$T$12</f>
        <v/>
      </c>
      <c r="P57">
        <f>OR(AND(H57&gt;=$T$4,K57&lt;=$T$5,N57),M57)</f>
        <v/>
      </c>
      <c r="Q57">
        <f>OR(AND(I57&gt;=$T$10,K57&lt;=$T$11,O57),M57)</f>
        <v/>
      </c>
    </row>
    <row r="58">
      <c r="A58">
        <f>Data!E63</f>
        <v/>
      </c>
      <c r="B58">
        <f>Data!G63</f>
        <v/>
      </c>
      <c r="C58">
        <f>Data!H63</f>
        <v/>
      </c>
      <c r="D58">
        <f>Data!I63</f>
        <v/>
      </c>
      <c r="E58">
        <f>Data!M63</f>
        <v/>
      </c>
      <c r="F58">
        <f>Data!O63</f>
        <v/>
      </c>
      <c r="G58">
        <f>E58-F58</f>
        <v/>
      </c>
      <c r="H58">
        <f>Data!P63</f>
        <v/>
      </c>
      <c r="I58">
        <f>G58+H58</f>
        <v/>
      </c>
      <c r="J58">
        <f>F58+G58+H58</f>
        <v/>
      </c>
      <c r="K58">
        <f>Data!R63</f>
        <v/>
      </c>
      <c r="L58">
        <f>Data!T63</f>
        <v/>
      </c>
      <c r="M58">
        <f>AND(E58=0,F58=0,G58=0,H58=0,I58=0,J58=0,K58=0,L58=0)</f>
        <v/>
      </c>
      <c r="N58">
        <f>G58&lt;=$T$6</f>
        <v/>
      </c>
      <c r="O58">
        <f>G58&lt;=$T$12</f>
        <v/>
      </c>
      <c r="P58">
        <f>OR(AND(H58&gt;=$T$4,K58&lt;=$T$5,N58),M58)</f>
        <v/>
      </c>
      <c r="Q58">
        <f>OR(AND(I58&gt;=$T$10,K58&lt;=$T$11,O58),M58)</f>
        <v/>
      </c>
    </row>
    <row r="59">
      <c r="A59">
        <f>Data!E64</f>
        <v/>
      </c>
      <c r="B59">
        <f>Data!G64</f>
        <v/>
      </c>
      <c r="C59">
        <f>Data!H64</f>
        <v/>
      </c>
      <c r="D59">
        <f>Data!I64</f>
        <v/>
      </c>
      <c r="E59">
        <f>Data!M64</f>
        <v/>
      </c>
      <c r="F59">
        <f>Data!O64</f>
        <v/>
      </c>
      <c r="G59">
        <f>E59-F59</f>
        <v/>
      </c>
      <c r="H59">
        <f>Data!P64</f>
        <v/>
      </c>
      <c r="I59">
        <f>G59+H59</f>
        <v/>
      </c>
      <c r="J59">
        <f>F59+G59+H59</f>
        <v/>
      </c>
      <c r="K59">
        <f>Data!R64</f>
        <v/>
      </c>
      <c r="L59">
        <f>Data!T64</f>
        <v/>
      </c>
      <c r="M59">
        <f>AND(E59=0,F59=0,G59=0,H59=0,I59=0,J59=0,K59=0,L59=0)</f>
        <v/>
      </c>
      <c r="N59">
        <f>G59&lt;=$T$6</f>
        <v/>
      </c>
      <c r="O59">
        <f>G59&lt;=$T$12</f>
        <v/>
      </c>
      <c r="P59">
        <f>OR(AND(H59&gt;=$T$4,K59&lt;=$T$5,N59),M59)</f>
        <v/>
      </c>
      <c r="Q59">
        <f>OR(AND(I59&gt;=$T$10,K59&lt;=$T$11,O59),M59)</f>
        <v/>
      </c>
    </row>
    <row r="60">
      <c r="A60">
        <f>Data!E65</f>
        <v/>
      </c>
      <c r="B60">
        <f>Data!G65</f>
        <v/>
      </c>
      <c r="C60">
        <f>Data!H65</f>
        <v/>
      </c>
      <c r="D60">
        <f>Data!I65</f>
        <v/>
      </c>
      <c r="E60">
        <f>Data!M65</f>
        <v/>
      </c>
      <c r="F60">
        <f>Data!O65</f>
        <v/>
      </c>
      <c r="G60">
        <f>E60-F60</f>
        <v/>
      </c>
      <c r="H60">
        <f>Data!P65</f>
        <v/>
      </c>
      <c r="I60">
        <f>G60+H60</f>
        <v/>
      </c>
      <c r="J60">
        <f>F60+G60+H60</f>
        <v/>
      </c>
      <c r="K60">
        <f>Data!R65</f>
        <v/>
      </c>
      <c r="L60">
        <f>Data!T65</f>
        <v/>
      </c>
      <c r="M60">
        <f>AND(E60=0,F60=0,G60=0,H60=0,I60=0,J60=0,K60=0,L60=0)</f>
        <v/>
      </c>
      <c r="N60">
        <f>G60&lt;=$T$6</f>
        <v/>
      </c>
      <c r="O60">
        <f>G60&lt;=$T$12</f>
        <v/>
      </c>
      <c r="P60">
        <f>OR(AND(H60&gt;=$T$4,K60&lt;=$T$5,N60),M60)</f>
        <v/>
      </c>
      <c r="Q60">
        <f>OR(AND(I60&gt;=$T$10,K60&lt;=$T$11,O60),M60)</f>
        <v/>
      </c>
    </row>
    <row r="61">
      <c r="A61">
        <f>Data!E66</f>
        <v/>
      </c>
      <c r="B61">
        <f>Data!G66</f>
        <v/>
      </c>
      <c r="C61">
        <f>Data!H66</f>
        <v/>
      </c>
      <c r="D61">
        <f>Data!I66</f>
        <v/>
      </c>
      <c r="E61">
        <f>Data!M66</f>
        <v/>
      </c>
      <c r="F61">
        <f>Data!O66</f>
        <v/>
      </c>
      <c r="G61">
        <f>E61-F61</f>
        <v/>
      </c>
      <c r="H61">
        <f>Data!P66</f>
        <v/>
      </c>
      <c r="I61">
        <f>G61+H61</f>
        <v/>
      </c>
      <c r="J61">
        <f>F61+G61+H61</f>
        <v/>
      </c>
      <c r="K61">
        <f>Data!R66</f>
        <v/>
      </c>
      <c r="L61">
        <f>Data!T66</f>
        <v/>
      </c>
      <c r="M61">
        <f>AND(E61=0,F61=0,G61=0,H61=0,I61=0,J61=0,K61=0,L61=0)</f>
        <v/>
      </c>
      <c r="N61">
        <f>G61&lt;=$T$6</f>
        <v/>
      </c>
      <c r="O61">
        <f>G61&lt;=$T$12</f>
        <v/>
      </c>
      <c r="P61">
        <f>OR(AND(H61&gt;=$T$4,K61&lt;=$T$5,N61),M61)</f>
        <v/>
      </c>
      <c r="Q61">
        <f>OR(AND(I61&gt;=$T$10,K61&lt;=$T$11,O61),M61)</f>
        <v/>
      </c>
    </row>
    <row r="62">
      <c r="A62">
        <f>Data!E67</f>
        <v/>
      </c>
      <c r="B62">
        <f>Data!G67</f>
        <v/>
      </c>
      <c r="C62">
        <f>Data!H67</f>
        <v/>
      </c>
      <c r="D62">
        <f>Data!I67</f>
        <v/>
      </c>
      <c r="E62">
        <f>Data!M67</f>
        <v/>
      </c>
      <c r="F62">
        <f>Data!O67</f>
        <v/>
      </c>
      <c r="G62">
        <f>E62-F62</f>
        <v/>
      </c>
      <c r="H62">
        <f>Data!P67</f>
        <v/>
      </c>
      <c r="I62">
        <f>G62+H62</f>
        <v/>
      </c>
      <c r="J62">
        <f>F62+G62+H62</f>
        <v/>
      </c>
      <c r="K62">
        <f>Data!R67</f>
        <v/>
      </c>
      <c r="L62">
        <f>Data!T67</f>
        <v/>
      </c>
      <c r="M62">
        <f>AND(E62=0,F62=0,G62=0,H62=0,I62=0,J62=0,K62=0,L62=0)</f>
        <v/>
      </c>
      <c r="N62">
        <f>G62&lt;=$T$6</f>
        <v/>
      </c>
      <c r="O62">
        <f>G62&lt;=$T$12</f>
        <v/>
      </c>
      <c r="P62">
        <f>OR(AND(H62&gt;=$T$4,K62&lt;=$T$5,N62),M62)</f>
        <v/>
      </c>
      <c r="Q62">
        <f>OR(AND(I62&gt;=$T$10,K62&lt;=$T$11,O62),M62)</f>
        <v/>
      </c>
    </row>
    <row r="63">
      <c r="A63">
        <f>Data!E68</f>
        <v/>
      </c>
      <c r="B63">
        <f>Data!G68</f>
        <v/>
      </c>
      <c r="C63">
        <f>Data!H68</f>
        <v/>
      </c>
      <c r="D63">
        <f>Data!I68</f>
        <v/>
      </c>
      <c r="E63">
        <f>Data!M68</f>
        <v/>
      </c>
      <c r="F63">
        <f>Data!O68</f>
        <v/>
      </c>
      <c r="G63">
        <f>E63-F63</f>
        <v/>
      </c>
      <c r="H63">
        <f>Data!P68</f>
        <v/>
      </c>
      <c r="I63">
        <f>G63+H63</f>
        <v/>
      </c>
      <c r="J63">
        <f>F63+G63+H63</f>
        <v/>
      </c>
      <c r="K63">
        <f>Data!R68</f>
        <v/>
      </c>
      <c r="L63">
        <f>Data!T68</f>
        <v/>
      </c>
      <c r="M63">
        <f>AND(E63=0,F63=0,G63=0,H63=0,I63=0,J63=0,K63=0,L63=0)</f>
        <v/>
      </c>
      <c r="N63">
        <f>G63&lt;=$T$6</f>
        <v/>
      </c>
      <c r="O63">
        <f>G63&lt;=$T$12</f>
        <v/>
      </c>
      <c r="P63">
        <f>OR(AND(H63&gt;=$T$4,K63&lt;=$T$5,N63),M63)</f>
        <v/>
      </c>
      <c r="Q63">
        <f>OR(AND(I63&gt;=$T$10,K63&lt;=$T$11,O63),M63)</f>
        <v/>
      </c>
    </row>
    <row r="64">
      <c r="A64">
        <f>Data!E69</f>
        <v/>
      </c>
      <c r="B64">
        <f>Data!G69</f>
        <v/>
      </c>
      <c r="C64">
        <f>Data!H69</f>
        <v/>
      </c>
      <c r="D64">
        <f>Data!I69</f>
        <v/>
      </c>
      <c r="E64">
        <f>Data!M69</f>
        <v/>
      </c>
      <c r="F64">
        <f>Data!O69</f>
        <v/>
      </c>
      <c r="G64">
        <f>E64-F64</f>
        <v/>
      </c>
      <c r="H64">
        <f>Data!P69</f>
        <v/>
      </c>
      <c r="I64">
        <f>G64+H64</f>
        <v/>
      </c>
      <c r="J64">
        <f>F64+G64+H64</f>
        <v/>
      </c>
      <c r="K64">
        <f>Data!R69</f>
        <v/>
      </c>
      <c r="L64">
        <f>Data!T69</f>
        <v/>
      </c>
      <c r="M64">
        <f>AND(E64=0,F64=0,G64=0,H64=0,I64=0,J64=0,K64=0,L64=0)</f>
        <v/>
      </c>
      <c r="N64">
        <f>G64&lt;=$T$6</f>
        <v/>
      </c>
      <c r="O64">
        <f>G64&lt;=$T$12</f>
        <v/>
      </c>
      <c r="P64">
        <f>OR(AND(H64&gt;=$T$4,K64&lt;=$T$5,N64),M64)</f>
        <v/>
      </c>
      <c r="Q64">
        <f>OR(AND(I64&gt;=$T$10,K64&lt;=$T$11,O64),M64)</f>
        <v/>
      </c>
    </row>
    <row r="65">
      <c r="A65">
        <f>Data!E70</f>
        <v/>
      </c>
      <c r="B65">
        <f>Data!G70</f>
        <v/>
      </c>
      <c r="C65">
        <f>Data!H70</f>
        <v/>
      </c>
      <c r="D65">
        <f>Data!I70</f>
        <v/>
      </c>
      <c r="E65">
        <f>Data!M70</f>
        <v/>
      </c>
      <c r="F65">
        <f>Data!O70</f>
        <v/>
      </c>
      <c r="G65">
        <f>E65-F65</f>
        <v/>
      </c>
      <c r="H65">
        <f>Data!P70</f>
        <v/>
      </c>
      <c r="I65">
        <f>G65+H65</f>
        <v/>
      </c>
      <c r="J65">
        <f>F65+G65+H65</f>
        <v/>
      </c>
      <c r="K65">
        <f>Data!R70</f>
        <v/>
      </c>
      <c r="L65">
        <f>Data!T70</f>
        <v/>
      </c>
      <c r="M65">
        <f>AND(E65=0,F65=0,G65=0,H65=0,I65=0,J65=0,K65=0,L65=0)</f>
        <v/>
      </c>
      <c r="N65">
        <f>G65&lt;=$T$6</f>
        <v/>
      </c>
      <c r="O65">
        <f>G65&lt;=$T$12</f>
        <v/>
      </c>
      <c r="P65">
        <f>OR(AND(H65&gt;=$T$4,K65&lt;=$T$5,N65),M65)</f>
        <v/>
      </c>
      <c r="Q65">
        <f>OR(AND(I65&gt;=$T$10,K65&lt;=$T$11,O65),M65)</f>
        <v/>
      </c>
    </row>
    <row r="66">
      <c r="A66">
        <f>Data!E71</f>
        <v/>
      </c>
      <c r="B66">
        <f>Data!G71</f>
        <v/>
      </c>
      <c r="C66">
        <f>Data!H71</f>
        <v/>
      </c>
      <c r="D66">
        <f>Data!I71</f>
        <v/>
      </c>
      <c r="E66">
        <f>Data!M71</f>
        <v/>
      </c>
      <c r="F66">
        <f>Data!O71</f>
        <v/>
      </c>
      <c r="G66">
        <f>E66-F66</f>
        <v/>
      </c>
      <c r="H66">
        <f>Data!P71</f>
        <v/>
      </c>
      <c r="I66">
        <f>G66+H66</f>
        <v/>
      </c>
      <c r="J66">
        <f>F66+G66+H66</f>
        <v/>
      </c>
      <c r="K66">
        <f>Data!R71</f>
        <v/>
      </c>
      <c r="L66">
        <f>Data!T71</f>
        <v/>
      </c>
      <c r="M66">
        <f>AND(E66=0,F66=0,G66=0,H66=0,I66=0,J66=0,K66=0,L66=0)</f>
        <v/>
      </c>
      <c r="N66">
        <f>G66&lt;=$T$6</f>
        <v/>
      </c>
      <c r="O66">
        <f>G66&lt;=$T$12</f>
        <v/>
      </c>
      <c r="P66">
        <f>OR(AND(H66&gt;=$T$4,K66&lt;=$T$5,N66),M66)</f>
        <v/>
      </c>
      <c r="Q66">
        <f>OR(AND(I66&gt;=$T$10,K66&lt;=$T$11,O66),M66)</f>
        <v/>
      </c>
    </row>
    <row r="67">
      <c r="A67">
        <f>Data!E72</f>
        <v/>
      </c>
      <c r="B67">
        <f>Data!G72</f>
        <v/>
      </c>
      <c r="C67">
        <f>Data!H72</f>
        <v/>
      </c>
      <c r="D67">
        <f>Data!I72</f>
        <v/>
      </c>
      <c r="E67">
        <f>Data!M72</f>
        <v/>
      </c>
      <c r="F67">
        <f>Data!O72</f>
        <v/>
      </c>
      <c r="G67">
        <f>E67-F67</f>
        <v/>
      </c>
      <c r="H67">
        <f>Data!P72</f>
        <v/>
      </c>
      <c r="I67">
        <f>G67+H67</f>
        <v/>
      </c>
      <c r="J67">
        <f>F67+G67+H67</f>
        <v/>
      </c>
      <c r="K67">
        <f>Data!R72</f>
        <v/>
      </c>
      <c r="L67">
        <f>Data!T72</f>
        <v/>
      </c>
      <c r="M67">
        <f>AND(E67=0,F67=0,G67=0,H67=0,I67=0,J67=0,K67=0,L67=0)</f>
        <v/>
      </c>
      <c r="N67">
        <f>G67&lt;=$T$6</f>
        <v/>
      </c>
      <c r="O67">
        <f>G67&lt;=$T$12</f>
        <v/>
      </c>
      <c r="P67">
        <f>OR(AND(H67&gt;=$T$4,K67&lt;=$T$5,N67),M67)</f>
        <v/>
      </c>
      <c r="Q67">
        <f>OR(AND(I67&gt;=$T$10,K67&lt;=$T$11,O67),M67)</f>
        <v/>
      </c>
    </row>
    <row r="68">
      <c r="A68">
        <f>Data!E73</f>
        <v/>
      </c>
      <c r="B68">
        <f>Data!G73</f>
        <v/>
      </c>
      <c r="C68">
        <f>Data!H73</f>
        <v/>
      </c>
      <c r="D68">
        <f>Data!I73</f>
        <v/>
      </c>
      <c r="E68">
        <f>Data!M73</f>
        <v/>
      </c>
      <c r="F68">
        <f>Data!O73</f>
        <v/>
      </c>
      <c r="G68">
        <f>E68-F68</f>
        <v/>
      </c>
      <c r="H68">
        <f>Data!P73</f>
        <v/>
      </c>
      <c r="I68">
        <f>G68+H68</f>
        <v/>
      </c>
      <c r="J68">
        <f>F68+G68+H68</f>
        <v/>
      </c>
      <c r="K68">
        <f>Data!R73</f>
        <v/>
      </c>
      <c r="L68">
        <f>Data!T73</f>
        <v/>
      </c>
      <c r="M68">
        <f>AND(E68=0,F68=0,G68=0,H68=0,I68=0,J68=0,K68=0,L68=0)</f>
        <v/>
      </c>
      <c r="N68">
        <f>G68&lt;=$T$6</f>
        <v/>
      </c>
      <c r="O68">
        <f>G68&lt;=$T$12</f>
        <v/>
      </c>
      <c r="P68">
        <f>OR(AND(H68&gt;=$T$4,K68&lt;=$T$5,N68),M68)</f>
        <v/>
      </c>
      <c r="Q68">
        <f>OR(AND(I68&gt;=$T$10,K68&lt;=$T$11,O68),M68)</f>
        <v/>
      </c>
    </row>
    <row r="69">
      <c r="A69">
        <f>Data!E74</f>
        <v/>
      </c>
      <c r="B69">
        <f>Data!G74</f>
        <v/>
      </c>
      <c r="C69">
        <f>Data!H74</f>
        <v/>
      </c>
      <c r="D69">
        <f>Data!I74</f>
        <v/>
      </c>
      <c r="E69">
        <f>Data!M74</f>
        <v/>
      </c>
      <c r="F69">
        <f>Data!O74</f>
        <v/>
      </c>
      <c r="G69">
        <f>E69-F69</f>
        <v/>
      </c>
      <c r="H69">
        <f>Data!P74</f>
        <v/>
      </c>
      <c r="I69">
        <f>G69+H69</f>
        <v/>
      </c>
      <c r="J69">
        <f>F69+G69+H69</f>
        <v/>
      </c>
      <c r="K69">
        <f>Data!R74</f>
        <v/>
      </c>
      <c r="L69">
        <f>Data!T74</f>
        <v/>
      </c>
      <c r="M69">
        <f>AND(E69=0,F69=0,G69=0,H69=0,I69=0,J69=0,K69=0,L69=0)</f>
        <v/>
      </c>
      <c r="N69">
        <f>G69&lt;=$T$6</f>
        <v/>
      </c>
      <c r="O69">
        <f>G69&lt;=$T$12</f>
        <v/>
      </c>
      <c r="P69">
        <f>OR(AND(H69&gt;=$T$4,K69&lt;=$T$5,N69),M69)</f>
        <v/>
      </c>
      <c r="Q69">
        <f>OR(AND(I69&gt;=$T$10,K69&lt;=$T$11,O69),M69)</f>
        <v/>
      </c>
    </row>
    <row r="70">
      <c r="A70">
        <f>Data!E75</f>
        <v/>
      </c>
      <c r="B70">
        <f>Data!G75</f>
        <v/>
      </c>
      <c r="C70">
        <f>Data!H75</f>
        <v/>
      </c>
      <c r="D70">
        <f>Data!I75</f>
        <v/>
      </c>
      <c r="E70">
        <f>Data!M75</f>
        <v/>
      </c>
      <c r="F70">
        <f>Data!O75</f>
        <v/>
      </c>
      <c r="G70">
        <f>E70-F70</f>
        <v/>
      </c>
      <c r="H70">
        <f>Data!P75</f>
        <v/>
      </c>
      <c r="I70">
        <f>G70+H70</f>
        <v/>
      </c>
      <c r="J70">
        <f>F70+G70+H70</f>
        <v/>
      </c>
      <c r="K70">
        <f>Data!R75</f>
        <v/>
      </c>
      <c r="L70">
        <f>Data!T75</f>
        <v/>
      </c>
      <c r="M70">
        <f>AND(E70=0,F70=0,G70=0,H70=0,I70=0,J70=0,K70=0,L70=0)</f>
        <v/>
      </c>
      <c r="N70">
        <f>G70&lt;=$T$6</f>
        <v/>
      </c>
      <c r="O70">
        <f>G70&lt;=$T$12</f>
        <v/>
      </c>
      <c r="P70">
        <f>OR(AND(H70&gt;=$T$4,K70&lt;=$T$5,N70),M70)</f>
        <v/>
      </c>
      <c r="Q70">
        <f>OR(AND(I70&gt;=$T$10,K70&lt;=$T$11,O70),M70)</f>
        <v/>
      </c>
    </row>
    <row r="71">
      <c r="A71">
        <f>Data!E76</f>
        <v/>
      </c>
      <c r="B71">
        <f>Data!G76</f>
        <v/>
      </c>
      <c r="C71">
        <f>Data!H76</f>
        <v/>
      </c>
      <c r="D71">
        <f>Data!I76</f>
        <v/>
      </c>
      <c r="E71">
        <f>Data!M76</f>
        <v/>
      </c>
      <c r="F71">
        <f>Data!O76</f>
        <v/>
      </c>
      <c r="G71">
        <f>E71-F71</f>
        <v/>
      </c>
      <c r="H71">
        <f>Data!P76</f>
        <v/>
      </c>
      <c r="I71">
        <f>G71+H71</f>
        <v/>
      </c>
      <c r="J71">
        <f>F71+G71+H71</f>
        <v/>
      </c>
      <c r="K71">
        <f>Data!R76</f>
        <v/>
      </c>
      <c r="L71">
        <f>Data!T76</f>
        <v/>
      </c>
      <c r="M71">
        <f>AND(E71=0,F71=0,G71=0,H71=0,I71=0,J71=0,K71=0,L71=0)</f>
        <v/>
      </c>
      <c r="N71">
        <f>G71&lt;=$T$6</f>
        <v/>
      </c>
      <c r="O71">
        <f>G71&lt;=$T$12</f>
        <v/>
      </c>
      <c r="P71">
        <f>OR(AND(H71&gt;=$T$4,K71&lt;=$T$5,N71),M71)</f>
        <v/>
      </c>
      <c r="Q71">
        <f>OR(AND(I71&gt;=$T$10,K71&lt;=$T$11,O71),M71)</f>
        <v/>
      </c>
    </row>
    <row r="72">
      <c r="A72">
        <f>Data!E78</f>
        <v/>
      </c>
      <c r="B72">
        <f>Data!G78</f>
        <v/>
      </c>
      <c r="C72">
        <f>Data!H78</f>
        <v/>
      </c>
      <c r="D72">
        <f>Data!I78</f>
        <v/>
      </c>
      <c r="E72">
        <f>Data!M78</f>
        <v/>
      </c>
      <c r="F72">
        <f>Data!O78</f>
        <v/>
      </c>
      <c r="G72">
        <f>E72-F72</f>
        <v/>
      </c>
      <c r="H72">
        <f>Data!P78</f>
        <v/>
      </c>
      <c r="I72">
        <f>G72+H72</f>
        <v/>
      </c>
      <c r="J72">
        <f>F72+G72+H72</f>
        <v/>
      </c>
      <c r="K72">
        <f>Data!R78</f>
        <v/>
      </c>
      <c r="L72">
        <f>Data!T78</f>
        <v/>
      </c>
      <c r="M72">
        <f>AND(E72=0,F72=0,G72=0,H72=0,I72=0,J72=0,K72=0,L72=0)</f>
        <v/>
      </c>
      <c r="N72">
        <f>G72&lt;=$T$6</f>
        <v/>
      </c>
      <c r="O72">
        <f>G72&lt;=$T$12</f>
        <v/>
      </c>
      <c r="P72">
        <f>OR(AND(H72&gt;=$T$4,K72&lt;=$T$5,N72),M72)</f>
        <v/>
      </c>
      <c r="Q72">
        <f>OR(AND(I72&gt;=$T$10,K72&lt;=$T$11,O72),M72)</f>
        <v/>
      </c>
    </row>
    <row r="73">
      <c r="A73">
        <f>Data!E79</f>
        <v/>
      </c>
      <c r="B73">
        <f>Data!G79</f>
        <v/>
      </c>
      <c r="C73">
        <f>Data!H79</f>
        <v/>
      </c>
      <c r="D73">
        <f>Data!I79</f>
        <v/>
      </c>
      <c r="E73">
        <f>Data!M79</f>
        <v/>
      </c>
      <c r="F73">
        <f>Data!O79</f>
        <v/>
      </c>
      <c r="G73">
        <f>E73-F73</f>
        <v/>
      </c>
      <c r="H73">
        <f>Data!P79</f>
        <v/>
      </c>
      <c r="I73">
        <f>G73+H73</f>
        <v/>
      </c>
      <c r="J73">
        <f>F73+G73+H73</f>
        <v/>
      </c>
      <c r="K73">
        <f>Data!R79</f>
        <v/>
      </c>
      <c r="L73">
        <f>Data!T79</f>
        <v/>
      </c>
      <c r="M73">
        <f>AND(E73=0,F73=0,G73=0,H73=0,I73=0,J73=0,K73=0,L73=0)</f>
        <v/>
      </c>
      <c r="N73">
        <f>G73&lt;=$T$6</f>
        <v/>
      </c>
      <c r="O73">
        <f>G73&lt;=$T$12</f>
        <v/>
      </c>
      <c r="P73">
        <f>OR(AND(H73&gt;=$T$4,K73&lt;=$T$5,N73),M73)</f>
        <v/>
      </c>
      <c r="Q73">
        <f>OR(AND(I73&gt;=$T$10,K73&lt;=$T$11,O73),M73)</f>
        <v/>
      </c>
    </row>
    <row r="74">
      <c r="A74">
        <f>Data!E80</f>
        <v/>
      </c>
      <c r="B74">
        <f>Data!G80</f>
        <v/>
      </c>
      <c r="C74">
        <f>Data!H80</f>
        <v/>
      </c>
      <c r="D74">
        <f>Data!I80</f>
        <v/>
      </c>
      <c r="E74">
        <f>Data!M80</f>
        <v/>
      </c>
      <c r="F74">
        <f>Data!O80</f>
        <v/>
      </c>
      <c r="G74">
        <f>E74-F74</f>
        <v/>
      </c>
      <c r="H74">
        <f>Data!P80</f>
        <v/>
      </c>
      <c r="I74">
        <f>G74+H74</f>
        <v/>
      </c>
      <c r="J74">
        <f>F74+G74+H74</f>
        <v/>
      </c>
      <c r="K74">
        <f>Data!R80</f>
        <v/>
      </c>
      <c r="L74">
        <f>Data!T80</f>
        <v/>
      </c>
      <c r="M74">
        <f>AND(E74=0,F74=0,G74=0,H74=0,I74=0,J74=0,K74=0,L74=0)</f>
        <v/>
      </c>
      <c r="N74">
        <f>G74&lt;=$T$6</f>
        <v/>
      </c>
      <c r="O74">
        <f>G74&lt;=$T$12</f>
        <v/>
      </c>
      <c r="P74">
        <f>OR(AND(H74&gt;=$T$4,K74&lt;=$T$5,N74),M74)</f>
        <v/>
      </c>
      <c r="Q74">
        <f>OR(AND(I74&gt;=$T$10,K74&lt;=$T$11,O74),M74)</f>
        <v/>
      </c>
    </row>
    <row r="75">
      <c r="A75">
        <f>Data!E81</f>
        <v/>
      </c>
      <c r="B75">
        <f>Data!G81</f>
        <v/>
      </c>
      <c r="C75">
        <f>Data!H81</f>
        <v/>
      </c>
      <c r="D75">
        <f>Data!I81</f>
        <v/>
      </c>
      <c r="E75">
        <f>Data!M81</f>
        <v/>
      </c>
      <c r="F75">
        <f>Data!O81</f>
        <v/>
      </c>
      <c r="G75">
        <f>E75-F75</f>
        <v/>
      </c>
      <c r="H75">
        <f>Data!P81</f>
        <v/>
      </c>
      <c r="I75">
        <f>G75+H75</f>
        <v/>
      </c>
      <c r="J75">
        <f>F75+G75+H75</f>
        <v/>
      </c>
      <c r="K75">
        <f>Data!R81</f>
        <v/>
      </c>
      <c r="L75">
        <f>Data!T81</f>
        <v/>
      </c>
      <c r="M75">
        <f>AND(E75=0,F75=0,G75=0,H75=0,I75=0,J75=0,K75=0,L75=0)</f>
        <v/>
      </c>
      <c r="N75">
        <f>G75&lt;=$T$6</f>
        <v/>
      </c>
      <c r="O75">
        <f>G75&lt;=$T$12</f>
        <v/>
      </c>
      <c r="P75">
        <f>OR(AND(H75&gt;=$T$4,K75&lt;=$T$5,N75),M75)</f>
        <v/>
      </c>
      <c r="Q75">
        <f>OR(AND(I75&gt;=$T$10,K75&lt;=$T$11,O75),M75)</f>
        <v/>
      </c>
    </row>
    <row r="76">
      <c r="A76">
        <f>Data!E82</f>
        <v/>
      </c>
      <c r="B76">
        <f>Data!G82</f>
        <v/>
      </c>
      <c r="C76">
        <f>Data!H82</f>
        <v/>
      </c>
      <c r="D76">
        <f>Data!I82</f>
        <v/>
      </c>
      <c r="E76">
        <f>Data!M82</f>
        <v/>
      </c>
      <c r="F76">
        <f>Data!O82</f>
        <v/>
      </c>
      <c r="G76">
        <f>E76-F76</f>
        <v/>
      </c>
      <c r="H76">
        <f>Data!P82</f>
        <v/>
      </c>
      <c r="I76">
        <f>G76+H76</f>
        <v/>
      </c>
      <c r="J76">
        <f>F76+G76+H76</f>
        <v/>
      </c>
      <c r="K76">
        <f>Data!R82</f>
        <v/>
      </c>
      <c r="L76">
        <f>Data!T82</f>
        <v/>
      </c>
      <c r="M76">
        <f>AND(E76=0,F76=0,G76=0,H76=0,I76=0,J76=0,K76=0,L76=0)</f>
        <v/>
      </c>
      <c r="N76">
        <f>G76&lt;=$T$6</f>
        <v/>
      </c>
      <c r="O76">
        <f>G76&lt;=$T$12</f>
        <v/>
      </c>
      <c r="P76">
        <f>OR(AND(H76&gt;=$T$4,K76&lt;=$T$5,N76),M76)</f>
        <v/>
      </c>
      <c r="Q76">
        <f>OR(AND(I76&gt;=$T$10,K76&lt;=$T$11,O76),M76)</f>
        <v/>
      </c>
    </row>
    <row r="77">
      <c r="A77">
        <f>Data!E83</f>
        <v/>
      </c>
      <c r="B77">
        <f>Data!G83</f>
        <v/>
      </c>
      <c r="C77">
        <f>Data!H83</f>
        <v/>
      </c>
      <c r="D77">
        <f>Data!I83</f>
        <v/>
      </c>
      <c r="E77">
        <f>Data!M83</f>
        <v/>
      </c>
      <c r="F77">
        <f>Data!O83</f>
        <v/>
      </c>
      <c r="G77">
        <f>E77-F77</f>
        <v/>
      </c>
      <c r="H77">
        <f>Data!P83</f>
        <v/>
      </c>
      <c r="I77">
        <f>G77+H77</f>
        <v/>
      </c>
      <c r="J77">
        <f>F77+G77+H77</f>
        <v/>
      </c>
      <c r="K77">
        <f>Data!R83</f>
        <v/>
      </c>
      <c r="L77">
        <f>Data!T83</f>
        <v/>
      </c>
      <c r="M77">
        <f>AND(E77=0,F77=0,G77=0,H77=0,I77=0,J77=0,K77=0,L77=0)</f>
        <v/>
      </c>
      <c r="N77">
        <f>G77&lt;=$T$6</f>
        <v/>
      </c>
      <c r="O77">
        <f>G77&lt;=$T$12</f>
        <v/>
      </c>
      <c r="P77">
        <f>OR(AND(H77&gt;=$T$4,K77&lt;=$T$5,N77),M77)</f>
        <v/>
      </c>
      <c r="Q77">
        <f>OR(AND(I77&gt;=$T$10,K77&lt;=$T$11,O77),M77)</f>
        <v/>
      </c>
    </row>
    <row r="78">
      <c r="A78">
        <f>Data!E84</f>
        <v/>
      </c>
      <c r="B78">
        <f>Data!G84</f>
        <v/>
      </c>
      <c r="C78">
        <f>Data!H84</f>
        <v/>
      </c>
      <c r="D78">
        <f>Data!I84</f>
        <v/>
      </c>
      <c r="E78">
        <f>Data!M84</f>
        <v/>
      </c>
      <c r="F78">
        <f>Data!O84</f>
        <v/>
      </c>
      <c r="G78">
        <f>E78-F78</f>
        <v/>
      </c>
      <c r="H78">
        <f>Data!P84</f>
        <v/>
      </c>
      <c r="I78">
        <f>G78+H78</f>
        <v/>
      </c>
      <c r="J78">
        <f>F78+G78+H78</f>
        <v/>
      </c>
      <c r="K78">
        <f>Data!R84</f>
        <v/>
      </c>
      <c r="L78">
        <f>Data!T84</f>
        <v/>
      </c>
      <c r="M78">
        <f>AND(E78=0,F78=0,G78=0,H78=0,I78=0,J78=0,K78=0,L78=0)</f>
        <v/>
      </c>
      <c r="N78">
        <f>G78&lt;=$T$6</f>
        <v/>
      </c>
      <c r="O78">
        <f>G78&lt;=$T$12</f>
        <v/>
      </c>
      <c r="P78">
        <f>OR(AND(H78&gt;=$T$4,K78&lt;=$T$5,N78),M78)</f>
        <v/>
      </c>
      <c r="Q78">
        <f>OR(AND(I78&gt;=$T$10,K78&lt;=$T$11,O78),M78)</f>
        <v/>
      </c>
    </row>
    <row r="79">
      <c r="A79">
        <f>Data!E85</f>
        <v/>
      </c>
      <c r="B79">
        <f>Data!G85</f>
        <v/>
      </c>
      <c r="C79">
        <f>Data!H85</f>
        <v/>
      </c>
      <c r="D79">
        <f>Data!I85</f>
        <v/>
      </c>
      <c r="E79">
        <f>Data!M85</f>
        <v/>
      </c>
      <c r="F79">
        <f>Data!O85</f>
        <v/>
      </c>
      <c r="G79">
        <f>E79-F79</f>
        <v/>
      </c>
      <c r="H79">
        <f>Data!P85</f>
        <v/>
      </c>
      <c r="I79">
        <f>G79+H79</f>
        <v/>
      </c>
      <c r="J79">
        <f>F79+G79+H79</f>
        <v/>
      </c>
      <c r="K79">
        <f>Data!R85</f>
        <v/>
      </c>
      <c r="L79">
        <f>Data!T85</f>
        <v/>
      </c>
      <c r="M79">
        <f>AND(E79=0,F79=0,G79=0,H79=0,I79=0,J79=0,K79=0,L79=0)</f>
        <v/>
      </c>
      <c r="N79">
        <f>G79&lt;=$T$6</f>
        <v/>
      </c>
      <c r="O79">
        <f>G79&lt;=$T$12</f>
        <v/>
      </c>
      <c r="P79">
        <f>OR(AND(H79&gt;=$T$4,K79&lt;=$T$5,N79),M79)</f>
        <v/>
      </c>
      <c r="Q79">
        <f>OR(AND(I79&gt;=$T$10,K79&lt;=$T$11,O79),M79)</f>
        <v/>
      </c>
    </row>
    <row r="80">
      <c r="A80">
        <f>Data!E86</f>
        <v/>
      </c>
      <c r="B80">
        <f>Data!G86</f>
        <v/>
      </c>
      <c r="C80">
        <f>Data!H86</f>
        <v/>
      </c>
      <c r="D80">
        <f>Data!I86</f>
        <v/>
      </c>
      <c r="E80">
        <f>Data!M86</f>
        <v/>
      </c>
      <c r="F80">
        <f>Data!O86</f>
        <v/>
      </c>
      <c r="G80">
        <f>E80-F80</f>
        <v/>
      </c>
      <c r="H80">
        <f>Data!P86</f>
        <v/>
      </c>
      <c r="I80">
        <f>G80+H80</f>
        <v/>
      </c>
      <c r="J80">
        <f>F80+G80+H80</f>
        <v/>
      </c>
      <c r="K80">
        <f>Data!R86</f>
        <v/>
      </c>
      <c r="L80">
        <f>Data!T86</f>
        <v/>
      </c>
      <c r="M80">
        <f>AND(E80=0,F80=0,G80=0,H80=0,I80=0,J80=0,K80=0,L80=0)</f>
        <v/>
      </c>
      <c r="N80">
        <f>G80&lt;=$T$6</f>
        <v/>
      </c>
      <c r="O80">
        <f>G80&lt;=$T$12</f>
        <v/>
      </c>
      <c r="P80">
        <f>OR(AND(H80&gt;=$T$4,K80&lt;=$T$5,N80),M80)</f>
        <v/>
      </c>
      <c r="Q80">
        <f>OR(AND(I80&gt;=$T$10,K80&lt;=$T$11,O80),M80)</f>
        <v/>
      </c>
    </row>
    <row r="81">
      <c r="A81">
        <f>Data!E87</f>
        <v/>
      </c>
      <c r="B81">
        <f>Data!G87</f>
        <v/>
      </c>
      <c r="C81">
        <f>Data!H87</f>
        <v/>
      </c>
      <c r="D81">
        <f>Data!I87</f>
        <v/>
      </c>
      <c r="E81">
        <f>Data!M87</f>
        <v/>
      </c>
      <c r="F81">
        <f>Data!O87</f>
        <v/>
      </c>
      <c r="G81">
        <f>E81-F81</f>
        <v/>
      </c>
      <c r="H81">
        <f>Data!P87</f>
        <v/>
      </c>
      <c r="I81">
        <f>G81+H81</f>
        <v/>
      </c>
      <c r="J81">
        <f>F81+G81+H81</f>
        <v/>
      </c>
      <c r="K81">
        <f>Data!R87</f>
        <v/>
      </c>
      <c r="L81">
        <f>Data!T87</f>
        <v/>
      </c>
      <c r="M81">
        <f>AND(E81=0,F81=0,G81=0,H81=0,I81=0,J81=0,K81=0,L81=0)</f>
        <v/>
      </c>
      <c r="N81">
        <f>G81&lt;=$T$6</f>
        <v/>
      </c>
      <c r="O81">
        <f>G81&lt;=$T$12</f>
        <v/>
      </c>
      <c r="P81">
        <f>OR(AND(H81&gt;=$T$4,K81&lt;=$T$5,N81),M81)</f>
        <v/>
      </c>
      <c r="Q81">
        <f>OR(AND(I81&gt;=$T$10,K81&lt;=$T$11,O81),M81)</f>
        <v/>
      </c>
    </row>
    <row r="82">
      <c r="A82">
        <f>Data!E88</f>
        <v/>
      </c>
      <c r="B82">
        <f>Data!G88</f>
        <v/>
      </c>
      <c r="C82">
        <f>Data!H88</f>
        <v/>
      </c>
      <c r="D82">
        <f>Data!I88</f>
        <v/>
      </c>
      <c r="E82">
        <f>Data!M88</f>
        <v/>
      </c>
      <c r="F82">
        <f>Data!O88</f>
        <v/>
      </c>
      <c r="G82">
        <f>E82-F82</f>
        <v/>
      </c>
      <c r="H82">
        <f>Data!P88</f>
        <v/>
      </c>
      <c r="I82">
        <f>G82+H82</f>
        <v/>
      </c>
      <c r="J82">
        <f>F82+G82+H82</f>
        <v/>
      </c>
      <c r="K82">
        <f>Data!R88</f>
        <v/>
      </c>
      <c r="L82">
        <f>Data!T88</f>
        <v/>
      </c>
      <c r="M82">
        <f>AND(E82=0,F82=0,G82=0,H82=0,I82=0,J82=0,K82=0,L82=0)</f>
        <v/>
      </c>
      <c r="N82">
        <f>G82&lt;=$T$6</f>
        <v/>
      </c>
      <c r="O82">
        <f>G82&lt;=$T$12</f>
        <v/>
      </c>
      <c r="P82">
        <f>OR(AND(H82&gt;=$T$4,K82&lt;=$T$5,N82),M82)</f>
        <v/>
      </c>
      <c r="Q82">
        <f>OR(AND(I82&gt;=$T$10,K82&lt;=$T$11,O82),M82)</f>
        <v/>
      </c>
    </row>
    <row r="83">
      <c r="A83">
        <f>Data!E90</f>
        <v/>
      </c>
      <c r="B83">
        <f>Data!G90</f>
        <v/>
      </c>
      <c r="C83">
        <f>Data!H90</f>
        <v/>
      </c>
      <c r="D83">
        <f>Data!I90</f>
        <v/>
      </c>
      <c r="E83">
        <f>Data!M90</f>
        <v/>
      </c>
      <c r="F83">
        <f>Data!O90</f>
        <v/>
      </c>
      <c r="G83">
        <f>E83-F83</f>
        <v/>
      </c>
      <c r="H83">
        <f>Data!P90</f>
        <v/>
      </c>
      <c r="I83">
        <f>G83+H83</f>
        <v/>
      </c>
      <c r="J83">
        <f>F83+G83+H83</f>
        <v/>
      </c>
      <c r="K83">
        <f>Data!R90</f>
        <v/>
      </c>
      <c r="L83">
        <f>Data!T90</f>
        <v/>
      </c>
      <c r="M83">
        <f>AND(E83=0,F83=0,G83=0,H83=0,I83=0,J83=0,K83=0,L83=0)</f>
        <v/>
      </c>
      <c r="N83">
        <f>G83&lt;=$T$6</f>
        <v/>
      </c>
      <c r="O83">
        <f>G83&lt;=$T$12</f>
        <v/>
      </c>
      <c r="P83">
        <f>OR(AND(H83&gt;=$T$4,K83&lt;=$T$5,N83),M83)</f>
        <v/>
      </c>
      <c r="Q83">
        <f>OR(AND(I83&gt;=$T$10,K83&lt;=$T$11,O83),M83)</f>
        <v/>
      </c>
    </row>
    <row r="84">
      <c r="A84">
        <f>Data!E91</f>
        <v/>
      </c>
      <c r="B84">
        <f>Data!G91</f>
        <v/>
      </c>
      <c r="C84">
        <f>Data!H91</f>
        <v/>
      </c>
      <c r="D84">
        <f>Data!I91</f>
        <v/>
      </c>
      <c r="E84">
        <f>Data!M91</f>
        <v/>
      </c>
      <c r="F84">
        <f>Data!O91</f>
        <v/>
      </c>
      <c r="G84">
        <f>E84-F84</f>
        <v/>
      </c>
      <c r="H84">
        <f>Data!P91</f>
        <v/>
      </c>
      <c r="I84">
        <f>G84+H84</f>
        <v/>
      </c>
      <c r="J84">
        <f>F84+G84+H84</f>
        <v/>
      </c>
      <c r="K84">
        <f>Data!R91</f>
        <v/>
      </c>
      <c r="L84">
        <f>Data!T91</f>
        <v/>
      </c>
      <c r="M84">
        <f>AND(E84=0,F84=0,G84=0,H84=0,I84=0,J84=0,K84=0,L84=0)</f>
        <v/>
      </c>
      <c r="N84">
        <f>G84&lt;=$T$6</f>
        <v/>
      </c>
      <c r="O84">
        <f>G84&lt;=$T$12</f>
        <v/>
      </c>
      <c r="P84">
        <f>OR(AND(H84&gt;=$T$4,K84&lt;=$T$5,N84),M84)</f>
        <v/>
      </c>
      <c r="Q84">
        <f>OR(AND(I84&gt;=$T$10,K84&lt;=$T$11,O84),M84)</f>
        <v/>
      </c>
    </row>
    <row r="85">
      <c r="A85">
        <f>Data!E92</f>
        <v/>
      </c>
      <c r="B85">
        <f>Data!G92</f>
        <v/>
      </c>
      <c r="C85">
        <f>Data!H92</f>
        <v/>
      </c>
      <c r="D85">
        <f>Data!I92</f>
        <v/>
      </c>
      <c r="E85">
        <f>Data!M92</f>
        <v/>
      </c>
      <c r="F85">
        <f>Data!O92</f>
        <v/>
      </c>
      <c r="G85">
        <f>E85-F85</f>
        <v/>
      </c>
      <c r="H85">
        <f>Data!P92</f>
        <v/>
      </c>
      <c r="I85">
        <f>G85+H85</f>
        <v/>
      </c>
      <c r="J85">
        <f>F85+G85+H85</f>
        <v/>
      </c>
      <c r="K85">
        <f>Data!R92</f>
        <v/>
      </c>
      <c r="L85">
        <f>Data!T92</f>
        <v/>
      </c>
      <c r="M85">
        <f>AND(E85=0,F85=0,G85=0,H85=0,I85=0,J85=0,K85=0,L85=0)</f>
        <v/>
      </c>
      <c r="N85">
        <f>G85&lt;=$T$6</f>
        <v/>
      </c>
      <c r="O85">
        <f>G85&lt;=$T$12</f>
        <v/>
      </c>
      <c r="P85">
        <f>OR(AND(H85&gt;=$T$4,K85&lt;=$T$5,N85),M85)</f>
        <v/>
      </c>
      <c r="Q85">
        <f>OR(AND(I85&gt;=$T$10,K85&lt;=$T$11,O85),M85)</f>
        <v/>
      </c>
    </row>
    <row r="86">
      <c r="A86">
        <f>Data!E93</f>
        <v/>
      </c>
      <c r="B86">
        <f>Data!G93</f>
        <v/>
      </c>
      <c r="C86">
        <f>Data!H93</f>
        <v/>
      </c>
      <c r="D86">
        <f>Data!I93</f>
        <v/>
      </c>
      <c r="E86">
        <f>Data!M93</f>
        <v/>
      </c>
      <c r="F86">
        <f>Data!O93</f>
        <v/>
      </c>
      <c r="G86">
        <f>E86-F86</f>
        <v/>
      </c>
      <c r="H86">
        <f>Data!P93</f>
        <v/>
      </c>
      <c r="I86">
        <f>G86+H86</f>
        <v/>
      </c>
      <c r="J86">
        <f>F86+G86+H86</f>
        <v/>
      </c>
      <c r="K86">
        <f>Data!R93</f>
        <v/>
      </c>
      <c r="L86">
        <f>Data!T93</f>
        <v/>
      </c>
      <c r="M86">
        <f>AND(E86=0,F86=0,G86=0,H86=0,I86=0,J86=0,K86=0,L86=0)</f>
        <v/>
      </c>
      <c r="N86">
        <f>G86&lt;=$T$6</f>
        <v/>
      </c>
      <c r="O86">
        <f>G86&lt;=$T$12</f>
        <v/>
      </c>
      <c r="P86">
        <f>OR(AND(H86&gt;=$T$4,K86&lt;=$T$5,N86),M86)</f>
        <v/>
      </c>
      <c r="Q86">
        <f>OR(AND(I86&gt;=$T$10,K86&lt;=$T$11,O86),M86)</f>
        <v/>
      </c>
    </row>
    <row r="87">
      <c r="A87">
        <f>Data!E94</f>
        <v/>
      </c>
      <c r="B87">
        <f>Data!G94</f>
        <v/>
      </c>
      <c r="C87">
        <f>Data!H94</f>
        <v/>
      </c>
      <c r="D87">
        <f>Data!I94</f>
        <v/>
      </c>
      <c r="E87">
        <f>Data!M94</f>
        <v/>
      </c>
      <c r="F87">
        <f>Data!O94</f>
        <v/>
      </c>
      <c r="G87">
        <f>E87-F87</f>
        <v/>
      </c>
      <c r="H87">
        <f>Data!P94</f>
        <v/>
      </c>
      <c r="I87">
        <f>G87+H87</f>
        <v/>
      </c>
      <c r="J87">
        <f>F87+G87+H87</f>
        <v/>
      </c>
      <c r="K87">
        <f>Data!R94</f>
        <v/>
      </c>
      <c r="L87">
        <f>Data!T94</f>
        <v/>
      </c>
      <c r="M87">
        <f>AND(E87=0,F87=0,G87=0,H87=0,I87=0,J87=0,K87=0,L87=0)</f>
        <v/>
      </c>
      <c r="N87">
        <f>G87&lt;=$T$6</f>
        <v/>
      </c>
      <c r="O87">
        <f>G87&lt;=$T$12</f>
        <v/>
      </c>
      <c r="P87">
        <f>OR(AND(H87&gt;=$T$4,K87&lt;=$T$5,N87),M87)</f>
        <v/>
      </c>
      <c r="Q87">
        <f>OR(AND(I87&gt;=$T$10,K87&lt;=$T$11,O87),M87)</f>
        <v/>
      </c>
    </row>
    <row r="88">
      <c r="A88">
        <f>Data!E95</f>
        <v/>
      </c>
      <c r="B88">
        <f>Data!G95</f>
        <v/>
      </c>
      <c r="C88">
        <f>Data!H95</f>
        <v/>
      </c>
      <c r="D88">
        <f>Data!I95</f>
        <v/>
      </c>
      <c r="E88">
        <f>Data!M95</f>
        <v/>
      </c>
      <c r="F88">
        <f>Data!O95</f>
        <v/>
      </c>
      <c r="G88">
        <f>E88-F88</f>
        <v/>
      </c>
      <c r="H88">
        <f>Data!P95</f>
        <v/>
      </c>
      <c r="I88">
        <f>G88+H88</f>
        <v/>
      </c>
      <c r="J88">
        <f>F88+G88+H88</f>
        <v/>
      </c>
      <c r="K88">
        <f>Data!R95</f>
        <v/>
      </c>
      <c r="L88">
        <f>Data!T95</f>
        <v/>
      </c>
      <c r="M88">
        <f>AND(E88=0,F88=0,G88=0,H88=0,I88=0,J88=0,K88=0,L88=0)</f>
        <v/>
      </c>
      <c r="N88">
        <f>G88&lt;=$T$6</f>
        <v/>
      </c>
      <c r="O88">
        <f>G88&lt;=$T$12</f>
        <v/>
      </c>
      <c r="P88">
        <f>OR(AND(H88&gt;=$T$4,K88&lt;=$T$5,N88),M88)</f>
        <v/>
      </c>
      <c r="Q88">
        <f>OR(AND(I88&gt;=$T$10,K88&lt;=$T$11,O88),M88)</f>
        <v/>
      </c>
    </row>
    <row r="89">
      <c r="A89">
        <f>Data!E96</f>
        <v/>
      </c>
      <c r="B89">
        <f>Data!G96</f>
        <v/>
      </c>
      <c r="C89">
        <f>Data!H96</f>
        <v/>
      </c>
      <c r="D89">
        <f>Data!I96</f>
        <v/>
      </c>
      <c r="E89">
        <f>Data!M96</f>
        <v/>
      </c>
      <c r="F89">
        <f>Data!O96</f>
        <v/>
      </c>
      <c r="G89">
        <f>E89-F89</f>
        <v/>
      </c>
      <c r="H89">
        <f>Data!P96</f>
        <v/>
      </c>
      <c r="I89">
        <f>G89+H89</f>
        <v/>
      </c>
      <c r="J89">
        <f>F89+G89+H89</f>
        <v/>
      </c>
      <c r="K89">
        <f>Data!R96</f>
        <v/>
      </c>
      <c r="L89">
        <f>Data!T96</f>
        <v/>
      </c>
      <c r="M89">
        <f>AND(E89=0,F89=0,G89=0,H89=0,I89=0,J89=0,K89=0,L89=0)</f>
        <v/>
      </c>
      <c r="N89">
        <f>G89&lt;=$T$6</f>
        <v/>
      </c>
      <c r="O89">
        <f>G89&lt;=$T$12</f>
        <v/>
      </c>
      <c r="P89">
        <f>OR(AND(H89&gt;=$T$4,K89&lt;=$T$5,N89),M89)</f>
        <v/>
      </c>
      <c r="Q89">
        <f>OR(AND(I89&gt;=$T$10,K89&lt;=$T$11,O89),M89)</f>
        <v/>
      </c>
    </row>
    <row r="90">
      <c r="A90">
        <f>Data!E97</f>
        <v/>
      </c>
      <c r="B90">
        <f>Data!G97</f>
        <v/>
      </c>
      <c r="C90">
        <f>Data!H97</f>
        <v/>
      </c>
      <c r="D90">
        <f>Data!I97</f>
        <v/>
      </c>
      <c r="E90">
        <f>Data!M97</f>
        <v/>
      </c>
      <c r="F90">
        <f>Data!O97</f>
        <v/>
      </c>
      <c r="G90">
        <f>E90-F90</f>
        <v/>
      </c>
      <c r="H90">
        <f>Data!P97</f>
        <v/>
      </c>
      <c r="I90">
        <f>G90+H90</f>
        <v/>
      </c>
      <c r="J90">
        <f>F90+G90+H90</f>
        <v/>
      </c>
      <c r="K90">
        <f>Data!R97</f>
        <v/>
      </c>
      <c r="L90">
        <f>Data!T97</f>
        <v/>
      </c>
      <c r="M90">
        <f>AND(E90=0,F90=0,G90=0,H90=0,I90=0,J90=0,K90=0,L90=0)</f>
        <v/>
      </c>
      <c r="N90">
        <f>G90&lt;=$T$6</f>
        <v/>
      </c>
      <c r="O90">
        <f>G90&lt;=$T$12</f>
        <v/>
      </c>
      <c r="P90">
        <f>OR(AND(H90&gt;=$T$4,K90&lt;=$T$5,N90),M90)</f>
        <v/>
      </c>
      <c r="Q90">
        <f>OR(AND(I90&gt;=$T$10,K90&lt;=$T$11,O90),M90)</f>
        <v/>
      </c>
    </row>
    <row r="91">
      <c r="A91">
        <f>Data!E98</f>
        <v/>
      </c>
      <c r="B91">
        <f>Data!G98</f>
        <v/>
      </c>
      <c r="C91">
        <f>Data!H98</f>
        <v/>
      </c>
      <c r="D91">
        <f>Data!I98</f>
        <v/>
      </c>
      <c r="E91">
        <f>Data!M98</f>
        <v/>
      </c>
      <c r="F91">
        <f>Data!O98</f>
        <v/>
      </c>
      <c r="G91">
        <f>E91-F91</f>
        <v/>
      </c>
      <c r="H91">
        <f>Data!P98</f>
        <v/>
      </c>
      <c r="I91">
        <f>G91+H91</f>
        <v/>
      </c>
      <c r="J91">
        <f>F91+G91+H91</f>
        <v/>
      </c>
      <c r="K91">
        <f>Data!R98</f>
        <v/>
      </c>
      <c r="L91">
        <f>Data!T98</f>
        <v/>
      </c>
      <c r="M91">
        <f>AND(E91=0,F91=0,G91=0,H91=0,I91=0,J91=0,K91=0,L91=0)</f>
        <v/>
      </c>
      <c r="N91">
        <f>G91&lt;=$T$6</f>
        <v/>
      </c>
      <c r="O91">
        <f>G91&lt;=$T$12</f>
        <v/>
      </c>
      <c r="P91">
        <f>OR(AND(H91&gt;=$T$4,K91&lt;=$T$5,N91),M91)</f>
        <v/>
      </c>
      <c r="Q91">
        <f>OR(AND(I91&gt;=$T$10,K91&lt;=$T$11,O91),M91)</f>
        <v/>
      </c>
    </row>
    <row r="92">
      <c r="A92">
        <f>Data!E99</f>
        <v/>
      </c>
      <c r="B92">
        <f>Data!G99</f>
        <v/>
      </c>
      <c r="C92">
        <f>Data!H99</f>
        <v/>
      </c>
      <c r="D92">
        <f>Data!I99</f>
        <v/>
      </c>
      <c r="E92">
        <f>Data!M99</f>
        <v/>
      </c>
      <c r="F92">
        <f>Data!O99</f>
        <v/>
      </c>
      <c r="G92">
        <f>E92-F92</f>
        <v/>
      </c>
      <c r="H92">
        <f>Data!P99</f>
        <v/>
      </c>
      <c r="I92">
        <f>G92+H92</f>
        <v/>
      </c>
      <c r="J92">
        <f>F92+G92+H92</f>
        <v/>
      </c>
      <c r="K92">
        <f>Data!R99</f>
        <v/>
      </c>
      <c r="L92">
        <f>Data!T99</f>
        <v/>
      </c>
      <c r="M92">
        <f>AND(E92=0,F92=0,G92=0,H92=0,I92=0,J92=0,K92=0,L92=0)</f>
        <v/>
      </c>
      <c r="N92">
        <f>G92&lt;=$T$6</f>
        <v/>
      </c>
      <c r="O92">
        <f>G92&lt;=$T$12</f>
        <v/>
      </c>
      <c r="P92">
        <f>OR(AND(H92&gt;=$T$4,K92&lt;=$T$5,N92),M92)</f>
        <v/>
      </c>
      <c r="Q92">
        <f>OR(AND(I92&gt;=$T$10,K92&lt;=$T$11,O92),M92)</f>
        <v/>
      </c>
    </row>
    <row r="93">
      <c r="A93">
        <f>Data!E100</f>
        <v/>
      </c>
      <c r="B93">
        <f>Data!G100</f>
        <v/>
      </c>
      <c r="C93">
        <f>Data!H100</f>
        <v/>
      </c>
      <c r="D93">
        <f>Data!I100</f>
        <v/>
      </c>
      <c r="E93">
        <f>Data!M100</f>
        <v/>
      </c>
      <c r="F93">
        <f>Data!O100</f>
        <v/>
      </c>
      <c r="G93">
        <f>E93-F93</f>
        <v/>
      </c>
      <c r="H93">
        <f>Data!P100</f>
        <v/>
      </c>
      <c r="I93">
        <f>G93+H93</f>
        <v/>
      </c>
      <c r="J93">
        <f>F93+G93+H93</f>
        <v/>
      </c>
      <c r="K93">
        <f>Data!R100</f>
        <v/>
      </c>
      <c r="L93">
        <f>Data!T100</f>
        <v/>
      </c>
      <c r="M93">
        <f>AND(E93=0,F93=0,G93=0,H93=0,I93=0,J93=0,K93=0,L93=0)</f>
        <v/>
      </c>
      <c r="N93">
        <f>G93&lt;=$T$6</f>
        <v/>
      </c>
      <c r="O93">
        <f>G93&lt;=$T$12</f>
        <v/>
      </c>
      <c r="P93">
        <f>OR(AND(H93&gt;=$T$4,K93&lt;=$T$5,N93),M93)</f>
        <v/>
      </c>
      <c r="Q93">
        <f>OR(AND(I93&gt;=$T$10,K93&lt;=$T$11,O93),M93)</f>
        <v/>
      </c>
    </row>
    <row r="94">
      <c r="A94">
        <f>Data!E101</f>
        <v/>
      </c>
      <c r="B94">
        <f>Data!G101</f>
        <v/>
      </c>
      <c r="C94">
        <f>Data!H101</f>
        <v/>
      </c>
      <c r="D94">
        <f>Data!I101</f>
        <v/>
      </c>
      <c r="E94">
        <f>Data!M101</f>
        <v/>
      </c>
      <c r="F94">
        <f>Data!O101</f>
        <v/>
      </c>
      <c r="G94">
        <f>E94-F94</f>
        <v/>
      </c>
      <c r="H94">
        <f>Data!P101</f>
        <v/>
      </c>
      <c r="I94">
        <f>G94+H94</f>
        <v/>
      </c>
      <c r="J94">
        <f>F94+G94+H94</f>
        <v/>
      </c>
      <c r="K94">
        <f>Data!R101</f>
        <v/>
      </c>
      <c r="L94">
        <f>Data!T101</f>
        <v/>
      </c>
      <c r="M94">
        <f>AND(E94=0,F94=0,G94=0,H94=0,I94=0,J94=0,K94=0,L94=0)</f>
        <v/>
      </c>
      <c r="N94">
        <f>G94&lt;=$T$6</f>
        <v/>
      </c>
      <c r="O94">
        <f>G94&lt;=$T$12</f>
        <v/>
      </c>
      <c r="P94">
        <f>OR(AND(H94&gt;=$T$4,K94&lt;=$T$5,N94),M94)</f>
        <v/>
      </c>
      <c r="Q94">
        <f>OR(AND(I94&gt;=$T$10,K94&lt;=$T$11,O94),M94)</f>
        <v/>
      </c>
    </row>
    <row r="95">
      <c r="A95">
        <f>Data!E103</f>
        <v/>
      </c>
      <c r="B95">
        <f>Data!G103</f>
        <v/>
      </c>
      <c r="C95">
        <f>Data!H103</f>
        <v/>
      </c>
      <c r="D95">
        <f>Data!I103</f>
        <v/>
      </c>
      <c r="E95">
        <f>Data!M103</f>
        <v/>
      </c>
      <c r="F95">
        <f>Data!O103</f>
        <v/>
      </c>
      <c r="G95">
        <f>E95-F95</f>
        <v/>
      </c>
      <c r="H95">
        <f>Data!P103</f>
        <v/>
      </c>
      <c r="I95">
        <f>G95+H95</f>
        <v/>
      </c>
      <c r="J95">
        <f>F95+G95+H95</f>
        <v/>
      </c>
      <c r="K95">
        <f>Data!R103</f>
        <v/>
      </c>
      <c r="L95">
        <f>Data!T103</f>
        <v/>
      </c>
      <c r="M95">
        <f>AND(E95=0,F95=0,G95=0,H95=0,I95=0,J95=0,K95=0,L95=0)</f>
        <v/>
      </c>
      <c r="N95">
        <f>G95&lt;=$T$6</f>
        <v/>
      </c>
      <c r="O95">
        <f>G95&lt;=$T$12</f>
        <v/>
      </c>
      <c r="P95">
        <f>OR(AND(H95&gt;=$T$4,K95&lt;=$T$5,N95),M95)</f>
        <v/>
      </c>
      <c r="Q95">
        <f>OR(AND(I95&gt;=$T$10,K95&lt;=$T$11,O95),M95)</f>
        <v/>
      </c>
    </row>
    <row r="96">
      <c r="A96">
        <f>Data!E104</f>
        <v/>
      </c>
      <c r="B96">
        <f>Data!G104</f>
        <v/>
      </c>
      <c r="C96">
        <f>Data!H104</f>
        <v/>
      </c>
      <c r="D96">
        <f>Data!I104</f>
        <v/>
      </c>
      <c r="E96">
        <f>Data!M104</f>
        <v/>
      </c>
      <c r="F96">
        <f>Data!O104</f>
        <v/>
      </c>
      <c r="G96">
        <f>E96-F96</f>
        <v/>
      </c>
      <c r="H96">
        <f>Data!P104</f>
        <v/>
      </c>
      <c r="I96">
        <f>G96+H96</f>
        <v/>
      </c>
      <c r="J96">
        <f>F96+G96+H96</f>
        <v/>
      </c>
      <c r="K96">
        <f>Data!R104</f>
        <v/>
      </c>
      <c r="L96">
        <f>Data!T104</f>
        <v/>
      </c>
      <c r="M96">
        <f>AND(E96=0,F96=0,G96=0,H96=0,I96=0,J96=0,K96=0,L96=0)</f>
        <v/>
      </c>
      <c r="N96">
        <f>G96&lt;=$T$6</f>
        <v/>
      </c>
      <c r="O96">
        <f>G96&lt;=$T$12</f>
        <v/>
      </c>
      <c r="P96">
        <f>OR(AND(H96&gt;=$T$4,K96&lt;=$T$5,N96),M96)</f>
        <v/>
      </c>
      <c r="Q96">
        <f>OR(AND(I96&gt;=$T$10,K96&lt;=$T$11,O96),M96)</f>
        <v/>
      </c>
    </row>
    <row r="97">
      <c r="A97">
        <f>Data!E105</f>
        <v/>
      </c>
      <c r="B97">
        <f>Data!G105</f>
        <v/>
      </c>
      <c r="C97">
        <f>Data!H105</f>
        <v/>
      </c>
      <c r="D97">
        <f>Data!I105</f>
        <v/>
      </c>
      <c r="E97">
        <f>Data!M105</f>
        <v/>
      </c>
      <c r="F97">
        <f>Data!O105</f>
        <v/>
      </c>
      <c r="G97">
        <f>E97-F97</f>
        <v/>
      </c>
      <c r="H97">
        <f>Data!P105</f>
        <v/>
      </c>
      <c r="I97">
        <f>G97+H97</f>
        <v/>
      </c>
      <c r="J97">
        <f>F97+G97+H97</f>
        <v/>
      </c>
      <c r="K97">
        <f>Data!R105</f>
        <v/>
      </c>
      <c r="L97">
        <f>Data!T105</f>
        <v/>
      </c>
      <c r="M97">
        <f>AND(E97=0,F97=0,G97=0,H97=0,I97=0,J97=0,K97=0,L97=0)</f>
        <v/>
      </c>
      <c r="N97">
        <f>G97&lt;=$T$6</f>
        <v/>
      </c>
      <c r="O97">
        <f>G97&lt;=$T$12</f>
        <v/>
      </c>
      <c r="P97">
        <f>OR(AND(H97&gt;=$T$4,K97&lt;=$T$5,N97),M97)</f>
        <v/>
      </c>
      <c r="Q97">
        <f>OR(AND(I97&gt;=$T$10,K97&lt;=$T$11,O97),M97)</f>
        <v/>
      </c>
    </row>
    <row r="98">
      <c r="A98">
        <f>Data!E106</f>
        <v/>
      </c>
      <c r="B98">
        <f>Data!G106</f>
        <v/>
      </c>
      <c r="C98">
        <f>Data!H106</f>
        <v/>
      </c>
      <c r="D98">
        <f>Data!I106</f>
        <v/>
      </c>
      <c r="E98">
        <f>Data!M106</f>
        <v/>
      </c>
      <c r="F98">
        <f>Data!O106</f>
        <v/>
      </c>
      <c r="G98">
        <f>E98-F98</f>
        <v/>
      </c>
      <c r="H98">
        <f>Data!P106</f>
        <v/>
      </c>
      <c r="I98">
        <f>G98+H98</f>
        <v/>
      </c>
      <c r="J98">
        <f>F98+G98+H98</f>
        <v/>
      </c>
      <c r="K98">
        <f>Data!R106</f>
        <v/>
      </c>
      <c r="L98">
        <f>Data!T106</f>
        <v/>
      </c>
      <c r="M98">
        <f>AND(E98=0,F98=0,G98=0,H98=0,I98=0,J98=0,K98=0,L98=0)</f>
        <v/>
      </c>
      <c r="N98">
        <f>G98&lt;=$T$6</f>
        <v/>
      </c>
      <c r="O98">
        <f>G98&lt;=$T$12</f>
        <v/>
      </c>
      <c r="P98">
        <f>OR(AND(H98&gt;=$T$4,K98&lt;=$T$5,N98),M98)</f>
        <v/>
      </c>
      <c r="Q98">
        <f>OR(AND(I98&gt;=$T$10,K98&lt;=$T$11,O98),M98)</f>
        <v/>
      </c>
    </row>
    <row r="99">
      <c r="A99">
        <f>Data!E107</f>
        <v/>
      </c>
      <c r="B99">
        <f>Data!G107</f>
        <v/>
      </c>
      <c r="C99">
        <f>Data!H107</f>
        <v/>
      </c>
      <c r="D99">
        <f>Data!I107</f>
        <v/>
      </c>
      <c r="E99">
        <f>Data!M107</f>
        <v/>
      </c>
      <c r="F99">
        <f>Data!O107</f>
        <v/>
      </c>
      <c r="G99">
        <f>E99-F99</f>
        <v/>
      </c>
      <c r="H99">
        <f>Data!P107</f>
        <v/>
      </c>
      <c r="I99">
        <f>G99+H99</f>
        <v/>
      </c>
      <c r="J99">
        <f>F99+G99+H99</f>
        <v/>
      </c>
      <c r="K99">
        <f>Data!R107</f>
        <v/>
      </c>
      <c r="L99">
        <f>Data!T107</f>
        <v/>
      </c>
      <c r="M99">
        <f>AND(E99=0,F99=0,G99=0,H99=0,I99=0,J99=0,K99=0,L99=0)</f>
        <v/>
      </c>
      <c r="N99">
        <f>G99&lt;=$T$6</f>
        <v/>
      </c>
      <c r="O99">
        <f>G99&lt;=$T$12</f>
        <v/>
      </c>
      <c r="P99">
        <f>OR(AND(H99&gt;=$T$4,K99&lt;=$T$5,N99),M99)</f>
        <v/>
      </c>
      <c r="Q99">
        <f>OR(AND(I99&gt;=$T$10,K99&lt;=$T$11,O99),M99)</f>
        <v/>
      </c>
    </row>
    <row r="100">
      <c r="A100">
        <f>Data!E108</f>
        <v/>
      </c>
      <c r="B100">
        <f>Data!G108</f>
        <v/>
      </c>
      <c r="C100">
        <f>Data!H108</f>
        <v/>
      </c>
      <c r="D100">
        <f>Data!I108</f>
        <v/>
      </c>
      <c r="E100">
        <f>Data!M108</f>
        <v/>
      </c>
      <c r="F100">
        <f>Data!O108</f>
        <v/>
      </c>
      <c r="G100">
        <f>E100-F100</f>
        <v/>
      </c>
      <c r="H100">
        <f>Data!P108</f>
        <v/>
      </c>
      <c r="I100">
        <f>G100+H100</f>
        <v/>
      </c>
      <c r="J100">
        <f>F100+G100+H100</f>
        <v/>
      </c>
      <c r="K100">
        <f>Data!R108</f>
        <v/>
      </c>
      <c r="L100">
        <f>Data!T108</f>
        <v/>
      </c>
      <c r="M100">
        <f>AND(E100=0,F100=0,G100=0,H100=0,I100=0,J100=0,K100=0,L100=0)</f>
        <v/>
      </c>
      <c r="N100">
        <f>G100&lt;=$T$6</f>
        <v/>
      </c>
      <c r="O100">
        <f>G100&lt;=$T$12</f>
        <v/>
      </c>
      <c r="P100">
        <f>OR(AND(H100&gt;=$T$4,K100&lt;=$T$5,N100),M100)</f>
        <v/>
      </c>
      <c r="Q100">
        <f>OR(AND(I100&gt;=$T$10,K100&lt;=$T$11,O100),M100)</f>
        <v/>
      </c>
    </row>
    <row r="101">
      <c r="A101">
        <f>Data!E109</f>
        <v/>
      </c>
      <c r="B101">
        <f>Data!G109</f>
        <v/>
      </c>
      <c r="C101">
        <f>Data!H109</f>
        <v/>
      </c>
      <c r="D101">
        <f>Data!I109</f>
        <v/>
      </c>
      <c r="E101">
        <f>Data!M109</f>
        <v/>
      </c>
      <c r="F101">
        <f>Data!O109</f>
        <v/>
      </c>
      <c r="G101">
        <f>E101-F101</f>
        <v/>
      </c>
      <c r="H101">
        <f>Data!P109</f>
        <v/>
      </c>
      <c r="I101">
        <f>G101+H101</f>
        <v/>
      </c>
      <c r="J101">
        <f>F101+G101+H101</f>
        <v/>
      </c>
      <c r="K101">
        <f>Data!R109</f>
        <v/>
      </c>
      <c r="L101">
        <f>Data!T109</f>
        <v/>
      </c>
      <c r="M101">
        <f>AND(E101=0,F101=0,G101=0,H101=0,I101=0,J101=0,K101=0,L101=0)</f>
        <v/>
      </c>
      <c r="N101">
        <f>G101&lt;=$T$6</f>
        <v/>
      </c>
      <c r="O101">
        <f>G101&lt;=$T$12</f>
        <v/>
      </c>
      <c r="P101">
        <f>OR(AND(H101&gt;=$T$4,K101&lt;=$T$5,N101),M101)</f>
        <v/>
      </c>
      <c r="Q101">
        <f>OR(AND(I101&gt;=$T$10,K101&lt;=$T$11,O101),M101)</f>
        <v/>
      </c>
    </row>
    <row r="102">
      <c r="A102">
        <f>Data!E110</f>
        <v/>
      </c>
      <c r="B102">
        <f>Data!G110</f>
        <v/>
      </c>
      <c r="C102">
        <f>Data!H110</f>
        <v/>
      </c>
      <c r="D102">
        <f>Data!I110</f>
        <v/>
      </c>
      <c r="E102">
        <f>Data!M110</f>
        <v/>
      </c>
      <c r="F102">
        <f>Data!O110</f>
        <v/>
      </c>
      <c r="G102">
        <f>E102-F102</f>
        <v/>
      </c>
      <c r="H102">
        <f>Data!P110</f>
        <v/>
      </c>
      <c r="I102">
        <f>G102+H102</f>
        <v/>
      </c>
      <c r="J102">
        <f>F102+G102+H102</f>
        <v/>
      </c>
      <c r="K102">
        <f>Data!R110</f>
        <v/>
      </c>
      <c r="L102">
        <f>Data!T110</f>
        <v/>
      </c>
      <c r="M102">
        <f>AND(E102=0,F102=0,G102=0,H102=0,I102=0,J102=0,K102=0,L102=0)</f>
        <v/>
      </c>
      <c r="N102">
        <f>G102&lt;=$T$6</f>
        <v/>
      </c>
      <c r="O102">
        <f>G102&lt;=$T$12</f>
        <v/>
      </c>
      <c r="P102">
        <f>OR(AND(H102&gt;=$T$4,K102&lt;=$T$5,N102),M102)</f>
        <v/>
      </c>
      <c r="Q102">
        <f>OR(AND(I102&gt;=$T$10,K102&lt;=$T$11,O102),M102)</f>
        <v/>
      </c>
    </row>
    <row r="103">
      <c r="A103">
        <f>Data!E111</f>
        <v/>
      </c>
      <c r="B103">
        <f>Data!G111</f>
        <v/>
      </c>
      <c r="C103">
        <f>Data!H111</f>
        <v/>
      </c>
      <c r="D103">
        <f>Data!I111</f>
        <v/>
      </c>
      <c r="E103">
        <f>Data!M111</f>
        <v/>
      </c>
      <c r="F103">
        <f>Data!O111</f>
        <v/>
      </c>
      <c r="G103">
        <f>E103-F103</f>
        <v/>
      </c>
      <c r="H103">
        <f>Data!P111</f>
        <v/>
      </c>
      <c r="I103">
        <f>G103+H103</f>
        <v/>
      </c>
      <c r="J103">
        <f>F103+G103+H103</f>
        <v/>
      </c>
      <c r="K103">
        <f>Data!R111</f>
        <v/>
      </c>
      <c r="L103">
        <f>Data!T111</f>
        <v/>
      </c>
      <c r="M103">
        <f>AND(E103=0,F103=0,G103=0,H103=0,I103=0,J103=0,K103=0,L103=0)</f>
        <v/>
      </c>
      <c r="N103">
        <f>G103&lt;=$T$6</f>
        <v/>
      </c>
      <c r="O103">
        <f>G103&lt;=$T$12</f>
        <v/>
      </c>
      <c r="P103">
        <f>OR(AND(H103&gt;=$T$4,K103&lt;=$T$5,N103),M103)</f>
        <v/>
      </c>
      <c r="Q103">
        <f>OR(AND(I103&gt;=$T$10,K103&lt;=$T$11,O103),M103)</f>
        <v/>
      </c>
    </row>
    <row r="104">
      <c r="A104">
        <f>Data!E112</f>
        <v/>
      </c>
      <c r="B104">
        <f>Data!G112</f>
        <v/>
      </c>
      <c r="C104">
        <f>Data!H112</f>
        <v/>
      </c>
      <c r="D104">
        <f>Data!I112</f>
        <v/>
      </c>
      <c r="E104">
        <f>Data!M112</f>
        <v/>
      </c>
      <c r="F104">
        <f>Data!O112</f>
        <v/>
      </c>
      <c r="G104">
        <f>E104-F104</f>
        <v/>
      </c>
      <c r="H104">
        <f>Data!P112</f>
        <v/>
      </c>
      <c r="I104">
        <f>G104+H104</f>
        <v/>
      </c>
      <c r="J104">
        <f>F104+G104+H104</f>
        <v/>
      </c>
      <c r="K104">
        <f>Data!R112</f>
        <v/>
      </c>
      <c r="L104">
        <f>Data!T112</f>
        <v/>
      </c>
      <c r="M104">
        <f>AND(E104=0,F104=0,G104=0,H104=0,I104=0,J104=0,K104=0,L104=0)</f>
        <v/>
      </c>
      <c r="N104">
        <f>G104&lt;=$T$6</f>
        <v/>
      </c>
      <c r="O104">
        <f>G104&lt;=$T$12</f>
        <v/>
      </c>
      <c r="P104">
        <f>OR(AND(H104&gt;=$T$4,K104&lt;=$T$5,N104),M104)</f>
        <v/>
      </c>
      <c r="Q104">
        <f>OR(AND(I104&gt;=$T$10,K104&lt;=$T$11,O104),M104)</f>
        <v/>
      </c>
    </row>
    <row r="105">
      <c r="A105">
        <f>Data!E113</f>
        <v/>
      </c>
      <c r="B105">
        <f>Data!G113</f>
        <v/>
      </c>
      <c r="C105">
        <f>Data!H113</f>
        <v/>
      </c>
      <c r="D105">
        <f>Data!I113</f>
        <v/>
      </c>
      <c r="E105">
        <f>Data!M113</f>
        <v/>
      </c>
      <c r="F105">
        <f>Data!O113</f>
        <v/>
      </c>
      <c r="G105">
        <f>E105-F105</f>
        <v/>
      </c>
      <c r="H105">
        <f>Data!P113</f>
        <v/>
      </c>
      <c r="I105">
        <f>G105+H105</f>
        <v/>
      </c>
      <c r="J105">
        <f>F105+G105+H105</f>
        <v/>
      </c>
      <c r="K105">
        <f>Data!R113</f>
        <v/>
      </c>
      <c r="L105">
        <f>Data!T113</f>
        <v/>
      </c>
      <c r="M105">
        <f>AND(E105=0,F105=0,G105=0,H105=0,I105=0,J105=0,K105=0,L105=0)</f>
        <v/>
      </c>
      <c r="N105">
        <f>G105&lt;=$T$6</f>
        <v/>
      </c>
      <c r="O105">
        <f>G105&lt;=$T$12</f>
        <v/>
      </c>
      <c r="P105">
        <f>OR(AND(H105&gt;=$T$4,K105&lt;=$T$5,N105),M105)</f>
        <v/>
      </c>
      <c r="Q105">
        <f>OR(AND(I105&gt;=$T$10,K105&lt;=$T$11,O105),M105)</f>
        <v/>
      </c>
    </row>
    <row r="106">
      <c r="A106">
        <f>Data!E114</f>
        <v/>
      </c>
      <c r="B106">
        <f>Data!G114</f>
        <v/>
      </c>
      <c r="C106">
        <f>Data!H114</f>
        <v/>
      </c>
      <c r="D106">
        <f>Data!I114</f>
        <v/>
      </c>
      <c r="E106">
        <f>Data!M114</f>
        <v/>
      </c>
      <c r="F106">
        <f>Data!O114</f>
        <v/>
      </c>
      <c r="G106">
        <f>E106-F106</f>
        <v/>
      </c>
      <c r="H106">
        <f>Data!P114</f>
        <v/>
      </c>
      <c r="I106">
        <f>G106+H106</f>
        <v/>
      </c>
      <c r="J106">
        <f>F106+G106+H106</f>
        <v/>
      </c>
      <c r="K106">
        <f>Data!R114</f>
        <v/>
      </c>
      <c r="L106">
        <f>Data!T114</f>
        <v/>
      </c>
      <c r="M106">
        <f>AND(E106=0,F106=0,G106=0,H106=0,I106=0,J106=0,K106=0,L106=0)</f>
        <v/>
      </c>
      <c r="N106">
        <f>G106&lt;=$T$6</f>
        <v/>
      </c>
      <c r="O106">
        <f>G106&lt;=$T$12</f>
        <v/>
      </c>
      <c r="P106">
        <f>OR(AND(H106&gt;=$T$4,K106&lt;=$T$5,N106),M106)</f>
        <v/>
      </c>
      <c r="Q106">
        <f>OR(AND(I106&gt;=$T$10,K106&lt;=$T$11,O106),M106)</f>
        <v/>
      </c>
    </row>
    <row r="107">
      <c r="A107">
        <f>Data!E115</f>
        <v/>
      </c>
      <c r="B107">
        <f>Data!G115</f>
        <v/>
      </c>
      <c r="C107">
        <f>Data!H115</f>
        <v/>
      </c>
      <c r="D107">
        <f>Data!I115</f>
        <v/>
      </c>
      <c r="E107">
        <f>Data!M115</f>
        <v/>
      </c>
      <c r="F107">
        <f>Data!O115</f>
        <v/>
      </c>
      <c r="G107">
        <f>E107-F107</f>
        <v/>
      </c>
      <c r="H107">
        <f>Data!P115</f>
        <v/>
      </c>
      <c r="I107">
        <f>G107+H107</f>
        <v/>
      </c>
      <c r="J107">
        <f>F107+G107+H107</f>
        <v/>
      </c>
      <c r="K107">
        <f>Data!R115</f>
        <v/>
      </c>
      <c r="L107">
        <f>Data!T115</f>
        <v/>
      </c>
      <c r="M107">
        <f>AND(E107=0,F107=0,G107=0,H107=0,I107=0,J107=0,K107=0,L107=0)</f>
        <v/>
      </c>
      <c r="N107">
        <f>G107&lt;=$T$6</f>
        <v/>
      </c>
      <c r="O107">
        <f>G107&lt;=$T$12</f>
        <v/>
      </c>
      <c r="P107">
        <f>OR(AND(H107&gt;=$T$4,K107&lt;=$T$5,N107),M107)</f>
        <v/>
      </c>
      <c r="Q107">
        <f>OR(AND(I107&gt;=$T$10,K107&lt;=$T$11,O107),M107)</f>
        <v/>
      </c>
    </row>
    <row r="108">
      <c r="A108">
        <f>Data!E116</f>
        <v/>
      </c>
      <c r="B108">
        <f>Data!G116</f>
        <v/>
      </c>
      <c r="C108">
        <f>Data!H116</f>
        <v/>
      </c>
      <c r="D108">
        <f>Data!I116</f>
        <v/>
      </c>
      <c r="E108">
        <f>Data!M116</f>
        <v/>
      </c>
      <c r="F108">
        <f>Data!O116</f>
        <v/>
      </c>
      <c r="G108">
        <f>E108-F108</f>
        <v/>
      </c>
      <c r="H108">
        <f>Data!P116</f>
        <v/>
      </c>
      <c r="I108">
        <f>G108+H108</f>
        <v/>
      </c>
      <c r="J108">
        <f>F108+G108+H108</f>
        <v/>
      </c>
      <c r="K108">
        <f>Data!R116</f>
        <v/>
      </c>
      <c r="L108">
        <f>Data!T116</f>
        <v/>
      </c>
      <c r="M108">
        <f>AND(E108=0,F108=0,G108=0,H108=0,I108=0,J108=0,K108=0,L108=0)</f>
        <v/>
      </c>
      <c r="N108">
        <f>G108&lt;=$T$6</f>
        <v/>
      </c>
      <c r="O108">
        <f>G108&lt;=$T$12</f>
        <v/>
      </c>
      <c r="P108">
        <f>OR(AND(H108&gt;=$T$4,K108&lt;=$T$5,N108),M108)</f>
        <v/>
      </c>
      <c r="Q108">
        <f>OR(AND(I108&gt;=$T$10,K108&lt;=$T$11,O108),M108)</f>
        <v/>
      </c>
    </row>
    <row r="109">
      <c r="A109">
        <f>Data!E117</f>
        <v/>
      </c>
      <c r="B109">
        <f>Data!G117</f>
        <v/>
      </c>
      <c r="C109">
        <f>Data!H117</f>
        <v/>
      </c>
      <c r="D109">
        <f>Data!I117</f>
        <v/>
      </c>
      <c r="E109">
        <f>Data!M117</f>
        <v/>
      </c>
      <c r="F109">
        <f>Data!O117</f>
        <v/>
      </c>
      <c r="G109">
        <f>E109-F109</f>
        <v/>
      </c>
      <c r="H109">
        <f>Data!P117</f>
        <v/>
      </c>
      <c r="I109">
        <f>G109+H109</f>
        <v/>
      </c>
      <c r="J109">
        <f>F109+G109+H109</f>
        <v/>
      </c>
      <c r="K109">
        <f>Data!R117</f>
        <v/>
      </c>
      <c r="L109">
        <f>Data!T117</f>
        <v/>
      </c>
      <c r="M109">
        <f>AND(E109=0,F109=0,G109=0,H109=0,I109=0,J109=0,K109=0,L109=0)</f>
        <v/>
      </c>
      <c r="N109">
        <f>G109&lt;=$T$6</f>
        <v/>
      </c>
      <c r="O109">
        <f>G109&lt;=$T$12</f>
        <v/>
      </c>
      <c r="P109">
        <f>OR(AND(H109&gt;=$T$4,K109&lt;=$T$5,N109),M109)</f>
        <v/>
      </c>
      <c r="Q109">
        <f>OR(AND(I109&gt;=$T$10,K109&lt;=$T$11,O109),M109)</f>
        <v/>
      </c>
    </row>
    <row r="110">
      <c r="A110">
        <f>Data!E118</f>
        <v/>
      </c>
      <c r="B110">
        <f>Data!G118</f>
        <v/>
      </c>
      <c r="C110">
        <f>Data!H118</f>
        <v/>
      </c>
      <c r="D110">
        <f>Data!I118</f>
        <v/>
      </c>
      <c r="E110">
        <f>Data!M118</f>
        <v/>
      </c>
      <c r="F110">
        <f>Data!O118</f>
        <v/>
      </c>
      <c r="G110">
        <f>E110-F110</f>
        <v/>
      </c>
      <c r="H110">
        <f>Data!P118</f>
        <v/>
      </c>
      <c r="I110">
        <f>G110+H110</f>
        <v/>
      </c>
      <c r="J110">
        <f>F110+G110+H110</f>
        <v/>
      </c>
      <c r="K110">
        <f>Data!R118</f>
        <v/>
      </c>
      <c r="L110">
        <f>Data!T118</f>
        <v/>
      </c>
      <c r="M110">
        <f>AND(E110=0,F110=0,G110=0,H110=0,I110=0,J110=0,K110=0,L110=0)</f>
        <v/>
      </c>
      <c r="N110">
        <f>G110&lt;=$T$6</f>
        <v/>
      </c>
      <c r="O110">
        <f>G110&lt;=$T$12</f>
        <v/>
      </c>
      <c r="P110">
        <f>OR(AND(H110&gt;=$T$4,K110&lt;=$T$5,N110),M110)</f>
        <v/>
      </c>
      <c r="Q110">
        <f>OR(AND(I110&gt;=$T$10,K110&lt;=$T$11,O110),M110)</f>
        <v/>
      </c>
    </row>
    <row r="111">
      <c r="A111">
        <f>Data!E119</f>
        <v/>
      </c>
      <c r="B111">
        <f>Data!G119</f>
        <v/>
      </c>
      <c r="C111">
        <f>Data!H119</f>
        <v/>
      </c>
      <c r="D111">
        <f>Data!I119</f>
        <v/>
      </c>
      <c r="E111">
        <f>Data!M119</f>
        <v/>
      </c>
      <c r="F111">
        <f>Data!O119</f>
        <v/>
      </c>
      <c r="G111">
        <f>E111-F111</f>
        <v/>
      </c>
      <c r="H111">
        <f>Data!P119</f>
        <v/>
      </c>
      <c r="I111">
        <f>G111+H111</f>
        <v/>
      </c>
      <c r="J111">
        <f>F111+G111+H111</f>
        <v/>
      </c>
      <c r="K111">
        <f>Data!R119</f>
        <v/>
      </c>
      <c r="L111">
        <f>Data!T119</f>
        <v/>
      </c>
      <c r="M111">
        <f>AND(E111=0,F111=0,G111=0,H111=0,I111=0,J111=0,K111=0,L111=0)</f>
        <v/>
      </c>
      <c r="N111">
        <f>G111&lt;=$T$6</f>
        <v/>
      </c>
      <c r="O111">
        <f>G111&lt;=$T$12</f>
        <v/>
      </c>
      <c r="P111">
        <f>OR(AND(H111&gt;=$T$4,K111&lt;=$T$5,N111),M111)</f>
        <v/>
      </c>
      <c r="Q111">
        <f>OR(AND(I111&gt;=$T$10,K111&lt;=$T$11,O111),M111)</f>
        <v/>
      </c>
    </row>
    <row r="112">
      <c r="A112">
        <f>Data!E121</f>
        <v/>
      </c>
      <c r="B112">
        <f>Data!G121</f>
        <v/>
      </c>
      <c r="C112">
        <f>Data!H121</f>
        <v/>
      </c>
      <c r="D112">
        <f>Data!I121</f>
        <v/>
      </c>
      <c r="E112">
        <f>Data!M121</f>
        <v/>
      </c>
      <c r="F112">
        <f>Data!O121</f>
        <v/>
      </c>
      <c r="G112">
        <f>E112-F112</f>
        <v/>
      </c>
      <c r="H112">
        <f>Data!P121</f>
        <v/>
      </c>
      <c r="I112">
        <f>G112+H112</f>
        <v/>
      </c>
      <c r="J112">
        <f>F112+G112+H112</f>
        <v/>
      </c>
      <c r="K112">
        <f>Data!R121</f>
        <v/>
      </c>
      <c r="L112">
        <f>Data!T121</f>
        <v/>
      </c>
      <c r="M112">
        <f>AND(E112=0,F112=0,G112=0,H112=0,I112=0,J112=0,K112=0,L112=0)</f>
        <v/>
      </c>
      <c r="N112">
        <f>G112&lt;=$T$6</f>
        <v/>
      </c>
      <c r="O112">
        <f>G112&lt;=$T$12</f>
        <v/>
      </c>
      <c r="P112">
        <f>OR(AND(H112&gt;=$T$4,K112&lt;=$T$5,N112),M112)</f>
        <v/>
      </c>
      <c r="Q112">
        <f>OR(AND(I112&gt;=$T$10,K112&lt;=$T$11,O112),M112)</f>
        <v/>
      </c>
    </row>
    <row r="113">
      <c r="A113">
        <f>Data!E122</f>
        <v/>
      </c>
      <c r="B113">
        <f>Data!G122</f>
        <v/>
      </c>
      <c r="C113">
        <f>Data!H122</f>
        <v/>
      </c>
      <c r="D113">
        <f>Data!I122</f>
        <v/>
      </c>
      <c r="E113">
        <f>Data!M122</f>
        <v/>
      </c>
      <c r="F113">
        <f>Data!O122</f>
        <v/>
      </c>
      <c r="G113">
        <f>E113-F113</f>
        <v/>
      </c>
      <c r="H113">
        <f>Data!P122</f>
        <v/>
      </c>
      <c r="I113">
        <f>G113+H113</f>
        <v/>
      </c>
      <c r="J113">
        <f>F113+G113+H113</f>
        <v/>
      </c>
      <c r="K113">
        <f>Data!R122</f>
        <v/>
      </c>
      <c r="L113">
        <f>Data!T122</f>
        <v/>
      </c>
      <c r="M113">
        <f>AND(E113=0,F113=0,G113=0,H113=0,I113=0,J113=0,K113=0,L113=0)</f>
        <v/>
      </c>
      <c r="N113">
        <f>G113&lt;=$T$6</f>
        <v/>
      </c>
      <c r="O113">
        <f>G113&lt;=$T$12</f>
        <v/>
      </c>
      <c r="P113">
        <f>OR(AND(H113&gt;=$T$4,K113&lt;=$T$5,N113),M113)</f>
        <v/>
      </c>
      <c r="Q113">
        <f>OR(AND(I113&gt;=$T$10,K113&lt;=$T$11,O113),M113)</f>
        <v/>
      </c>
    </row>
    <row r="114">
      <c r="A114">
        <f>Data!E123</f>
        <v/>
      </c>
      <c r="B114">
        <f>Data!G123</f>
        <v/>
      </c>
      <c r="C114">
        <f>Data!H123</f>
        <v/>
      </c>
      <c r="D114">
        <f>Data!I123</f>
        <v/>
      </c>
      <c r="E114">
        <f>Data!M123</f>
        <v/>
      </c>
      <c r="F114">
        <f>Data!O123</f>
        <v/>
      </c>
      <c r="G114">
        <f>E114-F114</f>
        <v/>
      </c>
      <c r="H114">
        <f>Data!P123</f>
        <v/>
      </c>
      <c r="I114">
        <f>G114+H114</f>
        <v/>
      </c>
      <c r="J114">
        <f>F114+G114+H114</f>
        <v/>
      </c>
      <c r="K114">
        <f>Data!R123</f>
        <v/>
      </c>
      <c r="L114">
        <f>Data!T123</f>
        <v/>
      </c>
      <c r="M114">
        <f>AND(E114=0,F114=0,G114=0,H114=0,I114=0,J114=0,K114=0,L114=0)</f>
        <v/>
      </c>
      <c r="N114">
        <f>G114&lt;=$T$6</f>
        <v/>
      </c>
      <c r="O114">
        <f>G114&lt;=$T$12</f>
        <v/>
      </c>
      <c r="P114">
        <f>OR(AND(H114&gt;=$T$4,K114&lt;=$T$5,N114),M114)</f>
        <v/>
      </c>
      <c r="Q114">
        <f>OR(AND(I114&gt;=$T$10,K114&lt;=$T$11,O114),M114)</f>
        <v/>
      </c>
    </row>
    <row r="115">
      <c r="A115">
        <f>Data!E124</f>
        <v/>
      </c>
      <c r="B115">
        <f>Data!G124</f>
        <v/>
      </c>
      <c r="C115">
        <f>Data!H124</f>
        <v/>
      </c>
      <c r="D115">
        <f>Data!I124</f>
        <v/>
      </c>
      <c r="E115">
        <f>Data!M124</f>
        <v/>
      </c>
      <c r="F115">
        <f>Data!O124</f>
        <v/>
      </c>
      <c r="G115">
        <f>E115-F115</f>
        <v/>
      </c>
      <c r="H115">
        <f>Data!P124</f>
        <v/>
      </c>
      <c r="I115">
        <f>G115+H115</f>
        <v/>
      </c>
      <c r="J115">
        <f>F115+G115+H115</f>
        <v/>
      </c>
      <c r="K115">
        <f>Data!R124</f>
        <v/>
      </c>
      <c r="L115">
        <f>Data!T124</f>
        <v/>
      </c>
      <c r="M115">
        <f>AND(E115=0,F115=0,G115=0,H115=0,I115=0,J115=0,K115=0,L115=0)</f>
        <v/>
      </c>
      <c r="N115">
        <f>G115&lt;=$T$6</f>
        <v/>
      </c>
      <c r="O115">
        <f>G115&lt;=$T$12</f>
        <v/>
      </c>
      <c r="P115">
        <f>OR(AND(H115&gt;=$T$4,K115&lt;=$T$5,N115),M115)</f>
        <v/>
      </c>
      <c r="Q115">
        <f>OR(AND(I115&gt;=$T$10,K115&lt;=$T$11,O115),M115)</f>
        <v/>
      </c>
    </row>
    <row r="116">
      <c r="A116">
        <f>Data!E125</f>
        <v/>
      </c>
      <c r="B116">
        <f>Data!G125</f>
        <v/>
      </c>
      <c r="C116">
        <f>Data!H125</f>
        <v/>
      </c>
      <c r="D116">
        <f>Data!I125</f>
        <v/>
      </c>
      <c r="E116">
        <f>Data!M125</f>
        <v/>
      </c>
      <c r="F116">
        <f>Data!O125</f>
        <v/>
      </c>
      <c r="G116">
        <f>E116-F116</f>
        <v/>
      </c>
      <c r="H116">
        <f>Data!P125</f>
        <v/>
      </c>
      <c r="I116">
        <f>G116+H116</f>
        <v/>
      </c>
      <c r="J116">
        <f>F116+G116+H116</f>
        <v/>
      </c>
      <c r="K116">
        <f>Data!R125</f>
        <v/>
      </c>
      <c r="L116">
        <f>Data!T125</f>
        <v/>
      </c>
      <c r="M116">
        <f>AND(E116=0,F116=0,G116=0,H116=0,I116=0,J116=0,K116=0,L116=0)</f>
        <v/>
      </c>
      <c r="N116">
        <f>G116&lt;=$T$6</f>
        <v/>
      </c>
      <c r="O116">
        <f>G116&lt;=$T$12</f>
        <v/>
      </c>
      <c r="P116">
        <f>OR(AND(H116&gt;=$T$4,K116&lt;=$T$5,N116),M116)</f>
        <v/>
      </c>
      <c r="Q116">
        <f>OR(AND(I116&gt;=$T$10,K116&lt;=$T$11,O116),M116)</f>
        <v/>
      </c>
    </row>
    <row r="117">
      <c r="A117">
        <f>Data!E126</f>
        <v/>
      </c>
      <c r="B117">
        <f>Data!G126</f>
        <v/>
      </c>
      <c r="C117">
        <f>Data!H126</f>
        <v/>
      </c>
      <c r="D117">
        <f>Data!I126</f>
        <v/>
      </c>
      <c r="E117">
        <f>Data!M126</f>
        <v/>
      </c>
      <c r="F117">
        <f>Data!O126</f>
        <v/>
      </c>
      <c r="G117">
        <f>E117-F117</f>
        <v/>
      </c>
      <c r="H117">
        <f>Data!P126</f>
        <v/>
      </c>
      <c r="I117">
        <f>G117+H117</f>
        <v/>
      </c>
      <c r="J117">
        <f>F117+G117+H117</f>
        <v/>
      </c>
      <c r="K117">
        <f>Data!R126</f>
        <v/>
      </c>
      <c r="L117">
        <f>Data!T126</f>
        <v/>
      </c>
      <c r="M117">
        <f>AND(E117=0,F117=0,G117=0,H117=0,I117=0,J117=0,K117=0,L117=0)</f>
        <v/>
      </c>
      <c r="N117">
        <f>G117&lt;=$T$6</f>
        <v/>
      </c>
      <c r="O117">
        <f>G117&lt;=$T$12</f>
        <v/>
      </c>
      <c r="P117">
        <f>OR(AND(H117&gt;=$T$4,K117&lt;=$T$5,N117),M117)</f>
        <v/>
      </c>
      <c r="Q117">
        <f>OR(AND(I117&gt;=$T$10,K117&lt;=$T$11,O117),M117)</f>
        <v/>
      </c>
    </row>
    <row r="118">
      <c r="A118">
        <f>Data!E127</f>
        <v/>
      </c>
      <c r="B118">
        <f>Data!G127</f>
        <v/>
      </c>
      <c r="C118">
        <f>Data!H127</f>
        <v/>
      </c>
      <c r="D118">
        <f>Data!I127</f>
        <v/>
      </c>
      <c r="E118">
        <f>Data!M127</f>
        <v/>
      </c>
      <c r="F118">
        <f>Data!O127</f>
        <v/>
      </c>
      <c r="G118">
        <f>E118-F118</f>
        <v/>
      </c>
      <c r="H118">
        <f>Data!P127</f>
        <v/>
      </c>
      <c r="I118">
        <f>G118+H118</f>
        <v/>
      </c>
      <c r="J118">
        <f>F118+G118+H118</f>
        <v/>
      </c>
      <c r="K118">
        <f>Data!R127</f>
        <v/>
      </c>
      <c r="L118">
        <f>Data!T127</f>
        <v/>
      </c>
      <c r="M118">
        <f>AND(E118=0,F118=0,G118=0,H118=0,I118=0,J118=0,K118=0,L118=0)</f>
        <v/>
      </c>
      <c r="N118">
        <f>G118&lt;=$T$6</f>
        <v/>
      </c>
      <c r="O118">
        <f>G118&lt;=$T$12</f>
        <v/>
      </c>
      <c r="P118">
        <f>OR(AND(H118&gt;=$T$4,K118&lt;=$T$5,N118),M118)</f>
        <v/>
      </c>
      <c r="Q118">
        <f>OR(AND(I118&gt;=$T$10,K118&lt;=$T$11,O118),M118)</f>
        <v/>
      </c>
    </row>
    <row r="119">
      <c r="A119">
        <f>Data!E128</f>
        <v/>
      </c>
      <c r="B119">
        <f>Data!G128</f>
        <v/>
      </c>
      <c r="C119">
        <f>Data!H128</f>
        <v/>
      </c>
      <c r="D119">
        <f>Data!I128</f>
        <v/>
      </c>
      <c r="E119">
        <f>Data!M128</f>
        <v/>
      </c>
      <c r="F119">
        <f>Data!O128</f>
        <v/>
      </c>
      <c r="G119">
        <f>E119-F119</f>
        <v/>
      </c>
      <c r="H119">
        <f>Data!P128</f>
        <v/>
      </c>
      <c r="I119">
        <f>G119+H119</f>
        <v/>
      </c>
      <c r="J119">
        <f>F119+G119+H119</f>
        <v/>
      </c>
      <c r="K119">
        <f>Data!R128</f>
        <v/>
      </c>
      <c r="L119">
        <f>Data!T128</f>
        <v/>
      </c>
      <c r="M119">
        <f>AND(E119=0,F119=0,G119=0,H119=0,I119=0,J119=0,K119=0,L119=0)</f>
        <v/>
      </c>
      <c r="N119">
        <f>G119&lt;=$T$6</f>
        <v/>
      </c>
      <c r="O119">
        <f>G119&lt;=$T$12</f>
        <v/>
      </c>
      <c r="P119">
        <f>OR(AND(H119&gt;=$T$4,K119&lt;=$T$5,N119),M119)</f>
        <v/>
      </c>
      <c r="Q119">
        <f>OR(AND(I119&gt;=$T$10,K119&lt;=$T$11,O119),M119)</f>
        <v/>
      </c>
    </row>
    <row r="120">
      <c r="A120">
        <f>Data!E129</f>
        <v/>
      </c>
      <c r="B120">
        <f>Data!G129</f>
        <v/>
      </c>
      <c r="C120">
        <f>Data!H129</f>
        <v/>
      </c>
      <c r="D120">
        <f>Data!I129</f>
        <v/>
      </c>
      <c r="E120">
        <f>Data!M129</f>
        <v/>
      </c>
      <c r="F120">
        <f>Data!O129</f>
        <v/>
      </c>
      <c r="G120">
        <f>E120-F120</f>
        <v/>
      </c>
      <c r="H120">
        <f>Data!P129</f>
        <v/>
      </c>
      <c r="I120">
        <f>G120+H120</f>
        <v/>
      </c>
      <c r="J120">
        <f>F120+G120+H120</f>
        <v/>
      </c>
      <c r="K120">
        <f>Data!R129</f>
        <v/>
      </c>
      <c r="L120">
        <f>Data!T129</f>
        <v/>
      </c>
      <c r="M120">
        <f>AND(E120=0,F120=0,G120=0,H120=0,I120=0,J120=0,K120=0,L120=0)</f>
        <v/>
      </c>
      <c r="N120">
        <f>G120&lt;=$T$6</f>
        <v/>
      </c>
      <c r="O120">
        <f>G120&lt;=$T$12</f>
        <v/>
      </c>
      <c r="P120">
        <f>OR(AND(H120&gt;=$T$4,K120&lt;=$T$5,N120),M120)</f>
        <v/>
      </c>
      <c r="Q120">
        <f>OR(AND(I120&gt;=$T$10,K120&lt;=$T$11,O120),M120)</f>
        <v/>
      </c>
    </row>
    <row r="121">
      <c r="A121">
        <f>Data!E130</f>
        <v/>
      </c>
      <c r="B121">
        <f>Data!G130</f>
        <v/>
      </c>
      <c r="C121">
        <f>Data!H130</f>
        <v/>
      </c>
      <c r="D121">
        <f>Data!I130</f>
        <v/>
      </c>
      <c r="E121">
        <f>Data!M130</f>
        <v/>
      </c>
      <c r="F121">
        <f>Data!O130</f>
        <v/>
      </c>
      <c r="G121">
        <f>E121-F121</f>
        <v/>
      </c>
      <c r="H121">
        <f>Data!P130</f>
        <v/>
      </c>
      <c r="I121">
        <f>G121+H121</f>
        <v/>
      </c>
      <c r="J121">
        <f>F121+G121+H121</f>
        <v/>
      </c>
      <c r="K121">
        <f>Data!R130</f>
        <v/>
      </c>
      <c r="L121">
        <f>Data!T130</f>
        <v/>
      </c>
      <c r="M121">
        <f>AND(E121=0,F121=0,G121=0,H121=0,I121=0,J121=0,K121=0,L121=0)</f>
        <v/>
      </c>
      <c r="N121">
        <f>G121&lt;=$T$6</f>
        <v/>
      </c>
      <c r="O121">
        <f>G121&lt;=$T$12</f>
        <v/>
      </c>
      <c r="P121">
        <f>OR(AND(H121&gt;=$T$4,K121&lt;=$T$5,N121),M121)</f>
        <v/>
      </c>
      <c r="Q121">
        <f>OR(AND(I121&gt;=$T$10,K121&lt;=$T$11,O121),M121)</f>
        <v/>
      </c>
    </row>
    <row r="122">
      <c r="A122">
        <f>Data!E131</f>
        <v/>
      </c>
      <c r="B122">
        <f>Data!G131</f>
        <v/>
      </c>
      <c r="C122">
        <f>Data!H131</f>
        <v/>
      </c>
      <c r="D122">
        <f>Data!I131</f>
        <v/>
      </c>
      <c r="E122">
        <f>Data!M131</f>
        <v/>
      </c>
      <c r="F122">
        <f>Data!O131</f>
        <v/>
      </c>
      <c r="G122">
        <f>E122-F122</f>
        <v/>
      </c>
      <c r="H122">
        <f>Data!P131</f>
        <v/>
      </c>
      <c r="I122">
        <f>G122+H122</f>
        <v/>
      </c>
      <c r="J122">
        <f>F122+G122+H122</f>
        <v/>
      </c>
      <c r="K122">
        <f>Data!R131</f>
        <v/>
      </c>
      <c r="L122">
        <f>Data!T131</f>
        <v/>
      </c>
      <c r="M122">
        <f>AND(E122=0,F122=0,G122=0,H122=0,I122=0,J122=0,K122=0,L122=0)</f>
        <v/>
      </c>
      <c r="N122">
        <f>G122&lt;=$T$6</f>
        <v/>
      </c>
      <c r="O122">
        <f>G122&lt;=$T$12</f>
        <v/>
      </c>
      <c r="P122">
        <f>OR(AND(H122&gt;=$T$4,K122&lt;=$T$5,N122),M122)</f>
        <v/>
      </c>
      <c r="Q122">
        <f>OR(AND(I122&gt;=$T$10,K122&lt;=$T$11,O122),M122)</f>
        <v/>
      </c>
    </row>
    <row r="123">
      <c r="A123">
        <f>Data!E132</f>
        <v/>
      </c>
      <c r="B123">
        <f>Data!G132</f>
        <v/>
      </c>
      <c r="C123">
        <f>Data!H132</f>
        <v/>
      </c>
      <c r="D123">
        <f>Data!I132</f>
        <v/>
      </c>
      <c r="E123">
        <f>Data!M132</f>
        <v/>
      </c>
      <c r="F123">
        <f>Data!O132</f>
        <v/>
      </c>
      <c r="G123">
        <f>E123-F123</f>
        <v/>
      </c>
      <c r="H123">
        <f>Data!P132</f>
        <v/>
      </c>
      <c r="I123">
        <f>G123+H123</f>
        <v/>
      </c>
      <c r="J123">
        <f>F123+G123+H123</f>
        <v/>
      </c>
      <c r="K123">
        <f>Data!R132</f>
        <v/>
      </c>
      <c r="L123">
        <f>Data!T132</f>
        <v/>
      </c>
      <c r="M123">
        <f>AND(E123=0,F123=0,G123=0,H123=0,I123=0,J123=0,K123=0,L123=0)</f>
        <v/>
      </c>
      <c r="N123">
        <f>G123&lt;=$T$6</f>
        <v/>
      </c>
      <c r="O123">
        <f>G123&lt;=$T$12</f>
        <v/>
      </c>
      <c r="P123">
        <f>OR(AND(H123&gt;=$T$4,K123&lt;=$T$5,N123),M123)</f>
        <v/>
      </c>
      <c r="Q123">
        <f>OR(AND(I123&gt;=$T$10,K123&lt;=$T$11,O123),M123)</f>
        <v/>
      </c>
    </row>
    <row r="124">
      <c r="A124">
        <f>Data!E133</f>
        <v/>
      </c>
      <c r="B124">
        <f>Data!G133</f>
        <v/>
      </c>
      <c r="C124">
        <f>Data!H133</f>
        <v/>
      </c>
      <c r="D124">
        <f>Data!I133</f>
        <v/>
      </c>
      <c r="E124">
        <f>Data!M133</f>
        <v/>
      </c>
      <c r="F124">
        <f>Data!O133</f>
        <v/>
      </c>
      <c r="G124">
        <f>E124-F124</f>
        <v/>
      </c>
      <c r="H124">
        <f>Data!P133</f>
        <v/>
      </c>
      <c r="I124">
        <f>G124+H124</f>
        <v/>
      </c>
      <c r="J124">
        <f>F124+G124+H124</f>
        <v/>
      </c>
      <c r="K124">
        <f>Data!R133</f>
        <v/>
      </c>
      <c r="L124">
        <f>Data!T133</f>
        <v/>
      </c>
      <c r="M124">
        <f>AND(E124=0,F124=0,G124=0,H124=0,I124=0,J124=0,K124=0,L124=0)</f>
        <v/>
      </c>
      <c r="N124">
        <f>G124&lt;=$T$6</f>
        <v/>
      </c>
      <c r="O124">
        <f>G124&lt;=$T$12</f>
        <v/>
      </c>
      <c r="P124">
        <f>OR(AND(H124&gt;=$T$4,K124&lt;=$T$5,N124),M124)</f>
        <v/>
      </c>
      <c r="Q124">
        <f>OR(AND(I124&gt;=$T$10,K124&lt;=$T$11,O124),M124)</f>
        <v/>
      </c>
    </row>
    <row r="125">
      <c r="A125">
        <f>Data!E134</f>
        <v/>
      </c>
      <c r="B125">
        <f>Data!G134</f>
        <v/>
      </c>
      <c r="C125">
        <f>Data!H134</f>
        <v/>
      </c>
      <c r="D125">
        <f>Data!I134</f>
        <v/>
      </c>
      <c r="E125">
        <f>Data!M134</f>
        <v/>
      </c>
      <c r="F125">
        <f>Data!O134</f>
        <v/>
      </c>
      <c r="G125">
        <f>E125-F125</f>
        <v/>
      </c>
      <c r="H125">
        <f>Data!P134</f>
        <v/>
      </c>
      <c r="I125">
        <f>G125+H125</f>
        <v/>
      </c>
      <c r="J125">
        <f>F125+G125+H125</f>
        <v/>
      </c>
      <c r="K125">
        <f>Data!R134</f>
        <v/>
      </c>
      <c r="L125">
        <f>Data!T134</f>
        <v/>
      </c>
      <c r="M125">
        <f>AND(E125=0,F125=0,G125=0,H125=0,I125=0,J125=0,K125=0,L125=0)</f>
        <v/>
      </c>
      <c r="N125">
        <f>G125&lt;=$T$6</f>
        <v/>
      </c>
      <c r="O125">
        <f>G125&lt;=$T$12</f>
        <v/>
      </c>
      <c r="P125">
        <f>OR(AND(H125&gt;=$T$4,K125&lt;=$T$5,N125),M125)</f>
        <v/>
      </c>
      <c r="Q125">
        <f>OR(AND(I125&gt;=$T$10,K125&lt;=$T$11,O125),M125)</f>
        <v/>
      </c>
    </row>
    <row r="126">
      <c r="A126">
        <f>Data!E136</f>
        <v/>
      </c>
      <c r="B126">
        <f>Data!G136</f>
        <v/>
      </c>
      <c r="C126">
        <f>Data!H136</f>
        <v/>
      </c>
      <c r="D126">
        <f>Data!I136</f>
        <v/>
      </c>
      <c r="E126">
        <f>Data!M136</f>
        <v/>
      </c>
      <c r="F126">
        <f>Data!O136</f>
        <v/>
      </c>
      <c r="G126">
        <f>E126-F126</f>
        <v/>
      </c>
      <c r="H126">
        <f>Data!P136</f>
        <v/>
      </c>
      <c r="I126">
        <f>G126+H126</f>
        <v/>
      </c>
      <c r="J126">
        <f>F126+G126+H126</f>
        <v/>
      </c>
      <c r="K126">
        <f>Data!R136</f>
        <v/>
      </c>
      <c r="L126">
        <f>Data!T136</f>
        <v/>
      </c>
      <c r="M126">
        <f>AND(E126=0,F126=0,G126=0,H126=0,I126=0,J126=0,K126=0,L126=0)</f>
        <v/>
      </c>
      <c r="N126">
        <f>G126&lt;=$T$6</f>
        <v/>
      </c>
      <c r="O126">
        <f>G126&lt;=$T$12</f>
        <v/>
      </c>
      <c r="P126">
        <f>OR(AND(H126&gt;=$T$4,K126&lt;=$T$5,N126),M126)</f>
        <v/>
      </c>
      <c r="Q126">
        <f>OR(AND(I126&gt;=$T$10,K126&lt;=$T$11,O126),M126)</f>
        <v/>
      </c>
    </row>
    <row r="127">
      <c r="A127">
        <f>Data!E137</f>
        <v/>
      </c>
      <c r="B127">
        <f>Data!G137</f>
        <v/>
      </c>
      <c r="C127">
        <f>Data!H137</f>
        <v/>
      </c>
      <c r="D127">
        <f>Data!I137</f>
        <v/>
      </c>
      <c r="E127">
        <f>Data!M137</f>
        <v/>
      </c>
      <c r="F127">
        <f>Data!O137</f>
        <v/>
      </c>
      <c r="G127">
        <f>E127-F127</f>
        <v/>
      </c>
      <c r="H127">
        <f>Data!P137</f>
        <v/>
      </c>
      <c r="I127">
        <f>G127+H127</f>
        <v/>
      </c>
      <c r="J127">
        <f>F127+G127+H127</f>
        <v/>
      </c>
      <c r="K127">
        <f>Data!R137</f>
        <v/>
      </c>
      <c r="L127">
        <f>Data!T137</f>
        <v/>
      </c>
      <c r="M127">
        <f>AND(E127=0,F127=0,G127=0,H127=0,I127=0,J127=0,K127=0,L127=0)</f>
        <v/>
      </c>
      <c r="N127">
        <f>G127&lt;=$T$6</f>
        <v/>
      </c>
      <c r="O127">
        <f>G127&lt;=$T$12</f>
        <v/>
      </c>
      <c r="P127">
        <f>OR(AND(H127&gt;=$T$4,K127&lt;=$T$5,N127),M127)</f>
        <v/>
      </c>
      <c r="Q127">
        <f>OR(AND(I127&gt;=$T$10,K127&lt;=$T$11,O127),M127)</f>
        <v/>
      </c>
    </row>
    <row r="128">
      <c r="A128">
        <f>Data!E138</f>
        <v/>
      </c>
      <c r="B128">
        <f>Data!G138</f>
        <v/>
      </c>
      <c r="C128">
        <f>Data!H138</f>
        <v/>
      </c>
      <c r="D128">
        <f>Data!I138</f>
        <v/>
      </c>
      <c r="E128">
        <f>Data!M138</f>
        <v/>
      </c>
      <c r="F128">
        <f>Data!O138</f>
        <v/>
      </c>
      <c r="G128">
        <f>E128-F128</f>
        <v/>
      </c>
      <c r="H128">
        <f>Data!P138</f>
        <v/>
      </c>
      <c r="I128">
        <f>G128+H128</f>
        <v/>
      </c>
      <c r="J128">
        <f>F128+G128+H128</f>
        <v/>
      </c>
      <c r="K128">
        <f>Data!R138</f>
        <v/>
      </c>
      <c r="L128">
        <f>Data!T138</f>
        <v/>
      </c>
      <c r="M128">
        <f>AND(E128=0,F128=0,G128=0,H128=0,I128=0,J128=0,K128=0,L128=0)</f>
        <v/>
      </c>
      <c r="N128">
        <f>G128&lt;=$T$6</f>
        <v/>
      </c>
      <c r="O128">
        <f>G128&lt;=$T$12</f>
        <v/>
      </c>
      <c r="P128">
        <f>OR(AND(H128&gt;=$T$4,K128&lt;=$T$5,N128),M128)</f>
        <v/>
      </c>
      <c r="Q128">
        <f>OR(AND(I128&gt;=$T$10,K128&lt;=$T$11,O128),M128)</f>
        <v/>
      </c>
    </row>
    <row r="129">
      <c r="A129">
        <f>Data!E139</f>
        <v/>
      </c>
      <c r="B129">
        <f>Data!G139</f>
        <v/>
      </c>
      <c r="C129">
        <f>Data!H139</f>
        <v/>
      </c>
      <c r="D129">
        <f>Data!I139</f>
        <v/>
      </c>
      <c r="E129">
        <f>Data!M139</f>
        <v/>
      </c>
      <c r="F129">
        <f>Data!O139</f>
        <v/>
      </c>
      <c r="G129">
        <f>E129-F129</f>
        <v/>
      </c>
      <c r="H129">
        <f>Data!P139</f>
        <v/>
      </c>
      <c r="I129">
        <f>G129+H129</f>
        <v/>
      </c>
      <c r="J129">
        <f>F129+G129+H129</f>
        <v/>
      </c>
      <c r="K129">
        <f>Data!R139</f>
        <v/>
      </c>
      <c r="L129">
        <f>Data!T139</f>
        <v/>
      </c>
      <c r="M129">
        <f>AND(E129=0,F129=0,G129=0,H129=0,I129=0,J129=0,K129=0,L129=0)</f>
        <v/>
      </c>
      <c r="N129">
        <f>G129&lt;=$T$6</f>
        <v/>
      </c>
      <c r="O129">
        <f>G129&lt;=$T$12</f>
        <v/>
      </c>
      <c r="P129">
        <f>OR(AND(H129&gt;=$T$4,K129&lt;=$T$5,N129),M129)</f>
        <v/>
      </c>
      <c r="Q129">
        <f>OR(AND(I129&gt;=$T$10,K129&lt;=$T$11,O129),M129)</f>
        <v/>
      </c>
    </row>
    <row r="130">
      <c r="A130">
        <f>Data!E140</f>
        <v/>
      </c>
      <c r="B130">
        <f>Data!G140</f>
        <v/>
      </c>
      <c r="C130">
        <f>Data!H140</f>
        <v/>
      </c>
      <c r="D130">
        <f>Data!I140</f>
        <v/>
      </c>
      <c r="E130">
        <f>Data!M140</f>
        <v/>
      </c>
      <c r="F130">
        <f>Data!O140</f>
        <v/>
      </c>
      <c r="G130">
        <f>E130-F130</f>
        <v/>
      </c>
      <c r="H130">
        <f>Data!P140</f>
        <v/>
      </c>
      <c r="I130">
        <f>G130+H130</f>
        <v/>
      </c>
      <c r="J130">
        <f>F130+G130+H130</f>
        <v/>
      </c>
      <c r="K130">
        <f>Data!R140</f>
        <v/>
      </c>
      <c r="L130">
        <f>Data!T140</f>
        <v/>
      </c>
      <c r="M130">
        <f>AND(E130=0,F130=0,G130=0,H130=0,I130=0,J130=0,K130=0,L130=0)</f>
        <v/>
      </c>
      <c r="N130">
        <f>G130&lt;=$T$6</f>
        <v/>
      </c>
      <c r="O130">
        <f>G130&lt;=$T$12</f>
        <v/>
      </c>
      <c r="P130">
        <f>OR(AND(H130&gt;=$T$4,K130&lt;=$T$5,N130),M130)</f>
        <v/>
      </c>
      <c r="Q130">
        <f>OR(AND(I130&gt;=$T$10,K130&lt;=$T$11,O130),M130)</f>
        <v/>
      </c>
    </row>
    <row r="131">
      <c r="A131">
        <f>Data!E141</f>
        <v/>
      </c>
      <c r="B131">
        <f>Data!G141</f>
        <v/>
      </c>
      <c r="C131">
        <f>Data!H141</f>
        <v/>
      </c>
      <c r="D131">
        <f>Data!I141</f>
        <v/>
      </c>
      <c r="E131">
        <f>Data!M141</f>
        <v/>
      </c>
      <c r="F131">
        <f>Data!O141</f>
        <v/>
      </c>
      <c r="G131">
        <f>E131-F131</f>
        <v/>
      </c>
      <c r="H131">
        <f>Data!P141</f>
        <v/>
      </c>
      <c r="I131">
        <f>G131+H131</f>
        <v/>
      </c>
      <c r="J131">
        <f>F131+G131+H131</f>
        <v/>
      </c>
      <c r="K131">
        <f>Data!R141</f>
        <v/>
      </c>
      <c r="L131">
        <f>Data!T141</f>
        <v/>
      </c>
      <c r="M131">
        <f>AND(E131=0,F131=0,G131=0,H131=0,I131=0,J131=0,K131=0,L131=0)</f>
        <v/>
      </c>
      <c r="N131">
        <f>G131&lt;=$T$6</f>
        <v/>
      </c>
      <c r="O131">
        <f>G131&lt;=$T$12</f>
        <v/>
      </c>
      <c r="P131">
        <f>OR(AND(H131&gt;=$T$4,K131&lt;=$T$5,N131),M131)</f>
        <v/>
      </c>
      <c r="Q131">
        <f>OR(AND(I131&gt;=$T$10,K131&lt;=$T$11,O131),M131)</f>
        <v/>
      </c>
    </row>
    <row r="132">
      <c r="A132">
        <f>Data!E142</f>
        <v/>
      </c>
      <c r="B132">
        <f>Data!G142</f>
        <v/>
      </c>
      <c r="C132">
        <f>Data!H142</f>
        <v/>
      </c>
      <c r="D132">
        <f>Data!I142</f>
        <v/>
      </c>
      <c r="E132">
        <f>Data!M142</f>
        <v/>
      </c>
      <c r="F132">
        <f>Data!O142</f>
        <v/>
      </c>
      <c r="G132">
        <f>E132-F132</f>
        <v/>
      </c>
      <c r="H132">
        <f>Data!P142</f>
        <v/>
      </c>
      <c r="I132">
        <f>G132+H132</f>
        <v/>
      </c>
      <c r="J132">
        <f>F132+G132+H132</f>
        <v/>
      </c>
      <c r="K132">
        <f>Data!R142</f>
        <v/>
      </c>
      <c r="L132">
        <f>Data!T142</f>
        <v/>
      </c>
      <c r="M132">
        <f>AND(E132=0,F132=0,G132=0,H132=0,I132=0,J132=0,K132=0,L132=0)</f>
        <v/>
      </c>
      <c r="N132">
        <f>G132&lt;=$T$6</f>
        <v/>
      </c>
      <c r="O132">
        <f>G132&lt;=$T$12</f>
        <v/>
      </c>
      <c r="P132">
        <f>OR(AND(H132&gt;=$T$4,K132&lt;=$T$5,N132),M132)</f>
        <v/>
      </c>
      <c r="Q132">
        <f>OR(AND(I132&gt;=$T$10,K132&lt;=$T$11,O132),M132)</f>
        <v/>
      </c>
    </row>
    <row r="133">
      <c r="A133">
        <f>Data!E143</f>
        <v/>
      </c>
      <c r="B133">
        <f>Data!G143</f>
        <v/>
      </c>
      <c r="C133">
        <f>Data!H143</f>
        <v/>
      </c>
      <c r="D133">
        <f>Data!I143</f>
        <v/>
      </c>
      <c r="E133">
        <f>Data!M143</f>
        <v/>
      </c>
      <c r="F133">
        <f>Data!O143</f>
        <v/>
      </c>
      <c r="G133">
        <f>E133-F133</f>
        <v/>
      </c>
      <c r="H133">
        <f>Data!P143</f>
        <v/>
      </c>
      <c r="I133">
        <f>G133+H133</f>
        <v/>
      </c>
      <c r="J133">
        <f>F133+G133+H133</f>
        <v/>
      </c>
      <c r="K133">
        <f>Data!R143</f>
        <v/>
      </c>
      <c r="L133">
        <f>Data!T143</f>
        <v/>
      </c>
      <c r="M133">
        <f>AND(E133=0,F133=0,G133=0,H133=0,I133=0,J133=0,K133=0,L133=0)</f>
        <v/>
      </c>
      <c r="N133">
        <f>G133&lt;=$T$6</f>
        <v/>
      </c>
      <c r="O133">
        <f>G133&lt;=$T$12</f>
        <v/>
      </c>
      <c r="P133">
        <f>OR(AND(H133&gt;=$T$4,K133&lt;=$T$5,N133),M133)</f>
        <v/>
      </c>
      <c r="Q133">
        <f>OR(AND(I133&gt;=$T$10,K133&lt;=$T$11,O133),M133)</f>
        <v/>
      </c>
    </row>
    <row r="134">
      <c r="A134">
        <f>Data!E144</f>
        <v/>
      </c>
      <c r="B134">
        <f>Data!G144</f>
        <v/>
      </c>
      <c r="C134">
        <f>Data!H144</f>
        <v/>
      </c>
      <c r="D134">
        <f>Data!I144</f>
        <v/>
      </c>
      <c r="E134">
        <f>Data!M144</f>
        <v/>
      </c>
      <c r="F134">
        <f>Data!O144</f>
        <v/>
      </c>
      <c r="G134">
        <f>E134-F134</f>
        <v/>
      </c>
      <c r="H134">
        <f>Data!P144</f>
        <v/>
      </c>
      <c r="I134">
        <f>G134+H134</f>
        <v/>
      </c>
      <c r="J134">
        <f>F134+G134+H134</f>
        <v/>
      </c>
      <c r="K134">
        <f>Data!R144</f>
        <v/>
      </c>
      <c r="L134">
        <f>Data!T144</f>
        <v/>
      </c>
      <c r="M134">
        <f>AND(E134=0,F134=0,G134=0,H134=0,I134=0,J134=0,K134=0,L134=0)</f>
        <v/>
      </c>
      <c r="N134">
        <f>G134&lt;=$T$6</f>
        <v/>
      </c>
      <c r="O134">
        <f>G134&lt;=$T$12</f>
        <v/>
      </c>
      <c r="P134">
        <f>OR(AND(H134&gt;=$T$4,K134&lt;=$T$5,N134),M134)</f>
        <v/>
      </c>
      <c r="Q134">
        <f>OR(AND(I134&gt;=$T$10,K134&lt;=$T$11,O134),M134)</f>
        <v/>
      </c>
    </row>
    <row r="135">
      <c r="A135">
        <f>Data!E145</f>
        <v/>
      </c>
      <c r="B135">
        <f>Data!G145</f>
        <v/>
      </c>
      <c r="C135">
        <f>Data!H145</f>
        <v/>
      </c>
      <c r="D135">
        <f>Data!I145</f>
        <v/>
      </c>
      <c r="E135">
        <f>Data!M145</f>
        <v/>
      </c>
      <c r="F135">
        <f>Data!O145</f>
        <v/>
      </c>
      <c r="G135">
        <f>E135-F135</f>
        <v/>
      </c>
      <c r="H135">
        <f>Data!P145</f>
        <v/>
      </c>
      <c r="I135">
        <f>G135+H135</f>
        <v/>
      </c>
      <c r="J135">
        <f>F135+G135+H135</f>
        <v/>
      </c>
      <c r="K135">
        <f>Data!R145</f>
        <v/>
      </c>
      <c r="L135">
        <f>Data!T145</f>
        <v/>
      </c>
      <c r="M135">
        <f>AND(E135=0,F135=0,G135=0,H135=0,I135=0,J135=0,K135=0,L135=0)</f>
        <v/>
      </c>
      <c r="N135">
        <f>G135&lt;=$T$6</f>
        <v/>
      </c>
      <c r="O135">
        <f>G135&lt;=$T$12</f>
        <v/>
      </c>
      <c r="P135">
        <f>OR(AND(H135&gt;=$T$4,K135&lt;=$T$5,N135),M135)</f>
        <v/>
      </c>
      <c r="Q135">
        <f>OR(AND(I135&gt;=$T$10,K135&lt;=$T$11,O135),M135)</f>
        <v/>
      </c>
    </row>
    <row r="136">
      <c r="A136">
        <f>Data!E146</f>
        <v/>
      </c>
      <c r="B136">
        <f>Data!G146</f>
        <v/>
      </c>
      <c r="C136">
        <f>Data!H146</f>
        <v/>
      </c>
      <c r="D136">
        <f>Data!I146</f>
        <v/>
      </c>
      <c r="E136">
        <f>Data!M146</f>
        <v/>
      </c>
      <c r="F136">
        <f>Data!O146</f>
        <v/>
      </c>
      <c r="G136">
        <f>E136-F136</f>
        <v/>
      </c>
      <c r="H136">
        <f>Data!P146</f>
        <v/>
      </c>
      <c r="I136">
        <f>G136+H136</f>
        <v/>
      </c>
      <c r="J136">
        <f>F136+G136+H136</f>
        <v/>
      </c>
      <c r="K136">
        <f>Data!R146</f>
        <v/>
      </c>
      <c r="L136">
        <f>Data!T146</f>
        <v/>
      </c>
      <c r="M136">
        <f>AND(E136=0,F136=0,G136=0,H136=0,I136=0,J136=0,K136=0,L136=0)</f>
        <v/>
      </c>
      <c r="N136">
        <f>G136&lt;=$T$6</f>
        <v/>
      </c>
      <c r="O136">
        <f>G136&lt;=$T$12</f>
        <v/>
      </c>
      <c r="P136">
        <f>OR(AND(H136&gt;=$T$4,K136&lt;=$T$5,N136),M136)</f>
        <v/>
      </c>
      <c r="Q136">
        <f>OR(AND(I136&gt;=$T$10,K136&lt;=$T$11,O136),M136)</f>
        <v/>
      </c>
    </row>
    <row r="137">
      <c r="A137">
        <f>Data!E147</f>
        <v/>
      </c>
      <c r="B137">
        <f>Data!G147</f>
        <v/>
      </c>
      <c r="C137">
        <f>Data!H147</f>
        <v/>
      </c>
      <c r="D137">
        <f>Data!I147</f>
        <v/>
      </c>
      <c r="E137">
        <f>Data!M147</f>
        <v/>
      </c>
      <c r="F137">
        <f>Data!O147</f>
        <v/>
      </c>
      <c r="G137">
        <f>E137-F137</f>
        <v/>
      </c>
      <c r="H137">
        <f>Data!P147</f>
        <v/>
      </c>
      <c r="I137">
        <f>G137+H137</f>
        <v/>
      </c>
      <c r="J137">
        <f>F137+G137+H137</f>
        <v/>
      </c>
      <c r="K137">
        <f>Data!R147</f>
        <v/>
      </c>
      <c r="L137">
        <f>Data!T147</f>
        <v/>
      </c>
      <c r="M137">
        <f>AND(E137=0,F137=0,G137=0,H137=0,I137=0,J137=0,K137=0,L137=0)</f>
        <v/>
      </c>
      <c r="N137">
        <f>G137&lt;=$T$6</f>
        <v/>
      </c>
      <c r="O137">
        <f>G137&lt;=$T$12</f>
        <v/>
      </c>
      <c r="P137">
        <f>OR(AND(H137&gt;=$T$4,K137&lt;=$T$5,N137),M137)</f>
        <v/>
      </c>
      <c r="Q137">
        <f>OR(AND(I137&gt;=$T$10,K137&lt;=$T$11,O137),M137)</f>
        <v/>
      </c>
    </row>
    <row r="138">
      <c r="A138">
        <f>Data!E148</f>
        <v/>
      </c>
      <c r="B138">
        <f>Data!G148</f>
        <v/>
      </c>
      <c r="C138">
        <f>Data!H148</f>
        <v/>
      </c>
      <c r="D138">
        <f>Data!I148</f>
        <v/>
      </c>
      <c r="E138">
        <f>Data!M148</f>
        <v/>
      </c>
      <c r="F138">
        <f>Data!O148</f>
        <v/>
      </c>
      <c r="G138">
        <f>E138-F138</f>
        <v/>
      </c>
      <c r="H138">
        <f>Data!P148</f>
        <v/>
      </c>
      <c r="I138">
        <f>G138+H138</f>
        <v/>
      </c>
      <c r="J138">
        <f>F138+G138+H138</f>
        <v/>
      </c>
      <c r="K138">
        <f>Data!R148</f>
        <v/>
      </c>
      <c r="L138">
        <f>Data!T148</f>
        <v/>
      </c>
      <c r="M138">
        <f>AND(E138=0,F138=0,G138=0,H138=0,I138=0,J138=0,K138=0,L138=0)</f>
        <v/>
      </c>
      <c r="N138">
        <f>G138&lt;=$T$6</f>
        <v/>
      </c>
      <c r="O138">
        <f>G138&lt;=$T$12</f>
        <v/>
      </c>
      <c r="P138">
        <f>OR(AND(H138&gt;=$T$4,K138&lt;=$T$5,N138),M138)</f>
        <v/>
      </c>
      <c r="Q138">
        <f>OR(AND(I138&gt;=$T$10,K138&lt;=$T$11,O138),M138)</f>
        <v/>
      </c>
    </row>
    <row r="139">
      <c r="A139">
        <f>Data!E149</f>
        <v/>
      </c>
      <c r="B139">
        <f>Data!G149</f>
        <v/>
      </c>
      <c r="C139">
        <f>Data!H149</f>
        <v/>
      </c>
      <c r="D139">
        <f>Data!I149</f>
        <v/>
      </c>
      <c r="E139">
        <f>Data!M149</f>
        <v/>
      </c>
      <c r="F139">
        <f>Data!O149</f>
        <v/>
      </c>
      <c r="G139">
        <f>E139-F139</f>
        <v/>
      </c>
      <c r="H139">
        <f>Data!P149</f>
        <v/>
      </c>
      <c r="I139">
        <f>G139+H139</f>
        <v/>
      </c>
      <c r="J139">
        <f>F139+G139+H139</f>
        <v/>
      </c>
      <c r="K139">
        <f>Data!R149</f>
        <v/>
      </c>
      <c r="L139">
        <f>Data!T149</f>
        <v/>
      </c>
      <c r="M139">
        <f>AND(E139=0,F139=0,G139=0,H139=0,I139=0,J139=0,K139=0,L139=0)</f>
        <v/>
      </c>
      <c r="N139">
        <f>G139&lt;=$T$6</f>
        <v/>
      </c>
      <c r="O139">
        <f>G139&lt;=$T$12</f>
        <v/>
      </c>
      <c r="P139">
        <f>OR(AND(H139&gt;=$T$4,K139&lt;=$T$5,N139),M139)</f>
        <v/>
      </c>
      <c r="Q139">
        <f>OR(AND(I139&gt;=$T$10,K139&lt;=$T$11,O139),M139)</f>
        <v/>
      </c>
    </row>
    <row r="140">
      <c r="A140">
        <f>Data!E150</f>
        <v/>
      </c>
      <c r="B140">
        <f>Data!G150</f>
        <v/>
      </c>
      <c r="C140">
        <f>Data!H150</f>
        <v/>
      </c>
      <c r="D140">
        <f>Data!I150</f>
        <v/>
      </c>
      <c r="E140">
        <f>Data!M150</f>
        <v/>
      </c>
      <c r="F140">
        <f>Data!O150</f>
        <v/>
      </c>
      <c r="G140">
        <f>E140-F140</f>
        <v/>
      </c>
      <c r="H140">
        <f>Data!P150</f>
        <v/>
      </c>
      <c r="I140">
        <f>G140+H140</f>
        <v/>
      </c>
      <c r="J140">
        <f>F140+G140+H140</f>
        <v/>
      </c>
      <c r="K140">
        <f>Data!R150</f>
        <v/>
      </c>
      <c r="L140">
        <f>Data!T150</f>
        <v/>
      </c>
      <c r="M140">
        <f>AND(E140=0,F140=0,G140=0,H140=0,I140=0,J140=0,K140=0,L140=0)</f>
        <v/>
      </c>
      <c r="N140">
        <f>G140&lt;=$T$6</f>
        <v/>
      </c>
      <c r="O140">
        <f>G140&lt;=$T$12</f>
        <v/>
      </c>
      <c r="P140">
        <f>OR(AND(H140&gt;=$T$4,K140&lt;=$T$5,N140),M140)</f>
        <v/>
      </c>
      <c r="Q140">
        <f>OR(AND(I140&gt;=$T$10,K140&lt;=$T$11,O140),M140)</f>
        <v/>
      </c>
    </row>
    <row r="141">
      <c r="A141">
        <f>Data!E152</f>
        <v/>
      </c>
      <c r="B141">
        <f>Data!G152</f>
        <v/>
      </c>
      <c r="C141">
        <f>Data!H152</f>
        <v/>
      </c>
      <c r="D141">
        <f>Data!I152</f>
        <v/>
      </c>
      <c r="E141">
        <f>Data!M152</f>
        <v/>
      </c>
      <c r="F141">
        <f>Data!O152</f>
        <v/>
      </c>
      <c r="G141">
        <f>E141-F141</f>
        <v/>
      </c>
      <c r="H141">
        <f>Data!P152</f>
        <v/>
      </c>
      <c r="I141">
        <f>G141+H141</f>
        <v/>
      </c>
      <c r="J141">
        <f>F141+G141+H141</f>
        <v/>
      </c>
      <c r="K141">
        <f>Data!R152</f>
        <v/>
      </c>
      <c r="L141">
        <f>Data!T152</f>
        <v/>
      </c>
      <c r="M141">
        <f>AND(E141=0,F141=0,G141=0,H141=0,I141=0,J141=0,K141=0,L141=0)</f>
        <v/>
      </c>
      <c r="N141">
        <f>G141&lt;=$T$6</f>
        <v/>
      </c>
      <c r="O141">
        <f>G141&lt;=$T$12</f>
        <v/>
      </c>
      <c r="P141">
        <f>OR(AND(H141&gt;=$T$4,K141&lt;=$T$5,N141),M141)</f>
        <v/>
      </c>
      <c r="Q141">
        <f>OR(AND(I141&gt;=$T$10,K141&lt;=$T$11,O141),M141)</f>
        <v/>
      </c>
    </row>
    <row r="142">
      <c r="A142">
        <f>Data!E153</f>
        <v/>
      </c>
      <c r="B142">
        <f>Data!G153</f>
        <v/>
      </c>
      <c r="C142">
        <f>Data!H153</f>
        <v/>
      </c>
      <c r="D142">
        <f>Data!I153</f>
        <v/>
      </c>
      <c r="E142">
        <f>Data!M153</f>
        <v/>
      </c>
      <c r="F142">
        <f>Data!O153</f>
        <v/>
      </c>
      <c r="G142">
        <f>E142-F142</f>
        <v/>
      </c>
      <c r="H142">
        <f>Data!P153</f>
        <v/>
      </c>
      <c r="I142">
        <f>G142+H142</f>
        <v/>
      </c>
      <c r="J142">
        <f>F142+G142+H142</f>
        <v/>
      </c>
      <c r="K142">
        <f>Data!R153</f>
        <v/>
      </c>
      <c r="L142">
        <f>Data!T153</f>
        <v/>
      </c>
      <c r="M142">
        <f>AND(E142=0,F142=0,G142=0,H142=0,I142=0,J142=0,K142=0,L142=0)</f>
        <v/>
      </c>
      <c r="N142">
        <f>G142&lt;=$T$6</f>
        <v/>
      </c>
      <c r="O142">
        <f>G142&lt;=$T$12</f>
        <v/>
      </c>
      <c r="P142">
        <f>OR(AND(H142&gt;=$T$4,K142&lt;=$T$5,N142),M142)</f>
        <v/>
      </c>
      <c r="Q142">
        <f>OR(AND(I142&gt;=$T$10,K142&lt;=$T$11,O142),M142)</f>
        <v/>
      </c>
    </row>
    <row r="143">
      <c r="A143">
        <f>Data!E154</f>
        <v/>
      </c>
      <c r="B143">
        <f>Data!G154</f>
        <v/>
      </c>
      <c r="C143">
        <f>Data!H154</f>
        <v/>
      </c>
      <c r="D143">
        <f>Data!I154</f>
        <v/>
      </c>
      <c r="E143">
        <f>Data!M154</f>
        <v/>
      </c>
      <c r="F143">
        <f>Data!O154</f>
        <v/>
      </c>
      <c r="G143">
        <f>E143-F143</f>
        <v/>
      </c>
      <c r="H143">
        <f>Data!P154</f>
        <v/>
      </c>
      <c r="I143">
        <f>G143+H143</f>
        <v/>
      </c>
      <c r="J143">
        <f>F143+G143+H143</f>
        <v/>
      </c>
      <c r="K143">
        <f>Data!R154</f>
        <v/>
      </c>
      <c r="L143">
        <f>Data!T154</f>
        <v/>
      </c>
      <c r="M143">
        <f>AND(E143=0,F143=0,G143=0,H143=0,I143=0,J143=0,K143=0,L143=0)</f>
        <v/>
      </c>
      <c r="N143">
        <f>G143&lt;=$T$6</f>
        <v/>
      </c>
      <c r="O143">
        <f>G143&lt;=$T$12</f>
        <v/>
      </c>
      <c r="P143">
        <f>OR(AND(H143&gt;=$T$4,K143&lt;=$T$5,N143),M143)</f>
        <v/>
      </c>
      <c r="Q143">
        <f>OR(AND(I143&gt;=$T$10,K143&lt;=$T$11,O143),M143)</f>
        <v/>
      </c>
    </row>
    <row r="144">
      <c r="A144">
        <f>Data!E155</f>
        <v/>
      </c>
      <c r="B144">
        <f>Data!G155</f>
        <v/>
      </c>
      <c r="C144">
        <f>Data!H155</f>
        <v/>
      </c>
      <c r="D144">
        <f>Data!I155</f>
        <v/>
      </c>
      <c r="E144">
        <f>Data!M155</f>
        <v/>
      </c>
      <c r="F144">
        <f>Data!O155</f>
        <v/>
      </c>
      <c r="G144">
        <f>E144-F144</f>
        <v/>
      </c>
      <c r="H144">
        <f>Data!P155</f>
        <v/>
      </c>
      <c r="I144">
        <f>G144+H144</f>
        <v/>
      </c>
      <c r="J144">
        <f>F144+G144+H144</f>
        <v/>
      </c>
      <c r="K144">
        <f>Data!R155</f>
        <v/>
      </c>
      <c r="L144">
        <f>Data!T155</f>
        <v/>
      </c>
      <c r="M144">
        <f>AND(E144=0,F144=0,G144=0,H144=0,I144=0,J144=0,K144=0,L144=0)</f>
        <v/>
      </c>
      <c r="N144">
        <f>G144&lt;=$T$6</f>
        <v/>
      </c>
      <c r="O144">
        <f>G144&lt;=$T$12</f>
        <v/>
      </c>
      <c r="P144">
        <f>OR(AND(H144&gt;=$T$4,K144&lt;=$T$5,N144),M144)</f>
        <v/>
      </c>
      <c r="Q144">
        <f>OR(AND(I144&gt;=$T$10,K144&lt;=$T$11,O144),M144)</f>
        <v/>
      </c>
    </row>
    <row r="145">
      <c r="A145">
        <f>Data!E156</f>
        <v/>
      </c>
      <c r="B145">
        <f>Data!G156</f>
        <v/>
      </c>
      <c r="C145">
        <f>Data!H156</f>
        <v/>
      </c>
      <c r="D145">
        <f>Data!I156</f>
        <v/>
      </c>
      <c r="E145">
        <f>Data!M156</f>
        <v/>
      </c>
      <c r="F145">
        <f>Data!O156</f>
        <v/>
      </c>
      <c r="G145">
        <f>E145-F145</f>
        <v/>
      </c>
      <c r="H145">
        <f>Data!P156</f>
        <v/>
      </c>
      <c r="I145">
        <f>G145+H145</f>
        <v/>
      </c>
      <c r="J145">
        <f>F145+G145+H145</f>
        <v/>
      </c>
      <c r="K145">
        <f>Data!R156</f>
        <v/>
      </c>
      <c r="L145">
        <f>Data!T156</f>
        <v/>
      </c>
      <c r="M145">
        <f>AND(E145=0,F145=0,G145=0,H145=0,I145=0,J145=0,K145=0,L145=0)</f>
        <v/>
      </c>
      <c r="N145">
        <f>G145&lt;=$T$6</f>
        <v/>
      </c>
      <c r="O145">
        <f>G145&lt;=$T$12</f>
        <v/>
      </c>
      <c r="P145">
        <f>OR(AND(H145&gt;=$T$4,K145&lt;=$T$5,N145),M145)</f>
        <v/>
      </c>
      <c r="Q145">
        <f>OR(AND(I145&gt;=$T$10,K145&lt;=$T$11,O145),M145)</f>
        <v/>
      </c>
    </row>
    <row r="146">
      <c r="A146">
        <f>Data!E157</f>
        <v/>
      </c>
      <c r="B146">
        <f>Data!G157</f>
        <v/>
      </c>
      <c r="C146">
        <f>Data!H157</f>
        <v/>
      </c>
      <c r="D146">
        <f>Data!I157</f>
        <v/>
      </c>
      <c r="E146">
        <f>Data!M157</f>
        <v/>
      </c>
      <c r="F146">
        <f>Data!O157</f>
        <v/>
      </c>
      <c r="G146">
        <f>E146-F146</f>
        <v/>
      </c>
      <c r="H146">
        <f>Data!P157</f>
        <v/>
      </c>
      <c r="I146">
        <f>G146+H146</f>
        <v/>
      </c>
      <c r="J146">
        <f>F146+G146+H146</f>
        <v/>
      </c>
      <c r="K146">
        <f>Data!R157</f>
        <v/>
      </c>
      <c r="L146">
        <f>Data!T157</f>
        <v/>
      </c>
      <c r="M146">
        <f>AND(E146=0,F146=0,G146=0,H146=0,I146=0,J146=0,K146=0,L146=0)</f>
        <v/>
      </c>
      <c r="N146">
        <f>G146&lt;=$T$6</f>
        <v/>
      </c>
      <c r="O146">
        <f>G146&lt;=$T$12</f>
        <v/>
      </c>
      <c r="P146">
        <f>OR(AND(H146&gt;=$T$4,K146&lt;=$T$5,N146),M146)</f>
        <v/>
      </c>
      <c r="Q146">
        <f>OR(AND(I146&gt;=$T$10,K146&lt;=$T$11,O146),M146)</f>
        <v/>
      </c>
    </row>
    <row r="147">
      <c r="A147">
        <f>Data!E158</f>
        <v/>
      </c>
      <c r="B147">
        <f>Data!G158</f>
        <v/>
      </c>
      <c r="C147">
        <f>Data!H158</f>
        <v/>
      </c>
      <c r="D147">
        <f>Data!I158</f>
        <v/>
      </c>
      <c r="E147">
        <f>Data!M158</f>
        <v/>
      </c>
      <c r="F147">
        <f>Data!O158</f>
        <v/>
      </c>
      <c r="G147">
        <f>E147-F147</f>
        <v/>
      </c>
      <c r="H147">
        <f>Data!P158</f>
        <v/>
      </c>
      <c r="I147">
        <f>G147+H147</f>
        <v/>
      </c>
      <c r="J147">
        <f>F147+G147+H147</f>
        <v/>
      </c>
      <c r="K147">
        <f>Data!R158</f>
        <v/>
      </c>
      <c r="L147">
        <f>Data!T158</f>
        <v/>
      </c>
      <c r="M147">
        <f>AND(E147=0,F147=0,G147=0,H147=0,I147=0,J147=0,K147=0,L147=0)</f>
        <v/>
      </c>
      <c r="N147">
        <f>G147&lt;=$T$6</f>
        <v/>
      </c>
      <c r="O147">
        <f>G147&lt;=$T$12</f>
        <v/>
      </c>
      <c r="P147">
        <f>OR(AND(H147&gt;=$T$4,K147&lt;=$T$5,N147),M147)</f>
        <v/>
      </c>
      <c r="Q147">
        <f>OR(AND(I147&gt;=$T$10,K147&lt;=$T$11,O147),M147)</f>
        <v/>
      </c>
    </row>
    <row r="148">
      <c r="A148">
        <f>Data!E159</f>
        <v/>
      </c>
      <c r="B148">
        <f>Data!G159</f>
        <v/>
      </c>
      <c r="C148">
        <f>Data!H159</f>
        <v/>
      </c>
      <c r="D148">
        <f>Data!I159</f>
        <v/>
      </c>
      <c r="E148">
        <f>Data!M159</f>
        <v/>
      </c>
      <c r="F148">
        <f>Data!O159</f>
        <v/>
      </c>
      <c r="G148">
        <f>E148-F148</f>
        <v/>
      </c>
      <c r="H148">
        <f>Data!P159</f>
        <v/>
      </c>
      <c r="I148">
        <f>G148+H148</f>
        <v/>
      </c>
      <c r="J148">
        <f>F148+G148+H148</f>
        <v/>
      </c>
      <c r="K148">
        <f>Data!R159</f>
        <v/>
      </c>
      <c r="L148">
        <f>Data!T159</f>
        <v/>
      </c>
      <c r="M148">
        <f>AND(E148=0,F148=0,G148=0,H148=0,I148=0,J148=0,K148=0,L148=0)</f>
        <v/>
      </c>
      <c r="N148">
        <f>G148&lt;=$T$6</f>
        <v/>
      </c>
      <c r="O148">
        <f>G148&lt;=$T$12</f>
        <v/>
      </c>
      <c r="P148">
        <f>OR(AND(H148&gt;=$T$4,K148&lt;=$T$5,N148),M148)</f>
        <v/>
      </c>
      <c r="Q148">
        <f>OR(AND(I148&gt;=$T$10,K148&lt;=$T$11,O148),M148)</f>
        <v/>
      </c>
    </row>
    <row r="149">
      <c r="A149">
        <f>Data!E160</f>
        <v/>
      </c>
      <c r="B149">
        <f>Data!G160</f>
        <v/>
      </c>
      <c r="C149">
        <f>Data!H160</f>
        <v/>
      </c>
      <c r="D149">
        <f>Data!I160</f>
        <v/>
      </c>
      <c r="E149">
        <f>Data!M160</f>
        <v/>
      </c>
      <c r="F149">
        <f>Data!O160</f>
        <v/>
      </c>
      <c r="G149">
        <f>E149-F149</f>
        <v/>
      </c>
      <c r="H149">
        <f>Data!P160</f>
        <v/>
      </c>
      <c r="I149">
        <f>G149+H149</f>
        <v/>
      </c>
      <c r="J149">
        <f>F149+G149+H149</f>
        <v/>
      </c>
      <c r="K149">
        <f>Data!R160</f>
        <v/>
      </c>
      <c r="L149">
        <f>Data!T160</f>
        <v/>
      </c>
      <c r="M149">
        <f>AND(E149=0,F149=0,G149=0,H149=0,I149=0,J149=0,K149=0,L149=0)</f>
        <v/>
      </c>
      <c r="N149">
        <f>G149&lt;=$T$6</f>
        <v/>
      </c>
      <c r="O149">
        <f>G149&lt;=$T$12</f>
        <v/>
      </c>
      <c r="P149">
        <f>OR(AND(H149&gt;=$T$4,K149&lt;=$T$5,N149),M149)</f>
        <v/>
      </c>
      <c r="Q149">
        <f>OR(AND(I149&gt;=$T$10,K149&lt;=$T$11,O149),M149)</f>
        <v/>
      </c>
    </row>
    <row r="150">
      <c r="A150">
        <f>Data!E161</f>
        <v/>
      </c>
      <c r="B150">
        <f>Data!G161</f>
        <v/>
      </c>
      <c r="C150">
        <f>Data!H161</f>
        <v/>
      </c>
      <c r="D150">
        <f>Data!I161</f>
        <v/>
      </c>
      <c r="E150">
        <f>Data!M161</f>
        <v/>
      </c>
      <c r="F150">
        <f>Data!O161</f>
        <v/>
      </c>
      <c r="G150">
        <f>E150-F150</f>
        <v/>
      </c>
      <c r="H150">
        <f>Data!P161</f>
        <v/>
      </c>
      <c r="I150">
        <f>G150+H150</f>
        <v/>
      </c>
      <c r="J150">
        <f>F150+G150+H150</f>
        <v/>
      </c>
      <c r="K150">
        <f>Data!R161</f>
        <v/>
      </c>
      <c r="L150">
        <f>Data!T161</f>
        <v/>
      </c>
      <c r="M150">
        <f>AND(E150=0,F150=0,G150=0,H150=0,I150=0,J150=0,K150=0,L150=0)</f>
        <v/>
      </c>
      <c r="N150">
        <f>G150&lt;=$T$6</f>
        <v/>
      </c>
      <c r="O150">
        <f>G150&lt;=$T$12</f>
        <v/>
      </c>
      <c r="P150">
        <f>OR(AND(H150&gt;=$T$4,K150&lt;=$T$5,N150),M150)</f>
        <v/>
      </c>
      <c r="Q150">
        <f>OR(AND(I150&gt;=$T$10,K150&lt;=$T$11,O150),M150)</f>
        <v/>
      </c>
    </row>
    <row r="151">
      <c r="A151">
        <f>Data!E162</f>
        <v/>
      </c>
      <c r="B151">
        <f>Data!G162</f>
        <v/>
      </c>
      <c r="C151">
        <f>Data!H162</f>
        <v/>
      </c>
      <c r="D151">
        <f>Data!I162</f>
        <v/>
      </c>
      <c r="E151">
        <f>Data!M162</f>
        <v/>
      </c>
      <c r="F151">
        <f>Data!O162</f>
        <v/>
      </c>
      <c r="G151">
        <f>E151-F151</f>
        <v/>
      </c>
      <c r="H151">
        <f>Data!P162</f>
        <v/>
      </c>
      <c r="I151">
        <f>G151+H151</f>
        <v/>
      </c>
      <c r="J151">
        <f>F151+G151+H151</f>
        <v/>
      </c>
      <c r="K151">
        <f>Data!R162</f>
        <v/>
      </c>
      <c r="L151">
        <f>Data!T162</f>
        <v/>
      </c>
      <c r="M151">
        <f>AND(E151=0,F151=0,G151=0,H151=0,I151=0,J151=0,K151=0,L151=0)</f>
        <v/>
      </c>
      <c r="N151">
        <f>G151&lt;=$T$6</f>
        <v/>
      </c>
      <c r="O151">
        <f>G151&lt;=$T$12</f>
        <v/>
      </c>
      <c r="P151">
        <f>OR(AND(H151&gt;=$T$4,K151&lt;=$T$5,N151),M151)</f>
        <v/>
      </c>
      <c r="Q151">
        <f>OR(AND(I151&gt;=$T$10,K151&lt;=$T$11,O151),M151)</f>
        <v/>
      </c>
    </row>
    <row r="152">
      <c r="A152">
        <f>Data!E163</f>
        <v/>
      </c>
      <c r="B152">
        <f>Data!G163</f>
        <v/>
      </c>
      <c r="C152">
        <f>Data!H163</f>
        <v/>
      </c>
      <c r="D152">
        <f>Data!I163</f>
        <v/>
      </c>
      <c r="E152">
        <f>Data!M163</f>
        <v/>
      </c>
      <c r="F152">
        <f>Data!O163</f>
        <v/>
      </c>
      <c r="G152">
        <f>E152-F152</f>
        <v/>
      </c>
      <c r="H152">
        <f>Data!P163</f>
        <v/>
      </c>
      <c r="I152">
        <f>G152+H152</f>
        <v/>
      </c>
      <c r="J152">
        <f>F152+G152+H152</f>
        <v/>
      </c>
      <c r="K152">
        <f>Data!R163</f>
        <v/>
      </c>
      <c r="L152">
        <f>Data!T163</f>
        <v/>
      </c>
      <c r="M152">
        <f>AND(E152=0,F152=0,G152=0,H152=0,I152=0,J152=0,K152=0,L152=0)</f>
        <v/>
      </c>
      <c r="N152">
        <f>G152&lt;=$T$6</f>
        <v/>
      </c>
      <c r="O152">
        <f>G152&lt;=$T$12</f>
        <v/>
      </c>
      <c r="P152">
        <f>OR(AND(H152&gt;=$T$4,K152&lt;=$T$5,N152),M152)</f>
        <v/>
      </c>
      <c r="Q152">
        <f>OR(AND(I152&gt;=$T$10,K152&lt;=$T$11,O152),M152)</f>
        <v/>
      </c>
    </row>
    <row r="153">
      <c r="A153">
        <f>Data!E164</f>
        <v/>
      </c>
      <c r="B153">
        <f>Data!G164</f>
        <v/>
      </c>
      <c r="C153">
        <f>Data!H164</f>
        <v/>
      </c>
      <c r="D153">
        <f>Data!I164</f>
        <v/>
      </c>
      <c r="E153">
        <f>Data!M164</f>
        <v/>
      </c>
      <c r="F153">
        <f>Data!O164</f>
        <v/>
      </c>
      <c r="G153">
        <f>E153-F153</f>
        <v/>
      </c>
      <c r="H153">
        <f>Data!P164</f>
        <v/>
      </c>
      <c r="I153">
        <f>G153+H153</f>
        <v/>
      </c>
      <c r="J153">
        <f>F153+G153+H153</f>
        <v/>
      </c>
      <c r="K153">
        <f>Data!R164</f>
        <v/>
      </c>
      <c r="L153">
        <f>Data!T164</f>
        <v/>
      </c>
      <c r="M153">
        <f>AND(E153=0,F153=0,G153=0,H153=0,I153=0,J153=0,K153=0,L153=0)</f>
        <v/>
      </c>
      <c r="N153">
        <f>G153&lt;=$T$6</f>
        <v/>
      </c>
      <c r="O153">
        <f>G153&lt;=$T$12</f>
        <v/>
      </c>
      <c r="P153">
        <f>OR(AND(H153&gt;=$T$4,K153&lt;=$T$5,N153),M153)</f>
        <v/>
      </c>
      <c r="Q153">
        <f>OR(AND(I153&gt;=$T$10,K153&lt;=$T$11,O153),M153)</f>
        <v/>
      </c>
    </row>
    <row r="154">
      <c r="A154">
        <f>Data!E165</f>
        <v/>
      </c>
      <c r="B154">
        <f>Data!G165</f>
        <v/>
      </c>
      <c r="C154">
        <f>Data!H165</f>
        <v/>
      </c>
      <c r="D154">
        <f>Data!I165</f>
        <v/>
      </c>
      <c r="E154">
        <f>Data!M165</f>
        <v/>
      </c>
      <c r="F154">
        <f>Data!O165</f>
        <v/>
      </c>
      <c r="G154">
        <f>E154-F154</f>
        <v/>
      </c>
      <c r="H154">
        <f>Data!P165</f>
        <v/>
      </c>
      <c r="I154">
        <f>G154+H154</f>
        <v/>
      </c>
      <c r="J154">
        <f>F154+G154+H154</f>
        <v/>
      </c>
      <c r="K154">
        <f>Data!R165</f>
        <v/>
      </c>
      <c r="L154">
        <f>Data!T165</f>
        <v/>
      </c>
      <c r="M154">
        <f>AND(E154=0,F154=0,G154=0,H154=0,I154=0,J154=0,K154=0,L154=0)</f>
        <v/>
      </c>
      <c r="N154">
        <f>G154&lt;=$T$6</f>
        <v/>
      </c>
      <c r="O154">
        <f>G154&lt;=$T$12</f>
        <v/>
      </c>
      <c r="P154">
        <f>OR(AND(H154&gt;=$T$4,K154&lt;=$T$5,N154),M154)</f>
        <v/>
      </c>
      <c r="Q154">
        <f>OR(AND(I154&gt;=$T$10,K154&lt;=$T$11,O154),M154)</f>
        <v/>
      </c>
    </row>
    <row r="155">
      <c r="A155">
        <f>Data!E166</f>
        <v/>
      </c>
      <c r="B155">
        <f>Data!G166</f>
        <v/>
      </c>
      <c r="C155">
        <f>Data!H166</f>
        <v/>
      </c>
      <c r="D155">
        <f>Data!I166</f>
        <v/>
      </c>
      <c r="E155">
        <f>Data!M166</f>
        <v/>
      </c>
      <c r="F155">
        <f>Data!O166</f>
        <v/>
      </c>
      <c r="G155">
        <f>E155-F155</f>
        <v/>
      </c>
      <c r="H155">
        <f>Data!P166</f>
        <v/>
      </c>
      <c r="I155">
        <f>G155+H155</f>
        <v/>
      </c>
      <c r="J155">
        <f>F155+G155+H155</f>
        <v/>
      </c>
      <c r="K155">
        <f>Data!R166</f>
        <v/>
      </c>
      <c r="L155">
        <f>Data!T166</f>
        <v/>
      </c>
      <c r="M155">
        <f>AND(E155=0,F155=0,G155=0,H155=0,I155=0,J155=0,K155=0,L155=0)</f>
        <v/>
      </c>
      <c r="N155">
        <f>G155&lt;=$T$6</f>
        <v/>
      </c>
      <c r="O155">
        <f>G155&lt;=$T$12</f>
        <v/>
      </c>
      <c r="P155">
        <f>OR(AND(H155&gt;=$T$4,K155&lt;=$T$5,N155),M155)</f>
        <v/>
      </c>
      <c r="Q155">
        <f>OR(AND(I155&gt;=$T$10,K155&lt;=$T$11,O155),M155)</f>
        <v/>
      </c>
    </row>
    <row r="156">
      <c r="A156">
        <f>Data!E167</f>
        <v/>
      </c>
      <c r="B156">
        <f>Data!G167</f>
        <v/>
      </c>
      <c r="C156">
        <f>Data!H167</f>
        <v/>
      </c>
      <c r="D156">
        <f>Data!I167</f>
        <v/>
      </c>
      <c r="E156">
        <f>Data!M167</f>
        <v/>
      </c>
      <c r="F156">
        <f>Data!O167</f>
        <v/>
      </c>
      <c r="G156">
        <f>E156-F156</f>
        <v/>
      </c>
      <c r="H156">
        <f>Data!P167</f>
        <v/>
      </c>
      <c r="I156">
        <f>G156+H156</f>
        <v/>
      </c>
      <c r="J156">
        <f>F156+G156+H156</f>
        <v/>
      </c>
      <c r="K156">
        <f>Data!R167</f>
        <v/>
      </c>
      <c r="L156">
        <f>Data!T167</f>
        <v/>
      </c>
      <c r="M156">
        <f>AND(E156=0,F156=0,G156=0,H156=0,I156=0,J156=0,K156=0,L156=0)</f>
        <v/>
      </c>
      <c r="N156">
        <f>G156&lt;=$T$6</f>
        <v/>
      </c>
      <c r="O156">
        <f>G156&lt;=$T$12</f>
        <v/>
      </c>
      <c r="P156">
        <f>OR(AND(H156&gt;=$T$4,K156&lt;=$T$5,N156),M156)</f>
        <v/>
      </c>
      <c r="Q156">
        <f>OR(AND(I156&gt;=$T$10,K156&lt;=$T$11,O156),M156)</f>
        <v/>
      </c>
    </row>
    <row r="157">
      <c r="A157">
        <f>Data!E168</f>
        <v/>
      </c>
      <c r="B157">
        <f>Data!G168</f>
        <v/>
      </c>
      <c r="C157">
        <f>Data!H168</f>
        <v/>
      </c>
      <c r="D157">
        <f>Data!I168</f>
        <v/>
      </c>
      <c r="E157">
        <f>Data!M168</f>
        <v/>
      </c>
      <c r="F157">
        <f>Data!O168</f>
        <v/>
      </c>
      <c r="G157">
        <f>E157-F157</f>
        <v/>
      </c>
      <c r="H157">
        <f>Data!P168</f>
        <v/>
      </c>
      <c r="I157">
        <f>G157+H157</f>
        <v/>
      </c>
      <c r="J157">
        <f>F157+G157+H157</f>
        <v/>
      </c>
      <c r="K157">
        <f>Data!R168</f>
        <v/>
      </c>
      <c r="L157">
        <f>Data!T168</f>
        <v/>
      </c>
      <c r="M157">
        <f>AND(E157=0,F157=0,G157=0,H157=0,I157=0,J157=0,K157=0,L157=0)</f>
        <v/>
      </c>
      <c r="N157">
        <f>G157&lt;=$T$6</f>
        <v/>
      </c>
      <c r="O157">
        <f>G157&lt;=$T$12</f>
        <v/>
      </c>
      <c r="P157">
        <f>OR(AND(H157&gt;=$T$4,K157&lt;=$T$5,N157),M157)</f>
        <v/>
      </c>
      <c r="Q157">
        <f>OR(AND(I157&gt;=$T$10,K157&lt;=$T$11,O157),M157)</f>
        <v/>
      </c>
    </row>
    <row r="158">
      <c r="A158">
        <f>Data!E169</f>
        <v/>
      </c>
      <c r="B158">
        <f>Data!G169</f>
        <v/>
      </c>
      <c r="C158">
        <f>Data!H169</f>
        <v/>
      </c>
      <c r="D158">
        <f>Data!I169</f>
        <v/>
      </c>
      <c r="E158">
        <f>Data!M169</f>
        <v/>
      </c>
      <c r="F158">
        <f>Data!O169</f>
        <v/>
      </c>
      <c r="G158">
        <f>E158-F158</f>
        <v/>
      </c>
      <c r="H158">
        <f>Data!P169</f>
        <v/>
      </c>
      <c r="I158">
        <f>G158+H158</f>
        <v/>
      </c>
      <c r="J158">
        <f>F158+G158+H158</f>
        <v/>
      </c>
      <c r="K158">
        <f>Data!R169</f>
        <v/>
      </c>
      <c r="L158">
        <f>Data!T169</f>
        <v/>
      </c>
      <c r="M158">
        <f>AND(E158=0,F158=0,G158=0,H158=0,I158=0,J158=0,K158=0,L158=0)</f>
        <v/>
      </c>
      <c r="N158">
        <f>G158&lt;=$T$6</f>
        <v/>
      </c>
      <c r="O158">
        <f>G158&lt;=$T$12</f>
        <v/>
      </c>
      <c r="P158">
        <f>OR(AND(H158&gt;=$T$4,K158&lt;=$T$5,N158),M158)</f>
        <v/>
      </c>
      <c r="Q158">
        <f>OR(AND(I158&gt;=$T$10,K158&lt;=$T$11,O158),M158)</f>
        <v/>
      </c>
    </row>
    <row r="159">
      <c r="A159">
        <f>Data!E170</f>
        <v/>
      </c>
      <c r="B159">
        <f>Data!G170</f>
        <v/>
      </c>
      <c r="C159">
        <f>Data!H170</f>
        <v/>
      </c>
      <c r="D159">
        <f>Data!I170</f>
        <v/>
      </c>
      <c r="E159">
        <f>Data!M170</f>
        <v/>
      </c>
      <c r="F159">
        <f>Data!O170</f>
        <v/>
      </c>
      <c r="G159">
        <f>E159-F159</f>
        <v/>
      </c>
      <c r="H159">
        <f>Data!P170</f>
        <v/>
      </c>
      <c r="I159">
        <f>G159+H159</f>
        <v/>
      </c>
      <c r="J159">
        <f>F159+G159+H159</f>
        <v/>
      </c>
      <c r="K159">
        <f>Data!R170</f>
        <v/>
      </c>
      <c r="L159">
        <f>Data!T170</f>
        <v/>
      </c>
      <c r="M159">
        <f>AND(E159=0,F159=0,G159=0,H159=0,I159=0,J159=0,K159=0,L159=0)</f>
        <v/>
      </c>
      <c r="N159">
        <f>G159&lt;=$T$6</f>
        <v/>
      </c>
      <c r="O159">
        <f>G159&lt;=$T$12</f>
        <v/>
      </c>
      <c r="P159">
        <f>OR(AND(H159&gt;=$T$4,K159&lt;=$T$5,N159),M159)</f>
        <v/>
      </c>
      <c r="Q159">
        <f>OR(AND(I159&gt;=$T$10,K159&lt;=$T$11,O159),M159)</f>
        <v/>
      </c>
    </row>
    <row r="160">
      <c r="A160">
        <f>Data!E171</f>
        <v/>
      </c>
      <c r="B160">
        <f>Data!G171</f>
        <v/>
      </c>
      <c r="C160">
        <f>Data!H171</f>
        <v/>
      </c>
      <c r="D160">
        <f>Data!I171</f>
        <v/>
      </c>
      <c r="E160">
        <f>Data!M171</f>
        <v/>
      </c>
      <c r="F160">
        <f>Data!O171</f>
        <v/>
      </c>
      <c r="G160">
        <f>E160-F160</f>
        <v/>
      </c>
      <c r="H160">
        <f>Data!P171</f>
        <v/>
      </c>
      <c r="I160">
        <f>G160+H160</f>
        <v/>
      </c>
      <c r="J160">
        <f>F160+G160+H160</f>
        <v/>
      </c>
      <c r="K160">
        <f>Data!R171</f>
        <v/>
      </c>
      <c r="L160">
        <f>Data!T171</f>
        <v/>
      </c>
      <c r="M160">
        <f>AND(E160=0,F160=0,G160=0,H160=0,I160=0,J160=0,K160=0,L160=0)</f>
        <v/>
      </c>
      <c r="N160">
        <f>G160&lt;=$T$6</f>
        <v/>
      </c>
      <c r="O160">
        <f>G160&lt;=$T$12</f>
        <v/>
      </c>
      <c r="P160">
        <f>OR(AND(H160&gt;=$T$4,K160&lt;=$T$5,N160),M160)</f>
        <v/>
      </c>
      <c r="Q160">
        <f>OR(AND(I160&gt;=$T$10,K160&lt;=$T$11,O160),M160)</f>
        <v/>
      </c>
    </row>
    <row r="161">
      <c r="A161">
        <f>Data!E172</f>
        <v/>
      </c>
      <c r="B161">
        <f>Data!G172</f>
        <v/>
      </c>
      <c r="C161">
        <f>Data!H172</f>
        <v/>
      </c>
      <c r="D161">
        <f>Data!I172</f>
        <v/>
      </c>
      <c r="E161">
        <f>Data!M172</f>
        <v/>
      </c>
      <c r="F161">
        <f>Data!O172</f>
        <v/>
      </c>
      <c r="G161">
        <f>E161-F161</f>
        <v/>
      </c>
      <c r="H161">
        <f>Data!P172</f>
        <v/>
      </c>
      <c r="I161">
        <f>G161+H161</f>
        <v/>
      </c>
      <c r="J161">
        <f>F161+G161+H161</f>
        <v/>
      </c>
      <c r="K161">
        <f>Data!R172</f>
        <v/>
      </c>
      <c r="L161">
        <f>Data!T172</f>
        <v/>
      </c>
      <c r="M161">
        <f>AND(E161=0,F161=0,G161=0,H161=0,I161=0,J161=0,K161=0,L161=0)</f>
        <v/>
      </c>
      <c r="N161">
        <f>G161&lt;=$T$6</f>
        <v/>
      </c>
      <c r="O161">
        <f>G161&lt;=$T$12</f>
        <v/>
      </c>
      <c r="P161">
        <f>OR(AND(H161&gt;=$T$4,K161&lt;=$T$5,N161),M161)</f>
        <v/>
      </c>
      <c r="Q161">
        <f>OR(AND(I161&gt;=$T$10,K161&lt;=$T$11,O161),M161)</f>
        <v/>
      </c>
    </row>
    <row r="162">
      <c r="A162">
        <f>Data!E174</f>
        <v/>
      </c>
      <c r="B162">
        <f>Data!G174</f>
        <v/>
      </c>
      <c r="C162">
        <f>Data!H174</f>
        <v/>
      </c>
      <c r="D162">
        <f>Data!I174</f>
        <v/>
      </c>
      <c r="E162">
        <f>Data!M174</f>
        <v/>
      </c>
      <c r="F162">
        <f>Data!O174</f>
        <v/>
      </c>
      <c r="G162">
        <f>E162-F162</f>
        <v/>
      </c>
      <c r="H162">
        <f>Data!P174</f>
        <v/>
      </c>
      <c r="I162">
        <f>G162+H162</f>
        <v/>
      </c>
      <c r="J162">
        <f>F162+G162+H162</f>
        <v/>
      </c>
      <c r="K162">
        <f>Data!R174</f>
        <v/>
      </c>
      <c r="L162">
        <f>Data!T174</f>
        <v/>
      </c>
      <c r="M162">
        <f>AND(E162=0,F162=0,G162=0,H162=0,I162=0,J162=0,K162=0,L162=0)</f>
        <v/>
      </c>
      <c r="N162">
        <f>G162&lt;=$T$6</f>
        <v/>
      </c>
      <c r="O162">
        <f>G162&lt;=$T$12</f>
        <v/>
      </c>
      <c r="P162">
        <f>OR(AND(H162&gt;=$T$4,K162&lt;=$T$5,N162),M162)</f>
        <v/>
      </c>
      <c r="Q162">
        <f>OR(AND(I162&gt;=$T$10,K162&lt;=$T$11,O162),M162)</f>
        <v/>
      </c>
    </row>
    <row r="163">
      <c r="A163">
        <f>Data!E175</f>
        <v/>
      </c>
      <c r="B163">
        <f>Data!G175</f>
        <v/>
      </c>
      <c r="C163">
        <f>Data!H175</f>
        <v/>
      </c>
      <c r="D163">
        <f>Data!I175</f>
        <v/>
      </c>
      <c r="E163">
        <f>Data!M175</f>
        <v/>
      </c>
      <c r="F163">
        <f>Data!O175</f>
        <v/>
      </c>
      <c r="G163">
        <f>E163-F163</f>
        <v/>
      </c>
      <c r="H163">
        <f>Data!P175</f>
        <v/>
      </c>
      <c r="I163">
        <f>G163+H163</f>
        <v/>
      </c>
      <c r="J163">
        <f>F163+G163+H163</f>
        <v/>
      </c>
      <c r="K163">
        <f>Data!R175</f>
        <v/>
      </c>
      <c r="L163">
        <f>Data!T175</f>
        <v/>
      </c>
      <c r="M163">
        <f>AND(E163=0,F163=0,G163=0,H163=0,I163=0,J163=0,K163=0,L163=0)</f>
        <v/>
      </c>
      <c r="N163">
        <f>G163&lt;=$T$6</f>
        <v/>
      </c>
      <c r="O163">
        <f>G163&lt;=$T$12</f>
        <v/>
      </c>
      <c r="P163">
        <f>OR(AND(H163&gt;=$T$4,K163&lt;=$T$5,N163),M163)</f>
        <v/>
      </c>
      <c r="Q163">
        <f>OR(AND(I163&gt;=$T$10,K163&lt;=$T$11,O163),M163)</f>
        <v/>
      </c>
    </row>
    <row r="164">
      <c r="A164">
        <f>Data!E176</f>
        <v/>
      </c>
      <c r="B164">
        <f>Data!G176</f>
        <v/>
      </c>
      <c r="C164">
        <f>Data!H176</f>
        <v/>
      </c>
      <c r="D164">
        <f>Data!I176</f>
        <v/>
      </c>
      <c r="E164">
        <f>Data!M176</f>
        <v/>
      </c>
      <c r="F164">
        <f>Data!O176</f>
        <v/>
      </c>
      <c r="G164">
        <f>E164-F164</f>
        <v/>
      </c>
      <c r="H164">
        <f>Data!P176</f>
        <v/>
      </c>
      <c r="I164">
        <f>G164+H164</f>
        <v/>
      </c>
      <c r="J164">
        <f>F164+G164+H164</f>
        <v/>
      </c>
      <c r="K164">
        <f>Data!R176</f>
        <v/>
      </c>
      <c r="L164">
        <f>Data!T176</f>
        <v/>
      </c>
      <c r="M164">
        <f>AND(E164=0,F164=0,G164=0,H164=0,I164=0,J164=0,K164=0,L164=0)</f>
        <v/>
      </c>
      <c r="N164">
        <f>G164&lt;=$T$6</f>
        <v/>
      </c>
      <c r="O164">
        <f>G164&lt;=$T$12</f>
        <v/>
      </c>
      <c r="P164">
        <f>OR(AND(H164&gt;=$T$4,K164&lt;=$T$5,N164),M164)</f>
        <v/>
      </c>
      <c r="Q164">
        <f>OR(AND(I164&gt;=$T$10,K164&lt;=$T$11,O164),M164)</f>
        <v/>
      </c>
    </row>
    <row r="165">
      <c r="A165">
        <f>Data!E177</f>
        <v/>
      </c>
      <c r="B165">
        <f>Data!G177</f>
        <v/>
      </c>
      <c r="C165">
        <f>Data!H177</f>
        <v/>
      </c>
      <c r="D165">
        <f>Data!I177</f>
        <v/>
      </c>
      <c r="E165">
        <f>Data!M177</f>
        <v/>
      </c>
      <c r="F165">
        <f>Data!O177</f>
        <v/>
      </c>
      <c r="G165">
        <f>E165-F165</f>
        <v/>
      </c>
      <c r="H165">
        <f>Data!P177</f>
        <v/>
      </c>
      <c r="I165">
        <f>G165+H165</f>
        <v/>
      </c>
      <c r="J165">
        <f>F165+G165+H165</f>
        <v/>
      </c>
      <c r="K165">
        <f>Data!R177</f>
        <v/>
      </c>
      <c r="L165">
        <f>Data!T177</f>
        <v/>
      </c>
      <c r="M165">
        <f>AND(E165=0,F165=0,G165=0,H165=0,I165=0,J165=0,K165=0,L165=0)</f>
        <v/>
      </c>
      <c r="N165">
        <f>G165&lt;=$T$6</f>
        <v/>
      </c>
      <c r="O165">
        <f>G165&lt;=$T$12</f>
        <v/>
      </c>
      <c r="P165">
        <f>OR(AND(H165&gt;=$T$4,K165&lt;=$T$5,N165),M165)</f>
        <v/>
      </c>
      <c r="Q165">
        <f>OR(AND(I165&gt;=$T$10,K165&lt;=$T$11,O165),M165)</f>
        <v/>
      </c>
    </row>
    <row r="166">
      <c r="A166">
        <f>Data!E178</f>
        <v/>
      </c>
      <c r="B166">
        <f>Data!G178</f>
        <v/>
      </c>
      <c r="C166">
        <f>Data!H178</f>
        <v/>
      </c>
      <c r="D166">
        <f>Data!I178</f>
        <v/>
      </c>
      <c r="E166">
        <f>Data!M178</f>
        <v/>
      </c>
      <c r="F166">
        <f>Data!O178</f>
        <v/>
      </c>
      <c r="G166">
        <f>E166-F166</f>
        <v/>
      </c>
      <c r="H166">
        <f>Data!P178</f>
        <v/>
      </c>
      <c r="I166">
        <f>G166+H166</f>
        <v/>
      </c>
      <c r="J166">
        <f>F166+G166+H166</f>
        <v/>
      </c>
      <c r="K166">
        <f>Data!R178</f>
        <v/>
      </c>
      <c r="L166">
        <f>Data!T178</f>
        <v/>
      </c>
      <c r="M166">
        <f>AND(E166=0,F166=0,G166=0,H166=0,I166=0,J166=0,K166=0,L166=0)</f>
        <v/>
      </c>
      <c r="N166">
        <f>G166&lt;=$T$6</f>
        <v/>
      </c>
      <c r="O166">
        <f>G166&lt;=$T$12</f>
        <v/>
      </c>
      <c r="P166">
        <f>OR(AND(H166&gt;=$T$4,K166&lt;=$T$5,N166),M166)</f>
        <v/>
      </c>
      <c r="Q166">
        <f>OR(AND(I166&gt;=$T$10,K166&lt;=$T$11,O166),M166)</f>
        <v/>
      </c>
    </row>
    <row r="167">
      <c r="A167">
        <f>Data!E179</f>
        <v/>
      </c>
      <c r="B167">
        <f>Data!G179</f>
        <v/>
      </c>
      <c r="C167">
        <f>Data!H179</f>
        <v/>
      </c>
      <c r="D167">
        <f>Data!I179</f>
        <v/>
      </c>
      <c r="E167">
        <f>Data!M179</f>
        <v/>
      </c>
      <c r="F167">
        <f>Data!O179</f>
        <v/>
      </c>
      <c r="G167">
        <f>E167-F167</f>
        <v/>
      </c>
      <c r="H167">
        <f>Data!P179</f>
        <v/>
      </c>
      <c r="I167">
        <f>G167+H167</f>
        <v/>
      </c>
      <c r="J167">
        <f>F167+G167+H167</f>
        <v/>
      </c>
      <c r="K167">
        <f>Data!R179</f>
        <v/>
      </c>
      <c r="L167">
        <f>Data!T179</f>
        <v/>
      </c>
      <c r="M167">
        <f>AND(E167=0,F167=0,G167=0,H167=0,I167=0,J167=0,K167=0,L167=0)</f>
        <v/>
      </c>
      <c r="N167">
        <f>G167&lt;=$T$6</f>
        <v/>
      </c>
      <c r="O167">
        <f>G167&lt;=$T$12</f>
        <v/>
      </c>
      <c r="P167">
        <f>OR(AND(H167&gt;=$T$4,K167&lt;=$T$5,N167),M167)</f>
        <v/>
      </c>
      <c r="Q167">
        <f>OR(AND(I167&gt;=$T$10,K167&lt;=$T$11,O167),M167)</f>
        <v/>
      </c>
    </row>
    <row r="168">
      <c r="A168">
        <f>Data!E180</f>
        <v/>
      </c>
      <c r="B168">
        <f>Data!G180</f>
        <v/>
      </c>
      <c r="C168">
        <f>Data!H180</f>
        <v/>
      </c>
      <c r="D168">
        <f>Data!I180</f>
        <v/>
      </c>
      <c r="E168">
        <f>Data!M180</f>
        <v/>
      </c>
      <c r="F168">
        <f>Data!O180</f>
        <v/>
      </c>
      <c r="G168">
        <f>E168-F168</f>
        <v/>
      </c>
      <c r="H168">
        <f>Data!P180</f>
        <v/>
      </c>
      <c r="I168">
        <f>G168+H168</f>
        <v/>
      </c>
      <c r="J168">
        <f>F168+G168+H168</f>
        <v/>
      </c>
      <c r="K168">
        <f>Data!R180</f>
        <v/>
      </c>
      <c r="L168">
        <f>Data!T180</f>
        <v/>
      </c>
      <c r="M168">
        <f>AND(E168=0,F168=0,G168=0,H168=0,I168=0,J168=0,K168=0,L168=0)</f>
        <v/>
      </c>
      <c r="N168">
        <f>G168&lt;=$T$6</f>
        <v/>
      </c>
      <c r="O168">
        <f>G168&lt;=$T$12</f>
        <v/>
      </c>
      <c r="P168">
        <f>OR(AND(H168&gt;=$T$4,K168&lt;=$T$5,N168),M168)</f>
        <v/>
      </c>
      <c r="Q168">
        <f>OR(AND(I168&gt;=$T$10,K168&lt;=$T$11,O168),M168)</f>
        <v/>
      </c>
    </row>
    <row r="169">
      <c r="A169">
        <f>Data!E181</f>
        <v/>
      </c>
      <c r="B169">
        <f>Data!G181</f>
        <v/>
      </c>
      <c r="C169">
        <f>Data!H181</f>
        <v/>
      </c>
      <c r="D169">
        <f>Data!I181</f>
        <v/>
      </c>
      <c r="E169">
        <f>Data!M181</f>
        <v/>
      </c>
      <c r="F169">
        <f>Data!O181</f>
        <v/>
      </c>
      <c r="G169">
        <f>E169-F169</f>
        <v/>
      </c>
      <c r="H169">
        <f>Data!P181</f>
        <v/>
      </c>
      <c r="I169">
        <f>G169+H169</f>
        <v/>
      </c>
      <c r="J169">
        <f>F169+G169+H169</f>
        <v/>
      </c>
      <c r="K169">
        <f>Data!R181</f>
        <v/>
      </c>
      <c r="L169">
        <f>Data!T181</f>
        <v/>
      </c>
      <c r="M169">
        <f>AND(E169=0,F169=0,G169=0,H169=0,I169=0,J169=0,K169=0,L169=0)</f>
        <v/>
      </c>
      <c r="N169">
        <f>G169&lt;=$T$6</f>
        <v/>
      </c>
      <c r="O169">
        <f>G169&lt;=$T$12</f>
        <v/>
      </c>
      <c r="P169">
        <f>OR(AND(H169&gt;=$T$4,K169&lt;=$T$5,N169),M169)</f>
        <v/>
      </c>
      <c r="Q169">
        <f>OR(AND(I169&gt;=$T$10,K169&lt;=$T$11,O169),M169)</f>
        <v/>
      </c>
    </row>
    <row r="170">
      <c r="A170">
        <f>Data!E182</f>
        <v/>
      </c>
      <c r="B170">
        <f>Data!G182</f>
        <v/>
      </c>
      <c r="C170">
        <f>Data!H182</f>
        <v/>
      </c>
      <c r="D170">
        <f>Data!I182</f>
        <v/>
      </c>
      <c r="E170">
        <f>Data!M182</f>
        <v/>
      </c>
      <c r="F170">
        <f>Data!O182</f>
        <v/>
      </c>
      <c r="G170">
        <f>E170-F170</f>
        <v/>
      </c>
      <c r="H170">
        <f>Data!P182</f>
        <v/>
      </c>
      <c r="I170">
        <f>G170+H170</f>
        <v/>
      </c>
      <c r="J170">
        <f>F170+G170+H170</f>
        <v/>
      </c>
      <c r="K170">
        <f>Data!R182</f>
        <v/>
      </c>
      <c r="L170">
        <f>Data!T182</f>
        <v/>
      </c>
      <c r="M170">
        <f>AND(E170=0,F170=0,G170=0,H170=0,I170=0,J170=0,K170=0,L170=0)</f>
        <v/>
      </c>
      <c r="N170">
        <f>G170&lt;=$T$6</f>
        <v/>
      </c>
      <c r="O170">
        <f>G170&lt;=$T$12</f>
        <v/>
      </c>
      <c r="P170">
        <f>OR(AND(H170&gt;=$T$4,K170&lt;=$T$5,N170),M170)</f>
        <v/>
      </c>
      <c r="Q170">
        <f>OR(AND(I170&gt;=$T$10,K170&lt;=$T$11,O170),M170)</f>
        <v/>
      </c>
    </row>
    <row r="171">
      <c r="A171">
        <f>Data!E183</f>
        <v/>
      </c>
      <c r="B171">
        <f>Data!G183</f>
        <v/>
      </c>
      <c r="C171">
        <f>Data!H183</f>
        <v/>
      </c>
      <c r="D171">
        <f>Data!I183</f>
        <v/>
      </c>
      <c r="E171">
        <f>Data!M183</f>
        <v/>
      </c>
      <c r="F171">
        <f>Data!O183</f>
        <v/>
      </c>
      <c r="G171">
        <f>E171-F171</f>
        <v/>
      </c>
      <c r="H171">
        <f>Data!P183</f>
        <v/>
      </c>
      <c r="I171">
        <f>G171+H171</f>
        <v/>
      </c>
      <c r="J171">
        <f>F171+G171+H171</f>
        <v/>
      </c>
      <c r="K171">
        <f>Data!R183</f>
        <v/>
      </c>
      <c r="L171">
        <f>Data!T183</f>
        <v/>
      </c>
      <c r="M171">
        <f>AND(E171=0,F171=0,G171=0,H171=0,I171=0,J171=0,K171=0,L171=0)</f>
        <v/>
      </c>
      <c r="N171">
        <f>G171&lt;=$T$6</f>
        <v/>
      </c>
      <c r="O171">
        <f>G171&lt;=$T$12</f>
        <v/>
      </c>
      <c r="P171">
        <f>OR(AND(H171&gt;=$T$4,K171&lt;=$T$5,N171),M171)</f>
        <v/>
      </c>
      <c r="Q171">
        <f>OR(AND(I171&gt;=$T$10,K171&lt;=$T$11,O171),M171)</f>
        <v/>
      </c>
    </row>
    <row r="172">
      <c r="A172">
        <f>Data!E184</f>
        <v/>
      </c>
      <c r="B172">
        <f>Data!G184</f>
        <v/>
      </c>
      <c r="C172">
        <f>Data!H184</f>
        <v/>
      </c>
      <c r="D172">
        <f>Data!I184</f>
        <v/>
      </c>
      <c r="E172">
        <f>Data!M184</f>
        <v/>
      </c>
      <c r="F172">
        <f>Data!O184</f>
        <v/>
      </c>
      <c r="G172">
        <f>E172-F172</f>
        <v/>
      </c>
      <c r="H172">
        <f>Data!P184</f>
        <v/>
      </c>
      <c r="I172">
        <f>G172+H172</f>
        <v/>
      </c>
      <c r="J172">
        <f>F172+G172+H172</f>
        <v/>
      </c>
      <c r="K172">
        <f>Data!R184</f>
        <v/>
      </c>
      <c r="L172">
        <f>Data!T184</f>
        <v/>
      </c>
      <c r="M172">
        <f>AND(E172=0,F172=0,G172=0,H172=0,I172=0,J172=0,K172=0,L172=0)</f>
        <v/>
      </c>
      <c r="N172">
        <f>G172&lt;=$T$6</f>
        <v/>
      </c>
      <c r="O172">
        <f>G172&lt;=$T$12</f>
        <v/>
      </c>
      <c r="P172">
        <f>OR(AND(H172&gt;=$T$4,K172&lt;=$T$5,N172),M172)</f>
        <v/>
      </c>
      <c r="Q172">
        <f>OR(AND(I172&gt;=$T$10,K172&lt;=$T$11,O172),M172)</f>
        <v/>
      </c>
    </row>
    <row r="173">
      <c r="A173">
        <f>Data!E185</f>
        <v/>
      </c>
      <c r="B173">
        <f>Data!G185</f>
        <v/>
      </c>
      <c r="C173">
        <f>Data!H185</f>
        <v/>
      </c>
      <c r="D173">
        <f>Data!I185</f>
        <v/>
      </c>
      <c r="E173">
        <f>Data!M185</f>
        <v/>
      </c>
      <c r="F173">
        <f>Data!O185</f>
        <v/>
      </c>
      <c r="G173">
        <f>E173-F173</f>
        <v/>
      </c>
      <c r="H173">
        <f>Data!P185</f>
        <v/>
      </c>
      <c r="I173">
        <f>G173+H173</f>
        <v/>
      </c>
      <c r="J173">
        <f>F173+G173+H173</f>
        <v/>
      </c>
      <c r="K173">
        <f>Data!R185</f>
        <v/>
      </c>
      <c r="L173">
        <f>Data!T185</f>
        <v/>
      </c>
      <c r="M173">
        <f>AND(E173=0,F173=0,G173=0,H173=0,I173=0,J173=0,K173=0,L173=0)</f>
        <v/>
      </c>
      <c r="N173">
        <f>G173&lt;=$T$6</f>
        <v/>
      </c>
      <c r="O173">
        <f>G173&lt;=$T$12</f>
        <v/>
      </c>
      <c r="P173">
        <f>OR(AND(H173&gt;=$T$4,K173&lt;=$T$5,N173),M173)</f>
        <v/>
      </c>
      <c r="Q173">
        <f>OR(AND(I173&gt;=$T$10,K173&lt;=$T$11,O173),M173)</f>
        <v/>
      </c>
    </row>
    <row r="174">
      <c r="A174">
        <f>Data!E186</f>
        <v/>
      </c>
      <c r="B174">
        <f>Data!G186</f>
        <v/>
      </c>
      <c r="C174">
        <f>Data!H186</f>
        <v/>
      </c>
      <c r="D174">
        <f>Data!I186</f>
        <v/>
      </c>
      <c r="E174">
        <f>Data!M186</f>
        <v/>
      </c>
      <c r="F174">
        <f>Data!O186</f>
        <v/>
      </c>
      <c r="G174">
        <f>E174-F174</f>
        <v/>
      </c>
      <c r="H174">
        <f>Data!P186</f>
        <v/>
      </c>
      <c r="I174">
        <f>G174+H174</f>
        <v/>
      </c>
      <c r="J174">
        <f>F174+G174+H174</f>
        <v/>
      </c>
      <c r="K174">
        <f>Data!R186</f>
        <v/>
      </c>
      <c r="L174">
        <f>Data!T186</f>
        <v/>
      </c>
      <c r="M174">
        <f>AND(E174=0,F174=0,G174=0,H174=0,I174=0,J174=0,K174=0,L174=0)</f>
        <v/>
      </c>
      <c r="N174">
        <f>G174&lt;=$T$6</f>
        <v/>
      </c>
      <c r="O174">
        <f>G174&lt;=$T$12</f>
        <v/>
      </c>
      <c r="P174">
        <f>OR(AND(H174&gt;=$T$4,K174&lt;=$T$5,N174),M174)</f>
        <v/>
      </c>
      <c r="Q174">
        <f>OR(AND(I174&gt;=$T$10,K174&lt;=$T$11,O174),M174)</f>
        <v/>
      </c>
    </row>
    <row r="175">
      <c r="A175">
        <f>Data!E187</f>
        <v/>
      </c>
      <c r="B175">
        <f>Data!G187</f>
        <v/>
      </c>
      <c r="C175">
        <f>Data!H187</f>
        <v/>
      </c>
      <c r="D175">
        <f>Data!I187</f>
        <v/>
      </c>
      <c r="E175">
        <f>Data!M187</f>
        <v/>
      </c>
      <c r="F175">
        <f>Data!O187</f>
        <v/>
      </c>
      <c r="G175">
        <f>E175-F175</f>
        <v/>
      </c>
      <c r="H175">
        <f>Data!P187</f>
        <v/>
      </c>
      <c r="I175">
        <f>G175+H175</f>
        <v/>
      </c>
      <c r="J175">
        <f>F175+G175+H175</f>
        <v/>
      </c>
      <c r="K175">
        <f>Data!R187</f>
        <v/>
      </c>
      <c r="L175">
        <f>Data!T187</f>
        <v/>
      </c>
      <c r="M175">
        <f>AND(E175=0,F175=0,G175=0,H175=0,I175=0,J175=0,K175=0,L175=0)</f>
        <v/>
      </c>
      <c r="N175">
        <f>G175&lt;=$T$6</f>
        <v/>
      </c>
      <c r="O175">
        <f>G175&lt;=$T$12</f>
        <v/>
      </c>
      <c r="P175">
        <f>OR(AND(H175&gt;=$T$4,K175&lt;=$T$5,N175),M175)</f>
        <v/>
      </c>
      <c r="Q175">
        <f>OR(AND(I175&gt;=$T$10,K175&lt;=$T$11,O175),M175)</f>
        <v/>
      </c>
    </row>
    <row r="176">
      <c r="A176">
        <f>Data!E189</f>
        <v/>
      </c>
      <c r="B176">
        <f>Data!G189</f>
        <v/>
      </c>
      <c r="C176">
        <f>Data!H189</f>
        <v/>
      </c>
      <c r="D176">
        <f>Data!I189</f>
        <v/>
      </c>
      <c r="E176">
        <f>Data!M189</f>
        <v/>
      </c>
      <c r="F176">
        <f>Data!O189</f>
        <v/>
      </c>
      <c r="G176">
        <f>E176-F176</f>
        <v/>
      </c>
      <c r="H176">
        <f>Data!P189</f>
        <v/>
      </c>
      <c r="I176">
        <f>G176+H176</f>
        <v/>
      </c>
      <c r="J176">
        <f>F176+G176+H176</f>
        <v/>
      </c>
      <c r="K176">
        <f>Data!R189</f>
        <v/>
      </c>
      <c r="L176">
        <f>Data!T189</f>
        <v/>
      </c>
      <c r="M176">
        <f>AND(E176=0,F176=0,G176=0,H176=0,I176=0,J176=0,K176=0,L176=0)</f>
        <v/>
      </c>
      <c r="N176">
        <f>G176&lt;=$T$6</f>
        <v/>
      </c>
      <c r="O176">
        <f>G176&lt;=$T$12</f>
        <v/>
      </c>
      <c r="P176">
        <f>OR(AND(H176&gt;=$T$4,K176&lt;=$T$5,N176),M176)</f>
        <v/>
      </c>
      <c r="Q176">
        <f>OR(AND(I176&gt;=$T$10,K176&lt;=$T$11,O176),M176)</f>
        <v/>
      </c>
    </row>
    <row r="177">
      <c r="A177">
        <f>Data!E190</f>
        <v/>
      </c>
      <c r="B177">
        <f>Data!G190</f>
        <v/>
      </c>
      <c r="C177">
        <f>Data!H190</f>
        <v/>
      </c>
      <c r="D177">
        <f>Data!I190</f>
        <v/>
      </c>
      <c r="E177">
        <f>Data!M190</f>
        <v/>
      </c>
      <c r="F177">
        <f>Data!O190</f>
        <v/>
      </c>
      <c r="G177">
        <f>E177-F177</f>
        <v/>
      </c>
      <c r="H177">
        <f>Data!P190</f>
        <v/>
      </c>
      <c r="I177">
        <f>G177+H177</f>
        <v/>
      </c>
      <c r="J177">
        <f>F177+G177+H177</f>
        <v/>
      </c>
      <c r="K177">
        <f>Data!R190</f>
        <v/>
      </c>
      <c r="L177">
        <f>Data!T190</f>
        <v/>
      </c>
      <c r="M177">
        <f>AND(E177=0,F177=0,G177=0,H177=0,I177=0,J177=0,K177=0,L177=0)</f>
        <v/>
      </c>
      <c r="N177">
        <f>G177&lt;=$T$6</f>
        <v/>
      </c>
      <c r="O177">
        <f>G177&lt;=$T$12</f>
        <v/>
      </c>
      <c r="P177">
        <f>OR(AND(H177&gt;=$T$4,K177&lt;=$T$5,N177),M177)</f>
        <v/>
      </c>
      <c r="Q177">
        <f>OR(AND(I177&gt;=$T$10,K177&lt;=$T$11,O177),M177)</f>
        <v/>
      </c>
    </row>
    <row r="178">
      <c r="A178">
        <f>Data!E191</f>
        <v/>
      </c>
      <c r="B178">
        <f>Data!G191</f>
        <v/>
      </c>
      <c r="C178">
        <f>Data!H191</f>
        <v/>
      </c>
      <c r="D178">
        <f>Data!I191</f>
        <v/>
      </c>
      <c r="E178">
        <f>Data!M191</f>
        <v/>
      </c>
      <c r="F178">
        <f>Data!O191</f>
        <v/>
      </c>
      <c r="G178">
        <f>E178-F178</f>
        <v/>
      </c>
      <c r="H178">
        <f>Data!P191</f>
        <v/>
      </c>
      <c r="I178">
        <f>G178+H178</f>
        <v/>
      </c>
      <c r="J178">
        <f>F178+G178+H178</f>
        <v/>
      </c>
      <c r="K178">
        <f>Data!R191</f>
        <v/>
      </c>
      <c r="L178">
        <f>Data!T191</f>
        <v/>
      </c>
      <c r="M178">
        <f>AND(E178=0,F178=0,G178=0,H178=0,I178=0,J178=0,K178=0,L178=0)</f>
        <v/>
      </c>
      <c r="N178">
        <f>G178&lt;=$T$6</f>
        <v/>
      </c>
      <c r="O178">
        <f>G178&lt;=$T$12</f>
        <v/>
      </c>
      <c r="P178">
        <f>OR(AND(H178&gt;=$T$4,K178&lt;=$T$5,N178),M178)</f>
        <v/>
      </c>
      <c r="Q178">
        <f>OR(AND(I178&gt;=$T$10,K178&lt;=$T$11,O178),M178)</f>
        <v/>
      </c>
    </row>
    <row r="179">
      <c r="A179">
        <f>Data!E192</f>
        <v/>
      </c>
      <c r="B179">
        <f>Data!G192</f>
        <v/>
      </c>
      <c r="C179">
        <f>Data!H192</f>
        <v/>
      </c>
      <c r="D179">
        <f>Data!I192</f>
        <v/>
      </c>
      <c r="E179">
        <f>Data!M192</f>
        <v/>
      </c>
      <c r="F179">
        <f>Data!O192</f>
        <v/>
      </c>
      <c r="G179">
        <f>E179-F179</f>
        <v/>
      </c>
      <c r="H179">
        <f>Data!P192</f>
        <v/>
      </c>
      <c r="I179">
        <f>G179+H179</f>
        <v/>
      </c>
      <c r="J179">
        <f>F179+G179+H179</f>
        <v/>
      </c>
      <c r="K179">
        <f>Data!R192</f>
        <v/>
      </c>
      <c r="L179">
        <f>Data!T192</f>
        <v/>
      </c>
      <c r="M179">
        <f>AND(E179=0,F179=0,G179=0,H179=0,I179=0,J179=0,K179=0,L179=0)</f>
        <v/>
      </c>
      <c r="N179">
        <f>G179&lt;=$T$6</f>
        <v/>
      </c>
      <c r="O179">
        <f>G179&lt;=$T$12</f>
        <v/>
      </c>
      <c r="P179">
        <f>OR(AND(H179&gt;=$T$4,K179&lt;=$T$5,N179),M179)</f>
        <v/>
      </c>
      <c r="Q179">
        <f>OR(AND(I179&gt;=$T$10,K179&lt;=$T$11,O179),M179)</f>
        <v/>
      </c>
    </row>
    <row r="180">
      <c r="A180">
        <f>Data!E193</f>
        <v/>
      </c>
      <c r="B180">
        <f>Data!G193</f>
        <v/>
      </c>
      <c r="C180">
        <f>Data!H193</f>
        <v/>
      </c>
      <c r="D180">
        <f>Data!I193</f>
        <v/>
      </c>
      <c r="E180">
        <f>Data!M193</f>
        <v/>
      </c>
      <c r="F180">
        <f>Data!O193</f>
        <v/>
      </c>
      <c r="G180">
        <f>E180-F180</f>
        <v/>
      </c>
      <c r="H180">
        <f>Data!P193</f>
        <v/>
      </c>
      <c r="I180">
        <f>G180+H180</f>
        <v/>
      </c>
      <c r="J180">
        <f>F180+G180+H180</f>
        <v/>
      </c>
      <c r="K180">
        <f>Data!R193</f>
        <v/>
      </c>
      <c r="L180">
        <f>Data!T193</f>
        <v/>
      </c>
      <c r="M180">
        <f>AND(E180=0,F180=0,G180=0,H180=0,I180=0,J180=0,K180=0,L180=0)</f>
        <v/>
      </c>
      <c r="N180">
        <f>G180&lt;=$T$6</f>
        <v/>
      </c>
      <c r="O180">
        <f>G180&lt;=$T$12</f>
        <v/>
      </c>
      <c r="P180">
        <f>OR(AND(H180&gt;=$T$4,K180&lt;=$T$5,N180),M180)</f>
        <v/>
      </c>
      <c r="Q180">
        <f>OR(AND(I180&gt;=$T$10,K180&lt;=$T$11,O180),M180)</f>
        <v/>
      </c>
    </row>
    <row r="181">
      <c r="A181">
        <f>Data!E194</f>
        <v/>
      </c>
      <c r="B181">
        <f>Data!G194</f>
        <v/>
      </c>
      <c r="C181">
        <f>Data!H194</f>
        <v/>
      </c>
      <c r="D181">
        <f>Data!I194</f>
        <v/>
      </c>
      <c r="E181">
        <f>Data!M194</f>
        <v/>
      </c>
      <c r="F181">
        <f>Data!O194</f>
        <v/>
      </c>
      <c r="G181">
        <f>E181-F181</f>
        <v/>
      </c>
      <c r="H181">
        <f>Data!P194</f>
        <v/>
      </c>
      <c r="I181">
        <f>G181+H181</f>
        <v/>
      </c>
      <c r="J181">
        <f>F181+G181+H181</f>
        <v/>
      </c>
      <c r="K181">
        <f>Data!R194</f>
        <v/>
      </c>
      <c r="L181">
        <f>Data!T194</f>
        <v/>
      </c>
      <c r="M181">
        <f>AND(E181=0,F181=0,G181=0,H181=0,I181=0,J181=0,K181=0,L181=0)</f>
        <v/>
      </c>
      <c r="N181">
        <f>G181&lt;=$T$6</f>
        <v/>
      </c>
      <c r="O181">
        <f>G181&lt;=$T$12</f>
        <v/>
      </c>
      <c r="P181">
        <f>OR(AND(H181&gt;=$T$4,K181&lt;=$T$5,N181),M181)</f>
        <v/>
      </c>
      <c r="Q181">
        <f>OR(AND(I181&gt;=$T$10,K181&lt;=$T$11,O181),M181)</f>
        <v/>
      </c>
    </row>
    <row r="182">
      <c r="A182">
        <f>Data!E195</f>
        <v/>
      </c>
      <c r="B182">
        <f>Data!G195</f>
        <v/>
      </c>
      <c r="C182">
        <f>Data!H195</f>
        <v/>
      </c>
      <c r="D182">
        <f>Data!I195</f>
        <v/>
      </c>
      <c r="E182">
        <f>Data!M195</f>
        <v/>
      </c>
      <c r="F182">
        <f>Data!O195</f>
        <v/>
      </c>
      <c r="G182">
        <f>E182-F182</f>
        <v/>
      </c>
      <c r="H182">
        <f>Data!P195</f>
        <v/>
      </c>
      <c r="I182">
        <f>G182+H182</f>
        <v/>
      </c>
      <c r="J182">
        <f>F182+G182+H182</f>
        <v/>
      </c>
      <c r="K182">
        <f>Data!R195</f>
        <v/>
      </c>
      <c r="L182">
        <f>Data!T195</f>
        <v/>
      </c>
      <c r="M182">
        <f>AND(E182=0,F182=0,G182=0,H182=0,I182=0,J182=0,K182=0,L182=0)</f>
        <v/>
      </c>
      <c r="N182">
        <f>G182&lt;=$T$6</f>
        <v/>
      </c>
      <c r="O182">
        <f>G182&lt;=$T$12</f>
        <v/>
      </c>
      <c r="P182">
        <f>OR(AND(H182&gt;=$T$4,K182&lt;=$T$5,N182),M182)</f>
        <v/>
      </c>
      <c r="Q182">
        <f>OR(AND(I182&gt;=$T$10,K182&lt;=$T$11,O182),M182)</f>
        <v/>
      </c>
    </row>
    <row r="183">
      <c r="A183">
        <f>Data!E196</f>
        <v/>
      </c>
      <c r="B183">
        <f>Data!G196</f>
        <v/>
      </c>
      <c r="C183">
        <f>Data!H196</f>
        <v/>
      </c>
      <c r="D183">
        <f>Data!I196</f>
        <v/>
      </c>
      <c r="E183">
        <f>Data!M196</f>
        <v/>
      </c>
      <c r="F183">
        <f>Data!O196</f>
        <v/>
      </c>
      <c r="G183">
        <f>E183-F183</f>
        <v/>
      </c>
      <c r="H183">
        <f>Data!P196</f>
        <v/>
      </c>
      <c r="I183">
        <f>G183+H183</f>
        <v/>
      </c>
      <c r="J183">
        <f>F183+G183+H183</f>
        <v/>
      </c>
      <c r="K183">
        <f>Data!R196</f>
        <v/>
      </c>
      <c r="L183">
        <f>Data!T196</f>
        <v/>
      </c>
      <c r="M183">
        <f>AND(E183=0,F183=0,G183=0,H183=0,I183=0,J183=0,K183=0,L183=0)</f>
        <v/>
      </c>
      <c r="N183">
        <f>G183&lt;=$T$6</f>
        <v/>
      </c>
      <c r="O183">
        <f>G183&lt;=$T$12</f>
        <v/>
      </c>
      <c r="P183">
        <f>OR(AND(H183&gt;=$T$4,K183&lt;=$T$5,N183),M183)</f>
        <v/>
      </c>
      <c r="Q183">
        <f>OR(AND(I183&gt;=$T$10,K183&lt;=$T$11,O183),M183)</f>
        <v/>
      </c>
    </row>
    <row r="184">
      <c r="A184">
        <f>Data!E197</f>
        <v/>
      </c>
      <c r="B184">
        <f>Data!G197</f>
        <v/>
      </c>
      <c r="C184">
        <f>Data!H197</f>
        <v/>
      </c>
      <c r="D184">
        <f>Data!I197</f>
        <v/>
      </c>
      <c r="E184">
        <f>Data!M197</f>
        <v/>
      </c>
      <c r="F184">
        <f>Data!O197</f>
        <v/>
      </c>
      <c r="G184">
        <f>E184-F184</f>
        <v/>
      </c>
      <c r="H184">
        <f>Data!P197</f>
        <v/>
      </c>
      <c r="I184">
        <f>G184+H184</f>
        <v/>
      </c>
      <c r="J184">
        <f>F184+G184+H184</f>
        <v/>
      </c>
      <c r="K184">
        <f>Data!R197</f>
        <v/>
      </c>
      <c r="L184">
        <f>Data!T197</f>
        <v/>
      </c>
      <c r="M184">
        <f>AND(E184=0,F184=0,G184=0,H184=0,I184=0,J184=0,K184=0,L184=0)</f>
        <v/>
      </c>
      <c r="N184">
        <f>G184&lt;=$T$6</f>
        <v/>
      </c>
      <c r="O184">
        <f>G184&lt;=$T$12</f>
        <v/>
      </c>
      <c r="P184">
        <f>OR(AND(H184&gt;=$T$4,K184&lt;=$T$5,N184),M184)</f>
        <v/>
      </c>
      <c r="Q184">
        <f>OR(AND(I184&gt;=$T$10,K184&lt;=$T$11,O184),M184)</f>
        <v/>
      </c>
    </row>
    <row r="185">
      <c r="A185">
        <f>Data!E198</f>
        <v/>
      </c>
      <c r="B185">
        <f>Data!G198</f>
        <v/>
      </c>
      <c r="C185">
        <f>Data!H198</f>
        <v/>
      </c>
      <c r="D185">
        <f>Data!I198</f>
        <v/>
      </c>
      <c r="E185">
        <f>Data!M198</f>
        <v/>
      </c>
      <c r="F185">
        <f>Data!O198</f>
        <v/>
      </c>
      <c r="G185">
        <f>E185-F185</f>
        <v/>
      </c>
      <c r="H185">
        <f>Data!P198</f>
        <v/>
      </c>
      <c r="I185">
        <f>G185+H185</f>
        <v/>
      </c>
      <c r="J185">
        <f>F185+G185+H185</f>
        <v/>
      </c>
      <c r="K185">
        <f>Data!R198</f>
        <v/>
      </c>
      <c r="L185">
        <f>Data!T198</f>
        <v/>
      </c>
      <c r="M185">
        <f>AND(E185=0,F185=0,G185=0,H185=0,I185=0,J185=0,K185=0,L185=0)</f>
        <v/>
      </c>
      <c r="N185">
        <f>G185&lt;=$T$6</f>
        <v/>
      </c>
      <c r="O185">
        <f>G185&lt;=$T$12</f>
        <v/>
      </c>
      <c r="P185">
        <f>OR(AND(H185&gt;=$T$4,K185&lt;=$T$5,N185),M185)</f>
        <v/>
      </c>
      <c r="Q185">
        <f>OR(AND(I185&gt;=$T$10,K185&lt;=$T$11,O185),M185)</f>
        <v/>
      </c>
    </row>
    <row r="186">
      <c r="A186">
        <f>Data!E199</f>
        <v/>
      </c>
      <c r="B186">
        <f>Data!G199</f>
        <v/>
      </c>
      <c r="C186">
        <f>Data!H199</f>
        <v/>
      </c>
      <c r="D186">
        <f>Data!I199</f>
        <v/>
      </c>
      <c r="E186">
        <f>Data!M199</f>
        <v/>
      </c>
      <c r="F186">
        <f>Data!O199</f>
        <v/>
      </c>
      <c r="G186">
        <f>E186-F186</f>
        <v/>
      </c>
      <c r="H186">
        <f>Data!P199</f>
        <v/>
      </c>
      <c r="I186">
        <f>G186+H186</f>
        <v/>
      </c>
      <c r="J186">
        <f>F186+G186+H186</f>
        <v/>
      </c>
      <c r="K186">
        <f>Data!R199</f>
        <v/>
      </c>
      <c r="L186">
        <f>Data!T199</f>
        <v/>
      </c>
      <c r="M186">
        <f>AND(E186=0,F186=0,G186=0,H186=0,I186=0,J186=0,K186=0,L186=0)</f>
        <v/>
      </c>
      <c r="N186">
        <f>G186&lt;=$T$6</f>
        <v/>
      </c>
      <c r="O186">
        <f>G186&lt;=$T$12</f>
        <v/>
      </c>
      <c r="P186">
        <f>OR(AND(H186&gt;=$T$4,K186&lt;=$T$5,N186),M186)</f>
        <v/>
      </c>
      <c r="Q186">
        <f>OR(AND(I186&gt;=$T$10,K186&lt;=$T$11,O186),M186)</f>
        <v/>
      </c>
    </row>
    <row r="187">
      <c r="A187">
        <f>Data!E200</f>
        <v/>
      </c>
      <c r="B187">
        <f>Data!G200</f>
        <v/>
      </c>
      <c r="C187">
        <f>Data!H200</f>
        <v/>
      </c>
      <c r="D187">
        <f>Data!I200</f>
        <v/>
      </c>
      <c r="E187">
        <f>Data!M200</f>
        <v/>
      </c>
      <c r="F187">
        <f>Data!O200</f>
        <v/>
      </c>
      <c r="G187">
        <f>E187-F187</f>
        <v/>
      </c>
      <c r="H187">
        <f>Data!P200</f>
        <v/>
      </c>
      <c r="I187">
        <f>G187+H187</f>
        <v/>
      </c>
      <c r="J187">
        <f>F187+G187+H187</f>
        <v/>
      </c>
      <c r="K187">
        <f>Data!R200</f>
        <v/>
      </c>
      <c r="L187">
        <f>Data!T200</f>
        <v/>
      </c>
      <c r="M187">
        <f>AND(E187=0,F187=0,G187=0,H187=0,I187=0,J187=0,K187=0,L187=0)</f>
        <v/>
      </c>
      <c r="N187">
        <f>G187&lt;=$T$6</f>
        <v/>
      </c>
      <c r="O187">
        <f>G187&lt;=$T$12</f>
        <v/>
      </c>
      <c r="P187">
        <f>OR(AND(H187&gt;=$T$4,K187&lt;=$T$5,N187),M187)</f>
        <v/>
      </c>
      <c r="Q187">
        <f>OR(AND(I187&gt;=$T$10,K187&lt;=$T$11,O187),M187)</f>
        <v/>
      </c>
    </row>
    <row r="188">
      <c r="A188">
        <f>Data!E201</f>
        <v/>
      </c>
      <c r="B188">
        <f>Data!G201</f>
        <v/>
      </c>
      <c r="C188">
        <f>Data!H201</f>
        <v/>
      </c>
      <c r="D188">
        <f>Data!I201</f>
        <v/>
      </c>
      <c r="E188">
        <f>Data!M201</f>
        <v/>
      </c>
      <c r="F188">
        <f>Data!O201</f>
        <v/>
      </c>
      <c r="G188">
        <f>E188-F188</f>
        <v/>
      </c>
      <c r="H188">
        <f>Data!P201</f>
        <v/>
      </c>
      <c r="I188">
        <f>G188+H188</f>
        <v/>
      </c>
      <c r="J188">
        <f>F188+G188+H188</f>
        <v/>
      </c>
      <c r="K188">
        <f>Data!R201</f>
        <v/>
      </c>
      <c r="L188">
        <f>Data!T201</f>
        <v/>
      </c>
      <c r="M188">
        <f>AND(E188=0,F188=0,G188=0,H188=0,I188=0,J188=0,K188=0,L188=0)</f>
        <v/>
      </c>
      <c r="N188">
        <f>G188&lt;=$T$6</f>
        <v/>
      </c>
      <c r="O188">
        <f>G188&lt;=$T$12</f>
        <v/>
      </c>
      <c r="P188">
        <f>OR(AND(H188&gt;=$T$4,K188&lt;=$T$5,N188),M188)</f>
        <v/>
      </c>
      <c r="Q188">
        <f>OR(AND(I188&gt;=$T$10,K188&lt;=$T$11,O188),M188)</f>
        <v/>
      </c>
    </row>
    <row r="189">
      <c r="A189">
        <f>Data!E202</f>
        <v/>
      </c>
      <c r="B189">
        <f>Data!G202</f>
        <v/>
      </c>
      <c r="C189">
        <f>Data!H202</f>
        <v/>
      </c>
      <c r="D189">
        <f>Data!I202</f>
        <v/>
      </c>
      <c r="E189">
        <f>Data!M202</f>
        <v/>
      </c>
      <c r="F189">
        <f>Data!O202</f>
        <v/>
      </c>
      <c r="G189">
        <f>E189-F189</f>
        <v/>
      </c>
      <c r="H189">
        <f>Data!P202</f>
        <v/>
      </c>
      <c r="I189">
        <f>G189+H189</f>
        <v/>
      </c>
      <c r="J189">
        <f>F189+G189+H189</f>
        <v/>
      </c>
      <c r="K189">
        <f>Data!R202</f>
        <v/>
      </c>
      <c r="L189">
        <f>Data!T202</f>
        <v/>
      </c>
      <c r="M189">
        <f>AND(E189=0,F189=0,G189=0,H189=0,I189=0,J189=0,K189=0,L189=0)</f>
        <v/>
      </c>
      <c r="N189">
        <f>G189&lt;=$T$6</f>
        <v/>
      </c>
      <c r="O189">
        <f>G189&lt;=$T$12</f>
        <v/>
      </c>
      <c r="P189">
        <f>OR(AND(H189&gt;=$T$4,K189&lt;=$T$5,N189),M189)</f>
        <v/>
      </c>
      <c r="Q189">
        <f>OR(AND(I189&gt;=$T$10,K189&lt;=$T$11,O189),M189)</f>
        <v/>
      </c>
    </row>
    <row r="190">
      <c r="A190">
        <f>Data!E203</f>
        <v/>
      </c>
      <c r="B190">
        <f>Data!G203</f>
        <v/>
      </c>
      <c r="C190">
        <f>Data!H203</f>
        <v/>
      </c>
      <c r="D190">
        <f>Data!I203</f>
        <v/>
      </c>
      <c r="E190">
        <f>Data!M203</f>
        <v/>
      </c>
      <c r="F190">
        <f>Data!O203</f>
        <v/>
      </c>
      <c r="G190">
        <f>E190-F190</f>
        <v/>
      </c>
      <c r="H190">
        <f>Data!P203</f>
        <v/>
      </c>
      <c r="I190">
        <f>G190+H190</f>
        <v/>
      </c>
      <c r="J190">
        <f>F190+G190+H190</f>
        <v/>
      </c>
      <c r="K190">
        <f>Data!R203</f>
        <v/>
      </c>
      <c r="L190">
        <f>Data!T203</f>
        <v/>
      </c>
      <c r="M190">
        <f>AND(E190=0,F190=0,G190=0,H190=0,I190=0,J190=0,K190=0,L190=0)</f>
        <v/>
      </c>
      <c r="N190">
        <f>G190&lt;=$T$6</f>
        <v/>
      </c>
      <c r="O190">
        <f>G190&lt;=$T$12</f>
        <v/>
      </c>
      <c r="P190">
        <f>OR(AND(H190&gt;=$T$4,K190&lt;=$T$5,N190),M190)</f>
        <v/>
      </c>
      <c r="Q190">
        <f>OR(AND(I190&gt;=$T$10,K190&lt;=$T$11,O190),M190)</f>
        <v/>
      </c>
    </row>
    <row r="191">
      <c r="A191">
        <f>Data!E205</f>
        <v/>
      </c>
      <c r="B191">
        <f>Data!G205</f>
        <v/>
      </c>
      <c r="C191">
        <f>Data!H205</f>
        <v/>
      </c>
      <c r="D191">
        <f>Data!I205</f>
        <v/>
      </c>
      <c r="E191">
        <f>Data!M205</f>
        <v/>
      </c>
      <c r="F191">
        <f>Data!O205</f>
        <v/>
      </c>
      <c r="G191">
        <f>E191-F191</f>
        <v/>
      </c>
      <c r="H191">
        <f>Data!P205</f>
        <v/>
      </c>
      <c r="I191">
        <f>G191+H191</f>
        <v/>
      </c>
      <c r="J191">
        <f>F191+G191+H191</f>
        <v/>
      </c>
      <c r="K191">
        <f>Data!R205</f>
        <v/>
      </c>
      <c r="L191">
        <f>Data!T205</f>
        <v/>
      </c>
      <c r="M191">
        <f>AND(E191=0,F191=0,G191=0,H191=0,I191=0,J191=0,K191=0,L191=0)</f>
        <v/>
      </c>
      <c r="N191">
        <f>G191&lt;=$T$6</f>
        <v/>
      </c>
      <c r="O191">
        <f>G191&lt;=$T$12</f>
        <v/>
      </c>
      <c r="P191">
        <f>OR(AND(H191&gt;=$T$4,K191&lt;=$T$5,N191),M191)</f>
        <v/>
      </c>
      <c r="Q191">
        <f>OR(AND(I191&gt;=$T$10,K191&lt;=$T$11,O191),M191)</f>
        <v/>
      </c>
    </row>
    <row r="192">
      <c r="A192">
        <f>Data!E206</f>
        <v/>
      </c>
      <c r="B192">
        <f>Data!G206</f>
        <v/>
      </c>
      <c r="C192">
        <f>Data!H206</f>
        <v/>
      </c>
      <c r="D192">
        <f>Data!I206</f>
        <v/>
      </c>
      <c r="E192">
        <f>Data!M206</f>
        <v/>
      </c>
      <c r="F192">
        <f>Data!O206</f>
        <v/>
      </c>
      <c r="G192">
        <f>E192-F192</f>
        <v/>
      </c>
      <c r="H192">
        <f>Data!P206</f>
        <v/>
      </c>
      <c r="I192">
        <f>G192+H192</f>
        <v/>
      </c>
      <c r="J192">
        <f>F192+G192+H192</f>
        <v/>
      </c>
      <c r="K192">
        <f>Data!R206</f>
        <v/>
      </c>
      <c r="L192">
        <f>Data!T206</f>
        <v/>
      </c>
      <c r="M192">
        <f>AND(E192=0,F192=0,G192=0,H192=0,I192=0,J192=0,K192=0,L192=0)</f>
        <v/>
      </c>
      <c r="N192">
        <f>G192&lt;=$T$6</f>
        <v/>
      </c>
      <c r="O192">
        <f>G192&lt;=$T$12</f>
        <v/>
      </c>
      <c r="P192">
        <f>OR(AND(H192&gt;=$T$4,K192&lt;=$T$5,N192),M192)</f>
        <v/>
      </c>
      <c r="Q192">
        <f>OR(AND(I192&gt;=$T$10,K192&lt;=$T$11,O192),M192)</f>
        <v/>
      </c>
    </row>
    <row r="193">
      <c r="A193">
        <f>Data!E207</f>
        <v/>
      </c>
      <c r="B193">
        <f>Data!G207</f>
        <v/>
      </c>
      <c r="C193">
        <f>Data!H207</f>
        <v/>
      </c>
      <c r="D193">
        <f>Data!I207</f>
        <v/>
      </c>
      <c r="E193">
        <f>Data!M207</f>
        <v/>
      </c>
      <c r="F193">
        <f>Data!O207</f>
        <v/>
      </c>
      <c r="G193">
        <f>E193-F193</f>
        <v/>
      </c>
      <c r="H193">
        <f>Data!P207</f>
        <v/>
      </c>
      <c r="I193">
        <f>G193+H193</f>
        <v/>
      </c>
      <c r="J193">
        <f>F193+G193+H193</f>
        <v/>
      </c>
      <c r="K193">
        <f>Data!R207</f>
        <v/>
      </c>
      <c r="L193">
        <f>Data!T207</f>
        <v/>
      </c>
      <c r="M193">
        <f>AND(E193=0,F193=0,G193=0,H193=0,I193=0,J193=0,K193=0,L193=0)</f>
        <v/>
      </c>
      <c r="N193">
        <f>G193&lt;=$T$6</f>
        <v/>
      </c>
      <c r="O193">
        <f>G193&lt;=$T$12</f>
        <v/>
      </c>
      <c r="P193">
        <f>OR(AND(H193&gt;=$T$4,K193&lt;=$T$5,N193),M193)</f>
        <v/>
      </c>
      <c r="Q193">
        <f>OR(AND(I193&gt;=$T$10,K193&lt;=$T$11,O193),M193)</f>
        <v/>
      </c>
    </row>
    <row r="194">
      <c r="A194">
        <f>Data!E208</f>
        <v/>
      </c>
      <c r="B194">
        <f>Data!G208</f>
        <v/>
      </c>
      <c r="C194">
        <f>Data!H208</f>
        <v/>
      </c>
      <c r="D194">
        <f>Data!I208</f>
        <v/>
      </c>
      <c r="E194">
        <f>Data!M208</f>
        <v/>
      </c>
      <c r="F194">
        <f>Data!O208</f>
        <v/>
      </c>
      <c r="G194">
        <f>E194-F194</f>
        <v/>
      </c>
      <c r="H194">
        <f>Data!P208</f>
        <v/>
      </c>
      <c r="I194">
        <f>G194+H194</f>
        <v/>
      </c>
      <c r="J194">
        <f>F194+G194+H194</f>
        <v/>
      </c>
      <c r="K194">
        <f>Data!R208</f>
        <v/>
      </c>
      <c r="L194">
        <f>Data!T208</f>
        <v/>
      </c>
      <c r="M194">
        <f>AND(E194=0,F194=0,G194=0,H194=0,I194=0,J194=0,K194=0,L194=0)</f>
        <v/>
      </c>
      <c r="N194">
        <f>G194&lt;=$T$6</f>
        <v/>
      </c>
      <c r="O194">
        <f>G194&lt;=$T$12</f>
        <v/>
      </c>
      <c r="P194">
        <f>OR(AND(H194&gt;=$T$4,K194&lt;=$T$5,N194),M194)</f>
        <v/>
      </c>
      <c r="Q194">
        <f>OR(AND(I194&gt;=$T$10,K194&lt;=$T$11,O194),M194)</f>
        <v/>
      </c>
    </row>
    <row r="195">
      <c r="A195">
        <f>Data!E209</f>
        <v/>
      </c>
      <c r="B195">
        <f>Data!G209</f>
        <v/>
      </c>
      <c r="C195">
        <f>Data!H209</f>
        <v/>
      </c>
      <c r="D195">
        <f>Data!I209</f>
        <v/>
      </c>
      <c r="E195">
        <f>Data!M209</f>
        <v/>
      </c>
      <c r="F195">
        <f>Data!O209</f>
        <v/>
      </c>
      <c r="G195">
        <f>E195-F195</f>
        <v/>
      </c>
      <c r="H195">
        <f>Data!P209</f>
        <v/>
      </c>
      <c r="I195">
        <f>G195+H195</f>
        <v/>
      </c>
      <c r="J195">
        <f>F195+G195+H195</f>
        <v/>
      </c>
      <c r="K195">
        <f>Data!R209</f>
        <v/>
      </c>
      <c r="L195">
        <f>Data!T209</f>
        <v/>
      </c>
      <c r="M195">
        <f>AND(E195=0,F195=0,G195=0,H195=0,I195=0,J195=0,K195=0,L195=0)</f>
        <v/>
      </c>
      <c r="N195">
        <f>G195&lt;=$T$6</f>
        <v/>
      </c>
      <c r="O195">
        <f>G195&lt;=$T$12</f>
        <v/>
      </c>
      <c r="P195">
        <f>OR(AND(H195&gt;=$T$4,K195&lt;=$T$5,N195),M195)</f>
        <v/>
      </c>
      <c r="Q195">
        <f>OR(AND(I195&gt;=$T$10,K195&lt;=$T$11,O195),M195)</f>
        <v/>
      </c>
    </row>
    <row r="196">
      <c r="A196">
        <f>Data!E210</f>
        <v/>
      </c>
      <c r="B196">
        <f>Data!G210</f>
        <v/>
      </c>
      <c r="C196">
        <f>Data!H210</f>
        <v/>
      </c>
      <c r="D196">
        <f>Data!I210</f>
        <v/>
      </c>
      <c r="E196">
        <f>Data!M210</f>
        <v/>
      </c>
      <c r="F196">
        <f>Data!O210</f>
        <v/>
      </c>
      <c r="G196">
        <f>E196-F196</f>
        <v/>
      </c>
      <c r="H196">
        <f>Data!P210</f>
        <v/>
      </c>
      <c r="I196">
        <f>G196+H196</f>
        <v/>
      </c>
      <c r="J196">
        <f>F196+G196+H196</f>
        <v/>
      </c>
      <c r="K196">
        <f>Data!R210</f>
        <v/>
      </c>
      <c r="L196">
        <f>Data!T210</f>
        <v/>
      </c>
      <c r="M196">
        <f>AND(E196=0,F196=0,G196=0,H196=0,I196=0,J196=0,K196=0,L196=0)</f>
        <v/>
      </c>
      <c r="N196">
        <f>G196&lt;=$T$6</f>
        <v/>
      </c>
      <c r="O196">
        <f>G196&lt;=$T$12</f>
        <v/>
      </c>
      <c r="P196">
        <f>OR(AND(H196&gt;=$T$4,K196&lt;=$T$5,N196),M196)</f>
        <v/>
      </c>
      <c r="Q196">
        <f>OR(AND(I196&gt;=$T$10,K196&lt;=$T$11,O196),M196)</f>
        <v/>
      </c>
    </row>
    <row r="197">
      <c r="A197">
        <f>Data!E211</f>
        <v/>
      </c>
      <c r="B197">
        <f>Data!G211</f>
        <v/>
      </c>
      <c r="C197">
        <f>Data!H211</f>
        <v/>
      </c>
      <c r="D197">
        <f>Data!I211</f>
        <v/>
      </c>
      <c r="E197">
        <f>Data!M211</f>
        <v/>
      </c>
      <c r="F197">
        <f>Data!O211</f>
        <v/>
      </c>
      <c r="G197">
        <f>E197-F197</f>
        <v/>
      </c>
      <c r="H197">
        <f>Data!P211</f>
        <v/>
      </c>
      <c r="I197">
        <f>G197+H197</f>
        <v/>
      </c>
      <c r="J197">
        <f>F197+G197+H197</f>
        <v/>
      </c>
      <c r="K197">
        <f>Data!R211</f>
        <v/>
      </c>
      <c r="L197">
        <f>Data!T211</f>
        <v/>
      </c>
      <c r="M197">
        <f>AND(E197=0,F197=0,G197=0,H197=0,I197=0,J197=0,K197=0,L197=0)</f>
        <v/>
      </c>
      <c r="N197">
        <f>G197&lt;=$T$6</f>
        <v/>
      </c>
      <c r="O197">
        <f>G197&lt;=$T$12</f>
        <v/>
      </c>
      <c r="P197">
        <f>OR(AND(H197&gt;=$T$4,K197&lt;=$T$5,N197),M197)</f>
        <v/>
      </c>
      <c r="Q197">
        <f>OR(AND(I197&gt;=$T$10,K197&lt;=$T$11,O197),M197)</f>
        <v/>
      </c>
    </row>
    <row r="198">
      <c r="A198">
        <f>Data!E212</f>
        <v/>
      </c>
      <c r="B198">
        <f>Data!G212</f>
        <v/>
      </c>
      <c r="C198">
        <f>Data!H212</f>
        <v/>
      </c>
      <c r="D198">
        <f>Data!I212</f>
        <v/>
      </c>
      <c r="E198">
        <f>Data!M212</f>
        <v/>
      </c>
      <c r="F198">
        <f>Data!O212</f>
        <v/>
      </c>
      <c r="G198">
        <f>E198-F198</f>
        <v/>
      </c>
      <c r="H198">
        <f>Data!P212</f>
        <v/>
      </c>
      <c r="I198">
        <f>G198+H198</f>
        <v/>
      </c>
      <c r="J198">
        <f>F198+G198+H198</f>
        <v/>
      </c>
      <c r="K198">
        <f>Data!R212</f>
        <v/>
      </c>
      <c r="L198">
        <f>Data!T212</f>
        <v/>
      </c>
      <c r="M198">
        <f>AND(E198=0,F198=0,G198=0,H198=0,I198=0,J198=0,K198=0,L198=0)</f>
        <v/>
      </c>
      <c r="N198">
        <f>G198&lt;=$T$6</f>
        <v/>
      </c>
      <c r="O198">
        <f>G198&lt;=$T$12</f>
        <v/>
      </c>
      <c r="P198">
        <f>OR(AND(H198&gt;=$T$4,K198&lt;=$T$5,N198),M198)</f>
        <v/>
      </c>
      <c r="Q198">
        <f>OR(AND(I198&gt;=$T$10,K198&lt;=$T$11,O198),M198)</f>
        <v/>
      </c>
    </row>
    <row r="199">
      <c r="A199">
        <f>Data!E213</f>
        <v/>
      </c>
      <c r="B199">
        <f>Data!G213</f>
        <v/>
      </c>
      <c r="C199">
        <f>Data!H213</f>
        <v/>
      </c>
      <c r="D199">
        <f>Data!I213</f>
        <v/>
      </c>
      <c r="E199">
        <f>Data!M213</f>
        <v/>
      </c>
      <c r="F199">
        <f>Data!O213</f>
        <v/>
      </c>
      <c r="G199">
        <f>E199-F199</f>
        <v/>
      </c>
      <c r="H199">
        <f>Data!P213</f>
        <v/>
      </c>
      <c r="I199">
        <f>G199+H199</f>
        <v/>
      </c>
      <c r="J199">
        <f>F199+G199+H199</f>
        <v/>
      </c>
      <c r="K199">
        <f>Data!R213</f>
        <v/>
      </c>
      <c r="L199">
        <f>Data!T213</f>
        <v/>
      </c>
      <c r="M199">
        <f>AND(E199=0,F199=0,G199=0,H199=0,I199=0,J199=0,K199=0,L199=0)</f>
        <v/>
      </c>
      <c r="N199">
        <f>G199&lt;=$T$6</f>
        <v/>
      </c>
      <c r="O199">
        <f>G199&lt;=$T$12</f>
        <v/>
      </c>
      <c r="P199">
        <f>OR(AND(H199&gt;=$T$4,K199&lt;=$T$5,N199),M199)</f>
        <v/>
      </c>
      <c r="Q199">
        <f>OR(AND(I199&gt;=$T$10,K199&lt;=$T$11,O199),M199)</f>
        <v/>
      </c>
    </row>
    <row r="200">
      <c r="A200">
        <f>Data!E214</f>
        <v/>
      </c>
      <c r="B200">
        <f>Data!G214</f>
        <v/>
      </c>
      <c r="C200">
        <f>Data!H214</f>
        <v/>
      </c>
      <c r="D200">
        <f>Data!I214</f>
        <v/>
      </c>
      <c r="E200">
        <f>Data!M214</f>
        <v/>
      </c>
      <c r="F200">
        <f>Data!O214</f>
        <v/>
      </c>
      <c r="G200">
        <f>E200-F200</f>
        <v/>
      </c>
      <c r="H200">
        <f>Data!P214</f>
        <v/>
      </c>
      <c r="I200">
        <f>G200+H200</f>
        <v/>
      </c>
      <c r="J200">
        <f>F200+G200+H200</f>
        <v/>
      </c>
      <c r="K200">
        <f>Data!R214</f>
        <v/>
      </c>
      <c r="L200">
        <f>Data!T214</f>
        <v/>
      </c>
      <c r="M200">
        <f>AND(E200=0,F200=0,G200=0,H200=0,I200=0,J200=0,K200=0,L200=0)</f>
        <v/>
      </c>
      <c r="N200">
        <f>G200&lt;=$T$6</f>
        <v/>
      </c>
      <c r="O200">
        <f>G200&lt;=$T$12</f>
        <v/>
      </c>
      <c r="P200">
        <f>OR(AND(H200&gt;=$T$4,K200&lt;=$T$5,N200),M200)</f>
        <v/>
      </c>
      <c r="Q200">
        <f>OR(AND(I200&gt;=$T$10,K200&lt;=$T$11,O200),M200)</f>
        <v/>
      </c>
    </row>
    <row r="201">
      <c r="A201">
        <f>Data!E215</f>
        <v/>
      </c>
      <c r="B201">
        <f>Data!G215</f>
        <v/>
      </c>
      <c r="C201">
        <f>Data!H215</f>
        <v/>
      </c>
      <c r="D201">
        <f>Data!I215</f>
        <v/>
      </c>
      <c r="E201">
        <f>Data!M215</f>
        <v/>
      </c>
      <c r="F201">
        <f>Data!O215</f>
        <v/>
      </c>
      <c r="G201">
        <f>E201-F201</f>
        <v/>
      </c>
      <c r="H201">
        <f>Data!P215</f>
        <v/>
      </c>
      <c r="I201">
        <f>G201+H201</f>
        <v/>
      </c>
      <c r="J201">
        <f>F201+G201+H201</f>
        <v/>
      </c>
      <c r="K201">
        <f>Data!R215</f>
        <v/>
      </c>
      <c r="L201">
        <f>Data!T215</f>
        <v/>
      </c>
      <c r="M201">
        <f>AND(E201=0,F201=0,G201=0,H201=0,I201=0,J201=0,K201=0,L201=0)</f>
        <v/>
      </c>
      <c r="N201">
        <f>G201&lt;=$T$6</f>
        <v/>
      </c>
      <c r="O201">
        <f>G201&lt;=$T$12</f>
        <v/>
      </c>
      <c r="P201">
        <f>OR(AND(H201&gt;=$T$4,K201&lt;=$T$5,N201),M201)</f>
        <v/>
      </c>
      <c r="Q201">
        <f>OR(AND(I201&gt;=$T$10,K201&lt;=$T$11,O201),M201)</f>
        <v/>
      </c>
    </row>
    <row r="202">
      <c r="A202">
        <f>Data!E216</f>
        <v/>
      </c>
      <c r="B202">
        <f>Data!G216</f>
        <v/>
      </c>
      <c r="C202">
        <f>Data!H216</f>
        <v/>
      </c>
      <c r="D202">
        <f>Data!I216</f>
        <v/>
      </c>
      <c r="E202">
        <f>Data!M216</f>
        <v/>
      </c>
      <c r="F202">
        <f>Data!O216</f>
        <v/>
      </c>
      <c r="G202">
        <f>E202-F202</f>
        <v/>
      </c>
      <c r="H202">
        <f>Data!P216</f>
        <v/>
      </c>
      <c r="I202">
        <f>G202+H202</f>
        <v/>
      </c>
      <c r="J202">
        <f>F202+G202+H202</f>
        <v/>
      </c>
      <c r="K202">
        <f>Data!R216</f>
        <v/>
      </c>
      <c r="L202">
        <f>Data!T216</f>
        <v/>
      </c>
      <c r="M202">
        <f>AND(E202=0,F202=0,G202=0,H202=0,I202=0,J202=0,K202=0,L202=0)</f>
        <v/>
      </c>
      <c r="N202">
        <f>G202&lt;=$T$6</f>
        <v/>
      </c>
      <c r="O202">
        <f>G202&lt;=$T$12</f>
        <v/>
      </c>
      <c r="P202">
        <f>OR(AND(H202&gt;=$T$4,K202&lt;=$T$5,N202),M202)</f>
        <v/>
      </c>
      <c r="Q202">
        <f>OR(AND(I202&gt;=$T$10,K202&lt;=$T$11,O202),M202)</f>
        <v/>
      </c>
    </row>
    <row r="203">
      <c r="A203">
        <f>Data!E217</f>
        <v/>
      </c>
      <c r="B203">
        <f>Data!G217</f>
        <v/>
      </c>
      <c r="C203">
        <f>Data!H217</f>
        <v/>
      </c>
      <c r="D203">
        <f>Data!I217</f>
        <v/>
      </c>
      <c r="E203">
        <f>Data!M217</f>
        <v/>
      </c>
      <c r="F203">
        <f>Data!O217</f>
        <v/>
      </c>
      <c r="G203">
        <f>E203-F203</f>
        <v/>
      </c>
      <c r="H203">
        <f>Data!P217</f>
        <v/>
      </c>
      <c r="I203">
        <f>G203+H203</f>
        <v/>
      </c>
      <c r="J203">
        <f>F203+G203+H203</f>
        <v/>
      </c>
      <c r="K203">
        <f>Data!R217</f>
        <v/>
      </c>
      <c r="L203">
        <f>Data!T217</f>
        <v/>
      </c>
      <c r="M203">
        <f>AND(E203=0,F203=0,G203=0,H203=0,I203=0,J203=0,K203=0,L203=0)</f>
        <v/>
      </c>
      <c r="N203">
        <f>G203&lt;=$T$6</f>
        <v/>
      </c>
      <c r="O203">
        <f>G203&lt;=$T$12</f>
        <v/>
      </c>
      <c r="P203">
        <f>OR(AND(H203&gt;=$T$4,K203&lt;=$T$5,N203),M203)</f>
        <v/>
      </c>
      <c r="Q203">
        <f>OR(AND(I203&gt;=$T$10,K203&lt;=$T$11,O203),M203)</f>
        <v/>
      </c>
    </row>
    <row r="204">
      <c r="A204">
        <f>Data!E218</f>
        <v/>
      </c>
      <c r="B204">
        <f>Data!G218</f>
        <v/>
      </c>
      <c r="C204">
        <f>Data!H218</f>
        <v/>
      </c>
      <c r="D204">
        <f>Data!I218</f>
        <v/>
      </c>
      <c r="E204">
        <f>Data!M218</f>
        <v/>
      </c>
      <c r="F204">
        <f>Data!O218</f>
        <v/>
      </c>
      <c r="G204">
        <f>E204-F204</f>
        <v/>
      </c>
      <c r="H204">
        <f>Data!P218</f>
        <v/>
      </c>
      <c r="I204">
        <f>G204+H204</f>
        <v/>
      </c>
      <c r="J204">
        <f>F204+G204+H204</f>
        <v/>
      </c>
      <c r="K204">
        <f>Data!R218</f>
        <v/>
      </c>
      <c r="L204">
        <f>Data!T218</f>
        <v/>
      </c>
      <c r="M204">
        <f>AND(E204=0,F204=0,G204=0,H204=0,I204=0,J204=0,K204=0,L204=0)</f>
        <v/>
      </c>
      <c r="N204">
        <f>G204&lt;=$T$6</f>
        <v/>
      </c>
      <c r="O204">
        <f>G204&lt;=$T$12</f>
        <v/>
      </c>
      <c r="P204">
        <f>OR(AND(H204&gt;=$T$4,K204&lt;=$T$5,N204),M204)</f>
        <v/>
      </c>
      <c r="Q204">
        <f>OR(AND(I204&gt;=$T$10,K204&lt;=$T$11,O204),M204)</f>
        <v/>
      </c>
    </row>
    <row r="205">
      <c r="A205">
        <f>Data!E219</f>
        <v/>
      </c>
      <c r="B205">
        <f>Data!G219</f>
        <v/>
      </c>
      <c r="C205">
        <f>Data!H219</f>
        <v/>
      </c>
      <c r="D205">
        <f>Data!I219</f>
        <v/>
      </c>
      <c r="E205">
        <f>Data!M219</f>
        <v/>
      </c>
      <c r="F205">
        <f>Data!O219</f>
        <v/>
      </c>
      <c r="G205">
        <f>E205-F205</f>
        <v/>
      </c>
      <c r="H205">
        <f>Data!P219</f>
        <v/>
      </c>
      <c r="I205">
        <f>G205+H205</f>
        <v/>
      </c>
      <c r="J205">
        <f>F205+G205+H205</f>
        <v/>
      </c>
      <c r="K205">
        <f>Data!R219</f>
        <v/>
      </c>
      <c r="L205">
        <f>Data!T219</f>
        <v/>
      </c>
      <c r="M205">
        <f>AND(E205=0,F205=0,G205=0,H205=0,I205=0,J205=0,K205=0,L205=0)</f>
        <v/>
      </c>
      <c r="N205">
        <f>G205&lt;=$T$6</f>
        <v/>
      </c>
      <c r="O205">
        <f>G205&lt;=$T$12</f>
        <v/>
      </c>
      <c r="P205">
        <f>OR(AND(H205&gt;=$T$4,K205&lt;=$T$5,N205),M205)</f>
        <v/>
      </c>
      <c r="Q205">
        <f>OR(AND(I205&gt;=$T$10,K205&lt;=$T$11,O205),M205)</f>
        <v/>
      </c>
    </row>
    <row r="206">
      <c r="A206">
        <f>Data!E220</f>
        <v/>
      </c>
      <c r="B206">
        <f>Data!G220</f>
        <v/>
      </c>
      <c r="C206">
        <f>Data!H220</f>
        <v/>
      </c>
      <c r="D206">
        <f>Data!I220</f>
        <v/>
      </c>
      <c r="E206">
        <f>Data!M220</f>
        <v/>
      </c>
      <c r="F206">
        <f>Data!O220</f>
        <v/>
      </c>
      <c r="G206">
        <f>E206-F206</f>
        <v/>
      </c>
      <c r="H206">
        <f>Data!P220</f>
        <v/>
      </c>
      <c r="I206">
        <f>G206+H206</f>
        <v/>
      </c>
      <c r="J206">
        <f>F206+G206+H206</f>
        <v/>
      </c>
      <c r="K206">
        <f>Data!R220</f>
        <v/>
      </c>
      <c r="L206">
        <f>Data!T220</f>
        <v/>
      </c>
      <c r="M206">
        <f>AND(E206=0,F206=0,G206=0,H206=0,I206=0,J206=0,K206=0,L206=0)</f>
        <v/>
      </c>
      <c r="N206">
        <f>G206&lt;=$T$6</f>
        <v/>
      </c>
      <c r="O206">
        <f>G206&lt;=$T$12</f>
        <v/>
      </c>
      <c r="P206">
        <f>OR(AND(H206&gt;=$T$4,K206&lt;=$T$5,N206),M206)</f>
        <v/>
      </c>
      <c r="Q206">
        <f>OR(AND(I206&gt;=$T$10,K206&lt;=$T$11,O206),M206)</f>
        <v/>
      </c>
    </row>
    <row r="207">
      <c r="A207">
        <f>Data!E221</f>
        <v/>
      </c>
      <c r="B207">
        <f>Data!G221</f>
        <v/>
      </c>
      <c r="C207">
        <f>Data!H221</f>
        <v/>
      </c>
      <c r="D207">
        <f>Data!I221</f>
        <v/>
      </c>
      <c r="E207">
        <f>Data!M221</f>
        <v/>
      </c>
      <c r="F207">
        <f>Data!O221</f>
        <v/>
      </c>
      <c r="G207">
        <f>E207-F207</f>
        <v/>
      </c>
      <c r="H207">
        <f>Data!P221</f>
        <v/>
      </c>
      <c r="I207">
        <f>G207+H207</f>
        <v/>
      </c>
      <c r="J207">
        <f>F207+G207+H207</f>
        <v/>
      </c>
      <c r="K207">
        <f>Data!R221</f>
        <v/>
      </c>
      <c r="L207">
        <f>Data!T221</f>
        <v/>
      </c>
      <c r="M207">
        <f>AND(E207=0,F207=0,G207=0,H207=0,I207=0,J207=0,K207=0,L207=0)</f>
        <v/>
      </c>
      <c r="N207">
        <f>G207&lt;=$T$6</f>
        <v/>
      </c>
      <c r="O207">
        <f>G207&lt;=$T$12</f>
        <v/>
      </c>
      <c r="P207">
        <f>OR(AND(H207&gt;=$T$4,K207&lt;=$T$5,N207),M207)</f>
        <v/>
      </c>
      <c r="Q207">
        <f>OR(AND(I207&gt;=$T$10,K207&lt;=$T$11,O207),M207)</f>
        <v/>
      </c>
    </row>
    <row r="208">
      <c r="A208">
        <f>Data!E222</f>
        <v/>
      </c>
      <c r="B208">
        <f>Data!G222</f>
        <v/>
      </c>
      <c r="C208">
        <f>Data!H222</f>
        <v/>
      </c>
      <c r="D208">
        <f>Data!I222</f>
        <v/>
      </c>
      <c r="E208">
        <f>Data!M222</f>
        <v/>
      </c>
      <c r="F208">
        <f>Data!O222</f>
        <v/>
      </c>
      <c r="G208">
        <f>E208-F208</f>
        <v/>
      </c>
      <c r="H208">
        <f>Data!P222</f>
        <v/>
      </c>
      <c r="I208">
        <f>G208+H208</f>
        <v/>
      </c>
      <c r="J208">
        <f>F208+G208+H208</f>
        <v/>
      </c>
      <c r="K208">
        <f>Data!R222</f>
        <v/>
      </c>
      <c r="L208">
        <f>Data!T222</f>
        <v/>
      </c>
      <c r="M208">
        <f>AND(E208=0,F208=0,G208=0,H208=0,I208=0,J208=0,K208=0,L208=0)</f>
        <v/>
      </c>
      <c r="N208">
        <f>G208&lt;=$T$6</f>
        <v/>
      </c>
      <c r="O208">
        <f>G208&lt;=$T$12</f>
        <v/>
      </c>
      <c r="P208">
        <f>OR(AND(H208&gt;=$T$4,K208&lt;=$T$5,N208),M208)</f>
        <v/>
      </c>
      <c r="Q208">
        <f>OR(AND(I208&gt;=$T$10,K208&lt;=$T$11,O208),M208)</f>
        <v/>
      </c>
    </row>
    <row r="209">
      <c r="A209">
        <f>Data!E223</f>
        <v/>
      </c>
      <c r="B209">
        <f>Data!G223</f>
        <v/>
      </c>
      <c r="C209">
        <f>Data!H223</f>
        <v/>
      </c>
      <c r="D209">
        <f>Data!I223</f>
        <v/>
      </c>
      <c r="E209">
        <f>Data!M223</f>
        <v/>
      </c>
      <c r="F209">
        <f>Data!O223</f>
        <v/>
      </c>
      <c r="G209">
        <f>E209-F209</f>
        <v/>
      </c>
      <c r="H209">
        <f>Data!P223</f>
        <v/>
      </c>
      <c r="I209">
        <f>G209+H209</f>
        <v/>
      </c>
      <c r="J209">
        <f>F209+G209+H209</f>
        <v/>
      </c>
      <c r="K209">
        <f>Data!R223</f>
        <v/>
      </c>
      <c r="L209">
        <f>Data!T223</f>
        <v/>
      </c>
      <c r="M209">
        <f>AND(E209=0,F209=0,G209=0,H209=0,I209=0,J209=0,K209=0,L209=0)</f>
        <v/>
      </c>
      <c r="N209">
        <f>G209&lt;=$T$6</f>
        <v/>
      </c>
      <c r="O209">
        <f>G209&lt;=$T$12</f>
        <v/>
      </c>
      <c r="P209">
        <f>OR(AND(H209&gt;=$T$4,K209&lt;=$T$5,N209),M209)</f>
        <v/>
      </c>
      <c r="Q209">
        <f>OR(AND(I209&gt;=$T$10,K209&lt;=$T$11,O209),M209)</f>
        <v/>
      </c>
    </row>
    <row r="210">
      <c r="A210">
        <f>Data!E224</f>
        <v/>
      </c>
      <c r="B210">
        <f>Data!G224</f>
        <v/>
      </c>
      <c r="C210">
        <f>Data!H224</f>
        <v/>
      </c>
      <c r="D210">
        <f>Data!I224</f>
        <v/>
      </c>
      <c r="E210">
        <f>Data!M224</f>
        <v/>
      </c>
      <c r="F210">
        <f>Data!O224</f>
        <v/>
      </c>
      <c r="G210">
        <f>E210-F210</f>
        <v/>
      </c>
      <c r="H210">
        <f>Data!P224</f>
        <v/>
      </c>
      <c r="I210">
        <f>G210+H210</f>
        <v/>
      </c>
      <c r="J210">
        <f>F210+G210+H210</f>
        <v/>
      </c>
      <c r="K210">
        <f>Data!R224</f>
        <v/>
      </c>
      <c r="L210">
        <f>Data!T224</f>
        <v/>
      </c>
      <c r="M210">
        <f>AND(E210=0,F210=0,G210=0,H210=0,I210=0,J210=0,K210=0,L210=0)</f>
        <v/>
      </c>
      <c r="N210">
        <f>G210&lt;=$T$6</f>
        <v/>
      </c>
      <c r="O210">
        <f>G210&lt;=$T$12</f>
        <v/>
      </c>
      <c r="P210">
        <f>OR(AND(H210&gt;=$T$4,K210&lt;=$T$5,N210),M210)</f>
        <v/>
      </c>
      <c r="Q210">
        <f>OR(AND(I210&gt;=$T$10,K210&lt;=$T$11,O210),M210)</f>
        <v/>
      </c>
    </row>
    <row r="211">
      <c r="A211">
        <f>Data!E225</f>
        <v/>
      </c>
      <c r="B211">
        <f>Data!G225</f>
        <v/>
      </c>
      <c r="C211">
        <f>Data!H225</f>
        <v/>
      </c>
      <c r="D211">
        <f>Data!I225</f>
        <v/>
      </c>
      <c r="E211">
        <f>Data!M225</f>
        <v/>
      </c>
      <c r="F211">
        <f>Data!O225</f>
        <v/>
      </c>
      <c r="G211">
        <f>E211-F211</f>
        <v/>
      </c>
      <c r="H211">
        <f>Data!P225</f>
        <v/>
      </c>
      <c r="I211">
        <f>G211+H211</f>
        <v/>
      </c>
      <c r="J211">
        <f>F211+G211+H211</f>
        <v/>
      </c>
      <c r="K211">
        <f>Data!R225</f>
        <v/>
      </c>
      <c r="L211">
        <f>Data!T225</f>
        <v/>
      </c>
      <c r="M211">
        <f>AND(E211=0,F211=0,G211=0,H211=0,I211=0,J211=0,K211=0,L211=0)</f>
        <v/>
      </c>
      <c r="N211">
        <f>G211&lt;=$T$6</f>
        <v/>
      </c>
      <c r="O211">
        <f>G211&lt;=$T$12</f>
        <v/>
      </c>
      <c r="P211">
        <f>OR(AND(H211&gt;=$T$4,K211&lt;=$T$5,N211),M211)</f>
        <v/>
      </c>
      <c r="Q211">
        <f>OR(AND(I211&gt;=$T$10,K211&lt;=$T$11,O211),M211)</f>
        <v/>
      </c>
    </row>
    <row r="212">
      <c r="A212">
        <f>Data!E226</f>
        <v/>
      </c>
      <c r="B212">
        <f>Data!G226</f>
        <v/>
      </c>
      <c r="C212">
        <f>Data!H226</f>
        <v/>
      </c>
      <c r="D212">
        <f>Data!I226</f>
        <v/>
      </c>
      <c r="E212">
        <f>Data!M226</f>
        <v/>
      </c>
      <c r="F212">
        <f>Data!O226</f>
        <v/>
      </c>
      <c r="G212">
        <f>E212-F212</f>
        <v/>
      </c>
      <c r="H212">
        <f>Data!P226</f>
        <v/>
      </c>
      <c r="I212">
        <f>G212+H212</f>
        <v/>
      </c>
      <c r="J212">
        <f>F212+G212+H212</f>
        <v/>
      </c>
      <c r="K212">
        <f>Data!R226</f>
        <v/>
      </c>
      <c r="L212">
        <f>Data!T226</f>
        <v/>
      </c>
      <c r="M212">
        <f>AND(E212=0,F212=0,G212=0,H212=0,I212=0,J212=0,K212=0,L212=0)</f>
        <v/>
      </c>
      <c r="N212">
        <f>G212&lt;=$T$6</f>
        <v/>
      </c>
      <c r="O212">
        <f>G212&lt;=$T$12</f>
        <v/>
      </c>
      <c r="P212">
        <f>OR(AND(H212&gt;=$T$4,K212&lt;=$T$5,N212),M212)</f>
        <v/>
      </c>
      <c r="Q212">
        <f>OR(AND(I212&gt;=$T$10,K212&lt;=$T$11,O212),M212)</f>
        <v/>
      </c>
    </row>
    <row r="213">
      <c r="A213">
        <f>Data!E227</f>
        <v/>
      </c>
      <c r="B213">
        <f>Data!G227</f>
        <v/>
      </c>
      <c r="C213">
        <f>Data!H227</f>
        <v/>
      </c>
      <c r="D213">
        <f>Data!I227</f>
        <v/>
      </c>
      <c r="E213">
        <f>Data!M227</f>
        <v/>
      </c>
      <c r="F213">
        <f>Data!O227</f>
        <v/>
      </c>
      <c r="G213">
        <f>E213-F213</f>
        <v/>
      </c>
      <c r="H213">
        <f>Data!P227</f>
        <v/>
      </c>
      <c r="I213">
        <f>G213+H213</f>
        <v/>
      </c>
      <c r="J213">
        <f>F213+G213+H213</f>
        <v/>
      </c>
      <c r="K213">
        <f>Data!R227</f>
        <v/>
      </c>
      <c r="L213">
        <f>Data!T227</f>
        <v/>
      </c>
      <c r="M213">
        <f>AND(E213=0,F213=0,G213=0,H213=0,I213=0,J213=0,K213=0,L213=0)</f>
        <v/>
      </c>
      <c r="N213">
        <f>G213&lt;=$T$6</f>
        <v/>
      </c>
      <c r="O213">
        <f>G213&lt;=$T$12</f>
        <v/>
      </c>
      <c r="P213">
        <f>OR(AND(H213&gt;=$T$4,K213&lt;=$T$5,N213),M213)</f>
        <v/>
      </c>
      <c r="Q213">
        <f>OR(AND(I213&gt;=$T$10,K213&lt;=$T$11,O213),M213)</f>
        <v/>
      </c>
    </row>
    <row r="214">
      <c r="A214">
        <f>Data!E228</f>
        <v/>
      </c>
      <c r="B214">
        <f>Data!G228</f>
        <v/>
      </c>
      <c r="C214">
        <f>Data!H228</f>
        <v/>
      </c>
      <c r="D214">
        <f>Data!I228</f>
        <v/>
      </c>
      <c r="E214">
        <f>Data!M228</f>
        <v/>
      </c>
      <c r="F214">
        <f>Data!O228</f>
        <v/>
      </c>
      <c r="G214">
        <f>E214-F214</f>
        <v/>
      </c>
      <c r="H214">
        <f>Data!P228</f>
        <v/>
      </c>
      <c r="I214">
        <f>G214+H214</f>
        <v/>
      </c>
      <c r="J214">
        <f>F214+G214+H214</f>
        <v/>
      </c>
      <c r="K214">
        <f>Data!R228</f>
        <v/>
      </c>
      <c r="L214">
        <f>Data!T228</f>
        <v/>
      </c>
      <c r="M214">
        <f>AND(E214=0,F214=0,G214=0,H214=0,I214=0,J214=0,K214=0,L214=0)</f>
        <v/>
      </c>
      <c r="N214">
        <f>G214&lt;=$T$6</f>
        <v/>
      </c>
      <c r="O214">
        <f>G214&lt;=$T$12</f>
        <v/>
      </c>
      <c r="P214">
        <f>OR(AND(H214&gt;=$T$4,K214&lt;=$T$5,N214),M214)</f>
        <v/>
      </c>
      <c r="Q214">
        <f>OR(AND(I214&gt;=$T$10,K214&lt;=$T$11,O214),M214)</f>
        <v/>
      </c>
    </row>
    <row r="215">
      <c r="A215">
        <f>Data!E229</f>
        <v/>
      </c>
      <c r="B215">
        <f>Data!G229</f>
        <v/>
      </c>
      <c r="C215">
        <f>Data!H229</f>
        <v/>
      </c>
      <c r="D215">
        <f>Data!I229</f>
        <v/>
      </c>
      <c r="E215">
        <f>Data!M229</f>
        <v/>
      </c>
      <c r="F215">
        <f>Data!O229</f>
        <v/>
      </c>
      <c r="G215">
        <f>E215-F215</f>
        <v/>
      </c>
      <c r="H215">
        <f>Data!P229</f>
        <v/>
      </c>
      <c r="I215">
        <f>G215+H215</f>
        <v/>
      </c>
      <c r="J215">
        <f>F215+G215+H215</f>
        <v/>
      </c>
      <c r="K215">
        <f>Data!R229</f>
        <v/>
      </c>
      <c r="L215">
        <f>Data!T229</f>
        <v/>
      </c>
      <c r="M215">
        <f>AND(E215=0,F215=0,G215=0,H215=0,I215=0,J215=0,K215=0,L215=0)</f>
        <v/>
      </c>
      <c r="N215">
        <f>G215&lt;=$T$6</f>
        <v/>
      </c>
      <c r="O215">
        <f>G215&lt;=$T$12</f>
        <v/>
      </c>
      <c r="P215">
        <f>OR(AND(H215&gt;=$T$4,K215&lt;=$T$5,N215),M215)</f>
        <v/>
      </c>
      <c r="Q215">
        <f>OR(AND(I215&gt;=$T$10,K215&lt;=$T$11,O215),M215)</f>
        <v/>
      </c>
    </row>
    <row r="216">
      <c r="A216">
        <f>Data!E230</f>
        <v/>
      </c>
      <c r="B216">
        <f>Data!G230</f>
        <v/>
      </c>
      <c r="C216">
        <f>Data!H230</f>
        <v/>
      </c>
      <c r="D216">
        <f>Data!I230</f>
        <v/>
      </c>
      <c r="E216">
        <f>Data!M230</f>
        <v/>
      </c>
      <c r="F216">
        <f>Data!O230</f>
        <v/>
      </c>
      <c r="G216">
        <f>E216-F216</f>
        <v/>
      </c>
      <c r="H216">
        <f>Data!P230</f>
        <v/>
      </c>
      <c r="I216">
        <f>G216+H216</f>
        <v/>
      </c>
      <c r="J216">
        <f>F216+G216+H216</f>
        <v/>
      </c>
      <c r="K216">
        <f>Data!R230</f>
        <v/>
      </c>
      <c r="L216">
        <f>Data!T230</f>
        <v/>
      </c>
      <c r="M216">
        <f>AND(E216=0,F216=0,G216=0,H216=0,I216=0,J216=0,K216=0,L216=0)</f>
        <v/>
      </c>
      <c r="N216">
        <f>G216&lt;=$T$6</f>
        <v/>
      </c>
      <c r="O216">
        <f>G216&lt;=$T$12</f>
        <v/>
      </c>
      <c r="P216">
        <f>OR(AND(H216&gt;=$T$4,K216&lt;=$T$5,N216),M216)</f>
        <v/>
      </c>
      <c r="Q216">
        <f>OR(AND(I216&gt;=$T$10,K216&lt;=$T$11,O216),M216)</f>
        <v/>
      </c>
    </row>
    <row r="217">
      <c r="A217">
        <f>Data!E231</f>
        <v/>
      </c>
      <c r="B217">
        <f>Data!G231</f>
        <v/>
      </c>
      <c r="C217">
        <f>Data!H231</f>
        <v/>
      </c>
      <c r="D217">
        <f>Data!I231</f>
        <v/>
      </c>
      <c r="E217">
        <f>Data!M231</f>
        <v/>
      </c>
      <c r="F217">
        <f>Data!O231</f>
        <v/>
      </c>
      <c r="G217">
        <f>E217-F217</f>
        <v/>
      </c>
      <c r="H217">
        <f>Data!P231</f>
        <v/>
      </c>
      <c r="I217">
        <f>G217+H217</f>
        <v/>
      </c>
      <c r="J217">
        <f>F217+G217+H217</f>
        <v/>
      </c>
      <c r="K217">
        <f>Data!R231</f>
        <v/>
      </c>
      <c r="L217">
        <f>Data!T231</f>
        <v/>
      </c>
      <c r="M217">
        <f>AND(E217=0,F217=0,G217=0,H217=0,I217=0,J217=0,K217=0,L217=0)</f>
        <v/>
      </c>
      <c r="N217">
        <f>G217&lt;=$T$6</f>
        <v/>
      </c>
      <c r="O217">
        <f>G217&lt;=$T$12</f>
        <v/>
      </c>
      <c r="P217">
        <f>OR(AND(H217&gt;=$T$4,K217&lt;=$T$5,N217),M217)</f>
        <v/>
      </c>
      <c r="Q217">
        <f>OR(AND(I217&gt;=$T$10,K217&lt;=$T$11,O217),M217)</f>
        <v/>
      </c>
    </row>
    <row r="218">
      <c r="A218">
        <f>Data!E232</f>
        <v/>
      </c>
      <c r="B218">
        <f>Data!G232</f>
        <v/>
      </c>
      <c r="C218">
        <f>Data!H232</f>
        <v/>
      </c>
      <c r="D218">
        <f>Data!I232</f>
        <v/>
      </c>
      <c r="E218">
        <f>Data!M232</f>
        <v/>
      </c>
      <c r="F218">
        <f>Data!O232</f>
        <v/>
      </c>
      <c r="G218">
        <f>E218-F218</f>
        <v/>
      </c>
      <c r="H218">
        <f>Data!P232</f>
        <v/>
      </c>
      <c r="I218">
        <f>G218+H218</f>
        <v/>
      </c>
      <c r="J218">
        <f>F218+G218+H218</f>
        <v/>
      </c>
      <c r="K218">
        <f>Data!R232</f>
        <v/>
      </c>
      <c r="L218">
        <f>Data!T232</f>
        <v/>
      </c>
      <c r="M218">
        <f>AND(E218=0,F218=0,G218=0,H218=0,I218=0,J218=0,K218=0,L218=0)</f>
        <v/>
      </c>
      <c r="N218">
        <f>G218&lt;=$T$6</f>
        <v/>
      </c>
      <c r="O218">
        <f>G218&lt;=$T$12</f>
        <v/>
      </c>
      <c r="P218">
        <f>OR(AND(H218&gt;=$T$4,K218&lt;=$T$5,N218),M218)</f>
        <v/>
      </c>
      <c r="Q218">
        <f>OR(AND(I218&gt;=$T$10,K218&lt;=$T$11,O218),M218)</f>
        <v/>
      </c>
    </row>
    <row r="219">
      <c r="A219">
        <f>Data!E233</f>
        <v/>
      </c>
      <c r="B219">
        <f>Data!G233</f>
        <v/>
      </c>
      <c r="C219">
        <f>Data!H233</f>
        <v/>
      </c>
      <c r="D219">
        <f>Data!I233</f>
        <v/>
      </c>
      <c r="E219">
        <f>Data!M233</f>
        <v/>
      </c>
      <c r="F219">
        <f>Data!O233</f>
        <v/>
      </c>
      <c r="G219">
        <f>E219-F219</f>
        <v/>
      </c>
      <c r="H219">
        <f>Data!P233</f>
        <v/>
      </c>
      <c r="I219">
        <f>G219+H219</f>
        <v/>
      </c>
      <c r="J219">
        <f>F219+G219+H219</f>
        <v/>
      </c>
      <c r="K219">
        <f>Data!R233</f>
        <v/>
      </c>
      <c r="L219">
        <f>Data!T233</f>
        <v/>
      </c>
      <c r="M219">
        <f>AND(E219=0,F219=0,G219=0,H219=0,I219=0,J219=0,K219=0,L219=0)</f>
        <v/>
      </c>
      <c r="N219">
        <f>G219&lt;=$T$6</f>
        <v/>
      </c>
      <c r="O219">
        <f>G219&lt;=$T$12</f>
        <v/>
      </c>
      <c r="P219">
        <f>OR(AND(H219&gt;=$T$4,K219&lt;=$T$5,N219),M219)</f>
        <v/>
      </c>
      <c r="Q219">
        <f>OR(AND(I219&gt;=$T$10,K219&lt;=$T$11,O219),M219)</f>
        <v/>
      </c>
    </row>
    <row r="220">
      <c r="A220">
        <f>Data!E234</f>
        <v/>
      </c>
      <c r="B220">
        <f>Data!G234</f>
        <v/>
      </c>
      <c r="C220">
        <f>Data!H234</f>
        <v/>
      </c>
      <c r="D220">
        <f>Data!I234</f>
        <v/>
      </c>
      <c r="E220">
        <f>Data!M234</f>
        <v/>
      </c>
      <c r="F220">
        <f>Data!O234</f>
        <v/>
      </c>
      <c r="G220">
        <f>E220-F220</f>
        <v/>
      </c>
      <c r="H220">
        <f>Data!P234</f>
        <v/>
      </c>
      <c r="I220">
        <f>G220+H220</f>
        <v/>
      </c>
      <c r="J220">
        <f>F220+G220+H220</f>
        <v/>
      </c>
      <c r="K220">
        <f>Data!R234</f>
        <v/>
      </c>
      <c r="L220">
        <f>Data!T234</f>
        <v/>
      </c>
      <c r="M220">
        <f>AND(E220=0,F220=0,G220=0,H220=0,I220=0,J220=0,K220=0,L220=0)</f>
        <v/>
      </c>
      <c r="N220">
        <f>G220&lt;=$T$6</f>
        <v/>
      </c>
      <c r="O220">
        <f>G220&lt;=$T$12</f>
        <v/>
      </c>
      <c r="P220">
        <f>OR(AND(H220&gt;=$T$4,K220&lt;=$T$5,N220),M220)</f>
        <v/>
      </c>
      <c r="Q220">
        <f>OR(AND(I220&gt;=$T$10,K220&lt;=$T$11,O220),M220)</f>
        <v/>
      </c>
    </row>
    <row r="221">
      <c r="A221">
        <f>Data!E235</f>
        <v/>
      </c>
      <c r="B221">
        <f>Data!G235</f>
        <v/>
      </c>
      <c r="C221">
        <f>Data!H235</f>
        <v/>
      </c>
      <c r="D221">
        <f>Data!I235</f>
        <v/>
      </c>
      <c r="E221">
        <f>Data!M235</f>
        <v/>
      </c>
      <c r="F221">
        <f>Data!O235</f>
        <v/>
      </c>
      <c r="G221">
        <f>E221-F221</f>
        <v/>
      </c>
      <c r="H221">
        <f>Data!P235</f>
        <v/>
      </c>
      <c r="I221">
        <f>G221+H221</f>
        <v/>
      </c>
      <c r="J221">
        <f>F221+G221+H221</f>
        <v/>
      </c>
      <c r="K221">
        <f>Data!R235</f>
        <v/>
      </c>
      <c r="L221">
        <f>Data!T235</f>
        <v/>
      </c>
      <c r="M221">
        <f>AND(E221=0,F221=0,G221=0,H221=0,I221=0,J221=0,K221=0,L221=0)</f>
        <v/>
      </c>
      <c r="N221">
        <f>G221&lt;=$T$6</f>
        <v/>
      </c>
      <c r="O221">
        <f>G221&lt;=$T$12</f>
        <v/>
      </c>
      <c r="P221">
        <f>OR(AND(H221&gt;=$T$4,K221&lt;=$T$5,N221),M221)</f>
        <v/>
      </c>
      <c r="Q221">
        <f>OR(AND(I221&gt;=$T$10,K221&lt;=$T$11,O221),M221)</f>
        <v/>
      </c>
    </row>
    <row r="222">
      <c r="A222">
        <f>Data!E236</f>
        <v/>
      </c>
      <c r="B222">
        <f>Data!G236</f>
        <v/>
      </c>
      <c r="C222">
        <f>Data!H236</f>
        <v/>
      </c>
      <c r="D222">
        <f>Data!I236</f>
        <v/>
      </c>
      <c r="E222">
        <f>Data!M236</f>
        <v/>
      </c>
      <c r="F222">
        <f>Data!O236</f>
        <v/>
      </c>
      <c r="G222">
        <f>E222-F222</f>
        <v/>
      </c>
      <c r="H222">
        <f>Data!P236</f>
        <v/>
      </c>
      <c r="I222">
        <f>G222+H222</f>
        <v/>
      </c>
      <c r="J222">
        <f>F222+G222+H222</f>
        <v/>
      </c>
      <c r="K222">
        <f>Data!R236</f>
        <v/>
      </c>
      <c r="L222">
        <f>Data!T236</f>
        <v/>
      </c>
      <c r="M222">
        <f>AND(E222=0,F222=0,G222=0,H222=0,I222=0,J222=0,K222=0,L222=0)</f>
        <v/>
      </c>
      <c r="N222">
        <f>G222&lt;=$T$6</f>
        <v/>
      </c>
      <c r="O222">
        <f>G222&lt;=$T$12</f>
        <v/>
      </c>
      <c r="P222">
        <f>OR(AND(H222&gt;=$T$4,K222&lt;=$T$5,N222),M222)</f>
        <v/>
      </c>
      <c r="Q222">
        <f>OR(AND(I222&gt;=$T$10,K222&lt;=$T$11,O222),M222)</f>
        <v/>
      </c>
    </row>
    <row r="223">
      <c r="A223">
        <f>Data!E238</f>
        <v/>
      </c>
      <c r="B223">
        <f>Data!G238</f>
        <v/>
      </c>
      <c r="C223">
        <f>Data!H238</f>
        <v/>
      </c>
      <c r="D223">
        <f>Data!I238</f>
        <v/>
      </c>
      <c r="E223">
        <f>Data!M238</f>
        <v/>
      </c>
      <c r="F223">
        <f>Data!O238</f>
        <v/>
      </c>
      <c r="G223">
        <f>E223-F223</f>
        <v/>
      </c>
      <c r="H223">
        <f>Data!P238</f>
        <v/>
      </c>
      <c r="I223">
        <f>G223+H223</f>
        <v/>
      </c>
      <c r="J223">
        <f>F223+G223+H223</f>
        <v/>
      </c>
      <c r="K223">
        <f>Data!R238</f>
        <v/>
      </c>
      <c r="L223">
        <f>Data!T238</f>
        <v/>
      </c>
      <c r="M223">
        <f>AND(E223=0,F223=0,G223=0,H223=0,I223=0,J223=0,K223=0,L223=0)</f>
        <v/>
      </c>
      <c r="N223">
        <f>G223&lt;=$T$6</f>
        <v/>
      </c>
      <c r="O223">
        <f>G223&lt;=$T$12</f>
        <v/>
      </c>
      <c r="P223">
        <f>OR(AND(H223&gt;=$T$4,K223&lt;=$T$5,N223),M223)</f>
        <v/>
      </c>
      <c r="Q223">
        <f>OR(AND(I223&gt;=$T$10,K223&lt;=$T$11,O223),M223)</f>
        <v/>
      </c>
    </row>
    <row r="224">
      <c r="A224">
        <f>Data!E239</f>
        <v/>
      </c>
      <c r="B224">
        <f>Data!G239</f>
        <v/>
      </c>
      <c r="C224">
        <f>Data!H239</f>
        <v/>
      </c>
      <c r="D224">
        <f>Data!I239</f>
        <v/>
      </c>
      <c r="E224">
        <f>Data!M239</f>
        <v/>
      </c>
      <c r="F224">
        <f>Data!O239</f>
        <v/>
      </c>
      <c r="G224">
        <f>E224-F224</f>
        <v/>
      </c>
      <c r="H224">
        <f>Data!P239</f>
        <v/>
      </c>
      <c r="I224">
        <f>G224+H224</f>
        <v/>
      </c>
      <c r="J224">
        <f>F224+G224+H224</f>
        <v/>
      </c>
      <c r="K224">
        <f>Data!R239</f>
        <v/>
      </c>
      <c r="L224">
        <f>Data!T239</f>
        <v/>
      </c>
      <c r="M224">
        <f>AND(E224=0,F224=0,G224=0,H224=0,I224=0,J224=0,K224=0,L224=0)</f>
        <v/>
      </c>
      <c r="N224">
        <f>G224&lt;=$T$6</f>
        <v/>
      </c>
      <c r="O224">
        <f>G224&lt;=$T$12</f>
        <v/>
      </c>
      <c r="P224">
        <f>OR(AND(H224&gt;=$T$4,K224&lt;=$T$5,N224),M224)</f>
        <v/>
      </c>
      <c r="Q224">
        <f>OR(AND(I224&gt;=$T$10,K224&lt;=$T$11,O224),M224)</f>
        <v/>
      </c>
    </row>
    <row r="225">
      <c r="A225">
        <f>Data!E240</f>
        <v/>
      </c>
      <c r="B225">
        <f>Data!G240</f>
        <v/>
      </c>
      <c r="C225">
        <f>Data!H240</f>
        <v/>
      </c>
      <c r="D225">
        <f>Data!I240</f>
        <v/>
      </c>
      <c r="E225">
        <f>Data!M240</f>
        <v/>
      </c>
      <c r="F225">
        <f>Data!O240</f>
        <v/>
      </c>
      <c r="G225">
        <f>E225-F225</f>
        <v/>
      </c>
      <c r="H225">
        <f>Data!P240</f>
        <v/>
      </c>
      <c r="I225">
        <f>G225+H225</f>
        <v/>
      </c>
      <c r="J225">
        <f>F225+G225+H225</f>
        <v/>
      </c>
      <c r="K225">
        <f>Data!R240</f>
        <v/>
      </c>
      <c r="L225">
        <f>Data!T240</f>
        <v/>
      </c>
      <c r="M225">
        <f>AND(E225=0,F225=0,G225=0,H225=0,I225=0,J225=0,K225=0,L225=0)</f>
        <v/>
      </c>
      <c r="N225">
        <f>G225&lt;=$T$6</f>
        <v/>
      </c>
      <c r="O225">
        <f>G225&lt;=$T$12</f>
        <v/>
      </c>
      <c r="P225">
        <f>OR(AND(H225&gt;=$T$4,K225&lt;=$T$5,N225),M225)</f>
        <v/>
      </c>
      <c r="Q225">
        <f>OR(AND(I225&gt;=$T$10,K225&lt;=$T$11,O225),M225)</f>
        <v/>
      </c>
    </row>
    <row r="226">
      <c r="A226">
        <f>Data!E241</f>
        <v/>
      </c>
      <c r="B226">
        <f>Data!G241</f>
        <v/>
      </c>
      <c r="C226">
        <f>Data!H241</f>
        <v/>
      </c>
      <c r="D226">
        <f>Data!I241</f>
        <v/>
      </c>
      <c r="E226">
        <f>Data!M241</f>
        <v/>
      </c>
      <c r="F226">
        <f>Data!O241</f>
        <v/>
      </c>
      <c r="G226">
        <f>E226-F226</f>
        <v/>
      </c>
      <c r="H226">
        <f>Data!P241</f>
        <v/>
      </c>
      <c r="I226">
        <f>G226+H226</f>
        <v/>
      </c>
      <c r="J226">
        <f>F226+G226+H226</f>
        <v/>
      </c>
      <c r="K226">
        <f>Data!R241</f>
        <v/>
      </c>
      <c r="L226">
        <f>Data!T241</f>
        <v/>
      </c>
      <c r="M226">
        <f>AND(E226=0,F226=0,G226=0,H226=0,I226=0,J226=0,K226=0,L226=0)</f>
        <v/>
      </c>
      <c r="N226">
        <f>G226&lt;=$T$6</f>
        <v/>
      </c>
      <c r="O226">
        <f>G226&lt;=$T$12</f>
        <v/>
      </c>
      <c r="P226">
        <f>OR(AND(H226&gt;=$T$4,K226&lt;=$T$5,N226),M226)</f>
        <v/>
      </c>
      <c r="Q226">
        <f>OR(AND(I226&gt;=$T$10,K226&lt;=$T$11,O226),M226)</f>
        <v/>
      </c>
    </row>
    <row r="227">
      <c r="A227">
        <f>Data!E242</f>
        <v/>
      </c>
      <c r="B227">
        <f>Data!G242</f>
        <v/>
      </c>
      <c r="C227">
        <f>Data!H242</f>
        <v/>
      </c>
      <c r="D227">
        <f>Data!I242</f>
        <v/>
      </c>
      <c r="E227">
        <f>Data!M242</f>
        <v/>
      </c>
      <c r="F227">
        <f>Data!O242</f>
        <v/>
      </c>
      <c r="G227">
        <f>E227-F227</f>
        <v/>
      </c>
      <c r="H227">
        <f>Data!P242</f>
        <v/>
      </c>
      <c r="I227">
        <f>G227+H227</f>
        <v/>
      </c>
      <c r="J227">
        <f>F227+G227+H227</f>
        <v/>
      </c>
      <c r="K227">
        <f>Data!R242</f>
        <v/>
      </c>
      <c r="L227">
        <f>Data!T242</f>
        <v/>
      </c>
      <c r="M227">
        <f>AND(E227=0,F227=0,G227=0,H227=0,I227=0,J227=0,K227=0,L227=0)</f>
        <v/>
      </c>
      <c r="N227">
        <f>G227&lt;=$T$6</f>
        <v/>
      </c>
      <c r="O227">
        <f>G227&lt;=$T$12</f>
        <v/>
      </c>
      <c r="P227">
        <f>OR(AND(H227&gt;=$T$4,K227&lt;=$T$5,N227),M227)</f>
        <v/>
      </c>
      <c r="Q227">
        <f>OR(AND(I227&gt;=$T$10,K227&lt;=$T$11,O227),M227)</f>
        <v/>
      </c>
    </row>
    <row r="228">
      <c r="A228">
        <f>Data!E243</f>
        <v/>
      </c>
      <c r="B228">
        <f>Data!G243</f>
        <v/>
      </c>
      <c r="C228">
        <f>Data!H243</f>
        <v/>
      </c>
      <c r="D228">
        <f>Data!I243</f>
        <v/>
      </c>
      <c r="E228">
        <f>Data!M243</f>
        <v/>
      </c>
      <c r="F228">
        <f>Data!O243</f>
        <v/>
      </c>
      <c r="G228">
        <f>E228-F228</f>
        <v/>
      </c>
      <c r="H228">
        <f>Data!P243</f>
        <v/>
      </c>
      <c r="I228">
        <f>G228+H228</f>
        <v/>
      </c>
      <c r="J228">
        <f>F228+G228+H228</f>
        <v/>
      </c>
      <c r="K228">
        <f>Data!R243</f>
        <v/>
      </c>
      <c r="L228">
        <f>Data!T243</f>
        <v/>
      </c>
      <c r="M228">
        <f>AND(E228=0,F228=0,G228=0,H228=0,I228=0,J228=0,K228=0,L228=0)</f>
        <v/>
      </c>
      <c r="N228">
        <f>G228&lt;=$T$6</f>
        <v/>
      </c>
      <c r="O228">
        <f>G228&lt;=$T$12</f>
        <v/>
      </c>
      <c r="P228">
        <f>OR(AND(H228&gt;=$T$4,K228&lt;=$T$5,N228),M228)</f>
        <v/>
      </c>
      <c r="Q228">
        <f>OR(AND(I228&gt;=$T$10,K228&lt;=$T$11,O228),M228)</f>
        <v/>
      </c>
    </row>
    <row r="229">
      <c r="A229">
        <f>Data!E244</f>
        <v/>
      </c>
      <c r="B229">
        <f>Data!G244</f>
        <v/>
      </c>
      <c r="C229">
        <f>Data!H244</f>
        <v/>
      </c>
      <c r="D229">
        <f>Data!I244</f>
        <v/>
      </c>
      <c r="E229">
        <f>Data!M244</f>
        <v/>
      </c>
      <c r="F229">
        <f>Data!O244</f>
        <v/>
      </c>
      <c r="G229">
        <f>E229-F229</f>
        <v/>
      </c>
      <c r="H229">
        <f>Data!P244</f>
        <v/>
      </c>
      <c r="I229">
        <f>G229+H229</f>
        <v/>
      </c>
      <c r="J229">
        <f>F229+G229+H229</f>
        <v/>
      </c>
      <c r="K229">
        <f>Data!R244</f>
        <v/>
      </c>
      <c r="L229">
        <f>Data!T244</f>
        <v/>
      </c>
      <c r="M229">
        <f>AND(E229=0,F229=0,G229=0,H229=0,I229=0,J229=0,K229=0,L229=0)</f>
        <v/>
      </c>
      <c r="N229">
        <f>G229&lt;=$T$6</f>
        <v/>
      </c>
      <c r="O229">
        <f>G229&lt;=$T$12</f>
        <v/>
      </c>
      <c r="P229">
        <f>OR(AND(H229&gt;=$T$4,K229&lt;=$T$5,N229),M229)</f>
        <v/>
      </c>
      <c r="Q229">
        <f>OR(AND(I229&gt;=$T$10,K229&lt;=$T$11,O229),M229)</f>
        <v/>
      </c>
    </row>
    <row r="230">
      <c r="A230">
        <f>Data!E245</f>
        <v/>
      </c>
      <c r="B230">
        <f>Data!G245</f>
        <v/>
      </c>
      <c r="C230">
        <f>Data!H245</f>
        <v/>
      </c>
      <c r="D230">
        <f>Data!I245</f>
        <v/>
      </c>
      <c r="E230">
        <f>Data!M245</f>
        <v/>
      </c>
      <c r="F230">
        <f>Data!O245</f>
        <v/>
      </c>
      <c r="G230">
        <f>E230-F230</f>
        <v/>
      </c>
      <c r="H230">
        <f>Data!P245</f>
        <v/>
      </c>
      <c r="I230">
        <f>G230+H230</f>
        <v/>
      </c>
      <c r="J230">
        <f>F230+G230+H230</f>
        <v/>
      </c>
      <c r="K230">
        <f>Data!R245</f>
        <v/>
      </c>
      <c r="L230">
        <f>Data!T245</f>
        <v/>
      </c>
      <c r="M230">
        <f>AND(E230=0,F230=0,G230=0,H230=0,I230=0,J230=0,K230=0,L230=0)</f>
        <v/>
      </c>
      <c r="N230">
        <f>G230&lt;=$T$6</f>
        <v/>
      </c>
      <c r="O230">
        <f>G230&lt;=$T$12</f>
        <v/>
      </c>
      <c r="P230">
        <f>OR(AND(H230&gt;=$T$4,K230&lt;=$T$5,N230),M230)</f>
        <v/>
      </c>
      <c r="Q230">
        <f>OR(AND(I230&gt;=$T$10,K230&lt;=$T$11,O230),M230)</f>
        <v/>
      </c>
    </row>
    <row r="231">
      <c r="A231">
        <f>Data!E246</f>
        <v/>
      </c>
      <c r="B231">
        <f>Data!G246</f>
        <v/>
      </c>
      <c r="C231">
        <f>Data!H246</f>
        <v/>
      </c>
      <c r="D231">
        <f>Data!I246</f>
        <v/>
      </c>
      <c r="E231">
        <f>Data!M246</f>
        <v/>
      </c>
      <c r="F231">
        <f>Data!O246</f>
        <v/>
      </c>
      <c r="G231">
        <f>E231-F231</f>
        <v/>
      </c>
      <c r="H231">
        <f>Data!P246</f>
        <v/>
      </c>
      <c r="I231">
        <f>G231+H231</f>
        <v/>
      </c>
      <c r="J231">
        <f>F231+G231+H231</f>
        <v/>
      </c>
      <c r="K231">
        <f>Data!R246</f>
        <v/>
      </c>
      <c r="L231">
        <f>Data!T246</f>
        <v/>
      </c>
      <c r="M231">
        <f>AND(E231=0,F231=0,G231=0,H231=0,I231=0,J231=0,K231=0,L231=0)</f>
        <v/>
      </c>
      <c r="N231">
        <f>G231&lt;=$T$6</f>
        <v/>
      </c>
      <c r="O231">
        <f>G231&lt;=$T$12</f>
        <v/>
      </c>
      <c r="P231">
        <f>OR(AND(H231&gt;=$T$4,K231&lt;=$T$5,N231),M231)</f>
        <v/>
      </c>
      <c r="Q231">
        <f>OR(AND(I231&gt;=$T$10,K231&lt;=$T$11,O231),M231)</f>
        <v/>
      </c>
    </row>
    <row r="232">
      <c r="A232">
        <f>Data!E247</f>
        <v/>
      </c>
      <c r="B232">
        <f>Data!G247</f>
        <v/>
      </c>
      <c r="C232">
        <f>Data!H247</f>
        <v/>
      </c>
      <c r="D232">
        <f>Data!I247</f>
        <v/>
      </c>
      <c r="E232">
        <f>Data!M247</f>
        <v/>
      </c>
      <c r="F232">
        <f>Data!O247</f>
        <v/>
      </c>
      <c r="G232">
        <f>E232-F232</f>
        <v/>
      </c>
      <c r="H232">
        <f>Data!P247</f>
        <v/>
      </c>
      <c r="I232">
        <f>G232+H232</f>
        <v/>
      </c>
      <c r="J232">
        <f>F232+G232+H232</f>
        <v/>
      </c>
      <c r="K232">
        <f>Data!R247</f>
        <v/>
      </c>
      <c r="L232">
        <f>Data!T247</f>
        <v/>
      </c>
      <c r="M232">
        <f>AND(E232=0,F232=0,G232=0,H232=0,I232=0,J232=0,K232=0,L232=0)</f>
        <v/>
      </c>
      <c r="N232">
        <f>G232&lt;=$T$6</f>
        <v/>
      </c>
      <c r="O232">
        <f>G232&lt;=$T$12</f>
        <v/>
      </c>
      <c r="P232">
        <f>OR(AND(H232&gt;=$T$4,K232&lt;=$T$5,N232),M232)</f>
        <v/>
      </c>
      <c r="Q232">
        <f>OR(AND(I232&gt;=$T$10,K232&lt;=$T$11,O232),M232)</f>
        <v/>
      </c>
    </row>
    <row r="233">
      <c r="A233">
        <f>Data!E248</f>
        <v/>
      </c>
      <c r="B233">
        <f>Data!G248</f>
        <v/>
      </c>
      <c r="C233">
        <f>Data!H248</f>
        <v/>
      </c>
      <c r="D233">
        <f>Data!I248</f>
        <v/>
      </c>
      <c r="E233">
        <f>Data!M248</f>
        <v/>
      </c>
      <c r="F233">
        <f>Data!O248</f>
        <v/>
      </c>
      <c r="G233">
        <f>E233-F233</f>
        <v/>
      </c>
      <c r="H233">
        <f>Data!P248</f>
        <v/>
      </c>
      <c r="I233">
        <f>G233+H233</f>
        <v/>
      </c>
      <c r="J233">
        <f>F233+G233+H233</f>
        <v/>
      </c>
      <c r="K233">
        <f>Data!R248</f>
        <v/>
      </c>
      <c r="L233">
        <f>Data!T248</f>
        <v/>
      </c>
      <c r="M233">
        <f>AND(E233=0,F233=0,G233=0,H233=0,I233=0,J233=0,K233=0,L233=0)</f>
        <v/>
      </c>
      <c r="N233">
        <f>G233&lt;=$T$6</f>
        <v/>
      </c>
      <c r="O233">
        <f>G233&lt;=$T$12</f>
        <v/>
      </c>
      <c r="P233">
        <f>OR(AND(H233&gt;=$T$4,K233&lt;=$T$5,N233),M233)</f>
        <v/>
      </c>
      <c r="Q233">
        <f>OR(AND(I233&gt;=$T$10,K233&lt;=$T$11,O233),M233)</f>
        <v/>
      </c>
    </row>
    <row r="234">
      <c r="A234">
        <f>Data!E249</f>
        <v/>
      </c>
      <c r="B234">
        <f>Data!G249</f>
        <v/>
      </c>
      <c r="C234">
        <f>Data!H249</f>
        <v/>
      </c>
      <c r="D234">
        <f>Data!I249</f>
        <v/>
      </c>
      <c r="E234">
        <f>Data!M249</f>
        <v/>
      </c>
      <c r="F234">
        <f>Data!O249</f>
        <v/>
      </c>
      <c r="G234">
        <f>E234-F234</f>
        <v/>
      </c>
      <c r="H234">
        <f>Data!P249</f>
        <v/>
      </c>
      <c r="I234">
        <f>G234+H234</f>
        <v/>
      </c>
      <c r="J234">
        <f>F234+G234+H234</f>
        <v/>
      </c>
      <c r="K234">
        <f>Data!R249</f>
        <v/>
      </c>
      <c r="L234">
        <f>Data!T249</f>
        <v/>
      </c>
      <c r="M234">
        <f>AND(E234=0,F234=0,G234=0,H234=0,I234=0,J234=0,K234=0,L234=0)</f>
        <v/>
      </c>
      <c r="N234">
        <f>G234&lt;=$T$6</f>
        <v/>
      </c>
      <c r="O234">
        <f>G234&lt;=$T$12</f>
        <v/>
      </c>
      <c r="P234">
        <f>OR(AND(H234&gt;=$T$4,K234&lt;=$T$5,N234),M234)</f>
        <v/>
      </c>
      <c r="Q234">
        <f>OR(AND(I234&gt;=$T$10,K234&lt;=$T$11,O234),M234)</f>
        <v/>
      </c>
    </row>
    <row r="235">
      <c r="A235">
        <f>Data!E250</f>
        <v/>
      </c>
      <c r="B235">
        <f>Data!G250</f>
        <v/>
      </c>
      <c r="C235">
        <f>Data!H250</f>
        <v/>
      </c>
      <c r="D235">
        <f>Data!I250</f>
        <v/>
      </c>
      <c r="E235">
        <f>Data!M250</f>
        <v/>
      </c>
      <c r="F235">
        <f>Data!O250</f>
        <v/>
      </c>
      <c r="G235">
        <f>E235-F235</f>
        <v/>
      </c>
      <c r="H235">
        <f>Data!P250</f>
        <v/>
      </c>
      <c r="I235">
        <f>G235+H235</f>
        <v/>
      </c>
      <c r="J235">
        <f>F235+G235+H235</f>
        <v/>
      </c>
      <c r="K235">
        <f>Data!R250</f>
        <v/>
      </c>
      <c r="L235">
        <f>Data!T250</f>
        <v/>
      </c>
      <c r="M235">
        <f>AND(E235=0,F235=0,G235=0,H235=0,I235=0,J235=0,K235=0,L235=0)</f>
        <v/>
      </c>
      <c r="N235">
        <f>G235&lt;=$T$6</f>
        <v/>
      </c>
      <c r="O235">
        <f>G235&lt;=$T$12</f>
        <v/>
      </c>
      <c r="P235">
        <f>OR(AND(H235&gt;=$T$4,K235&lt;=$T$5,N235),M235)</f>
        <v/>
      </c>
      <c r="Q235">
        <f>OR(AND(I235&gt;=$T$10,K235&lt;=$T$11,O235),M235)</f>
        <v/>
      </c>
    </row>
    <row r="236">
      <c r="A236">
        <f>Data!E251</f>
        <v/>
      </c>
      <c r="B236">
        <f>Data!G251</f>
        <v/>
      </c>
      <c r="C236">
        <f>Data!H251</f>
        <v/>
      </c>
      <c r="D236">
        <f>Data!I251</f>
        <v/>
      </c>
      <c r="E236">
        <f>Data!M251</f>
        <v/>
      </c>
      <c r="F236">
        <f>Data!O251</f>
        <v/>
      </c>
      <c r="G236">
        <f>E236-F236</f>
        <v/>
      </c>
      <c r="H236">
        <f>Data!P251</f>
        <v/>
      </c>
      <c r="I236">
        <f>G236+H236</f>
        <v/>
      </c>
      <c r="J236">
        <f>F236+G236+H236</f>
        <v/>
      </c>
      <c r="K236">
        <f>Data!R251</f>
        <v/>
      </c>
      <c r="L236">
        <f>Data!T251</f>
        <v/>
      </c>
      <c r="M236">
        <f>AND(E236=0,F236=0,G236=0,H236=0,I236=0,J236=0,K236=0,L236=0)</f>
        <v/>
      </c>
      <c r="N236">
        <f>G236&lt;=$T$6</f>
        <v/>
      </c>
      <c r="O236">
        <f>G236&lt;=$T$12</f>
        <v/>
      </c>
      <c r="P236">
        <f>OR(AND(H236&gt;=$T$4,K236&lt;=$T$5,N236),M236)</f>
        <v/>
      </c>
      <c r="Q236">
        <f>OR(AND(I236&gt;=$T$10,K236&lt;=$T$11,O236),M236)</f>
        <v/>
      </c>
    </row>
    <row r="237">
      <c r="A237">
        <f>Data!E252</f>
        <v/>
      </c>
      <c r="B237">
        <f>Data!G252</f>
        <v/>
      </c>
      <c r="C237">
        <f>Data!H252</f>
        <v/>
      </c>
      <c r="D237">
        <f>Data!I252</f>
        <v/>
      </c>
      <c r="E237">
        <f>Data!M252</f>
        <v/>
      </c>
      <c r="F237">
        <f>Data!O252</f>
        <v/>
      </c>
      <c r="G237">
        <f>E237-F237</f>
        <v/>
      </c>
      <c r="H237">
        <f>Data!P252</f>
        <v/>
      </c>
      <c r="I237">
        <f>G237+H237</f>
        <v/>
      </c>
      <c r="J237">
        <f>F237+G237+H237</f>
        <v/>
      </c>
      <c r="K237">
        <f>Data!R252</f>
        <v/>
      </c>
      <c r="L237">
        <f>Data!T252</f>
        <v/>
      </c>
      <c r="M237">
        <f>AND(E237=0,F237=0,G237=0,H237=0,I237=0,J237=0,K237=0,L237=0)</f>
        <v/>
      </c>
      <c r="N237">
        <f>G237&lt;=$T$6</f>
        <v/>
      </c>
      <c r="O237">
        <f>G237&lt;=$T$12</f>
        <v/>
      </c>
      <c r="P237">
        <f>OR(AND(H237&gt;=$T$4,K237&lt;=$T$5,N237),M237)</f>
        <v/>
      </c>
      <c r="Q237">
        <f>OR(AND(I237&gt;=$T$10,K237&lt;=$T$11,O237),M237)</f>
        <v/>
      </c>
    </row>
    <row r="238">
      <c r="A238">
        <f>Data!E253</f>
        <v/>
      </c>
      <c r="B238">
        <f>Data!G253</f>
        <v/>
      </c>
      <c r="C238">
        <f>Data!H253</f>
        <v/>
      </c>
      <c r="D238">
        <f>Data!I253</f>
        <v/>
      </c>
      <c r="E238">
        <f>Data!M253</f>
        <v/>
      </c>
      <c r="F238">
        <f>Data!O253</f>
        <v/>
      </c>
      <c r="G238">
        <f>E238-F238</f>
        <v/>
      </c>
      <c r="H238">
        <f>Data!P253</f>
        <v/>
      </c>
      <c r="I238">
        <f>G238+H238</f>
        <v/>
      </c>
      <c r="J238">
        <f>F238+G238+H238</f>
        <v/>
      </c>
      <c r="K238">
        <f>Data!R253</f>
        <v/>
      </c>
      <c r="L238">
        <f>Data!T253</f>
        <v/>
      </c>
      <c r="M238">
        <f>AND(E238=0,F238=0,G238=0,H238=0,I238=0,J238=0,K238=0,L238=0)</f>
        <v/>
      </c>
      <c r="N238">
        <f>G238&lt;=$T$6</f>
        <v/>
      </c>
      <c r="O238">
        <f>G238&lt;=$T$12</f>
        <v/>
      </c>
      <c r="P238">
        <f>OR(AND(H238&gt;=$T$4,K238&lt;=$T$5,N238),M238)</f>
        <v/>
      </c>
      <c r="Q238">
        <f>OR(AND(I238&gt;=$T$10,K238&lt;=$T$11,O238),M238)</f>
        <v/>
      </c>
    </row>
    <row r="239">
      <c r="A239">
        <f>Data!E254</f>
        <v/>
      </c>
      <c r="B239">
        <f>Data!G254</f>
        <v/>
      </c>
      <c r="C239">
        <f>Data!H254</f>
        <v/>
      </c>
      <c r="D239">
        <f>Data!I254</f>
        <v/>
      </c>
      <c r="E239">
        <f>Data!M254</f>
        <v/>
      </c>
      <c r="F239">
        <f>Data!O254</f>
        <v/>
      </c>
      <c r="G239">
        <f>E239-F239</f>
        <v/>
      </c>
      <c r="H239">
        <f>Data!P254</f>
        <v/>
      </c>
      <c r="I239">
        <f>G239+H239</f>
        <v/>
      </c>
      <c r="J239">
        <f>F239+G239+H239</f>
        <v/>
      </c>
      <c r="K239">
        <f>Data!R254</f>
        <v/>
      </c>
      <c r="L239">
        <f>Data!T254</f>
        <v/>
      </c>
      <c r="M239">
        <f>AND(E239=0,F239=0,G239=0,H239=0,I239=0,J239=0,K239=0,L239=0)</f>
        <v/>
      </c>
      <c r="N239">
        <f>G239&lt;=$T$6</f>
        <v/>
      </c>
      <c r="O239">
        <f>G239&lt;=$T$12</f>
        <v/>
      </c>
      <c r="P239">
        <f>OR(AND(H239&gt;=$T$4,K239&lt;=$T$5,N239),M239)</f>
        <v/>
      </c>
      <c r="Q239">
        <f>OR(AND(I239&gt;=$T$10,K239&lt;=$T$11,O239),M239)</f>
        <v/>
      </c>
    </row>
    <row r="240">
      <c r="A240">
        <f>Data!E255</f>
        <v/>
      </c>
      <c r="B240">
        <f>Data!G255</f>
        <v/>
      </c>
      <c r="C240">
        <f>Data!H255</f>
        <v/>
      </c>
      <c r="D240">
        <f>Data!I255</f>
        <v/>
      </c>
      <c r="E240">
        <f>Data!M255</f>
        <v/>
      </c>
      <c r="F240">
        <f>Data!O255</f>
        <v/>
      </c>
      <c r="G240">
        <f>E240-F240</f>
        <v/>
      </c>
      <c r="H240">
        <f>Data!P255</f>
        <v/>
      </c>
      <c r="I240">
        <f>G240+H240</f>
        <v/>
      </c>
      <c r="J240">
        <f>F240+G240+H240</f>
        <v/>
      </c>
      <c r="K240">
        <f>Data!R255</f>
        <v/>
      </c>
      <c r="L240">
        <f>Data!T255</f>
        <v/>
      </c>
      <c r="M240">
        <f>AND(E240=0,F240=0,G240=0,H240=0,I240=0,J240=0,K240=0,L240=0)</f>
        <v/>
      </c>
      <c r="N240">
        <f>G240&lt;=$T$6</f>
        <v/>
      </c>
      <c r="O240">
        <f>G240&lt;=$T$12</f>
        <v/>
      </c>
      <c r="P240">
        <f>OR(AND(H240&gt;=$T$4,K240&lt;=$T$5,N240),M240)</f>
        <v/>
      </c>
      <c r="Q240">
        <f>OR(AND(I240&gt;=$T$10,K240&lt;=$T$11,O240),M240)</f>
        <v/>
      </c>
    </row>
    <row r="241">
      <c r="A241">
        <f>Data!E256</f>
        <v/>
      </c>
      <c r="B241">
        <f>Data!G256</f>
        <v/>
      </c>
      <c r="C241">
        <f>Data!H256</f>
        <v/>
      </c>
      <c r="D241">
        <f>Data!I256</f>
        <v/>
      </c>
      <c r="E241">
        <f>Data!M256</f>
        <v/>
      </c>
      <c r="F241">
        <f>Data!O256</f>
        <v/>
      </c>
      <c r="G241">
        <f>E241-F241</f>
        <v/>
      </c>
      <c r="H241">
        <f>Data!P256</f>
        <v/>
      </c>
      <c r="I241">
        <f>G241+H241</f>
        <v/>
      </c>
      <c r="J241">
        <f>F241+G241+H241</f>
        <v/>
      </c>
      <c r="K241">
        <f>Data!R256</f>
        <v/>
      </c>
      <c r="L241">
        <f>Data!T256</f>
        <v/>
      </c>
      <c r="M241">
        <f>AND(E241=0,F241=0,G241=0,H241=0,I241=0,J241=0,K241=0,L241=0)</f>
        <v/>
      </c>
      <c r="N241">
        <f>G241&lt;=$T$6</f>
        <v/>
      </c>
      <c r="O241">
        <f>G241&lt;=$T$12</f>
        <v/>
      </c>
      <c r="P241">
        <f>OR(AND(H241&gt;=$T$4,K241&lt;=$T$5,N241),M241)</f>
        <v/>
      </c>
      <c r="Q241">
        <f>OR(AND(I241&gt;=$T$10,K241&lt;=$T$11,O241),M241)</f>
        <v/>
      </c>
    </row>
    <row r="242">
      <c r="A242">
        <f>Data!E257</f>
        <v/>
      </c>
      <c r="B242">
        <f>Data!G257</f>
        <v/>
      </c>
      <c r="C242">
        <f>Data!H257</f>
        <v/>
      </c>
      <c r="D242">
        <f>Data!I257</f>
        <v/>
      </c>
      <c r="E242">
        <f>Data!M257</f>
        <v/>
      </c>
      <c r="F242">
        <f>Data!O257</f>
        <v/>
      </c>
      <c r="G242">
        <f>E242-F242</f>
        <v/>
      </c>
      <c r="H242">
        <f>Data!P257</f>
        <v/>
      </c>
      <c r="I242">
        <f>G242+H242</f>
        <v/>
      </c>
      <c r="J242">
        <f>F242+G242+H242</f>
        <v/>
      </c>
      <c r="K242">
        <f>Data!R257</f>
        <v/>
      </c>
      <c r="L242">
        <f>Data!T257</f>
        <v/>
      </c>
      <c r="M242">
        <f>AND(E242=0,F242=0,G242=0,H242=0,I242=0,J242=0,K242=0,L242=0)</f>
        <v/>
      </c>
      <c r="N242">
        <f>G242&lt;=$T$6</f>
        <v/>
      </c>
      <c r="O242">
        <f>G242&lt;=$T$12</f>
        <v/>
      </c>
      <c r="P242">
        <f>OR(AND(H242&gt;=$T$4,K242&lt;=$T$5,N242),M242)</f>
        <v/>
      </c>
      <c r="Q242">
        <f>OR(AND(I242&gt;=$T$10,K242&lt;=$T$11,O242),M242)</f>
        <v/>
      </c>
    </row>
    <row r="243">
      <c r="A243">
        <f>Data!E258</f>
        <v/>
      </c>
      <c r="B243">
        <f>Data!G258</f>
        <v/>
      </c>
      <c r="C243">
        <f>Data!H258</f>
        <v/>
      </c>
      <c r="D243">
        <f>Data!I258</f>
        <v/>
      </c>
      <c r="E243">
        <f>Data!M258</f>
        <v/>
      </c>
      <c r="F243">
        <f>Data!O258</f>
        <v/>
      </c>
      <c r="G243">
        <f>E243-F243</f>
        <v/>
      </c>
      <c r="H243">
        <f>Data!P258</f>
        <v/>
      </c>
      <c r="I243">
        <f>G243+H243</f>
        <v/>
      </c>
      <c r="J243">
        <f>F243+G243+H243</f>
        <v/>
      </c>
      <c r="K243">
        <f>Data!R258</f>
        <v/>
      </c>
      <c r="L243">
        <f>Data!T258</f>
        <v/>
      </c>
      <c r="M243">
        <f>AND(E243=0,F243=0,G243=0,H243=0,I243=0,J243=0,K243=0,L243=0)</f>
        <v/>
      </c>
      <c r="N243">
        <f>G243&lt;=$T$6</f>
        <v/>
      </c>
      <c r="O243">
        <f>G243&lt;=$T$12</f>
        <v/>
      </c>
      <c r="P243">
        <f>OR(AND(H243&gt;=$T$4,K243&lt;=$T$5,N243),M243)</f>
        <v/>
      </c>
      <c r="Q243">
        <f>OR(AND(I243&gt;=$T$10,K243&lt;=$T$11,O243),M243)</f>
        <v/>
      </c>
    </row>
    <row r="244">
      <c r="A244">
        <f>Data!E259</f>
        <v/>
      </c>
      <c r="B244">
        <f>Data!G259</f>
        <v/>
      </c>
      <c r="C244">
        <f>Data!H259</f>
        <v/>
      </c>
      <c r="D244">
        <f>Data!I259</f>
        <v/>
      </c>
      <c r="E244">
        <f>Data!M259</f>
        <v/>
      </c>
      <c r="F244">
        <f>Data!O259</f>
        <v/>
      </c>
      <c r="G244">
        <f>E244-F244</f>
        <v/>
      </c>
      <c r="H244">
        <f>Data!P259</f>
        <v/>
      </c>
      <c r="I244">
        <f>G244+H244</f>
        <v/>
      </c>
      <c r="J244">
        <f>F244+G244+H244</f>
        <v/>
      </c>
      <c r="K244">
        <f>Data!R259</f>
        <v/>
      </c>
      <c r="L244">
        <f>Data!T259</f>
        <v/>
      </c>
      <c r="M244">
        <f>AND(E244=0,F244=0,G244=0,H244=0,I244=0,J244=0,K244=0,L244=0)</f>
        <v/>
      </c>
      <c r="N244">
        <f>G244&lt;=$T$6</f>
        <v/>
      </c>
      <c r="O244">
        <f>G244&lt;=$T$12</f>
        <v/>
      </c>
      <c r="P244">
        <f>OR(AND(H244&gt;=$T$4,K244&lt;=$T$5,N244),M244)</f>
        <v/>
      </c>
      <c r="Q244">
        <f>OR(AND(I244&gt;=$T$10,K244&lt;=$T$11,O244),M244)</f>
        <v/>
      </c>
    </row>
    <row r="245">
      <c r="A245">
        <f>Data!E260</f>
        <v/>
      </c>
      <c r="B245">
        <f>Data!G260</f>
        <v/>
      </c>
      <c r="C245">
        <f>Data!H260</f>
        <v/>
      </c>
      <c r="D245">
        <f>Data!I260</f>
        <v/>
      </c>
      <c r="E245">
        <f>Data!M260</f>
        <v/>
      </c>
      <c r="F245">
        <f>Data!O260</f>
        <v/>
      </c>
      <c r="G245">
        <f>E245-F245</f>
        <v/>
      </c>
      <c r="H245">
        <f>Data!P260</f>
        <v/>
      </c>
      <c r="I245">
        <f>G245+H245</f>
        <v/>
      </c>
      <c r="J245">
        <f>F245+G245+H245</f>
        <v/>
      </c>
      <c r="K245">
        <f>Data!R260</f>
        <v/>
      </c>
      <c r="L245">
        <f>Data!T260</f>
        <v/>
      </c>
      <c r="M245">
        <f>AND(E245=0,F245=0,G245=0,H245=0,I245=0,J245=0,K245=0,L245=0)</f>
        <v/>
      </c>
      <c r="N245">
        <f>G245&lt;=$T$6</f>
        <v/>
      </c>
      <c r="O245">
        <f>G245&lt;=$T$12</f>
        <v/>
      </c>
      <c r="P245">
        <f>OR(AND(H245&gt;=$T$4,K245&lt;=$T$5,N245),M245)</f>
        <v/>
      </c>
      <c r="Q245">
        <f>OR(AND(I245&gt;=$T$10,K245&lt;=$T$11,O245),M245)</f>
        <v/>
      </c>
    </row>
    <row r="246">
      <c r="A246">
        <f>Data!E261</f>
        <v/>
      </c>
      <c r="B246">
        <f>Data!G261</f>
        <v/>
      </c>
      <c r="C246">
        <f>Data!H261</f>
        <v/>
      </c>
      <c r="D246">
        <f>Data!I261</f>
        <v/>
      </c>
      <c r="E246">
        <f>Data!M261</f>
        <v/>
      </c>
      <c r="F246">
        <f>Data!O261</f>
        <v/>
      </c>
      <c r="G246">
        <f>E246-F246</f>
        <v/>
      </c>
      <c r="H246">
        <f>Data!P261</f>
        <v/>
      </c>
      <c r="I246">
        <f>G246+H246</f>
        <v/>
      </c>
      <c r="J246">
        <f>F246+G246+H246</f>
        <v/>
      </c>
      <c r="K246">
        <f>Data!R261</f>
        <v/>
      </c>
      <c r="L246">
        <f>Data!T261</f>
        <v/>
      </c>
      <c r="M246">
        <f>AND(E246=0,F246=0,G246=0,H246=0,I246=0,J246=0,K246=0,L246=0)</f>
        <v/>
      </c>
      <c r="N246">
        <f>G246&lt;=$T$6</f>
        <v/>
      </c>
      <c r="O246">
        <f>G246&lt;=$T$12</f>
        <v/>
      </c>
      <c r="P246">
        <f>OR(AND(H246&gt;=$T$4,K246&lt;=$T$5,N246),M246)</f>
        <v/>
      </c>
      <c r="Q246">
        <f>OR(AND(I246&gt;=$T$10,K246&lt;=$T$11,O246),M246)</f>
        <v/>
      </c>
    </row>
    <row r="247">
      <c r="A247">
        <f>Data!E262</f>
        <v/>
      </c>
      <c r="B247">
        <f>Data!G262</f>
        <v/>
      </c>
      <c r="C247">
        <f>Data!H262</f>
        <v/>
      </c>
      <c r="D247">
        <f>Data!I262</f>
        <v/>
      </c>
      <c r="E247">
        <f>Data!M262</f>
        <v/>
      </c>
      <c r="F247">
        <f>Data!O262</f>
        <v/>
      </c>
      <c r="G247">
        <f>E247-F247</f>
        <v/>
      </c>
      <c r="H247">
        <f>Data!P262</f>
        <v/>
      </c>
      <c r="I247">
        <f>G247+H247</f>
        <v/>
      </c>
      <c r="J247">
        <f>F247+G247+H247</f>
        <v/>
      </c>
      <c r="K247">
        <f>Data!R262</f>
        <v/>
      </c>
      <c r="L247">
        <f>Data!T262</f>
        <v/>
      </c>
      <c r="M247">
        <f>AND(E247=0,F247=0,G247=0,H247=0,I247=0,J247=0,K247=0,L247=0)</f>
        <v/>
      </c>
      <c r="N247">
        <f>G247&lt;=$T$6</f>
        <v/>
      </c>
      <c r="O247">
        <f>G247&lt;=$T$12</f>
        <v/>
      </c>
      <c r="P247">
        <f>OR(AND(H247&gt;=$T$4,K247&lt;=$T$5,N247),M247)</f>
        <v/>
      </c>
      <c r="Q247">
        <f>OR(AND(I247&gt;=$T$10,K247&lt;=$T$11,O247),M247)</f>
        <v/>
      </c>
    </row>
    <row r="248">
      <c r="A248">
        <f>Data!E263</f>
        <v/>
      </c>
      <c r="B248">
        <f>Data!G263</f>
        <v/>
      </c>
      <c r="C248">
        <f>Data!H263</f>
        <v/>
      </c>
      <c r="D248">
        <f>Data!I263</f>
        <v/>
      </c>
      <c r="E248">
        <f>Data!M263</f>
        <v/>
      </c>
      <c r="F248">
        <f>Data!O263</f>
        <v/>
      </c>
      <c r="G248">
        <f>E248-F248</f>
        <v/>
      </c>
      <c r="H248">
        <f>Data!P263</f>
        <v/>
      </c>
      <c r="I248">
        <f>G248+H248</f>
        <v/>
      </c>
      <c r="J248">
        <f>F248+G248+H248</f>
        <v/>
      </c>
      <c r="K248">
        <f>Data!R263</f>
        <v/>
      </c>
      <c r="L248">
        <f>Data!T263</f>
        <v/>
      </c>
      <c r="M248">
        <f>AND(E248=0,F248=0,G248=0,H248=0,I248=0,J248=0,K248=0,L248=0)</f>
        <v/>
      </c>
      <c r="N248">
        <f>G248&lt;=$T$6</f>
        <v/>
      </c>
      <c r="O248">
        <f>G248&lt;=$T$12</f>
        <v/>
      </c>
      <c r="P248">
        <f>OR(AND(H248&gt;=$T$4,K248&lt;=$T$5,N248),M248)</f>
        <v/>
      </c>
      <c r="Q248">
        <f>OR(AND(I248&gt;=$T$10,K248&lt;=$T$11,O248),M248)</f>
        <v/>
      </c>
    </row>
    <row r="249">
      <c r="A249">
        <f>Data!E264</f>
        <v/>
      </c>
      <c r="B249">
        <f>Data!G264</f>
        <v/>
      </c>
      <c r="C249">
        <f>Data!H264</f>
        <v/>
      </c>
      <c r="D249">
        <f>Data!I264</f>
        <v/>
      </c>
      <c r="E249">
        <f>Data!M264</f>
        <v/>
      </c>
      <c r="F249">
        <f>Data!O264</f>
        <v/>
      </c>
      <c r="G249">
        <f>E249-F249</f>
        <v/>
      </c>
      <c r="H249">
        <f>Data!P264</f>
        <v/>
      </c>
      <c r="I249">
        <f>G249+H249</f>
        <v/>
      </c>
      <c r="J249">
        <f>F249+G249+H249</f>
        <v/>
      </c>
      <c r="K249">
        <f>Data!R264</f>
        <v/>
      </c>
      <c r="L249">
        <f>Data!T264</f>
        <v/>
      </c>
      <c r="M249">
        <f>AND(E249=0,F249=0,G249=0,H249=0,I249=0,J249=0,K249=0,L249=0)</f>
        <v/>
      </c>
      <c r="N249">
        <f>G249&lt;=$T$6</f>
        <v/>
      </c>
      <c r="O249">
        <f>G249&lt;=$T$12</f>
        <v/>
      </c>
      <c r="P249">
        <f>OR(AND(H249&gt;=$T$4,K249&lt;=$T$5,N249),M249)</f>
        <v/>
      </c>
      <c r="Q249">
        <f>OR(AND(I249&gt;=$T$10,K249&lt;=$T$11,O249),M249)</f>
        <v/>
      </c>
    </row>
    <row r="250">
      <c r="A250">
        <f>Data!E265</f>
        <v/>
      </c>
      <c r="B250">
        <f>Data!G265</f>
        <v/>
      </c>
      <c r="C250">
        <f>Data!H265</f>
        <v/>
      </c>
      <c r="D250">
        <f>Data!I265</f>
        <v/>
      </c>
      <c r="E250">
        <f>Data!M265</f>
        <v/>
      </c>
      <c r="F250">
        <f>Data!O265</f>
        <v/>
      </c>
      <c r="G250">
        <f>E250-F250</f>
        <v/>
      </c>
      <c r="H250">
        <f>Data!P265</f>
        <v/>
      </c>
      <c r="I250">
        <f>G250+H250</f>
        <v/>
      </c>
      <c r="J250">
        <f>F250+G250+H250</f>
        <v/>
      </c>
      <c r="K250">
        <f>Data!R265</f>
        <v/>
      </c>
      <c r="L250">
        <f>Data!T265</f>
        <v/>
      </c>
      <c r="M250">
        <f>AND(E250=0,F250=0,G250=0,H250=0,I250=0,J250=0,K250=0,L250=0)</f>
        <v/>
      </c>
      <c r="N250">
        <f>G250&lt;=$T$6</f>
        <v/>
      </c>
      <c r="O250">
        <f>G250&lt;=$T$12</f>
        <v/>
      </c>
      <c r="P250">
        <f>OR(AND(H250&gt;=$T$4,K250&lt;=$T$5,N250),M250)</f>
        <v/>
      </c>
      <c r="Q250">
        <f>OR(AND(I250&gt;=$T$10,K250&lt;=$T$11,O250),M250)</f>
        <v/>
      </c>
    </row>
    <row r="251">
      <c r="A251">
        <f>Data!E266</f>
        <v/>
      </c>
      <c r="B251">
        <f>Data!G266</f>
        <v/>
      </c>
      <c r="C251">
        <f>Data!H266</f>
        <v/>
      </c>
      <c r="D251">
        <f>Data!I266</f>
        <v/>
      </c>
      <c r="E251">
        <f>Data!M266</f>
        <v/>
      </c>
      <c r="F251">
        <f>Data!O266</f>
        <v/>
      </c>
      <c r="G251">
        <f>E251-F251</f>
        <v/>
      </c>
      <c r="H251">
        <f>Data!P266</f>
        <v/>
      </c>
      <c r="I251">
        <f>G251+H251</f>
        <v/>
      </c>
      <c r="J251">
        <f>F251+G251+H251</f>
        <v/>
      </c>
      <c r="K251">
        <f>Data!R266</f>
        <v/>
      </c>
      <c r="L251">
        <f>Data!T266</f>
        <v/>
      </c>
      <c r="M251">
        <f>AND(E251=0,F251=0,G251=0,H251=0,I251=0,J251=0,K251=0,L251=0)</f>
        <v/>
      </c>
      <c r="N251">
        <f>G251&lt;=$T$6</f>
        <v/>
      </c>
      <c r="O251">
        <f>G251&lt;=$T$12</f>
        <v/>
      </c>
      <c r="P251">
        <f>OR(AND(H251&gt;=$T$4,K251&lt;=$T$5,N251),M251)</f>
        <v/>
      </c>
      <c r="Q251">
        <f>OR(AND(I251&gt;=$T$10,K251&lt;=$T$11,O251),M251)</f>
        <v/>
      </c>
    </row>
    <row r="252">
      <c r="A252">
        <f>Data!E267</f>
        <v/>
      </c>
      <c r="B252">
        <f>Data!G267</f>
        <v/>
      </c>
      <c r="C252">
        <f>Data!H267</f>
        <v/>
      </c>
      <c r="D252">
        <f>Data!I267</f>
        <v/>
      </c>
      <c r="E252">
        <f>Data!M267</f>
        <v/>
      </c>
      <c r="F252">
        <f>Data!O267</f>
        <v/>
      </c>
      <c r="G252">
        <f>E252-F252</f>
        <v/>
      </c>
      <c r="H252">
        <f>Data!P267</f>
        <v/>
      </c>
      <c r="I252">
        <f>G252+H252</f>
        <v/>
      </c>
      <c r="J252">
        <f>F252+G252+H252</f>
        <v/>
      </c>
      <c r="K252">
        <f>Data!R267</f>
        <v/>
      </c>
      <c r="L252">
        <f>Data!T267</f>
        <v/>
      </c>
      <c r="M252">
        <f>AND(E252=0,F252=0,G252=0,H252=0,I252=0,J252=0,K252=0,L252=0)</f>
        <v/>
      </c>
      <c r="N252">
        <f>G252&lt;=$T$6</f>
        <v/>
      </c>
      <c r="O252">
        <f>G252&lt;=$T$12</f>
        <v/>
      </c>
      <c r="P252">
        <f>OR(AND(H252&gt;=$T$4,K252&lt;=$T$5,N252),M252)</f>
        <v/>
      </c>
      <c r="Q252">
        <f>OR(AND(I252&gt;=$T$10,K252&lt;=$T$11,O252),M252)</f>
        <v/>
      </c>
    </row>
    <row r="253">
      <c r="A253">
        <f>Data!E268</f>
        <v/>
      </c>
      <c r="B253">
        <f>Data!G268</f>
        <v/>
      </c>
      <c r="C253">
        <f>Data!H268</f>
        <v/>
      </c>
      <c r="D253">
        <f>Data!I268</f>
        <v/>
      </c>
      <c r="E253">
        <f>Data!M268</f>
        <v/>
      </c>
      <c r="F253">
        <f>Data!O268</f>
        <v/>
      </c>
      <c r="G253">
        <f>E253-F253</f>
        <v/>
      </c>
      <c r="H253">
        <f>Data!P268</f>
        <v/>
      </c>
      <c r="I253">
        <f>G253+H253</f>
        <v/>
      </c>
      <c r="J253">
        <f>F253+G253+H253</f>
        <v/>
      </c>
      <c r="K253">
        <f>Data!R268</f>
        <v/>
      </c>
      <c r="L253">
        <f>Data!T268</f>
        <v/>
      </c>
      <c r="M253">
        <f>AND(E253=0,F253=0,G253=0,H253=0,I253=0,J253=0,K253=0,L253=0)</f>
        <v/>
      </c>
      <c r="N253">
        <f>G253&lt;=$T$6</f>
        <v/>
      </c>
      <c r="O253">
        <f>G253&lt;=$T$12</f>
        <v/>
      </c>
      <c r="P253">
        <f>OR(AND(H253&gt;=$T$4,K253&lt;=$T$5,N253),M253)</f>
        <v/>
      </c>
      <c r="Q253">
        <f>OR(AND(I253&gt;=$T$10,K253&lt;=$T$11,O253),M253)</f>
        <v/>
      </c>
    </row>
    <row r="254">
      <c r="A254">
        <f>Data!E269</f>
        <v/>
      </c>
      <c r="B254">
        <f>Data!G269</f>
        <v/>
      </c>
      <c r="C254">
        <f>Data!H269</f>
        <v/>
      </c>
      <c r="D254">
        <f>Data!I269</f>
        <v/>
      </c>
      <c r="E254">
        <f>Data!M269</f>
        <v/>
      </c>
      <c r="F254">
        <f>Data!O269</f>
        <v/>
      </c>
      <c r="G254">
        <f>E254-F254</f>
        <v/>
      </c>
      <c r="H254">
        <f>Data!P269</f>
        <v/>
      </c>
      <c r="I254">
        <f>G254+H254</f>
        <v/>
      </c>
      <c r="J254">
        <f>F254+G254+H254</f>
        <v/>
      </c>
      <c r="K254">
        <f>Data!R269</f>
        <v/>
      </c>
      <c r="L254">
        <f>Data!T269</f>
        <v/>
      </c>
      <c r="M254">
        <f>AND(E254=0,F254=0,G254=0,H254=0,I254=0,J254=0,K254=0,L254=0)</f>
        <v/>
      </c>
      <c r="N254">
        <f>G254&lt;=$T$6</f>
        <v/>
      </c>
      <c r="O254">
        <f>G254&lt;=$T$12</f>
        <v/>
      </c>
      <c r="P254">
        <f>OR(AND(H254&gt;=$T$4,K254&lt;=$T$5,N254),M254)</f>
        <v/>
      </c>
      <c r="Q254">
        <f>OR(AND(I254&gt;=$T$10,K254&lt;=$T$11,O254),M254)</f>
        <v/>
      </c>
    </row>
    <row r="255">
      <c r="A255">
        <f>Data!E270</f>
        <v/>
      </c>
      <c r="B255">
        <f>Data!G270</f>
        <v/>
      </c>
      <c r="C255">
        <f>Data!H270</f>
        <v/>
      </c>
      <c r="D255">
        <f>Data!I270</f>
        <v/>
      </c>
      <c r="E255">
        <f>Data!M270</f>
        <v/>
      </c>
      <c r="F255">
        <f>Data!O270</f>
        <v/>
      </c>
      <c r="G255">
        <f>E255-F255</f>
        <v/>
      </c>
      <c r="H255">
        <f>Data!P270</f>
        <v/>
      </c>
      <c r="I255">
        <f>G255+H255</f>
        <v/>
      </c>
      <c r="J255">
        <f>F255+G255+H255</f>
        <v/>
      </c>
      <c r="K255">
        <f>Data!R270</f>
        <v/>
      </c>
      <c r="L255">
        <f>Data!T270</f>
        <v/>
      </c>
      <c r="M255">
        <f>AND(E255=0,F255=0,G255=0,H255=0,I255=0,J255=0,K255=0,L255=0)</f>
        <v/>
      </c>
      <c r="N255">
        <f>G255&lt;=$T$6</f>
        <v/>
      </c>
      <c r="O255">
        <f>G255&lt;=$T$12</f>
        <v/>
      </c>
      <c r="P255">
        <f>OR(AND(H255&gt;=$T$4,K255&lt;=$T$5,N255),M255)</f>
        <v/>
      </c>
      <c r="Q255">
        <f>OR(AND(I255&gt;=$T$10,K255&lt;=$T$11,O255),M255)</f>
        <v/>
      </c>
    </row>
    <row r="256">
      <c r="A256">
        <f>Data!E271</f>
        <v/>
      </c>
      <c r="B256">
        <f>Data!G271</f>
        <v/>
      </c>
      <c r="C256">
        <f>Data!H271</f>
        <v/>
      </c>
      <c r="D256">
        <f>Data!I271</f>
        <v/>
      </c>
      <c r="E256">
        <f>Data!M271</f>
        <v/>
      </c>
      <c r="F256">
        <f>Data!O271</f>
        <v/>
      </c>
      <c r="G256">
        <f>E256-F256</f>
        <v/>
      </c>
      <c r="H256">
        <f>Data!P271</f>
        <v/>
      </c>
      <c r="I256">
        <f>G256+H256</f>
        <v/>
      </c>
      <c r="J256">
        <f>F256+G256+H256</f>
        <v/>
      </c>
      <c r="K256">
        <f>Data!R271</f>
        <v/>
      </c>
      <c r="L256">
        <f>Data!T271</f>
        <v/>
      </c>
      <c r="M256">
        <f>AND(E256=0,F256=0,G256=0,H256=0,I256=0,J256=0,K256=0,L256=0)</f>
        <v/>
      </c>
      <c r="N256">
        <f>G256&lt;=$T$6</f>
        <v/>
      </c>
      <c r="O256">
        <f>G256&lt;=$T$12</f>
        <v/>
      </c>
      <c r="P256">
        <f>OR(AND(H256&gt;=$T$4,K256&lt;=$T$5,N256),M256)</f>
        <v/>
      </c>
      <c r="Q256">
        <f>OR(AND(I256&gt;=$T$10,K256&lt;=$T$11,O256),M256)</f>
        <v/>
      </c>
    </row>
    <row r="257">
      <c r="A257">
        <f>Data!E272</f>
        <v/>
      </c>
      <c r="B257">
        <f>Data!G272</f>
        <v/>
      </c>
      <c r="C257">
        <f>Data!H272</f>
        <v/>
      </c>
      <c r="D257">
        <f>Data!I272</f>
        <v/>
      </c>
      <c r="E257">
        <f>Data!M272</f>
        <v/>
      </c>
      <c r="F257">
        <f>Data!O272</f>
        <v/>
      </c>
      <c r="G257">
        <f>E257-F257</f>
        <v/>
      </c>
      <c r="H257">
        <f>Data!P272</f>
        <v/>
      </c>
      <c r="I257">
        <f>G257+H257</f>
        <v/>
      </c>
      <c r="J257">
        <f>F257+G257+H257</f>
        <v/>
      </c>
      <c r="K257">
        <f>Data!R272</f>
        <v/>
      </c>
      <c r="L257">
        <f>Data!T272</f>
        <v/>
      </c>
      <c r="M257">
        <f>AND(E257=0,F257=0,G257=0,H257=0,I257=0,J257=0,K257=0,L257=0)</f>
        <v/>
      </c>
      <c r="N257">
        <f>G257&lt;=$T$6</f>
        <v/>
      </c>
      <c r="O257">
        <f>G257&lt;=$T$12</f>
        <v/>
      </c>
      <c r="P257">
        <f>OR(AND(H257&gt;=$T$4,K257&lt;=$T$5,N257),M257)</f>
        <v/>
      </c>
      <c r="Q257">
        <f>OR(AND(I257&gt;=$T$10,K257&lt;=$T$11,O257),M257)</f>
        <v/>
      </c>
    </row>
    <row r="258">
      <c r="A258">
        <f>Data!E273</f>
        <v/>
      </c>
      <c r="B258">
        <f>Data!G273</f>
        <v/>
      </c>
      <c r="C258">
        <f>Data!H273</f>
        <v/>
      </c>
      <c r="D258">
        <f>Data!I273</f>
        <v/>
      </c>
      <c r="E258">
        <f>Data!M273</f>
        <v/>
      </c>
      <c r="F258">
        <f>Data!O273</f>
        <v/>
      </c>
      <c r="G258">
        <f>E258-F258</f>
        <v/>
      </c>
      <c r="H258">
        <f>Data!P273</f>
        <v/>
      </c>
      <c r="I258">
        <f>G258+H258</f>
        <v/>
      </c>
      <c r="J258">
        <f>F258+G258+H258</f>
        <v/>
      </c>
      <c r="K258">
        <f>Data!R273</f>
        <v/>
      </c>
      <c r="L258">
        <f>Data!T273</f>
        <v/>
      </c>
      <c r="M258">
        <f>AND(E258=0,F258=0,G258=0,H258=0,I258=0,J258=0,K258=0,L258=0)</f>
        <v/>
      </c>
      <c r="N258">
        <f>G258&lt;=$T$6</f>
        <v/>
      </c>
      <c r="O258">
        <f>G258&lt;=$T$12</f>
        <v/>
      </c>
      <c r="P258">
        <f>OR(AND(H258&gt;=$T$4,K258&lt;=$T$5,N258),M258)</f>
        <v/>
      </c>
      <c r="Q258">
        <f>OR(AND(I258&gt;=$T$10,K258&lt;=$T$11,O258),M258)</f>
        <v/>
      </c>
    </row>
    <row r="259">
      <c r="A259">
        <f>Data!E274</f>
        <v/>
      </c>
      <c r="B259">
        <f>Data!G274</f>
        <v/>
      </c>
      <c r="C259">
        <f>Data!H274</f>
        <v/>
      </c>
      <c r="D259">
        <f>Data!I274</f>
        <v/>
      </c>
      <c r="E259">
        <f>Data!M274</f>
        <v/>
      </c>
      <c r="F259">
        <f>Data!O274</f>
        <v/>
      </c>
      <c r="G259">
        <f>E259-F259</f>
        <v/>
      </c>
      <c r="H259">
        <f>Data!P274</f>
        <v/>
      </c>
      <c r="I259">
        <f>G259+H259</f>
        <v/>
      </c>
      <c r="J259">
        <f>F259+G259+H259</f>
        <v/>
      </c>
      <c r="K259">
        <f>Data!R274</f>
        <v/>
      </c>
      <c r="L259">
        <f>Data!T274</f>
        <v/>
      </c>
      <c r="M259">
        <f>AND(E259=0,F259=0,G259=0,H259=0,I259=0,J259=0,K259=0,L259=0)</f>
        <v/>
      </c>
      <c r="N259">
        <f>G259&lt;=$T$6</f>
        <v/>
      </c>
      <c r="O259">
        <f>G259&lt;=$T$12</f>
        <v/>
      </c>
      <c r="P259">
        <f>OR(AND(H259&gt;=$T$4,K259&lt;=$T$5,N259),M259)</f>
        <v/>
      </c>
      <c r="Q259">
        <f>OR(AND(I259&gt;=$T$10,K259&lt;=$T$11,O259),M259)</f>
        <v/>
      </c>
    </row>
    <row r="260">
      <c r="A260">
        <f>Data!E275</f>
        <v/>
      </c>
      <c r="B260">
        <f>Data!G275</f>
        <v/>
      </c>
      <c r="C260">
        <f>Data!H275</f>
        <v/>
      </c>
      <c r="D260">
        <f>Data!I275</f>
        <v/>
      </c>
      <c r="E260">
        <f>Data!M275</f>
        <v/>
      </c>
      <c r="F260">
        <f>Data!O275</f>
        <v/>
      </c>
      <c r="G260">
        <f>E260-F260</f>
        <v/>
      </c>
      <c r="H260">
        <f>Data!P275</f>
        <v/>
      </c>
      <c r="I260">
        <f>G260+H260</f>
        <v/>
      </c>
      <c r="J260">
        <f>F260+G260+H260</f>
        <v/>
      </c>
      <c r="K260">
        <f>Data!R275</f>
        <v/>
      </c>
      <c r="L260">
        <f>Data!T275</f>
        <v/>
      </c>
      <c r="M260">
        <f>AND(E260=0,F260=0,G260=0,H260=0,I260=0,J260=0,K260=0,L260=0)</f>
        <v/>
      </c>
      <c r="N260">
        <f>G260&lt;=$T$6</f>
        <v/>
      </c>
      <c r="O260">
        <f>G260&lt;=$T$12</f>
        <v/>
      </c>
      <c r="P260">
        <f>OR(AND(H260&gt;=$T$4,K260&lt;=$T$5,N260),M260)</f>
        <v/>
      </c>
      <c r="Q260">
        <f>OR(AND(I260&gt;=$T$10,K260&lt;=$T$11,O260),M260)</f>
        <v/>
      </c>
    </row>
    <row r="261">
      <c r="A261">
        <f>Data!E276</f>
        <v/>
      </c>
      <c r="B261">
        <f>Data!G276</f>
        <v/>
      </c>
      <c r="C261">
        <f>Data!H276</f>
        <v/>
      </c>
      <c r="D261">
        <f>Data!I276</f>
        <v/>
      </c>
      <c r="E261">
        <f>Data!M276</f>
        <v/>
      </c>
      <c r="F261">
        <f>Data!O276</f>
        <v/>
      </c>
      <c r="G261">
        <f>E261-F261</f>
        <v/>
      </c>
      <c r="H261">
        <f>Data!P276</f>
        <v/>
      </c>
      <c r="I261">
        <f>G261+H261</f>
        <v/>
      </c>
      <c r="J261">
        <f>F261+G261+H261</f>
        <v/>
      </c>
      <c r="K261">
        <f>Data!R276</f>
        <v/>
      </c>
      <c r="L261">
        <f>Data!T276</f>
        <v/>
      </c>
      <c r="M261">
        <f>AND(E261=0,F261=0,G261=0,H261=0,I261=0,J261=0,K261=0,L261=0)</f>
        <v/>
      </c>
      <c r="N261">
        <f>G261&lt;=$T$6</f>
        <v/>
      </c>
      <c r="O261">
        <f>G261&lt;=$T$12</f>
        <v/>
      </c>
      <c r="P261">
        <f>OR(AND(H261&gt;=$T$4,K261&lt;=$T$5,N261),M261)</f>
        <v/>
      </c>
      <c r="Q261">
        <f>OR(AND(I261&gt;=$T$10,K261&lt;=$T$11,O261),M261)</f>
        <v/>
      </c>
    </row>
    <row r="262">
      <c r="A262">
        <f>Data!E277</f>
        <v/>
      </c>
      <c r="B262">
        <f>Data!G277</f>
        <v/>
      </c>
      <c r="C262">
        <f>Data!H277</f>
        <v/>
      </c>
      <c r="D262">
        <f>Data!I277</f>
        <v/>
      </c>
      <c r="E262">
        <f>Data!M277</f>
        <v/>
      </c>
      <c r="F262">
        <f>Data!O277</f>
        <v/>
      </c>
      <c r="G262">
        <f>E262-F262</f>
        <v/>
      </c>
      <c r="H262">
        <f>Data!P277</f>
        <v/>
      </c>
      <c r="I262">
        <f>G262+H262</f>
        <v/>
      </c>
      <c r="J262">
        <f>F262+G262+H262</f>
        <v/>
      </c>
      <c r="K262">
        <f>Data!R277</f>
        <v/>
      </c>
      <c r="L262">
        <f>Data!T277</f>
        <v/>
      </c>
      <c r="M262">
        <f>AND(E262=0,F262=0,G262=0,H262=0,I262=0,J262=0,K262=0,L262=0)</f>
        <v/>
      </c>
      <c r="N262">
        <f>G262&lt;=$T$6</f>
        <v/>
      </c>
      <c r="O262">
        <f>G262&lt;=$T$12</f>
        <v/>
      </c>
      <c r="P262">
        <f>OR(AND(H262&gt;=$T$4,K262&lt;=$T$5,N262),M262)</f>
        <v/>
      </c>
      <c r="Q262">
        <f>OR(AND(I262&gt;=$T$10,K262&lt;=$T$11,O262),M262)</f>
        <v/>
      </c>
    </row>
    <row r="263">
      <c r="A263">
        <f>Data!E278</f>
        <v/>
      </c>
      <c r="B263">
        <f>Data!G278</f>
        <v/>
      </c>
      <c r="C263">
        <f>Data!H278</f>
        <v/>
      </c>
      <c r="D263">
        <f>Data!I278</f>
        <v/>
      </c>
      <c r="E263">
        <f>Data!M278</f>
        <v/>
      </c>
      <c r="F263">
        <f>Data!O278</f>
        <v/>
      </c>
      <c r="G263">
        <f>E263-F263</f>
        <v/>
      </c>
      <c r="H263">
        <f>Data!P278</f>
        <v/>
      </c>
      <c r="I263">
        <f>G263+H263</f>
        <v/>
      </c>
      <c r="J263">
        <f>F263+G263+H263</f>
        <v/>
      </c>
      <c r="K263">
        <f>Data!R278</f>
        <v/>
      </c>
      <c r="L263">
        <f>Data!T278</f>
        <v/>
      </c>
      <c r="M263">
        <f>AND(E263=0,F263=0,G263=0,H263=0,I263=0,J263=0,K263=0,L263=0)</f>
        <v/>
      </c>
      <c r="N263">
        <f>G263&lt;=$T$6</f>
        <v/>
      </c>
      <c r="O263">
        <f>G263&lt;=$T$12</f>
        <v/>
      </c>
      <c r="P263">
        <f>OR(AND(H263&gt;=$T$4,K263&lt;=$T$5,N263),M263)</f>
        <v/>
      </c>
      <c r="Q263">
        <f>OR(AND(I263&gt;=$T$10,K263&lt;=$T$11,O263),M263)</f>
        <v/>
      </c>
    </row>
    <row r="264">
      <c r="A264">
        <f>Data!E279</f>
        <v/>
      </c>
      <c r="B264">
        <f>Data!G279</f>
        <v/>
      </c>
      <c r="C264">
        <f>Data!H279</f>
        <v/>
      </c>
      <c r="D264">
        <f>Data!I279</f>
        <v/>
      </c>
      <c r="E264">
        <f>Data!M279</f>
        <v/>
      </c>
      <c r="F264">
        <f>Data!O279</f>
        <v/>
      </c>
      <c r="G264">
        <f>E264-F264</f>
        <v/>
      </c>
      <c r="H264">
        <f>Data!P279</f>
        <v/>
      </c>
      <c r="I264">
        <f>G264+H264</f>
        <v/>
      </c>
      <c r="J264">
        <f>F264+G264+H264</f>
        <v/>
      </c>
      <c r="K264">
        <f>Data!R279</f>
        <v/>
      </c>
      <c r="L264">
        <f>Data!T279</f>
        <v/>
      </c>
      <c r="M264">
        <f>AND(E264=0,F264=0,G264=0,H264=0,I264=0,J264=0,K264=0,L264=0)</f>
        <v/>
      </c>
      <c r="N264">
        <f>G264&lt;=$T$6</f>
        <v/>
      </c>
      <c r="O264">
        <f>G264&lt;=$T$12</f>
        <v/>
      </c>
      <c r="P264">
        <f>OR(AND(H264&gt;=$T$4,K264&lt;=$T$5,N264),M264)</f>
        <v/>
      </c>
      <c r="Q264">
        <f>OR(AND(I264&gt;=$T$10,K264&lt;=$T$11,O264),M264)</f>
        <v/>
      </c>
    </row>
    <row r="265">
      <c r="A265">
        <f>Data!E280</f>
        <v/>
      </c>
      <c r="B265">
        <f>Data!G280</f>
        <v/>
      </c>
      <c r="C265">
        <f>Data!H280</f>
        <v/>
      </c>
      <c r="D265">
        <f>Data!I280</f>
        <v/>
      </c>
      <c r="E265">
        <f>Data!M280</f>
        <v/>
      </c>
      <c r="F265">
        <f>Data!O280</f>
        <v/>
      </c>
      <c r="G265">
        <f>E265-F265</f>
        <v/>
      </c>
      <c r="H265">
        <f>Data!P280</f>
        <v/>
      </c>
      <c r="I265">
        <f>G265+H265</f>
        <v/>
      </c>
      <c r="J265">
        <f>F265+G265+H265</f>
        <v/>
      </c>
      <c r="K265">
        <f>Data!R280</f>
        <v/>
      </c>
      <c r="L265">
        <f>Data!T280</f>
        <v/>
      </c>
      <c r="M265">
        <f>AND(E265=0,F265=0,G265=0,H265=0,I265=0,J265=0,K265=0,L265=0)</f>
        <v/>
      </c>
      <c r="N265">
        <f>G265&lt;=$T$6</f>
        <v/>
      </c>
      <c r="O265">
        <f>G265&lt;=$T$12</f>
        <v/>
      </c>
      <c r="P265">
        <f>OR(AND(H265&gt;=$T$4,K265&lt;=$T$5,N265),M265)</f>
        <v/>
      </c>
      <c r="Q265">
        <f>OR(AND(I265&gt;=$T$10,K265&lt;=$T$11,O265),M265)</f>
        <v/>
      </c>
    </row>
    <row r="266">
      <c r="A266">
        <f>Data!E281</f>
        <v/>
      </c>
      <c r="B266">
        <f>Data!G281</f>
        <v/>
      </c>
      <c r="C266">
        <f>Data!H281</f>
        <v/>
      </c>
      <c r="D266">
        <f>Data!I281</f>
        <v/>
      </c>
      <c r="E266">
        <f>Data!M281</f>
        <v/>
      </c>
      <c r="F266">
        <f>Data!O281</f>
        <v/>
      </c>
      <c r="G266">
        <f>E266-F266</f>
        <v/>
      </c>
      <c r="H266">
        <f>Data!P281</f>
        <v/>
      </c>
      <c r="I266">
        <f>G266+H266</f>
        <v/>
      </c>
      <c r="J266">
        <f>F266+G266+H266</f>
        <v/>
      </c>
      <c r="K266">
        <f>Data!R281</f>
        <v/>
      </c>
      <c r="L266">
        <f>Data!T281</f>
        <v/>
      </c>
      <c r="M266">
        <f>AND(E266=0,F266=0,G266=0,H266=0,I266=0,J266=0,K266=0,L266=0)</f>
        <v/>
      </c>
      <c r="N266">
        <f>G266&lt;=$T$6</f>
        <v/>
      </c>
      <c r="O266">
        <f>G266&lt;=$T$12</f>
        <v/>
      </c>
      <c r="P266">
        <f>OR(AND(H266&gt;=$T$4,K266&lt;=$T$5,N266),M266)</f>
        <v/>
      </c>
      <c r="Q266">
        <f>OR(AND(I266&gt;=$T$10,K266&lt;=$T$11,O266),M266)</f>
        <v/>
      </c>
    </row>
    <row r="267">
      <c r="A267">
        <f>Data!E282</f>
        <v/>
      </c>
      <c r="B267">
        <f>Data!G282</f>
        <v/>
      </c>
      <c r="C267">
        <f>Data!H282</f>
        <v/>
      </c>
      <c r="D267">
        <f>Data!I282</f>
        <v/>
      </c>
      <c r="E267">
        <f>Data!M282</f>
        <v/>
      </c>
      <c r="F267">
        <f>Data!O282</f>
        <v/>
      </c>
      <c r="G267">
        <f>E267-F267</f>
        <v/>
      </c>
      <c r="H267">
        <f>Data!P282</f>
        <v/>
      </c>
      <c r="I267">
        <f>G267+H267</f>
        <v/>
      </c>
      <c r="J267">
        <f>F267+G267+H267</f>
        <v/>
      </c>
      <c r="K267">
        <f>Data!R282</f>
        <v/>
      </c>
      <c r="L267">
        <f>Data!T282</f>
        <v/>
      </c>
      <c r="M267">
        <f>AND(E267=0,F267=0,G267=0,H267=0,I267=0,J267=0,K267=0,L267=0)</f>
        <v/>
      </c>
      <c r="N267">
        <f>G267&lt;=$T$6</f>
        <v/>
      </c>
      <c r="O267">
        <f>G267&lt;=$T$12</f>
        <v/>
      </c>
      <c r="P267">
        <f>OR(AND(H267&gt;=$T$4,K267&lt;=$T$5,N267),M267)</f>
        <v/>
      </c>
      <c r="Q267">
        <f>OR(AND(I267&gt;=$T$10,K267&lt;=$T$11,O267),M267)</f>
        <v/>
      </c>
    </row>
    <row r="268">
      <c r="A268">
        <f>Data!E283</f>
        <v/>
      </c>
      <c r="B268">
        <f>Data!G283</f>
        <v/>
      </c>
      <c r="C268">
        <f>Data!H283</f>
        <v/>
      </c>
      <c r="D268">
        <f>Data!I283</f>
        <v/>
      </c>
      <c r="E268">
        <f>Data!M283</f>
        <v/>
      </c>
      <c r="F268">
        <f>Data!O283</f>
        <v/>
      </c>
      <c r="G268">
        <f>E268-F268</f>
        <v/>
      </c>
      <c r="H268">
        <f>Data!P283</f>
        <v/>
      </c>
      <c r="I268">
        <f>G268+H268</f>
        <v/>
      </c>
      <c r="J268">
        <f>F268+G268+H268</f>
        <v/>
      </c>
      <c r="K268">
        <f>Data!R283</f>
        <v/>
      </c>
      <c r="L268">
        <f>Data!T283</f>
        <v/>
      </c>
      <c r="M268">
        <f>AND(E268=0,F268=0,G268=0,H268=0,I268=0,J268=0,K268=0,L268=0)</f>
        <v/>
      </c>
      <c r="N268">
        <f>G268&lt;=$T$6</f>
        <v/>
      </c>
      <c r="O268">
        <f>G268&lt;=$T$12</f>
        <v/>
      </c>
      <c r="P268">
        <f>OR(AND(H268&gt;=$T$4,K268&lt;=$T$5,N268),M268)</f>
        <v/>
      </c>
      <c r="Q268">
        <f>OR(AND(I268&gt;=$T$10,K268&lt;=$T$11,O268),M268)</f>
        <v/>
      </c>
    </row>
    <row r="269">
      <c r="A269">
        <f>Data!E284</f>
        <v/>
      </c>
      <c r="B269">
        <f>Data!G284</f>
        <v/>
      </c>
      <c r="C269">
        <f>Data!H284</f>
        <v/>
      </c>
      <c r="D269">
        <f>Data!I284</f>
        <v/>
      </c>
      <c r="E269">
        <f>Data!M284</f>
        <v/>
      </c>
      <c r="F269">
        <f>Data!O284</f>
        <v/>
      </c>
      <c r="G269">
        <f>E269-F269</f>
        <v/>
      </c>
      <c r="H269">
        <f>Data!P284</f>
        <v/>
      </c>
      <c r="I269">
        <f>G269+H269</f>
        <v/>
      </c>
      <c r="J269">
        <f>F269+G269+H269</f>
        <v/>
      </c>
      <c r="K269">
        <f>Data!R284</f>
        <v/>
      </c>
      <c r="L269">
        <f>Data!T284</f>
        <v/>
      </c>
      <c r="M269">
        <f>AND(E269=0,F269=0,G269=0,H269=0,I269=0,J269=0,K269=0,L269=0)</f>
        <v/>
      </c>
      <c r="N269">
        <f>G269&lt;=$T$6</f>
        <v/>
      </c>
      <c r="O269">
        <f>G269&lt;=$T$12</f>
        <v/>
      </c>
      <c r="P269">
        <f>OR(AND(H269&gt;=$T$4,K269&lt;=$T$5,N269),M269)</f>
        <v/>
      </c>
      <c r="Q269">
        <f>OR(AND(I269&gt;=$T$10,K269&lt;=$T$11,O269),M269)</f>
        <v/>
      </c>
    </row>
    <row r="270">
      <c r="A270">
        <f>Data!E286</f>
        <v/>
      </c>
      <c r="B270">
        <f>Data!G286</f>
        <v/>
      </c>
      <c r="C270">
        <f>Data!H286</f>
        <v/>
      </c>
      <c r="D270">
        <f>Data!I286</f>
        <v/>
      </c>
      <c r="E270">
        <f>Data!M286</f>
        <v/>
      </c>
      <c r="F270">
        <f>Data!O286</f>
        <v/>
      </c>
      <c r="G270">
        <f>E270-F270</f>
        <v/>
      </c>
      <c r="H270">
        <f>Data!P286</f>
        <v/>
      </c>
      <c r="I270">
        <f>G270+H270</f>
        <v/>
      </c>
      <c r="J270">
        <f>F270+G270+H270</f>
        <v/>
      </c>
      <c r="K270">
        <f>Data!R286</f>
        <v/>
      </c>
      <c r="L270">
        <f>Data!T286</f>
        <v/>
      </c>
      <c r="M270">
        <f>AND(E270=0,F270=0,G270=0,H270=0,I270=0,J270=0,K270=0,L270=0)</f>
        <v/>
      </c>
      <c r="N270">
        <f>G270&lt;=$T$6</f>
        <v/>
      </c>
      <c r="O270">
        <f>G270&lt;=$T$12</f>
        <v/>
      </c>
      <c r="P270">
        <f>OR(AND(H270&gt;=$T$4,K270&lt;=$T$5,N270),M270)</f>
        <v/>
      </c>
      <c r="Q270">
        <f>OR(AND(I270&gt;=$T$10,K270&lt;=$T$11,O270),M270)</f>
        <v/>
      </c>
    </row>
    <row r="271">
      <c r="A271">
        <f>Data!E287</f>
        <v/>
      </c>
      <c r="B271">
        <f>Data!G287</f>
        <v/>
      </c>
      <c r="C271">
        <f>Data!H287</f>
        <v/>
      </c>
      <c r="D271">
        <f>Data!I287</f>
        <v/>
      </c>
      <c r="E271">
        <f>Data!M287</f>
        <v/>
      </c>
      <c r="F271">
        <f>Data!O287</f>
        <v/>
      </c>
      <c r="G271">
        <f>E271-F271</f>
        <v/>
      </c>
      <c r="H271">
        <f>Data!P287</f>
        <v/>
      </c>
      <c r="I271">
        <f>G271+H271</f>
        <v/>
      </c>
      <c r="J271">
        <f>F271+G271+H271</f>
        <v/>
      </c>
      <c r="K271">
        <f>Data!R287</f>
        <v/>
      </c>
      <c r="L271">
        <f>Data!T287</f>
        <v/>
      </c>
      <c r="M271">
        <f>AND(E271=0,F271=0,G271=0,H271=0,I271=0,J271=0,K271=0,L271=0)</f>
        <v/>
      </c>
      <c r="N271">
        <f>G271&lt;=$T$6</f>
        <v/>
      </c>
      <c r="O271">
        <f>G271&lt;=$T$12</f>
        <v/>
      </c>
      <c r="P271">
        <f>OR(AND(H271&gt;=$T$4,K271&lt;=$T$5,N271),M271)</f>
        <v/>
      </c>
      <c r="Q271">
        <f>OR(AND(I271&gt;=$T$10,K271&lt;=$T$11,O271),M271)</f>
        <v/>
      </c>
    </row>
    <row r="272">
      <c r="A272">
        <f>Data!E288</f>
        <v/>
      </c>
      <c r="B272">
        <f>Data!G288</f>
        <v/>
      </c>
      <c r="C272">
        <f>Data!H288</f>
        <v/>
      </c>
      <c r="D272">
        <f>Data!I288</f>
        <v/>
      </c>
      <c r="E272">
        <f>Data!M288</f>
        <v/>
      </c>
      <c r="F272">
        <f>Data!O288</f>
        <v/>
      </c>
      <c r="G272">
        <f>E272-F272</f>
        <v/>
      </c>
      <c r="H272">
        <f>Data!P288</f>
        <v/>
      </c>
      <c r="I272">
        <f>G272+H272</f>
        <v/>
      </c>
      <c r="J272">
        <f>F272+G272+H272</f>
        <v/>
      </c>
      <c r="K272">
        <f>Data!R288</f>
        <v/>
      </c>
      <c r="L272">
        <f>Data!T288</f>
        <v/>
      </c>
      <c r="M272">
        <f>AND(E272=0,F272=0,G272=0,H272=0,I272=0,J272=0,K272=0,L272=0)</f>
        <v/>
      </c>
      <c r="N272">
        <f>G272&lt;=$T$6</f>
        <v/>
      </c>
      <c r="O272">
        <f>G272&lt;=$T$12</f>
        <v/>
      </c>
      <c r="P272">
        <f>OR(AND(H272&gt;=$T$4,K272&lt;=$T$5,N272),M272)</f>
        <v/>
      </c>
      <c r="Q272">
        <f>OR(AND(I272&gt;=$T$10,K272&lt;=$T$11,O272),M272)</f>
        <v/>
      </c>
    </row>
    <row r="273">
      <c r="A273">
        <f>Data!E289</f>
        <v/>
      </c>
      <c r="B273">
        <f>Data!G289</f>
        <v/>
      </c>
      <c r="C273">
        <f>Data!H289</f>
        <v/>
      </c>
      <c r="D273">
        <f>Data!I289</f>
        <v/>
      </c>
      <c r="E273">
        <f>Data!M289</f>
        <v/>
      </c>
      <c r="F273">
        <f>Data!O289</f>
        <v/>
      </c>
      <c r="G273">
        <f>E273-F273</f>
        <v/>
      </c>
      <c r="H273">
        <f>Data!P289</f>
        <v/>
      </c>
      <c r="I273">
        <f>G273+H273</f>
        <v/>
      </c>
      <c r="J273">
        <f>F273+G273+H273</f>
        <v/>
      </c>
      <c r="K273">
        <f>Data!R289</f>
        <v/>
      </c>
      <c r="L273">
        <f>Data!T289</f>
        <v/>
      </c>
      <c r="M273">
        <f>AND(E273=0,F273=0,G273=0,H273=0,I273=0,J273=0,K273=0,L273=0)</f>
        <v/>
      </c>
      <c r="N273">
        <f>G273&lt;=$T$6</f>
        <v/>
      </c>
      <c r="O273">
        <f>G273&lt;=$T$12</f>
        <v/>
      </c>
      <c r="P273">
        <f>OR(AND(H273&gt;=$T$4,K273&lt;=$T$5,N273),M273)</f>
        <v/>
      </c>
      <c r="Q273">
        <f>OR(AND(I273&gt;=$T$10,K273&lt;=$T$11,O273),M273)</f>
        <v/>
      </c>
    </row>
    <row r="274">
      <c r="A274">
        <f>Data!E290</f>
        <v/>
      </c>
      <c r="B274">
        <f>Data!G290</f>
        <v/>
      </c>
      <c r="C274">
        <f>Data!H290</f>
        <v/>
      </c>
      <c r="D274">
        <f>Data!I290</f>
        <v/>
      </c>
      <c r="E274">
        <f>Data!M290</f>
        <v/>
      </c>
      <c r="F274">
        <f>Data!O290</f>
        <v/>
      </c>
      <c r="G274">
        <f>E274-F274</f>
        <v/>
      </c>
      <c r="H274">
        <f>Data!P290</f>
        <v/>
      </c>
      <c r="I274">
        <f>G274+H274</f>
        <v/>
      </c>
      <c r="J274">
        <f>F274+G274+H274</f>
        <v/>
      </c>
      <c r="K274">
        <f>Data!R290</f>
        <v/>
      </c>
      <c r="L274">
        <f>Data!T290</f>
        <v/>
      </c>
      <c r="M274">
        <f>AND(E274=0,F274=0,G274=0,H274=0,I274=0,J274=0,K274=0,L274=0)</f>
        <v/>
      </c>
      <c r="N274">
        <f>G274&lt;=$T$6</f>
        <v/>
      </c>
      <c r="O274">
        <f>G274&lt;=$T$12</f>
        <v/>
      </c>
      <c r="P274">
        <f>OR(AND(H274&gt;=$T$4,K274&lt;=$T$5,N274),M274)</f>
        <v/>
      </c>
      <c r="Q274">
        <f>OR(AND(I274&gt;=$T$10,K274&lt;=$T$11,O274),M274)</f>
        <v/>
      </c>
    </row>
    <row r="275">
      <c r="A275">
        <f>Data!E291</f>
        <v/>
      </c>
      <c r="B275">
        <f>Data!G291</f>
        <v/>
      </c>
      <c r="C275">
        <f>Data!H291</f>
        <v/>
      </c>
      <c r="D275">
        <f>Data!I291</f>
        <v/>
      </c>
      <c r="E275">
        <f>Data!M291</f>
        <v/>
      </c>
      <c r="F275">
        <f>Data!O291</f>
        <v/>
      </c>
      <c r="G275">
        <f>E275-F275</f>
        <v/>
      </c>
      <c r="H275">
        <f>Data!P291</f>
        <v/>
      </c>
      <c r="I275">
        <f>G275+H275</f>
        <v/>
      </c>
      <c r="J275">
        <f>F275+G275+H275</f>
        <v/>
      </c>
      <c r="K275">
        <f>Data!R291</f>
        <v/>
      </c>
      <c r="L275">
        <f>Data!T291</f>
        <v/>
      </c>
      <c r="M275">
        <f>AND(E275=0,F275=0,G275=0,H275=0,I275=0,J275=0,K275=0,L275=0)</f>
        <v/>
      </c>
      <c r="N275">
        <f>G275&lt;=$T$6</f>
        <v/>
      </c>
      <c r="O275">
        <f>G275&lt;=$T$12</f>
        <v/>
      </c>
      <c r="P275">
        <f>OR(AND(H275&gt;=$T$4,K275&lt;=$T$5,N275),M275)</f>
        <v/>
      </c>
      <c r="Q275">
        <f>OR(AND(I275&gt;=$T$10,K275&lt;=$T$11,O275),M275)</f>
        <v/>
      </c>
    </row>
    <row r="276">
      <c r="A276">
        <f>Data!E292</f>
        <v/>
      </c>
      <c r="B276">
        <f>Data!G292</f>
        <v/>
      </c>
      <c r="C276">
        <f>Data!H292</f>
        <v/>
      </c>
      <c r="D276">
        <f>Data!I292</f>
        <v/>
      </c>
      <c r="E276">
        <f>Data!M292</f>
        <v/>
      </c>
      <c r="F276">
        <f>Data!O292</f>
        <v/>
      </c>
      <c r="G276">
        <f>E276-F276</f>
        <v/>
      </c>
      <c r="H276">
        <f>Data!P292</f>
        <v/>
      </c>
      <c r="I276">
        <f>G276+H276</f>
        <v/>
      </c>
      <c r="J276">
        <f>F276+G276+H276</f>
        <v/>
      </c>
      <c r="K276">
        <f>Data!R292</f>
        <v/>
      </c>
      <c r="L276">
        <f>Data!T292</f>
        <v/>
      </c>
      <c r="M276">
        <f>AND(E276=0,F276=0,G276=0,H276=0,I276=0,J276=0,K276=0,L276=0)</f>
        <v/>
      </c>
      <c r="N276">
        <f>G276&lt;=$T$6</f>
        <v/>
      </c>
      <c r="O276">
        <f>G276&lt;=$T$12</f>
        <v/>
      </c>
      <c r="P276">
        <f>OR(AND(H276&gt;=$T$4,K276&lt;=$T$5,N276),M276)</f>
        <v/>
      </c>
      <c r="Q276">
        <f>OR(AND(I276&gt;=$T$10,K276&lt;=$T$11,O276),M276)</f>
        <v/>
      </c>
    </row>
    <row r="277">
      <c r="A277">
        <f>Data!E293</f>
        <v/>
      </c>
      <c r="B277">
        <f>Data!G293</f>
        <v/>
      </c>
      <c r="C277">
        <f>Data!H293</f>
        <v/>
      </c>
      <c r="D277">
        <f>Data!I293</f>
        <v/>
      </c>
      <c r="E277">
        <f>Data!M293</f>
        <v/>
      </c>
      <c r="F277">
        <f>Data!O293</f>
        <v/>
      </c>
      <c r="G277">
        <f>E277-F277</f>
        <v/>
      </c>
      <c r="H277">
        <f>Data!P293</f>
        <v/>
      </c>
      <c r="I277">
        <f>G277+H277</f>
        <v/>
      </c>
      <c r="J277">
        <f>F277+G277+H277</f>
        <v/>
      </c>
      <c r="K277">
        <f>Data!R293</f>
        <v/>
      </c>
      <c r="L277">
        <f>Data!T293</f>
        <v/>
      </c>
      <c r="M277">
        <f>AND(E277=0,F277=0,G277=0,H277=0,I277=0,J277=0,K277=0,L277=0)</f>
        <v/>
      </c>
      <c r="N277">
        <f>G277&lt;=$T$6</f>
        <v/>
      </c>
      <c r="O277">
        <f>G277&lt;=$T$12</f>
        <v/>
      </c>
      <c r="P277">
        <f>OR(AND(H277&gt;=$T$4,K277&lt;=$T$5,N277),M277)</f>
        <v/>
      </c>
      <c r="Q277">
        <f>OR(AND(I277&gt;=$T$10,K277&lt;=$T$11,O277),M277)</f>
        <v/>
      </c>
    </row>
    <row r="278">
      <c r="A278">
        <f>Data!E294</f>
        <v/>
      </c>
      <c r="B278">
        <f>Data!G294</f>
        <v/>
      </c>
      <c r="C278">
        <f>Data!H294</f>
        <v/>
      </c>
      <c r="D278">
        <f>Data!I294</f>
        <v/>
      </c>
      <c r="E278">
        <f>Data!M294</f>
        <v/>
      </c>
      <c r="F278">
        <f>Data!O294</f>
        <v/>
      </c>
      <c r="G278">
        <f>E278-F278</f>
        <v/>
      </c>
      <c r="H278">
        <f>Data!P294</f>
        <v/>
      </c>
      <c r="I278">
        <f>G278+H278</f>
        <v/>
      </c>
      <c r="J278">
        <f>F278+G278+H278</f>
        <v/>
      </c>
      <c r="K278">
        <f>Data!R294</f>
        <v/>
      </c>
      <c r="L278">
        <f>Data!T294</f>
        <v/>
      </c>
      <c r="M278">
        <f>AND(E278=0,F278=0,G278=0,H278=0,I278=0,J278=0,K278=0,L278=0)</f>
        <v/>
      </c>
      <c r="N278">
        <f>G278&lt;=$T$6</f>
        <v/>
      </c>
      <c r="O278">
        <f>G278&lt;=$T$12</f>
        <v/>
      </c>
      <c r="P278">
        <f>OR(AND(H278&gt;=$T$4,K278&lt;=$T$5,N278),M278)</f>
        <v/>
      </c>
      <c r="Q278">
        <f>OR(AND(I278&gt;=$T$10,K278&lt;=$T$11,O278),M278)</f>
        <v/>
      </c>
    </row>
    <row r="279">
      <c r="A279">
        <f>Data!E295</f>
        <v/>
      </c>
      <c r="B279">
        <f>Data!G295</f>
        <v/>
      </c>
      <c r="C279">
        <f>Data!H295</f>
        <v/>
      </c>
      <c r="D279">
        <f>Data!I295</f>
        <v/>
      </c>
      <c r="E279">
        <f>Data!M295</f>
        <v/>
      </c>
      <c r="F279">
        <f>Data!O295</f>
        <v/>
      </c>
      <c r="G279">
        <f>E279-F279</f>
        <v/>
      </c>
      <c r="H279">
        <f>Data!P295</f>
        <v/>
      </c>
      <c r="I279">
        <f>G279+H279</f>
        <v/>
      </c>
      <c r="J279">
        <f>F279+G279+H279</f>
        <v/>
      </c>
      <c r="K279">
        <f>Data!R295</f>
        <v/>
      </c>
      <c r="L279">
        <f>Data!T295</f>
        <v/>
      </c>
      <c r="M279">
        <f>AND(E279=0,F279=0,G279=0,H279=0,I279=0,J279=0,K279=0,L279=0)</f>
        <v/>
      </c>
      <c r="N279">
        <f>G279&lt;=$T$6</f>
        <v/>
      </c>
      <c r="O279">
        <f>G279&lt;=$T$12</f>
        <v/>
      </c>
      <c r="P279">
        <f>OR(AND(H279&gt;=$T$4,K279&lt;=$T$5,N279),M279)</f>
        <v/>
      </c>
      <c r="Q279">
        <f>OR(AND(I279&gt;=$T$10,K279&lt;=$T$11,O279),M279)</f>
        <v/>
      </c>
    </row>
    <row r="280">
      <c r="A280">
        <f>Data!E296</f>
        <v/>
      </c>
      <c r="B280">
        <f>Data!G296</f>
        <v/>
      </c>
      <c r="C280">
        <f>Data!H296</f>
        <v/>
      </c>
      <c r="D280">
        <f>Data!I296</f>
        <v/>
      </c>
      <c r="E280">
        <f>Data!M296</f>
        <v/>
      </c>
      <c r="F280">
        <f>Data!O296</f>
        <v/>
      </c>
      <c r="G280">
        <f>E280-F280</f>
        <v/>
      </c>
      <c r="H280">
        <f>Data!P296</f>
        <v/>
      </c>
      <c r="I280">
        <f>G280+H280</f>
        <v/>
      </c>
      <c r="J280">
        <f>F280+G280+H280</f>
        <v/>
      </c>
      <c r="K280">
        <f>Data!R296</f>
        <v/>
      </c>
      <c r="L280">
        <f>Data!T296</f>
        <v/>
      </c>
      <c r="M280">
        <f>AND(E280=0,F280=0,G280=0,H280=0,I280=0,J280=0,K280=0,L280=0)</f>
        <v/>
      </c>
      <c r="N280">
        <f>G280&lt;=$T$6</f>
        <v/>
      </c>
      <c r="O280">
        <f>G280&lt;=$T$12</f>
        <v/>
      </c>
      <c r="P280">
        <f>OR(AND(H280&gt;=$T$4,K280&lt;=$T$5,N280),M280)</f>
        <v/>
      </c>
      <c r="Q280">
        <f>OR(AND(I280&gt;=$T$10,K280&lt;=$T$11,O280),M280)</f>
        <v/>
      </c>
    </row>
    <row r="281">
      <c r="A281">
        <f>Data!E297</f>
        <v/>
      </c>
      <c r="B281">
        <f>Data!G297</f>
        <v/>
      </c>
      <c r="C281">
        <f>Data!H297</f>
        <v/>
      </c>
      <c r="D281">
        <f>Data!I297</f>
        <v/>
      </c>
      <c r="E281">
        <f>Data!M297</f>
        <v/>
      </c>
      <c r="F281">
        <f>Data!O297</f>
        <v/>
      </c>
      <c r="G281">
        <f>E281-F281</f>
        <v/>
      </c>
      <c r="H281">
        <f>Data!P297</f>
        <v/>
      </c>
      <c r="I281">
        <f>G281+H281</f>
        <v/>
      </c>
      <c r="J281">
        <f>F281+G281+H281</f>
        <v/>
      </c>
      <c r="K281">
        <f>Data!R297</f>
        <v/>
      </c>
      <c r="L281">
        <f>Data!T297</f>
        <v/>
      </c>
      <c r="M281">
        <f>AND(E281=0,F281=0,G281=0,H281=0,I281=0,J281=0,K281=0,L281=0)</f>
        <v/>
      </c>
      <c r="N281">
        <f>G281&lt;=$T$6</f>
        <v/>
      </c>
      <c r="O281">
        <f>G281&lt;=$T$12</f>
        <v/>
      </c>
      <c r="P281">
        <f>OR(AND(H281&gt;=$T$4,K281&lt;=$T$5,N281),M281)</f>
        <v/>
      </c>
      <c r="Q281">
        <f>OR(AND(I281&gt;=$T$10,K281&lt;=$T$11,O281),M281)</f>
        <v/>
      </c>
    </row>
    <row r="282">
      <c r="A282">
        <f>Data!E298</f>
        <v/>
      </c>
      <c r="B282">
        <f>Data!G298</f>
        <v/>
      </c>
      <c r="C282">
        <f>Data!H298</f>
        <v/>
      </c>
      <c r="D282">
        <f>Data!I298</f>
        <v/>
      </c>
      <c r="E282">
        <f>Data!M298</f>
        <v/>
      </c>
      <c r="F282">
        <f>Data!O298</f>
        <v/>
      </c>
      <c r="G282">
        <f>E282-F282</f>
        <v/>
      </c>
      <c r="H282">
        <f>Data!P298</f>
        <v/>
      </c>
      <c r="I282">
        <f>G282+H282</f>
        <v/>
      </c>
      <c r="J282">
        <f>F282+G282+H282</f>
        <v/>
      </c>
      <c r="K282">
        <f>Data!R298</f>
        <v/>
      </c>
      <c r="L282">
        <f>Data!T298</f>
        <v/>
      </c>
      <c r="M282">
        <f>AND(E282=0,F282=0,G282=0,H282=0,I282=0,J282=0,K282=0,L282=0)</f>
        <v/>
      </c>
      <c r="N282">
        <f>G282&lt;=$T$6</f>
        <v/>
      </c>
      <c r="O282">
        <f>G282&lt;=$T$12</f>
        <v/>
      </c>
      <c r="P282">
        <f>OR(AND(H282&gt;=$T$4,K282&lt;=$T$5,N282),M282)</f>
        <v/>
      </c>
      <c r="Q282">
        <f>OR(AND(I282&gt;=$T$10,K282&lt;=$T$11,O282),M282)</f>
        <v/>
      </c>
    </row>
    <row r="283">
      <c r="A283">
        <f>Data!E299</f>
        <v/>
      </c>
      <c r="B283">
        <f>Data!G299</f>
        <v/>
      </c>
      <c r="C283">
        <f>Data!H299</f>
        <v/>
      </c>
      <c r="D283">
        <f>Data!I299</f>
        <v/>
      </c>
      <c r="E283">
        <f>Data!M299</f>
        <v/>
      </c>
      <c r="F283">
        <f>Data!O299</f>
        <v/>
      </c>
      <c r="G283">
        <f>E283-F283</f>
        <v/>
      </c>
      <c r="H283">
        <f>Data!P299</f>
        <v/>
      </c>
      <c r="I283">
        <f>G283+H283</f>
        <v/>
      </c>
      <c r="J283">
        <f>F283+G283+H283</f>
        <v/>
      </c>
      <c r="K283">
        <f>Data!R299</f>
        <v/>
      </c>
      <c r="L283">
        <f>Data!T299</f>
        <v/>
      </c>
      <c r="M283">
        <f>AND(E283=0,F283=0,G283=0,H283=0,I283=0,J283=0,K283=0,L283=0)</f>
        <v/>
      </c>
      <c r="N283">
        <f>G283&lt;=$T$6</f>
        <v/>
      </c>
      <c r="O283">
        <f>G283&lt;=$T$12</f>
        <v/>
      </c>
      <c r="P283">
        <f>OR(AND(H283&gt;=$T$4,K283&lt;=$T$5,N283),M283)</f>
        <v/>
      </c>
      <c r="Q283">
        <f>OR(AND(I283&gt;=$T$10,K283&lt;=$T$11,O283),M283)</f>
        <v/>
      </c>
    </row>
    <row r="284">
      <c r="A284">
        <f>Data!E300</f>
        <v/>
      </c>
      <c r="B284">
        <f>Data!G300</f>
        <v/>
      </c>
      <c r="C284">
        <f>Data!H300</f>
        <v/>
      </c>
      <c r="D284">
        <f>Data!I300</f>
        <v/>
      </c>
      <c r="E284">
        <f>Data!M300</f>
        <v/>
      </c>
      <c r="F284">
        <f>Data!O300</f>
        <v/>
      </c>
      <c r="G284">
        <f>E284-F284</f>
        <v/>
      </c>
      <c r="H284">
        <f>Data!P300</f>
        <v/>
      </c>
      <c r="I284">
        <f>G284+H284</f>
        <v/>
      </c>
      <c r="J284">
        <f>F284+G284+H284</f>
        <v/>
      </c>
      <c r="K284">
        <f>Data!R300</f>
        <v/>
      </c>
      <c r="L284">
        <f>Data!T300</f>
        <v/>
      </c>
      <c r="M284">
        <f>AND(E284=0,F284=0,G284=0,H284=0,I284=0,J284=0,K284=0,L284=0)</f>
        <v/>
      </c>
      <c r="N284">
        <f>G284&lt;=$T$6</f>
        <v/>
      </c>
      <c r="O284">
        <f>G284&lt;=$T$12</f>
        <v/>
      </c>
      <c r="P284">
        <f>OR(AND(H284&gt;=$T$4,K284&lt;=$T$5,N284),M284)</f>
        <v/>
      </c>
      <c r="Q284">
        <f>OR(AND(I284&gt;=$T$10,K284&lt;=$T$11,O284),M284)</f>
        <v/>
      </c>
    </row>
    <row r="285">
      <c r="A285">
        <f>Data!E301</f>
        <v/>
      </c>
      <c r="B285">
        <f>Data!G301</f>
        <v/>
      </c>
      <c r="C285">
        <f>Data!H301</f>
        <v/>
      </c>
      <c r="D285">
        <f>Data!I301</f>
        <v/>
      </c>
      <c r="E285">
        <f>Data!M301</f>
        <v/>
      </c>
      <c r="F285">
        <f>Data!O301</f>
        <v/>
      </c>
      <c r="G285">
        <f>E285-F285</f>
        <v/>
      </c>
      <c r="H285">
        <f>Data!P301</f>
        <v/>
      </c>
      <c r="I285">
        <f>G285+H285</f>
        <v/>
      </c>
      <c r="J285">
        <f>F285+G285+H285</f>
        <v/>
      </c>
      <c r="K285">
        <f>Data!R301</f>
        <v/>
      </c>
      <c r="L285">
        <f>Data!T301</f>
        <v/>
      </c>
      <c r="M285">
        <f>AND(E285=0,F285=0,G285=0,H285=0,I285=0,J285=0,K285=0,L285=0)</f>
        <v/>
      </c>
      <c r="N285">
        <f>G285&lt;=$T$6</f>
        <v/>
      </c>
      <c r="O285">
        <f>G285&lt;=$T$12</f>
        <v/>
      </c>
      <c r="P285">
        <f>OR(AND(H285&gt;=$T$4,K285&lt;=$T$5,N285),M285)</f>
        <v/>
      </c>
      <c r="Q285">
        <f>OR(AND(I285&gt;=$T$10,K285&lt;=$T$11,O285),M285)</f>
        <v/>
      </c>
    </row>
    <row r="286">
      <c r="A286">
        <f>Data!E302</f>
        <v/>
      </c>
      <c r="B286">
        <f>Data!G302</f>
        <v/>
      </c>
      <c r="C286">
        <f>Data!H302</f>
        <v/>
      </c>
      <c r="D286">
        <f>Data!I302</f>
        <v/>
      </c>
      <c r="E286">
        <f>Data!M302</f>
        <v/>
      </c>
      <c r="F286">
        <f>Data!O302</f>
        <v/>
      </c>
      <c r="G286">
        <f>E286-F286</f>
        <v/>
      </c>
      <c r="H286">
        <f>Data!P302</f>
        <v/>
      </c>
      <c r="I286">
        <f>G286+H286</f>
        <v/>
      </c>
      <c r="J286">
        <f>F286+G286+H286</f>
        <v/>
      </c>
      <c r="K286">
        <f>Data!R302</f>
        <v/>
      </c>
      <c r="L286">
        <f>Data!T302</f>
        <v/>
      </c>
      <c r="M286">
        <f>AND(E286=0,F286=0,G286=0,H286=0,I286=0,J286=0,K286=0,L286=0)</f>
        <v/>
      </c>
      <c r="N286">
        <f>G286&lt;=$T$6</f>
        <v/>
      </c>
      <c r="O286">
        <f>G286&lt;=$T$12</f>
        <v/>
      </c>
      <c r="P286">
        <f>OR(AND(H286&gt;=$T$4,K286&lt;=$T$5,N286),M286)</f>
        <v/>
      </c>
      <c r="Q286">
        <f>OR(AND(I286&gt;=$T$10,K286&lt;=$T$11,O286),M286)</f>
        <v/>
      </c>
    </row>
    <row r="287">
      <c r="A287">
        <f>Data!E303</f>
        <v/>
      </c>
      <c r="B287">
        <f>Data!G303</f>
        <v/>
      </c>
      <c r="C287">
        <f>Data!H303</f>
        <v/>
      </c>
      <c r="D287">
        <f>Data!I303</f>
        <v/>
      </c>
      <c r="E287">
        <f>Data!M303</f>
        <v/>
      </c>
      <c r="F287">
        <f>Data!O303</f>
        <v/>
      </c>
      <c r="G287">
        <f>E287-F287</f>
        <v/>
      </c>
      <c r="H287">
        <f>Data!P303</f>
        <v/>
      </c>
      <c r="I287">
        <f>G287+H287</f>
        <v/>
      </c>
      <c r="J287">
        <f>F287+G287+H287</f>
        <v/>
      </c>
      <c r="K287">
        <f>Data!R303</f>
        <v/>
      </c>
      <c r="L287">
        <f>Data!T303</f>
        <v/>
      </c>
      <c r="M287">
        <f>AND(E287=0,F287=0,G287=0,H287=0,I287=0,J287=0,K287=0,L287=0)</f>
        <v/>
      </c>
      <c r="N287">
        <f>G287&lt;=$T$6</f>
        <v/>
      </c>
      <c r="O287">
        <f>G287&lt;=$T$12</f>
        <v/>
      </c>
      <c r="P287">
        <f>OR(AND(H287&gt;=$T$4,K287&lt;=$T$5,N287),M287)</f>
        <v/>
      </c>
      <c r="Q287">
        <f>OR(AND(I287&gt;=$T$10,K287&lt;=$T$11,O287),M287)</f>
        <v/>
      </c>
    </row>
    <row r="288">
      <c r="A288">
        <f>Data!E304</f>
        <v/>
      </c>
      <c r="B288">
        <f>Data!G304</f>
        <v/>
      </c>
      <c r="C288">
        <f>Data!H304</f>
        <v/>
      </c>
      <c r="D288">
        <f>Data!I304</f>
        <v/>
      </c>
      <c r="E288">
        <f>Data!M304</f>
        <v/>
      </c>
      <c r="F288">
        <f>Data!O304</f>
        <v/>
      </c>
      <c r="G288">
        <f>E288-F288</f>
        <v/>
      </c>
      <c r="H288">
        <f>Data!P304</f>
        <v/>
      </c>
      <c r="I288">
        <f>G288+H288</f>
        <v/>
      </c>
      <c r="J288">
        <f>F288+G288+H288</f>
        <v/>
      </c>
      <c r="K288">
        <f>Data!R304</f>
        <v/>
      </c>
      <c r="L288">
        <f>Data!T304</f>
        <v/>
      </c>
      <c r="M288">
        <f>AND(E288=0,F288=0,G288=0,H288=0,I288=0,J288=0,K288=0,L288=0)</f>
        <v/>
      </c>
      <c r="N288">
        <f>G288&lt;=$T$6</f>
        <v/>
      </c>
      <c r="O288">
        <f>G288&lt;=$T$12</f>
        <v/>
      </c>
      <c r="P288">
        <f>OR(AND(H288&gt;=$T$4,K288&lt;=$T$5,N288),M288)</f>
        <v/>
      </c>
      <c r="Q288">
        <f>OR(AND(I288&gt;=$T$10,K288&lt;=$T$11,O288),M288)</f>
        <v/>
      </c>
    </row>
    <row r="289">
      <c r="A289">
        <f>Data!E305</f>
        <v/>
      </c>
      <c r="B289">
        <f>Data!G305</f>
        <v/>
      </c>
      <c r="C289">
        <f>Data!H305</f>
        <v/>
      </c>
      <c r="D289">
        <f>Data!I305</f>
        <v/>
      </c>
      <c r="E289">
        <f>Data!M305</f>
        <v/>
      </c>
      <c r="F289">
        <f>Data!O305</f>
        <v/>
      </c>
      <c r="G289">
        <f>E289-F289</f>
        <v/>
      </c>
      <c r="H289">
        <f>Data!P305</f>
        <v/>
      </c>
      <c r="I289">
        <f>G289+H289</f>
        <v/>
      </c>
      <c r="J289">
        <f>F289+G289+H289</f>
        <v/>
      </c>
      <c r="K289">
        <f>Data!R305</f>
        <v/>
      </c>
      <c r="L289">
        <f>Data!T305</f>
        <v/>
      </c>
      <c r="M289">
        <f>AND(E289=0,F289=0,G289=0,H289=0,I289=0,J289=0,K289=0,L289=0)</f>
        <v/>
      </c>
      <c r="N289">
        <f>G289&lt;=$T$6</f>
        <v/>
      </c>
      <c r="O289">
        <f>G289&lt;=$T$12</f>
        <v/>
      </c>
      <c r="P289">
        <f>OR(AND(H289&gt;=$T$4,K289&lt;=$T$5,N289),M289)</f>
        <v/>
      </c>
      <c r="Q289">
        <f>OR(AND(I289&gt;=$T$10,K289&lt;=$T$11,O289),M289)</f>
        <v/>
      </c>
    </row>
    <row r="290">
      <c r="A290">
        <f>Data!E306</f>
        <v/>
      </c>
      <c r="B290">
        <f>Data!G306</f>
        <v/>
      </c>
      <c r="C290">
        <f>Data!H306</f>
        <v/>
      </c>
      <c r="D290">
        <f>Data!I306</f>
        <v/>
      </c>
      <c r="E290">
        <f>Data!M306</f>
        <v/>
      </c>
      <c r="F290">
        <f>Data!O306</f>
        <v/>
      </c>
      <c r="G290">
        <f>E290-F290</f>
        <v/>
      </c>
      <c r="H290">
        <f>Data!P306</f>
        <v/>
      </c>
      <c r="I290">
        <f>G290+H290</f>
        <v/>
      </c>
      <c r="J290">
        <f>F290+G290+H290</f>
        <v/>
      </c>
      <c r="K290">
        <f>Data!R306</f>
        <v/>
      </c>
      <c r="L290">
        <f>Data!T306</f>
        <v/>
      </c>
      <c r="M290">
        <f>AND(E290=0,F290=0,G290=0,H290=0,I290=0,J290=0,K290=0,L290=0)</f>
        <v/>
      </c>
      <c r="N290">
        <f>G290&lt;=$T$6</f>
        <v/>
      </c>
      <c r="O290">
        <f>G290&lt;=$T$12</f>
        <v/>
      </c>
      <c r="P290">
        <f>OR(AND(H290&gt;=$T$4,K290&lt;=$T$5,N290),M290)</f>
        <v/>
      </c>
      <c r="Q290">
        <f>OR(AND(I290&gt;=$T$10,K290&lt;=$T$11,O290),M290)</f>
        <v/>
      </c>
    </row>
    <row r="291">
      <c r="A291">
        <f>Data!E307</f>
        <v/>
      </c>
      <c r="B291">
        <f>Data!G307</f>
        <v/>
      </c>
      <c r="C291">
        <f>Data!H307</f>
        <v/>
      </c>
      <c r="D291">
        <f>Data!I307</f>
        <v/>
      </c>
      <c r="E291">
        <f>Data!M307</f>
        <v/>
      </c>
      <c r="F291">
        <f>Data!O307</f>
        <v/>
      </c>
      <c r="G291">
        <f>E291-F291</f>
        <v/>
      </c>
      <c r="H291">
        <f>Data!P307</f>
        <v/>
      </c>
      <c r="I291">
        <f>G291+H291</f>
        <v/>
      </c>
      <c r="J291">
        <f>F291+G291+H291</f>
        <v/>
      </c>
      <c r="K291">
        <f>Data!R307</f>
        <v/>
      </c>
      <c r="L291">
        <f>Data!T307</f>
        <v/>
      </c>
      <c r="M291">
        <f>AND(E291=0,F291=0,G291=0,H291=0,I291=0,J291=0,K291=0,L291=0)</f>
        <v/>
      </c>
      <c r="N291">
        <f>G291&lt;=$T$6</f>
        <v/>
      </c>
      <c r="O291">
        <f>G291&lt;=$T$12</f>
        <v/>
      </c>
      <c r="P291">
        <f>OR(AND(H291&gt;=$T$4,K291&lt;=$T$5,N291),M291)</f>
        <v/>
      </c>
      <c r="Q291">
        <f>OR(AND(I291&gt;=$T$10,K291&lt;=$T$11,O291),M291)</f>
        <v/>
      </c>
    </row>
    <row r="292">
      <c r="A292">
        <f>Data!E308</f>
        <v/>
      </c>
      <c r="B292">
        <f>Data!G308</f>
        <v/>
      </c>
      <c r="C292">
        <f>Data!H308</f>
        <v/>
      </c>
      <c r="D292">
        <f>Data!I308</f>
        <v/>
      </c>
      <c r="E292">
        <f>Data!M308</f>
        <v/>
      </c>
      <c r="F292">
        <f>Data!O308</f>
        <v/>
      </c>
      <c r="G292">
        <f>E292-F292</f>
        <v/>
      </c>
      <c r="H292">
        <f>Data!P308</f>
        <v/>
      </c>
      <c r="I292">
        <f>G292+H292</f>
        <v/>
      </c>
      <c r="J292">
        <f>F292+G292+H292</f>
        <v/>
      </c>
      <c r="K292">
        <f>Data!R308</f>
        <v/>
      </c>
      <c r="L292">
        <f>Data!T308</f>
        <v/>
      </c>
      <c r="M292">
        <f>AND(E292=0,F292=0,G292=0,H292=0,I292=0,J292=0,K292=0,L292=0)</f>
        <v/>
      </c>
      <c r="N292">
        <f>G292&lt;=$T$6</f>
        <v/>
      </c>
      <c r="O292">
        <f>G292&lt;=$T$12</f>
        <v/>
      </c>
      <c r="P292">
        <f>OR(AND(H292&gt;=$T$4,K292&lt;=$T$5,N292),M292)</f>
        <v/>
      </c>
      <c r="Q292">
        <f>OR(AND(I292&gt;=$T$10,K292&lt;=$T$11,O292),M292)</f>
        <v/>
      </c>
    </row>
    <row r="293">
      <c r="A293">
        <f>Data!E309</f>
        <v/>
      </c>
      <c r="B293">
        <f>Data!G309</f>
        <v/>
      </c>
      <c r="C293">
        <f>Data!H309</f>
        <v/>
      </c>
      <c r="D293">
        <f>Data!I309</f>
        <v/>
      </c>
      <c r="E293">
        <f>Data!M309</f>
        <v/>
      </c>
      <c r="F293">
        <f>Data!O309</f>
        <v/>
      </c>
      <c r="G293">
        <f>E293-F293</f>
        <v/>
      </c>
      <c r="H293">
        <f>Data!P309</f>
        <v/>
      </c>
      <c r="I293">
        <f>G293+H293</f>
        <v/>
      </c>
      <c r="J293">
        <f>F293+G293+H293</f>
        <v/>
      </c>
      <c r="K293">
        <f>Data!R309</f>
        <v/>
      </c>
      <c r="L293">
        <f>Data!T309</f>
        <v/>
      </c>
      <c r="M293">
        <f>AND(E293=0,F293=0,G293=0,H293=0,I293=0,J293=0,K293=0,L293=0)</f>
        <v/>
      </c>
      <c r="N293">
        <f>G293&lt;=$T$6</f>
        <v/>
      </c>
      <c r="O293">
        <f>G293&lt;=$T$12</f>
        <v/>
      </c>
      <c r="P293">
        <f>OR(AND(H293&gt;=$T$4,K293&lt;=$T$5,N293),M293)</f>
        <v/>
      </c>
      <c r="Q293">
        <f>OR(AND(I293&gt;=$T$10,K293&lt;=$T$11,O293),M293)</f>
        <v/>
      </c>
    </row>
    <row r="294">
      <c r="A294">
        <f>Data!E310</f>
        <v/>
      </c>
      <c r="B294">
        <f>Data!G310</f>
        <v/>
      </c>
      <c r="C294">
        <f>Data!H310</f>
        <v/>
      </c>
      <c r="D294">
        <f>Data!I310</f>
        <v/>
      </c>
      <c r="E294">
        <f>Data!M310</f>
        <v/>
      </c>
      <c r="F294">
        <f>Data!O310</f>
        <v/>
      </c>
      <c r="G294">
        <f>E294-F294</f>
        <v/>
      </c>
      <c r="H294">
        <f>Data!P310</f>
        <v/>
      </c>
      <c r="I294">
        <f>G294+H294</f>
        <v/>
      </c>
      <c r="J294">
        <f>F294+G294+H294</f>
        <v/>
      </c>
      <c r="K294">
        <f>Data!R310</f>
        <v/>
      </c>
      <c r="L294">
        <f>Data!T310</f>
        <v/>
      </c>
      <c r="M294">
        <f>AND(E294=0,F294=0,G294=0,H294=0,I294=0,J294=0,K294=0,L294=0)</f>
        <v/>
      </c>
      <c r="N294">
        <f>G294&lt;=$T$6</f>
        <v/>
      </c>
      <c r="O294">
        <f>G294&lt;=$T$12</f>
        <v/>
      </c>
      <c r="P294">
        <f>OR(AND(H294&gt;=$T$4,K294&lt;=$T$5,N294),M294)</f>
        <v/>
      </c>
      <c r="Q294">
        <f>OR(AND(I294&gt;=$T$10,K294&lt;=$T$11,O294),M294)</f>
        <v/>
      </c>
    </row>
    <row r="295">
      <c r="A295">
        <f>Data!E311</f>
        <v/>
      </c>
      <c r="B295">
        <f>Data!G311</f>
        <v/>
      </c>
      <c r="C295">
        <f>Data!H311</f>
        <v/>
      </c>
      <c r="D295">
        <f>Data!I311</f>
        <v/>
      </c>
      <c r="E295">
        <f>Data!M311</f>
        <v/>
      </c>
      <c r="F295">
        <f>Data!O311</f>
        <v/>
      </c>
      <c r="G295">
        <f>E295-F295</f>
        <v/>
      </c>
      <c r="H295">
        <f>Data!P311</f>
        <v/>
      </c>
      <c r="I295">
        <f>G295+H295</f>
        <v/>
      </c>
      <c r="J295">
        <f>F295+G295+H295</f>
        <v/>
      </c>
      <c r="K295">
        <f>Data!R311</f>
        <v/>
      </c>
      <c r="L295">
        <f>Data!T311</f>
        <v/>
      </c>
      <c r="M295">
        <f>AND(E295=0,F295=0,G295=0,H295=0,I295=0,J295=0,K295=0,L295=0)</f>
        <v/>
      </c>
      <c r="N295">
        <f>G295&lt;=$T$6</f>
        <v/>
      </c>
      <c r="O295">
        <f>G295&lt;=$T$12</f>
        <v/>
      </c>
      <c r="P295">
        <f>OR(AND(H295&gt;=$T$4,K295&lt;=$T$5,N295),M295)</f>
        <v/>
      </c>
      <c r="Q295">
        <f>OR(AND(I295&gt;=$T$10,K295&lt;=$T$11,O295),M295)</f>
        <v/>
      </c>
    </row>
    <row r="296">
      <c r="A296">
        <f>Data!E312</f>
        <v/>
      </c>
      <c r="B296">
        <f>Data!G312</f>
        <v/>
      </c>
      <c r="C296">
        <f>Data!H312</f>
        <v/>
      </c>
      <c r="D296">
        <f>Data!I312</f>
        <v/>
      </c>
      <c r="E296">
        <f>Data!M312</f>
        <v/>
      </c>
      <c r="F296">
        <f>Data!O312</f>
        <v/>
      </c>
      <c r="G296">
        <f>E296-F296</f>
        <v/>
      </c>
      <c r="H296">
        <f>Data!P312</f>
        <v/>
      </c>
      <c r="I296">
        <f>G296+H296</f>
        <v/>
      </c>
      <c r="J296">
        <f>F296+G296+H296</f>
        <v/>
      </c>
      <c r="K296">
        <f>Data!R312</f>
        <v/>
      </c>
      <c r="L296">
        <f>Data!T312</f>
        <v/>
      </c>
      <c r="M296">
        <f>AND(E296=0,F296=0,G296=0,H296=0,I296=0,J296=0,K296=0,L296=0)</f>
        <v/>
      </c>
      <c r="N296">
        <f>G296&lt;=$T$6</f>
        <v/>
      </c>
      <c r="O296">
        <f>G296&lt;=$T$12</f>
        <v/>
      </c>
      <c r="P296">
        <f>OR(AND(H296&gt;=$T$4,K296&lt;=$T$5,N296),M296)</f>
        <v/>
      </c>
      <c r="Q296">
        <f>OR(AND(I296&gt;=$T$10,K296&lt;=$T$11,O296),M296)</f>
        <v/>
      </c>
    </row>
    <row r="297">
      <c r="A297">
        <f>Data!E313</f>
        <v/>
      </c>
      <c r="B297">
        <f>Data!G313</f>
        <v/>
      </c>
      <c r="C297">
        <f>Data!H313</f>
        <v/>
      </c>
      <c r="D297">
        <f>Data!I313</f>
        <v/>
      </c>
      <c r="E297">
        <f>Data!M313</f>
        <v/>
      </c>
      <c r="F297">
        <f>Data!O313</f>
        <v/>
      </c>
      <c r="G297">
        <f>E297-F297</f>
        <v/>
      </c>
      <c r="H297">
        <f>Data!P313</f>
        <v/>
      </c>
      <c r="I297">
        <f>G297+H297</f>
        <v/>
      </c>
      <c r="J297">
        <f>F297+G297+H297</f>
        <v/>
      </c>
      <c r="K297">
        <f>Data!R313</f>
        <v/>
      </c>
      <c r="L297">
        <f>Data!T313</f>
        <v/>
      </c>
      <c r="M297">
        <f>AND(E297=0,F297=0,G297=0,H297=0,I297=0,J297=0,K297=0,L297=0)</f>
        <v/>
      </c>
      <c r="N297">
        <f>G297&lt;=$T$6</f>
        <v/>
      </c>
      <c r="O297">
        <f>G297&lt;=$T$12</f>
        <v/>
      </c>
      <c r="P297">
        <f>OR(AND(H297&gt;=$T$4,K297&lt;=$T$5,N297),M297)</f>
        <v/>
      </c>
      <c r="Q297">
        <f>OR(AND(I297&gt;=$T$10,K297&lt;=$T$11,O297),M297)</f>
        <v/>
      </c>
    </row>
    <row r="298">
      <c r="A298">
        <f>Data!E314</f>
        <v/>
      </c>
      <c r="B298">
        <f>Data!G314</f>
        <v/>
      </c>
      <c r="C298">
        <f>Data!H314</f>
        <v/>
      </c>
      <c r="D298">
        <f>Data!I314</f>
        <v/>
      </c>
      <c r="E298">
        <f>Data!M314</f>
        <v/>
      </c>
      <c r="F298">
        <f>Data!O314</f>
        <v/>
      </c>
      <c r="G298">
        <f>E298-F298</f>
        <v/>
      </c>
      <c r="H298">
        <f>Data!P314</f>
        <v/>
      </c>
      <c r="I298">
        <f>G298+H298</f>
        <v/>
      </c>
      <c r="J298">
        <f>F298+G298+H298</f>
        <v/>
      </c>
      <c r="K298">
        <f>Data!R314</f>
        <v/>
      </c>
      <c r="L298">
        <f>Data!T314</f>
        <v/>
      </c>
      <c r="M298">
        <f>AND(E298=0,F298=0,G298=0,H298=0,I298=0,J298=0,K298=0,L298=0)</f>
        <v/>
      </c>
      <c r="N298">
        <f>G298&lt;=$T$6</f>
        <v/>
      </c>
      <c r="O298">
        <f>G298&lt;=$T$12</f>
        <v/>
      </c>
      <c r="P298">
        <f>OR(AND(H298&gt;=$T$4,K298&lt;=$T$5,N298),M298)</f>
        <v/>
      </c>
      <c r="Q298">
        <f>OR(AND(I298&gt;=$T$10,K298&lt;=$T$11,O298),M298)</f>
        <v/>
      </c>
    </row>
    <row r="299">
      <c r="A299">
        <f>Data!E315</f>
        <v/>
      </c>
      <c r="B299">
        <f>Data!G315</f>
        <v/>
      </c>
      <c r="C299">
        <f>Data!H315</f>
        <v/>
      </c>
      <c r="D299">
        <f>Data!I315</f>
        <v/>
      </c>
      <c r="E299">
        <f>Data!M315</f>
        <v/>
      </c>
      <c r="F299">
        <f>Data!O315</f>
        <v/>
      </c>
      <c r="G299">
        <f>E299-F299</f>
        <v/>
      </c>
      <c r="H299">
        <f>Data!P315</f>
        <v/>
      </c>
      <c r="I299">
        <f>G299+H299</f>
        <v/>
      </c>
      <c r="J299">
        <f>F299+G299+H299</f>
        <v/>
      </c>
      <c r="K299">
        <f>Data!R315</f>
        <v/>
      </c>
      <c r="L299">
        <f>Data!T315</f>
        <v/>
      </c>
      <c r="M299">
        <f>AND(E299=0,F299=0,G299=0,H299=0,I299=0,J299=0,K299=0,L299=0)</f>
        <v/>
      </c>
      <c r="N299">
        <f>G299&lt;=$T$6</f>
        <v/>
      </c>
      <c r="O299">
        <f>G299&lt;=$T$12</f>
        <v/>
      </c>
      <c r="P299">
        <f>OR(AND(H299&gt;=$T$4,K299&lt;=$T$5,N299),M299)</f>
        <v/>
      </c>
      <c r="Q299">
        <f>OR(AND(I299&gt;=$T$10,K299&lt;=$T$11,O299),M299)</f>
        <v/>
      </c>
    </row>
    <row r="300">
      <c r="A300">
        <f>Data!E316</f>
        <v/>
      </c>
      <c r="B300">
        <f>Data!G316</f>
        <v/>
      </c>
      <c r="C300">
        <f>Data!H316</f>
        <v/>
      </c>
      <c r="D300">
        <f>Data!I316</f>
        <v/>
      </c>
      <c r="E300">
        <f>Data!M316</f>
        <v/>
      </c>
      <c r="F300">
        <f>Data!O316</f>
        <v/>
      </c>
      <c r="G300">
        <f>E300-F300</f>
        <v/>
      </c>
      <c r="H300">
        <f>Data!P316</f>
        <v/>
      </c>
      <c r="I300">
        <f>G300+H300</f>
        <v/>
      </c>
      <c r="J300">
        <f>F300+G300+H300</f>
        <v/>
      </c>
      <c r="K300">
        <f>Data!R316</f>
        <v/>
      </c>
      <c r="L300">
        <f>Data!T316</f>
        <v/>
      </c>
      <c r="M300">
        <f>AND(E300=0,F300=0,G300=0,H300=0,I300=0,J300=0,K300=0,L300=0)</f>
        <v/>
      </c>
      <c r="N300">
        <f>G300&lt;=$T$6</f>
        <v/>
      </c>
      <c r="O300">
        <f>G300&lt;=$T$12</f>
        <v/>
      </c>
      <c r="P300">
        <f>OR(AND(H300&gt;=$T$4,K300&lt;=$T$5,N300),M300)</f>
        <v/>
      </c>
      <c r="Q300">
        <f>OR(AND(I300&gt;=$T$10,K300&lt;=$T$11,O300),M300)</f>
        <v/>
      </c>
    </row>
    <row r="301">
      <c r="A301">
        <f>Data!E317</f>
        <v/>
      </c>
      <c r="B301">
        <f>Data!G317</f>
        <v/>
      </c>
      <c r="C301">
        <f>Data!H317</f>
        <v/>
      </c>
      <c r="D301">
        <f>Data!I317</f>
        <v/>
      </c>
      <c r="E301">
        <f>Data!M317</f>
        <v/>
      </c>
      <c r="F301">
        <f>Data!O317</f>
        <v/>
      </c>
      <c r="G301">
        <f>E301-F301</f>
        <v/>
      </c>
      <c r="H301">
        <f>Data!P317</f>
        <v/>
      </c>
      <c r="I301">
        <f>G301+H301</f>
        <v/>
      </c>
      <c r="J301">
        <f>F301+G301+H301</f>
        <v/>
      </c>
      <c r="K301">
        <f>Data!R317</f>
        <v/>
      </c>
      <c r="L301">
        <f>Data!T317</f>
        <v/>
      </c>
      <c r="M301">
        <f>AND(E301=0,F301=0,G301=0,H301=0,I301=0,J301=0,K301=0,L301=0)</f>
        <v/>
      </c>
      <c r="N301">
        <f>G301&lt;=$T$6</f>
        <v/>
      </c>
      <c r="O301">
        <f>G301&lt;=$T$12</f>
        <v/>
      </c>
      <c r="P301">
        <f>OR(AND(H301&gt;=$T$4,K301&lt;=$T$5,N301),M301)</f>
        <v/>
      </c>
      <c r="Q301">
        <f>OR(AND(I301&gt;=$T$10,K301&lt;=$T$11,O301),M301)</f>
        <v/>
      </c>
    </row>
    <row r="302">
      <c r="A302">
        <f>Data!E318</f>
        <v/>
      </c>
      <c r="B302">
        <f>Data!G318</f>
        <v/>
      </c>
      <c r="C302">
        <f>Data!H318</f>
        <v/>
      </c>
      <c r="D302">
        <f>Data!I318</f>
        <v/>
      </c>
      <c r="E302">
        <f>Data!M318</f>
        <v/>
      </c>
      <c r="F302">
        <f>Data!O318</f>
        <v/>
      </c>
      <c r="G302">
        <f>E302-F302</f>
        <v/>
      </c>
      <c r="H302">
        <f>Data!P318</f>
        <v/>
      </c>
      <c r="I302">
        <f>G302+H302</f>
        <v/>
      </c>
      <c r="J302">
        <f>F302+G302+H302</f>
        <v/>
      </c>
      <c r="K302">
        <f>Data!R318</f>
        <v/>
      </c>
      <c r="L302">
        <f>Data!T318</f>
        <v/>
      </c>
      <c r="M302">
        <f>AND(E302=0,F302=0,G302=0,H302=0,I302=0,J302=0,K302=0,L302=0)</f>
        <v/>
      </c>
      <c r="N302">
        <f>G302&lt;=$T$6</f>
        <v/>
      </c>
      <c r="O302">
        <f>G302&lt;=$T$12</f>
        <v/>
      </c>
      <c r="P302">
        <f>OR(AND(H302&gt;=$T$4,K302&lt;=$T$5,N302),M302)</f>
        <v/>
      </c>
      <c r="Q302">
        <f>OR(AND(I302&gt;=$T$10,K302&lt;=$T$11,O302),M302)</f>
        <v/>
      </c>
    </row>
    <row r="303">
      <c r="A303">
        <f>Data!E319</f>
        <v/>
      </c>
      <c r="B303">
        <f>Data!G319</f>
        <v/>
      </c>
      <c r="C303">
        <f>Data!H319</f>
        <v/>
      </c>
      <c r="D303">
        <f>Data!I319</f>
        <v/>
      </c>
      <c r="E303">
        <f>Data!M319</f>
        <v/>
      </c>
      <c r="F303">
        <f>Data!O319</f>
        <v/>
      </c>
      <c r="G303">
        <f>E303-F303</f>
        <v/>
      </c>
      <c r="H303">
        <f>Data!P319</f>
        <v/>
      </c>
      <c r="I303">
        <f>G303+H303</f>
        <v/>
      </c>
      <c r="J303">
        <f>F303+G303+H303</f>
        <v/>
      </c>
      <c r="K303">
        <f>Data!R319</f>
        <v/>
      </c>
      <c r="L303">
        <f>Data!T319</f>
        <v/>
      </c>
      <c r="M303">
        <f>AND(E303=0,F303=0,G303=0,H303=0,I303=0,J303=0,K303=0,L303=0)</f>
        <v/>
      </c>
      <c r="N303">
        <f>G303&lt;=$T$6</f>
        <v/>
      </c>
      <c r="O303">
        <f>G303&lt;=$T$12</f>
        <v/>
      </c>
      <c r="P303">
        <f>OR(AND(H303&gt;=$T$4,K303&lt;=$T$5,N303),M303)</f>
        <v/>
      </c>
      <c r="Q303">
        <f>OR(AND(I303&gt;=$T$10,K303&lt;=$T$11,O303),M303)</f>
        <v/>
      </c>
    </row>
    <row r="304">
      <c r="A304">
        <f>Data!E320</f>
        <v/>
      </c>
      <c r="B304">
        <f>Data!G320</f>
        <v/>
      </c>
      <c r="C304">
        <f>Data!H320</f>
        <v/>
      </c>
      <c r="D304">
        <f>Data!I320</f>
        <v/>
      </c>
      <c r="E304">
        <f>Data!M320</f>
        <v/>
      </c>
      <c r="F304">
        <f>Data!O320</f>
        <v/>
      </c>
      <c r="G304">
        <f>E304-F304</f>
        <v/>
      </c>
      <c r="H304">
        <f>Data!P320</f>
        <v/>
      </c>
      <c r="I304">
        <f>G304+H304</f>
        <v/>
      </c>
      <c r="J304">
        <f>F304+G304+H304</f>
        <v/>
      </c>
      <c r="K304">
        <f>Data!R320</f>
        <v/>
      </c>
      <c r="L304">
        <f>Data!T320</f>
        <v/>
      </c>
      <c r="M304">
        <f>AND(E304=0,F304=0,G304=0,H304=0,I304=0,J304=0,K304=0,L304=0)</f>
        <v/>
      </c>
      <c r="N304">
        <f>G304&lt;=$T$6</f>
        <v/>
      </c>
      <c r="O304">
        <f>G304&lt;=$T$12</f>
        <v/>
      </c>
      <c r="P304">
        <f>OR(AND(H304&gt;=$T$4,K304&lt;=$T$5,N304),M304)</f>
        <v/>
      </c>
      <c r="Q304">
        <f>OR(AND(I304&gt;=$T$10,K304&lt;=$T$11,O304),M304)</f>
        <v/>
      </c>
    </row>
    <row r="305">
      <c r="A305">
        <f>Data!E321</f>
        <v/>
      </c>
      <c r="B305">
        <f>Data!G321</f>
        <v/>
      </c>
      <c r="C305">
        <f>Data!H321</f>
        <v/>
      </c>
      <c r="D305">
        <f>Data!I321</f>
        <v/>
      </c>
      <c r="E305">
        <f>Data!M321</f>
        <v/>
      </c>
      <c r="F305">
        <f>Data!O321</f>
        <v/>
      </c>
      <c r="G305">
        <f>E305-F305</f>
        <v/>
      </c>
      <c r="H305">
        <f>Data!P321</f>
        <v/>
      </c>
      <c r="I305">
        <f>G305+H305</f>
        <v/>
      </c>
      <c r="J305">
        <f>F305+G305+H305</f>
        <v/>
      </c>
      <c r="K305">
        <f>Data!R321</f>
        <v/>
      </c>
      <c r="L305">
        <f>Data!T321</f>
        <v/>
      </c>
      <c r="M305">
        <f>AND(E305=0,F305=0,G305=0,H305=0,I305=0,J305=0,K305=0,L305=0)</f>
        <v/>
      </c>
      <c r="N305">
        <f>G305&lt;=$T$6</f>
        <v/>
      </c>
      <c r="O305">
        <f>G305&lt;=$T$12</f>
        <v/>
      </c>
      <c r="P305">
        <f>OR(AND(H305&gt;=$T$4,K305&lt;=$T$5,N305),M305)</f>
        <v/>
      </c>
      <c r="Q305">
        <f>OR(AND(I305&gt;=$T$10,K305&lt;=$T$11,O305),M305)</f>
        <v/>
      </c>
    </row>
    <row r="306">
      <c r="A306">
        <f>Data!E322</f>
        <v/>
      </c>
      <c r="B306">
        <f>Data!G322</f>
        <v/>
      </c>
      <c r="C306">
        <f>Data!H322</f>
        <v/>
      </c>
      <c r="D306">
        <f>Data!I322</f>
        <v/>
      </c>
      <c r="E306">
        <f>Data!M322</f>
        <v/>
      </c>
      <c r="F306">
        <f>Data!O322</f>
        <v/>
      </c>
      <c r="G306">
        <f>E306-F306</f>
        <v/>
      </c>
      <c r="H306">
        <f>Data!P322</f>
        <v/>
      </c>
      <c r="I306">
        <f>G306+H306</f>
        <v/>
      </c>
      <c r="J306">
        <f>F306+G306+H306</f>
        <v/>
      </c>
      <c r="K306">
        <f>Data!R322</f>
        <v/>
      </c>
      <c r="L306">
        <f>Data!T322</f>
        <v/>
      </c>
      <c r="M306">
        <f>AND(E306=0,F306=0,G306=0,H306=0,I306=0,J306=0,K306=0,L306=0)</f>
        <v/>
      </c>
      <c r="N306">
        <f>G306&lt;=$T$6</f>
        <v/>
      </c>
      <c r="O306">
        <f>G306&lt;=$T$12</f>
        <v/>
      </c>
      <c r="P306">
        <f>OR(AND(H306&gt;=$T$4,K306&lt;=$T$5,N306),M306)</f>
        <v/>
      </c>
      <c r="Q306">
        <f>OR(AND(I306&gt;=$T$10,K306&lt;=$T$11,O306),M306)</f>
        <v/>
      </c>
    </row>
    <row r="307">
      <c r="A307">
        <f>Data!E323</f>
        <v/>
      </c>
      <c r="B307">
        <f>Data!G323</f>
        <v/>
      </c>
      <c r="C307">
        <f>Data!H323</f>
        <v/>
      </c>
      <c r="D307">
        <f>Data!I323</f>
        <v/>
      </c>
      <c r="E307">
        <f>Data!M323</f>
        <v/>
      </c>
      <c r="F307">
        <f>Data!O323</f>
        <v/>
      </c>
      <c r="G307">
        <f>E307-F307</f>
        <v/>
      </c>
      <c r="H307">
        <f>Data!P323</f>
        <v/>
      </c>
      <c r="I307">
        <f>G307+H307</f>
        <v/>
      </c>
      <c r="J307">
        <f>F307+G307+H307</f>
        <v/>
      </c>
      <c r="K307">
        <f>Data!R323</f>
        <v/>
      </c>
      <c r="L307">
        <f>Data!T323</f>
        <v/>
      </c>
      <c r="M307">
        <f>AND(E307=0,F307=0,G307=0,H307=0,I307=0,J307=0,K307=0,L307=0)</f>
        <v/>
      </c>
      <c r="N307">
        <f>G307&lt;=$T$6</f>
        <v/>
      </c>
      <c r="O307">
        <f>G307&lt;=$T$12</f>
        <v/>
      </c>
      <c r="P307">
        <f>OR(AND(H307&gt;=$T$4,K307&lt;=$T$5,N307),M307)</f>
        <v/>
      </c>
      <c r="Q307">
        <f>OR(AND(I307&gt;=$T$10,K307&lt;=$T$11,O307),M307)</f>
        <v/>
      </c>
    </row>
    <row r="308">
      <c r="A308">
        <f>Data!E324</f>
        <v/>
      </c>
      <c r="B308">
        <f>Data!G324</f>
        <v/>
      </c>
      <c r="C308">
        <f>Data!H324</f>
        <v/>
      </c>
      <c r="D308">
        <f>Data!I324</f>
        <v/>
      </c>
      <c r="E308">
        <f>Data!M324</f>
        <v/>
      </c>
      <c r="F308">
        <f>Data!O324</f>
        <v/>
      </c>
      <c r="G308">
        <f>E308-F308</f>
        <v/>
      </c>
      <c r="H308">
        <f>Data!P324</f>
        <v/>
      </c>
      <c r="I308">
        <f>G308+H308</f>
        <v/>
      </c>
      <c r="J308">
        <f>F308+G308+H308</f>
        <v/>
      </c>
      <c r="K308">
        <f>Data!R324</f>
        <v/>
      </c>
      <c r="L308">
        <f>Data!T324</f>
        <v/>
      </c>
      <c r="M308">
        <f>AND(E308=0,F308=0,G308=0,H308=0,I308=0,J308=0,K308=0,L308=0)</f>
        <v/>
      </c>
      <c r="N308">
        <f>G308&lt;=$T$6</f>
        <v/>
      </c>
      <c r="O308">
        <f>G308&lt;=$T$12</f>
        <v/>
      </c>
      <c r="P308">
        <f>OR(AND(H308&gt;=$T$4,K308&lt;=$T$5,N308),M308)</f>
        <v/>
      </c>
      <c r="Q308">
        <f>OR(AND(I308&gt;=$T$10,K308&lt;=$T$11,O308),M308)</f>
        <v/>
      </c>
    </row>
    <row r="309">
      <c r="A309">
        <f>Data!E325</f>
        <v/>
      </c>
      <c r="B309">
        <f>Data!G325</f>
        <v/>
      </c>
      <c r="C309">
        <f>Data!H325</f>
        <v/>
      </c>
      <c r="D309">
        <f>Data!I325</f>
        <v/>
      </c>
      <c r="E309">
        <f>Data!M325</f>
        <v/>
      </c>
      <c r="F309">
        <f>Data!O325</f>
        <v/>
      </c>
      <c r="G309">
        <f>E309-F309</f>
        <v/>
      </c>
      <c r="H309">
        <f>Data!P325</f>
        <v/>
      </c>
      <c r="I309">
        <f>G309+H309</f>
        <v/>
      </c>
      <c r="J309">
        <f>F309+G309+H309</f>
        <v/>
      </c>
      <c r="K309">
        <f>Data!R325</f>
        <v/>
      </c>
      <c r="L309">
        <f>Data!T325</f>
        <v/>
      </c>
      <c r="M309">
        <f>AND(E309=0,F309=0,G309=0,H309=0,I309=0,J309=0,K309=0,L309=0)</f>
        <v/>
      </c>
      <c r="N309">
        <f>G309&lt;=$T$6</f>
        <v/>
      </c>
      <c r="O309">
        <f>G309&lt;=$T$12</f>
        <v/>
      </c>
      <c r="P309">
        <f>OR(AND(H309&gt;=$T$4,K309&lt;=$T$5,N309),M309)</f>
        <v/>
      </c>
      <c r="Q309">
        <f>OR(AND(I309&gt;=$T$10,K309&lt;=$T$11,O309),M309)</f>
        <v/>
      </c>
    </row>
    <row r="310">
      <c r="A310">
        <f>Data!E326</f>
        <v/>
      </c>
      <c r="B310">
        <f>Data!G326</f>
        <v/>
      </c>
      <c r="C310">
        <f>Data!H326</f>
        <v/>
      </c>
      <c r="D310">
        <f>Data!I326</f>
        <v/>
      </c>
      <c r="E310">
        <f>Data!M326</f>
        <v/>
      </c>
      <c r="F310">
        <f>Data!O326</f>
        <v/>
      </c>
      <c r="G310">
        <f>E310-F310</f>
        <v/>
      </c>
      <c r="H310">
        <f>Data!P326</f>
        <v/>
      </c>
      <c r="I310">
        <f>G310+H310</f>
        <v/>
      </c>
      <c r="J310">
        <f>F310+G310+H310</f>
        <v/>
      </c>
      <c r="K310">
        <f>Data!R326</f>
        <v/>
      </c>
      <c r="L310">
        <f>Data!T326</f>
        <v/>
      </c>
      <c r="M310">
        <f>AND(E310=0,F310=0,G310=0,H310=0,I310=0,J310=0,K310=0,L310=0)</f>
        <v/>
      </c>
      <c r="N310">
        <f>G310&lt;=$T$6</f>
        <v/>
      </c>
      <c r="O310">
        <f>G310&lt;=$T$12</f>
        <v/>
      </c>
      <c r="P310">
        <f>OR(AND(H310&gt;=$T$4,K310&lt;=$T$5,N310),M310)</f>
        <v/>
      </c>
      <c r="Q310">
        <f>OR(AND(I310&gt;=$T$10,K310&lt;=$T$11,O310),M310)</f>
        <v/>
      </c>
    </row>
    <row r="311">
      <c r="A311">
        <f>Data!E327</f>
        <v/>
      </c>
      <c r="B311">
        <f>Data!G327</f>
        <v/>
      </c>
      <c r="C311">
        <f>Data!H327</f>
        <v/>
      </c>
      <c r="D311">
        <f>Data!I327</f>
        <v/>
      </c>
      <c r="E311">
        <f>Data!M327</f>
        <v/>
      </c>
      <c r="F311">
        <f>Data!O327</f>
        <v/>
      </c>
      <c r="G311">
        <f>E311-F311</f>
        <v/>
      </c>
      <c r="H311">
        <f>Data!P327</f>
        <v/>
      </c>
      <c r="I311">
        <f>G311+H311</f>
        <v/>
      </c>
      <c r="J311">
        <f>F311+G311+H311</f>
        <v/>
      </c>
      <c r="K311">
        <f>Data!R327</f>
        <v/>
      </c>
      <c r="L311">
        <f>Data!T327</f>
        <v/>
      </c>
      <c r="M311">
        <f>AND(E311=0,F311=0,G311=0,H311=0,I311=0,J311=0,K311=0,L311=0)</f>
        <v/>
      </c>
      <c r="N311">
        <f>G311&lt;=$T$6</f>
        <v/>
      </c>
      <c r="O311">
        <f>G311&lt;=$T$12</f>
        <v/>
      </c>
      <c r="P311">
        <f>OR(AND(H311&gt;=$T$4,K311&lt;=$T$5,N311),M311)</f>
        <v/>
      </c>
      <c r="Q311">
        <f>OR(AND(I311&gt;=$T$10,K311&lt;=$T$11,O311),M311)</f>
        <v/>
      </c>
    </row>
    <row r="312">
      <c r="A312">
        <f>Data!E328</f>
        <v/>
      </c>
      <c r="B312">
        <f>Data!G328</f>
        <v/>
      </c>
      <c r="C312">
        <f>Data!H328</f>
        <v/>
      </c>
      <c r="D312">
        <f>Data!I328</f>
        <v/>
      </c>
      <c r="E312">
        <f>Data!M328</f>
        <v/>
      </c>
      <c r="F312">
        <f>Data!O328</f>
        <v/>
      </c>
      <c r="G312">
        <f>E312-F312</f>
        <v/>
      </c>
      <c r="H312">
        <f>Data!P328</f>
        <v/>
      </c>
      <c r="I312">
        <f>G312+H312</f>
        <v/>
      </c>
      <c r="J312">
        <f>F312+G312+H312</f>
        <v/>
      </c>
      <c r="K312">
        <f>Data!R328</f>
        <v/>
      </c>
      <c r="L312">
        <f>Data!T328</f>
        <v/>
      </c>
      <c r="M312">
        <f>AND(E312=0,F312=0,G312=0,H312=0,I312=0,J312=0,K312=0,L312=0)</f>
        <v/>
      </c>
      <c r="N312">
        <f>G312&lt;=$T$6</f>
        <v/>
      </c>
      <c r="O312">
        <f>G312&lt;=$T$12</f>
        <v/>
      </c>
      <c r="P312">
        <f>OR(AND(H312&gt;=$T$4,K312&lt;=$T$5,N312),M312)</f>
        <v/>
      </c>
      <c r="Q312">
        <f>OR(AND(I312&gt;=$T$10,K312&lt;=$T$11,O312),M312)</f>
        <v/>
      </c>
    </row>
    <row r="313">
      <c r="A313">
        <f>Data!E329</f>
        <v/>
      </c>
      <c r="B313">
        <f>Data!G329</f>
        <v/>
      </c>
      <c r="C313">
        <f>Data!H329</f>
        <v/>
      </c>
      <c r="D313">
        <f>Data!I329</f>
        <v/>
      </c>
      <c r="E313">
        <f>Data!M329</f>
        <v/>
      </c>
      <c r="F313">
        <f>Data!O329</f>
        <v/>
      </c>
      <c r="G313">
        <f>E313-F313</f>
        <v/>
      </c>
      <c r="H313">
        <f>Data!P329</f>
        <v/>
      </c>
      <c r="I313">
        <f>G313+H313</f>
        <v/>
      </c>
      <c r="J313">
        <f>F313+G313+H313</f>
        <v/>
      </c>
      <c r="K313">
        <f>Data!R329</f>
        <v/>
      </c>
      <c r="L313">
        <f>Data!T329</f>
        <v/>
      </c>
      <c r="M313">
        <f>AND(E313=0,F313=0,G313=0,H313=0,I313=0,J313=0,K313=0,L313=0)</f>
        <v/>
      </c>
      <c r="N313">
        <f>G313&lt;=$T$6</f>
        <v/>
      </c>
      <c r="O313">
        <f>G313&lt;=$T$12</f>
        <v/>
      </c>
      <c r="P313">
        <f>OR(AND(H313&gt;=$T$4,K313&lt;=$T$5,N313),M313)</f>
        <v/>
      </c>
      <c r="Q313">
        <f>OR(AND(I313&gt;=$T$10,K313&lt;=$T$11,O313),M313)</f>
        <v/>
      </c>
    </row>
    <row r="314">
      <c r="A314">
        <f>Data!E330</f>
        <v/>
      </c>
      <c r="B314">
        <f>Data!G330</f>
        <v/>
      </c>
      <c r="C314">
        <f>Data!H330</f>
        <v/>
      </c>
      <c r="D314">
        <f>Data!I330</f>
        <v/>
      </c>
      <c r="E314">
        <f>Data!M330</f>
        <v/>
      </c>
      <c r="F314">
        <f>Data!O330</f>
        <v/>
      </c>
      <c r="G314">
        <f>E314-F314</f>
        <v/>
      </c>
      <c r="H314">
        <f>Data!P330</f>
        <v/>
      </c>
      <c r="I314">
        <f>G314+H314</f>
        <v/>
      </c>
      <c r="J314">
        <f>F314+G314+H314</f>
        <v/>
      </c>
      <c r="K314">
        <f>Data!R330</f>
        <v/>
      </c>
      <c r="L314">
        <f>Data!T330</f>
        <v/>
      </c>
      <c r="M314">
        <f>AND(E314=0,F314=0,G314=0,H314=0,I314=0,J314=0,K314=0,L314=0)</f>
        <v/>
      </c>
      <c r="N314">
        <f>G314&lt;=$T$6</f>
        <v/>
      </c>
      <c r="O314">
        <f>G314&lt;=$T$12</f>
        <v/>
      </c>
      <c r="P314">
        <f>OR(AND(H314&gt;=$T$4,K314&lt;=$T$5,N314),M314)</f>
        <v/>
      </c>
      <c r="Q314">
        <f>OR(AND(I314&gt;=$T$10,K314&lt;=$T$11,O314),M314)</f>
        <v/>
      </c>
    </row>
    <row r="315">
      <c r="A315">
        <f>Data!E331</f>
        <v/>
      </c>
      <c r="B315">
        <f>Data!G331</f>
        <v/>
      </c>
      <c r="C315">
        <f>Data!H331</f>
        <v/>
      </c>
      <c r="D315">
        <f>Data!I331</f>
        <v/>
      </c>
      <c r="E315">
        <f>Data!M331</f>
        <v/>
      </c>
      <c r="F315">
        <f>Data!O331</f>
        <v/>
      </c>
      <c r="G315">
        <f>E315-F315</f>
        <v/>
      </c>
      <c r="H315">
        <f>Data!P331</f>
        <v/>
      </c>
      <c r="I315">
        <f>G315+H315</f>
        <v/>
      </c>
      <c r="J315">
        <f>F315+G315+H315</f>
        <v/>
      </c>
      <c r="K315">
        <f>Data!R331</f>
        <v/>
      </c>
      <c r="L315">
        <f>Data!T331</f>
        <v/>
      </c>
      <c r="M315">
        <f>AND(E315=0,F315=0,G315=0,H315=0,I315=0,J315=0,K315=0,L315=0)</f>
        <v/>
      </c>
      <c r="N315">
        <f>G315&lt;=$T$6</f>
        <v/>
      </c>
      <c r="O315">
        <f>G315&lt;=$T$12</f>
        <v/>
      </c>
      <c r="P315">
        <f>OR(AND(H315&gt;=$T$4,K315&lt;=$T$5,N315),M315)</f>
        <v/>
      </c>
      <c r="Q315">
        <f>OR(AND(I315&gt;=$T$10,K315&lt;=$T$11,O315),M315)</f>
        <v/>
      </c>
    </row>
    <row r="316">
      <c r="A316">
        <f>Data!E332</f>
        <v/>
      </c>
      <c r="B316">
        <f>Data!G332</f>
        <v/>
      </c>
      <c r="C316">
        <f>Data!H332</f>
        <v/>
      </c>
      <c r="D316">
        <f>Data!I332</f>
        <v/>
      </c>
      <c r="E316">
        <f>Data!M332</f>
        <v/>
      </c>
      <c r="F316">
        <f>Data!O332</f>
        <v/>
      </c>
      <c r="G316">
        <f>E316-F316</f>
        <v/>
      </c>
      <c r="H316">
        <f>Data!P332</f>
        <v/>
      </c>
      <c r="I316">
        <f>G316+H316</f>
        <v/>
      </c>
      <c r="J316">
        <f>F316+G316+H316</f>
        <v/>
      </c>
      <c r="K316">
        <f>Data!R332</f>
        <v/>
      </c>
      <c r="L316">
        <f>Data!T332</f>
        <v/>
      </c>
      <c r="M316">
        <f>AND(E316=0,F316=0,G316=0,H316=0,I316=0,J316=0,K316=0,L316=0)</f>
        <v/>
      </c>
      <c r="N316">
        <f>G316&lt;=$T$6</f>
        <v/>
      </c>
      <c r="O316">
        <f>G316&lt;=$T$12</f>
        <v/>
      </c>
      <c r="P316">
        <f>OR(AND(H316&gt;=$T$4,K316&lt;=$T$5,N316),M316)</f>
        <v/>
      </c>
      <c r="Q316">
        <f>OR(AND(I316&gt;=$T$10,K316&lt;=$T$11,O316),M316)</f>
        <v/>
      </c>
    </row>
    <row r="317">
      <c r="A317">
        <f>Data!E334</f>
        <v/>
      </c>
      <c r="B317">
        <f>Data!G334</f>
        <v/>
      </c>
      <c r="C317">
        <f>Data!H334</f>
        <v/>
      </c>
      <c r="D317">
        <f>Data!I334</f>
        <v/>
      </c>
      <c r="E317">
        <f>Data!M334</f>
        <v/>
      </c>
      <c r="F317">
        <f>Data!O334</f>
        <v/>
      </c>
      <c r="G317">
        <f>E317-F317</f>
        <v/>
      </c>
      <c r="H317">
        <f>Data!P334</f>
        <v/>
      </c>
      <c r="I317">
        <f>G317+H317</f>
        <v/>
      </c>
      <c r="J317">
        <f>F317+G317+H317</f>
        <v/>
      </c>
      <c r="K317">
        <f>Data!R334</f>
        <v/>
      </c>
      <c r="L317">
        <f>Data!T334</f>
        <v/>
      </c>
      <c r="M317">
        <f>AND(E317=0,F317=0,G317=0,H317=0,I317=0,J317=0,K317=0,L317=0)</f>
        <v/>
      </c>
      <c r="N317">
        <f>G317&lt;=$T$6</f>
        <v/>
      </c>
      <c r="O317">
        <f>G317&lt;=$T$12</f>
        <v/>
      </c>
      <c r="P317">
        <f>OR(AND(H317&gt;=$T$4,K317&lt;=$T$5,N317),M317)</f>
        <v/>
      </c>
      <c r="Q317">
        <f>OR(AND(I317&gt;=$T$10,K317&lt;=$T$11,O317),M317)</f>
        <v/>
      </c>
    </row>
    <row r="318">
      <c r="A318">
        <f>Data!E335</f>
        <v/>
      </c>
      <c r="B318">
        <f>Data!G335</f>
        <v/>
      </c>
      <c r="C318">
        <f>Data!H335</f>
        <v/>
      </c>
      <c r="D318">
        <f>Data!I335</f>
        <v/>
      </c>
      <c r="E318">
        <f>Data!M335</f>
        <v/>
      </c>
      <c r="F318">
        <f>Data!O335</f>
        <v/>
      </c>
      <c r="G318">
        <f>E318-F318</f>
        <v/>
      </c>
      <c r="H318">
        <f>Data!P335</f>
        <v/>
      </c>
      <c r="I318">
        <f>G318+H318</f>
        <v/>
      </c>
      <c r="J318">
        <f>F318+G318+H318</f>
        <v/>
      </c>
      <c r="K318">
        <f>Data!R335</f>
        <v/>
      </c>
      <c r="L318">
        <f>Data!T335</f>
        <v/>
      </c>
      <c r="M318">
        <f>AND(E318=0,F318=0,G318=0,H318=0,I318=0,J318=0,K318=0,L318=0)</f>
        <v/>
      </c>
      <c r="N318">
        <f>G318&lt;=$T$6</f>
        <v/>
      </c>
      <c r="O318">
        <f>G318&lt;=$T$12</f>
        <v/>
      </c>
      <c r="P318">
        <f>OR(AND(H318&gt;=$T$4,K318&lt;=$T$5,N318),M318)</f>
        <v/>
      </c>
      <c r="Q318">
        <f>OR(AND(I318&gt;=$T$10,K318&lt;=$T$11,O318),M318)</f>
        <v/>
      </c>
    </row>
    <row r="319">
      <c r="A319">
        <f>Data!E336</f>
        <v/>
      </c>
      <c r="B319">
        <f>Data!G336</f>
        <v/>
      </c>
      <c r="C319">
        <f>Data!H336</f>
        <v/>
      </c>
      <c r="D319">
        <f>Data!I336</f>
        <v/>
      </c>
      <c r="E319">
        <f>Data!M336</f>
        <v/>
      </c>
      <c r="F319">
        <f>Data!O336</f>
        <v/>
      </c>
      <c r="G319">
        <f>E319-F319</f>
        <v/>
      </c>
      <c r="H319">
        <f>Data!P336</f>
        <v/>
      </c>
      <c r="I319">
        <f>G319+H319</f>
        <v/>
      </c>
      <c r="J319">
        <f>F319+G319+H319</f>
        <v/>
      </c>
      <c r="K319">
        <f>Data!R336</f>
        <v/>
      </c>
      <c r="L319">
        <f>Data!T336</f>
        <v/>
      </c>
      <c r="M319">
        <f>AND(E319=0,F319=0,G319=0,H319=0,I319=0,J319=0,K319=0,L319=0)</f>
        <v/>
      </c>
      <c r="N319">
        <f>G319&lt;=$T$6</f>
        <v/>
      </c>
      <c r="O319">
        <f>G319&lt;=$T$12</f>
        <v/>
      </c>
      <c r="P319">
        <f>OR(AND(H319&gt;=$T$4,K319&lt;=$T$5,N319),M319)</f>
        <v/>
      </c>
      <c r="Q319">
        <f>OR(AND(I319&gt;=$T$10,K319&lt;=$T$11,O319),M319)</f>
        <v/>
      </c>
    </row>
    <row r="320">
      <c r="A320">
        <f>Data!E337</f>
        <v/>
      </c>
      <c r="B320">
        <f>Data!G337</f>
        <v/>
      </c>
      <c r="C320">
        <f>Data!H337</f>
        <v/>
      </c>
      <c r="D320">
        <f>Data!I337</f>
        <v/>
      </c>
      <c r="E320">
        <f>Data!M337</f>
        <v/>
      </c>
      <c r="F320">
        <f>Data!O337</f>
        <v/>
      </c>
      <c r="G320">
        <f>E320-F320</f>
        <v/>
      </c>
      <c r="H320">
        <f>Data!P337</f>
        <v/>
      </c>
      <c r="I320">
        <f>G320+H320</f>
        <v/>
      </c>
      <c r="J320">
        <f>F320+G320+H320</f>
        <v/>
      </c>
      <c r="K320">
        <f>Data!R337</f>
        <v/>
      </c>
      <c r="L320">
        <f>Data!T337</f>
        <v/>
      </c>
      <c r="M320">
        <f>AND(E320=0,F320=0,G320=0,H320=0,I320=0,J320=0,K320=0,L320=0)</f>
        <v/>
      </c>
      <c r="N320">
        <f>G320&lt;=$T$6</f>
        <v/>
      </c>
      <c r="O320">
        <f>G320&lt;=$T$12</f>
        <v/>
      </c>
      <c r="P320">
        <f>OR(AND(H320&gt;=$T$4,K320&lt;=$T$5,N320),M320)</f>
        <v/>
      </c>
      <c r="Q320">
        <f>OR(AND(I320&gt;=$T$10,K320&lt;=$T$11,O320),M320)</f>
        <v/>
      </c>
    </row>
    <row r="321">
      <c r="A321">
        <f>Data!E338</f>
        <v/>
      </c>
      <c r="B321">
        <f>Data!G338</f>
        <v/>
      </c>
      <c r="C321">
        <f>Data!H338</f>
        <v/>
      </c>
      <c r="D321">
        <f>Data!I338</f>
        <v/>
      </c>
      <c r="E321">
        <f>Data!M338</f>
        <v/>
      </c>
      <c r="F321">
        <f>Data!O338</f>
        <v/>
      </c>
      <c r="G321">
        <f>E321-F321</f>
        <v/>
      </c>
      <c r="H321">
        <f>Data!P338</f>
        <v/>
      </c>
      <c r="I321">
        <f>G321+H321</f>
        <v/>
      </c>
      <c r="J321">
        <f>F321+G321+H321</f>
        <v/>
      </c>
      <c r="K321">
        <f>Data!R338</f>
        <v/>
      </c>
      <c r="L321">
        <f>Data!T338</f>
        <v/>
      </c>
      <c r="M321">
        <f>AND(E321=0,F321=0,G321=0,H321=0,I321=0,J321=0,K321=0,L321=0)</f>
        <v/>
      </c>
      <c r="N321">
        <f>G321&lt;=$T$6</f>
        <v/>
      </c>
      <c r="O321">
        <f>G321&lt;=$T$12</f>
        <v/>
      </c>
      <c r="P321">
        <f>OR(AND(H321&gt;=$T$4,K321&lt;=$T$5,N321),M321)</f>
        <v/>
      </c>
      <c r="Q321">
        <f>OR(AND(I321&gt;=$T$10,K321&lt;=$T$11,O321),M321)</f>
        <v/>
      </c>
    </row>
    <row r="322">
      <c r="A322">
        <f>Data!E339</f>
        <v/>
      </c>
      <c r="B322">
        <f>Data!G339</f>
        <v/>
      </c>
      <c r="C322">
        <f>Data!H339</f>
        <v/>
      </c>
      <c r="D322">
        <f>Data!I339</f>
        <v/>
      </c>
      <c r="E322">
        <f>Data!M339</f>
        <v/>
      </c>
      <c r="F322">
        <f>Data!O339</f>
        <v/>
      </c>
      <c r="G322">
        <f>E322-F322</f>
        <v/>
      </c>
      <c r="H322">
        <f>Data!P339</f>
        <v/>
      </c>
      <c r="I322">
        <f>G322+H322</f>
        <v/>
      </c>
      <c r="J322">
        <f>F322+G322+H322</f>
        <v/>
      </c>
      <c r="K322">
        <f>Data!R339</f>
        <v/>
      </c>
      <c r="L322">
        <f>Data!T339</f>
        <v/>
      </c>
      <c r="M322">
        <f>AND(E322=0,F322=0,G322=0,H322=0,I322=0,J322=0,K322=0,L322=0)</f>
        <v/>
      </c>
      <c r="N322">
        <f>G322&lt;=$T$6</f>
        <v/>
      </c>
      <c r="O322">
        <f>G322&lt;=$T$12</f>
        <v/>
      </c>
      <c r="P322">
        <f>OR(AND(H322&gt;=$T$4,K322&lt;=$T$5,N322),M322)</f>
        <v/>
      </c>
      <c r="Q322">
        <f>OR(AND(I322&gt;=$T$10,K322&lt;=$T$11,O322),M322)</f>
        <v/>
      </c>
    </row>
    <row r="323">
      <c r="A323">
        <f>Data!E340</f>
        <v/>
      </c>
      <c r="B323">
        <f>Data!G340</f>
        <v/>
      </c>
      <c r="C323">
        <f>Data!H340</f>
        <v/>
      </c>
      <c r="D323">
        <f>Data!I340</f>
        <v/>
      </c>
      <c r="E323">
        <f>Data!M340</f>
        <v/>
      </c>
      <c r="F323">
        <f>Data!O340</f>
        <v/>
      </c>
      <c r="G323">
        <f>E323-F323</f>
        <v/>
      </c>
      <c r="H323">
        <f>Data!P340</f>
        <v/>
      </c>
      <c r="I323">
        <f>G323+H323</f>
        <v/>
      </c>
      <c r="J323">
        <f>F323+G323+H323</f>
        <v/>
      </c>
      <c r="K323">
        <f>Data!R340</f>
        <v/>
      </c>
      <c r="L323">
        <f>Data!T340</f>
        <v/>
      </c>
      <c r="M323">
        <f>AND(E323=0,F323=0,G323=0,H323=0,I323=0,J323=0,K323=0,L323=0)</f>
        <v/>
      </c>
      <c r="N323">
        <f>G323&lt;=$T$6</f>
        <v/>
      </c>
      <c r="O323">
        <f>G323&lt;=$T$12</f>
        <v/>
      </c>
      <c r="P323">
        <f>OR(AND(H323&gt;=$T$4,K323&lt;=$T$5,N323),M323)</f>
        <v/>
      </c>
      <c r="Q323">
        <f>OR(AND(I323&gt;=$T$10,K323&lt;=$T$11,O323),M323)</f>
        <v/>
      </c>
    </row>
    <row r="324">
      <c r="A324">
        <f>Data!E341</f>
        <v/>
      </c>
      <c r="B324">
        <f>Data!G341</f>
        <v/>
      </c>
      <c r="C324">
        <f>Data!H341</f>
        <v/>
      </c>
      <c r="D324">
        <f>Data!I341</f>
        <v/>
      </c>
      <c r="E324">
        <f>Data!M341</f>
        <v/>
      </c>
      <c r="F324">
        <f>Data!O341</f>
        <v/>
      </c>
      <c r="G324">
        <f>E324-F324</f>
        <v/>
      </c>
      <c r="H324">
        <f>Data!P341</f>
        <v/>
      </c>
      <c r="I324">
        <f>G324+H324</f>
        <v/>
      </c>
      <c r="J324">
        <f>F324+G324+H324</f>
        <v/>
      </c>
      <c r="K324">
        <f>Data!R341</f>
        <v/>
      </c>
      <c r="L324">
        <f>Data!T341</f>
        <v/>
      </c>
      <c r="M324">
        <f>AND(E324=0,F324=0,G324=0,H324=0,I324=0,J324=0,K324=0,L324=0)</f>
        <v/>
      </c>
      <c r="N324">
        <f>G324&lt;=$T$6</f>
        <v/>
      </c>
      <c r="O324">
        <f>G324&lt;=$T$12</f>
        <v/>
      </c>
      <c r="P324">
        <f>OR(AND(H324&gt;=$T$4,K324&lt;=$T$5,N324),M324)</f>
        <v/>
      </c>
      <c r="Q324">
        <f>OR(AND(I324&gt;=$T$10,K324&lt;=$T$11,O324),M324)</f>
        <v/>
      </c>
    </row>
    <row r="325">
      <c r="A325">
        <f>Data!E342</f>
        <v/>
      </c>
      <c r="B325">
        <f>Data!G342</f>
        <v/>
      </c>
      <c r="C325">
        <f>Data!H342</f>
        <v/>
      </c>
      <c r="D325">
        <f>Data!I342</f>
        <v/>
      </c>
      <c r="E325">
        <f>Data!M342</f>
        <v/>
      </c>
      <c r="F325">
        <f>Data!O342</f>
        <v/>
      </c>
      <c r="G325">
        <f>E325-F325</f>
        <v/>
      </c>
      <c r="H325">
        <f>Data!P342</f>
        <v/>
      </c>
      <c r="I325">
        <f>G325+H325</f>
        <v/>
      </c>
      <c r="J325">
        <f>F325+G325+H325</f>
        <v/>
      </c>
      <c r="K325">
        <f>Data!R342</f>
        <v/>
      </c>
      <c r="L325">
        <f>Data!T342</f>
        <v/>
      </c>
      <c r="M325">
        <f>AND(E325=0,F325=0,G325=0,H325=0,I325=0,J325=0,K325=0,L325=0)</f>
        <v/>
      </c>
      <c r="N325">
        <f>G325&lt;=$T$6</f>
        <v/>
      </c>
      <c r="O325">
        <f>G325&lt;=$T$12</f>
        <v/>
      </c>
      <c r="P325">
        <f>OR(AND(H325&gt;=$T$4,K325&lt;=$T$5,N325),M325)</f>
        <v/>
      </c>
      <c r="Q325">
        <f>OR(AND(I325&gt;=$T$10,K325&lt;=$T$11,O325),M325)</f>
        <v/>
      </c>
    </row>
    <row r="326">
      <c r="A326">
        <f>Data!E343</f>
        <v/>
      </c>
      <c r="B326">
        <f>Data!G343</f>
        <v/>
      </c>
      <c r="C326">
        <f>Data!H343</f>
        <v/>
      </c>
      <c r="D326">
        <f>Data!I343</f>
        <v/>
      </c>
      <c r="E326">
        <f>Data!M343</f>
        <v/>
      </c>
      <c r="F326">
        <f>Data!O343</f>
        <v/>
      </c>
      <c r="G326">
        <f>E326-F326</f>
        <v/>
      </c>
      <c r="H326">
        <f>Data!P343</f>
        <v/>
      </c>
      <c r="I326">
        <f>G326+H326</f>
        <v/>
      </c>
      <c r="J326">
        <f>F326+G326+H326</f>
        <v/>
      </c>
      <c r="K326">
        <f>Data!R343</f>
        <v/>
      </c>
      <c r="L326">
        <f>Data!T343</f>
        <v/>
      </c>
      <c r="M326">
        <f>AND(E326=0,F326=0,G326=0,H326=0,I326=0,J326=0,K326=0,L326=0)</f>
        <v/>
      </c>
      <c r="N326">
        <f>G326&lt;=$T$6</f>
        <v/>
      </c>
      <c r="O326">
        <f>G326&lt;=$T$12</f>
        <v/>
      </c>
      <c r="P326">
        <f>OR(AND(H326&gt;=$T$4,K326&lt;=$T$5,N326),M326)</f>
        <v/>
      </c>
      <c r="Q326">
        <f>OR(AND(I326&gt;=$T$10,K326&lt;=$T$11,O326),M326)</f>
        <v/>
      </c>
    </row>
    <row r="327">
      <c r="A327">
        <f>Data!E344</f>
        <v/>
      </c>
      <c r="B327">
        <f>Data!G344</f>
        <v/>
      </c>
      <c r="C327">
        <f>Data!H344</f>
        <v/>
      </c>
      <c r="D327">
        <f>Data!I344</f>
        <v/>
      </c>
      <c r="E327">
        <f>Data!M344</f>
        <v/>
      </c>
      <c r="F327">
        <f>Data!O344</f>
        <v/>
      </c>
      <c r="G327">
        <f>E327-F327</f>
        <v/>
      </c>
      <c r="H327">
        <f>Data!P344</f>
        <v/>
      </c>
      <c r="I327">
        <f>G327+H327</f>
        <v/>
      </c>
      <c r="J327">
        <f>F327+G327+H327</f>
        <v/>
      </c>
      <c r="K327">
        <f>Data!R344</f>
        <v/>
      </c>
      <c r="L327">
        <f>Data!T344</f>
        <v/>
      </c>
      <c r="M327">
        <f>AND(E327=0,F327=0,G327=0,H327=0,I327=0,J327=0,K327=0,L327=0)</f>
        <v/>
      </c>
      <c r="N327">
        <f>G327&lt;=$T$6</f>
        <v/>
      </c>
      <c r="O327">
        <f>G327&lt;=$T$12</f>
        <v/>
      </c>
      <c r="P327">
        <f>OR(AND(H327&gt;=$T$4,K327&lt;=$T$5,N327),M327)</f>
        <v/>
      </c>
      <c r="Q327">
        <f>OR(AND(I327&gt;=$T$10,K327&lt;=$T$11,O327),M327)</f>
        <v/>
      </c>
    </row>
    <row r="328">
      <c r="A328">
        <f>Data!E345</f>
        <v/>
      </c>
      <c r="B328">
        <f>Data!G345</f>
        <v/>
      </c>
      <c r="C328">
        <f>Data!H345</f>
        <v/>
      </c>
      <c r="D328">
        <f>Data!I345</f>
        <v/>
      </c>
      <c r="E328">
        <f>Data!M345</f>
        <v/>
      </c>
      <c r="F328">
        <f>Data!O345</f>
        <v/>
      </c>
      <c r="G328">
        <f>E328-F328</f>
        <v/>
      </c>
      <c r="H328">
        <f>Data!P345</f>
        <v/>
      </c>
      <c r="I328">
        <f>G328+H328</f>
        <v/>
      </c>
      <c r="J328">
        <f>F328+G328+H328</f>
        <v/>
      </c>
      <c r="K328">
        <f>Data!R345</f>
        <v/>
      </c>
      <c r="L328">
        <f>Data!T345</f>
        <v/>
      </c>
      <c r="M328">
        <f>AND(E328=0,F328=0,G328=0,H328=0,I328=0,J328=0,K328=0,L328=0)</f>
        <v/>
      </c>
      <c r="N328">
        <f>G328&lt;=$T$6</f>
        <v/>
      </c>
      <c r="O328">
        <f>G328&lt;=$T$12</f>
        <v/>
      </c>
      <c r="P328">
        <f>OR(AND(H328&gt;=$T$4,K328&lt;=$T$5,N328),M328)</f>
        <v/>
      </c>
      <c r="Q328">
        <f>OR(AND(I328&gt;=$T$10,K328&lt;=$T$11,O328),M328)</f>
        <v/>
      </c>
    </row>
    <row r="329">
      <c r="A329">
        <f>Data!E346</f>
        <v/>
      </c>
      <c r="B329">
        <f>Data!G346</f>
        <v/>
      </c>
      <c r="C329">
        <f>Data!H346</f>
        <v/>
      </c>
      <c r="D329">
        <f>Data!I346</f>
        <v/>
      </c>
      <c r="E329">
        <f>Data!M346</f>
        <v/>
      </c>
      <c r="F329">
        <f>Data!O346</f>
        <v/>
      </c>
      <c r="G329">
        <f>E329-F329</f>
        <v/>
      </c>
      <c r="H329">
        <f>Data!P346</f>
        <v/>
      </c>
      <c r="I329">
        <f>G329+H329</f>
        <v/>
      </c>
      <c r="J329">
        <f>F329+G329+H329</f>
        <v/>
      </c>
      <c r="K329">
        <f>Data!R346</f>
        <v/>
      </c>
      <c r="L329">
        <f>Data!T346</f>
        <v/>
      </c>
      <c r="M329">
        <f>AND(E329=0,F329=0,G329=0,H329=0,I329=0,J329=0,K329=0,L329=0)</f>
        <v/>
      </c>
      <c r="N329">
        <f>G329&lt;=$T$6</f>
        <v/>
      </c>
      <c r="O329">
        <f>G329&lt;=$T$12</f>
        <v/>
      </c>
      <c r="P329">
        <f>OR(AND(H329&gt;=$T$4,K329&lt;=$T$5,N329),M329)</f>
        <v/>
      </c>
      <c r="Q329">
        <f>OR(AND(I329&gt;=$T$10,K329&lt;=$T$11,O329),M329)</f>
        <v/>
      </c>
    </row>
    <row r="330">
      <c r="A330">
        <f>Data!E347</f>
        <v/>
      </c>
      <c r="B330">
        <f>Data!G347</f>
        <v/>
      </c>
      <c r="C330">
        <f>Data!H347</f>
        <v/>
      </c>
      <c r="D330">
        <f>Data!I347</f>
        <v/>
      </c>
      <c r="E330">
        <f>Data!M347</f>
        <v/>
      </c>
      <c r="F330">
        <f>Data!O347</f>
        <v/>
      </c>
      <c r="G330">
        <f>E330-F330</f>
        <v/>
      </c>
      <c r="H330">
        <f>Data!P347</f>
        <v/>
      </c>
      <c r="I330">
        <f>G330+H330</f>
        <v/>
      </c>
      <c r="J330">
        <f>F330+G330+H330</f>
        <v/>
      </c>
      <c r="K330">
        <f>Data!R347</f>
        <v/>
      </c>
      <c r="L330">
        <f>Data!T347</f>
        <v/>
      </c>
      <c r="M330">
        <f>AND(E330=0,F330=0,G330=0,H330=0,I330=0,J330=0,K330=0,L330=0)</f>
        <v/>
      </c>
      <c r="N330">
        <f>G330&lt;=$T$6</f>
        <v/>
      </c>
      <c r="O330">
        <f>G330&lt;=$T$12</f>
        <v/>
      </c>
      <c r="P330">
        <f>OR(AND(H330&gt;=$T$4,K330&lt;=$T$5,N330),M330)</f>
        <v/>
      </c>
      <c r="Q330">
        <f>OR(AND(I330&gt;=$T$10,K330&lt;=$T$11,O330),M330)</f>
        <v/>
      </c>
    </row>
    <row r="331">
      <c r="A331">
        <f>Data!E348</f>
        <v/>
      </c>
      <c r="B331">
        <f>Data!G348</f>
        <v/>
      </c>
      <c r="C331">
        <f>Data!H348</f>
        <v/>
      </c>
      <c r="D331">
        <f>Data!I348</f>
        <v/>
      </c>
      <c r="E331">
        <f>Data!M348</f>
        <v/>
      </c>
      <c r="F331">
        <f>Data!O348</f>
        <v/>
      </c>
      <c r="G331">
        <f>E331-F331</f>
        <v/>
      </c>
      <c r="H331">
        <f>Data!P348</f>
        <v/>
      </c>
      <c r="I331">
        <f>G331+H331</f>
        <v/>
      </c>
      <c r="J331">
        <f>F331+G331+H331</f>
        <v/>
      </c>
      <c r="K331">
        <f>Data!R348</f>
        <v/>
      </c>
      <c r="L331">
        <f>Data!T348</f>
        <v/>
      </c>
      <c r="M331">
        <f>AND(E331=0,F331=0,G331=0,H331=0,I331=0,J331=0,K331=0,L331=0)</f>
        <v/>
      </c>
      <c r="N331">
        <f>G331&lt;=$T$6</f>
        <v/>
      </c>
      <c r="O331">
        <f>G331&lt;=$T$12</f>
        <v/>
      </c>
      <c r="P331">
        <f>OR(AND(H331&gt;=$T$4,K331&lt;=$T$5,N331),M331)</f>
        <v/>
      </c>
      <c r="Q331">
        <f>OR(AND(I331&gt;=$T$10,K331&lt;=$T$11,O331),M331)</f>
        <v/>
      </c>
    </row>
    <row r="332">
      <c r="A332">
        <f>Data!E349</f>
        <v/>
      </c>
      <c r="B332">
        <f>Data!G349</f>
        <v/>
      </c>
      <c r="C332">
        <f>Data!H349</f>
        <v/>
      </c>
      <c r="D332">
        <f>Data!I349</f>
        <v/>
      </c>
      <c r="E332">
        <f>Data!M349</f>
        <v/>
      </c>
      <c r="F332">
        <f>Data!O349</f>
        <v/>
      </c>
      <c r="G332">
        <f>E332-F332</f>
        <v/>
      </c>
      <c r="H332">
        <f>Data!P349</f>
        <v/>
      </c>
      <c r="I332">
        <f>G332+H332</f>
        <v/>
      </c>
      <c r="J332">
        <f>F332+G332+H332</f>
        <v/>
      </c>
      <c r="K332">
        <f>Data!R349</f>
        <v/>
      </c>
      <c r="L332">
        <f>Data!T349</f>
        <v/>
      </c>
      <c r="M332">
        <f>AND(E332=0,F332=0,G332=0,H332=0,I332=0,J332=0,K332=0,L332=0)</f>
        <v/>
      </c>
      <c r="N332">
        <f>G332&lt;=$T$6</f>
        <v/>
      </c>
      <c r="O332">
        <f>G332&lt;=$T$12</f>
        <v/>
      </c>
      <c r="P332">
        <f>OR(AND(H332&gt;=$T$4,K332&lt;=$T$5,N332),M332)</f>
        <v/>
      </c>
      <c r="Q332">
        <f>OR(AND(I332&gt;=$T$10,K332&lt;=$T$11,O332),M332)</f>
        <v/>
      </c>
    </row>
    <row r="333">
      <c r="A333">
        <f>Data!E350</f>
        <v/>
      </c>
      <c r="B333">
        <f>Data!G350</f>
        <v/>
      </c>
      <c r="C333">
        <f>Data!H350</f>
        <v/>
      </c>
      <c r="D333">
        <f>Data!I350</f>
        <v/>
      </c>
      <c r="E333">
        <f>Data!M350</f>
        <v/>
      </c>
      <c r="F333">
        <f>Data!O350</f>
        <v/>
      </c>
      <c r="G333">
        <f>E333-F333</f>
        <v/>
      </c>
      <c r="H333">
        <f>Data!P350</f>
        <v/>
      </c>
      <c r="I333">
        <f>G333+H333</f>
        <v/>
      </c>
      <c r="J333">
        <f>F333+G333+H333</f>
        <v/>
      </c>
      <c r="K333">
        <f>Data!R350</f>
        <v/>
      </c>
      <c r="L333">
        <f>Data!T350</f>
        <v/>
      </c>
      <c r="M333">
        <f>AND(E333=0,F333=0,G333=0,H333=0,I333=0,J333=0,K333=0,L333=0)</f>
        <v/>
      </c>
      <c r="N333">
        <f>G333&lt;=$T$6</f>
        <v/>
      </c>
      <c r="O333">
        <f>G333&lt;=$T$12</f>
        <v/>
      </c>
      <c r="P333">
        <f>OR(AND(H333&gt;=$T$4,K333&lt;=$T$5,N333),M333)</f>
        <v/>
      </c>
      <c r="Q333">
        <f>OR(AND(I333&gt;=$T$10,K333&lt;=$T$11,O333),M333)</f>
        <v/>
      </c>
    </row>
    <row r="334">
      <c r="A334">
        <f>Data!E351</f>
        <v/>
      </c>
      <c r="B334">
        <f>Data!G351</f>
        <v/>
      </c>
      <c r="C334">
        <f>Data!H351</f>
        <v/>
      </c>
      <c r="D334">
        <f>Data!I351</f>
        <v/>
      </c>
      <c r="E334">
        <f>Data!M351</f>
        <v/>
      </c>
      <c r="F334">
        <f>Data!O351</f>
        <v/>
      </c>
      <c r="G334">
        <f>E334-F334</f>
        <v/>
      </c>
      <c r="H334">
        <f>Data!P351</f>
        <v/>
      </c>
      <c r="I334">
        <f>G334+H334</f>
        <v/>
      </c>
      <c r="J334">
        <f>F334+G334+H334</f>
        <v/>
      </c>
      <c r="K334">
        <f>Data!R351</f>
        <v/>
      </c>
      <c r="L334">
        <f>Data!T351</f>
        <v/>
      </c>
      <c r="M334">
        <f>AND(E334=0,F334=0,G334=0,H334=0,I334=0,J334=0,K334=0,L334=0)</f>
        <v/>
      </c>
      <c r="N334">
        <f>G334&lt;=$T$6</f>
        <v/>
      </c>
      <c r="O334">
        <f>G334&lt;=$T$12</f>
        <v/>
      </c>
      <c r="P334">
        <f>OR(AND(H334&gt;=$T$4,K334&lt;=$T$5,N334),M334)</f>
        <v/>
      </c>
      <c r="Q334">
        <f>OR(AND(I334&gt;=$T$10,K334&lt;=$T$11,O334),M334)</f>
        <v/>
      </c>
    </row>
    <row r="335">
      <c r="A335">
        <f>Data!E352</f>
        <v/>
      </c>
      <c r="B335">
        <f>Data!G352</f>
        <v/>
      </c>
      <c r="C335">
        <f>Data!H352</f>
        <v/>
      </c>
      <c r="D335">
        <f>Data!I352</f>
        <v/>
      </c>
      <c r="E335">
        <f>Data!M352</f>
        <v/>
      </c>
      <c r="F335">
        <f>Data!O352</f>
        <v/>
      </c>
      <c r="G335">
        <f>E335-F335</f>
        <v/>
      </c>
      <c r="H335">
        <f>Data!P352</f>
        <v/>
      </c>
      <c r="I335">
        <f>G335+H335</f>
        <v/>
      </c>
      <c r="J335">
        <f>F335+G335+H335</f>
        <v/>
      </c>
      <c r="K335">
        <f>Data!R352</f>
        <v/>
      </c>
      <c r="L335">
        <f>Data!T352</f>
        <v/>
      </c>
      <c r="M335">
        <f>AND(E335=0,F335=0,G335=0,H335=0,I335=0,J335=0,K335=0,L335=0)</f>
        <v/>
      </c>
      <c r="N335">
        <f>G335&lt;=$T$6</f>
        <v/>
      </c>
      <c r="O335">
        <f>G335&lt;=$T$12</f>
        <v/>
      </c>
      <c r="P335">
        <f>OR(AND(H335&gt;=$T$4,K335&lt;=$T$5,N335),M335)</f>
        <v/>
      </c>
      <c r="Q335">
        <f>OR(AND(I335&gt;=$T$10,K335&lt;=$T$11,O335),M335)</f>
        <v/>
      </c>
    </row>
    <row r="336">
      <c r="A336">
        <f>Data!E353</f>
        <v/>
      </c>
      <c r="B336">
        <f>Data!G353</f>
        <v/>
      </c>
      <c r="C336">
        <f>Data!H353</f>
        <v/>
      </c>
      <c r="D336">
        <f>Data!I353</f>
        <v/>
      </c>
      <c r="E336">
        <f>Data!M353</f>
        <v/>
      </c>
      <c r="F336">
        <f>Data!O353</f>
        <v/>
      </c>
      <c r="G336">
        <f>E336-F336</f>
        <v/>
      </c>
      <c r="H336">
        <f>Data!P353</f>
        <v/>
      </c>
      <c r="I336">
        <f>G336+H336</f>
        <v/>
      </c>
      <c r="J336">
        <f>F336+G336+H336</f>
        <v/>
      </c>
      <c r="K336">
        <f>Data!R353</f>
        <v/>
      </c>
      <c r="L336">
        <f>Data!T353</f>
        <v/>
      </c>
      <c r="M336">
        <f>AND(E336=0,F336=0,G336=0,H336=0,I336=0,J336=0,K336=0,L336=0)</f>
        <v/>
      </c>
      <c r="N336">
        <f>G336&lt;=$T$6</f>
        <v/>
      </c>
      <c r="O336">
        <f>G336&lt;=$T$12</f>
        <v/>
      </c>
      <c r="P336">
        <f>OR(AND(H336&gt;=$T$4,K336&lt;=$T$5,N336),M336)</f>
        <v/>
      </c>
      <c r="Q336">
        <f>OR(AND(I336&gt;=$T$10,K336&lt;=$T$11,O336),M336)</f>
        <v/>
      </c>
    </row>
    <row r="337">
      <c r="A337">
        <f>Data!E354</f>
        <v/>
      </c>
      <c r="B337">
        <f>Data!G354</f>
        <v/>
      </c>
      <c r="C337">
        <f>Data!H354</f>
        <v/>
      </c>
      <c r="D337">
        <f>Data!I354</f>
        <v/>
      </c>
      <c r="E337">
        <f>Data!M354</f>
        <v/>
      </c>
      <c r="F337">
        <f>Data!O354</f>
        <v/>
      </c>
      <c r="G337">
        <f>E337-F337</f>
        <v/>
      </c>
      <c r="H337">
        <f>Data!P354</f>
        <v/>
      </c>
      <c r="I337">
        <f>G337+H337</f>
        <v/>
      </c>
      <c r="J337">
        <f>F337+G337+H337</f>
        <v/>
      </c>
      <c r="K337">
        <f>Data!R354</f>
        <v/>
      </c>
      <c r="L337">
        <f>Data!T354</f>
        <v/>
      </c>
      <c r="M337">
        <f>AND(E337=0,F337=0,G337=0,H337=0,I337=0,J337=0,K337=0,L337=0)</f>
        <v/>
      </c>
      <c r="N337">
        <f>G337&lt;=$T$6</f>
        <v/>
      </c>
      <c r="O337">
        <f>G337&lt;=$T$12</f>
        <v/>
      </c>
      <c r="P337">
        <f>OR(AND(H337&gt;=$T$4,K337&lt;=$T$5,N337),M337)</f>
        <v/>
      </c>
      <c r="Q337">
        <f>OR(AND(I337&gt;=$T$10,K337&lt;=$T$11,O337),M337)</f>
        <v/>
      </c>
    </row>
    <row r="338">
      <c r="A338">
        <f>Data!E355</f>
        <v/>
      </c>
      <c r="B338">
        <f>Data!G355</f>
        <v/>
      </c>
      <c r="C338">
        <f>Data!H355</f>
        <v/>
      </c>
      <c r="D338">
        <f>Data!I355</f>
        <v/>
      </c>
      <c r="E338">
        <f>Data!M355</f>
        <v/>
      </c>
      <c r="F338">
        <f>Data!O355</f>
        <v/>
      </c>
      <c r="G338">
        <f>E338-F338</f>
        <v/>
      </c>
      <c r="H338">
        <f>Data!P355</f>
        <v/>
      </c>
      <c r="I338">
        <f>G338+H338</f>
        <v/>
      </c>
      <c r="J338">
        <f>F338+G338+H338</f>
        <v/>
      </c>
      <c r="K338">
        <f>Data!R355</f>
        <v/>
      </c>
      <c r="L338">
        <f>Data!T355</f>
        <v/>
      </c>
      <c r="M338">
        <f>AND(E338=0,F338=0,G338=0,H338=0,I338=0,J338=0,K338=0,L338=0)</f>
        <v/>
      </c>
      <c r="N338">
        <f>G338&lt;=$T$6</f>
        <v/>
      </c>
      <c r="O338">
        <f>G338&lt;=$T$12</f>
        <v/>
      </c>
      <c r="P338">
        <f>OR(AND(H338&gt;=$T$4,K338&lt;=$T$5,N338),M338)</f>
        <v/>
      </c>
      <c r="Q338">
        <f>OR(AND(I338&gt;=$T$10,K338&lt;=$T$11,O338),M338)</f>
        <v/>
      </c>
    </row>
    <row r="339">
      <c r="A339">
        <f>Data!E356</f>
        <v/>
      </c>
      <c r="B339">
        <f>Data!G356</f>
        <v/>
      </c>
      <c r="C339">
        <f>Data!H356</f>
        <v/>
      </c>
      <c r="D339">
        <f>Data!I356</f>
        <v/>
      </c>
      <c r="E339">
        <f>Data!M356</f>
        <v/>
      </c>
      <c r="F339">
        <f>Data!O356</f>
        <v/>
      </c>
      <c r="G339">
        <f>E339-F339</f>
        <v/>
      </c>
      <c r="H339">
        <f>Data!P356</f>
        <v/>
      </c>
      <c r="I339">
        <f>G339+H339</f>
        <v/>
      </c>
      <c r="J339">
        <f>F339+G339+H339</f>
        <v/>
      </c>
      <c r="K339">
        <f>Data!R356</f>
        <v/>
      </c>
      <c r="L339">
        <f>Data!T356</f>
        <v/>
      </c>
      <c r="M339">
        <f>AND(E339=0,F339=0,G339=0,H339=0,I339=0,J339=0,K339=0,L339=0)</f>
        <v/>
      </c>
      <c r="N339">
        <f>G339&lt;=$T$6</f>
        <v/>
      </c>
      <c r="O339">
        <f>G339&lt;=$T$12</f>
        <v/>
      </c>
      <c r="P339">
        <f>OR(AND(H339&gt;=$T$4,K339&lt;=$T$5,N339),M339)</f>
        <v/>
      </c>
      <c r="Q339">
        <f>OR(AND(I339&gt;=$T$10,K339&lt;=$T$11,O339),M339)</f>
        <v/>
      </c>
    </row>
    <row r="340">
      <c r="A340">
        <f>Data!E357</f>
        <v/>
      </c>
      <c r="B340">
        <f>Data!G357</f>
        <v/>
      </c>
      <c r="C340">
        <f>Data!H357</f>
        <v/>
      </c>
      <c r="D340">
        <f>Data!I357</f>
        <v/>
      </c>
      <c r="E340">
        <f>Data!M357</f>
        <v/>
      </c>
      <c r="F340">
        <f>Data!O357</f>
        <v/>
      </c>
      <c r="G340">
        <f>E340-F340</f>
        <v/>
      </c>
      <c r="H340">
        <f>Data!P357</f>
        <v/>
      </c>
      <c r="I340">
        <f>G340+H340</f>
        <v/>
      </c>
      <c r="J340">
        <f>F340+G340+H340</f>
        <v/>
      </c>
      <c r="K340">
        <f>Data!R357</f>
        <v/>
      </c>
      <c r="L340">
        <f>Data!T357</f>
        <v/>
      </c>
      <c r="M340">
        <f>AND(E340=0,F340=0,G340=0,H340=0,I340=0,J340=0,K340=0,L340=0)</f>
        <v/>
      </c>
      <c r="N340">
        <f>G340&lt;=$T$6</f>
        <v/>
      </c>
      <c r="O340">
        <f>G340&lt;=$T$12</f>
        <v/>
      </c>
      <c r="P340">
        <f>OR(AND(H340&gt;=$T$4,K340&lt;=$T$5,N340),M340)</f>
        <v/>
      </c>
      <c r="Q340">
        <f>OR(AND(I340&gt;=$T$10,K340&lt;=$T$11,O340),M340)</f>
        <v/>
      </c>
    </row>
    <row r="341">
      <c r="A341">
        <f>Data!E358</f>
        <v/>
      </c>
      <c r="B341">
        <f>Data!G358</f>
        <v/>
      </c>
      <c r="C341">
        <f>Data!H358</f>
        <v/>
      </c>
      <c r="D341">
        <f>Data!I358</f>
        <v/>
      </c>
      <c r="E341">
        <f>Data!M358</f>
        <v/>
      </c>
      <c r="F341">
        <f>Data!O358</f>
        <v/>
      </c>
      <c r="G341">
        <f>E341-F341</f>
        <v/>
      </c>
      <c r="H341">
        <f>Data!P358</f>
        <v/>
      </c>
      <c r="I341">
        <f>G341+H341</f>
        <v/>
      </c>
      <c r="J341">
        <f>F341+G341+H341</f>
        <v/>
      </c>
      <c r="K341">
        <f>Data!R358</f>
        <v/>
      </c>
      <c r="L341">
        <f>Data!T358</f>
        <v/>
      </c>
      <c r="M341">
        <f>AND(E341=0,F341=0,G341=0,H341=0,I341=0,J341=0,K341=0,L341=0)</f>
        <v/>
      </c>
      <c r="N341">
        <f>G341&lt;=$T$6</f>
        <v/>
      </c>
      <c r="O341">
        <f>G341&lt;=$T$12</f>
        <v/>
      </c>
      <c r="P341">
        <f>OR(AND(H341&gt;=$T$4,K341&lt;=$T$5,N341),M341)</f>
        <v/>
      </c>
      <c r="Q341">
        <f>OR(AND(I341&gt;=$T$10,K341&lt;=$T$11,O341),M341)</f>
        <v/>
      </c>
    </row>
    <row r="342">
      <c r="A342">
        <f>Data!E359</f>
        <v/>
      </c>
      <c r="B342">
        <f>Data!G359</f>
        <v/>
      </c>
      <c r="C342">
        <f>Data!H359</f>
        <v/>
      </c>
      <c r="D342">
        <f>Data!I359</f>
        <v/>
      </c>
      <c r="E342">
        <f>Data!M359</f>
        <v/>
      </c>
      <c r="F342">
        <f>Data!O359</f>
        <v/>
      </c>
      <c r="G342">
        <f>E342-F342</f>
        <v/>
      </c>
      <c r="H342">
        <f>Data!P359</f>
        <v/>
      </c>
      <c r="I342">
        <f>G342+H342</f>
        <v/>
      </c>
      <c r="J342">
        <f>F342+G342+H342</f>
        <v/>
      </c>
      <c r="K342">
        <f>Data!R359</f>
        <v/>
      </c>
      <c r="L342">
        <f>Data!T359</f>
        <v/>
      </c>
      <c r="M342">
        <f>AND(E342=0,F342=0,G342=0,H342=0,I342=0,J342=0,K342=0,L342=0)</f>
        <v/>
      </c>
      <c r="N342">
        <f>G342&lt;=$T$6</f>
        <v/>
      </c>
      <c r="O342">
        <f>G342&lt;=$T$12</f>
        <v/>
      </c>
      <c r="P342">
        <f>OR(AND(H342&gt;=$T$4,K342&lt;=$T$5,N342),M342)</f>
        <v/>
      </c>
      <c r="Q342">
        <f>OR(AND(I342&gt;=$T$10,K342&lt;=$T$11,O342),M342)</f>
        <v/>
      </c>
    </row>
    <row r="343">
      <c r="A343">
        <f>Data!E360</f>
        <v/>
      </c>
      <c r="B343">
        <f>Data!G360</f>
        <v/>
      </c>
      <c r="C343">
        <f>Data!H360</f>
        <v/>
      </c>
      <c r="D343">
        <f>Data!I360</f>
        <v/>
      </c>
      <c r="E343">
        <f>Data!M360</f>
        <v/>
      </c>
      <c r="F343">
        <f>Data!O360</f>
        <v/>
      </c>
      <c r="G343">
        <f>E343-F343</f>
        <v/>
      </c>
      <c r="H343">
        <f>Data!P360</f>
        <v/>
      </c>
      <c r="I343">
        <f>G343+H343</f>
        <v/>
      </c>
      <c r="J343">
        <f>F343+G343+H343</f>
        <v/>
      </c>
      <c r="K343">
        <f>Data!R360</f>
        <v/>
      </c>
      <c r="L343">
        <f>Data!T360</f>
        <v/>
      </c>
      <c r="M343">
        <f>AND(E343=0,F343=0,G343=0,H343=0,I343=0,J343=0,K343=0,L343=0)</f>
        <v/>
      </c>
      <c r="N343">
        <f>G343&lt;=$T$6</f>
        <v/>
      </c>
      <c r="O343">
        <f>G343&lt;=$T$12</f>
        <v/>
      </c>
      <c r="P343">
        <f>OR(AND(H343&gt;=$T$4,K343&lt;=$T$5,N343),M343)</f>
        <v/>
      </c>
      <c r="Q343">
        <f>OR(AND(I343&gt;=$T$10,K343&lt;=$T$11,O343),M343)</f>
        <v/>
      </c>
    </row>
    <row r="344">
      <c r="A344">
        <f>Data!E361</f>
        <v/>
      </c>
      <c r="B344">
        <f>Data!G361</f>
        <v/>
      </c>
      <c r="C344">
        <f>Data!H361</f>
        <v/>
      </c>
      <c r="D344">
        <f>Data!I361</f>
        <v/>
      </c>
      <c r="E344">
        <f>Data!M361</f>
        <v/>
      </c>
      <c r="F344">
        <f>Data!O361</f>
        <v/>
      </c>
      <c r="G344">
        <f>E344-F344</f>
        <v/>
      </c>
      <c r="H344">
        <f>Data!P361</f>
        <v/>
      </c>
      <c r="I344">
        <f>G344+H344</f>
        <v/>
      </c>
      <c r="J344">
        <f>F344+G344+H344</f>
        <v/>
      </c>
      <c r="K344">
        <f>Data!R361</f>
        <v/>
      </c>
      <c r="L344">
        <f>Data!T361</f>
        <v/>
      </c>
      <c r="M344">
        <f>AND(E344=0,F344=0,G344=0,H344=0,I344=0,J344=0,K344=0,L344=0)</f>
        <v/>
      </c>
      <c r="N344">
        <f>G344&lt;=$T$6</f>
        <v/>
      </c>
      <c r="O344">
        <f>G344&lt;=$T$12</f>
        <v/>
      </c>
      <c r="P344">
        <f>OR(AND(H344&gt;=$T$4,K344&lt;=$T$5,N344),M344)</f>
        <v/>
      </c>
      <c r="Q344">
        <f>OR(AND(I344&gt;=$T$10,K344&lt;=$T$11,O344),M344)</f>
        <v/>
      </c>
    </row>
    <row r="345">
      <c r="A345">
        <f>Data!E362</f>
        <v/>
      </c>
      <c r="B345">
        <f>Data!G362</f>
        <v/>
      </c>
      <c r="C345">
        <f>Data!H362</f>
        <v/>
      </c>
      <c r="D345">
        <f>Data!I362</f>
        <v/>
      </c>
      <c r="E345">
        <f>Data!M362</f>
        <v/>
      </c>
      <c r="F345">
        <f>Data!O362</f>
        <v/>
      </c>
      <c r="G345">
        <f>E345-F345</f>
        <v/>
      </c>
      <c r="H345">
        <f>Data!P362</f>
        <v/>
      </c>
      <c r="I345">
        <f>G345+H345</f>
        <v/>
      </c>
      <c r="J345">
        <f>F345+G345+H345</f>
        <v/>
      </c>
      <c r="K345">
        <f>Data!R362</f>
        <v/>
      </c>
      <c r="L345">
        <f>Data!T362</f>
        <v/>
      </c>
      <c r="M345">
        <f>AND(E345=0,F345=0,G345=0,H345=0,I345=0,J345=0,K345=0,L345=0)</f>
        <v/>
      </c>
      <c r="N345">
        <f>G345&lt;=$T$6</f>
        <v/>
      </c>
      <c r="O345">
        <f>G345&lt;=$T$12</f>
        <v/>
      </c>
      <c r="P345">
        <f>OR(AND(H345&gt;=$T$4,K345&lt;=$T$5,N345),M345)</f>
        <v/>
      </c>
      <c r="Q345">
        <f>OR(AND(I345&gt;=$T$10,K345&lt;=$T$11,O345),M345)</f>
        <v/>
      </c>
    </row>
    <row r="346">
      <c r="A346">
        <f>Data!E363</f>
        <v/>
      </c>
      <c r="B346">
        <f>Data!G363</f>
        <v/>
      </c>
      <c r="C346">
        <f>Data!H363</f>
        <v/>
      </c>
      <c r="D346">
        <f>Data!I363</f>
        <v/>
      </c>
      <c r="E346">
        <f>Data!M363</f>
        <v/>
      </c>
      <c r="F346">
        <f>Data!O363</f>
        <v/>
      </c>
      <c r="G346">
        <f>E346-F346</f>
        <v/>
      </c>
      <c r="H346">
        <f>Data!P363</f>
        <v/>
      </c>
      <c r="I346">
        <f>G346+H346</f>
        <v/>
      </c>
      <c r="J346">
        <f>F346+G346+H346</f>
        <v/>
      </c>
      <c r="K346">
        <f>Data!R363</f>
        <v/>
      </c>
      <c r="L346">
        <f>Data!T363</f>
        <v/>
      </c>
      <c r="M346">
        <f>AND(E346=0,F346=0,G346=0,H346=0,I346=0,J346=0,K346=0,L346=0)</f>
        <v/>
      </c>
      <c r="N346">
        <f>G346&lt;=$T$6</f>
        <v/>
      </c>
      <c r="O346">
        <f>G346&lt;=$T$12</f>
        <v/>
      </c>
      <c r="P346">
        <f>OR(AND(H346&gt;=$T$4,K346&lt;=$T$5,N346),M346)</f>
        <v/>
      </c>
      <c r="Q346">
        <f>OR(AND(I346&gt;=$T$10,K346&lt;=$T$11,O346),M346)</f>
        <v/>
      </c>
    </row>
    <row r="347">
      <c r="A347">
        <f>Data!E364</f>
        <v/>
      </c>
      <c r="B347">
        <f>Data!G364</f>
        <v/>
      </c>
      <c r="C347">
        <f>Data!H364</f>
        <v/>
      </c>
      <c r="D347">
        <f>Data!I364</f>
        <v/>
      </c>
      <c r="E347">
        <f>Data!M364</f>
        <v/>
      </c>
      <c r="F347">
        <f>Data!O364</f>
        <v/>
      </c>
      <c r="G347">
        <f>E347-F347</f>
        <v/>
      </c>
      <c r="H347">
        <f>Data!P364</f>
        <v/>
      </c>
      <c r="I347">
        <f>G347+H347</f>
        <v/>
      </c>
      <c r="J347">
        <f>F347+G347+H347</f>
        <v/>
      </c>
      <c r="K347">
        <f>Data!R364</f>
        <v/>
      </c>
      <c r="L347">
        <f>Data!T364</f>
        <v/>
      </c>
      <c r="M347">
        <f>AND(E347=0,F347=0,G347=0,H347=0,I347=0,J347=0,K347=0,L347=0)</f>
        <v/>
      </c>
      <c r="N347">
        <f>G347&lt;=$T$6</f>
        <v/>
      </c>
      <c r="O347">
        <f>G347&lt;=$T$12</f>
        <v/>
      </c>
      <c r="P347">
        <f>OR(AND(H347&gt;=$T$4,K347&lt;=$T$5,N347),M347)</f>
        <v/>
      </c>
      <c r="Q347">
        <f>OR(AND(I347&gt;=$T$10,K347&lt;=$T$11,O347),M347)</f>
        <v/>
      </c>
    </row>
    <row r="348">
      <c r="A348">
        <f>Data!E365</f>
        <v/>
      </c>
      <c r="B348">
        <f>Data!G365</f>
        <v/>
      </c>
      <c r="C348">
        <f>Data!H365</f>
        <v/>
      </c>
      <c r="D348">
        <f>Data!I365</f>
        <v/>
      </c>
      <c r="E348">
        <f>Data!M365</f>
        <v/>
      </c>
      <c r="F348">
        <f>Data!O365</f>
        <v/>
      </c>
      <c r="G348">
        <f>E348-F348</f>
        <v/>
      </c>
      <c r="H348">
        <f>Data!P365</f>
        <v/>
      </c>
      <c r="I348">
        <f>G348+H348</f>
        <v/>
      </c>
      <c r="J348">
        <f>F348+G348+H348</f>
        <v/>
      </c>
      <c r="K348">
        <f>Data!R365</f>
        <v/>
      </c>
      <c r="L348">
        <f>Data!T365</f>
        <v/>
      </c>
      <c r="M348">
        <f>AND(E348=0,F348=0,G348=0,H348=0,I348=0,J348=0,K348=0,L348=0)</f>
        <v/>
      </c>
      <c r="N348">
        <f>G348&lt;=$T$6</f>
        <v/>
      </c>
      <c r="O348">
        <f>G348&lt;=$T$12</f>
        <v/>
      </c>
      <c r="P348">
        <f>OR(AND(H348&gt;=$T$4,K348&lt;=$T$5,N348),M348)</f>
        <v/>
      </c>
      <c r="Q348">
        <f>OR(AND(I348&gt;=$T$10,K348&lt;=$T$11,O348),M348)</f>
        <v/>
      </c>
    </row>
    <row r="349">
      <c r="A349">
        <f>Data!E366</f>
        <v/>
      </c>
      <c r="B349">
        <f>Data!G366</f>
        <v/>
      </c>
      <c r="C349">
        <f>Data!H366</f>
        <v/>
      </c>
      <c r="D349">
        <f>Data!I366</f>
        <v/>
      </c>
      <c r="E349">
        <f>Data!M366</f>
        <v/>
      </c>
      <c r="F349">
        <f>Data!O366</f>
        <v/>
      </c>
      <c r="G349">
        <f>E349-F349</f>
        <v/>
      </c>
      <c r="H349">
        <f>Data!P366</f>
        <v/>
      </c>
      <c r="I349">
        <f>G349+H349</f>
        <v/>
      </c>
      <c r="J349">
        <f>F349+G349+H349</f>
        <v/>
      </c>
      <c r="K349">
        <f>Data!R366</f>
        <v/>
      </c>
      <c r="L349">
        <f>Data!T366</f>
        <v/>
      </c>
      <c r="M349">
        <f>AND(E349=0,F349=0,G349=0,H349=0,I349=0,J349=0,K349=0,L349=0)</f>
        <v/>
      </c>
      <c r="N349">
        <f>G349&lt;=$T$6</f>
        <v/>
      </c>
      <c r="O349">
        <f>G349&lt;=$T$12</f>
        <v/>
      </c>
      <c r="P349">
        <f>OR(AND(H349&gt;=$T$4,K349&lt;=$T$5,N349),M349)</f>
        <v/>
      </c>
      <c r="Q349">
        <f>OR(AND(I349&gt;=$T$10,K349&lt;=$T$11,O349),M349)</f>
        <v/>
      </c>
    </row>
    <row r="350">
      <c r="A350">
        <f>Data!E367</f>
        <v/>
      </c>
      <c r="B350">
        <f>Data!G367</f>
        <v/>
      </c>
      <c r="C350">
        <f>Data!H367</f>
        <v/>
      </c>
      <c r="D350">
        <f>Data!I367</f>
        <v/>
      </c>
      <c r="E350">
        <f>Data!M367</f>
        <v/>
      </c>
      <c r="F350">
        <f>Data!O367</f>
        <v/>
      </c>
      <c r="G350">
        <f>E350-F350</f>
        <v/>
      </c>
      <c r="H350">
        <f>Data!P367</f>
        <v/>
      </c>
      <c r="I350">
        <f>G350+H350</f>
        <v/>
      </c>
      <c r="J350">
        <f>F350+G350+H350</f>
        <v/>
      </c>
      <c r="K350">
        <f>Data!R367</f>
        <v/>
      </c>
      <c r="L350">
        <f>Data!T367</f>
        <v/>
      </c>
      <c r="M350">
        <f>AND(E350=0,F350=0,G350=0,H350=0,I350=0,J350=0,K350=0,L350=0)</f>
        <v/>
      </c>
      <c r="N350">
        <f>G350&lt;=$T$6</f>
        <v/>
      </c>
      <c r="O350">
        <f>G350&lt;=$T$12</f>
        <v/>
      </c>
      <c r="P350">
        <f>OR(AND(H350&gt;=$T$4,K350&lt;=$T$5,N350),M350)</f>
        <v/>
      </c>
      <c r="Q350">
        <f>OR(AND(I350&gt;=$T$10,K350&lt;=$T$11,O350),M350)</f>
        <v/>
      </c>
    </row>
    <row r="351">
      <c r="A351">
        <f>Data!E368</f>
        <v/>
      </c>
      <c r="B351">
        <f>Data!G368</f>
        <v/>
      </c>
      <c r="C351">
        <f>Data!H368</f>
        <v/>
      </c>
      <c r="D351">
        <f>Data!I368</f>
        <v/>
      </c>
      <c r="E351">
        <f>Data!M368</f>
        <v/>
      </c>
      <c r="F351">
        <f>Data!O368</f>
        <v/>
      </c>
      <c r="G351">
        <f>E351-F351</f>
        <v/>
      </c>
      <c r="H351">
        <f>Data!P368</f>
        <v/>
      </c>
      <c r="I351">
        <f>G351+H351</f>
        <v/>
      </c>
      <c r="J351">
        <f>F351+G351+H351</f>
        <v/>
      </c>
      <c r="K351">
        <f>Data!R368</f>
        <v/>
      </c>
      <c r="L351">
        <f>Data!T368</f>
        <v/>
      </c>
      <c r="M351">
        <f>AND(E351=0,F351=0,G351=0,H351=0,I351=0,J351=0,K351=0,L351=0)</f>
        <v/>
      </c>
      <c r="N351">
        <f>G351&lt;=$T$6</f>
        <v/>
      </c>
      <c r="O351">
        <f>G351&lt;=$T$12</f>
        <v/>
      </c>
      <c r="P351">
        <f>OR(AND(H351&gt;=$T$4,K351&lt;=$T$5,N351),M351)</f>
        <v/>
      </c>
      <c r="Q351">
        <f>OR(AND(I351&gt;=$T$10,K351&lt;=$T$11,O351),M351)</f>
        <v/>
      </c>
    </row>
    <row r="352">
      <c r="A352">
        <f>Data!E369</f>
        <v/>
      </c>
      <c r="B352">
        <f>Data!G369</f>
        <v/>
      </c>
      <c r="C352">
        <f>Data!H369</f>
        <v/>
      </c>
      <c r="D352">
        <f>Data!I369</f>
        <v/>
      </c>
      <c r="E352">
        <f>Data!M369</f>
        <v/>
      </c>
      <c r="F352">
        <f>Data!O369</f>
        <v/>
      </c>
      <c r="G352">
        <f>E352-F352</f>
        <v/>
      </c>
      <c r="H352">
        <f>Data!P369</f>
        <v/>
      </c>
      <c r="I352">
        <f>G352+H352</f>
        <v/>
      </c>
      <c r="J352">
        <f>F352+G352+H352</f>
        <v/>
      </c>
      <c r="K352">
        <f>Data!R369</f>
        <v/>
      </c>
      <c r="L352">
        <f>Data!T369</f>
        <v/>
      </c>
      <c r="M352">
        <f>AND(E352=0,F352=0,G352=0,H352=0,I352=0,J352=0,K352=0,L352=0)</f>
        <v/>
      </c>
      <c r="N352">
        <f>G352&lt;=$T$6</f>
        <v/>
      </c>
      <c r="O352">
        <f>G352&lt;=$T$12</f>
        <v/>
      </c>
      <c r="P352">
        <f>OR(AND(H352&gt;=$T$4,K352&lt;=$T$5,N352),M352)</f>
        <v/>
      </c>
      <c r="Q352">
        <f>OR(AND(I352&gt;=$T$10,K352&lt;=$T$11,O352),M352)</f>
        <v/>
      </c>
    </row>
    <row r="353">
      <c r="A353">
        <f>Data!E370</f>
        <v/>
      </c>
      <c r="B353">
        <f>Data!G370</f>
        <v/>
      </c>
      <c r="C353">
        <f>Data!H370</f>
        <v/>
      </c>
      <c r="D353">
        <f>Data!I370</f>
        <v/>
      </c>
      <c r="E353">
        <f>Data!M370</f>
        <v/>
      </c>
      <c r="F353">
        <f>Data!O370</f>
        <v/>
      </c>
      <c r="G353">
        <f>E353-F353</f>
        <v/>
      </c>
      <c r="H353">
        <f>Data!P370</f>
        <v/>
      </c>
      <c r="I353">
        <f>G353+H353</f>
        <v/>
      </c>
      <c r="J353">
        <f>F353+G353+H353</f>
        <v/>
      </c>
      <c r="K353">
        <f>Data!R370</f>
        <v/>
      </c>
      <c r="L353">
        <f>Data!T370</f>
        <v/>
      </c>
      <c r="M353">
        <f>AND(E353=0,F353=0,G353=0,H353=0,I353=0,J353=0,K353=0,L353=0)</f>
        <v/>
      </c>
      <c r="N353">
        <f>G353&lt;=$T$6</f>
        <v/>
      </c>
      <c r="O353">
        <f>G353&lt;=$T$12</f>
        <v/>
      </c>
      <c r="P353">
        <f>OR(AND(H353&gt;=$T$4,K353&lt;=$T$5,N353),M353)</f>
        <v/>
      </c>
      <c r="Q353">
        <f>OR(AND(I353&gt;=$T$10,K353&lt;=$T$11,O353),M353)</f>
        <v/>
      </c>
    </row>
    <row r="354">
      <c r="A354">
        <f>Data!E371</f>
        <v/>
      </c>
      <c r="B354">
        <f>Data!G371</f>
        <v/>
      </c>
      <c r="C354">
        <f>Data!H371</f>
        <v/>
      </c>
      <c r="D354">
        <f>Data!I371</f>
        <v/>
      </c>
      <c r="E354">
        <f>Data!M371</f>
        <v/>
      </c>
      <c r="F354">
        <f>Data!O371</f>
        <v/>
      </c>
      <c r="G354">
        <f>E354-F354</f>
        <v/>
      </c>
      <c r="H354">
        <f>Data!P371</f>
        <v/>
      </c>
      <c r="I354">
        <f>G354+H354</f>
        <v/>
      </c>
      <c r="J354">
        <f>F354+G354+H354</f>
        <v/>
      </c>
      <c r="K354">
        <f>Data!R371</f>
        <v/>
      </c>
      <c r="L354">
        <f>Data!T371</f>
        <v/>
      </c>
      <c r="M354">
        <f>AND(E354=0,F354=0,G354=0,H354=0,I354=0,J354=0,K354=0,L354=0)</f>
        <v/>
      </c>
      <c r="N354">
        <f>G354&lt;=$T$6</f>
        <v/>
      </c>
      <c r="O354">
        <f>G354&lt;=$T$12</f>
        <v/>
      </c>
      <c r="P354">
        <f>OR(AND(H354&gt;=$T$4,K354&lt;=$T$5,N354),M354)</f>
        <v/>
      </c>
      <c r="Q354">
        <f>OR(AND(I354&gt;=$T$10,K354&lt;=$T$11,O354),M354)</f>
        <v/>
      </c>
    </row>
    <row r="355">
      <c r="A355">
        <f>Data!E372</f>
        <v/>
      </c>
      <c r="B355">
        <f>Data!G372</f>
        <v/>
      </c>
      <c r="C355">
        <f>Data!H372</f>
        <v/>
      </c>
      <c r="D355">
        <f>Data!I372</f>
        <v/>
      </c>
      <c r="E355">
        <f>Data!M372</f>
        <v/>
      </c>
      <c r="F355">
        <f>Data!O372</f>
        <v/>
      </c>
      <c r="G355">
        <f>E355-F355</f>
        <v/>
      </c>
      <c r="H355">
        <f>Data!P372</f>
        <v/>
      </c>
      <c r="I355">
        <f>G355+H355</f>
        <v/>
      </c>
      <c r="J355">
        <f>F355+G355+H355</f>
        <v/>
      </c>
      <c r="K355">
        <f>Data!R372</f>
        <v/>
      </c>
      <c r="L355">
        <f>Data!T372</f>
        <v/>
      </c>
      <c r="M355">
        <f>AND(E355=0,F355=0,G355=0,H355=0,I355=0,J355=0,K355=0,L355=0)</f>
        <v/>
      </c>
      <c r="N355">
        <f>G355&lt;=$T$6</f>
        <v/>
      </c>
      <c r="O355">
        <f>G355&lt;=$T$12</f>
        <v/>
      </c>
      <c r="P355">
        <f>OR(AND(H355&gt;=$T$4,K355&lt;=$T$5,N355),M355)</f>
        <v/>
      </c>
      <c r="Q355">
        <f>OR(AND(I355&gt;=$T$10,K355&lt;=$T$11,O355),M355)</f>
        <v/>
      </c>
    </row>
    <row r="356">
      <c r="A356">
        <f>Data!E373</f>
        <v/>
      </c>
      <c r="B356">
        <f>Data!G373</f>
        <v/>
      </c>
      <c r="C356">
        <f>Data!H373</f>
        <v/>
      </c>
      <c r="D356">
        <f>Data!I373</f>
        <v/>
      </c>
      <c r="E356">
        <f>Data!M373</f>
        <v/>
      </c>
      <c r="F356">
        <f>Data!O373</f>
        <v/>
      </c>
      <c r="G356">
        <f>E356-F356</f>
        <v/>
      </c>
      <c r="H356">
        <f>Data!P373</f>
        <v/>
      </c>
      <c r="I356">
        <f>G356+H356</f>
        <v/>
      </c>
      <c r="J356">
        <f>F356+G356+H356</f>
        <v/>
      </c>
      <c r="K356">
        <f>Data!R373</f>
        <v/>
      </c>
      <c r="L356">
        <f>Data!T373</f>
        <v/>
      </c>
      <c r="M356">
        <f>AND(E356=0,F356=0,G356=0,H356=0,I356=0,J356=0,K356=0,L356=0)</f>
        <v/>
      </c>
      <c r="N356">
        <f>G356&lt;=$T$6</f>
        <v/>
      </c>
      <c r="O356">
        <f>G356&lt;=$T$12</f>
        <v/>
      </c>
      <c r="P356">
        <f>OR(AND(H356&gt;=$T$4,K356&lt;=$T$5,N356),M356)</f>
        <v/>
      </c>
      <c r="Q356">
        <f>OR(AND(I356&gt;=$T$10,K356&lt;=$T$11,O356),M356)</f>
        <v/>
      </c>
    </row>
    <row r="357">
      <c r="A357">
        <f>Data!E374</f>
        <v/>
      </c>
      <c r="B357">
        <f>Data!G374</f>
        <v/>
      </c>
      <c r="C357">
        <f>Data!H374</f>
        <v/>
      </c>
      <c r="D357">
        <f>Data!I374</f>
        <v/>
      </c>
      <c r="E357">
        <f>Data!M374</f>
        <v/>
      </c>
      <c r="F357">
        <f>Data!O374</f>
        <v/>
      </c>
      <c r="G357">
        <f>E357-F357</f>
        <v/>
      </c>
      <c r="H357">
        <f>Data!P374</f>
        <v/>
      </c>
      <c r="I357">
        <f>G357+H357</f>
        <v/>
      </c>
      <c r="J357">
        <f>F357+G357+H357</f>
        <v/>
      </c>
      <c r="K357">
        <f>Data!R374</f>
        <v/>
      </c>
      <c r="L357">
        <f>Data!T374</f>
        <v/>
      </c>
      <c r="M357">
        <f>AND(E357=0,F357=0,G357=0,H357=0,I357=0,J357=0,K357=0,L357=0)</f>
        <v/>
      </c>
      <c r="N357">
        <f>G357&lt;=$T$6</f>
        <v/>
      </c>
      <c r="O357">
        <f>G357&lt;=$T$12</f>
        <v/>
      </c>
      <c r="P357">
        <f>OR(AND(H357&gt;=$T$4,K357&lt;=$T$5,N357),M357)</f>
        <v/>
      </c>
      <c r="Q357">
        <f>OR(AND(I357&gt;=$T$10,K357&lt;=$T$11,O357),M357)</f>
        <v/>
      </c>
    </row>
    <row r="358">
      <c r="A358">
        <f>Data!E375</f>
        <v/>
      </c>
      <c r="B358">
        <f>Data!G375</f>
        <v/>
      </c>
      <c r="C358">
        <f>Data!H375</f>
        <v/>
      </c>
      <c r="D358">
        <f>Data!I375</f>
        <v/>
      </c>
      <c r="E358">
        <f>Data!M375</f>
        <v/>
      </c>
      <c r="F358">
        <f>Data!O375</f>
        <v/>
      </c>
      <c r="G358">
        <f>E358-F358</f>
        <v/>
      </c>
      <c r="H358">
        <f>Data!P375</f>
        <v/>
      </c>
      <c r="I358">
        <f>G358+H358</f>
        <v/>
      </c>
      <c r="J358">
        <f>F358+G358+H358</f>
        <v/>
      </c>
      <c r="K358">
        <f>Data!R375</f>
        <v/>
      </c>
      <c r="L358">
        <f>Data!T375</f>
        <v/>
      </c>
      <c r="M358">
        <f>AND(E358=0,F358=0,G358=0,H358=0,I358=0,J358=0,K358=0,L358=0)</f>
        <v/>
      </c>
      <c r="N358">
        <f>G358&lt;=$T$6</f>
        <v/>
      </c>
      <c r="O358">
        <f>G358&lt;=$T$12</f>
        <v/>
      </c>
      <c r="P358">
        <f>OR(AND(H358&gt;=$T$4,K358&lt;=$T$5,N358),M358)</f>
        <v/>
      </c>
      <c r="Q358">
        <f>OR(AND(I358&gt;=$T$10,K358&lt;=$T$11,O358),M358)</f>
        <v/>
      </c>
    </row>
    <row r="359">
      <c r="A359">
        <f>Data!E376</f>
        <v/>
      </c>
      <c r="B359">
        <f>Data!G376</f>
        <v/>
      </c>
      <c r="C359">
        <f>Data!H376</f>
        <v/>
      </c>
      <c r="D359">
        <f>Data!I376</f>
        <v/>
      </c>
      <c r="E359">
        <f>Data!M376</f>
        <v/>
      </c>
      <c r="F359">
        <f>Data!O376</f>
        <v/>
      </c>
      <c r="G359">
        <f>E359-F359</f>
        <v/>
      </c>
      <c r="H359">
        <f>Data!P376</f>
        <v/>
      </c>
      <c r="I359">
        <f>G359+H359</f>
        <v/>
      </c>
      <c r="J359">
        <f>F359+G359+H359</f>
        <v/>
      </c>
      <c r="K359">
        <f>Data!R376</f>
        <v/>
      </c>
      <c r="L359">
        <f>Data!T376</f>
        <v/>
      </c>
      <c r="M359">
        <f>AND(E359=0,F359=0,G359=0,H359=0,I359=0,J359=0,K359=0,L359=0)</f>
        <v/>
      </c>
      <c r="N359">
        <f>G359&lt;=$T$6</f>
        <v/>
      </c>
      <c r="O359">
        <f>G359&lt;=$T$12</f>
        <v/>
      </c>
      <c r="P359">
        <f>OR(AND(H359&gt;=$T$4,K359&lt;=$T$5,N359),M359)</f>
        <v/>
      </c>
      <c r="Q359">
        <f>OR(AND(I359&gt;=$T$10,K359&lt;=$T$11,O359),M359)</f>
        <v/>
      </c>
    </row>
    <row r="360">
      <c r="A360">
        <f>Data!E377</f>
        <v/>
      </c>
      <c r="B360">
        <f>Data!G377</f>
        <v/>
      </c>
      <c r="C360">
        <f>Data!H377</f>
        <v/>
      </c>
      <c r="D360">
        <f>Data!I377</f>
        <v/>
      </c>
      <c r="E360">
        <f>Data!M377</f>
        <v/>
      </c>
      <c r="F360">
        <f>Data!O377</f>
        <v/>
      </c>
      <c r="G360">
        <f>E360-F360</f>
        <v/>
      </c>
      <c r="H360">
        <f>Data!P377</f>
        <v/>
      </c>
      <c r="I360">
        <f>G360+H360</f>
        <v/>
      </c>
      <c r="J360">
        <f>F360+G360+H360</f>
        <v/>
      </c>
      <c r="K360">
        <f>Data!R377</f>
        <v/>
      </c>
      <c r="L360">
        <f>Data!T377</f>
        <v/>
      </c>
      <c r="M360">
        <f>AND(E360=0,F360=0,G360=0,H360=0,I360=0,J360=0,K360=0,L360=0)</f>
        <v/>
      </c>
      <c r="N360">
        <f>G360&lt;=$T$6</f>
        <v/>
      </c>
      <c r="O360">
        <f>G360&lt;=$T$12</f>
        <v/>
      </c>
      <c r="P360">
        <f>OR(AND(H360&gt;=$T$4,K360&lt;=$T$5,N360),M360)</f>
        <v/>
      </c>
      <c r="Q360">
        <f>OR(AND(I360&gt;=$T$10,K360&lt;=$T$11,O360),M360)</f>
        <v/>
      </c>
    </row>
    <row r="361">
      <c r="A361">
        <f>Data!E378</f>
        <v/>
      </c>
      <c r="B361">
        <f>Data!G378</f>
        <v/>
      </c>
      <c r="C361">
        <f>Data!H378</f>
        <v/>
      </c>
      <c r="D361">
        <f>Data!I378</f>
        <v/>
      </c>
      <c r="E361">
        <f>Data!M378</f>
        <v/>
      </c>
      <c r="F361">
        <f>Data!O378</f>
        <v/>
      </c>
      <c r="G361">
        <f>E361-F361</f>
        <v/>
      </c>
      <c r="H361">
        <f>Data!P378</f>
        <v/>
      </c>
      <c r="I361">
        <f>G361+H361</f>
        <v/>
      </c>
      <c r="J361">
        <f>F361+G361+H361</f>
        <v/>
      </c>
      <c r="K361">
        <f>Data!R378</f>
        <v/>
      </c>
      <c r="L361">
        <f>Data!T378</f>
        <v/>
      </c>
      <c r="M361">
        <f>AND(E361=0,F361=0,G361=0,H361=0,I361=0,J361=0,K361=0,L361=0)</f>
        <v/>
      </c>
      <c r="N361">
        <f>G361&lt;=$T$6</f>
        <v/>
      </c>
      <c r="O361">
        <f>G361&lt;=$T$12</f>
        <v/>
      </c>
      <c r="P361">
        <f>OR(AND(H361&gt;=$T$4,K361&lt;=$T$5,N361),M361)</f>
        <v/>
      </c>
      <c r="Q361">
        <f>OR(AND(I361&gt;=$T$10,K361&lt;=$T$11,O361),M361)</f>
        <v/>
      </c>
    </row>
    <row r="362">
      <c r="A362">
        <f>Data!E379</f>
        <v/>
      </c>
      <c r="B362">
        <f>Data!G379</f>
        <v/>
      </c>
      <c r="C362">
        <f>Data!H379</f>
        <v/>
      </c>
      <c r="D362">
        <f>Data!I379</f>
        <v/>
      </c>
      <c r="E362">
        <f>Data!M379</f>
        <v/>
      </c>
      <c r="F362">
        <f>Data!O379</f>
        <v/>
      </c>
      <c r="G362">
        <f>E362-F362</f>
        <v/>
      </c>
      <c r="H362">
        <f>Data!P379</f>
        <v/>
      </c>
      <c r="I362">
        <f>G362+H362</f>
        <v/>
      </c>
      <c r="J362">
        <f>F362+G362+H362</f>
        <v/>
      </c>
      <c r="K362">
        <f>Data!R379</f>
        <v/>
      </c>
      <c r="L362">
        <f>Data!T379</f>
        <v/>
      </c>
      <c r="M362">
        <f>AND(E362=0,F362=0,G362=0,H362=0,I362=0,J362=0,K362=0,L362=0)</f>
        <v/>
      </c>
      <c r="N362">
        <f>G362&lt;=$T$6</f>
        <v/>
      </c>
      <c r="O362">
        <f>G362&lt;=$T$12</f>
        <v/>
      </c>
      <c r="P362">
        <f>OR(AND(H362&gt;=$T$4,K362&lt;=$T$5,N362),M362)</f>
        <v/>
      </c>
      <c r="Q362">
        <f>OR(AND(I362&gt;=$T$10,K362&lt;=$T$11,O362),M362)</f>
        <v/>
      </c>
    </row>
    <row r="363">
      <c r="A363">
        <f>Data!E380</f>
        <v/>
      </c>
      <c r="B363">
        <f>Data!G380</f>
        <v/>
      </c>
      <c r="C363">
        <f>Data!H380</f>
        <v/>
      </c>
      <c r="D363">
        <f>Data!I380</f>
        <v/>
      </c>
      <c r="E363">
        <f>Data!M380</f>
        <v/>
      </c>
      <c r="F363">
        <f>Data!O380</f>
        <v/>
      </c>
      <c r="G363">
        <f>E363-F363</f>
        <v/>
      </c>
      <c r="H363">
        <f>Data!P380</f>
        <v/>
      </c>
      <c r="I363">
        <f>G363+H363</f>
        <v/>
      </c>
      <c r="J363">
        <f>F363+G363+H363</f>
        <v/>
      </c>
      <c r="K363">
        <f>Data!R380</f>
        <v/>
      </c>
      <c r="L363">
        <f>Data!T380</f>
        <v/>
      </c>
      <c r="M363">
        <f>AND(E363=0,F363=0,G363=0,H363=0,I363=0,J363=0,K363=0,L363=0)</f>
        <v/>
      </c>
      <c r="N363">
        <f>G363&lt;=$T$6</f>
        <v/>
      </c>
      <c r="O363">
        <f>G363&lt;=$T$12</f>
        <v/>
      </c>
      <c r="P363">
        <f>OR(AND(H363&gt;=$T$4,K363&lt;=$T$5,N363),M363)</f>
        <v/>
      </c>
      <c r="Q363">
        <f>OR(AND(I363&gt;=$T$10,K363&lt;=$T$11,O363),M363)</f>
        <v/>
      </c>
    </row>
    <row r="364">
      <c r="A364">
        <f>Data!E382</f>
        <v/>
      </c>
      <c r="B364">
        <f>Data!G382</f>
        <v/>
      </c>
      <c r="C364">
        <f>Data!H382</f>
        <v/>
      </c>
      <c r="D364">
        <f>Data!I382</f>
        <v/>
      </c>
      <c r="E364">
        <f>Data!M382</f>
        <v/>
      </c>
      <c r="F364">
        <f>Data!O382</f>
        <v/>
      </c>
      <c r="G364">
        <f>E364-F364</f>
        <v/>
      </c>
      <c r="H364">
        <f>Data!P382</f>
        <v/>
      </c>
      <c r="I364">
        <f>G364+H364</f>
        <v/>
      </c>
      <c r="J364">
        <f>F364+G364+H364</f>
        <v/>
      </c>
      <c r="K364">
        <f>Data!R382</f>
        <v/>
      </c>
      <c r="L364">
        <f>Data!T382</f>
        <v/>
      </c>
      <c r="M364">
        <f>AND(E364=0,F364=0,G364=0,H364=0,I364=0,J364=0,K364=0,L364=0)</f>
        <v/>
      </c>
      <c r="N364">
        <f>G364&lt;=$T$6</f>
        <v/>
      </c>
      <c r="O364">
        <f>G364&lt;=$T$12</f>
        <v/>
      </c>
      <c r="P364">
        <f>OR(AND(H364&gt;=$T$4,K364&lt;=$T$5,N364),M364)</f>
        <v/>
      </c>
      <c r="Q364">
        <f>OR(AND(I364&gt;=$T$10,K364&lt;=$T$11,O364),M364)</f>
        <v/>
      </c>
    </row>
    <row r="365">
      <c r="A365">
        <f>Data!E383</f>
        <v/>
      </c>
      <c r="B365">
        <f>Data!G383</f>
        <v/>
      </c>
      <c r="C365">
        <f>Data!H383</f>
        <v/>
      </c>
      <c r="D365">
        <f>Data!I383</f>
        <v/>
      </c>
      <c r="E365">
        <f>Data!M383</f>
        <v/>
      </c>
      <c r="F365">
        <f>Data!O383</f>
        <v/>
      </c>
      <c r="G365">
        <f>E365-F365</f>
        <v/>
      </c>
      <c r="H365">
        <f>Data!P383</f>
        <v/>
      </c>
      <c r="I365">
        <f>G365+H365</f>
        <v/>
      </c>
      <c r="J365">
        <f>F365+G365+H365</f>
        <v/>
      </c>
      <c r="K365">
        <f>Data!R383</f>
        <v/>
      </c>
      <c r="L365">
        <f>Data!T383</f>
        <v/>
      </c>
      <c r="M365">
        <f>AND(E365=0,F365=0,G365=0,H365=0,I365=0,J365=0,K365=0,L365=0)</f>
        <v/>
      </c>
      <c r="N365">
        <f>G365&lt;=$T$6</f>
        <v/>
      </c>
      <c r="O365">
        <f>G365&lt;=$T$12</f>
        <v/>
      </c>
      <c r="P365">
        <f>OR(AND(H365&gt;=$T$4,K365&lt;=$T$5,N365),M365)</f>
        <v/>
      </c>
      <c r="Q365">
        <f>OR(AND(I365&gt;=$T$10,K365&lt;=$T$11,O365),M365)</f>
        <v/>
      </c>
    </row>
    <row r="366">
      <c r="A366">
        <f>Data!E384</f>
        <v/>
      </c>
      <c r="B366">
        <f>Data!G384</f>
        <v/>
      </c>
      <c r="C366">
        <f>Data!H384</f>
        <v/>
      </c>
      <c r="D366">
        <f>Data!I384</f>
        <v/>
      </c>
      <c r="E366">
        <f>Data!M384</f>
        <v/>
      </c>
      <c r="F366">
        <f>Data!O384</f>
        <v/>
      </c>
      <c r="G366">
        <f>E366-F366</f>
        <v/>
      </c>
      <c r="H366">
        <f>Data!P384</f>
        <v/>
      </c>
      <c r="I366">
        <f>G366+H366</f>
        <v/>
      </c>
      <c r="J366">
        <f>F366+G366+H366</f>
        <v/>
      </c>
      <c r="K366">
        <f>Data!R384</f>
        <v/>
      </c>
      <c r="L366">
        <f>Data!T384</f>
        <v/>
      </c>
      <c r="M366">
        <f>AND(E366=0,F366=0,G366=0,H366=0,I366=0,J366=0,K366=0,L366=0)</f>
        <v/>
      </c>
      <c r="N366">
        <f>G366&lt;=$T$6</f>
        <v/>
      </c>
      <c r="O366">
        <f>G366&lt;=$T$12</f>
        <v/>
      </c>
      <c r="P366">
        <f>OR(AND(H366&gt;=$T$4,K366&lt;=$T$5,N366),M366)</f>
        <v/>
      </c>
      <c r="Q366">
        <f>OR(AND(I366&gt;=$T$10,K366&lt;=$T$11,O366),M366)</f>
        <v/>
      </c>
    </row>
    <row r="367">
      <c r="A367">
        <f>Data!E385</f>
        <v/>
      </c>
      <c r="B367">
        <f>Data!G385</f>
        <v/>
      </c>
      <c r="C367">
        <f>Data!H385</f>
        <v/>
      </c>
      <c r="D367">
        <f>Data!I385</f>
        <v/>
      </c>
      <c r="E367">
        <f>Data!M385</f>
        <v/>
      </c>
      <c r="F367">
        <f>Data!O385</f>
        <v/>
      </c>
      <c r="G367">
        <f>E367-F367</f>
        <v/>
      </c>
      <c r="H367">
        <f>Data!P385</f>
        <v/>
      </c>
      <c r="I367">
        <f>G367+H367</f>
        <v/>
      </c>
      <c r="J367">
        <f>F367+G367+H367</f>
        <v/>
      </c>
      <c r="K367">
        <f>Data!R385</f>
        <v/>
      </c>
      <c r="L367">
        <f>Data!T385</f>
        <v/>
      </c>
      <c r="M367">
        <f>AND(E367=0,F367=0,G367=0,H367=0,I367=0,J367=0,K367=0,L367=0)</f>
        <v/>
      </c>
      <c r="N367">
        <f>G367&lt;=$T$6</f>
        <v/>
      </c>
      <c r="O367">
        <f>G367&lt;=$T$12</f>
        <v/>
      </c>
      <c r="P367">
        <f>OR(AND(H367&gt;=$T$4,K367&lt;=$T$5,N367),M367)</f>
        <v/>
      </c>
      <c r="Q367">
        <f>OR(AND(I367&gt;=$T$10,K367&lt;=$T$11,O367),M367)</f>
        <v/>
      </c>
    </row>
    <row r="368">
      <c r="A368">
        <f>Data!E386</f>
        <v/>
      </c>
      <c r="B368">
        <f>Data!G386</f>
        <v/>
      </c>
      <c r="C368">
        <f>Data!H386</f>
        <v/>
      </c>
      <c r="D368">
        <f>Data!I386</f>
        <v/>
      </c>
      <c r="E368">
        <f>Data!M386</f>
        <v/>
      </c>
      <c r="F368">
        <f>Data!O386</f>
        <v/>
      </c>
      <c r="G368">
        <f>E368-F368</f>
        <v/>
      </c>
      <c r="H368">
        <f>Data!P386</f>
        <v/>
      </c>
      <c r="I368">
        <f>G368+H368</f>
        <v/>
      </c>
      <c r="J368">
        <f>F368+G368+H368</f>
        <v/>
      </c>
      <c r="K368">
        <f>Data!R386</f>
        <v/>
      </c>
      <c r="L368">
        <f>Data!T386</f>
        <v/>
      </c>
      <c r="M368">
        <f>AND(E368=0,F368=0,G368=0,H368=0,I368=0,J368=0,K368=0,L368=0)</f>
        <v/>
      </c>
      <c r="N368">
        <f>G368&lt;=$T$6</f>
        <v/>
      </c>
      <c r="O368">
        <f>G368&lt;=$T$12</f>
        <v/>
      </c>
      <c r="P368">
        <f>OR(AND(H368&gt;=$T$4,K368&lt;=$T$5,N368),M368)</f>
        <v/>
      </c>
      <c r="Q368">
        <f>OR(AND(I368&gt;=$T$10,K368&lt;=$T$11,O368),M368)</f>
        <v/>
      </c>
    </row>
    <row r="369">
      <c r="A369">
        <f>Data!E387</f>
        <v/>
      </c>
      <c r="B369">
        <f>Data!G387</f>
        <v/>
      </c>
      <c r="C369">
        <f>Data!H387</f>
        <v/>
      </c>
      <c r="D369">
        <f>Data!I387</f>
        <v/>
      </c>
      <c r="E369">
        <f>Data!M387</f>
        <v/>
      </c>
      <c r="F369">
        <f>Data!O387</f>
        <v/>
      </c>
      <c r="G369">
        <f>E369-F369</f>
        <v/>
      </c>
      <c r="H369">
        <f>Data!P387</f>
        <v/>
      </c>
      <c r="I369">
        <f>G369+H369</f>
        <v/>
      </c>
      <c r="J369">
        <f>F369+G369+H369</f>
        <v/>
      </c>
      <c r="K369">
        <f>Data!R387</f>
        <v/>
      </c>
      <c r="L369">
        <f>Data!T387</f>
        <v/>
      </c>
      <c r="M369">
        <f>AND(E369=0,F369=0,G369=0,H369=0,I369=0,J369=0,K369=0,L369=0)</f>
        <v/>
      </c>
      <c r="N369">
        <f>G369&lt;=$T$6</f>
        <v/>
      </c>
      <c r="O369">
        <f>G369&lt;=$T$12</f>
        <v/>
      </c>
      <c r="P369">
        <f>OR(AND(H369&gt;=$T$4,K369&lt;=$T$5,N369),M369)</f>
        <v/>
      </c>
      <c r="Q369">
        <f>OR(AND(I369&gt;=$T$10,K369&lt;=$T$11,O369),M369)</f>
        <v/>
      </c>
    </row>
    <row r="370">
      <c r="A370">
        <f>Data!E388</f>
        <v/>
      </c>
      <c r="B370">
        <f>Data!G388</f>
        <v/>
      </c>
      <c r="C370">
        <f>Data!H388</f>
        <v/>
      </c>
      <c r="D370">
        <f>Data!I388</f>
        <v/>
      </c>
      <c r="E370">
        <f>Data!M388</f>
        <v/>
      </c>
      <c r="F370">
        <f>Data!O388</f>
        <v/>
      </c>
      <c r="G370">
        <f>E370-F370</f>
        <v/>
      </c>
      <c r="H370">
        <f>Data!P388</f>
        <v/>
      </c>
      <c r="I370">
        <f>G370+H370</f>
        <v/>
      </c>
      <c r="J370">
        <f>F370+G370+H370</f>
        <v/>
      </c>
      <c r="K370">
        <f>Data!R388</f>
        <v/>
      </c>
      <c r="L370">
        <f>Data!T388</f>
        <v/>
      </c>
      <c r="M370">
        <f>AND(E370=0,F370=0,G370=0,H370=0,I370=0,J370=0,K370=0,L370=0)</f>
        <v/>
      </c>
      <c r="N370">
        <f>G370&lt;=$T$6</f>
        <v/>
      </c>
      <c r="O370">
        <f>G370&lt;=$T$12</f>
        <v/>
      </c>
      <c r="P370">
        <f>OR(AND(H370&gt;=$T$4,K370&lt;=$T$5,N370),M370)</f>
        <v/>
      </c>
      <c r="Q370">
        <f>OR(AND(I370&gt;=$T$10,K370&lt;=$T$11,O370),M370)</f>
        <v/>
      </c>
    </row>
    <row r="371">
      <c r="A371">
        <f>Data!E389</f>
        <v/>
      </c>
      <c r="B371">
        <f>Data!G389</f>
        <v/>
      </c>
      <c r="C371">
        <f>Data!H389</f>
        <v/>
      </c>
      <c r="D371">
        <f>Data!I389</f>
        <v/>
      </c>
      <c r="E371">
        <f>Data!M389</f>
        <v/>
      </c>
      <c r="F371">
        <f>Data!O389</f>
        <v/>
      </c>
      <c r="G371">
        <f>E371-F371</f>
        <v/>
      </c>
      <c r="H371">
        <f>Data!P389</f>
        <v/>
      </c>
      <c r="I371">
        <f>G371+H371</f>
        <v/>
      </c>
      <c r="J371">
        <f>F371+G371+H371</f>
        <v/>
      </c>
      <c r="K371">
        <f>Data!R389</f>
        <v/>
      </c>
      <c r="L371">
        <f>Data!T389</f>
        <v/>
      </c>
      <c r="M371">
        <f>AND(E371=0,F371=0,G371=0,H371=0,I371=0,J371=0,K371=0,L371=0)</f>
        <v/>
      </c>
      <c r="N371">
        <f>G371&lt;=$T$6</f>
        <v/>
      </c>
      <c r="O371">
        <f>G371&lt;=$T$12</f>
        <v/>
      </c>
      <c r="P371">
        <f>OR(AND(H371&gt;=$T$4,K371&lt;=$T$5,N371),M371)</f>
        <v/>
      </c>
      <c r="Q371">
        <f>OR(AND(I371&gt;=$T$10,K371&lt;=$T$11,O371),M371)</f>
        <v/>
      </c>
    </row>
    <row r="372">
      <c r="A372">
        <f>Data!E390</f>
        <v/>
      </c>
      <c r="B372">
        <f>Data!G390</f>
        <v/>
      </c>
      <c r="C372">
        <f>Data!H390</f>
        <v/>
      </c>
      <c r="D372">
        <f>Data!I390</f>
        <v/>
      </c>
      <c r="E372">
        <f>Data!M390</f>
        <v/>
      </c>
      <c r="F372">
        <f>Data!O390</f>
        <v/>
      </c>
      <c r="G372">
        <f>E372-F372</f>
        <v/>
      </c>
      <c r="H372">
        <f>Data!P390</f>
        <v/>
      </c>
      <c r="I372">
        <f>G372+H372</f>
        <v/>
      </c>
      <c r="J372">
        <f>F372+G372+H372</f>
        <v/>
      </c>
      <c r="K372">
        <f>Data!R390</f>
        <v/>
      </c>
      <c r="L372">
        <f>Data!T390</f>
        <v/>
      </c>
      <c r="M372">
        <f>AND(E372=0,F372=0,G372=0,H372=0,I372=0,J372=0,K372=0,L372=0)</f>
        <v/>
      </c>
      <c r="N372">
        <f>G372&lt;=$T$6</f>
        <v/>
      </c>
      <c r="O372">
        <f>G372&lt;=$T$12</f>
        <v/>
      </c>
      <c r="P372">
        <f>OR(AND(H372&gt;=$T$4,K372&lt;=$T$5,N372),M372)</f>
        <v/>
      </c>
      <c r="Q372">
        <f>OR(AND(I372&gt;=$T$10,K372&lt;=$T$11,O372),M372)</f>
        <v/>
      </c>
    </row>
    <row r="373">
      <c r="A373">
        <f>Data!E391</f>
        <v/>
      </c>
      <c r="B373">
        <f>Data!G391</f>
        <v/>
      </c>
      <c r="C373">
        <f>Data!H391</f>
        <v/>
      </c>
      <c r="D373">
        <f>Data!I391</f>
        <v/>
      </c>
      <c r="E373">
        <f>Data!M391</f>
        <v/>
      </c>
      <c r="F373">
        <f>Data!O391</f>
        <v/>
      </c>
      <c r="G373">
        <f>E373-F373</f>
        <v/>
      </c>
      <c r="H373">
        <f>Data!P391</f>
        <v/>
      </c>
      <c r="I373">
        <f>G373+H373</f>
        <v/>
      </c>
      <c r="J373">
        <f>F373+G373+H373</f>
        <v/>
      </c>
      <c r="K373">
        <f>Data!R391</f>
        <v/>
      </c>
      <c r="L373">
        <f>Data!T391</f>
        <v/>
      </c>
      <c r="M373">
        <f>AND(E373=0,F373=0,G373=0,H373=0,I373=0,J373=0,K373=0,L373=0)</f>
        <v/>
      </c>
      <c r="N373">
        <f>G373&lt;=$T$6</f>
        <v/>
      </c>
      <c r="O373">
        <f>G373&lt;=$T$12</f>
        <v/>
      </c>
      <c r="P373">
        <f>OR(AND(H373&gt;=$T$4,K373&lt;=$T$5,N373),M373)</f>
        <v/>
      </c>
      <c r="Q373">
        <f>OR(AND(I373&gt;=$T$10,K373&lt;=$T$11,O373),M373)</f>
        <v/>
      </c>
    </row>
    <row r="374">
      <c r="A374">
        <f>Data!E392</f>
        <v/>
      </c>
      <c r="B374">
        <f>Data!G392</f>
        <v/>
      </c>
      <c r="C374">
        <f>Data!H392</f>
        <v/>
      </c>
      <c r="D374">
        <f>Data!I392</f>
        <v/>
      </c>
      <c r="E374">
        <f>Data!M392</f>
        <v/>
      </c>
      <c r="F374">
        <f>Data!O392</f>
        <v/>
      </c>
      <c r="G374">
        <f>E374-F374</f>
        <v/>
      </c>
      <c r="H374">
        <f>Data!P392</f>
        <v/>
      </c>
      <c r="I374">
        <f>G374+H374</f>
        <v/>
      </c>
      <c r="J374">
        <f>F374+G374+H374</f>
        <v/>
      </c>
      <c r="K374">
        <f>Data!R392</f>
        <v/>
      </c>
      <c r="L374">
        <f>Data!T392</f>
        <v/>
      </c>
      <c r="M374">
        <f>AND(E374=0,F374=0,G374=0,H374=0,I374=0,J374=0,K374=0,L374=0)</f>
        <v/>
      </c>
      <c r="N374">
        <f>G374&lt;=$T$6</f>
        <v/>
      </c>
      <c r="O374">
        <f>G374&lt;=$T$12</f>
        <v/>
      </c>
      <c r="P374">
        <f>OR(AND(H374&gt;=$T$4,K374&lt;=$T$5,N374),M374)</f>
        <v/>
      </c>
      <c r="Q374">
        <f>OR(AND(I374&gt;=$T$10,K374&lt;=$T$11,O374),M374)</f>
        <v/>
      </c>
    </row>
    <row r="375">
      <c r="A375">
        <f>Data!E394</f>
        <v/>
      </c>
      <c r="B375">
        <f>Data!G394</f>
        <v/>
      </c>
      <c r="C375">
        <f>Data!H394</f>
        <v/>
      </c>
      <c r="D375">
        <f>Data!I394</f>
        <v/>
      </c>
      <c r="E375">
        <f>Data!M394</f>
        <v/>
      </c>
      <c r="F375">
        <f>Data!O394</f>
        <v/>
      </c>
      <c r="G375">
        <f>E375-F375</f>
        <v/>
      </c>
      <c r="H375">
        <f>Data!P394</f>
        <v/>
      </c>
      <c r="I375">
        <f>G375+H375</f>
        <v/>
      </c>
      <c r="J375">
        <f>F375+G375+H375</f>
        <v/>
      </c>
      <c r="K375">
        <f>Data!R394</f>
        <v/>
      </c>
      <c r="L375">
        <f>Data!T394</f>
        <v/>
      </c>
      <c r="M375">
        <f>AND(E375=0,F375=0,G375=0,H375=0,I375=0,J375=0,K375=0,L375=0)</f>
        <v/>
      </c>
      <c r="N375">
        <f>G375&lt;=$T$6</f>
        <v/>
      </c>
      <c r="O375">
        <f>G375&lt;=$T$12</f>
        <v/>
      </c>
      <c r="P375">
        <f>OR(AND(H375&gt;=$T$4,K375&lt;=$T$5,N375),M375)</f>
        <v/>
      </c>
      <c r="Q375">
        <f>OR(AND(I375&gt;=$T$10,K375&lt;=$T$11,O375),M375)</f>
        <v/>
      </c>
    </row>
    <row r="376">
      <c r="A376">
        <f>Data!E395</f>
        <v/>
      </c>
      <c r="B376">
        <f>Data!G395</f>
        <v/>
      </c>
      <c r="C376">
        <f>Data!H395</f>
        <v/>
      </c>
      <c r="D376">
        <f>Data!I395</f>
        <v/>
      </c>
      <c r="E376">
        <f>Data!M395</f>
        <v/>
      </c>
      <c r="F376">
        <f>Data!O395</f>
        <v/>
      </c>
      <c r="G376">
        <f>E376-F376</f>
        <v/>
      </c>
      <c r="H376">
        <f>Data!P395</f>
        <v/>
      </c>
      <c r="I376">
        <f>G376+H376</f>
        <v/>
      </c>
      <c r="J376">
        <f>F376+G376+H376</f>
        <v/>
      </c>
      <c r="K376">
        <f>Data!R395</f>
        <v/>
      </c>
      <c r="L376">
        <f>Data!T395</f>
        <v/>
      </c>
      <c r="M376">
        <f>AND(E376=0,F376=0,G376=0,H376=0,I376=0,J376=0,K376=0,L376=0)</f>
        <v/>
      </c>
      <c r="N376">
        <f>G376&lt;=$T$6</f>
        <v/>
      </c>
      <c r="O376">
        <f>G376&lt;=$T$12</f>
        <v/>
      </c>
      <c r="P376">
        <f>OR(AND(H376&gt;=$T$4,K376&lt;=$T$5,N376),M376)</f>
        <v/>
      </c>
      <c r="Q376">
        <f>OR(AND(I376&gt;=$T$10,K376&lt;=$T$11,O376),M376)</f>
        <v/>
      </c>
    </row>
    <row r="377">
      <c r="A377">
        <f>Data!E396</f>
        <v/>
      </c>
      <c r="B377">
        <f>Data!G396</f>
        <v/>
      </c>
      <c r="C377">
        <f>Data!H396</f>
        <v/>
      </c>
      <c r="D377">
        <f>Data!I396</f>
        <v/>
      </c>
      <c r="E377">
        <f>Data!M396</f>
        <v/>
      </c>
      <c r="F377">
        <f>Data!O396</f>
        <v/>
      </c>
      <c r="G377">
        <f>E377-F377</f>
        <v/>
      </c>
      <c r="H377">
        <f>Data!P396</f>
        <v/>
      </c>
      <c r="I377">
        <f>G377+H377</f>
        <v/>
      </c>
      <c r="J377">
        <f>F377+G377+H377</f>
        <v/>
      </c>
      <c r="K377">
        <f>Data!R396</f>
        <v/>
      </c>
      <c r="L377">
        <f>Data!T396</f>
        <v/>
      </c>
      <c r="M377">
        <f>AND(E377=0,F377=0,G377=0,H377=0,I377=0,J377=0,K377=0,L377=0)</f>
        <v/>
      </c>
      <c r="N377">
        <f>G377&lt;=$T$6</f>
        <v/>
      </c>
      <c r="O377">
        <f>G377&lt;=$T$12</f>
        <v/>
      </c>
      <c r="P377">
        <f>OR(AND(H377&gt;=$T$4,K377&lt;=$T$5,N377),M377)</f>
        <v/>
      </c>
      <c r="Q377">
        <f>OR(AND(I377&gt;=$T$10,K377&lt;=$T$11,O377),M377)</f>
        <v/>
      </c>
    </row>
    <row r="378">
      <c r="A378">
        <f>Data!E397</f>
        <v/>
      </c>
      <c r="B378">
        <f>Data!G397</f>
        <v/>
      </c>
      <c r="C378">
        <f>Data!H397</f>
        <v/>
      </c>
      <c r="D378">
        <f>Data!I397</f>
        <v/>
      </c>
      <c r="E378">
        <f>Data!M397</f>
        <v/>
      </c>
      <c r="F378">
        <f>Data!O397</f>
        <v/>
      </c>
      <c r="G378">
        <f>E378-F378</f>
        <v/>
      </c>
      <c r="H378">
        <f>Data!P397</f>
        <v/>
      </c>
      <c r="I378">
        <f>G378+H378</f>
        <v/>
      </c>
      <c r="J378">
        <f>F378+G378+H378</f>
        <v/>
      </c>
      <c r="K378">
        <f>Data!R397</f>
        <v/>
      </c>
      <c r="L378">
        <f>Data!T397</f>
        <v/>
      </c>
      <c r="M378">
        <f>AND(E378=0,F378=0,G378=0,H378=0,I378=0,J378=0,K378=0,L378=0)</f>
        <v/>
      </c>
      <c r="N378">
        <f>G378&lt;=$T$6</f>
        <v/>
      </c>
      <c r="O378">
        <f>G378&lt;=$T$12</f>
        <v/>
      </c>
      <c r="P378">
        <f>OR(AND(H378&gt;=$T$4,K378&lt;=$T$5,N378),M378)</f>
        <v/>
      </c>
      <c r="Q378">
        <f>OR(AND(I378&gt;=$T$10,K378&lt;=$T$11,O378),M378)</f>
        <v/>
      </c>
    </row>
    <row r="379">
      <c r="A379">
        <f>Data!E398</f>
        <v/>
      </c>
      <c r="B379">
        <f>Data!G398</f>
        <v/>
      </c>
      <c r="C379">
        <f>Data!H398</f>
        <v/>
      </c>
      <c r="D379">
        <f>Data!I398</f>
        <v/>
      </c>
      <c r="E379">
        <f>Data!M398</f>
        <v/>
      </c>
      <c r="F379">
        <f>Data!O398</f>
        <v/>
      </c>
      <c r="G379">
        <f>E379-F379</f>
        <v/>
      </c>
      <c r="H379">
        <f>Data!P398</f>
        <v/>
      </c>
      <c r="I379">
        <f>G379+H379</f>
        <v/>
      </c>
      <c r="J379">
        <f>F379+G379+H379</f>
        <v/>
      </c>
      <c r="K379">
        <f>Data!R398</f>
        <v/>
      </c>
      <c r="L379">
        <f>Data!T398</f>
        <v/>
      </c>
      <c r="M379">
        <f>AND(E379=0,F379=0,G379=0,H379=0,I379=0,J379=0,K379=0,L379=0)</f>
        <v/>
      </c>
      <c r="N379">
        <f>G379&lt;=$T$6</f>
        <v/>
      </c>
      <c r="O379">
        <f>G379&lt;=$T$12</f>
        <v/>
      </c>
      <c r="P379">
        <f>OR(AND(H379&gt;=$T$4,K379&lt;=$T$5,N379),M379)</f>
        <v/>
      </c>
      <c r="Q379">
        <f>OR(AND(I379&gt;=$T$10,K379&lt;=$T$11,O379),M379)</f>
        <v/>
      </c>
    </row>
    <row r="380">
      <c r="A380">
        <f>Data!E399</f>
        <v/>
      </c>
      <c r="B380">
        <f>Data!G399</f>
        <v/>
      </c>
      <c r="C380">
        <f>Data!H399</f>
        <v/>
      </c>
      <c r="D380">
        <f>Data!I399</f>
        <v/>
      </c>
      <c r="E380">
        <f>Data!M399</f>
        <v/>
      </c>
      <c r="F380">
        <f>Data!O399</f>
        <v/>
      </c>
      <c r="G380">
        <f>E380-F380</f>
        <v/>
      </c>
      <c r="H380">
        <f>Data!P399</f>
        <v/>
      </c>
      <c r="I380">
        <f>G380+H380</f>
        <v/>
      </c>
      <c r="J380">
        <f>F380+G380+H380</f>
        <v/>
      </c>
      <c r="K380">
        <f>Data!R399</f>
        <v/>
      </c>
      <c r="L380">
        <f>Data!T399</f>
        <v/>
      </c>
      <c r="M380">
        <f>AND(E380=0,F380=0,G380=0,H380=0,I380=0,J380=0,K380=0,L380=0)</f>
        <v/>
      </c>
      <c r="N380">
        <f>G380&lt;=$T$6</f>
        <v/>
      </c>
      <c r="O380">
        <f>G380&lt;=$T$12</f>
        <v/>
      </c>
      <c r="P380">
        <f>OR(AND(H380&gt;=$T$4,K380&lt;=$T$5,N380),M380)</f>
        <v/>
      </c>
      <c r="Q380">
        <f>OR(AND(I380&gt;=$T$10,K380&lt;=$T$11,O380),M380)</f>
        <v/>
      </c>
    </row>
    <row r="381">
      <c r="A381">
        <f>Data!E400</f>
        <v/>
      </c>
      <c r="B381">
        <f>Data!G400</f>
        <v/>
      </c>
      <c r="C381">
        <f>Data!H400</f>
        <v/>
      </c>
      <c r="D381">
        <f>Data!I400</f>
        <v/>
      </c>
      <c r="E381">
        <f>Data!M400</f>
        <v/>
      </c>
      <c r="F381">
        <f>Data!O400</f>
        <v/>
      </c>
      <c r="G381">
        <f>E381-F381</f>
        <v/>
      </c>
      <c r="H381">
        <f>Data!P400</f>
        <v/>
      </c>
      <c r="I381">
        <f>G381+H381</f>
        <v/>
      </c>
      <c r="J381">
        <f>F381+G381+H381</f>
        <v/>
      </c>
      <c r="K381">
        <f>Data!R400</f>
        <v/>
      </c>
      <c r="L381">
        <f>Data!T400</f>
        <v/>
      </c>
      <c r="M381">
        <f>AND(E381=0,F381=0,G381=0,H381=0,I381=0,J381=0,K381=0,L381=0)</f>
        <v/>
      </c>
      <c r="N381">
        <f>G381&lt;=$T$6</f>
        <v/>
      </c>
      <c r="O381">
        <f>G381&lt;=$T$12</f>
        <v/>
      </c>
      <c r="P381">
        <f>OR(AND(H381&gt;=$T$4,K381&lt;=$T$5,N381),M381)</f>
        <v/>
      </c>
      <c r="Q381">
        <f>OR(AND(I381&gt;=$T$10,K381&lt;=$T$11,O381),M381)</f>
        <v/>
      </c>
    </row>
    <row r="382">
      <c r="A382">
        <f>Data!E401</f>
        <v/>
      </c>
      <c r="B382">
        <f>Data!G401</f>
        <v/>
      </c>
      <c r="C382">
        <f>Data!H401</f>
        <v/>
      </c>
      <c r="D382">
        <f>Data!I401</f>
        <v/>
      </c>
      <c r="E382">
        <f>Data!M401</f>
        <v/>
      </c>
      <c r="F382">
        <f>Data!O401</f>
        <v/>
      </c>
      <c r="G382">
        <f>E382-F382</f>
        <v/>
      </c>
      <c r="H382">
        <f>Data!P401</f>
        <v/>
      </c>
      <c r="I382">
        <f>G382+H382</f>
        <v/>
      </c>
      <c r="J382">
        <f>F382+G382+H382</f>
        <v/>
      </c>
      <c r="K382">
        <f>Data!R401</f>
        <v/>
      </c>
      <c r="L382">
        <f>Data!T401</f>
        <v/>
      </c>
      <c r="M382">
        <f>AND(E382=0,F382=0,G382=0,H382=0,I382=0,J382=0,K382=0,L382=0)</f>
        <v/>
      </c>
      <c r="N382">
        <f>G382&lt;=$T$6</f>
        <v/>
      </c>
      <c r="O382">
        <f>G382&lt;=$T$12</f>
        <v/>
      </c>
      <c r="P382">
        <f>OR(AND(H382&gt;=$T$4,K382&lt;=$T$5,N382),M382)</f>
        <v/>
      </c>
      <c r="Q382">
        <f>OR(AND(I382&gt;=$T$10,K382&lt;=$T$11,O382),M382)</f>
        <v/>
      </c>
    </row>
    <row r="383">
      <c r="A383">
        <f>Data!E402</f>
        <v/>
      </c>
      <c r="B383">
        <f>Data!G402</f>
        <v/>
      </c>
      <c r="C383">
        <f>Data!H402</f>
        <v/>
      </c>
      <c r="D383">
        <f>Data!I402</f>
        <v/>
      </c>
      <c r="E383">
        <f>Data!M402</f>
        <v/>
      </c>
      <c r="F383">
        <f>Data!O402</f>
        <v/>
      </c>
      <c r="G383">
        <f>E383-F383</f>
        <v/>
      </c>
      <c r="H383">
        <f>Data!P402</f>
        <v/>
      </c>
      <c r="I383">
        <f>G383+H383</f>
        <v/>
      </c>
      <c r="J383">
        <f>F383+G383+H383</f>
        <v/>
      </c>
      <c r="K383">
        <f>Data!R402</f>
        <v/>
      </c>
      <c r="L383">
        <f>Data!T402</f>
        <v/>
      </c>
      <c r="M383">
        <f>AND(E383=0,F383=0,G383=0,H383=0,I383=0,J383=0,K383=0,L383=0)</f>
        <v/>
      </c>
      <c r="N383">
        <f>G383&lt;=$T$6</f>
        <v/>
      </c>
      <c r="O383">
        <f>G383&lt;=$T$12</f>
        <v/>
      </c>
      <c r="P383">
        <f>OR(AND(H383&gt;=$T$4,K383&lt;=$T$5,N383),M383)</f>
        <v/>
      </c>
      <c r="Q383">
        <f>OR(AND(I383&gt;=$T$10,K383&lt;=$T$11,O383),M383)</f>
        <v/>
      </c>
    </row>
    <row r="384">
      <c r="A384">
        <f>Data!E403</f>
        <v/>
      </c>
      <c r="B384">
        <f>Data!G403</f>
        <v/>
      </c>
      <c r="C384">
        <f>Data!H403</f>
        <v/>
      </c>
      <c r="D384">
        <f>Data!I403</f>
        <v/>
      </c>
      <c r="E384">
        <f>Data!M403</f>
        <v/>
      </c>
      <c r="F384">
        <f>Data!O403</f>
        <v/>
      </c>
      <c r="G384">
        <f>E384-F384</f>
        <v/>
      </c>
      <c r="H384">
        <f>Data!P403</f>
        <v/>
      </c>
      <c r="I384">
        <f>G384+H384</f>
        <v/>
      </c>
      <c r="J384">
        <f>F384+G384+H384</f>
        <v/>
      </c>
      <c r="K384">
        <f>Data!R403</f>
        <v/>
      </c>
      <c r="L384">
        <f>Data!T403</f>
        <v/>
      </c>
      <c r="M384">
        <f>AND(E384=0,F384=0,G384=0,H384=0,I384=0,J384=0,K384=0,L384=0)</f>
        <v/>
      </c>
      <c r="N384">
        <f>G384&lt;=$T$6</f>
        <v/>
      </c>
      <c r="O384">
        <f>G384&lt;=$T$12</f>
        <v/>
      </c>
      <c r="P384">
        <f>OR(AND(H384&gt;=$T$4,K384&lt;=$T$5,N384),M384)</f>
        <v/>
      </c>
      <c r="Q384">
        <f>OR(AND(I384&gt;=$T$10,K384&lt;=$T$11,O384),M384)</f>
        <v/>
      </c>
    </row>
    <row r="385">
      <c r="A385">
        <f>Data!E404</f>
        <v/>
      </c>
      <c r="B385">
        <f>Data!G404</f>
        <v/>
      </c>
      <c r="C385">
        <f>Data!H404</f>
        <v/>
      </c>
      <c r="D385">
        <f>Data!I404</f>
        <v/>
      </c>
      <c r="E385">
        <f>Data!M404</f>
        <v/>
      </c>
      <c r="F385">
        <f>Data!O404</f>
        <v/>
      </c>
      <c r="G385">
        <f>E385-F385</f>
        <v/>
      </c>
      <c r="H385">
        <f>Data!P404</f>
        <v/>
      </c>
      <c r="I385">
        <f>G385+H385</f>
        <v/>
      </c>
      <c r="J385">
        <f>F385+G385+H385</f>
        <v/>
      </c>
      <c r="K385">
        <f>Data!R404</f>
        <v/>
      </c>
      <c r="L385">
        <f>Data!T404</f>
        <v/>
      </c>
      <c r="M385">
        <f>AND(E385=0,F385=0,G385=0,H385=0,I385=0,J385=0,K385=0,L385=0)</f>
        <v/>
      </c>
      <c r="N385">
        <f>G385&lt;=$T$6</f>
        <v/>
      </c>
      <c r="O385">
        <f>G385&lt;=$T$12</f>
        <v/>
      </c>
      <c r="P385">
        <f>OR(AND(H385&gt;=$T$4,K385&lt;=$T$5,N385),M385)</f>
        <v/>
      </c>
      <c r="Q385">
        <f>OR(AND(I385&gt;=$T$10,K385&lt;=$T$11,O385),M385)</f>
        <v/>
      </c>
    </row>
    <row r="386">
      <c r="A386">
        <f>Data!E405</f>
        <v/>
      </c>
      <c r="B386">
        <f>Data!G405</f>
        <v/>
      </c>
      <c r="C386">
        <f>Data!H405</f>
        <v/>
      </c>
      <c r="D386">
        <f>Data!I405</f>
        <v/>
      </c>
      <c r="E386">
        <f>Data!M405</f>
        <v/>
      </c>
      <c r="F386">
        <f>Data!O405</f>
        <v/>
      </c>
      <c r="G386">
        <f>E386-F386</f>
        <v/>
      </c>
      <c r="H386">
        <f>Data!P405</f>
        <v/>
      </c>
      <c r="I386">
        <f>G386+H386</f>
        <v/>
      </c>
      <c r="J386">
        <f>F386+G386+H386</f>
        <v/>
      </c>
      <c r="K386">
        <f>Data!R405</f>
        <v/>
      </c>
      <c r="L386">
        <f>Data!T405</f>
        <v/>
      </c>
      <c r="M386">
        <f>AND(E386=0,F386=0,G386=0,H386=0,I386=0,J386=0,K386=0,L386=0)</f>
        <v/>
      </c>
      <c r="N386">
        <f>G386&lt;=$T$6</f>
        <v/>
      </c>
      <c r="O386">
        <f>G386&lt;=$T$12</f>
        <v/>
      </c>
      <c r="P386">
        <f>OR(AND(H386&gt;=$T$4,K386&lt;=$T$5,N386),M386)</f>
        <v/>
      </c>
      <c r="Q386">
        <f>OR(AND(I386&gt;=$T$10,K386&lt;=$T$11,O386),M386)</f>
        <v/>
      </c>
    </row>
    <row r="387">
      <c r="A387">
        <f>Data!E406</f>
        <v/>
      </c>
      <c r="B387">
        <f>Data!G406</f>
        <v/>
      </c>
      <c r="C387">
        <f>Data!H406</f>
        <v/>
      </c>
      <c r="D387">
        <f>Data!I406</f>
        <v/>
      </c>
      <c r="E387">
        <f>Data!M406</f>
        <v/>
      </c>
      <c r="F387">
        <f>Data!O406</f>
        <v/>
      </c>
      <c r="G387">
        <f>E387-F387</f>
        <v/>
      </c>
      <c r="H387">
        <f>Data!P406</f>
        <v/>
      </c>
      <c r="I387">
        <f>G387+H387</f>
        <v/>
      </c>
      <c r="J387">
        <f>F387+G387+H387</f>
        <v/>
      </c>
      <c r="K387">
        <f>Data!R406</f>
        <v/>
      </c>
      <c r="L387">
        <f>Data!T406</f>
        <v/>
      </c>
      <c r="M387">
        <f>AND(E387=0,F387=0,G387=0,H387=0,I387=0,J387=0,K387=0,L387=0)</f>
        <v/>
      </c>
      <c r="N387">
        <f>G387&lt;=$T$6</f>
        <v/>
      </c>
      <c r="O387">
        <f>G387&lt;=$T$12</f>
        <v/>
      </c>
      <c r="P387">
        <f>OR(AND(H387&gt;=$T$4,K387&lt;=$T$5,N387),M387)</f>
        <v/>
      </c>
      <c r="Q387">
        <f>OR(AND(I387&gt;=$T$10,K387&lt;=$T$11,O387),M387)</f>
        <v/>
      </c>
    </row>
    <row r="388">
      <c r="A388">
        <f>Data!E408</f>
        <v/>
      </c>
      <c r="B388">
        <f>Data!G408</f>
        <v/>
      </c>
      <c r="C388">
        <f>Data!H408</f>
        <v/>
      </c>
      <c r="D388">
        <f>Data!I408</f>
        <v/>
      </c>
      <c r="E388">
        <f>Data!M408</f>
        <v/>
      </c>
      <c r="F388">
        <f>Data!O408</f>
        <v/>
      </c>
      <c r="G388">
        <f>E388-F388</f>
        <v/>
      </c>
      <c r="H388">
        <f>Data!P408</f>
        <v/>
      </c>
      <c r="I388">
        <f>G388+H388</f>
        <v/>
      </c>
      <c r="J388">
        <f>F388+G388+H388</f>
        <v/>
      </c>
      <c r="K388">
        <f>Data!R408</f>
        <v/>
      </c>
      <c r="L388">
        <f>Data!T408</f>
        <v/>
      </c>
      <c r="M388">
        <f>AND(E388=0,F388=0,G388=0,H388=0,I388=0,J388=0,K388=0,L388=0)</f>
        <v/>
      </c>
      <c r="N388">
        <f>G388&lt;=$T$6</f>
        <v/>
      </c>
      <c r="O388">
        <f>G388&lt;=$T$12</f>
        <v/>
      </c>
      <c r="P388">
        <f>OR(AND(H388&gt;=$T$4,K388&lt;=$T$5,N388),M388)</f>
        <v/>
      </c>
      <c r="Q388">
        <f>OR(AND(I388&gt;=$T$10,K388&lt;=$T$11,O388),M388)</f>
        <v/>
      </c>
    </row>
    <row r="389">
      <c r="A389">
        <f>Data!E409</f>
        <v/>
      </c>
      <c r="B389">
        <f>Data!G409</f>
        <v/>
      </c>
      <c r="C389">
        <f>Data!H409</f>
        <v/>
      </c>
      <c r="D389">
        <f>Data!I409</f>
        <v/>
      </c>
      <c r="E389">
        <f>Data!M409</f>
        <v/>
      </c>
      <c r="F389">
        <f>Data!O409</f>
        <v/>
      </c>
      <c r="G389">
        <f>E389-F389</f>
        <v/>
      </c>
      <c r="H389">
        <f>Data!P409</f>
        <v/>
      </c>
      <c r="I389">
        <f>G389+H389</f>
        <v/>
      </c>
      <c r="J389">
        <f>F389+G389+H389</f>
        <v/>
      </c>
      <c r="K389">
        <f>Data!R409</f>
        <v/>
      </c>
      <c r="L389">
        <f>Data!T409</f>
        <v/>
      </c>
      <c r="M389">
        <f>AND(E389=0,F389=0,G389=0,H389=0,I389=0,J389=0,K389=0,L389=0)</f>
        <v/>
      </c>
      <c r="N389">
        <f>G389&lt;=$T$6</f>
        <v/>
      </c>
      <c r="O389">
        <f>G389&lt;=$T$12</f>
        <v/>
      </c>
      <c r="P389">
        <f>OR(AND(H389&gt;=$T$4,K389&lt;=$T$5,N389),M389)</f>
        <v/>
      </c>
      <c r="Q389">
        <f>OR(AND(I389&gt;=$T$10,K389&lt;=$T$11,O389),M389)</f>
        <v/>
      </c>
    </row>
    <row r="390">
      <c r="A390">
        <f>Data!E410</f>
        <v/>
      </c>
      <c r="B390">
        <f>Data!G410</f>
        <v/>
      </c>
      <c r="C390">
        <f>Data!H410</f>
        <v/>
      </c>
      <c r="D390">
        <f>Data!I410</f>
        <v/>
      </c>
      <c r="E390">
        <f>Data!M410</f>
        <v/>
      </c>
      <c r="F390">
        <f>Data!O410</f>
        <v/>
      </c>
      <c r="G390">
        <f>E390-F390</f>
        <v/>
      </c>
      <c r="H390">
        <f>Data!P410</f>
        <v/>
      </c>
      <c r="I390">
        <f>G390+H390</f>
        <v/>
      </c>
      <c r="J390">
        <f>F390+G390+H390</f>
        <v/>
      </c>
      <c r="K390">
        <f>Data!R410</f>
        <v/>
      </c>
      <c r="L390">
        <f>Data!T410</f>
        <v/>
      </c>
      <c r="M390">
        <f>AND(E390=0,F390=0,G390=0,H390=0,I390=0,J390=0,K390=0,L390=0)</f>
        <v/>
      </c>
      <c r="N390">
        <f>G390&lt;=$T$6</f>
        <v/>
      </c>
      <c r="O390">
        <f>G390&lt;=$T$12</f>
        <v/>
      </c>
      <c r="P390">
        <f>OR(AND(H390&gt;=$T$4,K390&lt;=$T$5,N390),M390)</f>
        <v/>
      </c>
      <c r="Q390">
        <f>OR(AND(I390&gt;=$T$10,K390&lt;=$T$11,O390),M390)</f>
        <v/>
      </c>
    </row>
    <row r="391">
      <c r="A391">
        <f>Data!E411</f>
        <v/>
      </c>
      <c r="B391">
        <f>Data!G411</f>
        <v/>
      </c>
      <c r="C391">
        <f>Data!H411</f>
        <v/>
      </c>
      <c r="D391">
        <f>Data!I411</f>
        <v/>
      </c>
      <c r="E391">
        <f>Data!M411</f>
        <v/>
      </c>
      <c r="F391">
        <f>Data!O411</f>
        <v/>
      </c>
      <c r="G391">
        <f>E391-F391</f>
        <v/>
      </c>
      <c r="H391">
        <f>Data!P411</f>
        <v/>
      </c>
      <c r="I391">
        <f>G391+H391</f>
        <v/>
      </c>
      <c r="J391">
        <f>F391+G391+H391</f>
        <v/>
      </c>
      <c r="K391">
        <f>Data!R411</f>
        <v/>
      </c>
      <c r="L391">
        <f>Data!T411</f>
        <v/>
      </c>
      <c r="M391">
        <f>AND(E391=0,F391=0,G391=0,H391=0,I391=0,J391=0,K391=0,L391=0)</f>
        <v/>
      </c>
      <c r="N391">
        <f>G391&lt;=$T$6</f>
        <v/>
      </c>
      <c r="O391">
        <f>G391&lt;=$T$12</f>
        <v/>
      </c>
      <c r="P391">
        <f>OR(AND(H391&gt;=$T$4,K391&lt;=$T$5,N391),M391)</f>
        <v/>
      </c>
      <c r="Q391">
        <f>OR(AND(I391&gt;=$T$10,K391&lt;=$T$11,O391),M391)</f>
        <v/>
      </c>
    </row>
    <row r="392">
      <c r="A392">
        <f>Data!E412</f>
        <v/>
      </c>
      <c r="B392">
        <f>Data!G412</f>
        <v/>
      </c>
      <c r="C392">
        <f>Data!H412</f>
        <v/>
      </c>
      <c r="D392">
        <f>Data!I412</f>
        <v/>
      </c>
      <c r="E392">
        <f>Data!M412</f>
        <v/>
      </c>
      <c r="F392">
        <f>Data!O412</f>
        <v/>
      </c>
      <c r="G392">
        <f>E392-F392</f>
        <v/>
      </c>
      <c r="H392">
        <f>Data!P412</f>
        <v/>
      </c>
      <c r="I392">
        <f>G392+H392</f>
        <v/>
      </c>
      <c r="J392">
        <f>F392+G392+H392</f>
        <v/>
      </c>
      <c r="K392">
        <f>Data!R412</f>
        <v/>
      </c>
      <c r="L392">
        <f>Data!T412</f>
        <v/>
      </c>
      <c r="M392">
        <f>AND(E392=0,F392=0,G392=0,H392=0,I392=0,J392=0,K392=0,L392=0)</f>
        <v/>
      </c>
      <c r="N392">
        <f>G392&lt;=$T$6</f>
        <v/>
      </c>
      <c r="O392">
        <f>G392&lt;=$T$12</f>
        <v/>
      </c>
      <c r="P392">
        <f>OR(AND(H392&gt;=$T$4,K392&lt;=$T$5,N392),M392)</f>
        <v/>
      </c>
      <c r="Q392">
        <f>OR(AND(I392&gt;=$T$10,K392&lt;=$T$11,O392),M392)</f>
        <v/>
      </c>
    </row>
    <row r="393">
      <c r="A393">
        <f>Data!E413</f>
        <v/>
      </c>
      <c r="B393">
        <f>Data!G413</f>
        <v/>
      </c>
      <c r="C393">
        <f>Data!H413</f>
        <v/>
      </c>
      <c r="D393">
        <f>Data!I413</f>
        <v/>
      </c>
      <c r="E393">
        <f>Data!M413</f>
        <v/>
      </c>
      <c r="F393">
        <f>Data!O413</f>
        <v/>
      </c>
      <c r="G393">
        <f>E393-F393</f>
        <v/>
      </c>
      <c r="H393">
        <f>Data!P413</f>
        <v/>
      </c>
      <c r="I393">
        <f>G393+H393</f>
        <v/>
      </c>
      <c r="J393">
        <f>F393+G393+H393</f>
        <v/>
      </c>
      <c r="K393">
        <f>Data!R413</f>
        <v/>
      </c>
      <c r="L393">
        <f>Data!T413</f>
        <v/>
      </c>
      <c r="M393">
        <f>AND(E393=0,F393=0,G393=0,H393=0,I393=0,J393=0,K393=0,L393=0)</f>
        <v/>
      </c>
      <c r="N393">
        <f>G393&lt;=$T$6</f>
        <v/>
      </c>
      <c r="O393">
        <f>G393&lt;=$T$12</f>
        <v/>
      </c>
      <c r="P393">
        <f>OR(AND(H393&gt;=$T$4,K393&lt;=$T$5,N393),M393)</f>
        <v/>
      </c>
      <c r="Q393">
        <f>OR(AND(I393&gt;=$T$10,K393&lt;=$T$11,O393),M393)</f>
        <v/>
      </c>
    </row>
    <row r="394">
      <c r="A394">
        <f>Data!E414</f>
        <v/>
      </c>
      <c r="B394">
        <f>Data!G414</f>
        <v/>
      </c>
      <c r="C394">
        <f>Data!H414</f>
        <v/>
      </c>
      <c r="D394">
        <f>Data!I414</f>
        <v/>
      </c>
      <c r="E394">
        <f>Data!M414</f>
        <v/>
      </c>
      <c r="F394">
        <f>Data!O414</f>
        <v/>
      </c>
      <c r="G394">
        <f>E394-F394</f>
        <v/>
      </c>
      <c r="H394">
        <f>Data!P414</f>
        <v/>
      </c>
      <c r="I394">
        <f>G394+H394</f>
        <v/>
      </c>
      <c r="J394">
        <f>F394+G394+H394</f>
        <v/>
      </c>
      <c r="K394">
        <f>Data!R414</f>
        <v/>
      </c>
      <c r="L394">
        <f>Data!T414</f>
        <v/>
      </c>
      <c r="M394">
        <f>AND(E394=0,F394=0,G394=0,H394=0,I394=0,J394=0,K394=0,L394=0)</f>
        <v/>
      </c>
      <c r="N394">
        <f>G394&lt;=$T$6</f>
        <v/>
      </c>
      <c r="O394">
        <f>G394&lt;=$T$12</f>
        <v/>
      </c>
      <c r="P394">
        <f>OR(AND(H394&gt;=$T$4,K394&lt;=$T$5,N394),M394)</f>
        <v/>
      </c>
      <c r="Q394">
        <f>OR(AND(I394&gt;=$T$10,K394&lt;=$T$11,O394),M394)</f>
        <v/>
      </c>
    </row>
    <row r="395">
      <c r="A395">
        <f>Data!E415</f>
        <v/>
      </c>
      <c r="B395">
        <f>Data!G415</f>
        <v/>
      </c>
      <c r="C395">
        <f>Data!H415</f>
        <v/>
      </c>
      <c r="D395">
        <f>Data!I415</f>
        <v/>
      </c>
      <c r="E395">
        <f>Data!M415</f>
        <v/>
      </c>
      <c r="F395">
        <f>Data!O415</f>
        <v/>
      </c>
      <c r="G395">
        <f>E395-F395</f>
        <v/>
      </c>
      <c r="H395">
        <f>Data!P415</f>
        <v/>
      </c>
      <c r="I395">
        <f>G395+H395</f>
        <v/>
      </c>
      <c r="J395">
        <f>F395+G395+H395</f>
        <v/>
      </c>
      <c r="K395">
        <f>Data!R415</f>
        <v/>
      </c>
      <c r="L395">
        <f>Data!T415</f>
        <v/>
      </c>
      <c r="M395">
        <f>AND(E395=0,F395=0,G395=0,H395=0,I395=0,J395=0,K395=0,L395=0)</f>
        <v/>
      </c>
      <c r="N395">
        <f>G395&lt;=$T$6</f>
        <v/>
      </c>
      <c r="O395">
        <f>G395&lt;=$T$12</f>
        <v/>
      </c>
      <c r="P395">
        <f>OR(AND(H395&gt;=$T$4,K395&lt;=$T$5,N395),M395)</f>
        <v/>
      </c>
      <c r="Q395">
        <f>OR(AND(I395&gt;=$T$10,K395&lt;=$T$11,O395),M395)</f>
        <v/>
      </c>
    </row>
    <row r="396">
      <c r="A396">
        <f>Data!E416</f>
        <v/>
      </c>
      <c r="B396">
        <f>Data!G416</f>
        <v/>
      </c>
      <c r="C396">
        <f>Data!H416</f>
        <v/>
      </c>
      <c r="D396">
        <f>Data!I416</f>
        <v/>
      </c>
      <c r="E396">
        <f>Data!M416</f>
        <v/>
      </c>
      <c r="F396">
        <f>Data!O416</f>
        <v/>
      </c>
      <c r="G396">
        <f>E396-F396</f>
        <v/>
      </c>
      <c r="H396">
        <f>Data!P416</f>
        <v/>
      </c>
      <c r="I396">
        <f>G396+H396</f>
        <v/>
      </c>
      <c r="J396">
        <f>F396+G396+H396</f>
        <v/>
      </c>
      <c r="K396">
        <f>Data!R416</f>
        <v/>
      </c>
      <c r="L396">
        <f>Data!T416</f>
        <v/>
      </c>
      <c r="M396">
        <f>AND(E396=0,F396=0,G396=0,H396=0,I396=0,J396=0,K396=0,L396=0)</f>
        <v/>
      </c>
      <c r="N396">
        <f>G396&lt;=$T$6</f>
        <v/>
      </c>
      <c r="O396">
        <f>G396&lt;=$T$12</f>
        <v/>
      </c>
      <c r="P396">
        <f>OR(AND(H396&gt;=$T$4,K396&lt;=$T$5,N396),M396)</f>
        <v/>
      </c>
      <c r="Q396">
        <f>OR(AND(I396&gt;=$T$10,K396&lt;=$T$11,O396),M396)</f>
        <v/>
      </c>
    </row>
    <row r="397">
      <c r="A397">
        <f>Data!E417</f>
        <v/>
      </c>
      <c r="B397">
        <f>Data!G417</f>
        <v/>
      </c>
      <c r="C397">
        <f>Data!H417</f>
        <v/>
      </c>
      <c r="D397">
        <f>Data!I417</f>
        <v/>
      </c>
      <c r="E397">
        <f>Data!M417</f>
        <v/>
      </c>
      <c r="F397">
        <f>Data!O417</f>
        <v/>
      </c>
      <c r="G397">
        <f>E397-F397</f>
        <v/>
      </c>
      <c r="H397">
        <f>Data!P417</f>
        <v/>
      </c>
      <c r="I397">
        <f>G397+H397</f>
        <v/>
      </c>
      <c r="J397">
        <f>F397+G397+H397</f>
        <v/>
      </c>
      <c r="K397">
        <f>Data!R417</f>
        <v/>
      </c>
      <c r="L397">
        <f>Data!T417</f>
        <v/>
      </c>
      <c r="M397">
        <f>AND(E397=0,F397=0,G397=0,H397=0,I397=0,J397=0,K397=0,L397=0)</f>
        <v/>
      </c>
      <c r="N397">
        <f>G397&lt;=$T$6</f>
        <v/>
      </c>
      <c r="O397">
        <f>G397&lt;=$T$12</f>
        <v/>
      </c>
      <c r="P397">
        <f>OR(AND(H397&gt;=$T$4,K397&lt;=$T$5,N397),M397)</f>
        <v/>
      </c>
      <c r="Q397">
        <f>OR(AND(I397&gt;=$T$10,K397&lt;=$T$11,O397),M397)</f>
        <v/>
      </c>
    </row>
    <row r="398">
      <c r="A398">
        <f>Data!E418</f>
        <v/>
      </c>
      <c r="B398">
        <f>Data!G418</f>
        <v/>
      </c>
      <c r="C398">
        <f>Data!H418</f>
        <v/>
      </c>
      <c r="D398">
        <f>Data!I418</f>
        <v/>
      </c>
      <c r="E398">
        <f>Data!M418</f>
        <v/>
      </c>
      <c r="F398">
        <f>Data!O418</f>
        <v/>
      </c>
      <c r="G398">
        <f>E398-F398</f>
        <v/>
      </c>
      <c r="H398">
        <f>Data!P418</f>
        <v/>
      </c>
      <c r="I398">
        <f>G398+H398</f>
        <v/>
      </c>
      <c r="J398">
        <f>F398+G398+H398</f>
        <v/>
      </c>
      <c r="K398">
        <f>Data!R418</f>
        <v/>
      </c>
      <c r="L398">
        <f>Data!T418</f>
        <v/>
      </c>
      <c r="M398">
        <f>AND(E398=0,F398=0,G398=0,H398=0,I398=0,J398=0,K398=0,L398=0)</f>
        <v/>
      </c>
      <c r="N398">
        <f>G398&lt;=$T$6</f>
        <v/>
      </c>
      <c r="O398">
        <f>G398&lt;=$T$12</f>
        <v/>
      </c>
      <c r="P398">
        <f>OR(AND(H398&gt;=$T$4,K398&lt;=$T$5,N398),M398)</f>
        <v/>
      </c>
      <c r="Q398">
        <f>OR(AND(I398&gt;=$T$10,K398&lt;=$T$11,O398),M398)</f>
        <v/>
      </c>
    </row>
    <row r="399">
      <c r="A399">
        <f>Data!E419</f>
        <v/>
      </c>
      <c r="B399">
        <f>Data!G419</f>
        <v/>
      </c>
      <c r="C399">
        <f>Data!H419</f>
        <v/>
      </c>
      <c r="D399">
        <f>Data!I419</f>
        <v/>
      </c>
      <c r="E399">
        <f>Data!M419</f>
        <v/>
      </c>
      <c r="F399">
        <f>Data!O419</f>
        <v/>
      </c>
      <c r="G399">
        <f>E399-F399</f>
        <v/>
      </c>
      <c r="H399">
        <f>Data!P419</f>
        <v/>
      </c>
      <c r="I399">
        <f>G399+H399</f>
        <v/>
      </c>
      <c r="J399">
        <f>F399+G399+H399</f>
        <v/>
      </c>
      <c r="K399">
        <f>Data!R419</f>
        <v/>
      </c>
      <c r="L399">
        <f>Data!T419</f>
        <v/>
      </c>
      <c r="M399">
        <f>AND(E399=0,F399=0,G399=0,H399=0,I399=0,J399=0,K399=0,L399=0)</f>
        <v/>
      </c>
      <c r="N399">
        <f>G399&lt;=$T$6</f>
        <v/>
      </c>
      <c r="O399">
        <f>G399&lt;=$T$12</f>
        <v/>
      </c>
      <c r="P399">
        <f>OR(AND(H399&gt;=$T$4,K399&lt;=$T$5,N399),M399)</f>
        <v/>
      </c>
      <c r="Q399">
        <f>OR(AND(I399&gt;=$T$10,K399&lt;=$T$11,O399),M399)</f>
        <v/>
      </c>
    </row>
    <row r="400">
      <c r="A400">
        <f>Data!E420</f>
        <v/>
      </c>
      <c r="B400">
        <f>Data!G420</f>
        <v/>
      </c>
      <c r="C400">
        <f>Data!H420</f>
        <v/>
      </c>
      <c r="D400">
        <f>Data!I420</f>
        <v/>
      </c>
      <c r="E400">
        <f>Data!M420</f>
        <v/>
      </c>
      <c r="F400">
        <f>Data!O420</f>
        <v/>
      </c>
      <c r="G400">
        <f>E400-F400</f>
        <v/>
      </c>
      <c r="H400">
        <f>Data!P420</f>
        <v/>
      </c>
      <c r="I400">
        <f>G400+H400</f>
        <v/>
      </c>
      <c r="J400">
        <f>F400+G400+H400</f>
        <v/>
      </c>
      <c r="K400">
        <f>Data!R420</f>
        <v/>
      </c>
      <c r="L400">
        <f>Data!T420</f>
        <v/>
      </c>
      <c r="M400">
        <f>AND(E400=0,F400=0,G400=0,H400=0,I400=0,J400=0,K400=0,L400=0)</f>
        <v/>
      </c>
      <c r="N400">
        <f>G400&lt;=$T$6</f>
        <v/>
      </c>
      <c r="O400">
        <f>G400&lt;=$T$12</f>
        <v/>
      </c>
      <c r="P400">
        <f>OR(AND(H400&gt;=$T$4,K400&lt;=$T$5,N400),M400)</f>
        <v/>
      </c>
      <c r="Q400">
        <f>OR(AND(I400&gt;=$T$10,K400&lt;=$T$11,O400),M400)</f>
        <v/>
      </c>
    </row>
    <row r="401">
      <c r="A401">
        <f>Data!E421</f>
        <v/>
      </c>
      <c r="B401">
        <f>Data!G421</f>
        <v/>
      </c>
      <c r="C401">
        <f>Data!H421</f>
        <v/>
      </c>
      <c r="D401">
        <f>Data!I421</f>
        <v/>
      </c>
      <c r="E401">
        <f>Data!M421</f>
        <v/>
      </c>
      <c r="F401">
        <f>Data!O421</f>
        <v/>
      </c>
      <c r="G401">
        <f>E401-F401</f>
        <v/>
      </c>
      <c r="H401">
        <f>Data!P421</f>
        <v/>
      </c>
      <c r="I401">
        <f>G401+H401</f>
        <v/>
      </c>
      <c r="J401">
        <f>F401+G401+H401</f>
        <v/>
      </c>
      <c r="K401">
        <f>Data!R421</f>
        <v/>
      </c>
      <c r="L401">
        <f>Data!T421</f>
        <v/>
      </c>
      <c r="M401">
        <f>AND(E401=0,F401=0,G401=0,H401=0,I401=0,J401=0,K401=0,L401=0)</f>
        <v/>
      </c>
      <c r="N401">
        <f>G401&lt;=$T$6</f>
        <v/>
      </c>
      <c r="O401">
        <f>G401&lt;=$T$12</f>
        <v/>
      </c>
      <c r="P401">
        <f>OR(AND(H401&gt;=$T$4,K401&lt;=$T$5,N401),M401)</f>
        <v/>
      </c>
      <c r="Q401">
        <f>OR(AND(I401&gt;=$T$10,K401&lt;=$T$11,O401),M401)</f>
        <v/>
      </c>
    </row>
    <row r="402">
      <c r="A402">
        <f>Data!E422</f>
        <v/>
      </c>
      <c r="B402">
        <f>Data!G422</f>
        <v/>
      </c>
      <c r="C402">
        <f>Data!H422</f>
        <v/>
      </c>
      <c r="D402">
        <f>Data!I422</f>
        <v/>
      </c>
      <c r="E402">
        <f>Data!M422</f>
        <v/>
      </c>
      <c r="F402">
        <f>Data!O422</f>
        <v/>
      </c>
      <c r="G402">
        <f>E402-F402</f>
        <v/>
      </c>
      <c r="H402">
        <f>Data!P422</f>
        <v/>
      </c>
      <c r="I402">
        <f>G402+H402</f>
        <v/>
      </c>
      <c r="J402">
        <f>F402+G402+H402</f>
        <v/>
      </c>
      <c r="K402">
        <f>Data!R422</f>
        <v/>
      </c>
      <c r="L402">
        <f>Data!T422</f>
        <v/>
      </c>
      <c r="M402">
        <f>AND(E402=0,F402=0,G402=0,H402=0,I402=0,J402=0,K402=0,L402=0)</f>
        <v/>
      </c>
      <c r="N402">
        <f>G402&lt;=$T$6</f>
        <v/>
      </c>
      <c r="O402">
        <f>G402&lt;=$T$12</f>
        <v/>
      </c>
      <c r="P402">
        <f>OR(AND(H402&gt;=$T$4,K402&lt;=$T$5,N402),M402)</f>
        <v/>
      </c>
      <c r="Q402">
        <f>OR(AND(I402&gt;=$T$10,K402&lt;=$T$11,O402),M402)</f>
        <v/>
      </c>
    </row>
    <row r="403">
      <c r="A403">
        <f>Data!E424</f>
        <v/>
      </c>
      <c r="B403">
        <f>Data!G424</f>
        <v/>
      </c>
      <c r="C403">
        <f>Data!H424</f>
        <v/>
      </c>
      <c r="D403">
        <f>Data!I424</f>
        <v/>
      </c>
      <c r="E403">
        <f>Data!M424</f>
        <v/>
      </c>
      <c r="F403">
        <f>Data!O424</f>
        <v/>
      </c>
      <c r="G403">
        <f>E403-F403</f>
        <v/>
      </c>
      <c r="H403">
        <f>Data!P424</f>
        <v/>
      </c>
      <c r="I403">
        <f>G403+H403</f>
        <v/>
      </c>
      <c r="J403">
        <f>F403+G403+H403</f>
        <v/>
      </c>
      <c r="K403">
        <f>Data!R424</f>
        <v/>
      </c>
      <c r="L403">
        <f>Data!T424</f>
        <v/>
      </c>
      <c r="M403">
        <f>AND(E403=0,F403=0,G403=0,H403=0,I403=0,J403=0,K403=0,L403=0)</f>
        <v/>
      </c>
      <c r="N403">
        <f>G403&lt;=$T$6</f>
        <v/>
      </c>
      <c r="O403">
        <f>G403&lt;=$T$12</f>
        <v/>
      </c>
      <c r="P403">
        <f>OR(AND(H403&gt;=$T$4,K403&lt;=$T$5,N403),M403)</f>
        <v/>
      </c>
      <c r="Q403">
        <f>OR(AND(I403&gt;=$T$10,K403&lt;=$T$11,O403),M403)</f>
        <v/>
      </c>
    </row>
    <row r="404">
      <c r="A404">
        <f>Data!E425</f>
        <v/>
      </c>
      <c r="B404">
        <f>Data!G425</f>
        <v/>
      </c>
      <c r="C404">
        <f>Data!H425</f>
        <v/>
      </c>
      <c r="D404">
        <f>Data!I425</f>
        <v/>
      </c>
      <c r="E404">
        <f>Data!M425</f>
        <v/>
      </c>
      <c r="F404">
        <f>Data!O425</f>
        <v/>
      </c>
      <c r="G404">
        <f>E404-F404</f>
        <v/>
      </c>
      <c r="H404">
        <f>Data!P425</f>
        <v/>
      </c>
      <c r="I404">
        <f>G404+H404</f>
        <v/>
      </c>
      <c r="J404">
        <f>F404+G404+H404</f>
        <v/>
      </c>
      <c r="K404">
        <f>Data!R425</f>
        <v/>
      </c>
      <c r="L404">
        <f>Data!T425</f>
        <v/>
      </c>
      <c r="M404">
        <f>AND(E404=0,F404=0,G404=0,H404=0,I404=0,J404=0,K404=0,L404=0)</f>
        <v/>
      </c>
      <c r="N404">
        <f>G404&lt;=$T$6</f>
        <v/>
      </c>
      <c r="O404">
        <f>G404&lt;=$T$12</f>
        <v/>
      </c>
      <c r="P404">
        <f>OR(AND(H404&gt;=$T$4,K404&lt;=$T$5,N404),M404)</f>
        <v/>
      </c>
      <c r="Q404">
        <f>OR(AND(I404&gt;=$T$10,K404&lt;=$T$11,O404),M404)</f>
        <v/>
      </c>
    </row>
    <row r="405">
      <c r="A405">
        <f>Data!E426</f>
        <v/>
      </c>
      <c r="B405">
        <f>Data!G426</f>
        <v/>
      </c>
      <c r="C405">
        <f>Data!H426</f>
        <v/>
      </c>
      <c r="D405">
        <f>Data!I426</f>
        <v/>
      </c>
      <c r="E405">
        <f>Data!M426</f>
        <v/>
      </c>
      <c r="F405">
        <f>Data!O426</f>
        <v/>
      </c>
      <c r="G405">
        <f>E405-F405</f>
        <v/>
      </c>
      <c r="H405">
        <f>Data!P426</f>
        <v/>
      </c>
      <c r="I405">
        <f>G405+H405</f>
        <v/>
      </c>
      <c r="J405">
        <f>F405+G405+H405</f>
        <v/>
      </c>
      <c r="K405">
        <f>Data!R426</f>
        <v/>
      </c>
      <c r="L405">
        <f>Data!T426</f>
        <v/>
      </c>
      <c r="M405">
        <f>AND(E405=0,F405=0,G405=0,H405=0,I405=0,J405=0,K405=0,L405=0)</f>
        <v/>
      </c>
      <c r="N405">
        <f>G405&lt;=$T$6</f>
        <v/>
      </c>
      <c r="O405">
        <f>G405&lt;=$T$12</f>
        <v/>
      </c>
      <c r="P405">
        <f>OR(AND(H405&gt;=$T$4,K405&lt;=$T$5,N405),M405)</f>
        <v/>
      </c>
      <c r="Q405">
        <f>OR(AND(I405&gt;=$T$10,K405&lt;=$T$11,O405),M405)</f>
        <v/>
      </c>
    </row>
    <row r="406">
      <c r="A406">
        <f>Data!E427</f>
        <v/>
      </c>
      <c r="B406">
        <f>Data!G427</f>
        <v/>
      </c>
      <c r="C406">
        <f>Data!H427</f>
        <v/>
      </c>
      <c r="D406">
        <f>Data!I427</f>
        <v/>
      </c>
      <c r="E406">
        <f>Data!M427</f>
        <v/>
      </c>
      <c r="F406">
        <f>Data!O427</f>
        <v/>
      </c>
      <c r="G406">
        <f>E406-F406</f>
        <v/>
      </c>
      <c r="H406">
        <f>Data!P427</f>
        <v/>
      </c>
      <c r="I406">
        <f>G406+H406</f>
        <v/>
      </c>
      <c r="J406">
        <f>F406+G406+H406</f>
        <v/>
      </c>
      <c r="K406">
        <f>Data!R427</f>
        <v/>
      </c>
      <c r="L406">
        <f>Data!T427</f>
        <v/>
      </c>
      <c r="M406">
        <f>AND(E406=0,F406=0,G406=0,H406=0,I406=0,J406=0,K406=0,L406=0)</f>
        <v/>
      </c>
      <c r="N406">
        <f>G406&lt;=$T$6</f>
        <v/>
      </c>
      <c r="O406">
        <f>G406&lt;=$T$12</f>
        <v/>
      </c>
      <c r="P406">
        <f>OR(AND(H406&gt;=$T$4,K406&lt;=$T$5,N406),M406)</f>
        <v/>
      </c>
      <c r="Q406">
        <f>OR(AND(I406&gt;=$T$10,K406&lt;=$T$11,O406),M406)</f>
        <v/>
      </c>
    </row>
    <row r="407">
      <c r="A407">
        <f>Data!E428</f>
        <v/>
      </c>
      <c r="B407">
        <f>Data!G428</f>
        <v/>
      </c>
      <c r="C407">
        <f>Data!H428</f>
        <v/>
      </c>
      <c r="D407">
        <f>Data!I428</f>
        <v/>
      </c>
      <c r="E407">
        <f>Data!M428</f>
        <v/>
      </c>
      <c r="F407">
        <f>Data!O428</f>
        <v/>
      </c>
      <c r="G407">
        <f>E407-F407</f>
        <v/>
      </c>
      <c r="H407">
        <f>Data!P428</f>
        <v/>
      </c>
      <c r="I407">
        <f>G407+H407</f>
        <v/>
      </c>
      <c r="J407">
        <f>F407+G407+H407</f>
        <v/>
      </c>
      <c r="K407">
        <f>Data!R428</f>
        <v/>
      </c>
      <c r="L407">
        <f>Data!T428</f>
        <v/>
      </c>
      <c r="M407">
        <f>AND(E407=0,F407=0,G407=0,H407=0,I407=0,J407=0,K407=0,L407=0)</f>
        <v/>
      </c>
      <c r="N407">
        <f>G407&lt;=$T$6</f>
        <v/>
      </c>
      <c r="O407">
        <f>G407&lt;=$T$12</f>
        <v/>
      </c>
      <c r="P407">
        <f>OR(AND(H407&gt;=$T$4,K407&lt;=$T$5,N407),M407)</f>
        <v/>
      </c>
      <c r="Q407">
        <f>OR(AND(I407&gt;=$T$10,K407&lt;=$T$11,O407),M407)</f>
        <v/>
      </c>
    </row>
    <row r="408">
      <c r="A408">
        <f>Data!E429</f>
        <v/>
      </c>
      <c r="B408">
        <f>Data!G429</f>
        <v/>
      </c>
      <c r="C408">
        <f>Data!H429</f>
        <v/>
      </c>
      <c r="D408">
        <f>Data!I429</f>
        <v/>
      </c>
      <c r="E408">
        <f>Data!M429</f>
        <v/>
      </c>
      <c r="F408">
        <f>Data!O429</f>
        <v/>
      </c>
      <c r="G408">
        <f>E408-F408</f>
        <v/>
      </c>
      <c r="H408">
        <f>Data!P429</f>
        <v/>
      </c>
      <c r="I408">
        <f>G408+H408</f>
        <v/>
      </c>
      <c r="J408">
        <f>F408+G408+H408</f>
        <v/>
      </c>
      <c r="K408">
        <f>Data!R429</f>
        <v/>
      </c>
      <c r="L408">
        <f>Data!T429</f>
        <v/>
      </c>
      <c r="M408">
        <f>AND(E408=0,F408=0,G408=0,H408=0,I408=0,J408=0,K408=0,L408=0)</f>
        <v/>
      </c>
      <c r="N408">
        <f>G408&lt;=$T$6</f>
        <v/>
      </c>
      <c r="O408">
        <f>G408&lt;=$T$12</f>
        <v/>
      </c>
      <c r="P408">
        <f>OR(AND(H408&gt;=$T$4,K408&lt;=$T$5,N408),M408)</f>
        <v/>
      </c>
      <c r="Q408">
        <f>OR(AND(I408&gt;=$T$10,K408&lt;=$T$11,O408),M408)</f>
        <v/>
      </c>
    </row>
    <row r="409">
      <c r="A409">
        <f>Data!E430</f>
        <v/>
      </c>
      <c r="B409">
        <f>Data!G430</f>
        <v/>
      </c>
      <c r="C409">
        <f>Data!H430</f>
        <v/>
      </c>
      <c r="D409">
        <f>Data!I430</f>
        <v/>
      </c>
      <c r="E409">
        <f>Data!M430</f>
        <v/>
      </c>
      <c r="F409">
        <f>Data!O430</f>
        <v/>
      </c>
      <c r="G409">
        <f>E409-F409</f>
        <v/>
      </c>
      <c r="H409">
        <f>Data!P430</f>
        <v/>
      </c>
      <c r="I409">
        <f>G409+H409</f>
        <v/>
      </c>
      <c r="J409">
        <f>F409+G409+H409</f>
        <v/>
      </c>
      <c r="K409">
        <f>Data!R430</f>
        <v/>
      </c>
      <c r="L409">
        <f>Data!T430</f>
        <v/>
      </c>
      <c r="M409">
        <f>AND(E409=0,F409=0,G409=0,H409=0,I409=0,J409=0,K409=0,L409=0)</f>
        <v/>
      </c>
      <c r="N409">
        <f>G409&lt;=$T$6</f>
        <v/>
      </c>
      <c r="O409">
        <f>G409&lt;=$T$12</f>
        <v/>
      </c>
      <c r="P409">
        <f>OR(AND(H409&gt;=$T$4,K409&lt;=$T$5,N409),M409)</f>
        <v/>
      </c>
      <c r="Q409">
        <f>OR(AND(I409&gt;=$T$10,K409&lt;=$T$11,O409),M409)</f>
        <v/>
      </c>
    </row>
    <row r="410">
      <c r="A410">
        <f>Data!E431</f>
        <v/>
      </c>
      <c r="B410">
        <f>Data!G431</f>
        <v/>
      </c>
      <c r="C410">
        <f>Data!H431</f>
        <v/>
      </c>
      <c r="D410">
        <f>Data!I431</f>
        <v/>
      </c>
      <c r="E410">
        <f>Data!M431</f>
        <v/>
      </c>
      <c r="F410">
        <f>Data!O431</f>
        <v/>
      </c>
      <c r="G410">
        <f>E410-F410</f>
        <v/>
      </c>
      <c r="H410">
        <f>Data!P431</f>
        <v/>
      </c>
      <c r="I410">
        <f>G410+H410</f>
        <v/>
      </c>
      <c r="J410">
        <f>F410+G410+H410</f>
        <v/>
      </c>
      <c r="K410">
        <f>Data!R431</f>
        <v/>
      </c>
      <c r="L410">
        <f>Data!T431</f>
        <v/>
      </c>
      <c r="M410">
        <f>AND(E410=0,F410=0,G410=0,H410=0,I410=0,J410=0,K410=0,L410=0)</f>
        <v/>
      </c>
      <c r="N410">
        <f>G410&lt;=$T$6</f>
        <v/>
      </c>
      <c r="O410">
        <f>G410&lt;=$T$12</f>
        <v/>
      </c>
      <c r="P410">
        <f>OR(AND(H410&gt;=$T$4,K410&lt;=$T$5,N410),M410)</f>
        <v/>
      </c>
      <c r="Q410">
        <f>OR(AND(I410&gt;=$T$10,K410&lt;=$T$11,O410),M410)</f>
        <v/>
      </c>
    </row>
    <row r="411">
      <c r="A411">
        <f>Data!E432</f>
        <v/>
      </c>
      <c r="B411">
        <f>Data!G432</f>
        <v/>
      </c>
      <c r="C411">
        <f>Data!H432</f>
        <v/>
      </c>
      <c r="D411">
        <f>Data!I432</f>
        <v/>
      </c>
      <c r="E411">
        <f>Data!M432</f>
        <v/>
      </c>
      <c r="F411">
        <f>Data!O432</f>
        <v/>
      </c>
      <c r="G411">
        <f>E411-F411</f>
        <v/>
      </c>
      <c r="H411">
        <f>Data!P432</f>
        <v/>
      </c>
      <c r="I411">
        <f>G411+H411</f>
        <v/>
      </c>
      <c r="J411">
        <f>F411+G411+H411</f>
        <v/>
      </c>
      <c r="K411">
        <f>Data!R432</f>
        <v/>
      </c>
      <c r="L411">
        <f>Data!T432</f>
        <v/>
      </c>
      <c r="M411">
        <f>AND(E411=0,F411=0,G411=0,H411=0,I411=0,J411=0,K411=0,L411=0)</f>
        <v/>
      </c>
      <c r="N411">
        <f>G411&lt;=$T$6</f>
        <v/>
      </c>
      <c r="O411">
        <f>G411&lt;=$T$12</f>
        <v/>
      </c>
      <c r="P411">
        <f>OR(AND(H411&gt;=$T$4,K411&lt;=$T$5,N411),M411)</f>
        <v/>
      </c>
      <c r="Q411">
        <f>OR(AND(I411&gt;=$T$10,K411&lt;=$T$11,O411),M411)</f>
        <v/>
      </c>
    </row>
    <row r="412">
      <c r="A412">
        <f>Data!E433</f>
        <v/>
      </c>
      <c r="B412">
        <f>Data!G433</f>
        <v/>
      </c>
      <c r="C412">
        <f>Data!H433</f>
        <v/>
      </c>
      <c r="D412">
        <f>Data!I433</f>
        <v/>
      </c>
      <c r="E412">
        <f>Data!M433</f>
        <v/>
      </c>
      <c r="F412">
        <f>Data!O433</f>
        <v/>
      </c>
      <c r="G412">
        <f>E412-F412</f>
        <v/>
      </c>
      <c r="H412">
        <f>Data!P433</f>
        <v/>
      </c>
      <c r="I412">
        <f>G412+H412</f>
        <v/>
      </c>
      <c r="J412">
        <f>F412+G412+H412</f>
        <v/>
      </c>
      <c r="K412">
        <f>Data!R433</f>
        <v/>
      </c>
      <c r="L412">
        <f>Data!T433</f>
        <v/>
      </c>
      <c r="M412">
        <f>AND(E412=0,F412=0,G412=0,H412=0,I412=0,J412=0,K412=0,L412=0)</f>
        <v/>
      </c>
      <c r="N412">
        <f>G412&lt;=$T$6</f>
        <v/>
      </c>
      <c r="O412">
        <f>G412&lt;=$T$12</f>
        <v/>
      </c>
      <c r="P412">
        <f>OR(AND(H412&gt;=$T$4,K412&lt;=$T$5,N412),M412)</f>
        <v/>
      </c>
      <c r="Q412">
        <f>OR(AND(I412&gt;=$T$10,K412&lt;=$T$11,O412),M412)</f>
        <v/>
      </c>
    </row>
    <row r="413">
      <c r="A413">
        <f>Data!E434</f>
        <v/>
      </c>
      <c r="B413">
        <f>Data!G434</f>
        <v/>
      </c>
      <c r="C413">
        <f>Data!H434</f>
        <v/>
      </c>
      <c r="D413">
        <f>Data!I434</f>
        <v/>
      </c>
      <c r="E413">
        <f>Data!M434</f>
        <v/>
      </c>
      <c r="F413">
        <f>Data!O434</f>
        <v/>
      </c>
      <c r="G413">
        <f>E413-F413</f>
        <v/>
      </c>
      <c r="H413">
        <f>Data!P434</f>
        <v/>
      </c>
      <c r="I413">
        <f>G413+H413</f>
        <v/>
      </c>
      <c r="J413">
        <f>F413+G413+H413</f>
        <v/>
      </c>
      <c r="K413">
        <f>Data!R434</f>
        <v/>
      </c>
      <c r="L413">
        <f>Data!T434</f>
        <v/>
      </c>
      <c r="M413">
        <f>AND(E413=0,F413=0,G413=0,H413=0,I413=0,J413=0,K413=0,L413=0)</f>
        <v/>
      </c>
      <c r="N413">
        <f>G413&lt;=$T$6</f>
        <v/>
      </c>
      <c r="O413">
        <f>G413&lt;=$T$12</f>
        <v/>
      </c>
      <c r="P413">
        <f>OR(AND(H413&gt;=$T$4,K413&lt;=$T$5,N413),M413)</f>
        <v/>
      </c>
      <c r="Q413">
        <f>OR(AND(I413&gt;=$T$10,K413&lt;=$T$11,O413),M413)</f>
        <v/>
      </c>
    </row>
    <row r="414">
      <c r="A414">
        <f>Data!E435</f>
        <v/>
      </c>
      <c r="B414">
        <f>Data!G435</f>
        <v/>
      </c>
      <c r="C414">
        <f>Data!H435</f>
        <v/>
      </c>
      <c r="D414">
        <f>Data!I435</f>
        <v/>
      </c>
      <c r="E414">
        <f>Data!M435</f>
        <v/>
      </c>
      <c r="F414">
        <f>Data!O435</f>
        <v/>
      </c>
      <c r="G414">
        <f>E414-F414</f>
        <v/>
      </c>
      <c r="H414">
        <f>Data!P435</f>
        <v/>
      </c>
      <c r="I414">
        <f>G414+H414</f>
        <v/>
      </c>
      <c r="J414">
        <f>F414+G414+H414</f>
        <v/>
      </c>
      <c r="K414">
        <f>Data!R435</f>
        <v/>
      </c>
      <c r="L414">
        <f>Data!T435</f>
        <v/>
      </c>
      <c r="M414">
        <f>AND(E414=0,F414=0,G414=0,H414=0,I414=0,J414=0,K414=0,L414=0)</f>
        <v/>
      </c>
      <c r="N414">
        <f>G414&lt;=$T$6</f>
        <v/>
      </c>
      <c r="O414">
        <f>G414&lt;=$T$12</f>
        <v/>
      </c>
      <c r="P414">
        <f>OR(AND(H414&gt;=$T$4,K414&lt;=$T$5,N414),M414)</f>
        <v/>
      </c>
      <c r="Q414">
        <f>OR(AND(I414&gt;=$T$10,K414&lt;=$T$11,O414),M414)</f>
        <v/>
      </c>
    </row>
    <row r="415">
      <c r="A415">
        <f>Data!E437</f>
        <v/>
      </c>
      <c r="B415">
        <f>Data!G437</f>
        <v/>
      </c>
      <c r="C415">
        <f>Data!H437</f>
        <v/>
      </c>
      <c r="D415">
        <f>Data!I437</f>
        <v/>
      </c>
      <c r="E415">
        <f>Data!M437</f>
        <v/>
      </c>
      <c r="F415">
        <f>Data!O437</f>
        <v/>
      </c>
      <c r="G415">
        <f>E415-F415</f>
        <v/>
      </c>
      <c r="H415">
        <f>Data!P437</f>
        <v/>
      </c>
      <c r="I415">
        <f>G415+H415</f>
        <v/>
      </c>
      <c r="J415">
        <f>F415+G415+H415</f>
        <v/>
      </c>
      <c r="K415">
        <f>Data!R437</f>
        <v/>
      </c>
      <c r="L415">
        <f>Data!T437</f>
        <v/>
      </c>
      <c r="M415">
        <f>AND(E415=0,F415=0,G415=0,H415=0,I415=0,J415=0,K415=0,L415=0)</f>
        <v/>
      </c>
      <c r="N415">
        <f>G415&lt;=$T$6</f>
        <v/>
      </c>
      <c r="O415">
        <f>G415&lt;=$T$12</f>
        <v/>
      </c>
      <c r="P415">
        <f>OR(AND(H415&gt;=$T$4,K415&lt;=$T$5,N415),M415)</f>
        <v/>
      </c>
      <c r="Q415">
        <f>OR(AND(I415&gt;=$T$10,K415&lt;=$T$11,O415),M415)</f>
        <v/>
      </c>
    </row>
    <row r="416">
      <c r="A416">
        <f>Data!E438</f>
        <v/>
      </c>
      <c r="B416">
        <f>Data!G438</f>
        <v/>
      </c>
      <c r="C416">
        <f>Data!H438</f>
        <v/>
      </c>
      <c r="D416">
        <f>Data!I438</f>
        <v/>
      </c>
      <c r="E416">
        <f>Data!M438</f>
        <v/>
      </c>
      <c r="F416">
        <f>Data!O438</f>
        <v/>
      </c>
      <c r="G416">
        <f>E416-F416</f>
        <v/>
      </c>
      <c r="H416">
        <f>Data!P438</f>
        <v/>
      </c>
      <c r="I416">
        <f>G416+H416</f>
        <v/>
      </c>
      <c r="J416">
        <f>F416+G416+H416</f>
        <v/>
      </c>
      <c r="K416">
        <f>Data!R438</f>
        <v/>
      </c>
      <c r="L416">
        <f>Data!T438</f>
        <v/>
      </c>
      <c r="M416">
        <f>AND(E416=0,F416=0,G416=0,H416=0,I416=0,J416=0,K416=0,L416=0)</f>
        <v/>
      </c>
      <c r="N416">
        <f>G416&lt;=$T$6</f>
        <v/>
      </c>
      <c r="O416">
        <f>G416&lt;=$T$12</f>
        <v/>
      </c>
      <c r="P416">
        <f>OR(AND(H416&gt;=$T$4,K416&lt;=$T$5,N416),M416)</f>
        <v/>
      </c>
      <c r="Q416">
        <f>OR(AND(I416&gt;=$T$10,K416&lt;=$T$11,O416),M416)</f>
        <v/>
      </c>
    </row>
    <row r="417">
      <c r="A417">
        <f>Data!E439</f>
        <v/>
      </c>
      <c r="B417">
        <f>Data!G439</f>
        <v/>
      </c>
      <c r="C417">
        <f>Data!H439</f>
        <v/>
      </c>
      <c r="D417">
        <f>Data!I439</f>
        <v/>
      </c>
      <c r="E417">
        <f>Data!M439</f>
        <v/>
      </c>
      <c r="F417">
        <f>Data!O439</f>
        <v/>
      </c>
      <c r="G417">
        <f>E417-F417</f>
        <v/>
      </c>
      <c r="H417">
        <f>Data!P439</f>
        <v/>
      </c>
      <c r="I417">
        <f>G417+H417</f>
        <v/>
      </c>
      <c r="J417">
        <f>F417+G417+H417</f>
        <v/>
      </c>
      <c r="K417">
        <f>Data!R439</f>
        <v/>
      </c>
      <c r="L417">
        <f>Data!T439</f>
        <v/>
      </c>
      <c r="M417">
        <f>AND(E417=0,F417=0,G417=0,H417=0,I417=0,J417=0,K417=0,L417=0)</f>
        <v/>
      </c>
      <c r="N417">
        <f>G417&lt;=$T$6</f>
        <v/>
      </c>
      <c r="O417">
        <f>G417&lt;=$T$12</f>
        <v/>
      </c>
      <c r="P417">
        <f>OR(AND(H417&gt;=$T$4,K417&lt;=$T$5,N417),M417)</f>
        <v/>
      </c>
      <c r="Q417">
        <f>OR(AND(I417&gt;=$T$10,K417&lt;=$T$11,O417),M417)</f>
        <v/>
      </c>
    </row>
    <row r="418">
      <c r="A418">
        <f>Data!E440</f>
        <v/>
      </c>
      <c r="B418">
        <f>Data!G440</f>
        <v/>
      </c>
      <c r="C418">
        <f>Data!H440</f>
        <v/>
      </c>
      <c r="D418">
        <f>Data!I440</f>
        <v/>
      </c>
      <c r="E418">
        <f>Data!M440</f>
        <v/>
      </c>
      <c r="F418">
        <f>Data!O440</f>
        <v/>
      </c>
      <c r="G418">
        <f>E418-F418</f>
        <v/>
      </c>
      <c r="H418">
        <f>Data!P440</f>
        <v/>
      </c>
      <c r="I418">
        <f>G418+H418</f>
        <v/>
      </c>
      <c r="J418">
        <f>F418+G418+H418</f>
        <v/>
      </c>
      <c r="K418">
        <f>Data!R440</f>
        <v/>
      </c>
      <c r="L418">
        <f>Data!T440</f>
        <v/>
      </c>
      <c r="M418">
        <f>AND(E418=0,F418=0,G418=0,H418=0,I418=0,J418=0,K418=0,L418=0)</f>
        <v/>
      </c>
      <c r="N418">
        <f>G418&lt;=$T$6</f>
        <v/>
      </c>
      <c r="O418">
        <f>G418&lt;=$T$12</f>
        <v/>
      </c>
      <c r="P418">
        <f>OR(AND(H418&gt;=$T$4,K418&lt;=$T$5,N418),M418)</f>
        <v/>
      </c>
      <c r="Q418">
        <f>OR(AND(I418&gt;=$T$10,K418&lt;=$T$11,O418),M418)</f>
        <v/>
      </c>
    </row>
    <row r="419">
      <c r="A419">
        <f>Data!E441</f>
        <v/>
      </c>
      <c r="B419">
        <f>Data!G441</f>
        <v/>
      </c>
      <c r="C419">
        <f>Data!H441</f>
        <v/>
      </c>
      <c r="D419">
        <f>Data!I441</f>
        <v/>
      </c>
      <c r="E419">
        <f>Data!M441</f>
        <v/>
      </c>
      <c r="F419">
        <f>Data!O441</f>
        <v/>
      </c>
      <c r="G419">
        <f>E419-F419</f>
        <v/>
      </c>
      <c r="H419">
        <f>Data!P441</f>
        <v/>
      </c>
      <c r="I419">
        <f>G419+H419</f>
        <v/>
      </c>
      <c r="J419">
        <f>F419+G419+H419</f>
        <v/>
      </c>
      <c r="K419">
        <f>Data!R441</f>
        <v/>
      </c>
      <c r="L419">
        <f>Data!T441</f>
        <v/>
      </c>
      <c r="M419">
        <f>AND(E419=0,F419=0,G419=0,H419=0,I419=0,J419=0,K419=0,L419=0)</f>
        <v/>
      </c>
      <c r="N419">
        <f>G419&lt;=$T$6</f>
        <v/>
      </c>
      <c r="O419">
        <f>G419&lt;=$T$12</f>
        <v/>
      </c>
      <c r="P419">
        <f>OR(AND(H419&gt;=$T$4,K419&lt;=$T$5,N419),M419)</f>
        <v/>
      </c>
      <c r="Q419">
        <f>OR(AND(I419&gt;=$T$10,K419&lt;=$T$11,O419),M419)</f>
        <v/>
      </c>
    </row>
    <row r="420">
      <c r="A420">
        <f>Data!E442</f>
        <v/>
      </c>
      <c r="B420">
        <f>Data!G442</f>
        <v/>
      </c>
      <c r="C420">
        <f>Data!H442</f>
        <v/>
      </c>
      <c r="D420">
        <f>Data!I442</f>
        <v/>
      </c>
      <c r="E420">
        <f>Data!M442</f>
        <v/>
      </c>
      <c r="F420">
        <f>Data!O442</f>
        <v/>
      </c>
      <c r="G420">
        <f>E420-F420</f>
        <v/>
      </c>
      <c r="H420">
        <f>Data!P442</f>
        <v/>
      </c>
      <c r="I420">
        <f>G420+H420</f>
        <v/>
      </c>
      <c r="J420">
        <f>F420+G420+H420</f>
        <v/>
      </c>
      <c r="K420">
        <f>Data!R442</f>
        <v/>
      </c>
      <c r="L420">
        <f>Data!T442</f>
        <v/>
      </c>
      <c r="M420">
        <f>AND(E420=0,F420=0,G420=0,H420=0,I420=0,J420=0,K420=0,L420=0)</f>
        <v/>
      </c>
      <c r="N420">
        <f>G420&lt;=$T$6</f>
        <v/>
      </c>
      <c r="O420">
        <f>G420&lt;=$T$12</f>
        <v/>
      </c>
      <c r="P420">
        <f>OR(AND(H420&gt;=$T$4,K420&lt;=$T$5,N420),M420)</f>
        <v/>
      </c>
      <c r="Q420">
        <f>OR(AND(I420&gt;=$T$10,K420&lt;=$T$11,O420),M420)</f>
        <v/>
      </c>
    </row>
    <row r="421">
      <c r="A421">
        <f>Data!E443</f>
        <v/>
      </c>
      <c r="B421">
        <f>Data!G443</f>
        <v/>
      </c>
      <c r="C421">
        <f>Data!H443</f>
        <v/>
      </c>
      <c r="D421">
        <f>Data!I443</f>
        <v/>
      </c>
      <c r="E421">
        <f>Data!M443</f>
        <v/>
      </c>
      <c r="F421">
        <f>Data!O443</f>
        <v/>
      </c>
      <c r="G421">
        <f>E421-F421</f>
        <v/>
      </c>
      <c r="H421">
        <f>Data!P443</f>
        <v/>
      </c>
      <c r="I421">
        <f>G421+H421</f>
        <v/>
      </c>
      <c r="J421">
        <f>F421+G421+H421</f>
        <v/>
      </c>
      <c r="K421">
        <f>Data!R443</f>
        <v/>
      </c>
      <c r="L421">
        <f>Data!T443</f>
        <v/>
      </c>
      <c r="M421">
        <f>AND(E421=0,F421=0,G421=0,H421=0,I421=0,J421=0,K421=0,L421=0)</f>
        <v/>
      </c>
      <c r="N421">
        <f>G421&lt;=$T$6</f>
        <v/>
      </c>
      <c r="O421">
        <f>G421&lt;=$T$12</f>
        <v/>
      </c>
      <c r="P421">
        <f>OR(AND(H421&gt;=$T$4,K421&lt;=$T$5,N421),M421)</f>
        <v/>
      </c>
      <c r="Q421">
        <f>OR(AND(I421&gt;=$T$10,K421&lt;=$T$11,O421),M421)</f>
        <v/>
      </c>
    </row>
    <row r="422">
      <c r="A422">
        <f>Data!E444</f>
        <v/>
      </c>
      <c r="B422">
        <f>Data!G444</f>
        <v/>
      </c>
      <c r="C422">
        <f>Data!H444</f>
        <v/>
      </c>
      <c r="D422">
        <f>Data!I444</f>
        <v/>
      </c>
      <c r="E422">
        <f>Data!M444</f>
        <v/>
      </c>
      <c r="F422">
        <f>Data!O444</f>
        <v/>
      </c>
      <c r="G422">
        <f>E422-F422</f>
        <v/>
      </c>
      <c r="H422">
        <f>Data!P444</f>
        <v/>
      </c>
      <c r="I422">
        <f>G422+H422</f>
        <v/>
      </c>
      <c r="J422">
        <f>F422+G422+H422</f>
        <v/>
      </c>
      <c r="K422">
        <f>Data!R444</f>
        <v/>
      </c>
      <c r="L422">
        <f>Data!T444</f>
        <v/>
      </c>
      <c r="M422">
        <f>AND(E422=0,F422=0,G422=0,H422=0,I422=0,J422=0,K422=0,L422=0)</f>
        <v/>
      </c>
      <c r="N422">
        <f>G422&lt;=$T$6</f>
        <v/>
      </c>
      <c r="O422">
        <f>G422&lt;=$T$12</f>
        <v/>
      </c>
      <c r="P422">
        <f>OR(AND(H422&gt;=$T$4,K422&lt;=$T$5,N422),M422)</f>
        <v/>
      </c>
      <c r="Q422">
        <f>OR(AND(I422&gt;=$T$10,K422&lt;=$T$11,O422),M422)</f>
        <v/>
      </c>
    </row>
    <row r="423">
      <c r="A423">
        <f>Data!E445</f>
        <v/>
      </c>
      <c r="B423">
        <f>Data!G445</f>
        <v/>
      </c>
      <c r="C423">
        <f>Data!H445</f>
        <v/>
      </c>
      <c r="D423">
        <f>Data!I445</f>
        <v/>
      </c>
      <c r="E423">
        <f>Data!M445</f>
        <v/>
      </c>
      <c r="F423">
        <f>Data!O445</f>
        <v/>
      </c>
      <c r="G423">
        <f>E423-F423</f>
        <v/>
      </c>
      <c r="H423">
        <f>Data!P445</f>
        <v/>
      </c>
      <c r="I423">
        <f>G423+H423</f>
        <v/>
      </c>
      <c r="J423">
        <f>F423+G423+H423</f>
        <v/>
      </c>
      <c r="K423">
        <f>Data!R445</f>
        <v/>
      </c>
      <c r="L423">
        <f>Data!T445</f>
        <v/>
      </c>
      <c r="M423">
        <f>AND(E423=0,F423=0,G423=0,H423=0,I423=0,J423=0,K423=0,L423=0)</f>
        <v/>
      </c>
      <c r="N423">
        <f>G423&lt;=$T$6</f>
        <v/>
      </c>
      <c r="O423">
        <f>G423&lt;=$T$12</f>
        <v/>
      </c>
      <c r="P423">
        <f>OR(AND(H423&gt;=$T$4,K423&lt;=$T$5,N423),M423)</f>
        <v/>
      </c>
      <c r="Q423">
        <f>OR(AND(I423&gt;=$T$10,K423&lt;=$T$11,O423),M423)</f>
        <v/>
      </c>
    </row>
    <row r="424">
      <c r="A424">
        <f>Data!E446</f>
        <v/>
      </c>
      <c r="B424">
        <f>Data!G446</f>
        <v/>
      </c>
      <c r="C424">
        <f>Data!H446</f>
        <v/>
      </c>
      <c r="D424">
        <f>Data!I446</f>
        <v/>
      </c>
      <c r="E424">
        <f>Data!M446</f>
        <v/>
      </c>
      <c r="F424">
        <f>Data!O446</f>
        <v/>
      </c>
      <c r="G424">
        <f>E424-F424</f>
        <v/>
      </c>
      <c r="H424">
        <f>Data!P446</f>
        <v/>
      </c>
      <c r="I424">
        <f>G424+H424</f>
        <v/>
      </c>
      <c r="J424">
        <f>F424+G424+H424</f>
        <v/>
      </c>
      <c r="K424">
        <f>Data!R446</f>
        <v/>
      </c>
      <c r="L424">
        <f>Data!T446</f>
        <v/>
      </c>
      <c r="M424">
        <f>AND(E424=0,F424=0,G424=0,H424=0,I424=0,J424=0,K424=0,L424=0)</f>
        <v/>
      </c>
      <c r="N424">
        <f>G424&lt;=$T$6</f>
        <v/>
      </c>
      <c r="O424">
        <f>G424&lt;=$T$12</f>
        <v/>
      </c>
      <c r="P424">
        <f>OR(AND(H424&gt;=$T$4,K424&lt;=$T$5,N424),M424)</f>
        <v/>
      </c>
      <c r="Q424">
        <f>OR(AND(I424&gt;=$T$10,K424&lt;=$T$11,O424),M424)</f>
        <v/>
      </c>
    </row>
    <row r="425">
      <c r="A425">
        <f>Data!E447</f>
        <v/>
      </c>
      <c r="B425">
        <f>Data!G447</f>
        <v/>
      </c>
      <c r="C425">
        <f>Data!H447</f>
        <v/>
      </c>
      <c r="D425">
        <f>Data!I447</f>
        <v/>
      </c>
      <c r="E425">
        <f>Data!M447</f>
        <v/>
      </c>
      <c r="F425">
        <f>Data!O447</f>
        <v/>
      </c>
      <c r="G425">
        <f>E425-F425</f>
        <v/>
      </c>
      <c r="H425">
        <f>Data!P447</f>
        <v/>
      </c>
      <c r="I425">
        <f>G425+H425</f>
        <v/>
      </c>
      <c r="J425">
        <f>F425+G425+H425</f>
        <v/>
      </c>
      <c r="K425">
        <f>Data!R447</f>
        <v/>
      </c>
      <c r="L425">
        <f>Data!T447</f>
        <v/>
      </c>
      <c r="M425">
        <f>AND(E425=0,F425=0,G425=0,H425=0,I425=0,J425=0,K425=0,L425=0)</f>
        <v/>
      </c>
      <c r="N425">
        <f>G425&lt;=$T$6</f>
        <v/>
      </c>
      <c r="O425">
        <f>G425&lt;=$T$12</f>
        <v/>
      </c>
      <c r="P425">
        <f>OR(AND(H425&gt;=$T$4,K425&lt;=$T$5,N425),M425)</f>
        <v/>
      </c>
      <c r="Q425">
        <f>OR(AND(I425&gt;=$T$10,K425&lt;=$T$11,O425),M425)</f>
        <v/>
      </c>
    </row>
    <row r="426">
      <c r="A426">
        <f>Data!E448</f>
        <v/>
      </c>
      <c r="B426">
        <f>Data!G448</f>
        <v/>
      </c>
      <c r="C426">
        <f>Data!H448</f>
        <v/>
      </c>
      <c r="D426">
        <f>Data!I448</f>
        <v/>
      </c>
      <c r="E426">
        <f>Data!M448</f>
        <v/>
      </c>
      <c r="F426">
        <f>Data!O448</f>
        <v/>
      </c>
      <c r="G426">
        <f>E426-F426</f>
        <v/>
      </c>
      <c r="H426">
        <f>Data!P448</f>
        <v/>
      </c>
      <c r="I426">
        <f>G426+H426</f>
        <v/>
      </c>
      <c r="J426">
        <f>F426+G426+H426</f>
        <v/>
      </c>
      <c r="K426">
        <f>Data!R448</f>
        <v/>
      </c>
      <c r="L426">
        <f>Data!T448</f>
        <v/>
      </c>
      <c r="M426">
        <f>AND(E426=0,F426=0,G426=0,H426=0,I426=0,J426=0,K426=0,L426=0)</f>
        <v/>
      </c>
      <c r="N426">
        <f>G426&lt;=$T$6</f>
        <v/>
      </c>
      <c r="O426">
        <f>G426&lt;=$T$12</f>
        <v/>
      </c>
      <c r="P426">
        <f>OR(AND(H426&gt;=$T$4,K426&lt;=$T$5,N426),M426)</f>
        <v/>
      </c>
      <c r="Q426">
        <f>OR(AND(I426&gt;=$T$10,K426&lt;=$T$11,O426),M426)</f>
        <v/>
      </c>
    </row>
    <row r="427">
      <c r="A427">
        <f>Data!E449</f>
        <v/>
      </c>
      <c r="B427">
        <f>Data!G449</f>
        <v/>
      </c>
      <c r="C427">
        <f>Data!H449</f>
        <v/>
      </c>
      <c r="D427">
        <f>Data!I449</f>
        <v/>
      </c>
      <c r="E427">
        <f>Data!M449</f>
        <v/>
      </c>
      <c r="F427">
        <f>Data!O449</f>
        <v/>
      </c>
      <c r="G427">
        <f>E427-F427</f>
        <v/>
      </c>
      <c r="H427">
        <f>Data!P449</f>
        <v/>
      </c>
      <c r="I427">
        <f>G427+H427</f>
        <v/>
      </c>
      <c r="J427">
        <f>F427+G427+H427</f>
        <v/>
      </c>
      <c r="K427">
        <f>Data!R449</f>
        <v/>
      </c>
      <c r="L427">
        <f>Data!T449</f>
        <v/>
      </c>
      <c r="M427">
        <f>AND(E427=0,F427=0,G427=0,H427=0,I427=0,J427=0,K427=0,L427=0)</f>
        <v/>
      </c>
      <c r="N427">
        <f>G427&lt;=$T$6</f>
        <v/>
      </c>
      <c r="O427">
        <f>G427&lt;=$T$12</f>
        <v/>
      </c>
      <c r="P427">
        <f>OR(AND(H427&gt;=$T$4,K427&lt;=$T$5,N427),M427)</f>
        <v/>
      </c>
      <c r="Q427">
        <f>OR(AND(I427&gt;=$T$10,K427&lt;=$T$11,O427),M427)</f>
        <v/>
      </c>
    </row>
    <row r="428">
      <c r="A428">
        <f>Data!E451</f>
        <v/>
      </c>
      <c r="B428">
        <f>Data!G451</f>
        <v/>
      </c>
      <c r="C428">
        <f>Data!H451</f>
        <v/>
      </c>
      <c r="D428">
        <f>Data!I451</f>
        <v/>
      </c>
      <c r="E428">
        <f>Data!M451</f>
        <v/>
      </c>
      <c r="F428">
        <f>Data!O451</f>
        <v/>
      </c>
      <c r="G428">
        <f>E428-F428</f>
        <v/>
      </c>
      <c r="H428">
        <f>Data!P451</f>
        <v/>
      </c>
      <c r="I428">
        <f>G428+H428</f>
        <v/>
      </c>
      <c r="J428">
        <f>F428+G428+H428</f>
        <v/>
      </c>
      <c r="K428">
        <f>Data!R451</f>
        <v/>
      </c>
      <c r="L428">
        <f>Data!T451</f>
        <v/>
      </c>
      <c r="M428">
        <f>AND(E428=0,F428=0,G428=0,H428=0,I428=0,J428=0,K428=0,L428=0)</f>
        <v/>
      </c>
      <c r="N428">
        <f>G428&lt;=$T$6</f>
        <v/>
      </c>
      <c r="O428">
        <f>G428&lt;=$T$12</f>
        <v/>
      </c>
      <c r="P428">
        <f>OR(AND(H428&gt;=$T$4,K428&lt;=$T$5,N428),M428)</f>
        <v/>
      </c>
      <c r="Q428">
        <f>OR(AND(I428&gt;=$T$10,K428&lt;=$T$11,O428),M428)</f>
        <v/>
      </c>
    </row>
    <row r="429">
      <c r="A429">
        <f>Data!E452</f>
        <v/>
      </c>
      <c r="B429">
        <f>Data!G452</f>
        <v/>
      </c>
      <c r="C429">
        <f>Data!H452</f>
        <v/>
      </c>
      <c r="D429">
        <f>Data!I452</f>
        <v/>
      </c>
      <c r="E429">
        <f>Data!M452</f>
        <v/>
      </c>
      <c r="F429">
        <f>Data!O452</f>
        <v/>
      </c>
      <c r="G429">
        <f>E429-F429</f>
        <v/>
      </c>
      <c r="H429">
        <f>Data!P452</f>
        <v/>
      </c>
      <c r="I429">
        <f>G429+H429</f>
        <v/>
      </c>
      <c r="J429">
        <f>F429+G429+H429</f>
        <v/>
      </c>
      <c r="K429">
        <f>Data!R452</f>
        <v/>
      </c>
      <c r="L429">
        <f>Data!T452</f>
        <v/>
      </c>
      <c r="M429">
        <f>AND(E429=0,F429=0,G429=0,H429=0,I429=0,J429=0,K429=0,L429=0)</f>
        <v/>
      </c>
      <c r="N429">
        <f>G429&lt;=$T$6</f>
        <v/>
      </c>
      <c r="O429">
        <f>G429&lt;=$T$12</f>
        <v/>
      </c>
      <c r="P429">
        <f>OR(AND(H429&gt;=$T$4,K429&lt;=$T$5,N429),M429)</f>
        <v/>
      </c>
      <c r="Q429">
        <f>OR(AND(I429&gt;=$T$10,K429&lt;=$T$11,O429),M429)</f>
        <v/>
      </c>
    </row>
    <row r="430">
      <c r="A430">
        <f>Data!E453</f>
        <v/>
      </c>
      <c r="B430">
        <f>Data!G453</f>
        <v/>
      </c>
      <c r="C430">
        <f>Data!H453</f>
        <v/>
      </c>
      <c r="D430">
        <f>Data!I453</f>
        <v/>
      </c>
      <c r="E430">
        <f>Data!M453</f>
        <v/>
      </c>
      <c r="F430">
        <f>Data!O453</f>
        <v/>
      </c>
      <c r="G430">
        <f>E430-F430</f>
        <v/>
      </c>
      <c r="H430">
        <f>Data!P453</f>
        <v/>
      </c>
      <c r="I430">
        <f>G430+H430</f>
        <v/>
      </c>
      <c r="J430">
        <f>F430+G430+H430</f>
        <v/>
      </c>
      <c r="K430">
        <f>Data!R453</f>
        <v/>
      </c>
      <c r="L430">
        <f>Data!T453</f>
        <v/>
      </c>
      <c r="M430">
        <f>AND(E430=0,F430=0,G430=0,H430=0,I430=0,J430=0,K430=0,L430=0)</f>
        <v/>
      </c>
      <c r="N430">
        <f>G430&lt;=$T$6</f>
        <v/>
      </c>
      <c r="O430">
        <f>G430&lt;=$T$12</f>
        <v/>
      </c>
      <c r="P430">
        <f>OR(AND(H430&gt;=$T$4,K430&lt;=$T$5,N430),M430)</f>
        <v/>
      </c>
      <c r="Q430">
        <f>OR(AND(I430&gt;=$T$10,K430&lt;=$T$11,O430),M430)</f>
        <v/>
      </c>
    </row>
    <row r="431">
      <c r="A431">
        <f>Data!E454</f>
        <v/>
      </c>
      <c r="B431">
        <f>Data!G454</f>
        <v/>
      </c>
      <c r="C431">
        <f>Data!H454</f>
        <v/>
      </c>
      <c r="D431">
        <f>Data!I454</f>
        <v/>
      </c>
      <c r="E431">
        <f>Data!M454</f>
        <v/>
      </c>
      <c r="F431">
        <f>Data!O454</f>
        <v/>
      </c>
      <c r="G431">
        <f>E431-F431</f>
        <v/>
      </c>
      <c r="H431">
        <f>Data!P454</f>
        <v/>
      </c>
      <c r="I431">
        <f>G431+H431</f>
        <v/>
      </c>
      <c r="J431">
        <f>F431+G431+H431</f>
        <v/>
      </c>
      <c r="K431">
        <f>Data!R454</f>
        <v/>
      </c>
      <c r="L431">
        <f>Data!T454</f>
        <v/>
      </c>
      <c r="M431">
        <f>AND(E431=0,F431=0,G431=0,H431=0,I431=0,J431=0,K431=0,L431=0)</f>
        <v/>
      </c>
      <c r="N431">
        <f>G431&lt;=$T$6</f>
        <v/>
      </c>
      <c r="O431">
        <f>G431&lt;=$T$12</f>
        <v/>
      </c>
      <c r="P431">
        <f>OR(AND(H431&gt;=$T$4,K431&lt;=$T$5,N431),M431)</f>
        <v/>
      </c>
      <c r="Q431">
        <f>OR(AND(I431&gt;=$T$10,K431&lt;=$T$11,O431),M431)</f>
        <v/>
      </c>
    </row>
    <row r="432">
      <c r="A432">
        <f>Data!E455</f>
        <v/>
      </c>
      <c r="B432">
        <f>Data!G455</f>
        <v/>
      </c>
      <c r="C432">
        <f>Data!H455</f>
        <v/>
      </c>
      <c r="D432">
        <f>Data!I455</f>
        <v/>
      </c>
      <c r="E432">
        <f>Data!M455</f>
        <v/>
      </c>
      <c r="F432">
        <f>Data!O455</f>
        <v/>
      </c>
      <c r="G432">
        <f>E432-F432</f>
        <v/>
      </c>
      <c r="H432">
        <f>Data!P455</f>
        <v/>
      </c>
      <c r="I432">
        <f>G432+H432</f>
        <v/>
      </c>
      <c r="J432">
        <f>F432+G432+H432</f>
        <v/>
      </c>
      <c r="K432">
        <f>Data!R455</f>
        <v/>
      </c>
      <c r="L432">
        <f>Data!T455</f>
        <v/>
      </c>
      <c r="M432">
        <f>AND(E432=0,F432=0,G432=0,H432=0,I432=0,J432=0,K432=0,L432=0)</f>
        <v/>
      </c>
      <c r="N432">
        <f>G432&lt;=$T$6</f>
        <v/>
      </c>
      <c r="O432">
        <f>G432&lt;=$T$12</f>
        <v/>
      </c>
      <c r="P432">
        <f>OR(AND(H432&gt;=$T$4,K432&lt;=$T$5,N432),M432)</f>
        <v/>
      </c>
      <c r="Q432">
        <f>OR(AND(I432&gt;=$T$10,K432&lt;=$T$11,O432),M432)</f>
        <v/>
      </c>
    </row>
    <row r="433">
      <c r="A433">
        <f>Data!E456</f>
        <v/>
      </c>
      <c r="B433">
        <f>Data!G456</f>
        <v/>
      </c>
      <c r="C433">
        <f>Data!H456</f>
        <v/>
      </c>
      <c r="D433">
        <f>Data!I456</f>
        <v/>
      </c>
      <c r="E433">
        <f>Data!M456</f>
        <v/>
      </c>
      <c r="F433">
        <f>Data!O456</f>
        <v/>
      </c>
      <c r="G433">
        <f>E433-F433</f>
        <v/>
      </c>
      <c r="H433">
        <f>Data!P456</f>
        <v/>
      </c>
      <c r="I433">
        <f>G433+H433</f>
        <v/>
      </c>
      <c r="J433">
        <f>F433+G433+H433</f>
        <v/>
      </c>
      <c r="K433">
        <f>Data!R456</f>
        <v/>
      </c>
      <c r="L433">
        <f>Data!T456</f>
        <v/>
      </c>
      <c r="M433">
        <f>AND(E433=0,F433=0,G433=0,H433=0,I433=0,J433=0,K433=0,L433=0)</f>
        <v/>
      </c>
      <c r="N433">
        <f>G433&lt;=$T$6</f>
        <v/>
      </c>
      <c r="O433">
        <f>G433&lt;=$T$12</f>
        <v/>
      </c>
      <c r="P433">
        <f>OR(AND(H433&gt;=$T$4,K433&lt;=$T$5,N433),M433)</f>
        <v/>
      </c>
      <c r="Q433">
        <f>OR(AND(I433&gt;=$T$10,K433&lt;=$T$11,O433),M433)</f>
        <v/>
      </c>
    </row>
    <row r="434">
      <c r="A434">
        <f>Data!E457</f>
        <v/>
      </c>
      <c r="B434">
        <f>Data!G457</f>
        <v/>
      </c>
      <c r="C434">
        <f>Data!H457</f>
        <v/>
      </c>
      <c r="D434">
        <f>Data!I457</f>
        <v/>
      </c>
      <c r="E434">
        <f>Data!M457</f>
        <v/>
      </c>
      <c r="F434">
        <f>Data!O457</f>
        <v/>
      </c>
      <c r="G434">
        <f>E434-F434</f>
        <v/>
      </c>
      <c r="H434">
        <f>Data!P457</f>
        <v/>
      </c>
      <c r="I434">
        <f>G434+H434</f>
        <v/>
      </c>
      <c r="J434">
        <f>F434+G434+H434</f>
        <v/>
      </c>
      <c r="K434">
        <f>Data!R457</f>
        <v/>
      </c>
      <c r="L434">
        <f>Data!T457</f>
        <v/>
      </c>
      <c r="M434">
        <f>AND(E434=0,F434=0,G434=0,H434=0,I434=0,J434=0,K434=0,L434=0)</f>
        <v/>
      </c>
      <c r="N434">
        <f>G434&lt;=$T$6</f>
        <v/>
      </c>
      <c r="O434">
        <f>G434&lt;=$T$12</f>
        <v/>
      </c>
      <c r="P434">
        <f>OR(AND(H434&gt;=$T$4,K434&lt;=$T$5,N434),M434)</f>
        <v/>
      </c>
      <c r="Q434">
        <f>OR(AND(I434&gt;=$T$10,K434&lt;=$T$11,O434),M434)</f>
        <v/>
      </c>
    </row>
    <row r="435">
      <c r="A435">
        <f>Data!E458</f>
        <v/>
      </c>
      <c r="B435">
        <f>Data!G458</f>
        <v/>
      </c>
      <c r="C435">
        <f>Data!H458</f>
        <v/>
      </c>
      <c r="D435">
        <f>Data!I458</f>
        <v/>
      </c>
      <c r="E435">
        <f>Data!M458</f>
        <v/>
      </c>
      <c r="F435">
        <f>Data!O458</f>
        <v/>
      </c>
      <c r="G435">
        <f>E435-F435</f>
        <v/>
      </c>
      <c r="H435">
        <f>Data!P458</f>
        <v/>
      </c>
      <c r="I435">
        <f>G435+H435</f>
        <v/>
      </c>
      <c r="J435">
        <f>F435+G435+H435</f>
        <v/>
      </c>
      <c r="K435">
        <f>Data!R458</f>
        <v/>
      </c>
      <c r="L435">
        <f>Data!T458</f>
        <v/>
      </c>
      <c r="M435">
        <f>AND(E435=0,F435=0,G435=0,H435=0,I435=0,J435=0,K435=0,L435=0)</f>
        <v/>
      </c>
      <c r="N435">
        <f>G435&lt;=$T$6</f>
        <v/>
      </c>
      <c r="O435">
        <f>G435&lt;=$T$12</f>
        <v/>
      </c>
      <c r="P435">
        <f>OR(AND(H435&gt;=$T$4,K435&lt;=$T$5,N435),M435)</f>
        <v/>
      </c>
      <c r="Q435">
        <f>OR(AND(I435&gt;=$T$10,K435&lt;=$T$11,O435),M435)</f>
        <v/>
      </c>
    </row>
    <row r="436">
      <c r="A436">
        <f>Data!E459</f>
        <v/>
      </c>
      <c r="B436">
        <f>Data!G459</f>
        <v/>
      </c>
      <c r="C436">
        <f>Data!H459</f>
        <v/>
      </c>
      <c r="D436">
        <f>Data!I459</f>
        <v/>
      </c>
      <c r="E436">
        <f>Data!M459</f>
        <v/>
      </c>
      <c r="F436">
        <f>Data!O459</f>
        <v/>
      </c>
      <c r="G436">
        <f>E436-F436</f>
        <v/>
      </c>
      <c r="H436">
        <f>Data!P459</f>
        <v/>
      </c>
      <c r="I436">
        <f>G436+H436</f>
        <v/>
      </c>
      <c r="J436">
        <f>F436+G436+H436</f>
        <v/>
      </c>
      <c r="K436">
        <f>Data!R459</f>
        <v/>
      </c>
      <c r="L436">
        <f>Data!T459</f>
        <v/>
      </c>
      <c r="M436">
        <f>AND(E436=0,F436=0,G436=0,H436=0,I436=0,J436=0,K436=0,L436=0)</f>
        <v/>
      </c>
      <c r="N436">
        <f>G436&lt;=$T$6</f>
        <v/>
      </c>
      <c r="O436">
        <f>G436&lt;=$T$12</f>
        <v/>
      </c>
      <c r="P436">
        <f>OR(AND(H436&gt;=$T$4,K436&lt;=$T$5,N436),M436)</f>
        <v/>
      </c>
      <c r="Q436">
        <f>OR(AND(I436&gt;=$T$10,K436&lt;=$T$11,O436),M436)</f>
        <v/>
      </c>
    </row>
    <row r="437">
      <c r="A437">
        <f>Data!E460</f>
        <v/>
      </c>
      <c r="B437">
        <f>Data!G460</f>
        <v/>
      </c>
      <c r="C437">
        <f>Data!H460</f>
        <v/>
      </c>
      <c r="D437">
        <f>Data!I460</f>
        <v/>
      </c>
      <c r="E437">
        <f>Data!M460</f>
        <v/>
      </c>
      <c r="F437">
        <f>Data!O460</f>
        <v/>
      </c>
      <c r="G437">
        <f>E437-F437</f>
        <v/>
      </c>
      <c r="H437">
        <f>Data!P460</f>
        <v/>
      </c>
      <c r="I437">
        <f>G437+H437</f>
        <v/>
      </c>
      <c r="J437">
        <f>F437+G437+H437</f>
        <v/>
      </c>
      <c r="K437">
        <f>Data!R460</f>
        <v/>
      </c>
      <c r="L437">
        <f>Data!T460</f>
        <v/>
      </c>
      <c r="M437">
        <f>AND(E437=0,F437=0,G437=0,H437=0,I437=0,J437=0,K437=0,L437=0)</f>
        <v/>
      </c>
      <c r="N437">
        <f>G437&lt;=$T$6</f>
        <v/>
      </c>
      <c r="O437">
        <f>G437&lt;=$T$12</f>
        <v/>
      </c>
      <c r="P437">
        <f>OR(AND(H437&gt;=$T$4,K437&lt;=$T$5,N437),M437)</f>
        <v/>
      </c>
      <c r="Q437">
        <f>OR(AND(I437&gt;=$T$10,K437&lt;=$T$11,O437),M437)</f>
        <v/>
      </c>
    </row>
    <row r="438">
      <c r="A438">
        <f>Data!E461</f>
        <v/>
      </c>
      <c r="B438">
        <f>Data!G461</f>
        <v/>
      </c>
      <c r="C438">
        <f>Data!H461</f>
        <v/>
      </c>
      <c r="D438">
        <f>Data!I461</f>
        <v/>
      </c>
      <c r="E438">
        <f>Data!M461</f>
        <v/>
      </c>
      <c r="F438">
        <f>Data!O461</f>
        <v/>
      </c>
      <c r="G438">
        <f>E438-F438</f>
        <v/>
      </c>
      <c r="H438">
        <f>Data!P461</f>
        <v/>
      </c>
      <c r="I438">
        <f>G438+H438</f>
        <v/>
      </c>
      <c r="J438">
        <f>F438+G438+H438</f>
        <v/>
      </c>
      <c r="K438">
        <f>Data!R461</f>
        <v/>
      </c>
      <c r="L438">
        <f>Data!T461</f>
        <v/>
      </c>
      <c r="M438">
        <f>AND(E438=0,F438=0,G438=0,H438=0,I438=0,J438=0,K438=0,L438=0)</f>
        <v/>
      </c>
      <c r="N438">
        <f>G438&lt;=$T$6</f>
        <v/>
      </c>
      <c r="O438">
        <f>G438&lt;=$T$12</f>
        <v/>
      </c>
      <c r="P438">
        <f>OR(AND(H438&gt;=$T$4,K438&lt;=$T$5,N438),M438)</f>
        <v/>
      </c>
      <c r="Q438">
        <f>OR(AND(I438&gt;=$T$10,K438&lt;=$T$11,O438),M438)</f>
        <v/>
      </c>
    </row>
    <row r="439">
      <c r="A439">
        <f>Data!E462</f>
        <v/>
      </c>
      <c r="B439">
        <f>Data!G462</f>
        <v/>
      </c>
      <c r="C439">
        <f>Data!H462</f>
        <v/>
      </c>
      <c r="D439">
        <f>Data!I462</f>
        <v/>
      </c>
      <c r="E439">
        <f>Data!M462</f>
        <v/>
      </c>
      <c r="F439">
        <f>Data!O462</f>
        <v/>
      </c>
      <c r="G439">
        <f>E439-F439</f>
        <v/>
      </c>
      <c r="H439">
        <f>Data!P462</f>
        <v/>
      </c>
      <c r="I439">
        <f>G439+H439</f>
        <v/>
      </c>
      <c r="J439">
        <f>F439+G439+H439</f>
        <v/>
      </c>
      <c r="K439">
        <f>Data!R462</f>
        <v/>
      </c>
      <c r="L439">
        <f>Data!T462</f>
        <v/>
      </c>
      <c r="M439">
        <f>AND(E439=0,F439=0,G439=0,H439=0,I439=0,J439=0,K439=0,L439=0)</f>
        <v/>
      </c>
      <c r="N439">
        <f>G439&lt;=$T$6</f>
        <v/>
      </c>
      <c r="O439">
        <f>G439&lt;=$T$12</f>
        <v/>
      </c>
      <c r="P439">
        <f>OR(AND(H439&gt;=$T$4,K439&lt;=$T$5,N439),M439)</f>
        <v/>
      </c>
      <c r="Q439">
        <f>OR(AND(I439&gt;=$T$10,K439&lt;=$T$11,O439),M439)</f>
        <v/>
      </c>
    </row>
    <row r="440">
      <c r="A440">
        <f>Data!E463</f>
        <v/>
      </c>
      <c r="B440">
        <f>Data!G463</f>
        <v/>
      </c>
      <c r="C440">
        <f>Data!H463</f>
        <v/>
      </c>
      <c r="D440">
        <f>Data!I463</f>
        <v/>
      </c>
      <c r="E440">
        <f>Data!M463</f>
        <v/>
      </c>
      <c r="F440">
        <f>Data!O463</f>
        <v/>
      </c>
      <c r="G440">
        <f>E440-F440</f>
        <v/>
      </c>
      <c r="H440">
        <f>Data!P463</f>
        <v/>
      </c>
      <c r="I440">
        <f>G440+H440</f>
        <v/>
      </c>
      <c r="J440">
        <f>F440+G440+H440</f>
        <v/>
      </c>
      <c r="K440">
        <f>Data!R463</f>
        <v/>
      </c>
      <c r="L440">
        <f>Data!T463</f>
        <v/>
      </c>
      <c r="M440">
        <f>AND(E440=0,F440=0,G440=0,H440=0,I440=0,J440=0,K440=0,L440=0)</f>
        <v/>
      </c>
      <c r="N440">
        <f>G440&lt;=$T$6</f>
        <v/>
      </c>
      <c r="O440">
        <f>G440&lt;=$T$12</f>
        <v/>
      </c>
      <c r="P440">
        <f>OR(AND(H440&gt;=$T$4,K440&lt;=$T$5,N440),M440)</f>
        <v/>
      </c>
      <c r="Q440">
        <f>OR(AND(I440&gt;=$T$10,K440&lt;=$T$11,O440),M440)</f>
        <v/>
      </c>
    </row>
    <row r="441">
      <c r="A441">
        <f>Data!E464</f>
        <v/>
      </c>
      <c r="B441">
        <f>Data!G464</f>
        <v/>
      </c>
      <c r="C441">
        <f>Data!H464</f>
        <v/>
      </c>
      <c r="D441">
        <f>Data!I464</f>
        <v/>
      </c>
      <c r="E441">
        <f>Data!M464</f>
        <v/>
      </c>
      <c r="F441">
        <f>Data!O464</f>
        <v/>
      </c>
      <c r="G441">
        <f>E441-F441</f>
        <v/>
      </c>
      <c r="H441">
        <f>Data!P464</f>
        <v/>
      </c>
      <c r="I441">
        <f>G441+H441</f>
        <v/>
      </c>
      <c r="J441">
        <f>F441+G441+H441</f>
        <v/>
      </c>
      <c r="K441">
        <f>Data!R464</f>
        <v/>
      </c>
      <c r="L441">
        <f>Data!T464</f>
        <v/>
      </c>
      <c r="M441">
        <f>AND(E441=0,F441=0,G441=0,H441=0,I441=0,J441=0,K441=0,L441=0)</f>
        <v/>
      </c>
      <c r="N441">
        <f>G441&lt;=$T$6</f>
        <v/>
      </c>
      <c r="O441">
        <f>G441&lt;=$T$12</f>
        <v/>
      </c>
      <c r="P441">
        <f>OR(AND(H441&gt;=$T$4,K441&lt;=$T$5,N441),M441)</f>
        <v/>
      </c>
      <c r="Q441">
        <f>OR(AND(I441&gt;=$T$10,K441&lt;=$T$11,O441),M441)</f>
        <v/>
      </c>
    </row>
    <row r="442">
      <c r="A442">
        <f>Data!E465</f>
        <v/>
      </c>
      <c r="B442">
        <f>Data!G465</f>
        <v/>
      </c>
      <c r="C442">
        <f>Data!H465</f>
        <v/>
      </c>
      <c r="D442">
        <f>Data!I465</f>
        <v/>
      </c>
      <c r="E442">
        <f>Data!M465</f>
        <v/>
      </c>
      <c r="F442">
        <f>Data!O465</f>
        <v/>
      </c>
      <c r="G442">
        <f>E442-F442</f>
        <v/>
      </c>
      <c r="H442">
        <f>Data!P465</f>
        <v/>
      </c>
      <c r="I442">
        <f>G442+H442</f>
        <v/>
      </c>
      <c r="J442">
        <f>F442+G442+H442</f>
        <v/>
      </c>
      <c r="K442">
        <f>Data!R465</f>
        <v/>
      </c>
      <c r="L442">
        <f>Data!T465</f>
        <v/>
      </c>
      <c r="M442">
        <f>AND(E442=0,F442=0,G442=0,H442=0,I442=0,J442=0,K442=0,L442=0)</f>
        <v/>
      </c>
      <c r="N442">
        <f>G442&lt;=$T$6</f>
        <v/>
      </c>
      <c r="O442">
        <f>G442&lt;=$T$12</f>
        <v/>
      </c>
      <c r="P442">
        <f>OR(AND(H442&gt;=$T$4,K442&lt;=$T$5,N442),M442)</f>
        <v/>
      </c>
      <c r="Q442">
        <f>OR(AND(I442&gt;=$T$10,K442&lt;=$T$11,O442),M442)</f>
        <v/>
      </c>
    </row>
    <row r="443">
      <c r="A443">
        <f>Data!E467</f>
        <v/>
      </c>
      <c r="B443">
        <f>Data!G467</f>
        <v/>
      </c>
      <c r="C443">
        <f>Data!H467</f>
        <v/>
      </c>
      <c r="D443">
        <f>Data!I467</f>
        <v/>
      </c>
      <c r="E443">
        <f>Data!M467</f>
        <v/>
      </c>
      <c r="F443">
        <f>Data!O467</f>
        <v/>
      </c>
      <c r="G443">
        <f>E443-F443</f>
        <v/>
      </c>
      <c r="H443">
        <f>Data!P467</f>
        <v/>
      </c>
      <c r="I443">
        <f>G443+H443</f>
        <v/>
      </c>
      <c r="J443">
        <f>F443+G443+H443</f>
        <v/>
      </c>
      <c r="K443">
        <f>Data!R467</f>
        <v/>
      </c>
      <c r="L443">
        <f>Data!T467</f>
        <v/>
      </c>
      <c r="M443">
        <f>AND(E443=0,F443=0,G443=0,H443=0,I443=0,J443=0,K443=0,L443=0)</f>
        <v/>
      </c>
      <c r="N443">
        <f>G443&lt;=$T$6</f>
        <v/>
      </c>
      <c r="O443">
        <f>G443&lt;=$T$12</f>
        <v/>
      </c>
      <c r="P443">
        <f>OR(AND(H443&gt;=$T$4,K443&lt;=$T$5,N443),M443)</f>
        <v/>
      </c>
      <c r="Q443">
        <f>OR(AND(I443&gt;=$T$10,K443&lt;=$T$11,O443),M443)</f>
        <v/>
      </c>
    </row>
    <row r="444">
      <c r="A444">
        <f>Data!E468</f>
        <v/>
      </c>
      <c r="B444">
        <f>Data!G468</f>
        <v/>
      </c>
      <c r="C444">
        <f>Data!H468</f>
        <v/>
      </c>
      <c r="D444">
        <f>Data!I468</f>
        <v/>
      </c>
      <c r="E444">
        <f>Data!M468</f>
        <v/>
      </c>
      <c r="F444">
        <f>Data!O468</f>
        <v/>
      </c>
      <c r="G444">
        <f>E444-F444</f>
        <v/>
      </c>
      <c r="H444">
        <f>Data!P468</f>
        <v/>
      </c>
      <c r="I444">
        <f>G444+H444</f>
        <v/>
      </c>
      <c r="J444">
        <f>F444+G444+H444</f>
        <v/>
      </c>
      <c r="K444">
        <f>Data!R468</f>
        <v/>
      </c>
      <c r="L444">
        <f>Data!T468</f>
        <v/>
      </c>
      <c r="M444">
        <f>AND(E444=0,F444=0,G444=0,H444=0,I444=0,J444=0,K444=0,L444=0)</f>
        <v/>
      </c>
      <c r="N444">
        <f>G444&lt;=$T$6</f>
        <v/>
      </c>
      <c r="O444">
        <f>G444&lt;=$T$12</f>
        <v/>
      </c>
      <c r="P444">
        <f>OR(AND(H444&gt;=$T$4,K444&lt;=$T$5,N444),M444)</f>
        <v/>
      </c>
      <c r="Q444">
        <f>OR(AND(I444&gt;=$T$10,K444&lt;=$T$11,O444),M444)</f>
        <v/>
      </c>
    </row>
    <row r="445">
      <c r="A445">
        <f>Data!E469</f>
        <v/>
      </c>
      <c r="B445">
        <f>Data!G469</f>
        <v/>
      </c>
      <c r="C445">
        <f>Data!H469</f>
        <v/>
      </c>
      <c r="D445">
        <f>Data!I469</f>
        <v/>
      </c>
      <c r="E445">
        <f>Data!M469</f>
        <v/>
      </c>
      <c r="F445">
        <f>Data!O469</f>
        <v/>
      </c>
      <c r="G445">
        <f>E445-F445</f>
        <v/>
      </c>
      <c r="H445">
        <f>Data!P469</f>
        <v/>
      </c>
      <c r="I445">
        <f>G445+H445</f>
        <v/>
      </c>
      <c r="J445">
        <f>F445+G445+H445</f>
        <v/>
      </c>
      <c r="K445">
        <f>Data!R469</f>
        <v/>
      </c>
      <c r="L445">
        <f>Data!T469</f>
        <v/>
      </c>
      <c r="M445">
        <f>AND(E445=0,F445=0,G445=0,H445=0,I445=0,J445=0,K445=0,L445=0)</f>
        <v/>
      </c>
      <c r="N445">
        <f>G445&lt;=$T$6</f>
        <v/>
      </c>
      <c r="O445">
        <f>G445&lt;=$T$12</f>
        <v/>
      </c>
      <c r="P445">
        <f>OR(AND(H445&gt;=$T$4,K445&lt;=$T$5,N445),M445)</f>
        <v/>
      </c>
      <c r="Q445">
        <f>OR(AND(I445&gt;=$T$10,K445&lt;=$T$11,O445),M445)</f>
        <v/>
      </c>
    </row>
    <row r="446">
      <c r="A446">
        <f>Data!E470</f>
        <v/>
      </c>
      <c r="B446">
        <f>Data!G470</f>
        <v/>
      </c>
      <c r="C446">
        <f>Data!H470</f>
        <v/>
      </c>
      <c r="D446">
        <f>Data!I470</f>
        <v/>
      </c>
      <c r="E446">
        <f>Data!M470</f>
        <v/>
      </c>
      <c r="F446">
        <f>Data!O470</f>
        <v/>
      </c>
      <c r="G446">
        <f>E446-F446</f>
        <v/>
      </c>
      <c r="H446">
        <f>Data!P470</f>
        <v/>
      </c>
      <c r="I446">
        <f>G446+H446</f>
        <v/>
      </c>
      <c r="J446">
        <f>F446+G446+H446</f>
        <v/>
      </c>
      <c r="K446">
        <f>Data!R470</f>
        <v/>
      </c>
      <c r="L446">
        <f>Data!T470</f>
        <v/>
      </c>
      <c r="M446">
        <f>AND(E446=0,F446=0,G446=0,H446=0,I446=0,J446=0,K446=0,L446=0)</f>
        <v/>
      </c>
      <c r="N446">
        <f>G446&lt;=$T$6</f>
        <v/>
      </c>
      <c r="O446">
        <f>G446&lt;=$T$12</f>
        <v/>
      </c>
      <c r="P446">
        <f>OR(AND(H446&gt;=$T$4,K446&lt;=$T$5,N446),M446)</f>
        <v/>
      </c>
      <c r="Q446">
        <f>OR(AND(I446&gt;=$T$10,K446&lt;=$T$11,O446),M446)</f>
        <v/>
      </c>
    </row>
    <row r="447">
      <c r="A447">
        <f>Data!E471</f>
        <v/>
      </c>
      <c r="B447">
        <f>Data!G471</f>
        <v/>
      </c>
      <c r="C447">
        <f>Data!H471</f>
        <v/>
      </c>
      <c r="D447">
        <f>Data!I471</f>
        <v/>
      </c>
      <c r="E447">
        <f>Data!M471</f>
        <v/>
      </c>
      <c r="F447">
        <f>Data!O471</f>
        <v/>
      </c>
      <c r="G447">
        <f>E447-F447</f>
        <v/>
      </c>
      <c r="H447">
        <f>Data!P471</f>
        <v/>
      </c>
      <c r="I447">
        <f>G447+H447</f>
        <v/>
      </c>
      <c r="J447">
        <f>F447+G447+H447</f>
        <v/>
      </c>
      <c r="K447">
        <f>Data!R471</f>
        <v/>
      </c>
      <c r="L447">
        <f>Data!T471</f>
        <v/>
      </c>
      <c r="M447">
        <f>AND(E447=0,F447=0,G447=0,H447=0,I447=0,J447=0,K447=0,L447=0)</f>
        <v/>
      </c>
      <c r="N447">
        <f>G447&lt;=$T$6</f>
        <v/>
      </c>
      <c r="O447">
        <f>G447&lt;=$T$12</f>
        <v/>
      </c>
      <c r="P447">
        <f>OR(AND(H447&gt;=$T$4,K447&lt;=$T$5,N447),M447)</f>
        <v/>
      </c>
      <c r="Q447">
        <f>OR(AND(I447&gt;=$T$10,K447&lt;=$T$11,O447),M447)</f>
        <v/>
      </c>
    </row>
    <row r="448">
      <c r="A448">
        <f>Data!E472</f>
        <v/>
      </c>
      <c r="B448">
        <f>Data!G472</f>
        <v/>
      </c>
      <c r="C448">
        <f>Data!H472</f>
        <v/>
      </c>
      <c r="D448">
        <f>Data!I472</f>
        <v/>
      </c>
      <c r="E448">
        <f>Data!M472</f>
        <v/>
      </c>
      <c r="F448">
        <f>Data!O472</f>
        <v/>
      </c>
      <c r="G448">
        <f>E448-F448</f>
        <v/>
      </c>
      <c r="H448">
        <f>Data!P472</f>
        <v/>
      </c>
      <c r="I448">
        <f>G448+H448</f>
        <v/>
      </c>
      <c r="J448">
        <f>F448+G448+H448</f>
        <v/>
      </c>
      <c r="K448">
        <f>Data!R472</f>
        <v/>
      </c>
      <c r="L448">
        <f>Data!T472</f>
        <v/>
      </c>
      <c r="M448">
        <f>AND(E448=0,F448=0,G448=0,H448=0,I448=0,J448=0,K448=0,L448=0)</f>
        <v/>
      </c>
      <c r="N448">
        <f>G448&lt;=$T$6</f>
        <v/>
      </c>
      <c r="O448">
        <f>G448&lt;=$T$12</f>
        <v/>
      </c>
      <c r="P448">
        <f>OR(AND(H448&gt;=$T$4,K448&lt;=$T$5,N448),M448)</f>
        <v/>
      </c>
      <c r="Q448">
        <f>OR(AND(I448&gt;=$T$10,K448&lt;=$T$11,O448),M448)</f>
        <v/>
      </c>
    </row>
    <row r="449">
      <c r="A449">
        <f>Data!E473</f>
        <v/>
      </c>
      <c r="B449">
        <f>Data!G473</f>
        <v/>
      </c>
      <c r="C449">
        <f>Data!H473</f>
        <v/>
      </c>
      <c r="D449">
        <f>Data!I473</f>
        <v/>
      </c>
      <c r="E449">
        <f>Data!M473</f>
        <v/>
      </c>
      <c r="F449">
        <f>Data!O473</f>
        <v/>
      </c>
      <c r="G449">
        <f>E449-F449</f>
        <v/>
      </c>
      <c r="H449">
        <f>Data!P473</f>
        <v/>
      </c>
      <c r="I449">
        <f>G449+H449</f>
        <v/>
      </c>
      <c r="J449">
        <f>F449+G449+H449</f>
        <v/>
      </c>
      <c r="K449">
        <f>Data!R473</f>
        <v/>
      </c>
      <c r="L449">
        <f>Data!T473</f>
        <v/>
      </c>
      <c r="M449">
        <f>AND(E449=0,F449=0,G449=0,H449=0,I449=0,J449=0,K449=0,L449=0)</f>
        <v/>
      </c>
      <c r="N449">
        <f>G449&lt;=$T$6</f>
        <v/>
      </c>
      <c r="O449">
        <f>G449&lt;=$T$12</f>
        <v/>
      </c>
      <c r="P449">
        <f>OR(AND(H449&gt;=$T$4,K449&lt;=$T$5,N449),M449)</f>
        <v/>
      </c>
      <c r="Q449">
        <f>OR(AND(I449&gt;=$T$10,K449&lt;=$T$11,O449),M449)</f>
        <v/>
      </c>
    </row>
    <row r="450">
      <c r="A450">
        <f>Data!E474</f>
        <v/>
      </c>
      <c r="B450">
        <f>Data!G474</f>
        <v/>
      </c>
      <c r="C450">
        <f>Data!H474</f>
        <v/>
      </c>
      <c r="D450">
        <f>Data!I474</f>
        <v/>
      </c>
      <c r="E450">
        <f>Data!M474</f>
        <v/>
      </c>
      <c r="F450">
        <f>Data!O474</f>
        <v/>
      </c>
      <c r="G450">
        <f>E450-F450</f>
        <v/>
      </c>
      <c r="H450">
        <f>Data!P474</f>
        <v/>
      </c>
      <c r="I450">
        <f>G450+H450</f>
        <v/>
      </c>
      <c r="J450">
        <f>F450+G450+H450</f>
        <v/>
      </c>
      <c r="K450">
        <f>Data!R474</f>
        <v/>
      </c>
      <c r="L450">
        <f>Data!T474</f>
        <v/>
      </c>
      <c r="M450">
        <f>AND(E450=0,F450=0,G450=0,H450=0,I450=0,J450=0,K450=0,L450=0)</f>
        <v/>
      </c>
      <c r="N450">
        <f>G450&lt;=$T$6</f>
        <v/>
      </c>
      <c r="O450">
        <f>G450&lt;=$T$12</f>
        <v/>
      </c>
      <c r="P450">
        <f>OR(AND(H450&gt;=$T$4,K450&lt;=$T$5,N450),M450)</f>
        <v/>
      </c>
      <c r="Q450">
        <f>OR(AND(I450&gt;=$T$10,K450&lt;=$T$11,O450),M450)</f>
        <v/>
      </c>
    </row>
    <row r="451">
      <c r="A451">
        <f>Data!E475</f>
        <v/>
      </c>
      <c r="B451">
        <f>Data!G475</f>
        <v/>
      </c>
      <c r="C451">
        <f>Data!H475</f>
        <v/>
      </c>
      <c r="D451">
        <f>Data!I475</f>
        <v/>
      </c>
      <c r="E451">
        <f>Data!M475</f>
        <v/>
      </c>
      <c r="F451">
        <f>Data!O475</f>
        <v/>
      </c>
      <c r="G451">
        <f>E451-F451</f>
        <v/>
      </c>
      <c r="H451">
        <f>Data!P475</f>
        <v/>
      </c>
      <c r="I451">
        <f>G451+H451</f>
        <v/>
      </c>
      <c r="J451">
        <f>F451+G451+H451</f>
        <v/>
      </c>
      <c r="K451">
        <f>Data!R475</f>
        <v/>
      </c>
      <c r="L451">
        <f>Data!T475</f>
        <v/>
      </c>
      <c r="M451">
        <f>AND(E451=0,F451=0,G451=0,H451=0,I451=0,J451=0,K451=0,L451=0)</f>
        <v/>
      </c>
      <c r="N451">
        <f>G451&lt;=$T$6</f>
        <v/>
      </c>
      <c r="O451">
        <f>G451&lt;=$T$12</f>
        <v/>
      </c>
      <c r="P451">
        <f>OR(AND(H451&gt;=$T$4,K451&lt;=$T$5,N451),M451)</f>
        <v/>
      </c>
      <c r="Q451">
        <f>OR(AND(I451&gt;=$T$10,K451&lt;=$T$11,O451),M451)</f>
        <v/>
      </c>
    </row>
    <row r="452">
      <c r="A452">
        <f>Data!E476</f>
        <v/>
      </c>
      <c r="B452">
        <f>Data!G476</f>
        <v/>
      </c>
      <c r="C452">
        <f>Data!H476</f>
        <v/>
      </c>
      <c r="D452">
        <f>Data!I476</f>
        <v/>
      </c>
      <c r="E452">
        <f>Data!M476</f>
        <v/>
      </c>
      <c r="F452">
        <f>Data!O476</f>
        <v/>
      </c>
      <c r="G452">
        <f>E452-F452</f>
        <v/>
      </c>
      <c r="H452">
        <f>Data!P476</f>
        <v/>
      </c>
      <c r="I452">
        <f>G452+H452</f>
        <v/>
      </c>
      <c r="J452">
        <f>F452+G452+H452</f>
        <v/>
      </c>
      <c r="K452">
        <f>Data!R476</f>
        <v/>
      </c>
      <c r="L452">
        <f>Data!T476</f>
        <v/>
      </c>
      <c r="M452">
        <f>AND(E452=0,F452=0,G452=0,H452=0,I452=0,J452=0,K452=0,L452=0)</f>
        <v/>
      </c>
      <c r="N452">
        <f>G452&lt;=$T$6</f>
        <v/>
      </c>
      <c r="O452">
        <f>G452&lt;=$T$12</f>
        <v/>
      </c>
      <c r="P452">
        <f>OR(AND(H452&gt;=$T$4,K452&lt;=$T$5,N452),M452)</f>
        <v/>
      </c>
      <c r="Q452">
        <f>OR(AND(I452&gt;=$T$10,K452&lt;=$T$11,O452),M452)</f>
        <v/>
      </c>
    </row>
    <row r="453">
      <c r="A453">
        <f>Data!E477</f>
        <v/>
      </c>
      <c r="B453">
        <f>Data!G477</f>
        <v/>
      </c>
      <c r="C453">
        <f>Data!H477</f>
        <v/>
      </c>
      <c r="D453">
        <f>Data!I477</f>
        <v/>
      </c>
      <c r="E453">
        <f>Data!M477</f>
        <v/>
      </c>
      <c r="F453">
        <f>Data!O477</f>
        <v/>
      </c>
      <c r="G453">
        <f>E453-F453</f>
        <v/>
      </c>
      <c r="H453">
        <f>Data!P477</f>
        <v/>
      </c>
      <c r="I453">
        <f>G453+H453</f>
        <v/>
      </c>
      <c r="J453">
        <f>F453+G453+H453</f>
        <v/>
      </c>
      <c r="K453">
        <f>Data!R477</f>
        <v/>
      </c>
      <c r="L453">
        <f>Data!T477</f>
        <v/>
      </c>
      <c r="M453">
        <f>AND(E453=0,F453=0,G453=0,H453=0,I453=0,J453=0,K453=0,L453=0)</f>
        <v/>
      </c>
      <c r="N453">
        <f>G453&lt;=$T$6</f>
        <v/>
      </c>
      <c r="O453">
        <f>G453&lt;=$T$12</f>
        <v/>
      </c>
      <c r="P453">
        <f>OR(AND(H453&gt;=$T$4,K453&lt;=$T$5,N453),M453)</f>
        <v/>
      </c>
      <c r="Q453">
        <f>OR(AND(I453&gt;=$T$10,K453&lt;=$T$11,O453),M453)</f>
        <v/>
      </c>
    </row>
    <row r="454">
      <c r="A454">
        <f>Data!E478</f>
        <v/>
      </c>
      <c r="B454">
        <f>Data!G478</f>
        <v/>
      </c>
      <c r="C454">
        <f>Data!H478</f>
        <v/>
      </c>
      <c r="D454">
        <f>Data!I478</f>
        <v/>
      </c>
      <c r="E454">
        <f>Data!M478</f>
        <v/>
      </c>
      <c r="F454">
        <f>Data!O478</f>
        <v/>
      </c>
      <c r="G454">
        <f>E454-F454</f>
        <v/>
      </c>
      <c r="H454">
        <f>Data!P478</f>
        <v/>
      </c>
      <c r="I454">
        <f>G454+H454</f>
        <v/>
      </c>
      <c r="J454">
        <f>F454+G454+H454</f>
        <v/>
      </c>
      <c r="K454">
        <f>Data!R478</f>
        <v/>
      </c>
      <c r="L454">
        <f>Data!T478</f>
        <v/>
      </c>
      <c r="M454">
        <f>AND(E454=0,F454=0,G454=0,H454=0,I454=0,J454=0,K454=0,L454=0)</f>
        <v/>
      </c>
      <c r="N454">
        <f>G454&lt;=$T$6</f>
        <v/>
      </c>
      <c r="O454">
        <f>G454&lt;=$T$12</f>
        <v/>
      </c>
      <c r="P454">
        <f>OR(AND(H454&gt;=$T$4,K454&lt;=$T$5,N454),M454)</f>
        <v/>
      </c>
      <c r="Q454">
        <f>OR(AND(I454&gt;=$T$10,K454&lt;=$T$11,O454),M454)</f>
        <v/>
      </c>
    </row>
    <row r="455">
      <c r="A455">
        <f>Data!E480</f>
        <v/>
      </c>
      <c r="B455">
        <f>Data!G480</f>
        <v/>
      </c>
      <c r="C455">
        <f>Data!H480</f>
        <v/>
      </c>
      <c r="D455">
        <f>Data!I480</f>
        <v/>
      </c>
      <c r="E455">
        <f>Data!M480</f>
        <v/>
      </c>
      <c r="F455">
        <f>Data!O480</f>
        <v/>
      </c>
      <c r="G455">
        <f>E455-F455</f>
        <v/>
      </c>
      <c r="H455">
        <f>Data!P480</f>
        <v/>
      </c>
      <c r="I455">
        <f>G455+H455</f>
        <v/>
      </c>
      <c r="J455">
        <f>F455+G455+H455</f>
        <v/>
      </c>
      <c r="K455">
        <f>Data!R480</f>
        <v/>
      </c>
      <c r="L455">
        <f>Data!T480</f>
        <v/>
      </c>
      <c r="M455">
        <f>AND(E455=0,F455=0,G455=0,H455=0,I455=0,J455=0,K455=0,L455=0)</f>
        <v/>
      </c>
      <c r="N455">
        <f>G455&lt;=$T$6</f>
        <v/>
      </c>
      <c r="O455">
        <f>G455&lt;=$T$12</f>
        <v/>
      </c>
      <c r="P455">
        <f>OR(AND(H455&gt;=$T$4,K455&lt;=$T$5,N455),M455)</f>
        <v/>
      </c>
      <c r="Q455">
        <f>OR(AND(I455&gt;=$T$10,K455&lt;=$T$11,O455),M455)</f>
        <v/>
      </c>
    </row>
    <row r="456">
      <c r="A456">
        <f>Data!E481</f>
        <v/>
      </c>
      <c r="B456">
        <f>Data!G481</f>
        <v/>
      </c>
      <c r="C456">
        <f>Data!H481</f>
        <v/>
      </c>
      <c r="D456">
        <f>Data!I481</f>
        <v/>
      </c>
      <c r="E456">
        <f>Data!M481</f>
        <v/>
      </c>
      <c r="F456">
        <f>Data!O481</f>
        <v/>
      </c>
      <c r="G456">
        <f>E456-F456</f>
        <v/>
      </c>
      <c r="H456">
        <f>Data!P481</f>
        <v/>
      </c>
      <c r="I456">
        <f>G456+H456</f>
        <v/>
      </c>
      <c r="J456">
        <f>F456+G456+H456</f>
        <v/>
      </c>
      <c r="K456">
        <f>Data!R481</f>
        <v/>
      </c>
      <c r="L456">
        <f>Data!T481</f>
        <v/>
      </c>
      <c r="M456">
        <f>AND(E456=0,F456=0,G456=0,H456=0,I456=0,J456=0,K456=0,L456=0)</f>
        <v/>
      </c>
      <c r="N456">
        <f>G456&lt;=$T$6</f>
        <v/>
      </c>
      <c r="O456">
        <f>G456&lt;=$T$12</f>
        <v/>
      </c>
      <c r="P456">
        <f>OR(AND(H456&gt;=$T$4,K456&lt;=$T$5,N456),M456)</f>
        <v/>
      </c>
      <c r="Q456">
        <f>OR(AND(I456&gt;=$T$10,K456&lt;=$T$11,O456),M456)</f>
        <v/>
      </c>
    </row>
    <row r="457">
      <c r="A457">
        <f>Data!E482</f>
        <v/>
      </c>
      <c r="B457">
        <f>Data!G482</f>
        <v/>
      </c>
      <c r="C457">
        <f>Data!H482</f>
        <v/>
      </c>
      <c r="D457">
        <f>Data!I482</f>
        <v/>
      </c>
      <c r="E457">
        <f>Data!M482</f>
        <v/>
      </c>
      <c r="F457">
        <f>Data!O482</f>
        <v/>
      </c>
      <c r="G457">
        <f>E457-F457</f>
        <v/>
      </c>
      <c r="H457">
        <f>Data!P482</f>
        <v/>
      </c>
      <c r="I457">
        <f>G457+H457</f>
        <v/>
      </c>
      <c r="J457">
        <f>F457+G457+H457</f>
        <v/>
      </c>
      <c r="K457">
        <f>Data!R482</f>
        <v/>
      </c>
      <c r="L457">
        <f>Data!T482</f>
        <v/>
      </c>
      <c r="M457">
        <f>AND(E457=0,F457=0,G457=0,H457=0,I457=0,J457=0,K457=0,L457=0)</f>
        <v/>
      </c>
      <c r="N457">
        <f>G457&lt;=$T$6</f>
        <v/>
      </c>
      <c r="O457">
        <f>G457&lt;=$T$12</f>
        <v/>
      </c>
      <c r="P457">
        <f>OR(AND(H457&gt;=$T$4,K457&lt;=$T$5,N457),M457)</f>
        <v/>
      </c>
      <c r="Q457">
        <f>OR(AND(I457&gt;=$T$10,K457&lt;=$T$11,O457),M457)</f>
        <v/>
      </c>
    </row>
    <row r="458">
      <c r="A458">
        <f>Data!E483</f>
        <v/>
      </c>
      <c r="B458">
        <f>Data!G483</f>
        <v/>
      </c>
      <c r="C458">
        <f>Data!H483</f>
        <v/>
      </c>
      <c r="D458">
        <f>Data!I483</f>
        <v/>
      </c>
      <c r="E458">
        <f>Data!M483</f>
        <v/>
      </c>
      <c r="F458">
        <f>Data!O483</f>
        <v/>
      </c>
      <c r="G458">
        <f>E458-F458</f>
        <v/>
      </c>
      <c r="H458">
        <f>Data!P483</f>
        <v/>
      </c>
      <c r="I458">
        <f>G458+H458</f>
        <v/>
      </c>
      <c r="J458">
        <f>F458+G458+H458</f>
        <v/>
      </c>
      <c r="K458">
        <f>Data!R483</f>
        <v/>
      </c>
      <c r="L458">
        <f>Data!T483</f>
        <v/>
      </c>
      <c r="M458">
        <f>AND(E458=0,F458=0,G458=0,H458=0,I458=0,J458=0,K458=0,L458=0)</f>
        <v/>
      </c>
      <c r="N458">
        <f>G458&lt;=$T$6</f>
        <v/>
      </c>
      <c r="O458">
        <f>G458&lt;=$T$12</f>
        <v/>
      </c>
      <c r="P458">
        <f>OR(AND(H458&gt;=$T$4,K458&lt;=$T$5,N458),M458)</f>
        <v/>
      </c>
      <c r="Q458">
        <f>OR(AND(I458&gt;=$T$10,K458&lt;=$T$11,O458),M458)</f>
        <v/>
      </c>
    </row>
    <row r="459">
      <c r="A459">
        <f>Data!E484</f>
        <v/>
      </c>
      <c r="B459">
        <f>Data!G484</f>
        <v/>
      </c>
      <c r="C459">
        <f>Data!H484</f>
        <v/>
      </c>
      <c r="D459">
        <f>Data!I484</f>
        <v/>
      </c>
      <c r="E459">
        <f>Data!M484</f>
        <v/>
      </c>
      <c r="F459">
        <f>Data!O484</f>
        <v/>
      </c>
      <c r="G459">
        <f>E459-F459</f>
        <v/>
      </c>
      <c r="H459">
        <f>Data!P484</f>
        <v/>
      </c>
      <c r="I459">
        <f>G459+H459</f>
        <v/>
      </c>
      <c r="J459">
        <f>F459+G459+H459</f>
        <v/>
      </c>
      <c r="K459">
        <f>Data!R484</f>
        <v/>
      </c>
      <c r="L459">
        <f>Data!T484</f>
        <v/>
      </c>
      <c r="M459">
        <f>AND(E459=0,F459=0,G459=0,H459=0,I459=0,J459=0,K459=0,L459=0)</f>
        <v/>
      </c>
      <c r="N459">
        <f>G459&lt;=$T$6</f>
        <v/>
      </c>
      <c r="O459">
        <f>G459&lt;=$T$12</f>
        <v/>
      </c>
      <c r="P459">
        <f>OR(AND(H459&gt;=$T$4,K459&lt;=$T$5,N459),M459)</f>
        <v/>
      </c>
      <c r="Q459">
        <f>OR(AND(I459&gt;=$T$10,K459&lt;=$T$11,O459),M459)</f>
        <v/>
      </c>
    </row>
    <row r="460">
      <c r="A460">
        <f>Data!E485</f>
        <v/>
      </c>
      <c r="B460">
        <f>Data!G485</f>
        <v/>
      </c>
      <c r="C460">
        <f>Data!H485</f>
        <v/>
      </c>
      <c r="D460">
        <f>Data!I485</f>
        <v/>
      </c>
      <c r="E460">
        <f>Data!M485</f>
        <v/>
      </c>
      <c r="F460">
        <f>Data!O485</f>
        <v/>
      </c>
      <c r="G460">
        <f>E460-F460</f>
        <v/>
      </c>
      <c r="H460">
        <f>Data!P485</f>
        <v/>
      </c>
      <c r="I460">
        <f>G460+H460</f>
        <v/>
      </c>
      <c r="J460">
        <f>F460+G460+H460</f>
        <v/>
      </c>
      <c r="K460">
        <f>Data!R485</f>
        <v/>
      </c>
      <c r="L460">
        <f>Data!T485</f>
        <v/>
      </c>
      <c r="M460">
        <f>AND(E460=0,F460=0,G460=0,H460=0,I460=0,J460=0,K460=0,L460=0)</f>
        <v/>
      </c>
      <c r="N460">
        <f>G460&lt;=$T$6</f>
        <v/>
      </c>
      <c r="O460">
        <f>G460&lt;=$T$12</f>
        <v/>
      </c>
      <c r="P460">
        <f>OR(AND(H460&gt;=$T$4,K460&lt;=$T$5,N460),M460)</f>
        <v/>
      </c>
      <c r="Q460">
        <f>OR(AND(I460&gt;=$T$10,K460&lt;=$T$11,O460),M460)</f>
        <v/>
      </c>
    </row>
    <row r="461">
      <c r="A461">
        <f>Data!E486</f>
        <v/>
      </c>
      <c r="B461">
        <f>Data!G486</f>
        <v/>
      </c>
      <c r="C461">
        <f>Data!H486</f>
        <v/>
      </c>
      <c r="D461">
        <f>Data!I486</f>
        <v/>
      </c>
      <c r="E461">
        <f>Data!M486</f>
        <v/>
      </c>
      <c r="F461">
        <f>Data!O486</f>
        <v/>
      </c>
      <c r="G461">
        <f>E461-F461</f>
        <v/>
      </c>
      <c r="H461">
        <f>Data!P486</f>
        <v/>
      </c>
      <c r="I461">
        <f>G461+H461</f>
        <v/>
      </c>
      <c r="J461">
        <f>F461+G461+H461</f>
        <v/>
      </c>
      <c r="K461">
        <f>Data!R486</f>
        <v/>
      </c>
      <c r="L461">
        <f>Data!T486</f>
        <v/>
      </c>
      <c r="M461">
        <f>AND(E461=0,F461=0,G461=0,H461=0,I461=0,J461=0,K461=0,L461=0)</f>
        <v/>
      </c>
      <c r="N461">
        <f>G461&lt;=$T$6</f>
        <v/>
      </c>
      <c r="O461">
        <f>G461&lt;=$T$12</f>
        <v/>
      </c>
      <c r="P461">
        <f>OR(AND(H461&gt;=$T$4,K461&lt;=$T$5,N461),M461)</f>
        <v/>
      </c>
      <c r="Q461">
        <f>OR(AND(I461&gt;=$T$10,K461&lt;=$T$11,O461),M461)</f>
        <v/>
      </c>
    </row>
    <row r="462">
      <c r="A462">
        <f>Data!E487</f>
        <v/>
      </c>
      <c r="B462">
        <f>Data!G487</f>
        <v/>
      </c>
      <c r="C462">
        <f>Data!H487</f>
        <v/>
      </c>
      <c r="D462">
        <f>Data!I487</f>
        <v/>
      </c>
      <c r="E462">
        <f>Data!M487</f>
        <v/>
      </c>
      <c r="F462">
        <f>Data!O487</f>
        <v/>
      </c>
      <c r="G462">
        <f>E462-F462</f>
        <v/>
      </c>
      <c r="H462">
        <f>Data!P487</f>
        <v/>
      </c>
      <c r="I462">
        <f>G462+H462</f>
        <v/>
      </c>
      <c r="J462">
        <f>F462+G462+H462</f>
        <v/>
      </c>
      <c r="K462">
        <f>Data!R487</f>
        <v/>
      </c>
      <c r="L462">
        <f>Data!T487</f>
        <v/>
      </c>
      <c r="M462">
        <f>AND(E462=0,F462=0,G462=0,H462=0,I462=0,J462=0,K462=0,L462=0)</f>
        <v/>
      </c>
      <c r="N462">
        <f>G462&lt;=$T$6</f>
        <v/>
      </c>
      <c r="O462">
        <f>G462&lt;=$T$12</f>
        <v/>
      </c>
      <c r="P462">
        <f>OR(AND(H462&gt;=$T$4,K462&lt;=$T$5,N462),M462)</f>
        <v/>
      </c>
      <c r="Q462">
        <f>OR(AND(I462&gt;=$T$10,K462&lt;=$T$11,O462),M462)</f>
        <v/>
      </c>
    </row>
    <row r="463">
      <c r="A463">
        <f>Data!E488</f>
        <v/>
      </c>
      <c r="B463">
        <f>Data!G488</f>
        <v/>
      </c>
      <c r="C463">
        <f>Data!H488</f>
        <v/>
      </c>
      <c r="D463">
        <f>Data!I488</f>
        <v/>
      </c>
      <c r="E463">
        <f>Data!M488</f>
        <v/>
      </c>
      <c r="F463">
        <f>Data!O488</f>
        <v/>
      </c>
      <c r="G463">
        <f>E463-F463</f>
        <v/>
      </c>
      <c r="H463">
        <f>Data!P488</f>
        <v/>
      </c>
      <c r="I463">
        <f>G463+H463</f>
        <v/>
      </c>
      <c r="J463">
        <f>F463+G463+H463</f>
        <v/>
      </c>
      <c r="K463">
        <f>Data!R488</f>
        <v/>
      </c>
      <c r="L463">
        <f>Data!T488</f>
        <v/>
      </c>
      <c r="M463">
        <f>AND(E463=0,F463=0,G463=0,H463=0,I463=0,J463=0,K463=0,L463=0)</f>
        <v/>
      </c>
      <c r="N463">
        <f>G463&lt;=$T$6</f>
        <v/>
      </c>
      <c r="O463">
        <f>G463&lt;=$T$12</f>
        <v/>
      </c>
      <c r="P463">
        <f>OR(AND(H463&gt;=$T$4,K463&lt;=$T$5,N463),M463)</f>
        <v/>
      </c>
      <c r="Q463">
        <f>OR(AND(I463&gt;=$T$10,K463&lt;=$T$11,O463),M463)</f>
        <v/>
      </c>
    </row>
    <row r="464">
      <c r="A464">
        <f>Data!E489</f>
        <v/>
      </c>
      <c r="B464">
        <f>Data!G489</f>
        <v/>
      </c>
      <c r="C464">
        <f>Data!H489</f>
        <v/>
      </c>
      <c r="D464">
        <f>Data!I489</f>
        <v/>
      </c>
      <c r="E464">
        <f>Data!M489</f>
        <v/>
      </c>
      <c r="F464">
        <f>Data!O489</f>
        <v/>
      </c>
      <c r="G464">
        <f>E464-F464</f>
        <v/>
      </c>
      <c r="H464">
        <f>Data!P489</f>
        <v/>
      </c>
      <c r="I464">
        <f>G464+H464</f>
        <v/>
      </c>
      <c r="J464">
        <f>F464+G464+H464</f>
        <v/>
      </c>
      <c r="K464">
        <f>Data!R489</f>
        <v/>
      </c>
      <c r="L464">
        <f>Data!T489</f>
        <v/>
      </c>
      <c r="M464">
        <f>AND(E464=0,F464=0,G464=0,H464=0,I464=0,J464=0,K464=0,L464=0)</f>
        <v/>
      </c>
      <c r="N464">
        <f>G464&lt;=$T$6</f>
        <v/>
      </c>
      <c r="O464">
        <f>G464&lt;=$T$12</f>
        <v/>
      </c>
      <c r="P464">
        <f>OR(AND(H464&gt;=$T$4,K464&lt;=$T$5,N464),M464)</f>
        <v/>
      </c>
      <c r="Q464">
        <f>OR(AND(I464&gt;=$T$10,K464&lt;=$T$11,O464),M464)</f>
        <v/>
      </c>
    </row>
    <row r="465">
      <c r="A465">
        <f>Data!E490</f>
        <v/>
      </c>
      <c r="B465">
        <f>Data!G490</f>
        <v/>
      </c>
      <c r="C465">
        <f>Data!H490</f>
        <v/>
      </c>
      <c r="D465">
        <f>Data!I490</f>
        <v/>
      </c>
      <c r="E465">
        <f>Data!M490</f>
        <v/>
      </c>
      <c r="F465">
        <f>Data!O490</f>
        <v/>
      </c>
      <c r="G465">
        <f>E465-F465</f>
        <v/>
      </c>
      <c r="H465">
        <f>Data!P490</f>
        <v/>
      </c>
      <c r="I465">
        <f>G465+H465</f>
        <v/>
      </c>
      <c r="J465">
        <f>F465+G465+H465</f>
        <v/>
      </c>
      <c r="K465">
        <f>Data!R490</f>
        <v/>
      </c>
      <c r="L465">
        <f>Data!T490</f>
        <v/>
      </c>
      <c r="M465">
        <f>AND(E465=0,F465=0,G465=0,H465=0,I465=0,J465=0,K465=0,L465=0)</f>
        <v/>
      </c>
      <c r="N465">
        <f>G465&lt;=$T$6</f>
        <v/>
      </c>
      <c r="O465">
        <f>G465&lt;=$T$12</f>
        <v/>
      </c>
      <c r="P465">
        <f>OR(AND(H465&gt;=$T$4,K465&lt;=$T$5,N465),M465)</f>
        <v/>
      </c>
      <c r="Q465">
        <f>OR(AND(I465&gt;=$T$10,K465&lt;=$T$11,O465),M465)</f>
        <v/>
      </c>
    </row>
    <row r="466">
      <c r="A466">
        <f>Data!E491</f>
        <v/>
      </c>
      <c r="B466">
        <f>Data!G491</f>
        <v/>
      </c>
      <c r="C466">
        <f>Data!H491</f>
        <v/>
      </c>
      <c r="D466">
        <f>Data!I491</f>
        <v/>
      </c>
      <c r="E466">
        <f>Data!M491</f>
        <v/>
      </c>
      <c r="F466">
        <f>Data!O491</f>
        <v/>
      </c>
      <c r="G466">
        <f>E466-F466</f>
        <v/>
      </c>
      <c r="H466">
        <f>Data!P491</f>
        <v/>
      </c>
      <c r="I466">
        <f>G466+H466</f>
        <v/>
      </c>
      <c r="J466">
        <f>F466+G466+H466</f>
        <v/>
      </c>
      <c r="K466">
        <f>Data!R491</f>
        <v/>
      </c>
      <c r="L466">
        <f>Data!T491</f>
        <v/>
      </c>
      <c r="M466">
        <f>AND(E466=0,F466=0,G466=0,H466=0,I466=0,J466=0,K466=0,L466=0)</f>
        <v/>
      </c>
      <c r="N466">
        <f>G466&lt;=$T$6</f>
        <v/>
      </c>
      <c r="O466">
        <f>G466&lt;=$T$12</f>
        <v/>
      </c>
      <c r="P466">
        <f>OR(AND(H466&gt;=$T$4,K466&lt;=$T$5,N466),M466)</f>
        <v/>
      </c>
      <c r="Q466">
        <f>OR(AND(I466&gt;=$T$10,K466&lt;=$T$11,O466),M466)</f>
        <v/>
      </c>
    </row>
    <row r="467">
      <c r="A467">
        <f>Data!E492</f>
        <v/>
      </c>
      <c r="B467">
        <f>Data!G492</f>
        <v/>
      </c>
      <c r="C467">
        <f>Data!H492</f>
        <v/>
      </c>
      <c r="D467">
        <f>Data!I492</f>
        <v/>
      </c>
      <c r="E467">
        <f>Data!M492</f>
        <v/>
      </c>
      <c r="F467">
        <f>Data!O492</f>
        <v/>
      </c>
      <c r="G467">
        <f>E467-F467</f>
        <v/>
      </c>
      <c r="H467">
        <f>Data!P492</f>
        <v/>
      </c>
      <c r="I467">
        <f>G467+H467</f>
        <v/>
      </c>
      <c r="J467">
        <f>F467+G467+H467</f>
        <v/>
      </c>
      <c r="K467">
        <f>Data!R492</f>
        <v/>
      </c>
      <c r="L467">
        <f>Data!T492</f>
        <v/>
      </c>
      <c r="M467">
        <f>AND(E467=0,F467=0,G467=0,H467=0,I467=0,J467=0,K467=0,L467=0)</f>
        <v/>
      </c>
      <c r="N467">
        <f>G467&lt;=$T$6</f>
        <v/>
      </c>
      <c r="O467">
        <f>G467&lt;=$T$12</f>
        <v/>
      </c>
      <c r="P467">
        <f>OR(AND(H467&gt;=$T$4,K467&lt;=$T$5,N467),M467)</f>
        <v/>
      </c>
      <c r="Q467">
        <f>OR(AND(I467&gt;=$T$10,K467&lt;=$T$11,O467),M467)</f>
        <v/>
      </c>
    </row>
    <row r="468">
      <c r="A468">
        <f>Data!E494</f>
        <v/>
      </c>
      <c r="B468">
        <f>Data!G494</f>
        <v/>
      </c>
      <c r="C468">
        <f>Data!H494</f>
        <v/>
      </c>
      <c r="D468">
        <f>Data!I494</f>
        <v/>
      </c>
      <c r="E468">
        <f>Data!M494</f>
        <v/>
      </c>
      <c r="F468">
        <f>Data!O494</f>
        <v/>
      </c>
      <c r="G468">
        <f>E468-F468</f>
        <v/>
      </c>
      <c r="H468">
        <f>Data!P494</f>
        <v/>
      </c>
      <c r="I468">
        <f>G468+H468</f>
        <v/>
      </c>
      <c r="J468">
        <f>F468+G468+H468</f>
        <v/>
      </c>
      <c r="K468">
        <f>Data!R494</f>
        <v/>
      </c>
      <c r="L468">
        <f>Data!T494</f>
        <v/>
      </c>
      <c r="M468">
        <f>AND(E468=0,F468=0,G468=0,H468=0,I468=0,J468=0,K468=0,L468=0)</f>
        <v/>
      </c>
      <c r="N468">
        <f>G468&lt;=$T$6</f>
        <v/>
      </c>
      <c r="O468">
        <f>G468&lt;=$T$12</f>
        <v/>
      </c>
      <c r="P468">
        <f>OR(AND(H468&gt;=$T$4,K468&lt;=$T$5,N468),M468)</f>
        <v/>
      </c>
      <c r="Q468">
        <f>OR(AND(I468&gt;=$T$10,K468&lt;=$T$11,O468),M468)</f>
        <v/>
      </c>
    </row>
    <row r="469">
      <c r="A469">
        <f>Data!E495</f>
        <v/>
      </c>
      <c r="B469">
        <f>Data!G495</f>
        <v/>
      </c>
      <c r="C469">
        <f>Data!H495</f>
        <v/>
      </c>
      <c r="D469">
        <f>Data!I495</f>
        <v/>
      </c>
      <c r="E469">
        <f>Data!M495</f>
        <v/>
      </c>
      <c r="F469">
        <f>Data!O495</f>
        <v/>
      </c>
      <c r="G469">
        <f>E469-F469</f>
        <v/>
      </c>
      <c r="H469">
        <f>Data!P495</f>
        <v/>
      </c>
      <c r="I469">
        <f>G469+H469</f>
        <v/>
      </c>
      <c r="J469">
        <f>F469+G469+H469</f>
        <v/>
      </c>
      <c r="K469">
        <f>Data!R495</f>
        <v/>
      </c>
      <c r="L469">
        <f>Data!T495</f>
        <v/>
      </c>
      <c r="M469">
        <f>AND(E469=0,F469=0,G469=0,H469=0,I469=0,J469=0,K469=0,L469=0)</f>
        <v/>
      </c>
      <c r="N469">
        <f>G469&lt;=$T$6</f>
        <v/>
      </c>
      <c r="O469">
        <f>G469&lt;=$T$12</f>
        <v/>
      </c>
      <c r="P469">
        <f>OR(AND(H469&gt;=$T$4,K469&lt;=$T$5,N469),M469)</f>
        <v/>
      </c>
      <c r="Q469">
        <f>OR(AND(I469&gt;=$T$10,K469&lt;=$T$11,O469),M469)</f>
        <v/>
      </c>
    </row>
    <row r="470">
      <c r="A470">
        <f>Data!E496</f>
        <v/>
      </c>
      <c r="B470">
        <f>Data!G496</f>
        <v/>
      </c>
      <c r="C470">
        <f>Data!H496</f>
        <v/>
      </c>
      <c r="D470">
        <f>Data!I496</f>
        <v/>
      </c>
      <c r="E470">
        <f>Data!M496</f>
        <v/>
      </c>
      <c r="F470">
        <f>Data!O496</f>
        <v/>
      </c>
      <c r="G470">
        <f>E470-F470</f>
        <v/>
      </c>
      <c r="H470">
        <f>Data!P496</f>
        <v/>
      </c>
      <c r="I470">
        <f>G470+H470</f>
        <v/>
      </c>
      <c r="J470">
        <f>F470+G470+H470</f>
        <v/>
      </c>
      <c r="K470">
        <f>Data!R496</f>
        <v/>
      </c>
      <c r="L470">
        <f>Data!T496</f>
        <v/>
      </c>
      <c r="M470">
        <f>AND(E470=0,F470=0,G470=0,H470=0,I470=0,J470=0,K470=0,L470=0)</f>
        <v/>
      </c>
      <c r="N470">
        <f>G470&lt;=$T$6</f>
        <v/>
      </c>
      <c r="O470">
        <f>G470&lt;=$T$12</f>
        <v/>
      </c>
      <c r="P470">
        <f>OR(AND(H470&gt;=$T$4,K470&lt;=$T$5,N470),M470)</f>
        <v/>
      </c>
      <c r="Q470">
        <f>OR(AND(I470&gt;=$T$10,K470&lt;=$T$11,O470),M470)</f>
        <v/>
      </c>
    </row>
    <row r="471">
      <c r="A471">
        <f>Data!E497</f>
        <v/>
      </c>
      <c r="B471">
        <f>Data!G497</f>
        <v/>
      </c>
      <c r="C471">
        <f>Data!H497</f>
        <v/>
      </c>
      <c r="D471">
        <f>Data!I497</f>
        <v/>
      </c>
      <c r="E471">
        <f>Data!M497</f>
        <v/>
      </c>
      <c r="F471">
        <f>Data!O497</f>
        <v/>
      </c>
      <c r="G471">
        <f>E471-F471</f>
        <v/>
      </c>
      <c r="H471">
        <f>Data!P497</f>
        <v/>
      </c>
      <c r="I471">
        <f>G471+H471</f>
        <v/>
      </c>
      <c r="J471">
        <f>F471+G471+H471</f>
        <v/>
      </c>
      <c r="K471">
        <f>Data!R497</f>
        <v/>
      </c>
      <c r="L471">
        <f>Data!T497</f>
        <v/>
      </c>
      <c r="M471">
        <f>AND(E471=0,F471=0,G471=0,H471=0,I471=0,J471=0,K471=0,L471=0)</f>
        <v/>
      </c>
      <c r="N471">
        <f>G471&lt;=$T$6</f>
        <v/>
      </c>
      <c r="O471">
        <f>G471&lt;=$T$12</f>
        <v/>
      </c>
      <c r="P471">
        <f>OR(AND(H471&gt;=$T$4,K471&lt;=$T$5,N471),M471)</f>
        <v/>
      </c>
      <c r="Q471">
        <f>OR(AND(I471&gt;=$T$10,K471&lt;=$T$11,O471),M471)</f>
        <v/>
      </c>
    </row>
    <row r="472">
      <c r="A472">
        <f>Data!E498</f>
        <v/>
      </c>
      <c r="B472">
        <f>Data!G498</f>
        <v/>
      </c>
      <c r="C472">
        <f>Data!H498</f>
        <v/>
      </c>
      <c r="D472">
        <f>Data!I498</f>
        <v/>
      </c>
      <c r="E472">
        <f>Data!M498</f>
        <v/>
      </c>
      <c r="F472">
        <f>Data!O498</f>
        <v/>
      </c>
      <c r="G472">
        <f>E472-F472</f>
        <v/>
      </c>
      <c r="H472">
        <f>Data!P498</f>
        <v/>
      </c>
      <c r="I472">
        <f>G472+H472</f>
        <v/>
      </c>
      <c r="J472">
        <f>F472+G472+H472</f>
        <v/>
      </c>
      <c r="K472">
        <f>Data!R498</f>
        <v/>
      </c>
      <c r="L472">
        <f>Data!T498</f>
        <v/>
      </c>
      <c r="M472">
        <f>AND(E472=0,F472=0,G472=0,H472=0,I472=0,J472=0,K472=0,L472=0)</f>
        <v/>
      </c>
      <c r="N472">
        <f>G472&lt;=$T$6</f>
        <v/>
      </c>
      <c r="O472">
        <f>G472&lt;=$T$12</f>
        <v/>
      </c>
      <c r="P472">
        <f>OR(AND(H472&gt;=$T$4,K472&lt;=$T$5,N472),M472)</f>
        <v/>
      </c>
      <c r="Q472">
        <f>OR(AND(I472&gt;=$T$10,K472&lt;=$T$11,O472),M472)</f>
        <v/>
      </c>
    </row>
    <row r="473">
      <c r="A473">
        <f>Data!E499</f>
        <v/>
      </c>
      <c r="B473">
        <f>Data!G499</f>
        <v/>
      </c>
      <c r="C473">
        <f>Data!H499</f>
        <v/>
      </c>
      <c r="D473">
        <f>Data!I499</f>
        <v/>
      </c>
      <c r="E473">
        <f>Data!M499</f>
        <v/>
      </c>
      <c r="F473">
        <f>Data!O499</f>
        <v/>
      </c>
      <c r="G473">
        <f>E473-F473</f>
        <v/>
      </c>
      <c r="H473">
        <f>Data!P499</f>
        <v/>
      </c>
      <c r="I473">
        <f>G473+H473</f>
        <v/>
      </c>
      <c r="J473">
        <f>F473+G473+H473</f>
        <v/>
      </c>
      <c r="K473">
        <f>Data!R499</f>
        <v/>
      </c>
      <c r="L473">
        <f>Data!T499</f>
        <v/>
      </c>
      <c r="M473">
        <f>AND(E473=0,F473=0,G473=0,H473=0,I473=0,J473=0,K473=0,L473=0)</f>
        <v/>
      </c>
      <c r="N473">
        <f>G473&lt;=$T$6</f>
        <v/>
      </c>
      <c r="O473">
        <f>G473&lt;=$T$12</f>
        <v/>
      </c>
      <c r="P473">
        <f>OR(AND(H473&gt;=$T$4,K473&lt;=$T$5,N473),M473)</f>
        <v/>
      </c>
      <c r="Q473">
        <f>OR(AND(I473&gt;=$T$10,K473&lt;=$T$11,O473),M473)</f>
        <v/>
      </c>
    </row>
    <row r="474">
      <c r="A474">
        <f>Data!E500</f>
        <v/>
      </c>
      <c r="B474">
        <f>Data!G500</f>
        <v/>
      </c>
      <c r="C474">
        <f>Data!H500</f>
        <v/>
      </c>
      <c r="D474">
        <f>Data!I500</f>
        <v/>
      </c>
      <c r="E474">
        <f>Data!M500</f>
        <v/>
      </c>
      <c r="F474">
        <f>Data!O500</f>
        <v/>
      </c>
      <c r="G474">
        <f>E474-F474</f>
        <v/>
      </c>
      <c r="H474">
        <f>Data!P500</f>
        <v/>
      </c>
      <c r="I474">
        <f>G474+H474</f>
        <v/>
      </c>
      <c r="J474">
        <f>F474+G474+H474</f>
        <v/>
      </c>
      <c r="K474">
        <f>Data!R500</f>
        <v/>
      </c>
      <c r="L474">
        <f>Data!T500</f>
        <v/>
      </c>
      <c r="M474">
        <f>AND(E474=0,F474=0,G474=0,H474=0,I474=0,J474=0,K474=0,L474=0)</f>
        <v/>
      </c>
      <c r="N474">
        <f>G474&lt;=$T$6</f>
        <v/>
      </c>
      <c r="O474">
        <f>G474&lt;=$T$12</f>
        <v/>
      </c>
      <c r="P474">
        <f>OR(AND(H474&gt;=$T$4,K474&lt;=$T$5,N474),M474)</f>
        <v/>
      </c>
      <c r="Q474">
        <f>OR(AND(I474&gt;=$T$10,K474&lt;=$T$11,O474),M474)</f>
        <v/>
      </c>
    </row>
    <row r="475">
      <c r="A475">
        <f>Data!E501</f>
        <v/>
      </c>
      <c r="B475">
        <f>Data!G501</f>
        <v/>
      </c>
      <c r="C475">
        <f>Data!H501</f>
        <v/>
      </c>
      <c r="D475">
        <f>Data!I501</f>
        <v/>
      </c>
      <c r="E475">
        <f>Data!M501</f>
        <v/>
      </c>
      <c r="F475">
        <f>Data!O501</f>
        <v/>
      </c>
      <c r="G475">
        <f>E475-F475</f>
        <v/>
      </c>
      <c r="H475">
        <f>Data!P501</f>
        <v/>
      </c>
      <c r="I475">
        <f>G475+H475</f>
        <v/>
      </c>
      <c r="J475">
        <f>F475+G475+H475</f>
        <v/>
      </c>
      <c r="K475">
        <f>Data!R501</f>
        <v/>
      </c>
      <c r="L475">
        <f>Data!T501</f>
        <v/>
      </c>
      <c r="M475">
        <f>AND(E475=0,F475=0,G475=0,H475=0,I475=0,J475=0,K475=0,L475=0)</f>
        <v/>
      </c>
      <c r="N475">
        <f>G475&lt;=$T$6</f>
        <v/>
      </c>
      <c r="O475">
        <f>G475&lt;=$T$12</f>
        <v/>
      </c>
      <c r="P475">
        <f>OR(AND(H475&gt;=$T$4,K475&lt;=$T$5,N475),M475)</f>
        <v/>
      </c>
      <c r="Q475">
        <f>OR(AND(I475&gt;=$T$10,K475&lt;=$T$11,O475),M475)</f>
        <v/>
      </c>
    </row>
    <row r="476">
      <c r="A476">
        <f>Data!E502</f>
        <v/>
      </c>
      <c r="B476">
        <f>Data!G502</f>
        <v/>
      </c>
      <c r="C476">
        <f>Data!H502</f>
        <v/>
      </c>
      <c r="D476">
        <f>Data!I502</f>
        <v/>
      </c>
      <c r="E476">
        <f>Data!M502</f>
        <v/>
      </c>
      <c r="F476">
        <f>Data!O502</f>
        <v/>
      </c>
      <c r="G476">
        <f>E476-F476</f>
        <v/>
      </c>
      <c r="H476">
        <f>Data!P502</f>
        <v/>
      </c>
      <c r="I476">
        <f>G476+H476</f>
        <v/>
      </c>
      <c r="J476">
        <f>F476+G476+H476</f>
        <v/>
      </c>
      <c r="K476">
        <f>Data!R502</f>
        <v/>
      </c>
      <c r="L476">
        <f>Data!T502</f>
        <v/>
      </c>
      <c r="M476">
        <f>AND(E476=0,F476=0,G476=0,H476=0,I476=0,J476=0,K476=0,L476=0)</f>
        <v/>
      </c>
      <c r="N476">
        <f>G476&lt;=$T$6</f>
        <v/>
      </c>
      <c r="O476">
        <f>G476&lt;=$T$12</f>
        <v/>
      </c>
      <c r="P476">
        <f>OR(AND(H476&gt;=$T$4,K476&lt;=$T$5,N476),M476)</f>
        <v/>
      </c>
      <c r="Q476">
        <f>OR(AND(I476&gt;=$T$10,K476&lt;=$T$11,O476),M476)</f>
        <v/>
      </c>
    </row>
    <row r="477">
      <c r="A477">
        <f>Data!E503</f>
        <v/>
      </c>
      <c r="B477">
        <f>Data!G503</f>
        <v/>
      </c>
      <c r="C477">
        <f>Data!H503</f>
        <v/>
      </c>
      <c r="D477">
        <f>Data!I503</f>
        <v/>
      </c>
      <c r="E477">
        <f>Data!M503</f>
        <v/>
      </c>
      <c r="F477">
        <f>Data!O503</f>
        <v/>
      </c>
      <c r="G477">
        <f>E477-F477</f>
        <v/>
      </c>
      <c r="H477">
        <f>Data!P503</f>
        <v/>
      </c>
      <c r="I477">
        <f>G477+H477</f>
        <v/>
      </c>
      <c r="J477">
        <f>F477+G477+H477</f>
        <v/>
      </c>
      <c r="K477">
        <f>Data!R503</f>
        <v/>
      </c>
      <c r="L477">
        <f>Data!T503</f>
        <v/>
      </c>
      <c r="M477">
        <f>AND(E477=0,F477=0,G477=0,H477=0,I477=0,J477=0,K477=0,L477=0)</f>
        <v/>
      </c>
      <c r="N477">
        <f>G477&lt;=$T$6</f>
        <v/>
      </c>
      <c r="O477">
        <f>G477&lt;=$T$12</f>
        <v/>
      </c>
      <c r="P477">
        <f>OR(AND(H477&gt;=$T$4,K477&lt;=$T$5,N477),M477)</f>
        <v/>
      </c>
      <c r="Q477">
        <f>OR(AND(I477&gt;=$T$10,K477&lt;=$T$11,O477),M477)</f>
        <v/>
      </c>
    </row>
    <row r="478">
      <c r="A478">
        <f>Data!E504</f>
        <v/>
      </c>
      <c r="B478">
        <f>Data!G504</f>
        <v/>
      </c>
      <c r="C478">
        <f>Data!H504</f>
        <v/>
      </c>
      <c r="D478">
        <f>Data!I504</f>
        <v/>
      </c>
      <c r="E478">
        <f>Data!M504</f>
        <v/>
      </c>
      <c r="F478">
        <f>Data!O504</f>
        <v/>
      </c>
      <c r="G478">
        <f>E478-F478</f>
        <v/>
      </c>
      <c r="H478">
        <f>Data!P504</f>
        <v/>
      </c>
      <c r="I478">
        <f>G478+H478</f>
        <v/>
      </c>
      <c r="J478">
        <f>F478+G478+H478</f>
        <v/>
      </c>
      <c r="K478">
        <f>Data!R504</f>
        <v/>
      </c>
      <c r="L478">
        <f>Data!T504</f>
        <v/>
      </c>
      <c r="M478">
        <f>AND(E478=0,F478=0,G478=0,H478=0,I478=0,J478=0,K478=0,L478=0)</f>
        <v/>
      </c>
      <c r="N478">
        <f>G478&lt;=$T$6</f>
        <v/>
      </c>
      <c r="O478">
        <f>G478&lt;=$T$12</f>
        <v/>
      </c>
      <c r="P478">
        <f>OR(AND(H478&gt;=$T$4,K478&lt;=$T$5,N478),M478)</f>
        <v/>
      </c>
      <c r="Q478">
        <f>OR(AND(I478&gt;=$T$10,K478&lt;=$T$11,O478),M478)</f>
        <v/>
      </c>
    </row>
    <row r="479">
      <c r="A479">
        <f>Data!E505</f>
        <v/>
      </c>
      <c r="B479">
        <f>Data!G505</f>
        <v/>
      </c>
      <c r="C479">
        <f>Data!H505</f>
        <v/>
      </c>
      <c r="D479">
        <f>Data!I505</f>
        <v/>
      </c>
      <c r="E479">
        <f>Data!M505</f>
        <v/>
      </c>
      <c r="F479">
        <f>Data!O505</f>
        <v/>
      </c>
      <c r="G479">
        <f>E479-F479</f>
        <v/>
      </c>
      <c r="H479">
        <f>Data!P505</f>
        <v/>
      </c>
      <c r="I479">
        <f>G479+H479</f>
        <v/>
      </c>
      <c r="J479">
        <f>F479+G479+H479</f>
        <v/>
      </c>
      <c r="K479">
        <f>Data!R505</f>
        <v/>
      </c>
      <c r="L479">
        <f>Data!T505</f>
        <v/>
      </c>
      <c r="M479">
        <f>AND(E479=0,F479=0,G479=0,H479=0,I479=0,J479=0,K479=0,L479=0)</f>
        <v/>
      </c>
      <c r="N479">
        <f>G479&lt;=$T$6</f>
        <v/>
      </c>
      <c r="O479">
        <f>G479&lt;=$T$12</f>
        <v/>
      </c>
      <c r="P479">
        <f>OR(AND(H479&gt;=$T$4,K479&lt;=$T$5,N479),M479)</f>
        <v/>
      </c>
      <c r="Q479">
        <f>OR(AND(I479&gt;=$T$10,K479&lt;=$T$11,O479),M479)</f>
        <v/>
      </c>
    </row>
    <row r="480">
      <c r="A480">
        <f>Data!E506</f>
        <v/>
      </c>
      <c r="B480">
        <f>Data!G506</f>
        <v/>
      </c>
      <c r="C480">
        <f>Data!H506</f>
        <v/>
      </c>
      <c r="D480">
        <f>Data!I506</f>
        <v/>
      </c>
      <c r="E480">
        <f>Data!M506</f>
        <v/>
      </c>
      <c r="F480">
        <f>Data!O506</f>
        <v/>
      </c>
      <c r="G480">
        <f>E480-F480</f>
        <v/>
      </c>
      <c r="H480">
        <f>Data!P506</f>
        <v/>
      </c>
      <c r="I480">
        <f>G480+H480</f>
        <v/>
      </c>
      <c r="J480">
        <f>F480+G480+H480</f>
        <v/>
      </c>
      <c r="K480">
        <f>Data!R506</f>
        <v/>
      </c>
      <c r="L480">
        <f>Data!T506</f>
        <v/>
      </c>
      <c r="M480">
        <f>AND(E480=0,F480=0,G480=0,H480=0,I480=0,J480=0,K480=0,L480=0)</f>
        <v/>
      </c>
      <c r="N480">
        <f>G480&lt;=$T$6</f>
        <v/>
      </c>
      <c r="O480">
        <f>G480&lt;=$T$12</f>
        <v/>
      </c>
      <c r="P480">
        <f>OR(AND(H480&gt;=$T$4,K480&lt;=$T$5,N480),M480)</f>
        <v/>
      </c>
      <c r="Q480">
        <f>OR(AND(I480&gt;=$T$10,K480&lt;=$T$11,O480),M480)</f>
        <v/>
      </c>
    </row>
    <row r="481">
      <c r="A481">
        <f>Data!E507</f>
        <v/>
      </c>
      <c r="B481">
        <f>Data!G507</f>
        <v/>
      </c>
      <c r="C481">
        <f>Data!H507</f>
        <v/>
      </c>
      <c r="D481">
        <f>Data!I507</f>
        <v/>
      </c>
      <c r="E481">
        <f>Data!M507</f>
        <v/>
      </c>
      <c r="F481">
        <f>Data!O507</f>
        <v/>
      </c>
      <c r="G481">
        <f>E481-F481</f>
        <v/>
      </c>
      <c r="H481">
        <f>Data!P507</f>
        <v/>
      </c>
      <c r="I481">
        <f>G481+H481</f>
        <v/>
      </c>
      <c r="J481">
        <f>F481+G481+H481</f>
        <v/>
      </c>
      <c r="K481">
        <f>Data!R507</f>
        <v/>
      </c>
      <c r="L481">
        <f>Data!T507</f>
        <v/>
      </c>
      <c r="M481">
        <f>AND(E481=0,F481=0,G481=0,H481=0,I481=0,J481=0,K481=0,L481=0)</f>
        <v/>
      </c>
      <c r="N481">
        <f>G481&lt;=$T$6</f>
        <v/>
      </c>
      <c r="O481">
        <f>G481&lt;=$T$12</f>
        <v/>
      </c>
      <c r="P481">
        <f>OR(AND(H481&gt;=$T$4,K481&lt;=$T$5,N481),M481)</f>
        <v/>
      </c>
      <c r="Q481">
        <f>OR(AND(I481&gt;=$T$10,K481&lt;=$T$11,O481),M481)</f>
        <v/>
      </c>
    </row>
    <row r="482">
      <c r="A482">
        <f>Data!E508</f>
        <v/>
      </c>
      <c r="B482">
        <f>Data!G508</f>
        <v/>
      </c>
      <c r="C482">
        <f>Data!H508</f>
        <v/>
      </c>
      <c r="D482">
        <f>Data!I508</f>
        <v/>
      </c>
      <c r="E482">
        <f>Data!M508</f>
        <v/>
      </c>
      <c r="F482">
        <f>Data!O508</f>
        <v/>
      </c>
      <c r="G482">
        <f>E482-F482</f>
        <v/>
      </c>
      <c r="H482">
        <f>Data!P508</f>
        <v/>
      </c>
      <c r="I482">
        <f>G482+H482</f>
        <v/>
      </c>
      <c r="J482">
        <f>F482+G482+H482</f>
        <v/>
      </c>
      <c r="K482">
        <f>Data!R508</f>
        <v/>
      </c>
      <c r="L482">
        <f>Data!T508</f>
        <v/>
      </c>
      <c r="M482">
        <f>AND(E482=0,F482=0,G482=0,H482=0,I482=0,J482=0,K482=0,L482=0)</f>
        <v/>
      </c>
      <c r="N482">
        <f>G482&lt;=$T$6</f>
        <v/>
      </c>
      <c r="O482">
        <f>G482&lt;=$T$12</f>
        <v/>
      </c>
      <c r="P482">
        <f>OR(AND(H482&gt;=$T$4,K482&lt;=$T$5,N482),M482)</f>
        <v/>
      </c>
      <c r="Q482">
        <f>OR(AND(I482&gt;=$T$10,K482&lt;=$T$11,O482),M482)</f>
        <v/>
      </c>
    </row>
    <row r="483">
      <c r="A483">
        <f>Data!E509</f>
        <v/>
      </c>
      <c r="B483">
        <f>Data!G509</f>
        <v/>
      </c>
      <c r="C483">
        <f>Data!H509</f>
        <v/>
      </c>
      <c r="D483">
        <f>Data!I509</f>
        <v/>
      </c>
      <c r="E483">
        <f>Data!M509</f>
        <v/>
      </c>
      <c r="F483">
        <f>Data!O509</f>
        <v/>
      </c>
      <c r="G483">
        <f>E483-F483</f>
        <v/>
      </c>
      <c r="H483">
        <f>Data!P509</f>
        <v/>
      </c>
      <c r="I483">
        <f>G483+H483</f>
        <v/>
      </c>
      <c r="J483">
        <f>F483+G483+H483</f>
        <v/>
      </c>
      <c r="K483">
        <f>Data!R509</f>
        <v/>
      </c>
      <c r="L483">
        <f>Data!T509</f>
        <v/>
      </c>
      <c r="M483">
        <f>AND(E483=0,F483=0,G483=0,H483=0,I483=0,J483=0,K483=0,L483=0)</f>
        <v/>
      </c>
      <c r="N483">
        <f>G483&lt;=$T$6</f>
        <v/>
      </c>
      <c r="O483">
        <f>G483&lt;=$T$12</f>
        <v/>
      </c>
      <c r="P483">
        <f>OR(AND(H483&gt;=$T$4,K483&lt;=$T$5,N483),M483)</f>
        <v/>
      </c>
      <c r="Q483">
        <f>OR(AND(I483&gt;=$T$10,K483&lt;=$T$11,O483),M483)</f>
        <v/>
      </c>
    </row>
    <row r="484">
      <c r="A484">
        <f>Data!E510</f>
        <v/>
      </c>
      <c r="B484">
        <f>Data!G510</f>
        <v/>
      </c>
      <c r="C484">
        <f>Data!H510</f>
        <v/>
      </c>
      <c r="D484">
        <f>Data!I510</f>
        <v/>
      </c>
      <c r="E484">
        <f>Data!M510</f>
        <v/>
      </c>
      <c r="F484">
        <f>Data!O510</f>
        <v/>
      </c>
      <c r="G484">
        <f>E484-F484</f>
        <v/>
      </c>
      <c r="H484">
        <f>Data!P510</f>
        <v/>
      </c>
      <c r="I484">
        <f>G484+H484</f>
        <v/>
      </c>
      <c r="J484">
        <f>F484+G484+H484</f>
        <v/>
      </c>
      <c r="K484">
        <f>Data!R510</f>
        <v/>
      </c>
      <c r="L484">
        <f>Data!T510</f>
        <v/>
      </c>
      <c r="M484">
        <f>AND(E484=0,F484=0,G484=0,H484=0,I484=0,J484=0,K484=0,L484=0)</f>
        <v/>
      </c>
      <c r="N484">
        <f>G484&lt;=$T$6</f>
        <v/>
      </c>
      <c r="O484">
        <f>G484&lt;=$T$12</f>
        <v/>
      </c>
      <c r="P484">
        <f>OR(AND(H484&gt;=$T$4,K484&lt;=$T$5,N484),M484)</f>
        <v/>
      </c>
      <c r="Q484">
        <f>OR(AND(I484&gt;=$T$10,K484&lt;=$T$11,O484),M484)</f>
        <v/>
      </c>
    </row>
    <row r="485">
      <c r="A485">
        <f>Data!E511</f>
        <v/>
      </c>
      <c r="B485">
        <f>Data!G511</f>
        <v/>
      </c>
      <c r="C485">
        <f>Data!H511</f>
        <v/>
      </c>
      <c r="D485">
        <f>Data!I511</f>
        <v/>
      </c>
      <c r="E485">
        <f>Data!M511</f>
        <v/>
      </c>
      <c r="F485">
        <f>Data!O511</f>
        <v/>
      </c>
      <c r="G485">
        <f>E485-F485</f>
        <v/>
      </c>
      <c r="H485">
        <f>Data!P511</f>
        <v/>
      </c>
      <c r="I485">
        <f>G485+H485</f>
        <v/>
      </c>
      <c r="J485">
        <f>F485+G485+H485</f>
        <v/>
      </c>
      <c r="K485">
        <f>Data!R511</f>
        <v/>
      </c>
      <c r="L485">
        <f>Data!T511</f>
        <v/>
      </c>
      <c r="M485">
        <f>AND(E485=0,F485=0,G485=0,H485=0,I485=0,J485=0,K485=0,L485=0)</f>
        <v/>
      </c>
      <c r="N485">
        <f>G485&lt;=$T$6</f>
        <v/>
      </c>
      <c r="O485">
        <f>G485&lt;=$T$12</f>
        <v/>
      </c>
      <c r="P485">
        <f>OR(AND(H485&gt;=$T$4,K485&lt;=$T$5,N485),M485)</f>
        <v/>
      </c>
      <c r="Q485">
        <f>OR(AND(I485&gt;=$T$10,K485&lt;=$T$11,O485),M485)</f>
        <v/>
      </c>
    </row>
    <row r="486">
      <c r="A486">
        <f>Data!E512</f>
        <v/>
      </c>
      <c r="B486">
        <f>Data!G512</f>
        <v/>
      </c>
      <c r="C486">
        <f>Data!H512</f>
        <v/>
      </c>
      <c r="D486">
        <f>Data!I512</f>
        <v/>
      </c>
      <c r="E486">
        <f>Data!M512</f>
        <v/>
      </c>
      <c r="F486">
        <f>Data!O512</f>
        <v/>
      </c>
      <c r="G486">
        <f>E486-F486</f>
        <v/>
      </c>
      <c r="H486">
        <f>Data!P512</f>
        <v/>
      </c>
      <c r="I486">
        <f>G486+H486</f>
        <v/>
      </c>
      <c r="J486">
        <f>F486+G486+H486</f>
        <v/>
      </c>
      <c r="K486">
        <f>Data!R512</f>
        <v/>
      </c>
      <c r="L486">
        <f>Data!T512</f>
        <v/>
      </c>
      <c r="M486">
        <f>AND(E486=0,F486=0,G486=0,H486=0,I486=0,J486=0,K486=0,L486=0)</f>
        <v/>
      </c>
      <c r="N486">
        <f>G486&lt;=$T$6</f>
        <v/>
      </c>
      <c r="O486">
        <f>G486&lt;=$T$12</f>
        <v/>
      </c>
      <c r="P486">
        <f>OR(AND(H486&gt;=$T$4,K486&lt;=$T$5,N486),M486)</f>
        <v/>
      </c>
      <c r="Q486">
        <f>OR(AND(I486&gt;=$T$10,K486&lt;=$T$11,O486),M486)</f>
        <v/>
      </c>
    </row>
    <row r="487">
      <c r="A487">
        <f>Data!E514</f>
        <v/>
      </c>
      <c r="B487">
        <f>Data!G514</f>
        <v/>
      </c>
      <c r="C487">
        <f>Data!H514</f>
        <v/>
      </c>
      <c r="D487">
        <f>Data!I514</f>
        <v/>
      </c>
      <c r="E487">
        <f>Data!M514</f>
        <v/>
      </c>
      <c r="F487">
        <f>Data!O514</f>
        <v/>
      </c>
      <c r="G487">
        <f>E487-F487</f>
        <v/>
      </c>
      <c r="H487">
        <f>Data!P514</f>
        <v/>
      </c>
      <c r="I487">
        <f>G487+H487</f>
        <v/>
      </c>
      <c r="J487">
        <f>F487+G487+H487</f>
        <v/>
      </c>
      <c r="K487">
        <f>Data!R514</f>
        <v/>
      </c>
      <c r="L487">
        <f>Data!T514</f>
        <v/>
      </c>
      <c r="M487">
        <f>AND(E487=0,F487=0,G487=0,H487=0,I487=0,J487=0,K487=0,L487=0)</f>
        <v/>
      </c>
      <c r="N487">
        <f>G487&lt;=$T$6</f>
        <v/>
      </c>
      <c r="O487">
        <f>G487&lt;=$T$12</f>
        <v/>
      </c>
      <c r="P487">
        <f>OR(AND(H487&gt;=$T$4,K487&lt;=$T$5,N487),M487)</f>
        <v/>
      </c>
      <c r="Q487">
        <f>OR(AND(I487&gt;=$T$10,K487&lt;=$T$11,O487),M487)</f>
        <v/>
      </c>
    </row>
    <row r="488">
      <c r="A488">
        <f>Data!E515</f>
        <v/>
      </c>
      <c r="B488">
        <f>Data!G515</f>
        <v/>
      </c>
      <c r="C488">
        <f>Data!H515</f>
        <v/>
      </c>
      <c r="D488">
        <f>Data!I515</f>
        <v/>
      </c>
      <c r="E488">
        <f>Data!M515</f>
        <v/>
      </c>
      <c r="F488">
        <f>Data!O515</f>
        <v/>
      </c>
      <c r="G488">
        <f>E488-F488</f>
        <v/>
      </c>
      <c r="H488">
        <f>Data!P515</f>
        <v/>
      </c>
      <c r="I488">
        <f>G488+H488</f>
        <v/>
      </c>
      <c r="J488">
        <f>F488+G488+H488</f>
        <v/>
      </c>
      <c r="K488">
        <f>Data!R515</f>
        <v/>
      </c>
      <c r="L488">
        <f>Data!T515</f>
        <v/>
      </c>
      <c r="M488">
        <f>AND(E488=0,F488=0,G488=0,H488=0,I488=0,J488=0,K488=0,L488=0)</f>
        <v/>
      </c>
      <c r="N488">
        <f>G488&lt;=$T$6</f>
        <v/>
      </c>
      <c r="O488">
        <f>G488&lt;=$T$12</f>
        <v/>
      </c>
      <c r="P488">
        <f>OR(AND(H488&gt;=$T$4,K488&lt;=$T$5,N488),M488)</f>
        <v/>
      </c>
      <c r="Q488">
        <f>OR(AND(I488&gt;=$T$10,K488&lt;=$T$11,O488),M488)</f>
        <v/>
      </c>
    </row>
    <row r="489">
      <c r="A489">
        <f>Data!E516</f>
        <v/>
      </c>
      <c r="B489">
        <f>Data!G516</f>
        <v/>
      </c>
      <c r="C489">
        <f>Data!H516</f>
        <v/>
      </c>
      <c r="D489">
        <f>Data!I516</f>
        <v/>
      </c>
      <c r="E489">
        <f>Data!M516</f>
        <v/>
      </c>
      <c r="F489">
        <f>Data!O516</f>
        <v/>
      </c>
      <c r="G489">
        <f>E489-F489</f>
        <v/>
      </c>
      <c r="H489">
        <f>Data!P516</f>
        <v/>
      </c>
      <c r="I489">
        <f>G489+H489</f>
        <v/>
      </c>
      <c r="J489">
        <f>F489+G489+H489</f>
        <v/>
      </c>
      <c r="K489">
        <f>Data!R516</f>
        <v/>
      </c>
      <c r="L489">
        <f>Data!T516</f>
        <v/>
      </c>
      <c r="M489">
        <f>AND(E489=0,F489=0,G489=0,H489=0,I489=0,J489=0,K489=0,L489=0)</f>
        <v/>
      </c>
      <c r="N489">
        <f>G489&lt;=$T$6</f>
        <v/>
      </c>
      <c r="O489">
        <f>G489&lt;=$T$12</f>
        <v/>
      </c>
      <c r="P489">
        <f>OR(AND(H489&gt;=$T$4,K489&lt;=$T$5,N489),M489)</f>
        <v/>
      </c>
      <c r="Q489">
        <f>OR(AND(I489&gt;=$T$10,K489&lt;=$T$11,O489),M489)</f>
        <v/>
      </c>
    </row>
    <row r="490">
      <c r="A490">
        <f>Data!E517</f>
        <v/>
      </c>
      <c r="B490">
        <f>Data!G517</f>
        <v/>
      </c>
      <c r="C490">
        <f>Data!H517</f>
        <v/>
      </c>
      <c r="D490">
        <f>Data!I517</f>
        <v/>
      </c>
      <c r="E490">
        <f>Data!M517</f>
        <v/>
      </c>
      <c r="F490">
        <f>Data!O517</f>
        <v/>
      </c>
      <c r="G490">
        <f>E490-F490</f>
        <v/>
      </c>
      <c r="H490">
        <f>Data!P517</f>
        <v/>
      </c>
      <c r="I490">
        <f>G490+H490</f>
        <v/>
      </c>
      <c r="J490">
        <f>F490+G490+H490</f>
        <v/>
      </c>
      <c r="K490">
        <f>Data!R517</f>
        <v/>
      </c>
      <c r="L490">
        <f>Data!T517</f>
        <v/>
      </c>
      <c r="M490">
        <f>AND(E490=0,F490=0,G490=0,H490=0,I490=0,J490=0,K490=0,L490=0)</f>
        <v/>
      </c>
      <c r="N490">
        <f>G490&lt;=$T$6</f>
        <v/>
      </c>
      <c r="O490">
        <f>G490&lt;=$T$12</f>
        <v/>
      </c>
      <c r="P490">
        <f>OR(AND(H490&gt;=$T$4,K490&lt;=$T$5,N490),M490)</f>
        <v/>
      </c>
      <c r="Q490">
        <f>OR(AND(I490&gt;=$T$10,K490&lt;=$T$11,O490),M490)</f>
        <v/>
      </c>
    </row>
    <row r="491">
      <c r="A491">
        <f>Data!E518</f>
        <v/>
      </c>
      <c r="B491">
        <f>Data!G518</f>
        <v/>
      </c>
      <c r="C491">
        <f>Data!H518</f>
        <v/>
      </c>
      <c r="D491">
        <f>Data!I518</f>
        <v/>
      </c>
      <c r="E491">
        <f>Data!M518</f>
        <v/>
      </c>
      <c r="F491">
        <f>Data!O518</f>
        <v/>
      </c>
      <c r="G491">
        <f>E491-F491</f>
        <v/>
      </c>
      <c r="H491">
        <f>Data!P518</f>
        <v/>
      </c>
      <c r="I491">
        <f>G491+H491</f>
        <v/>
      </c>
      <c r="J491">
        <f>F491+G491+H491</f>
        <v/>
      </c>
      <c r="K491">
        <f>Data!R518</f>
        <v/>
      </c>
      <c r="L491">
        <f>Data!T518</f>
        <v/>
      </c>
      <c r="M491">
        <f>AND(E491=0,F491=0,G491=0,H491=0,I491=0,J491=0,K491=0,L491=0)</f>
        <v/>
      </c>
      <c r="N491">
        <f>G491&lt;=$T$6</f>
        <v/>
      </c>
      <c r="O491">
        <f>G491&lt;=$T$12</f>
        <v/>
      </c>
      <c r="P491">
        <f>OR(AND(H491&gt;=$T$4,K491&lt;=$T$5,N491),M491)</f>
        <v/>
      </c>
      <c r="Q491">
        <f>OR(AND(I491&gt;=$T$10,K491&lt;=$T$11,O491),M491)</f>
        <v/>
      </c>
    </row>
    <row r="492">
      <c r="A492">
        <f>Data!E519</f>
        <v/>
      </c>
      <c r="B492">
        <f>Data!G519</f>
        <v/>
      </c>
      <c r="C492">
        <f>Data!H519</f>
        <v/>
      </c>
      <c r="D492">
        <f>Data!I519</f>
        <v/>
      </c>
      <c r="E492">
        <f>Data!M519</f>
        <v/>
      </c>
      <c r="F492">
        <f>Data!O519</f>
        <v/>
      </c>
      <c r="G492">
        <f>E492-F492</f>
        <v/>
      </c>
      <c r="H492">
        <f>Data!P519</f>
        <v/>
      </c>
      <c r="I492">
        <f>G492+H492</f>
        <v/>
      </c>
      <c r="J492">
        <f>F492+G492+H492</f>
        <v/>
      </c>
      <c r="K492">
        <f>Data!R519</f>
        <v/>
      </c>
      <c r="L492">
        <f>Data!T519</f>
        <v/>
      </c>
      <c r="M492">
        <f>AND(E492=0,F492=0,G492=0,H492=0,I492=0,J492=0,K492=0,L492=0)</f>
        <v/>
      </c>
      <c r="N492">
        <f>G492&lt;=$T$6</f>
        <v/>
      </c>
      <c r="O492">
        <f>G492&lt;=$T$12</f>
        <v/>
      </c>
      <c r="P492">
        <f>OR(AND(H492&gt;=$T$4,K492&lt;=$T$5,N492),M492)</f>
        <v/>
      </c>
      <c r="Q492">
        <f>OR(AND(I492&gt;=$T$10,K492&lt;=$T$11,O492),M492)</f>
        <v/>
      </c>
    </row>
    <row r="493">
      <c r="A493">
        <f>Data!E520</f>
        <v/>
      </c>
      <c r="B493">
        <f>Data!G520</f>
        <v/>
      </c>
      <c r="C493">
        <f>Data!H520</f>
        <v/>
      </c>
      <c r="D493">
        <f>Data!I520</f>
        <v/>
      </c>
      <c r="E493">
        <f>Data!M520</f>
        <v/>
      </c>
      <c r="F493">
        <f>Data!O520</f>
        <v/>
      </c>
      <c r="G493">
        <f>E493-F493</f>
        <v/>
      </c>
      <c r="H493">
        <f>Data!P520</f>
        <v/>
      </c>
      <c r="I493">
        <f>G493+H493</f>
        <v/>
      </c>
      <c r="J493">
        <f>F493+G493+H493</f>
        <v/>
      </c>
      <c r="K493">
        <f>Data!R520</f>
        <v/>
      </c>
      <c r="L493">
        <f>Data!T520</f>
        <v/>
      </c>
      <c r="M493">
        <f>AND(E493=0,F493=0,G493=0,H493=0,I493=0,J493=0,K493=0,L493=0)</f>
        <v/>
      </c>
      <c r="N493">
        <f>G493&lt;=$T$6</f>
        <v/>
      </c>
      <c r="O493">
        <f>G493&lt;=$T$12</f>
        <v/>
      </c>
      <c r="P493">
        <f>OR(AND(H493&gt;=$T$4,K493&lt;=$T$5,N493),M493)</f>
        <v/>
      </c>
      <c r="Q493">
        <f>OR(AND(I493&gt;=$T$10,K493&lt;=$T$11,O493),M493)</f>
        <v/>
      </c>
    </row>
    <row r="494">
      <c r="A494">
        <f>Data!E521</f>
        <v/>
      </c>
      <c r="B494">
        <f>Data!G521</f>
        <v/>
      </c>
      <c r="C494">
        <f>Data!H521</f>
        <v/>
      </c>
      <c r="D494">
        <f>Data!I521</f>
        <v/>
      </c>
      <c r="E494">
        <f>Data!M521</f>
        <v/>
      </c>
      <c r="F494">
        <f>Data!O521</f>
        <v/>
      </c>
      <c r="G494">
        <f>E494-F494</f>
        <v/>
      </c>
      <c r="H494">
        <f>Data!P521</f>
        <v/>
      </c>
      <c r="I494">
        <f>G494+H494</f>
        <v/>
      </c>
      <c r="J494">
        <f>F494+G494+H494</f>
        <v/>
      </c>
      <c r="K494">
        <f>Data!R521</f>
        <v/>
      </c>
      <c r="L494">
        <f>Data!T521</f>
        <v/>
      </c>
      <c r="M494">
        <f>AND(E494=0,F494=0,G494=0,H494=0,I494=0,J494=0,K494=0,L494=0)</f>
        <v/>
      </c>
      <c r="N494">
        <f>G494&lt;=$T$6</f>
        <v/>
      </c>
      <c r="O494">
        <f>G494&lt;=$T$12</f>
        <v/>
      </c>
      <c r="P494">
        <f>OR(AND(H494&gt;=$T$4,K494&lt;=$T$5,N494),M494)</f>
        <v/>
      </c>
      <c r="Q494">
        <f>OR(AND(I494&gt;=$T$10,K494&lt;=$T$11,O494),M494)</f>
        <v/>
      </c>
    </row>
    <row r="495">
      <c r="A495">
        <f>Data!E522</f>
        <v/>
      </c>
      <c r="B495">
        <f>Data!G522</f>
        <v/>
      </c>
      <c r="C495">
        <f>Data!H522</f>
        <v/>
      </c>
      <c r="D495">
        <f>Data!I522</f>
        <v/>
      </c>
      <c r="E495">
        <f>Data!M522</f>
        <v/>
      </c>
      <c r="F495">
        <f>Data!O522</f>
        <v/>
      </c>
      <c r="G495">
        <f>E495-F495</f>
        <v/>
      </c>
      <c r="H495">
        <f>Data!P522</f>
        <v/>
      </c>
      <c r="I495">
        <f>G495+H495</f>
        <v/>
      </c>
      <c r="J495">
        <f>F495+G495+H495</f>
        <v/>
      </c>
      <c r="K495">
        <f>Data!R522</f>
        <v/>
      </c>
      <c r="L495">
        <f>Data!T522</f>
        <v/>
      </c>
      <c r="M495">
        <f>AND(E495=0,F495=0,G495=0,H495=0,I495=0,J495=0,K495=0,L495=0)</f>
        <v/>
      </c>
      <c r="N495">
        <f>G495&lt;=$T$6</f>
        <v/>
      </c>
      <c r="O495">
        <f>G495&lt;=$T$12</f>
        <v/>
      </c>
      <c r="P495">
        <f>OR(AND(H495&gt;=$T$4,K495&lt;=$T$5,N495),M495)</f>
        <v/>
      </c>
      <c r="Q495">
        <f>OR(AND(I495&gt;=$T$10,K495&lt;=$T$11,O495),M495)</f>
        <v/>
      </c>
    </row>
    <row r="496">
      <c r="A496">
        <f>Data!E523</f>
        <v/>
      </c>
      <c r="B496">
        <f>Data!G523</f>
        <v/>
      </c>
      <c r="C496">
        <f>Data!H523</f>
        <v/>
      </c>
      <c r="D496">
        <f>Data!I523</f>
        <v/>
      </c>
      <c r="E496">
        <f>Data!M523</f>
        <v/>
      </c>
      <c r="F496">
        <f>Data!O523</f>
        <v/>
      </c>
      <c r="G496">
        <f>E496-F496</f>
        <v/>
      </c>
      <c r="H496">
        <f>Data!P523</f>
        <v/>
      </c>
      <c r="I496">
        <f>G496+H496</f>
        <v/>
      </c>
      <c r="J496">
        <f>F496+G496+H496</f>
        <v/>
      </c>
      <c r="K496">
        <f>Data!R523</f>
        <v/>
      </c>
      <c r="L496">
        <f>Data!T523</f>
        <v/>
      </c>
      <c r="M496">
        <f>AND(E496=0,F496=0,G496=0,H496=0,I496=0,J496=0,K496=0,L496=0)</f>
        <v/>
      </c>
      <c r="N496">
        <f>G496&lt;=$T$6</f>
        <v/>
      </c>
      <c r="O496">
        <f>G496&lt;=$T$12</f>
        <v/>
      </c>
      <c r="P496">
        <f>OR(AND(H496&gt;=$T$4,K496&lt;=$T$5,N496),M496)</f>
        <v/>
      </c>
      <c r="Q496">
        <f>OR(AND(I496&gt;=$T$10,K496&lt;=$T$11,O496),M496)</f>
        <v/>
      </c>
    </row>
    <row r="497">
      <c r="A497">
        <f>Data!E524</f>
        <v/>
      </c>
      <c r="B497">
        <f>Data!G524</f>
        <v/>
      </c>
      <c r="C497">
        <f>Data!H524</f>
        <v/>
      </c>
      <c r="D497">
        <f>Data!I524</f>
        <v/>
      </c>
      <c r="E497">
        <f>Data!M524</f>
        <v/>
      </c>
      <c r="F497">
        <f>Data!O524</f>
        <v/>
      </c>
      <c r="G497">
        <f>E497-F497</f>
        <v/>
      </c>
      <c r="H497">
        <f>Data!P524</f>
        <v/>
      </c>
      <c r="I497">
        <f>G497+H497</f>
        <v/>
      </c>
      <c r="J497">
        <f>F497+G497+H497</f>
        <v/>
      </c>
      <c r="K497">
        <f>Data!R524</f>
        <v/>
      </c>
      <c r="L497">
        <f>Data!T524</f>
        <v/>
      </c>
      <c r="M497">
        <f>AND(E497=0,F497=0,G497=0,H497=0,I497=0,J497=0,K497=0,L497=0)</f>
        <v/>
      </c>
      <c r="N497">
        <f>G497&lt;=$T$6</f>
        <v/>
      </c>
      <c r="O497">
        <f>G497&lt;=$T$12</f>
        <v/>
      </c>
      <c r="P497">
        <f>OR(AND(H497&gt;=$T$4,K497&lt;=$T$5,N497),M497)</f>
        <v/>
      </c>
      <c r="Q497">
        <f>OR(AND(I497&gt;=$T$10,K497&lt;=$T$11,O497),M497)</f>
        <v/>
      </c>
    </row>
    <row r="498">
      <c r="A498">
        <f>Data!E525</f>
        <v/>
      </c>
      <c r="B498">
        <f>Data!G525</f>
        <v/>
      </c>
      <c r="C498">
        <f>Data!H525</f>
        <v/>
      </c>
      <c r="D498">
        <f>Data!I525</f>
        <v/>
      </c>
      <c r="E498">
        <f>Data!M525</f>
        <v/>
      </c>
      <c r="F498">
        <f>Data!O525</f>
        <v/>
      </c>
      <c r="G498">
        <f>E498-F498</f>
        <v/>
      </c>
      <c r="H498">
        <f>Data!P525</f>
        <v/>
      </c>
      <c r="I498">
        <f>G498+H498</f>
        <v/>
      </c>
      <c r="J498">
        <f>F498+G498+H498</f>
        <v/>
      </c>
      <c r="K498">
        <f>Data!R525</f>
        <v/>
      </c>
      <c r="L498">
        <f>Data!T525</f>
        <v/>
      </c>
      <c r="M498">
        <f>AND(E498=0,F498=0,G498=0,H498=0,I498=0,J498=0,K498=0,L498=0)</f>
        <v/>
      </c>
      <c r="N498">
        <f>G498&lt;=$T$6</f>
        <v/>
      </c>
      <c r="O498">
        <f>G498&lt;=$T$12</f>
        <v/>
      </c>
      <c r="P498">
        <f>OR(AND(H498&gt;=$T$4,K498&lt;=$T$5,N498),M498)</f>
        <v/>
      </c>
      <c r="Q498">
        <f>OR(AND(I498&gt;=$T$10,K498&lt;=$T$11,O498),M498)</f>
        <v/>
      </c>
    </row>
    <row r="499">
      <c r="A499">
        <f>Data!E526</f>
        <v/>
      </c>
      <c r="B499">
        <f>Data!G526</f>
        <v/>
      </c>
      <c r="C499">
        <f>Data!H526</f>
        <v/>
      </c>
      <c r="D499">
        <f>Data!I526</f>
        <v/>
      </c>
      <c r="E499">
        <f>Data!M526</f>
        <v/>
      </c>
      <c r="F499">
        <f>Data!O526</f>
        <v/>
      </c>
      <c r="G499">
        <f>E499-F499</f>
        <v/>
      </c>
      <c r="H499">
        <f>Data!P526</f>
        <v/>
      </c>
      <c r="I499">
        <f>G499+H499</f>
        <v/>
      </c>
      <c r="J499">
        <f>F499+G499+H499</f>
        <v/>
      </c>
      <c r="K499">
        <f>Data!R526</f>
        <v/>
      </c>
      <c r="L499">
        <f>Data!T526</f>
        <v/>
      </c>
      <c r="M499">
        <f>AND(E499=0,F499=0,G499=0,H499=0,I499=0,J499=0,K499=0,L499=0)</f>
        <v/>
      </c>
      <c r="N499">
        <f>G499&lt;=$T$6</f>
        <v/>
      </c>
      <c r="O499">
        <f>G499&lt;=$T$12</f>
        <v/>
      </c>
      <c r="P499">
        <f>OR(AND(H499&gt;=$T$4,K499&lt;=$T$5,N499),M499)</f>
        <v/>
      </c>
      <c r="Q499">
        <f>OR(AND(I499&gt;=$T$10,K499&lt;=$T$11,O499),M499)</f>
        <v/>
      </c>
    </row>
    <row r="500">
      <c r="A500">
        <f>Data!E527</f>
        <v/>
      </c>
      <c r="B500">
        <f>Data!G527</f>
        <v/>
      </c>
      <c r="C500">
        <f>Data!H527</f>
        <v/>
      </c>
      <c r="D500">
        <f>Data!I527</f>
        <v/>
      </c>
      <c r="E500">
        <f>Data!M527</f>
        <v/>
      </c>
      <c r="F500">
        <f>Data!O527</f>
        <v/>
      </c>
      <c r="G500">
        <f>E500-F500</f>
        <v/>
      </c>
      <c r="H500">
        <f>Data!P527</f>
        <v/>
      </c>
      <c r="I500">
        <f>G500+H500</f>
        <v/>
      </c>
      <c r="J500">
        <f>F500+G500+H500</f>
        <v/>
      </c>
      <c r="K500">
        <f>Data!R527</f>
        <v/>
      </c>
      <c r="L500">
        <f>Data!T527</f>
        <v/>
      </c>
      <c r="M500">
        <f>AND(E500=0,F500=0,G500=0,H500=0,I500=0,J500=0,K500=0,L500=0)</f>
        <v/>
      </c>
      <c r="N500">
        <f>G500&lt;=$T$6</f>
        <v/>
      </c>
      <c r="O500">
        <f>G500&lt;=$T$12</f>
        <v/>
      </c>
      <c r="P500">
        <f>OR(AND(H500&gt;=$T$4,K500&lt;=$T$5,N500),M500)</f>
        <v/>
      </c>
      <c r="Q500">
        <f>OR(AND(I500&gt;=$T$10,K500&lt;=$T$11,O500),M500)</f>
        <v/>
      </c>
    </row>
    <row r="501">
      <c r="A501">
        <f>Data!E528</f>
        <v/>
      </c>
      <c r="B501">
        <f>Data!G528</f>
        <v/>
      </c>
      <c r="C501">
        <f>Data!H528</f>
        <v/>
      </c>
      <c r="D501">
        <f>Data!I528</f>
        <v/>
      </c>
      <c r="E501">
        <f>Data!M528</f>
        <v/>
      </c>
      <c r="F501">
        <f>Data!O528</f>
        <v/>
      </c>
      <c r="G501">
        <f>E501-F501</f>
        <v/>
      </c>
      <c r="H501">
        <f>Data!P528</f>
        <v/>
      </c>
      <c r="I501">
        <f>G501+H501</f>
        <v/>
      </c>
      <c r="J501">
        <f>F501+G501+H501</f>
        <v/>
      </c>
      <c r="K501">
        <f>Data!R528</f>
        <v/>
      </c>
      <c r="L501">
        <f>Data!T528</f>
        <v/>
      </c>
      <c r="M501">
        <f>AND(E501=0,F501=0,G501=0,H501=0,I501=0,J501=0,K501=0,L501=0)</f>
        <v/>
      </c>
      <c r="N501">
        <f>G501&lt;=$T$6</f>
        <v/>
      </c>
      <c r="O501">
        <f>G501&lt;=$T$12</f>
        <v/>
      </c>
      <c r="P501">
        <f>OR(AND(H501&gt;=$T$4,K501&lt;=$T$5,N501),M501)</f>
        <v/>
      </c>
      <c r="Q501">
        <f>OR(AND(I501&gt;=$T$10,K501&lt;=$T$11,O501),M501)</f>
        <v/>
      </c>
    </row>
    <row r="502">
      <c r="A502">
        <f>Data!E530</f>
        <v/>
      </c>
      <c r="B502">
        <f>Data!G530</f>
        <v/>
      </c>
      <c r="C502">
        <f>Data!H530</f>
        <v/>
      </c>
      <c r="D502">
        <f>Data!I530</f>
        <v/>
      </c>
      <c r="E502">
        <f>Data!M530</f>
        <v/>
      </c>
      <c r="F502">
        <f>Data!O530</f>
        <v/>
      </c>
      <c r="G502">
        <f>E502-F502</f>
        <v/>
      </c>
      <c r="H502">
        <f>Data!P530</f>
        <v/>
      </c>
      <c r="I502">
        <f>G502+H502</f>
        <v/>
      </c>
      <c r="J502">
        <f>F502+G502+H502</f>
        <v/>
      </c>
      <c r="K502">
        <f>Data!R530</f>
        <v/>
      </c>
      <c r="L502">
        <f>Data!T530</f>
        <v/>
      </c>
      <c r="M502">
        <f>AND(E502=0,F502=0,G502=0,H502=0,I502=0,J502=0,K502=0,L502=0)</f>
        <v/>
      </c>
      <c r="N502">
        <f>G502&lt;=$T$6</f>
        <v/>
      </c>
      <c r="O502">
        <f>G502&lt;=$T$12</f>
        <v/>
      </c>
      <c r="P502">
        <f>OR(AND(H502&gt;=$T$4,K502&lt;=$T$5,N502),M502)</f>
        <v/>
      </c>
      <c r="Q502">
        <f>OR(AND(I502&gt;=$T$10,K502&lt;=$T$11,O502),M502)</f>
        <v/>
      </c>
    </row>
    <row r="503">
      <c r="A503">
        <f>Data!E531</f>
        <v/>
      </c>
      <c r="B503">
        <f>Data!G531</f>
        <v/>
      </c>
      <c r="C503">
        <f>Data!H531</f>
        <v/>
      </c>
      <c r="D503">
        <f>Data!I531</f>
        <v/>
      </c>
      <c r="E503">
        <f>Data!M531</f>
        <v/>
      </c>
      <c r="F503">
        <f>Data!O531</f>
        <v/>
      </c>
      <c r="G503">
        <f>E503-F503</f>
        <v/>
      </c>
      <c r="H503">
        <f>Data!P531</f>
        <v/>
      </c>
      <c r="I503">
        <f>G503+H503</f>
        <v/>
      </c>
      <c r="J503">
        <f>F503+G503+H503</f>
        <v/>
      </c>
      <c r="K503">
        <f>Data!R531</f>
        <v/>
      </c>
      <c r="L503">
        <f>Data!T531</f>
        <v/>
      </c>
      <c r="M503">
        <f>AND(E503=0,F503=0,G503=0,H503=0,I503=0,J503=0,K503=0,L503=0)</f>
        <v/>
      </c>
      <c r="N503">
        <f>G503&lt;=$T$6</f>
        <v/>
      </c>
      <c r="O503">
        <f>G503&lt;=$T$12</f>
        <v/>
      </c>
      <c r="P503">
        <f>OR(AND(H503&gt;=$T$4,K503&lt;=$T$5,N503),M503)</f>
        <v/>
      </c>
      <c r="Q503">
        <f>OR(AND(I503&gt;=$T$10,K503&lt;=$T$11,O503),M503)</f>
        <v/>
      </c>
    </row>
    <row r="504">
      <c r="A504">
        <f>Data!E532</f>
        <v/>
      </c>
      <c r="B504">
        <f>Data!G532</f>
        <v/>
      </c>
      <c r="C504">
        <f>Data!H532</f>
        <v/>
      </c>
      <c r="D504">
        <f>Data!I532</f>
        <v/>
      </c>
      <c r="E504">
        <f>Data!M532</f>
        <v/>
      </c>
      <c r="F504">
        <f>Data!O532</f>
        <v/>
      </c>
      <c r="G504">
        <f>E504-F504</f>
        <v/>
      </c>
      <c r="H504">
        <f>Data!P532</f>
        <v/>
      </c>
      <c r="I504">
        <f>G504+H504</f>
        <v/>
      </c>
      <c r="J504">
        <f>F504+G504+H504</f>
        <v/>
      </c>
      <c r="K504">
        <f>Data!R532</f>
        <v/>
      </c>
      <c r="L504">
        <f>Data!T532</f>
        <v/>
      </c>
      <c r="M504">
        <f>AND(E504=0,F504=0,G504=0,H504=0,I504=0,J504=0,K504=0,L504=0)</f>
        <v/>
      </c>
      <c r="N504">
        <f>G504&lt;=$T$6</f>
        <v/>
      </c>
      <c r="O504">
        <f>G504&lt;=$T$12</f>
        <v/>
      </c>
      <c r="P504">
        <f>OR(AND(H504&gt;=$T$4,K504&lt;=$T$5,N504),M504)</f>
        <v/>
      </c>
      <c r="Q504">
        <f>OR(AND(I504&gt;=$T$10,K504&lt;=$T$11,O504),M504)</f>
        <v/>
      </c>
    </row>
    <row r="505">
      <c r="A505">
        <f>Data!E533</f>
        <v/>
      </c>
      <c r="B505">
        <f>Data!G533</f>
        <v/>
      </c>
      <c r="C505">
        <f>Data!H533</f>
        <v/>
      </c>
      <c r="D505">
        <f>Data!I533</f>
        <v/>
      </c>
      <c r="E505">
        <f>Data!M533</f>
        <v/>
      </c>
      <c r="F505">
        <f>Data!O533</f>
        <v/>
      </c>
      <c r="G505">
        <f>E505-F505</f>
        <v/>
      </c>
      <c r="H505">
        <f>Data!P533</f>
        <v/>
      </c>
      <c r="I505">
        <f>G505+H505</f>
        <v/>
      </c>
      <c r="J505">
        <f>F505+G505+H505</f>
        <v/>
      </c>
      <c r="K505">
        <f>Data!R533</f>
        <v/>
      </c>
      <c r="L505">
        <f>Data!T533</f>
        <v/>
      </c>
      <c r="M505">
        <f>AND(E505=0,F505=0,G505=0,H505=0,I505=0,J505=0,K505=0,L505=0)</f>
        <v/>
      </c>
      <c r="N505">
        <f>G505&lt;=$T$6</f>
        <v/>
      </c>
      <c r="O505">
        <f>G505&lt;=$T$12</f>
        <v/>
      </c>
      <c r="P505">
        <f>OR(AND(H505&gt;=$T$4,K505&lt;=$T$5,N505),M505)</f>
        <v/>
      </c>
      <c r="Q505">
        <f>OR(AND(I505&gt;=$T$10,K505&lt;=$T$11,O505),M505)</f>
        <v/>
      </c>
    </row>
    <row r="506">
      <c r="A506">
        <f>Data!E534</f>
        <v/>
      </c>
      <c r="B506">
        <f>Data!G534</f>
        <v/>
      </c>
      <c r="C506">
        <f>Data!H534</f>
        <v/>
      </c>
      <c r="D506">
        <f>Data!I534</f>
        <v/>
      </c>
      <c r="E506">
        <f>Data!M534</f>
        <v/>
      </c>
      <c r="F506">
        <f>Data!O534</f>
        <v/>
      </c>
      <c r="G506">
        <f>E506-F506</f>
        <v/>
      </c>
      <c r="H506">
        <f>Data!P534</f>
        <v/>
      </c>
      <c r="I506">
        <f>G506+H506</f>
        <v/>
      </c>
      <c r="J506">
        <f>F506+G506+H506</f>
        <v/>
      </c>
      <c r="K506">
        <f>Data!R534</f>
        <v/>
      </c>
      <c r="L506">
        <f>Data!T534</f>
        <v/>
      </c>
      <c r="M506">
        <f>AND(E506=0,F506=0,G506=0,H506=0,I506=0,J506=0,K506=0,L506=0)</f>
        <v/>
      </c>
      <c r="N506">
        <f>G506&lt;=$T$6</f>
        <v/>
      </c>
      <c r="O506">
        <f>G506&lt;=$T$12</f>
        <v/>
      </c>
      <c r="P506">
        <f>OR(AND(H506&gt;=$T$4,K506&lt;=$T$5,N506),M506)</f>
        <v/>
      </c>
      <c r="Q506">
        <f>OR(AND(I506&gt;=$T$10,K506&lt;=$T$11,O506),M506)</f>
        <v/>
      </c>
    </row>
    <row r="507">
      <c r="A507">
        <f>Data!E535</f>
        <v/>
      </c>
      <c r="B507">
        <f>Data!G535</f>
        <v/>
      </c>
      <c r="C507">
        <f>Data!H535</f>
        <v/>
      </c>
      <c r="D507">
        <f>Data!I535</f>
        <v/>
      </c>
      <c r="E507">
        <f>Data!M535</f>
        <v/>
      </c>
      <c r="F507">
        <f>Data!O535</f>
        <v/>
      </c>
      <c r="G507">
        <f>E507-F507</f>
        <v/>
      </c>
      <c r="H507">
        <f>Data!P535</f>
        <v/>
      </c>
      <c r="I507">
        <f>G507+H507</f>
        <v/>
      </c>
      <c r="J507">
        <f>F507+G507+H507</f>
        <v/>
      </c>
      <c r="K507">
        <f>Data!R535</f>
        <v/>
      </c>
      <c r="L507">
        <f>Data!T535</f>
        <v/>
      </c>
      <c r="M507">
        <f>AND(E507=0,F507=0,G507=0,H507=0,I507=0,J507=0,K507=0,L507=0)</f>
        <v/>
      </c>
      <c r="N507">
        <f>G507&lt;=$T$6</f>
        <v/>
      </c>
      <c r="O507">
        <f>G507&lt;=$T$12</f>
        <v/>
      </c>
      <c r="P507">
        <f>OR(AND(H507&gt;=$T$4,K507&lt;=$T$5,N507),M507)</f>
        <v/>
      </c>
      <c r="Q507">
        <f>OR(AND(I507&gt;=$T$10,K507&lt;=$T$11,O507),M507)</f>
        <v/>
      </c>
    </row>
    <row r="508">
      <c r="A508">
        <f>Data!E536</f>
        <v/>
      </c>
      <c r="B508">
        <f>Data!G536</f>
        <v/>
      </c>
      <c r="C508">
        <f>Data!H536</f>
        <v/>
      </c>
      <c r="D508">
        <f>Data!I536</f>
        <v/>
      </c>
      <c r="E508">
        <f>Data!M536</f>
        <v/>
      </c>
      <c r="F508">
        <f>Data!O536</f>
        <v/>
      </c>
      <c r="G508">
        <f>E508-F508</f>
        <v/>
      </c>
      <c r="H508">
        <f>Data!P536</f>
        <v/>
      </c>
      <c r="I508">
        <f>G508+H508</f>
        <v/>
      </c>
      <c r="J508">
        <f>F508+G508+H508</f>
        <v/>
      </c>
      <c r="K508">
        <f>Data!R536</f>
        <v/>
      </c>
      <c r="L508">
        <f>Data!T536</f>
        <v/>
      </c>
      <c r="M508">
        <f>AND(E508=0,F508=0,G508=0,H508=0,I508=0,J508=0,K508=0,L508=0)</f>
        <v/>
      </c>
      <c r="N508">
        <f>G508&lt;=$T$6</f>
        <v/>
      </c>
      <c r="O508">
        <f>G508&lt;=$T$12</f>
        <v/>
      </c>
      <c r="P508">
        <f>OR(AND(H508&gt;=$T$4,K508&lt;=$T$5,N508),M508)</f>
        <v/>
      </c>
      <c r="Q508">
        <f>OR(AND(I508&gt;=$T$10,K508&lt;=$T$11,O508),M508)</f>
        <v/>
      </c>
    </row>
    <row r="509">
      <c r="A509">
        <f>Data!E537</f>
        <v/>
      </c>
      <c r="B509">
        <f>Data!G537</f>
        <v/>
      </c>
      <c r="C509">
        <f>Data!H537</f>
        <v/>
      </c>
      <c r="D509">
        <f>Data!I537</f>
        <v/>
      </c>
      <c r="E509">
        <f>Data!M537</f>
        <v/>
      </c>
      <c r="F509">
        <f>Data!O537</f>
        <v/>
      </c>
      <c r="G509">
        <f>E509-F509</f>
        <v/>
      </c>
      <c r="H509">
        <f>Data!P537</f>
        <v/>
      </c>
      <c r="I509">
        <f>G509+H509</f>
        <v/>
      </c>
      <c r="J509">
        <f>F509+G509+H509</f>
        <v/>
      </c>
      <c r="K509">
        <f>Data!R537</f>
        <v/>
      </c>
      <c r="L509">
        <f>Data!T537</f>
        <v/>
      </c>
      <c r="M509">
        <f>AND(E509=0,F509=0,G509=0,H509=0,I509=0,J509=0,K509=0,L509=0)</f>
        <v/>
      </c>
      <c r="N509">
        <f>G509&lt;=$T$6</f>
        <v/>
      </c>
      <c r="O509">
        <f>G509&lt;=$T$12</f>
        <v/>
      </c>
      <c r="P509">
        <f>OR(AND(H509&gt;=$T$4,K509&lt;=$T$5,N509),M509)</f>
        <v/>
      </c>
      <c r="Q509">
        <f>OR(AND(I509&gt;=$T$10,K509&lt;=$T$11,O509),M509)</f>
        <v/>
      </c>
    </row>
    <row r="510">
      <c r="A510">
        <f>Data!E538</f>
        <v/>
      </c>
      <c r="B510">
        <f>Data!G538</f>
        <v/>
      </c>
      <c r="C510">
        <f>Data!H538</f>
        <v/>
      </c>
      <c r="D510">
        <f>Data!I538</f>
        <v/>
      </c>
      <c r="E510">
        <f>Data!M538</f>
        <v/>
      </c>
      <c r="F510">
        <f>Data!O538</f>
        <v/>
      </c>
      <c r="G510">
        <f>E510-F510</f>
        <v/>
      </c>
      <c r="H510">
        <f>Data!P538</f>
        <v/>
      </c>
      <c r="I510">
        <f>G510+H510</f>
        <v/>
      </c>
      <c r="J510">
        <f>F510+G510+H510</f>
        <v/>
      </c>
      <c r="K510">
        <f>Data!R538</f>
        <v/>
      </c>
      <c r="L510">
        <f>Data!T538</f>
        <v/>
      </c>
      <c r="M510">
        <f>AND(E510=0,F510=0,G510=0,H510=0,I510=0,J510=0,K510=0,L510=0)</f>
        <v/>
      </c>
      <c r="N510">
        <f>G510&lt;=$T$6</f>
        <v/>
      </c>
      <c r="O510">
        <f>G510&lt;=$T$12</f>
        <v/>
      </c>
      <c r="P510">
        <f>OR(AND(H510&gt;=$T$4,K510&lt;=$T$5,N510),M510)</f>
        <v/>
      </c>
      <c r="Q510">
        <f>OR(AND(I510&gt;=$T$10,K510&lt;=$T$11,O510),M510)</f>
        <v/>
      </c>
    </row>
    <row r="511">
      <c r="A511">
        <f>Data!E539</f>
        <v/>
      </c>
      <c r="B511">
        <f>Data!G539</f>
        <v/>
      </c>
      <c r="C511">
        <f>Data!H539</f>
        <v/>
      </c>
      <c r="D511">
        <f>Data!I539</f>
        <v/>
      </c>
      <c r="E511">
        <f>Data!M539</f>
        <v/>
      </c>
      <c r="F511">
        <f>Data!O539</f>
        <v/>
      </c>
      <c r="G511">
        <f>E511-F511</f>
        <v/>
      </c>
      <c r="H511">
        <f>Data!P539</f>
        <v/>
      </c>
      <c r="I511">
        <f>G511+H511</f>
        <v/>
      </c>
      <c r="J511">
        <f>F511+G511+H511</f>
        <v/>
      </c>
      <c r="K511">
        <f>Data!R539</f>
        <v/>
      </c>
      <c r="L511">
        <f>Data!T539</f>
        <v/>
      </c>
      <c r="M511">
        <f>AND(E511=0,F511=0,G511=0,H511=0,I511=0,J511=0,K511=0,L511=0)</f>
        <v/>
      </c>
      <c r="N511">
        <f>G511&lt;=$T$6</f>
        <v/>
      </c>
      <c r="O511">
        <f>G511&lt;=$T$12</f>
        <v/>
      </c>
      <c r="P511">
        <f>OR(AND(H511&gt;=$T$4,K511&lt;=$T$5,N511),M511)</f>
        <v/>
      </c>
      <c r="Q511">
        <f>OR(AND(I511&gt;=$T$10,K511&lt;=$T$11,O511),M511)</f>
        <v/>
      </c>
    </row>
    <row r="512">
      <c r="A512">
        <f>Data!E540</f>
        <v/>
      </c>
      <c r="B512">
        <f>Data!G540</f>
        <v/>
      </c>
      <c r="C512">
        <f>Data!H540</f>
        <v/>
      </c>
      <c r="D512">
        <f>Data!I540</f>
        <v/>
      </c>
      <c r="E512">
        <f>Data!M540</f>
        <v/>
      </c>
      <c r="F512">
        <f>Data!O540</f>
        <v/>
      </c>
      <c r="G512">
        <f>E512-F512</f>
        <v/>
      </c>
      <c r="H512">
        <f>Data!P540</f>
        <v/>
      </c>
      <c r="I512">
        <f>G512+H512</f>
        <v/>
      </c>
      <c r="J512">
        <f>F512+G512+H512</f>
        <v/>
      </c>
      <c r="K512">
        <f>Data!R540</f>
        <v/>
      </c>
      <c r="L512">
        <f>Data!T540</f>
        <v/>
      </c>
      <c r="M512">
        <f>AND(E512=0,F512=0,G512=0,H512=0,I512=0,J512=0,K512=0,L512=0)</f>
        <v/>
      </c>
      <c r="N512">
        <f>G512&lt;=$T$6</f>
        <v/>
      </c>
      <c r="O512">
        <f>G512&lt;=$T$12</f>
        <v/>
      </c>
      <c r="P512">
        <f>OR(AND(H512&gt;=$T$4,K512&lt;=$T$5,N512),M512)</f>
        <v/>
      </c>
      <c r="Q512">
        <f>OR(AND(I512&gt;=$T$10,K512&lt;=$T$11,O512),M512)</f>
        <v/>
      </c>
    </row>
    <row r="513">
      <c r="A513">
        <f>Data!E541</f>
        <v/>
      </c>
      <c r="B513">
        <f>Data!G541</f>
        <v/>
      </c>
      <c r="C513">
        <f>Data!H541</f>
        <v/>
      </c>
      <c r="D513">
        <f>Data!I541</f>
        <v/>
      </c>
      <c r="E513">
        <f>Data!M541</f>
        <v/>
      </c>
      <c r="F513">
        <f>Data!O541</f>
        <v/>
      </c>
      <c r="G513">
        <f>E513-F513</f>
        <v/>
      </c>
      <c r="H513">
        <f>Data!P541</f>
        <v/>
      </c>
      <c r="I513">
        <f>G513+H513</f>
        <v/>
      </c>
      <c r="J513">
        <f>F513+G513+H513</f>
        <v/>
      </c>
      <c r="K513">
        <f>Data!R541</f>
        <v/>
      </c>
      <c r="L513">
        <f>Data!T541</f>
        <v/>
      </c>
      <c r="M513">
        <f>AND(E513=0,F513=0,G513=0,H513=0,I513=0,J513=0,K513=0,L513=0)</f>
        <v/>
      </c>
      <c r="N513">
        <f>G513&lt;=$T$6</f>
        <v/>
      </c>
      <c r="O513">
        <f>G513&lt;=$T$12</f>
        <v/>
      </c>
      <c r="P513">
        <f>OR(AND(H513&gt;=$T$4,K513&lt;=$T$5,N513),M513)</f>
        <v/>
      </c>
      <c r="Q513">
        <f>OR(AND(I513&gt;=$T$10,K513&lt;=$T$11,O513),M513)</f>
        <v/>
      </c>
    </row>
    <row r="514">
      <c r="A514">
        <f>Data!E542</f>
        <v/>
      </c>
      <c r="B514">
        <f>Data!G542</f>
        <v/>
      </c>
      <c r="C514">
        <f>Data!H542</f>
        <v/>
      </c>
      <c r="D514">
        <f>Data!I542</f>
        <v/>
      </c>
      <c r="E514">
        <f>Data!M542</f>
        <v/>
      </c>
      <c r="F514">
        <f>Data!O542</f>
        <v/>
      </c>
      <c r="G514">
        <f>E514-F514</f>
        <v/>
      </c>
      <c r="H514">
        <f>Data!P542</f>
        <v/>
      </c>
      <c r="I514">
        <f>G514+H514</f>
        <v/>
      </c>
      <c r="J514">
        <f>F514+G514+H514</f>
        <v/>
      </c>
      <c r="K514">
        <f>Data!R542</f>
        <v/>
      </c>
      <c r="L514">
        <f>Data!T542</f>
        <v/>
      </c>
      <c r="M514">
        <f>AND(E514=0,F514=0,G514=0,H514=0,I514=0,J514=0,K514=0,L514=0)</f>
        <v/>
      </c>
      <c r="N514">
        <f>G514&lt;=$T$6</f>
        <v/>
      </c>
      <c r="O514">
        <f>G514&lt;=$T$12</f>
        <v/>
      </c>
      <c r="P514">
        <f>OR(AND(H514&gt;=$T$4,K514&lt;=$T$5,N514),M514)</f>
        <v/>
      </c>
      <c r="Q514">
        <f>OR(AND(I514&gt;=$T$10,K514&lt;=$T$11,O514),M514)</f>
        <v/>
      </c>
    </row>
    <row r="515">
      <c r="A515">
        <f>Data!E543</f>
        <v/>
      </c>
      <c r="B515">
        <f>Data!G543</f>
        <v/>
      </c>
      <c r="C515">
        <f>Data!H543</f>
        <v/>
      </c>
      <c r="D515">
        <f>Data!I543</f>
        <v/>
      </c>
      <c r="E515">
        <f>Data!M543</f>
        <v/>
      </c>
      <c r="F515">
        <f>Data!O543</f>
        <v/>
      </c>
      <c r="G515">
        <f>E515-F515</f>
        <v/>
      </c>
      <c r="H515">
        <f>Data!P543</f>
        <v/>
      </c>
      <c r="I515">
        <f>G515+H515</f>
        <v/>
      </c>
      <c r="J515">
        <f>F515+G515+H515</f>
        <v/>
      </c>
      <c r="K515">
        <f>Data!R543</f>
        <v/>
      </c>
      <c r="L515">
        <f>Data!T543</f>
        <v/>
      </c>
      <c r="M515">
        <f>AND(E515=0,F515=0,G515=0,H515=0,I515=0,J515=0,K515=0,L515=0)</f>
        <v/>
      </c>
      <c r="N515">
        <f>G515&lt;=$T$6</f>
        <v/>
      </c>
      <c r="O515">
        <f>G515&lt;=$T$12</f>
        <v/>
      </c>
      <c r="P515">
        <f>OR(AND(H515&gt;=$T$4,K515&lt;=$T$5,N515),M515)</f>
        <v/>
      </c>
      <c r="Q515">
        <f>OR(AND(I515&gt;=$T$10,K515&lt;=$T$11,O515),M515)</f>
        <v/>
      </c>
    </row>
    <row r="516">
      <c r="A516">
        <f>Data!E544</f>
        <v/>
      </c>
      <c r="B516">
        <f>Data!G544</f>
        <v/>
      </c>
      <c r="C516">
        <f>Data!H544</f>
        <v/>
      </c>
      <c r="D516">
        <f>Data!I544</f>
        <v/>
      </c>
      <c r="E516">
        <f>Data!M544</f>
        <v/>
      </c>
      <c r="F516">
        <f>Data!O544</f>
        <v/>
      </c>
      <c r="G516">
        <f>E516-F516</f>
        <v/>
      </c>
      <c r="H516">
        <f>Data!P544</f>
        <v/>
      </c>
      <c r="I516">
        <f>G516+H516</f>
        <v/>
      </c>
      <c r="J516">
        <f>F516+G516+H516</f>
        <v/>
      </c>
      <c r="K516">
        <f>Data!R544</f>
        <v/>
      </c>
      <c r="L516">
        <f>Data!T544</f>
        <v/>
      </c>
      <c r="M516">
        <f>AND(E516=0,F516=0,G516=0,H516=0,I516=0,J516=0,K516=0,L516=0)</f>
        <v/>
      </c>
      <c r="N516">
        <f>G516&lt;=$T$6</f>
        <v/>
      </c>
      <c r="O516">
        <f>G516&lt;=$T$12</f>
        <v/>
      </c>
      <c r="P516">
        <f>OR(AND(H516&gt;=$T$4,K516&lt;=$T$5,N516),M516)</f>
        <v/>
      </c>
      <c r="Q516">
        <f>OR(AND(I516&gt;=$T$10,K516&lt;=$T$11,O516),M516)</f>
        <v/>
      </c>
    </row>
    <row r="517">
      <c r="A517">
        <f>Data!E545</f>
        <v/>
      </c>
      <c r="B517">
        <f>Data!G545</f>
        <v/>
      </c>
      <c r="C517">
        <f>Data!H545</f>
        <v/>
      </c>
      <c r="D517">
        <f>Data!I545</f>
        <v/>
      </c>
      <c r="E517">
        <f>Data!M545</f>
        <v/>
      </c>
      <c r="F517">
        <f>Data!O545</f>
        <v/>
      </c>
      <c r="G517">
        <f>E517-F517</f>
        <v/>
      </c>
      <c r="H517">
        <f>Data!P545</f>
        <v/>
      </c>
      <c r="I517">
        <f>G517+H517</f>
        <v/>
      </c>
      <c r="J517">
        <f>F517+G517+H517</f>
        <v/>
      </c>
      <c r="K517">
        <f>Data!R545</f>
        <v/>
      </c>
      <c r="L517">
        <f>Data!T545</f>
        <v/>
      </c>
      <c r="M517">
        <f>AND(E517=0,F517=0,G517=0,H517=0,I517=0,J517=0,K517=0,L517=0)</f>
        <v/>
      </c>
      <c r="N517">
        <f>G517&lt;=$T$6</f>
        <v/>
      </c>
      <c r="O517">
        <f>G517&lt;=$T$12</f>
        <v/>
      </c>
      <c r="P517">
        <f>OR(AND(H517&gt;=$T$4,K517&lt;=$T$5,N517),M517)</f>
        <v/>
      </c>
      <c r="Q517">
        <f>OR(AND(I517&gt;=$T$10,K517&lt;=$T$11,O517),M517)</f>
        <v/>
      </c>
    </row>
    <row r="518">
      <c r="A518">
        <f>Data!E546</f>
        <v/>
      </c>
      <c r="B518">
        <f>Data!G546</f>
        <v/>
      </c>
      <c r="C518">
        <f>Data!H546</f>
        <v/>
      </c>
      <c r="D518">
        <f>Data!I546</f>
        <v/>
      </c>
      <c r="E518">
        <f>Data!M546</f>
        <v/>
      </c>
      <c r="F518">
        <f>Data!O546</f>
        <v/>
      </c>
      <c r="G518">
        <f>E518-F518</f>
        <v/>
      </c>
      <c r="H518">
        <f>Data!P546</f>
        <v/>
      </c>
      <c r="I518">
        <f>G518+H518</f>
        <v/>
      </c>
      <c r="J518">
        <f>F518+G518+H518</f>
        <v/>
      </c>
      <c r="K518">
        <f>Data!R546</f>
        <v/>
      </c>
      <c r="L518">
        <f>Data!T546</f>
        <v/>
      </c>
      <c r="M518">
        <f>AND(E518=0,F518=0,G518=0,H518=0,I518=0,J518=0,K518=0,L518=0)</f>
        <v/>
      </c>
      <c r="N518">
        <f>G518&lt;=$T$6</f>
        <v/>
      </c>
      <c r="O518">
        <f>G518&lt;=$T$12</f>
        <v/>
      </c>
      <c r="P518">
        <f>OR(AND(H518&gt;=$T$4,K518&lt;=$T$5,N518),M518)</f>
        <v/>
      </c>
      <c r="Q518">
        <f>OR(AND(I518&gt;=$T$10,K518&lt;=$T$11,O518),M518)</f>
        <v/>
      </c>
    </row>
    <row r="519">
      <c r="A519">
        <f>Data!E547</f>
        <v/>
      </c>
      <c r="B519">
        <f>Data!G547</f>
        <v/>
      </c>
      <c r="C519">
        <f>Data!H547</f>
        <v/>
      </c>
      <c r="D519">
        <f>Data!I547</f>
        <v/>
      </c>
      <c r="E519">
        <f>Data!M547</f>
        <v/>
      </c>
      <c r="F519">
        <f>Data!O547</f>
        <v/>
      </c>
      <c r="G519">
        <f>E519-F519</f>
        <v/>
      </c>
      <c r="H519">
        <f>Data!P547</f>
        <v/>
      </c>
      <c r="I519">
        <f>G519+H519</f>
        <v/>
      </c>
      <c r="J519">
        <f>F519+G519+H519</f>
        <v/>
      </c>
      <c r="K519">
        <f>Data!R547</f>
        <v/>
      </c>
      <c r="L519">
        <f>Data!T547</f>
        <v/>
      </c>
      <c r="M519">
        <f>AND(E519=0,F519=0,G519=0,H519=0,I519=0,J519=0,K519=0,L519=0)</f>
        <v/>
      </c>
      <c r="N519">
        <f>G519&lt;=$T$6</f>
        <v/>
      </c>
      <c r="O519">
        <f>G519&lt;=$T$12</f>
        <v/>
      </c>
      <c r="P519">
        <f>OR(AND(H519&gt;=$T$4,K519&lt;=$T$5,N519),M519)</f>
        <v/>
      </c>
      <c r="Q519">
        <f>OR(AND(I519&gt;=$T$10,K519&lt;=$T$11,O519),M519)</f>
        <v/>
      </c>
    </row>
    <row r="520">
      <c r="A520">
        <f>Data!E548</f>
        <v/>
      </c>
      <c r="B520">
        <f>Data!G548</f>
        <v/>
      </c>
      <c r="C520">
        <f>Data!H548</f>
        <v/>
      </c>
      <c r="D520">
        <f>Data!I548</f>
        <v/>
      </c>
      <c r="E520">
        <f>Data!M548</f>
        <v/>
      </c>
      <c r="F520">
        <f>Data!O548</f>
        <v/>
      </c>
      <c r="G520">
        <f>E520-F520</f>
        <v/>
      </c>
      <c r="H520">
        <f>Data!P548</f>
        <v/>
      </c>
      <c r="I520">
        <f>G520+H520</f>
        <v/>
      </c>
      <c r="J520">
        <f>F520+G520+H520</f>
        <v/>
      </c>
      <c r="K520">
        <f>Data!R548</f>
        <v/>
      </c>
      <c r="L520">
        <f>Data!T548</f>
        <v/>
      </c>
      <c r="M520">
        <f>AND(E520=0,F520=0,G520=0,H520=0,I520=0,J520=0,K520=0,L520=0)</f>
        <v/>
      </c>
      <c r="N520">
        <f>G520&lt;=$T$6</f>
        <v/>
      </c>
      <c r="O520">
        <f>G520&lt;=$T$12</f>
        <v/>
      </c>
      <c r="P520">
        <f>OR(AND(H520&gt;=$T$4,K520&lt;=$T$5,N520),M520)</f>
        <v/>
      </c>
      <c r="Q520">
        <f>OR(AND(I520&gt;=$T$10,K520&lt;=$T$11,O520),M520)</f>
        <v/>
      </c>
    </row>
    <row r="521">
      <c r="A521">
        <f>Data!E550</f>
        <v/>
      </c>
      <c r="B521">
        <f>Data!G550</f>
        <v/>
      </c>
      <c r="C521">
        <f>Data!H550</f>
        <v/>
      </c>
      <c r="D521">
        <f>Data!I550</f>
        <v/>
      </c>
      <c r="E521">
        <f>Data!M550</f>
        <v/>
      </c>
      <c r="F521">
        <f>Data!O550</f>
        <v/>
      </c>
      <c r="G521">
        <f>E521-F521</f>
        <v/>
      </c>
      <c r="H521">
        <f>Data!P550</f>
        <v/>
      </c>
      <c r="I521">
        <f>G521+H521</f>
        <v/>
      </c>
      <c r="J521">
        <f>F521+G521+H521</f>
        <v/>
      </c>
      <c r="K521">
        <f>Data!R550</f>
        <v/>
      </c>
      <c r="L521">
        <f>Data!T550</f>
        <v/>
      </c>
      <c r="M521">
        <f>AND(E521=0,F521=0,G521=0,H521=0,I521=0,J521=0,K521=0,L521=0)</f>
        <v/>
      </c>
      <c r="N521">
        <f>G521&lt;=$T$6</f>
        <v/>
      </c>
      <c r="O521">
        <f>G521&lt;=$T$12</f>
        <v/>
      </c>
      <c r="P521">
        <f>OR(AND(H521&gt;=$T$4,K521&lt;=$T$5,N521),M521)</f>
        <v/>
      </c>
      <c r="Q521">
        <f>OR(AND(I521&gt;=$T$10,K521&lt;=$T$11,O521),M521)</f>
        <v/>
      </c>
    </row>
    <row r="522">
      <c r="A522">
        <f>Data!E551</f>
        <v/>
      </c>
      <c r="B522">
        <f>Data!G551</f>
        <v/>
      </c>
      <c r="C522">
        <f>Data!H551</f>
        <v/>
      </c>
      <c r="D522">
        <f>Data!I551</f>
        <v/>
      </c>
      <c r="E522">
        <f>Data!M551</f>
        <v/>
      </c>
      <c r="F522">
        <f>Data!O551</f>
        <v/>
      </c>
      <c r="G522">
        <f>E522-F522</f>
        <v/>
      </c>
      <c r="H522">
        <f>Data!P551</f>
        <v/>
      </c>
      <c r="I522">
        <f>G522+H522</f>
        <v/>
      </c>
      <c r="J522">
        <f>F522+G522+H522</f>
        <v/>
      </c>
      <c r="K522">
        <f>Data!R551</f>
        <v/>
      </c>
      <c r="L522">
        <f>Data!T551</f>
        <v/>
      </c>
      <c r="M522">
        <f>AND(E522=0,F522=0,G522=0,H522=0,I522=0,J522=0,K522=0,L522=0)</f>
        <v/>
      </c>
      <c r="N522">
        <f>G522&lt;=$T$6</f>
        <v/>
      </c>
      <c r="O522">
        <f>G522&lt;=$T$12</f>
        <v/>
      </c>
      <c r="P522">
        <f>OR(AND(H522&gt;=$T$4,K522&lt;=$T$5,N522),M522)</f>
        <v/>
      </c>
      <c r="Q522">
        <f>OR(AND(I522&gt;=$T$10,K522&lt;=$T$11,O522),M522)</f>
        <v/>
      </c>
    </row>
    <row r="523">
      <c r="A523">
        <f>Data!E552</f>
        <v/>
      </c>
      <c r="B523">
        <f>Data!G552</f>
        <v/>
      </c>
      <c r="C523">
        <f>Data!H552</f>
        <v/>
      </c>
      <c r="D523">
        <f>Data!I552</f>
        <v/>
      </c>
      <c r="E523">
        <f>Data!M552</f>
        <v/>
      </c>
      <c r="F523">
        <f>Data!O552</f>
        <v/>
      </c>
      <c r="G523">
        <f>E523-F523</f>
        <v/>
      </c>
      <c r="H523">
        <f>Data!P552</f>
        <v/>
      </c>
      <c r="I523">
        <f>G523+H523</f>
        <v/>
      </c>
      <c r="J523">
        <f>F523+G523+H523</f>
        <v/>
      </c>
      <c r="K523">
        <f>Data!R552</f>
        <v/>
      </c>
      <c r="L523">
        <f>Data!T552</f>
        <v/>
      </c>
      <c r="M523">
        <f>AND(E523=0,F523=0,G523=0,H523=0,I523=0,J523=0,K523=0,L523=0)</f>
        <v/>
      </c>
      <c r="N523">
        <f>G523&lt;=$T$6</f>
        <v/>
      </c>
      <c r="O523">
        <f>G523&lt;=$T$12</f>
        <v/>
      </c>
      <c r="P523">
        <f>OR(AND(H523&gt;=$T$4,K523&lt;=$T$5,N523),M523)</f>
        <v/>
      </c>
      <c r="Q523">
        <f>OR(AND(I523&gt;=$T$10,K523&lt;=$T$11,O523),M523)</f>
        <v/>
      </c>
    </row>
    <row r="524">
      <c r="A524">
        <f>Data!E553</f>
        <v/>
      </c>
      <c r="B524">
        <f>Data!G553</f>
        <v/>
      </c>
      <c r="C524">
        <f>Data!H553</f>
        <v/>
      </c>
      <c r="D524">
        <f>Data!I553</f>
        <v/>
      </c>
      <c r="E524">
        <f>Data!M553</f>
        <v/>
      </c>
      <c r="F524">
        <f>Data!O553</f>
        <v/>
      </c>
      <c r="G524">
        <f>E524-F524</f>
        <v/>
      </c>
      <c r="H524">
        <f>Data!P553</f>
        <v/>
      </c>
      <c r="I524">
        <f>G524+H524</f>
        <v/>
      </c>
      <c r="J524">
        <f>F524+G524+H524</f>
        <v/>
      </c>
      <c r="K524">
        <f>Data!R553</f>
        <v/>
      </c>
      <c r="L524">
        <f>Data!T553</f>
        <v/>
      </c>
      <c r="M524">
        <f>AND(E524=0,F524=0,G524=0,H524=0,I524=0,J524=0,K524=0,L524=0)</f>
        <v/>
      </c>
      <c r="N524">
        <f>G524&lt;=$T$6</f>
        <v/>
      </c>
      <c r="O524">
        <f>G524&lt;=$T$12</f>
        <v/>
      </c>
      <c r="P524">
        <f>OR(AND(H524&gt;=$T$4,K524&lt;=$T$5,N524),M524)</f>
        <v/>
      </c>
      <c r="Q524">
        <f>OR(AND(I524&gt;=$T$10,K524&lt;=$T$11,O524),M524)</f>
        <v/>
      </c>
    </row>
    <row r="525">
      <c r="A525">
        <f>Data!E554</f>
        <v/>
      </c>
      <c r="B525">
        <f>Data!G554</f>
        <v/>
      </c>
      <c r="C525">
        <f>Data!H554</f>
        <v/>
      </c>
      <c r="D525">
        <f>Data!I554</f>
        <v/>
      </c>
      <c r="E525">
        <f>Data!M554</f>
        <v/>
      </c>
      <c r="F525">
        <f>Data!O554</f>
        <v/>
      </c>
      <c r="G525">
        <f>E525-F525</f>
        <v/>
      </c>
      <c r="H525">
        <f>Data!P554</f>
        <v/>
      </c>
      <c r="I525">
        <f>G525+H525</f>
        <v/>
      </c>
      <c r="J525">
        <f>F525+G525+H525</f>
        <v/>
      </c>
      <c r="K525">
        <f>Data!R554</f>
        <v/>
      </c>
      <c r="L525">
        <f>Data!T554</f>
        <v/>
      </c>
      <c r="M525">
        <f>AND(E525=0,F525=0,G525=0,H525=0,I525=0,J525=0,K525=0,L525=0)</f>
        <v/>
      </c>
      <c r="N525">
        <f>G525&lt;=$T$6</f>
        <v/>
      </c>
      <c r="O525">
        <f>G525&lt;=$T$12</f>
        <v/>
      </c>
      <c r="P525">
        <f>OR(AND(H525&gt;=$T$4,K525&lt;=$T$5,N525),M525)</f>
        <v/>
      </c>
      <c r="Q525">
        <f>OR(AND(I525&gt;=$T$10,K525&lt;=$T$11,O525),M525)</f>
        <v/>
      </c>
    </row>
    <row r="526">
      <c r="A526">
        <f>Data!E555</f>
        <v/>
      </c>
      <c r="B526">
        <f>Data!G555</f>
        <v/>
      </c>
      <c r="C526">
        <f>Data!H555</f>
        <v/>
      </c>
      <c r="D526">
        <f>Data!I555</f>
        <v/>
      </c>
      <c r="E526">
        <f>Data!M555</f>
        <v/>
      </c>
      <c r="F526">
        <f>Data!O555</f>
        <v/>
      </c>
      <c r="G526">
        <f>E526-F526</f>
        <v/>
      </c>
      <c r="H526">
        <f>Data!P555</f>
        <v/>
      </c>
      <c r="I526">
        <f>G526+H526</f>
        <v/>
      </c>
      <c r="J526">
        <f>F526+G526+H526</f>
        <v/>
      </c>
      <c r="K526">
        <f>Data!R555</f>
        <v/>
      </c>
      <c r="L526">
        <f>Data!T555</f>
        <v/>
      </c>
      <c r="M526">
        <f>AND(E526=0,F526=0,G526=0,H526=0,I526=0,J526=0,K526=0,L526=0)</f>
        <v/>
      </c>
      <c r="N526">
        <f>G526&lt;=$T$6</f>
        <v/>
      </c>
      <c r="O526">
        <f>G526&lt;=$T$12</f>
        <v/>
      </c>
      <c r="P526">
        <f>OR(AND(H526&gt;=$T$4,K526&lt;=$T$5,N526),M526)</f>
        <v/>
      </c>
      <c r="Q526">
        <f>OR(AND(I526&gt;=$T$10,K526&lt;=$T$11,O526),M526)</f>
        <v/>
      </c>
    </row>
    <row r="527">
      <c r="A527">
        <f>Data!E556</f>
        <v/>
      </c>
      <c r="B527">
        <f>Data!G556</f>
        <v/>
      </c>
      <c r="C527">
        <f>Data!H556</f>
        <v/>
      </c>
      <c r="D527">
        <f>Data!I556</f>
        <v/>
      </c>
      <c r="E527">
        <f>Data!M556</f>
        <v/>
      </c>
      <c r="F527">
        <f>Data!O556</f>
        <v/>
      </c>
      <c r="G527">
        <f>E527-F527</f>
        <v/>
      </c>
      <c r="H527">
        <f>Data!P556</f>
        <v/>
      </c>
      <c r="I527">
        <f>G527+H527</f>
        <v/>
      </c>
      <c r="J527">
        <f>F527+G527+H527</f>
        <v/>
      </c>
      <c r="K527">
        <f>Data!R556</f>
        <v/>
      </c>
      <c r="L527">
        <f>Data!T556</f>
        <v/>
      </c>
      <c r="M527">
        <f>AND(E527=0,F527=0,G527=0,H527=0,I527=0,J527=0,K527=0,L527=0)</f>
        <v/>
      </c>
      <c r="N527">
        <f>G527&lt;=$T$6</f>
        <v/>
      </c>
      <c r="O527">
        <f>G527&lt;=$T$12</f>
        <v/>
      </c>
      <c r="P527">
        <f>OR(AND(H527&gt;=$T$4,K527&lt;=$T$5,N527),M527)</f>
        <v/>
      </c>
      <c r="Q527">
        <f>OR(AND(I527&gt;=$T$10,K527&lt;=$T$11,O527),M527)</f>
        <v/>
      </c>
    </row>
    <row r="528">
      <c r="A528">
        <f>Data!E557</f>
        <v/>
      </c>
      <c r="B528">
        <f>Data!G557</f>
        <v/>
      </c>
      <c r="C528">
        <f>Data!H557</f>
        <v/>
      </c>
      <c r="D528">
        <f>Data!I557</f>
        <v/>
      </c>
      <c r="E528">
        <f>Data!M557</f>
        <v/>
      </c>
      <c r="F528">
        <f>Data!O557</f>
        <v/>
      </c>
      <c r="G528">
        <f>E528-F528</f>
        <v/>
      </c>
      <c r="H528">
        <f>Data!P557</f>
        <v/>
      </c>
      <c r="I528">
        <f>G528+H528</f>
        <v/>
      </c>
      <c r="J528">
        <f>F528+G528+H528</f>
        <v/>
      </c>
      <c r="K528">
        <f>Data!R557</f>
        <v/>
      </c>
      <c r="L528">
        <f>Data!T557</f>
        <v/>
      </c>
      <c r="M528">
        <f>AND(E528=0,F528=0,G528=0,H528=0,I528=0,J528=0,K528=0,L528=0)</f>
        <v/>
      </c>
      <c r="N528">
        <f>G528&lt;=$T$6</f>
        <v/>
      </c>
      <c r="O528">
        <f>G528&lt;=$T$12</f>
        <v/>
      </c>
      <c r="P528">
        <f>OR(AND(H528&gt;=$T$4,K528&lt;=$T$5,N528),M528)</f>
        <v/>
      </c>
      <c r="Q528">
        <f>OR(AND(I528&gt;=$T$10,K528&lt;=$T$11,O528),M528)</f>
        <v/>
      </c>
    </row>
    <row r="529">
      <c r="A529">
        <f>Data!E558</f>
        <v/>
      </c>
      <c r="B529">
        <f>Data!G558</f>
        <v/>
      </c>
      <c r="C529">
        <f>Data!H558</f>
        <v/>
      </c>
      <c r="D529">
        <f>Data!I558</f>
        <v/>
      </c>
      <c r="E529">
        <f>Data!M558</f>
        <v/>
      </c>
      <c r="F529">
        <f>Data!O558</f>
        <v/>
      </c>
      <c r="G529">
        <f>E529-F529</f>
        <v/>
      </c>
      <c r="H529">
        <f>Data!P558</f>
        <v/>
      </c>
      <c r="I529">
        <f>G529+H529</f>
        <v/>
      </c>
      <c r="J529">
        <f>F529+G529+H529</f>
        <v/>
      </c>
      <c r="K529">
        <f>Data!R558</f>
        <v/>
      </c>
      <c r="L529">
        <f>Data!T558</f>
        <v/>
      </c>
      <c r="M529">
        <f>AND(E529=0,F529=0,G529=0,H529=0,I529=0,J529=0,K529=0,L529=0)</f>
        <v/>
      </c>
      <c r="N529">
        <f>G529&lt;=$T$6</f>
        <v/>
      </c>
      <c r="O529">
        <f>G529&lt;=$T$12</f>
        <v/>
      </c>
      <c r="P529">
        <f>OR(AND(H529&gt;=$T$4,K529&lt;=$T$5,N529),M529)</f>
        <v/>
      </c>
      <c r="Q529">
        <f>OR(AND(I529&gt;=$T$10,K529&lt;=$T$11,O529),M529)</f>
        <v/>
      </c>
    </row>
    <row r="530">
      <c r="A530">
        <f>Data!E559</f>
        <v/>
      </c>
      <c r="B530">
        <f>Data!G559</f>
        <v/>
      </c>
      <c r="C530">
        <f>Data!H559</f>
        <v/>
      </c>
      <c r="D530">
        <f>Data!I559</f>
        <v/>
      </c>
      <c r="E530">
        <f>Data!M559</f>
        <v/>
      </c>
      <c r="F530">
        <f>Data!O559</f>
        <v/>
      </c>
      <c r="G530">
        <f>E530-F530</f>
        <v/>
      </c>
      <c r="H530">
        <f>Data!P559</f>
        <v/>
      </c>
      <c r="I530">
        <f>G530+H530</f>
        <v/>
      </c>
      <c r="J530">
        <f>F530+G530+H530</f>
        <v/>
      </c>
      <c r="K530">
        <f>Data!R559</f>
        <v/>
      </c>
      <c r="L530">
        <f>Data!T559</f>
        <v/>
      </c>
      <c r="M530">
        <f>AND(E530=0,F530=0,G530=0,H530=0,I530=0,J530=0,K530=0,L530=0)</f>
        <v/>
      </c>
      <c r="N530">
        <f>G530&lt;=$T$6</f>
        <v/>
      </c>
      <c r="O530">
        <f>G530&lt;=$T$12</f>
        <v/>
      </c>
      <c r="P530">
        <f>OR(AND(H530&gt;=$T$4,K530&lt;=$T$5,N530),M530)</f>
        <v/>
      </c>
      <c r="Q530">
        <f>OR(AND(I530&gt;=$T$10,K530&lt;=$T$11,O530),M530)</f>
        <v/>
      </c>
    </row>
    <row r="531">
      <c r="A531">
        <f>Data!E560</f>
        <v/>
      </c>
      <c r="B531">
        <f>Data!G560</f>
        <v/>
      </c>
      <c r="C531">
        <f>Data!H560</f>
        <v/>
      </c>
      <c r="D531">
        <f>Data!I560</f>
        <v/>
      </c>
      <c r="E531">
        <f>Data!M560</f>
        <v/>
      </c>
      <c r="F531">
        <f>Data!O560</f>
        <v/>
      </c>
      <c r="G531">
        <f>E531-F531</f>
        <v/>
      </c>
      <c r="H531">
        <f>Data!P560</f>
        <v/>
      </c>
      <c r="I531">
        <f>G531+H531</f>
        <v/>
      </c>
      <c r="J531">
        <f>F531+G531+H531</f>
        <v/>
      </c>
      <c r="K531">
        <f>Data!R560</f>
        <v/>
      </c>
      <c r="L531">
        <f>Data!T560</f>
        <v/>
      </c>
      <c r="M531">
        <f>AND(E531=0,F531=0,G531=0,H531=0,I531=0,J531=0,K531=0,L531=0)</f>
        <v/>
      </c>
      <c r="N531">
        <f>G531&lt;=$T$6</f>
        <v/>
      </c>
      <c r="O531">
        <f>G531&lt;=$T$12</f>
        <v/>
      </c>
      <c r="P531">
        <f>OR(AND(H531&gt;=$T$4,K531&lt;=$T$5,N531),M531)</f>
        <v/>
      </c>
      <c r="Q531">
        <f>OR(AND(I531&gt;=$T$10,K531&lt;=$T$11,O531),M531)</f>
        <v/>
      </c>
    </row>
    <row r="532">
      <c r="A532">
        <f>Data!E561</f>
        <v/>
      </c>
      <c r="B532">
        <f>Data!G561</f>
        <v/>
      </c>
      <c r="C532">
        <f>Data!H561</f>
        <v/>
      </c>
      <c r="D532">
        <f>Data!I561</f>
        <v/>
      </c>
      <c r="E532">
        <f>Data!M561</f>
        <v/>
      </c>
      <c r="F532">
        <f>Data!O561</f>
        <v/>
      </c>
      <c r="G532">
        <f>E532-F532</f>
        <v/>
      </c>
      <c r="H532">
        <f>Data!P561</f>
        <v/>
      </c>
      <c r="I532">
        <f>G532+H532</f>
        <v/>
      </c>
      <c r="J532">
        <f>F532+G532+H532</f>
        <v/>
      </c>
      <c r="K532">
        <f>Data!R561</f>
        <v/>
      </c>
      <c r="L532">
        <f>Data!T561</f>
        <v/>
      </c>
      <c r="M532">
        <f>AND(E532=0,F532=0,G532=0,H532=0,I532=0,J532=0,K532=0,L532=0)</f>
        <v/>
      </c>
      <c r="N532">
        <f>G532&lt;=$T$6</f>
        <v/>
      </c>
      <c r="O532">
        <f>G532&lt;=$T$12</f>
        <v/>
      </c>
      <c r="P532">
        <f>OR(AND(H532&gt;=$T$4,K532&lt;=$T$5,N532),M532)</f>
        <v/>
      </c>
      <c r="Q532">
        <f>OR(AND(I532&gt;=$T$10,K532&lt;=$T$11,O532),M532)</f>
        <v/>
      </c>
    </row>
    <row r="533">
      <c r="A533">
        <f>Data!E562</f>
        <v/>
      </c>
      <c r="B533">
        <f>Data!G562</f>
        <v/>
      </c>
      <c r="C533">
        <f>Data!H562</f>
        <v/>
      </c>
      <c r="D533">
        <f>Data!I562</f>
        <v/>
      </c>
      <c r="E533">
        <f>Data!M562</f>
        <v/>
      </c>
      <c r="F533">
        <f>Data!O562</f>
        <v/>
      </c>
      <c r="G533">
        <f>E533-F533</f>
        <v/>
      </c>
      <c r="H533">
        <f>Data!P562</f>
        <v/>
      </c>
      <c r="I533">
        <f>G533+H533</f>
        <v/>
      </c>
      <c r="J533">
        <f>F533+G533+H533</f>
        <v/>
      </c>
      <c r="K533">
        <f>Data!R562</f>
        <v/>
      </c>
      <c r="L533">
        <f>Data!T562</f>
        <v/>
      </c>
      <c r="M533">
        <f>AND(E533=0,F533=0,G533=0,H533=0,I533=0,J533=0,K533=0,L533=0)</f>
        <v/>
      </c>
      <c r="N533">
        <f>G533&lt;=$T$6</f>
        <v/>
      </c>
      <c r="O533">
        <f>G533&lt;=$T$12</f>
        <v/>
      </c>
      <c r="P533">
        <f>OR(AND(H533&gt;=$T$4,K533&lt;=$T$5,N533),M533)</f>
        <v/>
      </c>
      <c r="Q533">
        <f>OR(AND(I533&gt;=$T$10,K533&lt;=$T$11,O533),M533)</f>
        <v/>
      </c>
    </row>
    <row r="534">
      <c r="A534">
        <f>Data!E563</f>
        <v/>
      </c>
      <c r="B534">
        <f>Data!G563</f>
        <v/>
      </c>
      <c r="C534">
        <f>Data!H563</f>
        <v/>
      </c>
      <c r="D534">
        <f>Data!I563</f>
        <v/>
      </c>
      <c r="E534">
        <f>Data!M563</f>
        <v/>
      </c>
      <c r="F534">
        <f>Data!O563</f>
        <v/>
      </c>
      <c r="G534">
        <f>E534-F534</f>
        <v/>
      </c>
      <c r="H534">
        <f>Data!P563</f>
        <v/>
      </c>
      <c r="I534">
        <f>G534+H534</f>
        <v/>
      </c>
      <c r="J534">
        <f>F534+G534+H534</f>
        <v/>
      </c>
      <c r="K534">
        <f>Data!R563</f>
        <v/>
      </c>
      <c r="L534">
        <f>Data!T563</f>
        <v/>
      </c>
      <c r="M534">
        <f>AND(E534=0,F534=0,G534=0,H534=0,I534=0,J534=0,K534=0,L534=0)</f>
        <v/>
      </c>
      <c r="N534">
        <f>G534&lt;=$T$6</f>
        <v/>
      </c>
      <c r="O534">
        <f>G534&lt;=$T$12</f>
        <v/>
      </c>
      <c r="P534">
        <f>OR(AND(H534&gt;=$T$4,K534&lt;=$T$5,N534),M534)</f>
        <v/>
      </c>
      <c r="Q534">
        <f>OR(AND(I534&gt;=$T$10,K534&lt;=$T$11,O534),M534)</f>
        <v/>
      </c>
    </row>
    <row r="535">
      <c r="A535">
        <f>Data!E564</f>
        <v/>
      </c>
      <c r="B535">
        <f>Data!G564</f>
        <v/>
      </c>
      <c r="C535">
        <f>Data!H564</f>
        <v/>
      </c>
      <c r="D535">
        <f>Data!I564</f>
        <v/>
      </c>
      <c r="E535">
        <f>Data!M564</f>
        <v/>
      </c>
      <c r="F535">
        <f>Data!O564</f>
        <v/>
      </c>
      <c r="G535">
        <f>E535-F535</f>
        <v/>
      </c>
      <c r="H535">
        <f>Data!P564</f>
        <v/>
      </c>
      <c r="I535">
        <f>G535+H535</f>
        <v/>
      </c>
      <c r="J535">
        <f>F535+G535+H535</f>
        <v/>
      </c>
      <c r="K535">
        <f>Data!R564</f>
        <v/>
      </c>
      <c r="L535">
        <f>Data!T564</f>
        <v/>
      </c>
      <c r="M535">
        <f>AND(E535=0,F535=0,G535=0,H535=0,I535=0,J535=0,K535=0,L535=0)</f>
        <v/>
      </c>
      <c r="N535">
        <f>G535&lt;=$T$6</f>
        <v/>
      </c>
      <c r="O535">
        <f>G535&lt;=$T$12</f>
        <v/>
      </c>
      <c r="P535">
        <f>OR(AND(H535&gt;=$T$4,K535&lt;=$T$5,N535),M535)</f>
        <v/>
      </c>
      <c r="Q535">
        <f>OR(AND(I535&gt;=$T$10,K535&lt;=$T$11,O535),M535)</f>
        <v/>
      </c>
    </row>
    <row r="536">
      <c r="A536">
        <f>Data!E565</f>
        <v/>
      </c>
      <c r="B536">
        <f>Data!G565</f>
        <v/>
      </c>
      <c r="C536">
        <f>Data!H565</f>
        <v/>
      </c>
      <c r="D536">
        <f>Data!I565</f>
        <v/>
      </c>
      <c r="E536">
        <f>Data!M565</f>
        <v/>
      </c>
      <c r="F536">
        <f>Data!O565</f>
        <v/>
      </c>
      <c r="G536">
        <f>E536-F536</f>
        <v/>
      </c>
      <c r="H536">
        <f>Data!P565</f>
        <v/>
      </c>
      <c r="I536">
        <f>G536+H536</f>
        <v/>
      </c>
      <c r="J536">
        <f>F536+G536+H536</f>
        <v/>
      </c>
      <c r="K536">
        <f>Data!R565</f>
        <v/>
      </c>
      <c r="L536">
        <f>Data!T565</f>
        <v/>
      </c>
      <c r="M536">
        <f>AND(E536=0,F536=0,G536=0,H536=0,I536=0,J536=0,K536=0,L536=0)</f>
        <v/>
      </c>
      <c r="N536">
        <f>G536&lt;=$T$6</f>
        <v/>
      </c>
      <c r="O536">
        <f>G536&lt;=$T$12</f>
        <v/>
      </c>
      <c r="P536">
        <f>OR(AND(H536&gt;=$T$4,K536&lt;=$T$5,N536),M536)</f>
        <v/>
      </c>
      <c r="Q536">
        <f>OR(AND(I536&gt;=$T$10,K536&lt;=$T$11,O536),M536)</f>
        <v/>
      </c>
    </row>
    <row r="537">
      <c r="A537">
        <f>Data!E566</f>
        <v/>
      </c>
      <c r="B537">
        <f>Data!G566</f>
        <v/>
      </c>
      <c r="C537">
        <f>Data!H566</f>
        <v/>
      </c>
      <c r="D537">
        <f>Data!I566</f>
        <v/>
      </c>
      <c r="E537">
        <f>Data!M566</f>
        <v/>
      </c>
      <c r="F537">
        <f>Data!O566</f>
        <v/>
      </c>
      <c r="G537">
        <f>E537-F537</f>
        <v/>
      </c>
      <c r="H537">
        <f>Data!P566</f>
        <v/>
      </c>
      <c r="I537">
        <f>G537+H537</f>
        <v/>
      </c>
      <c r="J537">
        <f>F537+G537+H537</f>
        <v/>
      </c>
      <c r="K537">
        <f>Data!R566</f>
        <v/>
      </c>
      <c r="L537">
        <f>Data!T566</f>
        <v/>
      </c>
      <c r="M537">
        <f>AND(E537=0,F537=0,G537=0,H537=0,I537=0,J537=0,K537=0,L537=0)</f>
        <v/>
      </c>
      <c r="N537">
        <f>G537&lt;=$T$6</f>
        <v/>
      </c>
      <c r="O537">
        <f>G537&lt;=$T$12</f>
        <v/>
      </c>
      <c r="P537">
        <f>OR(AND(H537&gt;=$T$4,K537&lt;=$T$5,N537),M537)</f>
        <v/>
      </c>
      <c r="Q537">
        <f>OR(AND(I537&gt;=$T$10,K537&lt;=$T$11,O537),M537)</f>
        <v/>
      </c>
    </row>
    <row r="538">
      <c r="A538">
        <f>Data!E567</f>
        <v/>
      </c>
      <c r="B538">
        <f>Data!G567</f>
        <v/>
      </c>
      <c r="C538">
        <f>Data!H567</f>
        <v/>
      </c>
      <c r="D538">
        <f>Data!I567</f>
        <v/>
      </c>
      <c r="E538">
        <f>Data!M567</f>
        <v/>
      </c>
      <c r="F538">
        <f>Data!O567</f>
        <v/>
      </c>
      <c r="G538">
        <f>E538-F538</f>
        <v/>
      </c>
      <c r="H538">
        <f>Data!P567</f>
        <v/>
      </c>
      <c r="I538">
        <f>G538+H538</f>
        <v/>
      </c>
      <c r="J538">
        <f>F538+G538+H538</f>
        <v/>
      </c>
      <c r="K538">
        <f>Data!R567</f>
        <v/>
      </c>
      <c r="L538">
        <f>Data!T567</f>
        <v/>
      </c>
      <c r="M538">
        <f>AND(E538=0,F538=0,G538=0,H538=0,I538=0,J538=0,K538=0,L538=0)</f>
        <v/>
      </c>
      <c r="N538">
        <f>G538&lt;=$T$6</f>
        <v/>
      </c>
      <c r="O538">
        <f>G538&lt;=$T$12</f>
        <v/>
      </c>
      <c r="P538">
        <f>OR(AND(H538&gt;=$T$4,K538&lt;=$T$5,N538),M538)</f>
        <v/>
      </c>
      <c r="Q538">
        <f>OR(AND(I538&gt;=$T$10,K538&lt;=$T$11,O538),M538)</f>
        <v/>
      </c>
    </row>
    <row r="539">
      <c r="A539">
        <f>Data!E568</f>
        <v/>
      </c>
      <c r="B539">
        <f>Data!G568</f>
        <v/>
      </c>
      <c r="C539">
        <f>Data!H568</f>
        <v/>
      </c>
      <c r="D539">
        <f>Data!I568</f>
        <v/>
      </c>
      <c r="E539">
        <f>Data!M568</f>
        <v/>
      </c>
      <c r="F539">
        <f>Data!O568</f>
        <v/>
      </c>
      <c r="G539">
        <f>E539-F539</f>
        <v/>
      </c>
      <c r="H539">
        <f>Data!P568</f>
        <v/>
      </c>
      <c r="I539">
        <f>G539+H539</f>
        <v/>
      </c>
      <c r="J539">
        <f>F539+G539+H539</f>
        <v/>
      </c>
      <c r="K539">
        <f>Data!R568</f>
        <v/>
      </c>
      <c r="L539">
        <f>Data!T568</f>
        <v/>
      </c>
      <c r="M539">
        <f>AND(E539=0,F539=0,G539=0,H539=0,I539=0,J539=0,K539=0,L539=0)</f>
        <v/>
      </c>
      <c r="N539">
        <f>G539&lt;=$T$6</f>
        <v/>
      </c>
      <c r="O539">
        <f>G539&lt;=$T$12</f>
        <v/>
      </c>
      <c r="P539">
        <f>OR(AND(H539&gt;=$T$4,K539&lt;=$T$5,N539),M539)</f>
        <v/>
      </c>
      <c r="Q539">
        <f>OR(AND(I539&gt;=$T$10,K539&lt;=$T$11,O539),M539)</f>
        <v/>
      </c>
    </row>
    <row r="540">
      <c r="A540">
        <f>Data!E570</f>
        <v/>
      </c>
      <c r="B540">
        <f>Data!G570</f>
        <v/>
      </c>
      <c r="C540">
        <f>Data!H570</f>
        <v/>
      </c>
      <c r="D540">
        <f>Data!I570</f>
        <v/>
      </c>
      <c r="E540">
        <f>Data!M570</f>
        <v/>
      </c>
      <c r="F540">
        <f>Data!O570</f>
        <v/>
      </c>
      <c r="G540">
        <f>E540-F540</f>
        <v/>
      </c>
      <c r="H540">
        <f>Data!P570</f>
        <v/>
      </c>
      <c r="I540">
        <f>G540+H540</f>
        <v/>
      </c>
      <c r="J540">
        <f>F540+G540+H540</f>
        <v/>
      </c>
      <c r="K540">
        <f>Data!R570</f>
        <v/>
      </c>
      <c r="L540">
        <f>Data!T570</f>
        <v/>
      </c>
      <c r="M540">
        <f>AND(E540=0,F540=0,G540=0,H540=0,I540=0,J540=0,K540=0,L540=0)</f>
        <v/>
      </c>
      <c r="N540">
        <f>G540&lt;=$T$6</f>
        <v/>
      </c>
      <c r="O540">
        <f>G540&lt;=$T$12</f>
        <v/>
      </c>
      <c r="P540">
        <f>OR(AND(H540&gt;=$T$4,K540&lt;=$T$5,N540),M540)</f>
        <v/>
      </c>
      <c r="Q540">
        <f>OR(AND(I540&gt;=$T$10,K540&lt;=$T$11,O540),M540)</f>
        <v/>
      </c>
    </row>
    <row r="541">
      <c r="A541">
        <f>Data!E571</f>
        <v/>
      </c>
      <c r="B541">
        <f>Data!G571</f>
        <v/>
      </c>
      <c r="C541">
        <f>Data!H571</f>
        <v/>
      </c>
      <c r="D541">
        <f>Data!I571</f>
        <v/>
      </c>
      <c r="E541">
        <f>Data!M571</f>
        <v/>
      </c>
      <c r="F541">
        <f>Data!O571</f>
        <v/>
      </c>
      <c r="G541">
        <f>E541-F541</f>
        <v/>
      </c>
      <c r="H541">
        <f>Data!P571</f>
        <v/>
      </c>
      <c r="I541">
        <f>G541+H541</f>
        <v/>
      </c>
      <c r="J541">
        <f>F541+G541+H541</f>
        <v/>
      </c>
      <c r="K541">
        <f>Data!R571</f>
        <v/>
      </c>
      <c r="L541">
        <f>Data!T571</f>
        <v/>
      </c>
      <c r="M541">
        <f>AND(E541=0,F541=0,G541=0,H541=0,I541=0,J541=0,K541=0,L541=0)</f>
        <v/>
      </c>
      <c r="N541">
        <f>G541&lt;=$T$6</f>
        <v/>
      </c>
      <c r="O541">
        <f>G541&lt;=$T$12</f>
        <v/>
      </c>
      <c r="P541">
        <f>OR(AND(H541&gt;=$T$4,K541&lt;=$T$5,N541),M541)</f>
        <v/>
      </c>
      <c r="Q541">
        <f>OR(AND(I541&gt;=$T$10,K541&lt;=$T$11,O541),M541)</f>
        <v/>
      </c>
    </row>
    <row r="542">
      <c r="A542">
        <f>Data!E572</f>
        <v/>
      </c>
      <c r="B542">
        <f>Data!G572</f>
        <v/>
      </c>
      <c r="C542">
        <f>Data!H572</f>
        <v/>
      </c>
      <c r="D542">
        <f>Data!I572</f>
        <v/>
      </c>
      <c r="E542">
        <f>Data!M572</f>
        <v/>
      </c>
      <c r="F542">
        <f>Data!O572</f>
        <v/>
      </c>
      <c r="G542">
        <f>E542-F542</f>
        <v/>
      </c>
      <c r="H542">
        <f>Data!P572</f>
        <v/>
      </c>
      <c r="I542">
        <f>G542+H542</f>
        <v/>
      </c>
      <c r="J542">
        <f>F542+G542+H542</f>
        <v/>
      </c>
      <c r="K542">
        <f>Data!R572</f>
        <v/>
      </c>
      <c r="L542">
        <f>Data!T572</f>
        <v/>
      </c>
      <c r="M542">
        <f>AND(E542=0,F542=0,G542=0,H542=0,I542=0,J542=0,K542=0,L542=0)</f>
        <v/>
      </c>
      <c r="N542">
        <f>G542&lt;=$T$6</f>
        <v/>
      </c>
      <c r="O542">
        <f>G542&lt;=$T$12</f>
        <v/>
      </c>
      <c r="P542">
        <f>OR(AND(H542&gt;=$T$4,K542&lt;=$T$5,N542),M542)</f>
        <v/>
      </c>
      <c r="Q542">
        <f>OR(AND(I542&gt;=$T$10,K542&lt;=$T$11,O542),M542)</f>
        <v/>
      </c>
    </row>
    <row r="543">
      <c r="A543">
        <f>Data!E573</f>
        <v/>
      </c>
      <c r="B543">
        <f>Data!G573</f>
        <v/>
      </c>
      <c r="C543">
        <f>Data!H573</f>
        <v/>
      </c>
      <c r="D543">
        <f>Data!I573</f>
        <v/>
      </c>
      <c r="E543">
        <f>Data!M573</f>
        <v/>
      </c>
      <c r="F543">
        <f>Data!O573</f>
        <v/>
      </c>
      <c r="G543">
        <f>E543-F543</f>
        <v/>
      </c>
      <c r="H543">
        <f>Data!P573</f>
        <v/>
      </c>
      <c r="I543">
        <f>G543+H543</f>
        <v/>
      </c>
      <c r="J543">
        <f>F543+G543+H543</f>
        <v/>
      </c>
      <c r="K543">
        <f>Data!R573</f>
        <v/>
      </c>
      <c r="L543">
        <f>Data!T573</f>
        <v/>
      </c>
      <c r="M543">
        <f>AND(E543=0,F543=0,G543=0,H543=0,I543=0,J543=0,K543=0,L543=0)</f>
        <v/>
      </c>
      <c r="N543">
        <f>G543&lt;=$T$6</f>
        <v/>
      </c>
      <c r="O543">
        <f>G543&lt;=$T$12</f>
        <v/>
      </c>
      <c r="P543">
        <f>OR(AND(H543&gt;=$T$4,K543&lt;=$T$5,N543),M543)</f>
        <v/>
      </c>
      <c r="Q543">
        <f>OR(AND(I543&gt;=$T$10,K543&lt;=$T$11,O543),M543)</f>
        <v/>
      </c>
    </row>
    <row r="544">
      <c r="A544">
        <f>Data!E574</f>
        <v/>
      </c>
      <c r="B544">
        <f>Data!G574</f>
        <v/>
      </c>
      <c r="C544">
        <f>Data!H574</f>
        <v/>
      </c>
      <c r="D544">
        <f>Data!I574</f>
        <v/>
      </c>
      <c r="E544">
        <f>Data!M574</f>
        <v/>
      </c>
      <c r="F544">
        <f>Data!O574</f>
        <v/>
      </c>
      <c r="G544">
        <f>E544-F544</f>
        <v/>
      </c>
      <c r="H544">
        <f>Data!P574</f>
        <v/>
      </c>
      <c r="I544">
        <f>G544+H544</f>
        <v/>
      </c>
      <c r="J544">
        <f>F544+G544+H544</f>
        <v/>
      </c>
      <c r="K544">
        <f>Data!R574</f>
        <v/>
      </c>
      <c r="L544">
        <f>Data!T574</f>
        <v/>
      </c>
      <c r="M544">
        <f>AND(E544=0,F544=0,G544=0,H544=0,I544=0,J544=0,K544=0,L544=0)</f>
        <v/>
      </c>
      <c r="N544">
        <f>G544&lt;=$T$6</f>
        <v/>
      </c>
      <c r="O544">
        <f>G544&lt;=$T$12</f>
        <v/>
      </c>
      <c r="P544">
        <f>OR(AND(H544&gt;=$T$4,K544&lt;=$T$5,N544),M544)</f>
        <v/>
      </c>
      <c r="Q544">
        <f>OR(AND(I544&gt;=$T$10,K544&lt;=$T$11,O544),M544)</f>
        <v/>
      </c>
    </row>
    <row r="545">
      <c r="A545">
        <f>Data!E575</f>
        <v/>
      </c>
      <c r="B545">
        <f>Data!G575</f>
        <v/>
      </c>
      <c r="C545">
        <f>Data!H575</f>
        <v/>
      </c>
      <c r="D545">
        <f>Data!I575</f>
        <v/>
      </c>
      <c r="E545">
        <f>Data!M575</f>
        <v/>
      </c>
      <c r="F545">
        <f>Data!O575</f>
        <v/>
      </c>
      <c r="G545">
        <f>E545-F545</f>
        <v/>
      </c>
      <c r="H545">
        <f>Data!P575</f>
        <v/>
      </c>
      <c r="I545">
        <f>G545+H545</f>
        <v/>
      </c>
      <c r="J545">
        <f>F545+G545+H545</f>
        <v/>
      </c>
      <c r="K545">
        <f>Data!R575</f>
        <v/>
      </c>
      <c r="L545">
        <f>Data!T575</f>
        <v/>
      </c>
      <c r="M545">
        <f>AND(E545=0,F545=0,G545=0,H545=0,I545=0,J545=0,K545=0,L545=0)</f>
        <v/>
      </c>
      <c r="N545">
        <f>G545&lt;=$T$6</f>
        <v/>
      </c>
      <c r="O545">
        <f>G545&lt;=$T$12</f>
        <v/>
      </c>
      <c r="P545">
        <f>OR(AND(H545&gt;=$T$4,K545&lt;=$T$5,N545),M545)</f>
        <v/>
      </c>
      <c r="Q545">
        <f>OR(AND(I545&gt;=$T$10,K545&lt;=$T$11,O545),M545)</f>
        <v/>
      </c>
    </row>
    <row r="546">
      <c r="A546">
        <f>Data!E576</f>
        <v/>
      </c>
      <c r="B546">
        <f>Data!G576</f>
        <v/>
      </c>
      <c r="C546">
        <f>Data!H576</f>
        <v/>
      </c>
      <c r="D546">
        <f>Data!I576</f>
        <v/>
      </c>
      <c r="E546">
        <f>Data!M576</f>
        <v/>
      </c>
      <c r="F546">
        <f>Data!O576</f>
        <v/>
      </c>
      <c r="G546">
        <f>E546-F546</f>
        <v/>
      </c>
      <c r="H546">
        <f>Data!P576</f>
        <v/>
      </c>
      <c r="I546">
        <f>G546+H546</f>
        <v/>
      </c>
      <c r="J546">
        <f>F546+G546+H546</f>
        <v/>
      </c>
      <c r="K546">
        <f>Data!R576</f>
        <v/>
      </c>
      <c r="L546">
        <f>Data!T576</f>
        <v/>
      </c>
      <c r="M546">
        <f>AND(E546=0,F546=0,G546=0,H546=0,I546=0,J546=0,K546=0,L546=0)</f>
        <v/>
      </c>
      <c r="N546">
        <f>G546&lt;=$T$6</f>
        <v/>
      </c>
      <c r="O546">
        <f>G546&lt;=$T$12</f>
        <v/>
      </c>
      <c r="P546">
        <f>OR(AND(H546&gt;=$T$4,K546&lt;=$T$5,N546),M546)</f>
        <v/>
      </c>
      <c r="Q546">
        <f>OR(AND(I546&gt;=$T$10,K546&lt;=$T$11,O546),M546)</f>
        <v/>
      </c>
    </row>
    <row r="547">
      <c r="A547">
        <f>Data!E577</f>
        <v/>
      </c>
      <c r="B547">
        <f>Data!G577</f>
        <v/>
      </c>
      <c r="C547">
        <f>Data!H577</f>
        <v/>
      </c>
      <c r="D547">
        <f>Data!I577</f>
        <v/>
      </c>
      <c r="E547">
        <f>Data!M577</f>
        <v/>
      </c>
      <c r="F547">
        <f>Data!O577</f>
        <v/>
      </c>
      <c r="G547">
        <f>E547-F547</f>
        <v/>
      </c>
      <c r="H547">
        <f>Data!P577</f>
        <v/>
      </c>
      <c r="I547">
        <f>G547+H547</f>
        <v/>
      </c>
      <c r="J547">
        <f>F547+G547+H547</f>
        <v/>
      </c>
      <c r="K547">
        <f>Data!R577</f>
        <v/>
      </c>
      <c r="L547">
        <f>Data!T577</f>
        <v/>
      </c>
      <c r="M547">
        <f>AND(E547=0,F547=0,G547=0,H547=0,I547=0,J547=0,K547=0,L547=0)</f>
        <v/>
      </c>
      <c r="N547">
        <f>G547&lt;=$T$6</f>
        <v/>
      </c>
      <c r="O547">
        <f>G547&lt;=$T$12</f>
        <v/>
      </c>
      <c r="P547">
        <f>OR(AND(H547&gt;=$T$4,K547&lt;=$T$5,N547),M547)</f>
        <v/>
      </c>
      <c r="Q547">
        <f>OR(AND(I547&gt;=$T$10,K547&lt;=$T$11,O547),M547)</f>
        <v/>
      </c>
    </row>
    <row r="548">
      <c r="A548">
        <f>Data!E578</f>
        <v/>
      </c>
      <c r="B548">
        <f>Data!G578</f>
        <v/>
      </c>
      <c r="C548">
        <f>Data!H578</f>
        <v/>
      </c>
      <c r="D548">
        <f>Data!I578</f>
        <v/>
      </c>
      <c r="E548">
        <f>Data!M578</f>
        <v/>
      </c>
      <c r="F548">
        <f>Data!O578</f>
        <v/>
      </c>
      <c r="G548">
        <f>E548-F548</f>
        <v/>
      </c>
      <c r="H548">
        <f>Data!P578</f>
        <v/>
      </c>
      <c r="I548">
        <f>G548+H548</f>
        <v/>
      </c>
      <c r="J548">
        <f>F548+G548+H548</f>
        <v/>
      </c>
      <c r="K548">
        <f>Data!R578</f>
        <v/>
      </c>
      <c r="L548">
        <f>Data!T578</f>
        <v/>
      </c>
      <c r="M548">
        <f>AND(E548=0,F548=0,G548=0,H548=0,I548=0,J548=0,K548=0,L548=0)</f>
        <v/>
      </c>
      <c r="N548">
        <f>G548&lt;=$T$6</f>
        <v/>
      </c>
      <c r="O548">
        <f>G548&lt;=$T$12</f>
        <v/>
      </c>
      <c r="P548">
        <f>OR(AND(H548&gt;=$T$4,K548&lt;=$T$5,N548),M548)</f>
        <v/>
      </c>
      <c r="Q548">
        <f>OR(AND(I548&gt;=$T$10,K548&lt;=$T$11,O548),M548)</f>
        <v/>
      </c>
    </row>
    <row r="549">
      <c r="A549">
        <f>Data!E579</f>
        <v/>
      </c>
      <c r="B549">
        <f>Data!G579</f>
        <v/>
      </c>
      <c r="C549">
        <f>Data!H579</f>
        <v/>
      </c>
      <c r="D549">
        <f>Data!I579</f>
        <v/>
      </c>
      <c r="E549">
        <f>Data!M579</f>
        <v/>
      </c>
      <c r="F549">
        <f>Data!O579</f>
        <v/>
      </c>
      <c r="G549">
        <f>E549-F549</f>
        <v/>
      </c>
      <c r="H549">
        <f>Data!P579</f>
        <v/>
      </c>
      <c r="I549">
        <f>G549+H549</f>
        <v/>
      </c>
      <c r="J549">
        <f>F549+G549+H549</f>
        <v/>
      </c>
      <c r="K549">
        <f>Data!R579</f>
        <v/>
      </c>
      <c r="L549">
        <f>Data!T579</f>
        <v/>
      </c>
      <c r="M549">
        <f>AND(E549=0,F549=0,G549=0,H549=0,I549=0,J549=0,K549=0,L549=0)</f>
        <v/>
      </c>
      <c r="N549">
        <f>G549&lt;=$T$6</f>
        <v/>
      </c>
      <c r="O549">
        <f>G549&lt;=$T$12</f>
        <v/>
      </c>
      <c r="P549">
        <f>OR(AND(H549&gt;=$T$4,K549&lt;=$T$5,N549),M549)</f>
        <v/>
      </c>
      <c r="Q549">
        <f>OR(AND(I549&gt;=$T$10,K549&lt;=$T$11,O549),M549)</f>
        <v/>
      </c>
    </row>
    <row r="550">
      <c r="A550">
        <f>Data!E580</f>
        <v/>
      </c>
      <c r="B550">
        <f>Data!G580</f>
        <v/>
      </c>
      <c r="C550">
        <f>Data!H580</f>
        <v/>
      </c>
      <c r="D550">
        <f>Data!I580</f>
        <v/>
      </c>
      <c r="E550">
        <f>Data!M580</f>
        <v/>
      </c>
      <c r="F550">
        <f>Data!O580</f>
        <v/>
      </c>
      <c r="G550">
        <f>E550-F550</f>
        <v/>
      </c>
      <c r="H550">
        <f>Data!P580</f>
        <v/>
      </c>
      <c r="I550">
        <f>G550+H550</f>
        <v/>
      </c>
      <c r="J550">
        <f>F550+G550+H550</f>
        <v/>
      </c>
      <c r="K550">
        <f>Data!R580</f>
        <v/>
      </c>
      <c r="L550">
        <f>Data!T580</f>
        <v/>
      </c>
      <c r="M550">
        <f>AND(E550=0,F550=0,G550=0,H550=0,I550=0,J550=0,K550=0,L550=0)</f>
        <v/>
      </c>
      <c r="N550">
        <f>G550&lt;=$T$6</f>
        <v/>
      </c>
      <c r="O550">
        <f>G550&lt;=$T$12</f>
        <v/>
      </c>
      <c r="P550">
        <f>OR(AND(H550&gt;=$T$4,K550&lt;=$T$5,N550),M550)</f>
        <v/>
      </c>
      <c r="Q550">
        <f>OR(AND(I550&gt;=$T$10,K550&lt;=$T$11,O550),M550)</f>
        <v/>
      </c>
    </row>
    <row r="551">
      <c r="A551">
        <f>Data!E581</f>
        <v/>
      </c>
      <c r="B551">
        <f>Data!G581</f>
        <v/>
      </c>
      <c r="C551">
        <f>Data!H581</f>
        <v/>
      </c>
      <c r="D551">
        <f>Data!I581</f>
        <v/>
      </c>
      <c r="E551">
        <f>Data!M581</f>
        <v/>
      </c>
      <c r="F551">
        <f>Data!O581</f>
        <v/>
      </c>
      <c r="G551">
        <f>E551-F551</f>
        <v/>
      </c>
      <c r="H551">
        <f>Data!P581</f>
        <v/>
      </c>
      <c r="I551">
        <f>G551+H551</f>
        <v/>
      </c>
      <c r="J551">
        <f>F551+G551+H551</f>
        <v/>
      </c>
      <c r="K551">
        <f>Data!R581</f>
        <v/>
      </c>
      <c r="L551">
        <f>Data!T581</f>
        <v/>
      </c>
      <c r="M551">
        <f>AND(E551=0,F551=0,G551=0,H551=0,I551=0,J551=0,K551=0,L551=0)</f>
        <v/>
      </c>
      <c r="N551">
        <f>G551&lt;=$T$6</f>
        <v/>
      </c>
      <c r="O551">
        <f>G551&lt;=$T$12</f>
        <v/>
      </c>
      <c r="P551">
        <f>OR(AND(H551&gt;=$T$4,K551&lt;=$T$5,N551),M551)</f>
        <v/>
      </c>
      <c r="Q551">
        <f>OR(AND(I551&gt;=$T$10,K551&lt;=$T$11,O551),M551)</f>
        <v/>
      </c>
    </row>
    <row r="552">
      <c r="A552">
        <f>Data!E582</f>
        <v/>
      </c>
      <c r="B552">
        <f>Data!G582</f>
        <v/>
      </c>
      <c r="C552">
        <f>Data!H582</f>
        <v/>
      </c>
      <c r="D552">
        <f>Data!I582</f>
        <v/>
      </c>
      <c r="E552">
        <f>Data!M582</f>
        <v/>
      </c>
      <c r="F552">
        <f>Data!O582</f>
        <v/>
      </c>
      <c r="G552">
        <f>E552-F552</f>
        <v/>
      </c>
      <c r="H552">
        <f>Data!P582</f>
        <v/>
      </c>
      <c r="I552">
        <f>G552+H552</f>
        <v/>
      </c>
      <c r="J552">
        <f>F552+G552+H552</f>
        <v/>
      </c>
      <c r="K552">
        <f>Data!R582</f>
        <v/>
      </c>
      <c r="L552">
        <f>Data!T582</f>
        <v/>
      </c>
      <c r="M552">
        <f>AND(E552=0,F552=0,G552=0,H552=0,I552=0,J552=0,K552=0,L552=0)</f>
        <v/>
      </c>
      <c r="N552">
        <f>G552&lt;=$T$6</f>
        <v/>
      </c>
      <c r="O552">
        <f>G552&lt;=$T$12</f>
        <v/>
      </c>
      <c r="P552">
        <f>OR(AND(H552&gt;=$T$4,K552&lt;=$T$5,N552),M552)</f>
        <v/>
      </c>
      <c r="Q552">
        <f>OR(AND(I552&gt;=$T$10,K552&lt;=$T$11,O552),M552)</f>
        <v/>
      </c>
    </row>
    <row r="553">
      <c r="A553">
        <f>Data!E583</f>
        <v/>
      </c>
      <c r="B553">
        <f>Data!G583</f>
        <v/>
      </c>
      <c r="C553">
        <f>Data!H583</f>
        <v/>
      </c>
      <c r="D553">
        <f>Data!I583</f>
        <v/>
      </c>
      <c r="E553">
        <f>Data!M583</f>
        <v/>
      </c>
      <c r="F553">
        <f>Data!O583</f>
        <v/>
      </c>
      <c r="G553">
        <f>E553-F553</f>
        <v/>
      </c>
      <c r="H553">
        <f>Data!P583</f>
        <v/>
      </c>
      <c r="I553">
        <f>G553+H553</f>
        <v/>
      </c>
      <c r="J553">
        <f>F553+G553+H553</f>
        <v/>
      </c>
      <c r="K553">
        <f>Data!R583</f>
        <v/>
      </c>
      <c r="L553">
        <f>Data!T583</f>
        <v/>
      </c>
      <c r="M553">
        <f>AND(E553=0,F553=0,G553=0,H553=0,I553=0,J553=0,K553=0,L553=0)</f>
        <v/>
      </c>
      <c r="N553">
        <f>G553&lt;=$T$6</f>
        <v/>
      </c>
      <c r="O553">
        <f>G553&lt;=$T$12</f>
        <v/>
      </c>
      <c r="P553">
        <f>OR(AND(H553&gt;=$T$4,K553&lt;=$T$5,N553),M553)</f>
        <v/>
      </c>
      <c r="Q553">
        <f>OR(AND(I553&gt;=$T$10,K553&lt;=$T$11,O553),M553)</f>
        <v/>
      </c>
    </row>
    <row r="554">
      <c r="A554">
        <f>Data!E584</f>
        <v/>
      </c>
      <c r="B554">
        <f>Data!G584</f>
        <v/>
      </c>
      <c r="C554">
        <f>Data!H584</f>
        <v/>
      </c>
      <c r="D554">
        <f>Data!I584</f>
        <v/>
      </c>
      <c r="E554">
        <f>Data!M584</f>
        <v/>
      </c>
      <c r="F554">
        <f>Data!O584</f>
        <v/>
      </c>
      <c r="G554">
        <f>E554-F554</f>
        <v/>
      </c>
      <c r="H554">
        <f>Data!P584</f>
        <v/>
      </c>
      <c r="I554">
        <f>G554+H554</f>
        <v/>
      </c>
      <c r="J554">
        <f>F554+G554+H554</f>
        <v/>
      </c>
      <c r="K554">
        <f>Data!R584</f>
        <v/>
      </c>
      <c r="L554">
        <f>Data!T584</f>
        <v/>
      </c>
      <c r="M554">
        <f>AND(E554=0,F554=0,G554=0,H554=0,I554=0,J554=0,K554=0,L554=0)</f>
        <v/>
      </c>
      <c r="N554">
        <f>G554&lt;=$T$6</f>
        <v/>
      </c>
      <c r="O554">
        <f>G554&lt;=$T$12</f>
        <v/>
      </c>
      <c r="P554">
        <f>OR(AND(H554&gt;=$T$4,K554&lt;=$T$5,N554),M554)</f>
        <v/>
      </c>
      <c r="Q554">
        <f>OR(AND(I554&gt;=$T$10,K554&lt;=$T$11,O554),M554)</f>
        <v/>
      </c>
    </row>
    <row r="555">
      <c r="A555">
        <f>Data!E585</f>
        <v/>
      </c>
      <c r="B555">
        <f>Data!G585</f>
        <v/>
      </c>
      <c r="C555">
        <f>Data!H585</f>
        <v/>
      </c>
      <c r="D555">
        <f>Data!I585</f>
        <v/>
      </c>
      <c r="E555">
        <f>Data!M585</f>
        <v/>
      </c>
      <c r="F555">
        <f>Data!O585</f>
        <v/>
      </c>
      <c r="G555">
        <f>E555-F555</f>
        <v/>
      </c>
      <c r="H555">
        <f>Data!P585</f>
        <v/>
      </c>
      <c r="I555">
        <f>G555+H555</f>
        <v/>
      </c>
      <c r="J555">
        <f>F555+G555+H555</f>
        <v/>
      </c>
      <c r="K555">
        <f>Data!R585</f>
        <v/>
      </c>
      <c r="L555">
        <f>Data!T585</f>
        <v/>
      </c>
      <c r="M555">
        <f>AND(E555=0,F555=0,G555=0,H555=0,I555=0,J555=0,K555=0,L555=0)</f>
        <v/>
      </c>
      <c r="N555">
        <f>G555&lt;=$T$6</f>
        <v/>
      </c>
      <c r="O555">
        <f>G555&lt;=$T$12</f>
        <v/>
      </c>
      <c r="P555">
        <f>OR(AND(H555&gt;=$T$4,K555&lt;=$T$5,N555),M555)</f>
        <v/>
      </c>
      <c r="Q555">
        <f>OR(AND(I555&gt;=$T$10,K555&lt;=$T$11,O555),M555)</f>
        <v/>
      </c>
    </row>
    <row r="556">
      <c r="A556">
        <f>Data!E586</f>
        <v/>
      </c>
      <c r="B556">
        <f>Data!G586</f>
        <v/>
      </c>
      <c r="C556">
        <f>Data!H586</f>
        <v/>
      </c>
      <c r="D556">
        <f>Data!I586</f>
        <v/>
      </c>
      <c r="E556">
        <f>Data!M586</f>
        <v/>
      </c>
      <c r="F556">
        <f>Data!O586</f>
        <v/>
      </c>
      <c r="G556">
        <f>E556-F556</f>
        <v/>
      </c>
      <c r="H556">
        <f>Data!P586</f>
        <v/>
      </c>
      <c r="I556">
        <f>G556+H556</f>
        <v/>
      </c>
      <c r="J556">
        <f>F556+G556+H556</f>
        <v/>
      </c>
      <c r="K556">
        <f>Data!R586</f>
        <v/>
      </c>
      <c r="L556">
        <f>Data!T586</f>
        <v/>
      </c>
      <c r="M556">
        <f>AND(E556=0,F556=0,G556=0,H556=0,I556=0,J556=0,K556=0,L556=0)</f>
        <v/>
      </c>
      <c r="N556">
        <f>G556&lt;=$T$6</f>
        <v/>
      </c>
      <c r="O556">
        <f>G556&lt;=$T$12</f>
        <v/>
      </c>
      <c r="P556">
        <f>OR(AND(H556&gt;=$T$4,K556&lt;=$T$5,N556),M556)</f>
        <v/>
      </c>
      <c r="Q556">
        <f>OR(AND(I556&gt;=$T$10,K556&lt;=$T$11,O556),M556)</f>
        <v/>
      </c>
    </row>
    <row r="557">
      <c r="A557">
        <f>Data!E587</f>
        <v/>
      </c>
      <c r="B557">
        <f>Data!G587</f>
        <v/>
      </c>
      <c r="C557">
        <f>Data!H587</f>
        <v/>
      </c>
      <c r="D557">
        <f>Data!I587</f>
        <v/>
      </c>
      <c r="E557">
        <f>Data!M587</f>
        <v/>
      </c>
      <c r="F557">
        <f>Data!O587</f>
        <v/>
      </c>
      <c r="G557">
        <f>E557-F557</f>
        <v/>
      </c>
      <c r="H557">
        <f>Data!P587</f>
        <v/>
      </c>
      <c r="I557">
        <f>G557+H557</f>
        <v/>
      </c>
      <c r="J557">
        <f>F557+G557+H557</f>
        <v/>
      </c>
      <c r="K557">
        <f>Data!R587</f>
        <v/>
      </c>
      <c r="L557">
        <f>Data!T587</f>
        <v/>
      </c>
      <c r="M557">
        <f>AND(E557=0,F557=0,G557=0,H557=0,I557=0,J557=0,K557=0,L557=0)</f>
        <v/>
      </c>
      <c r="N557">
        <f>G557&lt;=$T$6</f>
        <v/>
      </c>
      <c r="O557">
        <f>G557&lt;=$T$12</f>
        <v/>
      </c>
      <c r="P557">
        <f>OR(AND(H557&gt;=$T$4,K557&lt;=$T$5,N557),M557)</f>
        <v/>
      </c>
      <c r="Q557">
        <f>OR(AND(I557&gt;=$T$10,K557&lt;=$T$11,O557),M557)</f>
        <v/>
      </c>
    </row>
    <row r="558">
      <c r="A558">
        <f>Data!E588</f>
        <v/>
      </c>
      <c r="B558">
        <f>Data!G588</f>
        <v/>
      </c>
      <c r="C558">
        <f>Data!H588</f>
        <v/>
      </c>
      <c r="D558">
        <f>Data!I588</f>
        <v/>
      </c>
      <c r="E558">
        <f>Data!M588</f>
        <v/>
      </c>
      <c r="F558">
        <f>Data!O588</f>
        <v/>
      </c>
      <c r="G558">
        <f>E558-F558</f>
        <v/>
      </c>
      <c r="H558">
        <f>Data!P588</f>
        <v/>
      </c>
      <c r="I558">
        <f>G558+H558</f>
        <v/>
      </c>
      <c r="J558">
        <f>F558+G558+H558</f>
        <v/>
      </c>
      <c r="K558">
        <f>Data!R588</f>
        <v/>
      </c>
      <c r="L558">
        <f>Data!T588</f>
        <v/>
      </c>
      <c r="M558">
        <f>AND(E558=0,F558=0,G558=0,H558=0,I558=0,J558=0,K558=0,L558=0)</f>
        <v/>
      </c>
      <c r="N558">
        <f>G558&lt;=$T$6</f>
        <v/>
      </c>
      <c r="O558">
        <f>G558&lt;=$T$12</f>
        <v/>
      </c>
      <c r="P558">
        <f>OR(AND(H558&gt;=$T$4,K558&lt;=$T$5,N558),M558)</f>
        <v/>
      </c>
      <c r="Q558">
        <f>OR(AND(I558&gt;=$T$10,K558&lt;=$T$11,O558),M558)</f>
        <v/>
      </c>
    </row>
    <row r="559">
      <c r="A559">
        <f>Data!E590</f>
        <v/>
      </c>
      <c r="B559">
        <f>Data!G590</f>
        <v/>
      </c>
      <c r="C559">
        <f>Data!H590</f>
        <v/>
      </c>
      <c r="D559">
        <f>Data!I590</f>
        <v/>
      </c>
      <c r="E559">
        <f>Data!M590</f>
        <v/>
      </c>
      <c r="F559">
        <f>Data!O590</f>
        <v/>
      </c>
      <c r="G559">
        <f>E559-F559</f>
        <v/>
      </c>
      <c r="H559">
        <f>Data!P590</f>
        <v/>
      </c>
      <c r="I559">
        <f>G559+H559</f>
        <v/>
      </c>
      <c r="J559">
        <f>F559+G559+H559</f>
        <v/>
      </c>
      <c r="K559">
        <f>Data!R590</f>
        <v/>
      </c>
      <c r="L559">
        <f>Data!T590</f>
        <v/>
      </c>
      <c r="M559">
        <f>AND(E559=0,F559=0,G559=0,H559=0,I559=0,J559=0,K559=0,L559=0)</f>
        <v/>
      </c>
      <c r="N559">
        <f>G559&lt;=$T$6</f>
        <v/>
      </c>
      <c r="O559">
        <f>G559&lt;=$T$12</f>
        <v/>
      </c>
      <c r="P559">
        <f>OR(AND(H559&gt;=$T$4,K559&lt;=$T$5,N559),M559)</f>
        <v/>
      </c>
      <c r="Q559">
        <f>OR(AND(I559&gt;=$T$10,K559&lt;=$T$11,O559),M559)</f>
        <v/>
      </c>
    </row>
    <row r="560">
      <c r="A560">
        <f>Data!E591</f>
        <v/>
      </c>
      <c r="B560">
        <f>Data!G591</f>
        <v/>
      </c>
      <c r="C560">
        <f>Data!H591</f>
        <v/>
      </c>
      <c r="D560">
        <f>Data!I591</f>
        <v/>
      </c>
      <c r="E560">
        <f>Data!M591</f>
        <v/>
      </c>
      <c r="F560">
        <f>Data!O591</f>
        <v/>
      </c>
      <c r="G560">
        <f>E560-F560</f>
        <v/>
      </c>
      <c r="H560">
        <f>Data!P591</f>
        <v/>
      </c>
      <c r="I560">
        <f>G560+H560</f>
        <v/>
      </c>
      <c r="J560">
        <f>F560+G560+H560</f>
        <v/>
      </c>
      <c r="K560">
        <f>Data!R591</f>
        <v/>
      </c>
      <c r="L560">
        <f>Data!T591</f>
        <v/>
      </c>
      <c r="M560">
        <f>AND(E560=0,F560=0,G560=0,H560=0,I560=0,J560=0,K560=0,L560=0)</f>
        <v/>
      </c>
      <c r="N560">
        <f>G560&lt;=$T$6</f>
        <v/>
      </c>
      <c r="O560">
        <f>G560&lt;=$T$12</f>
        <v/>
      </c>
      <c r="P560">
        <f>OR(AND(H560&gt;=$T$4,K560&lt;=$T$5,N560),M560)</f>
        <v/>
      </c>
      <c r="Q560">
        <f>OR(AND(I560&gt;=$T$10,K560&lt;=$T$11,O560),M560)</f>
        <v/>
      </c>
    </row>
    <row r="561">
      <c r="A561">
        <f>Data!E592</f>
        <v/>
      </c>
      <c r="B561">
        <f>Data!G592</f>
        <v/>
      </c>
      <c r="C561">
        <f>Data!H592</f>
        <v/>
      </c>
      <c r="D561">
        <f>Data!I592</f>
        <v/>
      </c>
      <c r="E561">
        <f>Data!M592</f>
        <v/>
      </c>
      <c r="F561">
        <f>Data!O592</f>
        <v/>
      </c>
      <c r="G561">
        <f>E561-F561</f>
        <v/>
      </c>
      <c r="H561">
        <f>Data!P592</f>
        <v/>
      </c>
      <c r="I561">
        <f>G561+H561</f>
        <v/>
      </c>
      <c r="J561">
        <f>F561+G561+H561</f>
        <v/>
      </c>
      <c r="K561">
        <f>Data!R592</f>
        <v/>
      </c>
      <c r="L561">
        <f>Data!T592</f>
        <v/>
      </c>
      <c r="M561">
        <f>AND(E561=0,F561=0,G561=0,H561=0,I561=0,J561=0,K561=0,L561=0)</f>
        <v/>
      </c>
      <c r="N561">
        <f>G561&lt;=$T$6</f>
        <v/>
      </c>
      <c r="O561">
        <f>G561&lt;=$T$12</f>
        <v/>
      </c>
      <c r="P561">
        <f>OR(AND(H561&gt;=$T$4,K561&lt;=$T$5,N561),M561)</f>
        <v/>
      </c>
      <c r="Q561">
        <f>OR(AND(I561&gt;=$T$10,K561&lt;=$T$11,O561),M561)</f>
        <v/>
      </c>
    </row>
    <row r="562">
      <c r="A562">
        <f>Data!E593</f>
        <v/>
      </c>
      <c r="B562">
        <f>Data!G593</f>
        <v/>
      </c>
      <c r="C562">
        <f>Data!H593</f>
        <v/>
      </c>
      <c r="D562">
        <f>Data!I593</f>
        <v/>
      </c>
      <c r="E562">
        <f>Data!M593</f>
        <v/>
      </c>
      <c r="F562">
        <f>Data!O593</f>
        <v/>
      </c>
      <c r="G562">
        <f>E562-F562</f>
        <v/>
      </c>
      <c r="H562">
        <f>Data!P593</f>
        <v/>
      </c>
      <c r="I562">
        <f>G562+H562</f>
        <v/>
      </c>
      <c r="J562">
        <f>F562+G562+H562</f>
        <v/>
      </c>
      <c r="K562">
        <f>Data!R593</f>
        <v/>
      </c>
      <c r="L562">
        <f>Data!T593</f>
        <v/>
      </c>
      <c r="M562">
        <f>AND(E562=0,F562=0,G562=0,H562=0,I562=0,J562=0,K562=0,L562=0)</f>
        <v/>
      </c>
      <c r="N562">
        <f>G562&lt;=$T$6</f>
        <v/>
      </c>
      <c r="O562">
        <f>G562&lt;=$T$12</f>
        <v/>
      </c>
      <c r="P562">
        <f>OR(AND(H562&gt;=$T$4,K562&lt;=$T$5,N562),M562)</f>
        <v/>
      </c>
      <c r="Q562">
        <f>OR(AND(I562&gt;=$T$10,K562&lt;=$T$11,O562),M562)</f>
        <v/>
      </c>
    </row>
    <row r="563">
      <c r="A563">
        <f>Data!E594</f>
        <v/>
      </c>
      <c r="B563">
        <f>Data!G594</f>
        <v/>
      </c>
      <c r="C563">
        <f>Data!H594</f>
        <v/>
      </c>
      <c r="D563">
        <f>Data!I594</f>
        <v/>
      </c>
      <c r="E563">
        <f>Data!M594</f>
        <v/>
      </c>
      <c r="F563">
        <f>Data!O594</f>
        <v/>
      </c>
      <c r="G563">
        <f>E563-F563</f>
        <v/>
      </c>
      <c r="H563">
        <f>Data!P594</f>
        <v/>
      </c>
      <c r="I563">
        <f>G563+H563</f>
        <v/>
      </c>
      <c r="J563">
        <f>F563+G563+H563</f>
        <v/>
      </c>
      <c r="K563">
        <f>Data!R594</f>
        <v/>
      </c>
      <c r="L563">
        <f>Data!T594</f>
        <v/>
      </c>
      <c r="M563">
        <f>AND(E563=0,F563=0,G563=0,H563=0,I563=0,J563=0,K563=0,L563=0)</f>
        <v/>
      </c>
      <c r="N563">
        <f>G563&lt;=$T$6</f>
        <v/>
      </c>
      <c r="O563">
        <f>G563&lt;=$T$12</f>
        <v/>
      </c>
      <c r="P563">
        <f>OR(AND(H563&gt;=$T$4,K563&lt;=$T$5,N563),M563)</f>
        <v/>
      </c>
      <c r="Q563">
        <f>OR(AND(I563&gt;=$T$10,K563&lt;=$T$11,O563),M563)</f>
        <v/>
      </c>
    </row>
    <row r="564">
      <c r="A564">
        <f>Data!E595</f>
        <v/>
      </c>
      <c r="B564">
        <f>Data!G595</f>
        <v/>
      </c>
      <c r="C564">
        <f>Data!H595</f>
        <v/>
      </c>
      <c r="D564">
        <f>Data!I595</f>
        <v/>
      </c>
      <c r="E564">
        <f>Data!M595</f>
        <v/>
      </c>
      <c r="F564">
        <f>Data!O595</f>
        <v/>
      </c>
      <c r="G564">
        <f>E564-F564</f>
        <v/>
      </c>
      <c r="H564">
        <f>Data!P595</f>
        <v/>
      </c>
      <c r="I564">
        <f>G564+H564</f>
        <v/>
      </c>
      <c r="J564">
        <f>F564+G564+H564</f>
        <v/>
      </c>
      <c r="K564">
        <f>Data!R595</f>
        <v/>
      </c>
      <c r="L564">
        <f>Data!T595</f>
        <v/>
      </c>
      <c r="M564">
        <f>AND(E564=0,F564=0,G564=0,H564=0,I564=0,J564=0,K564=0,L564=0)</f>
        <v/>
      </c>
      <c r="N564">
        <f>G564&lt;=$T$6</f>
        <v/>
      </c>
      <c r="O564">
        <f>G564&lt;=$T$12</f>
        <v/>
      </c>
      <c r="P564">
        <f>OR(AND(H564&gt;=$T$4,K564&lt;=$T$5,N564),M564)</f>
        <v/>
      </c>
      <c r="Q564">
        <f>OR(AND(I564&gt;=$T$10,K564&lt;=$T$11,O564),M564)</f>
        <v/>
      </c>
    </row>
    <row r="565">
      <c r="A565">
        <f>Data!E596</f>
        <v/>
      </c>
      <c r="B565">
        <f>Data!G596</f>
        <v/>
      </c>
      <c r="C565">
        <f>Data!H596</f>
        <v/>
      </c>
      <c r="D565">
        <f>Data!I596</f>
        <v/>
      </c>
      <c r="E565">
        <f>Data!M596</f>
        <v/>
      </c>
      <c r="F565">
        <f>Data!O596</f>
        <v/>
      </c>
      <c r="G565">
        <f>E565-F565</f>
        <v/>
      </c>
      <c r="H565">
        <f>Data!P596</f>
        <v/>
      </c>
      <c r="I565">
        <f>G565+H565</f>
        <v/>
      </c>
      <c r="J565">
        <f>F565+G565+H565</f>
        <v/>
      </c>
      <c r="K565">
        <f>Data!R596</f>
        <v/>
      </c>
      <c r="L565">
        <f>Data!T596</f>
        <v/>
      </c>
      <c r="M565">
        <f>AND(E565=0,F565=0,G565=0,H565=0,I565=0,J565=0,K565=0,L565=0)</f>
        <v/>
      </c>
      <c r="N565">
        <f>G565&lt;=$T$6</f>
        <v/>
      </c>
      <c r="O565">
        <f>G565&lt;=$T$12</f>
        <v/>
      </c>
      <c r="P565">
        <f>OR(AND(H565&gt;=$T$4,K565&lt;=$T$5,N565),M565)</f>
        <v/>
      </c>
      <c r="Q565">
        <f>OR(AND(I565&gt;=$T$10,K565&lt;=$T$11,O565),M565)</f>
        <v/>
      </c>
    </row>
    <row r="566">
      <c r="A566">
        <f>Data!E597</f>
        <v/>
      </c>
      <c r="B566">
        <f>Data!G597</f>
        <v/>
      </c>
      <c r="C566">
        <f>Data!H597</f>
        <v/>
      </c>
      <c r="D566">
        <f>Data!I597</f>
        <v/>
      </c>
      <c r="E566">
        <f>Data!M597</f>
        <v/>
      </c>
      <c r="F566">
        <f>Data!O597</f>
        <v/>
      </c>
      <c r="G566">
        <f>E566-F566</f>
        <v/>
      </c>
      <c r="H566">
        <f>Data!P597</f>
        <v/>
      </c>
      <c r="I566">
        <f>G566+H566</f>
        <v/>
      </c>
      <c r="J566">
        <f>F566+G566+H566</f>
        <v/>
      </c>
      <c r="K566">
        <f>Data!R597</f>
        <v/>
      </c>
      <c r="L566">
        <f>Data!T597</f>
        <v/>
      </c>
      <c r="M566">
        <f>AND(E566=0,F566=0,G566=0,H566=0,I566=0,J566=0,K566=0,L566=0)</f>
        <v/>
      </c>
      <c r="N566">
        <f>G566&lt;=$T$6</f>
        <v/>
      </c>
      <c r="O566">
        <f>G566&lt;=$T$12</f>
        <v/>
      </c>
      <c r="P566">
        <f>OR(AND(H566&gt;=$T$4,K566&lt;=$T$5,N566),M566)</f>
        <v/>
      </c>
      <c r="Q566">
        <f>OR(AND(I566&gt;=$T$10,K566&lt;=$T$11,O566),M566)</f>
        <v/>
      </c>
    </row>
    <row r="567">
      <c r="A567">
        <f>Data!E598</f>
        <v/>
      </c>
      <c r="B567">
        <f>Data!G598</f>
        <v/>
      </c>
      <c r="C567">
        <f>Data!H598</f>
        <v/>
      </c>
      <c r="D567">
        <f>Data!I598</f>
        <v/>
      </c>
      <c r="E567">
        <f>Data!M598</f>
        <v/>
      </c>
      <c r="F567">
        <f>Data!O598</f>
        <v/>
      </c>
      <c r="G567">
        <f>E567-F567</f>
        <v/>
      </c>
      <c r="H567">
        <f>Data!P598</f>
        <v/>
      </c>
      <c r="I567">
        <f>G567+H567</f>
        <v/>
      </c>
      <c r="J567">
        <f>F567+G567+H567</f>
        <v/>
      </c>
      <c r="K567">
        <f>Data!R598</f>
        <v/>
      </c>
      <c r="L567">
        <f>Data!T598</f>
        <v/>
      </c>
      <c r="M567">
        <f>AND(E567=0,F567=0,G567=0,H567=0,I567=0,J567=0,K567=0,L567=0)</f>
        <v/>
      </c>
      <c r="N567">
        <f>G567&lt;=$T$6</f>
        <v/>
      </c>
      <c r="O567">
        <f>G567&lt;=$T$12</f>
        <v/>
      </c>
      <c r="P567">
        <f>OR(AND(H567&gt;=$T$4,K567&lt;=$T$5,N567),M567)</f>
        <v/>
      </c>
      <c r="Q567">
        <f>OR(AND(I567&gt;=$T$10,K567&lt;=$T$11,O567),M567)</f>
        <v/>
      </c>
    </row>
    <row r="568">
      <c r="A568">
        <f>Data!E599</f>
        <v/>
      </c>
      <c r="B568">
        <f>Data!G599</f>
        <v/>
      </c>
      <c r="C568">
        <f>Data!H599</f>
        <v/>
      </c>
      <c r="D568">
        <f>Data!I599</f>
        <v/>
      </c>
      <c r="E568">
        <f>Data!M599</f>
        <v/>
      </c>
      <c r="F568">
        <f>Data!O599</f>
        <v/>
      </c>
      <c r="G568">
        <f>E568-F568</f>
        <v/>
      </c>
      <c r="H568">
        <f>Data!P599</f>
        <v/>
      </c>
      <c r="I568">
        <f>G568+H568</f>
        <v/>
      </c>
      <c r="J568">
        <f>F568+G568+H568</f>
        <v/>
      </c>
      <c r="K568">
        <f>Data!R599</f>
        <v/>
      </c>
      <c r="L568">
        <f>Data!T599</f>
        <v/>
      </c>
      <c r="M568">
        <f>AND(E568=0,F568=0,G568=0,H568=0,I568=0,J568=0,K568=0,L568=0)</f>
        <v/>
      </c>
      <c r="N568">
        <f>G568&lt;=$T$6</f>
        <v/>
      </c>
      <c r="O568">
        <f>G568&lt;=$T$12</f>
        <v/>
      </c>
      <c r="P568">
        <f>OR(AND(H568&gt;=$T$4,K568&lt;=$T$5,N568),M568)</f>
        <v/>
      </c>
      <c r="Q568">
        <f>OR(AND(I568&gt;=$T$10,K568&lt;=$T$11,O568),M568)</f>
        <v/>
      </c>
    </row>
    <row r="569">
      <c r="A569">
        <f>Data!E600</f>
        <v/>
      </c>
      <c r="B569">
        <f>Data!G600</f>
        <v/>
      </c>
      <c r="C569">
        <f>Data!H600</f>
        <v/>
      </c>
      <c r="D569">
        <f>Data!I600</f>
        <v/>
      </c>
      <c r="E569">
        <f>Data!M600</f>
        <v/>
      </c>
      <c r="F569">
        <f>Data!O600</f>
        <v/>
      </c>
      <c r="G569">
        <f>E569-F569</f>
        <v/>
      </c>
      <c r="H569">
        <f>Data!P600</f>
        <v/>
      </c>
      <c r="I569">
        <f>G569+H569</f>
        <v/>
      </c>
      <c r="J569">
        <f>F569+G569+H569</f>
        <v/>
      </c>
      <c r="K569">
        <f>Data!R600</f>
        <v/>
      </c>
      <c r="L569">
        <f>Data!T600</f>
        <v/>
      </c>
      <c r="M569">
        <f>AND(E569=0,F569=0,G569=0,H569=0,I569=0,J569=0,K569=0,L569=0)</f>
        <v/>
      </c>
      <c r="N569">
        <f>G569&lt;=$T$6</f>
        <v/>
      </c>
      <c r="O569">
        <f>G569&lt;=$T$12</f>
        <v/>
      </c>
      <c r="P569">
        <f>OR(AND(H569&gt;=$T$4,K569&lt;=$T$5,N569),M569)</f>
        <v/>
      </c>
      <c r="Q569">
        <f>OR(AND(I569&gt;=$T$10,K569&lt;=$T$11,O569),M569)</f>
        <v/>
      </c>
    </row>
    <row r="570">
      <c r="A570">
        <f>Data!E601</f>
        <v/>
      </c>
      <c r="B570">
        <f>Data!G601</f>
        <v/>
      </c>
      <c r="C570">
        <f>Data!H601</f>
        <v/>
      </c>
      <c r="D570">
        <f>Data!I601</f>
        <v/>
      </c>
      <c r="E570">
        <f>Data!M601</f>
        <v/>
      </c>
      <c r="F570">
        <f>Data!O601</f>
        <v/>
      </c>
      <c r="G570">
        <f>E570-F570</f>
        <v/>
      </c>
      <c r="H570">
        <f>Data!P601</f>
        <v/>
      </c>
      <c r="I570">
        <f>G570+H570</f>
        <v/>
      </c>
      <c r="J570">
        <f>F570+G570+H570</f>
        <v/>
      </c>
      <c r="K570">
        <f>Data!R601</f>
        <v/>
      </c>
      <c r="L570">
        <f>Data!T601</f>
        <v/>
      </c>
      <c r="M570">
        <f>AND(E570=0,F570=0,G570=0,H570=0,I570=0,J570=0,K570=0,L570=0)</f>
        <v/>
      </c>
      <c r="N570">
        <f>G570&lt;=$T$6</f>
        <v/>
      </c>
      <c r="O570">
        <f>G570&lt;=$T$12</f>
        <v/>
      </c>
      <c r="P570">
        <f>OR(AND(H570&gt;=$T$4,K570&lt;=$T$5,N570),M570)</f>
        <v/>
      </c>
      <c r="Q570">
        <f>OR(AND(I570&gt;=$T$10,K570&lt;=$T$11,O570),M570)</f>
        <v/>
      </c>
    </row>
    <row r="571">
      <c r="A571">
        <f>Data!E602</f>
        <v/>
      </c>
      <c r="B571">
        <f>Data!G602</f>
        <v/>
      </c>
      <c r="C571">
        <f>Data!H602</f>
        <v/>
      </c>
      <c r="D571">
        <f>Data!I602</f>
        <v/>
      </c>
      <c r="E571">
        <f>Data!M602</f>
        <v/>
      </c>
      <c r="F571">
        <f>Data!O602</f>
        <v/>
      </c>
      <c r="G571">
        <f>E571-F571</f>
        <v/>
      </c>
      <c r="H571">
        <f>Data!P602</f>
        <v/>
      </c>
      <c r="I571">
        <f>G571+H571</f>
        <v/>
      </c>
      <c r="J571">
        <f>F571+G571+H571</f>
        <v/>
      </c>
      <c r="K571">
        <f>Data!R602</f>
        <v/>
      </c>
      <c r="L571">
        <f>Data!T602</f>
        <v/>
      </c>
      <c r="M571">
        <f>AND(E571=0,F571=0,G571=0,H571=0,I571=0,J571=0,K571=0,L571=0)</f>
        <v/>
      </c>
      <c r="N571">
        <f>G571&lt;=$T$6</f>
        <v/>
      </c>
      <c r="O571">
        <f>G571&lt;=$T$12</f>
        <v/>
      </c>
      <c r="P571">
        <f>OR(AND(H571&gt;=$T$4,K571&lt;=$T$5,N571),M571)</f>
        <v/>
      </c>
      <c r="Q571">
        <f>OR(AND(I571&gt;=$T$10,K571&lt;=$T$11,O571),M571)</f>
        <v/>
      </c>
    </row>
    <row r="572">
      <c r="A572">
        <f>Data!E603</f>
        <v/>
      </c>
      <c r="B572">
        <f>Data!G603</f>
        <v/>
      </c>
      <c r="C572">
        <f>Data!H603</f>
        <v/>
      </c>
      <c r="D572">
        <f>Data!I603</f>
        <v/>
      </c>
      <c r="E572">
        <f>Data!M603</f>
        <v/>
      </c>
      <c r="F572">
        <f>Data!O603</f>
        <v/>
      </c>
      <c r="G572">
        <f>E572-F572</f>
        <v/>
      </c>
      <c r="H572">
        <f>Data!P603</f>
        <v/>
      </c>
      <c r="I572">
        <f>G572+H572</f>
        <v/>
      </c>
      <c r="J572">
        <f>F572+G572+H572</f>
        <v/>
      </c>
      <c r="K572">
        <f>Data!R603</f>
        <v/>
      </c>
      <c r="L572">
        <f>Data!T603</f>
        <v/>
      </c>
      <c r="M572">
        <f>AND(E572=0,F572=0,G572=0,H572=0,I572=0,J572=0,K572=0,L572=0)</f>
        <v/>
      </c>
      <c r="N572">
        <f>G572&lt;=$T$6</f>
        <v/>
      </c>
      <c r="O572">
        <f>G572&lt;=$T$12</f>
        <v/>
      </c>
      <c r="P572">
        <f>OR(AND(H572&gt;=$T$4,K572&lt;=$T$5,N572),M572)</f>
        <v/>
      </c>
      <c r="Q572">
        <f>OR(AND(I572&gt;=$T$10,K572&lt;=$T$11,O572),M572)</f>
        <v/>
      </c>
    </row>
    <row r="573">
      <c r="A573">
        <f>Data!E604</f>
        <v/>
      </c>
      <c r="B573">
        <f>Data!G604</f>
        <v/>
      </c>
      <c r="C573">
        <f>Data!H604</f>
        <v/>
      </c>
      <c r="D573">
        <f>Data!I604</f>
        <v/>
      </c>
      <c r="E573">
        <f>Data!M604</f>
        <v/>
      </c>
      <c r="F573">
        <f>Data!O604</f>
        <v/>
      </c>
      <c r="G573">
        <f>E573-F573</f>
        <v/>
      </c>
      <c r="H573">
        <f>Data!P604</f>
        <v/>
      </c>
      <c r="I573">
        <f>G573+H573</f>
        <v/>
      </c>
      <c r="J573">
        <f>F573+G573+H573</f>
        <v/>
      </c>
      <c r="K573">
        <f>Data!R604</f>
        <v/>
      </c>
      <c r="L573">
        <f>Data!T604</f>
        <v/>
      </c>
      <c r="M573">
        <f>AND(E573=0,F573=0,G573=0,H573=0,I573=0,J573=0,K573=0,L573=0)</f>
        <v/>
      </c>
      <c r="N573">
        <f>G573&lt;=$T$6</f>
        <v/>
      </c>
      <c r="O573">
        <f>G573&lt;=$T$12</f>
        <v/>
      </c>
      <c r="P573">
        <f>OR(AND(H573&gt;=$T$4,K573&lt;=$T$5,N573),M573)</f>
        <v/>
      </c>
      <c r="Q573">
        <f>OR(AND(I573&gt;=$T$10,K573&lt;=$T$11,O573),M573)</f>
        <v/>
      </c>
    </row>
    <row r="574">
      <c r="A574">
        <f>Data!E605</f>
        <v/>
      </c>
      <c r="B574">
        <f>Data!G605</f>
        <v/>
      </c>
      <c r="C574">
        <f>Data!H605</f>
        <v/>
      </c>
      <c r="D574">
        <f>Data!I605</f>
        <v/>
      </c>
      <c r="E574">
        <f>Data!M605</f>
        <v/>
      </c>
      <c r="F574">
        <f>Data!O605</f>
        <v/>
      </c>
      <c r="G574">
        <f>E574-F574</f>
        <v/>
      </c>
      <c r="H574">
        <f>Data!P605</f>
        <v/>
      </c>
      <c r="I574">
        <f>G574+H574</f>
        <v/>
      </c>
      <c r="J574">
        <f>F574+G574+H574</f>
        <v/>
      </c>
      <c r="K574">
        <f>Data!R605</f>
        <v/>
      </c>
      <c r="L574">
        <f>Data!T605</f>
        <v/>
      </c>
      <c r="M574">
        <f>AND(E574=0,F574=0,G574=0,H574=0,I574=0,J574=0,K574=0,L574=0)</f>
        <v/>
      </c>
      <c r="N574">
        <f>G574&lt;=$T$6</f>
        <v/>
      </c>
      <c r="O574">
        <f>G574&lt;=$T$12</f>
        <v/>
      </c>
      <c r="P574">
        <f>OR(AND(H574&gt;=$T$4,K574&lt;=$T$5,N574),M574)</f>
        <v/>
      </c>
      <c r="Q574">
        <f>OR(AND(I574&gt;=$T$10,K574&lt;=$T$11,O574),M574)</f>
        <v/>
      </c>
    </row>
    <row r="575">
      <c r="A575">
        <f>Data!E606</f>
        <v/>
      </c>
      <c r="B575">
        <f>Data!G606</f>
        <v/>
      </c>
      <c r="C575">
        <f>Data!H606</f>
        <v/>
      </c>
      <c r="D575">
        <f>Data!I606</f>
        <v/>
      </c>
      <c r="E575">
        <f>Data!M606</f>
        <v/>
      </c>
      <c r="F575">
        <f>Data!O606</f>
        <v/>
      </c>
      <c r="G575">
        <f>E575-F575</f>
        <v/>
      </c>
      <c r="H575">
        <f>Data!P606</f>
        <v/>
      </c>
      <c r="I575">
        <f>G575+H575</f>
        <v/>
      </c>
      <c r="J575">
        <f>F575+G575+H575</f>
        <v/>
      </c>
      <c r="K575">
        <f>Data!R606</f>
        <v/>
      </c>
      <c r="L575">
        <f>Data!T606</f>
        <v/>
      </c>
      <c r="M575">
        <f>AND(E575=0,F575=0,G575=0,H575=0,I575=0,J575=0,K575=0,L575=0)</f>
        <v/>
      </c>
      <c r="N575">
        <f>G575&lt;=$T$6</f>
        <v/>
      </c>
      <c r="O575">
        <f>G575&lt;=$T$12</f>
        <v/>
      </c>
      <c r="P575">
        <f>OR(AND(H575&gt;=$T$4,K575&lt;=$T$5,N575),M575)</f>
        <v/>
      </c>
      <c r="Q575">
        <f>OR(AND(I575&gt;=$T$10,K575&lt;=$T$11,O575),M575)</f>
        <v/>
      </c>
    </row>
    <row r="576">
      <c r="A576">
        <f>Data!E607</f>
        <v/>
      </c>
      <c r="B576">
        <f>Data!G607</f>
        <v/>
      </c>
      <c r="C576">
        <f>Data!H607</f>
        <v/>
      </c>
      <c r="D576">
        <f>Data!I607</f>
        <v/>
      </c>
      <c r="E576">
        <f>Data!M607</f>
        <v/>
      </c>
      <c r="F576">
        <f>Data!O607</f>
        <v/>
      </c>
      <c r="G576">
        <f>E576-F576</f>
        <v/>
      </c>
      <c r="H576">
        <f>Data!P607</f>
        <v/>
      </c>
      <c r="I576">
        <f>G576+H576</f>
        <v/>
      </c>
      <c r="J576">
        <f>F576+G576+H576</f>
        <v/>
      </c>
      <c r="K576">
        <f>Data!R607</f>
        <v/>
      </c>
      <c r="L576">
        <f>Data!T607</f>
        <v/>
      </c>
      <c r="M576">
        <f>AND(E576=0,F576=0,G576=0,H576=0,I576=0,J576=0,K576=0,L576=0)</f>
        <v/>
      </c>
      <c r="N576">
        <f>G576&lt;=$T$6</f>
        <v/>
      </c>
      <c r="O576">
        <f>G576&lt;=$T$12</f>
        <v/>
      </c>
      <c r="P576">
        <f>OR(AND(H576&gt;=$T$4,K576&lt;=$T$5,N576),M576)</f>
        <v/>
      </c>
      <c r="Q576">
        <f>OR(AND(I576&gt;=$T$10,K576&lt;=$T$11,O576),M576)</f>
        <v/>
      </c>
    </row>
    <row r="577">
      <c r="A577">
        <f>Data!E608</f>
        <v/>
      </c>
      <c r="B577">
        <f>Data!G608</f>
        <v/>
      </c>
      <c r="C577">
        <f>Data!H608</f>
        <v/>
      </c>
      <c r="D577">
        <f>Data!I608</f>
        <v/>
      </c>
      <c r="E577">
        <f>Data!M608</f>
        <v/>
      </c>
      <c r="F577">
        <f>Data!O608</f>
        <v/>
      </c>
      <c r="G577">
        <f>E577-F577</f>
        <v/>
      </c>
      <c r="H577">
        <f>Data!P608</f>
        <v/>
      </c>
      <c r="I577">
        <f>G577+H577</f>
        <v/>
      </c>
      <c r="J577">
        <f>F577+G577+H577</f>
        <v/>
      </c>
      <c r="K577">
        <f>Data!R608</f>
        <v/>
      </c>
      <c r="L577">
        <f>Data!T608</f>
        <v/>
      </c>
      <c r="M577">
        <f>AND(E577=0,F577=0,G577=0,H577=0,I577=0,J577=0,K577=0,L577=0)</f>
        <v/>
      </c>
      <c r="N577">
        <f>G577&lt;=$T$6</f>
        <v/>
      </c>
      <c r="O577">
        <f>G577&lt;=$T$12</f>
        <v/>
      </c>
      <c r="P577">
        <f>OR(AND(H577&gt;=$T$4,K577&lt;=$T$5,N577),M577)</f>
        <v/>
      </c>
      <c r="Q577">
        <f>OR(AND(I577&gt;=$T$10,K577&lt;=$T$11,O577),M577)</f>
        <v/>
      </c>
    </row>
    <row r="578">
      <c r="A578">
        <f>Data!E609</f>
        <v/>
      </c>
      <c r="B578">
        <f>Data!G609</f>
        <v/>
      </c>
      <c r="C578">
        <f>Data!H609</f>
        <v/>
      </c>
      <c r="D578">
        <f>Data!I609</f>
        <v/>
      </c>
      <c r="E578">
        <f>Data!M609</f>
        <v/>
      </c>
      <c r="F578">
        <f>Data!O609</f>
        <v/>
      </c>
      <c r="G578">
        <f>E578-F578</f>
        <v/>
      </c>
      <c r="H578">
        <f>Data!P609</f>
        <v/>
      </c>
      <c r="I578">
        <f>G578+H578</f>
        <v/>
      </c>
      <c r="J578">
        <f>F578+G578+H578</f>
        <v/>
      </c>
      <c r="K578">
        <f>Data!R609</f>
        <v/>
      </c>
      <c r="L578">
        <f>Data!T609</f>
        <v/>
      </c>
      <c r="M578">
        <f>AND(E578=0,F578=0,G578=0,H578=0,I578=0,J578=0,K578=0,L578=0)</f>
        <v/>
      </c>
      <c r="N578">
        <f>G578&lt;=$T$6</f>
        <v/>
      </c>
      <c r="O578">
        <f>G578&lt;=$T$12</f>
        <v/>
      </c>
      <c r="P578">
        <f>OR(AND(H578&gt;=$T$4,K578&lt;=$T$5,N578),M578)</f>
        <v/>
      </c>
      <c r="Q578">
        <f>OR(AND(I578&gt;=$T$10,K578&lt;=$T$11,O578),M578)</f>
        <v/>
      </c>
    </row>
    <row r="579">
      <c r="A579">
        <f>Data!E611</f>
        <v/>
      </c>
      <c r="B579">
        <f>Data!G611</f>
        <v/>
      </c>
      <c r="C579">
        <f>Data!H611</f>
        <v/>
      </c>
      <c r="D579">
        <f>Data!I611</f>
        <v/>
      </c>
      <c r="E579">
        <f>Data!M611</f>
        <v/>
      </c>
      <c r="F579">
        <f>Data!O611</f>
        <v/>
      </c>
      <c r="G579">
        <f>E579-F579</f>
        <v/>
      </c>
      <c r="H579">
        <f>Data!P611</f>
        <v/>
      </c>
      <c r="I579">
        <f>G579+H579</f>
        <v/>
      </c>
      <c r="J579">
        <f>F579+G579+H579</f>
        <v/>
      </c>
      <c r="K579">
        <f>Data!R611</f>
        <v/>
      </c>
      <c r="L579">
        <f>Data!T611</f>
        <v/>
      </c>
      <c r="M579">
        <f>AND(E579=0,F579=0,G579=0,H579=0,I579=0,J579=0,K579=0,L579=0)</f>
        <v/>
      </c>
      <c r="N579">
        <f>G579&lt;=$T$6</f>
        <v/>
      </c>
      <c r="O579">
        <f>G579&lt;=$T$12</f>
        <v/>
      </c>
      <c r="P579">
        <f>OR(AND(H579&gt;=$T$4,K579&lt;=$T$5,N579),M579)</f>
        <v/>
      </c>
      <c r="Q579">
        <f>OR(AND(I579&gt;=$T$10,K579&lt;=$T$11,O579),M579)</f>
        <v/>
      </c>
    </row>
    <row r="580">
      <c r="A580">
        <f>Data!E612</f>
        <v/>
      </c>
      <c r="B580">
        <f>Data!G612</f>
        <v/>
      </c>
      <c r="C580">
        <f>Data!H612</f>
        <v/>
      </c>
      <c r="D580">
        <f>Data!I612</f>
        <v/>
      </c>
      <c r="E580">
        <f>Data!M612</f>
        <v/>
      </c>
      <c r="F580">
        <f>Data!O612</f>
        <v/>
      </c>
      <c r="G580">
        <f>E580-F580</f>
        <v/>
      </c>
      <c r="H580">
        <f>Data!P612</f>
        <v/>
      </c>
      <c r="I580">
        <f>G580+H580</f>
        <v/>
      </c>
      <c r="J580">
        <f>F580+G580+H580</f>
        <v/>
      </c>
      <c r="K580">
        <f>Data!R612</f>
        <v/>
      </c>
      <c r="L580">
        <f>Data!T612</f>
        <v/>
      </c>
      <c r="M580">
        <f>AND(E580=0,F580=0,G580=0,H580=0,I580=0,J580=0,K580=0,L580=0)</f>
        <v/>
      </c>
      <c r="N580">
        <f>G580&lt;=$T$6</f>
        <v/>
      </c>
      <c r="O580">
        <f>G580&lt;=$T$12</f>
        <v/>
      </c>
      <c r="P580">
        <f>OR(AND(H580&gt;=$T$4,K580&lt;=$T$5,N580),M580)</f>
        <v/>
      </c>
      <c r="Q580">
        <f>OR(AND(I580&gt;=$T$10,K580&lt;=$T$11,O580),M580)</f>
        <v/>
      </c>
    </row>
    <row r="581">
      <c r="A581">
        <f>Data!E613</f>
        <v/>
      </c>
      <c r="B581">
        <f>Data!G613</f>
        <v/>
      </c>
      <c r="C581">
        <f>Data!H613</f>
        <v/>
      </c>
      <c r="D581">
        <f>Data!I613</f>
        <v/>
      </c>
      <c r="E581">
        <f>Data!M613</f>
        <v/>
      </c>
      <c r="F581">
        <f>Data!O613</f>
        <v/>
      </c>
      <c r="G581">
        <f>E581-F581</f>
        <v/>
      </c>
      <c r="H581">
        <f>Data!P613</f>
        <v/>
      </c>
      <c r="I581">
        <f>G581+H581</f>
        <v/>
      </c>
      <c r="J581">
        <f>F581+G581+H581</f>
        <v/>
      </c>
      <c r="K581">
        <f>Data!R613</f>
        <v/>
      </c>
      <c r="L581">
        <f>Data!T613</f>
        <v/>
      </c>
      <c r="M581">
        <f>AND(E581=0,F581=0,G581=0,H581=0,I581=0,J581=0,K581=0,L581=0)</f>
        <v/>
      </c>
      <c r="N581">
        <f>G581&lt;=$T$6</f>
        <v/>
      </c>
      <c r="O581">
        <f>G581&lt;=$T$12</f>
        <v/>
      </c>
      <c r="P581">
        <f>OR(AND(H581&gt;=$T$4,K581&lt;=$T$5,N581),M581)</f>
        <v/>
      </c>
      <c r="Q581">
        <f>OR(AND(I581&gt;=$T$10,K581&lt;=$T$11,O581),M581)</f>
        <v/>
      </c>
    </row>
    <row r="582">
      <c r="A582">
        <f>Data!E614</f>
        <v/>
      </c>
      <c r="B582">
        <f>Data!G614</f>
        <v/>
      </c>
      <c r="C582">
        <f>Data!H614</f>
        <v/>
      </c>
      <c r="D582">
        <f>Data!I614</f>
        <v/>
      </c>
      <c r="E582">
        <f>Data!M614</f>
        <v/>
      </c>
      <c r="F582">
        <f>Data!O614</f>
        <v/>
      </c>
      <c r="G582">
        <f>E582-F582</f>
        <v/>
      </c>
      <c r="H582">
        <f>Data!P614</f>
        <v/>
      </c>
      <c r="I582">
        <f>G582+H582</f>
        <v/>
      </c>
      <c r="J582">
        <f>F582+G582+H582</f>
        <v/>
      </c>
      <c r="K582">
        <f>Data!R614</f>
        <v/>
      </c>
      <c r="L582">
        <f>Data!T614</f>
        <v/>
      </c>
      <c r="M582">
        <f>AND(E582=0,F582=0,G582=0,H582=0,I582=0,J582=0,K582=0,L582=0)</f>
        <v/>
      </c>
      <c r="N582">
        <f>G582&lt;=$T$6</f>
        <v/>
      </c>
      <c r="O582">
        <f>G582&lt;=$T$12</f>
        <v/>
      </c>
      <c r="P582">
        <f>OR(AND(H582&gt;=$T$4,K582&lt;=$T$5,N582),M582)</f>
        <v/>
      </c>
      <c r="Q582">
        <f>OR(AND(I582&gt;=$T$10,K582&lt;=$T$11,O582),M582)</f>
        <v/>
      </c>
    </row>
    <row r="583">
      <c r="A583">
        <f>Data!E615</f>
        <v/>
      </c>
      <c r="B583">
        <f>Data!G615</f>
        <v/>
      </c>
      <c r="C583">
        <f>Data!H615</f>
        <v/>
      </c>
      <c r="D583">
        <f>Data!I615</f>
        <v/>
      </c>
      <c r="E583">
        <f>Data!M615</f>
        <v/>
      </c>
      <c r="F583">
        <f>Data!O615</f>
        <v/>
      </c>
      <c r="G583">
        <f>E583-F583</f>
        <v/>
      </c>
      <c r="H583">
        <f>Data!P615</f>
        <v/>
      </c>
      <c r="I583">
        <f>G583+H583</f>
        <v/>
      </c>
      <c r="J583">
        <f>F583+G583+H583</f>
        <v/>
      </c>
      <c r="K583">
        <f>Data!R615</f>
        <v/>
      </c>
      <c r="L583">
        <f>Data!T615</f>
        <v/>
      </c>
      <c r="M583">
        <f>AND(E583=0,F583=0,G583=0,H583=0,I583=0,J583=0,K583=0,L583=0)</f>
        <v/>
      </c>
      <c r="N583">
        <f>G583&lt;=$T$6</f>
        <v/>
      </c>
      <c r="O583">
        <f>G583&lt;=$T$12</f>
        <v/>
      </c>
      <c r="P583">
        <f>OR(AND(H583&gt;=$T$4,K583&lt;=$T$5,N583),M583)</f>
        <v/>
      </c>
      <c r="Q583">
        <f>OR(AND(I583&gt;=$T$10,K583&lt;=$T$11,O583),M583)</f>
        <v/>
      </c>
    </row>
    <row r="584">
      <c r="A584">
        <f>Data!E616</f>
        <v/>
      </c>
      <c r="B584">
        <f>Data!G616</f>
        <v/>
      </c>
      <c r="C584">
        <f>Data!H616</f>
        <v/>
      </c>
      <c r="D584">
        <f>Data!I616</f>
        <v/>
      </c>
      <c r="E584">
        <f>Data!M616</f>
        <v/>
      </c>
      <c r="F584">
        <f>Data!O616</f>
        <v/>
      </c>
      <c r="G584">
        <f>E584-F584</f>
        <v/>
      </c>
      <c r="H584">
        <f>Data!P616</f>
        <v/>
      </c>
      <c r="I584">
        <f>G584+H584</f>
        <v/>
      </c>
      <c r="J584">
        <f>F584+G584+H584</f>
        <v/>
      </c>
      <c r="K584">
        <f>Data!R616</f>
        <v/>
      </c>
      <c r="L584">
        <f>Data!T616</f>
        <v/>
      </c>
      <c r="M584">
        <f>AND(E584=0,F584=0,G584=0,H584=0,I584=0,J584=0,K584=0,L584=0)</f>
        <v/>
      </c>
      <c r="N584">
        <f>G584&lt;=$T$6</f>
        <v/>
      </c>
      <c r="O584">
        <f>G584&lt;=$T$12</f>
        <v/>
      </c>
      <c r="P584">
        <f>OR(AND(H584&gt;=$T$4,K584&lt;=$T$5,N584),M584)</f>
        <v/>
      </c>
      <c r="Q584">
        <f>OR(AND(I584&gt;=$T$10,K584&lt;=$T$11,O584),M584)</f>
        <v/>
      </c>
    </row>
    <row r="585">
      <c r="A585">
        <f>Data!E617</f>
        <v/>
      </c>
      <c r="B585">
        <f>Data!G617</f>
        <v/>
      </c>
      <c r="C585">
        <f>Data!H617</f>
        <v/>
      </c>
      <c r="D585">
        <f>Data!I617</f>
        <v/>
      </c>
      <c r="E585">
        <f>Data!M617</f>
        <v/>
      </c>
      <c r="F585">
        <f>Data!O617</f>
        <v/>
      </c>
      <c r="G585">
        <f>E585-F585</f>
        <v/>
      </c>
      <c r="H585">
        <f>Data!P617</f>
        <v/>
      </c>
      <c r="I585">
        <f>G585+H585</f>
        <v/>
      </c>
      <c r="J585">
        <f>F585+G585+H585</f>
        <v/>
      </c>
      <c r="K585">
        <f>Data!R617</f>
        <v/>
      </c>
      <c r="L585">
        <f>Data!T617</f>
        <v/>
      </c>
      <c r="M585">
        <f>AND(E585=0,F585=0,G585=0,H585=0,I585=0,J585=0,K585=0,L585=0)</f>
        <v/>
      </c>
      <c r="N585">
        <f>G585&lt;=$T$6</f>
        <v/>
      </c>
      <c r="O585">
        <f>G585&lt;=$T$12</f>
        <v/>
      </c>
      <c r="P585">
        <f>OR(AND(H585&gt;=$T$4,K585&lt;=$T$5,N585),M585)</f>
        <v/>
      </c>
      <c r="Q585">
        <f>OR(AND(I585&gt;=$T$10,K585&lt;=$T$11,O585),M585)</f>
        <v/>
      </c>
    </row>
    <row r="586">
      <c r="A586">
        <f>Data!E618</f>
        <v/>
      </c>
      <c r="B586">
        <f>Data!G618</f>
        <v/>
      </c>
      <c r="C586">
        <f>Data!H618</f>
        <v/>
      </c>
      <c r="D586">
        <f>Data!I618</f>
        <v/>
      </c>
      <c r="E586">
        <f>Data!M618</f>
        <v/>
      </c>
      <c r="F586">
        <f>Data!O618</f>
        <v/>
      </c>
      <c r="G586">
        <f>E586-F586</f>
        <v/>
      </c>
      <c r="H586">
        <f>Data!P618</f>
        <v/>
      </c>
      <c r="I586">
        <f>G586+H586</f>
        <v/>
      </c>
      <c r="J586">
        <f>F586+G586+H586</f>
        <v/>
      </c>
      <c r="K586">
        <f>Data!R618</f>
        <v/>
      </c>
      <c r="L586">
        <f>Data!T618</f>
        <v/>
      </c>
      <c r="M586">
        <f>AND(E586=0,F586=0,G586=0,H586=0,I586=0,J586=0,K586=0,L586=0)</f>
        <v/>
      </c>
      <c r="N586">
        <f>G586&lt;=$T$6</f>
        <v/>
      </c>
      <c r="O586">
        <f>G586&lt;=$T$12</f>
        <v/>
      </c>
      <c r="P586">
        <f>OR(AND(H586&gt;=$T$4,K586&lt;=$T$5,N586),M586)</f>
        <v/>
      </c>
      <c r="Q586">
        <f>OR(AND(I586&gt;=$T$10,K586&lt;=$T$11,O586),M586)</f>
        <v/>
      </c>
    </row>
    <row r="587">
      <c r="A587">
        <f>Data!E619</f>
        <v/>
      </c>
      <c r="B587">
        <f>Data!G619</f>
        <v/>
      </c>
      <c r="C587">
        <f>Data!H619</f>
        <v/>
      </c>
      <c r="D587">
        <f>Data!I619</f>
        <v/>
      </c>
      <c r="E587">
        <f>Data!M619</f>
        <v/>
      </c>
      <c r="F587">
        <f>Data!O619</f>
        <v/>
      </c>
      <c r="G587">
        <f>E587-F587</f>
        <v/>
      </c>
      <c r="H587">
        <f>Data!P619</f>
        <v/>
      </c>
      <c r="I587">
        <f>G587+H587</f>
        <v/>
      </c>
      <c r="J587">
        <f>F587+G587+H587</f>
        <v/>
      </c>
      <c r="K587">
        <f>Data!R619</f>
        <v/>
      </c>
      <c r="L587">
        <f>Data!T619</f>
        <v/>
      </c>
      <c r="M587">
        <f>AND(E587=0,F587=0,G587=0,H587=0,I587=0,J587=0,K587=0,L587=0)</f>
        <v/>
      </c>
      <c r="N587">
        <f>G587&lt;=$T$6</f>
        <v/>
      </c>
      <c r="O587">
        <f>G587&lt;=$T$12</f>
        <v/>
      </c>
      <c r="P587">
        <f>OR(AND(H587&gt;=$T$4,K587&lt;=$T$5,N587),M587)</f>
        <v/>
      </c>
      <c r="Q587">
        <f>OR(AND(I587&gt;=$T$10,K587&lt;=$T$11,O587),M587)</f>
        <v/>
      </c>
    </row>
    <row r="588">
      <c r="A588">
        <f>Data!E620</f>
        <v/>
      </c>
      <c r="B588">
        <f>Data!G620</f>
        <v/>
      </c>
      <c r="C588">
        <f>Data!H620</f>
        <v/>
      </c>
      <c r="D588">
        <f>Data!I620</f>
        <v/>
      </c>
      <c r="E588">
        <f>Data!M620</f>
        <v/>
      </c>
      <c r="F588">
        <f>Data!O620</f>
        <v/>
      </c>
      <c r="G588">
        <f>E588-F588</f>
        <v/>
      </c>
      <c r="H588">
        <f>Data!P620</f>
        <v/>
      </c>
      <c r="I588">
        <f>G588+H588</f>
        <v/>
      </c>
      <c r="J588">
        <f>F588+G588+H588</f>
        <v/>
      </c>
      <c r="K588">
        <f>Data!R620</f>
        <v/>
      </c>
      <c r="L588">
        <f>Data!T620</f>
        <v/>
      </c>
      <c r="M588">
        <f>AND(E588=0,F588=0,G588=0,H588=0,I588=0,J588=0,K588=0,L588=0)</f>
        <v/>
      </c>
      <c r="N588">
        <f>G588&lt;=$T$6</f>
        <v/>
      </c>
      <c r="O588">
        <f>G588&lt;=$T$12</f>
        <v/>
      </c>
      <c r="P588">
        <f>OR(AND(H588&gt;=$T$4,K588&lt;=$T$5,N588),M588)</f>
        <v/>
      </c>
      <c r="Q588">
        <f>OR(AND(I588&gt;=$T$10,K588&lt;=$T$11,O588),M588)</f>
        <v/>
      </c>
    </row>
    <row r="589">
      <c r="A589">
        <f>Data!E621</f>
        <v/>
      </c>
      <c r="B589">
        <f>Data!G621</f>
        <v/>
      </c>
      <c r="C589">
        <f>Data!H621</f>
        <v/>
      </c>
      <c r="D589">
        <f>Data!I621</f>
        <v/>
      </c>
      <c r="E589">
        <f>Data!M621</f>
        <v/>
      </c>
      <c r="F589">
        <f>Data!O621</f>
        <v/>
      </c>
      <c r="G589">
        <f>E589-F589</f>
        <v/>
      </c>
      <c r="H589">
        <f>Data!P621</f>
        <v/>
      </c>
      <c r="I589">
        <f>G589+H589</f>
        <v/>
      </c>
      <c r="J589">
        <f>F589+G589+H589</f>
        <v/>
      </c>
      <c r="K589">
        <f>Data!R621</f>
        <v/>
      </c>
      <c r="L589">
        <f>Data!T621</f>
        <v/>
      </c>
      <c r="M589">
        <f>AND(E589=0,F589=0,G589=0,H589=0,I589=0,J589=0,K589=0,L589=0)</f>
        <v/>
      </c>
      <c r="N589">
        <f>G589&lt;=$T$6</f>
        <v/>
      </c>
      <c r="O589">
        <f>G589&lt;=$T$12</f>
        <v/>
      </c>
      <c r="P589">
        <f>OR(AND(H589&gt;=$T$4,K589&lt;=$T$5,N589),M589)</f>
        <v/>
      </c>
      <c r="Q589">
        <f>OR(AND(I589&gt;=$T$10,K589&lt;=$T$11,O589),M589)</f>
        <v/>
      </c>
    </row>
    <row r="590">
      <c r="A590">
        <f>Data!E622</f>
        <v/>
      </c>
      <c r="B590">
        <f>Data!G622</f>
        <v/>
      </c>
      <c r="C590">
        <f>Data!H622</f>
        <v/>
      </c>
      <c r="D590">
        <f>Data!I622</f>
        <v/>
      </c>
      <c r="E590">
        <f>Data!M622</f>
        <v/>
      </c>
      <c r="F590">
        <f>Data!O622</f>
        <v/>
      </c>
      <c r="G590">
        <f>E590-F590</f>
        <v/>
      </c>
      <c r="H590">
        <f>Data!P622</f>
        <v/>
      </c>
      <c r="I590">
        <f>G590+H590</f>
        <v/>
      </c>
      <c r="J590">
        <f>F590+G590+H590</f>
        <v/>
      </c>
      <c r="K590">
        <f>Data!R622</f>
        <v/>
      </c>
      <c r="L590">
        <f>Data!T622</f>
        <v/>
      </c>
      <c r="M590">
        <f>AND(E590=0,F590=0,G590=0,H590=0,I590=0,J590=0,K590=0,L590=0)</f>
        <v/>
      </c>
      <c r="N590">
        <f>G590&lt;=$T$6</f>
        <v/>
      </c>
      <c r="O590">
        <f>G590&lt;=$T$12</f>
        <v/>
      </c>
      <c r="P590">
        <f>OR(AND(H590&gt;=$T$4,K590&lt;=$T$5,N590),M590)</f>
        <v/>
      </c>
      <c r="Q590">
        <f>OR(AND(I590&gt;=$T$10,K590&lt;=$T$11,O590),M590)</f>
        <v/>
      </c>
    </row>
    <row r="591">
      <c r="A591">
        <f>Data!E623</f>
        <v/>
      </c>
      <c r="B591">
        <f>Data!G623</f>
        <v/>
      </c>
      <c r="C591">
        <f>Data!H623</f>
        <v/>
      </c>
      <c r="D591">
        <f>Data!I623</f>
        <v/>
      </c>
      <c r="E591">
        <f>Data!M623</f>
        <v/>
      </c>
      <c r="F591">
        <f>Data!O623</f>
        <v/>
      </c>
      <c r="G591">
        <f>E591-F591</f>
        <v/>
      </c>
      <c r="H591">
        <f>Data!P623</f>
        <v/>
      </c>
      <c r="I591">
        <f>G591+H591</f>
        <v/>
      </c>
      <c r="J591">
        <f>F591+G591+H591</f>
        <v/>
      </c>
      <c r="K591">
        <f>Data!R623</f>
        <v/>
      </c>
      <c r="L591">
        <f>Data!T623</f>
        <v/>
      </c>
      <c r="M591">
        <f>AND(E591=0,F591=0,G591=0,H591=0,I591=0,J591=0,K591=0,L591=0)</f>
        <v/>
      </c>
      <c r="N591">
        <f>G591&lt;=$T$6</f>
        <v/>
      </c>
      <c r="O591">
        <f>G591&lt;=$T$12</f>
        <v/>
      </c>
      <c r="P591">
        <f>OR(AND(H591&gt;=$T$4,K591&lt;=$T$5,N591),M591)</f>
        <v/>
      </c>
      <c r="Q591">
        <f>OR(AND(I591&gt;=$T$10,K591&lt;=$T$11,O591),M591)</f>
        <v/>
      </c>
    </row>
    <row r="592">
      <c r="A592">
        <f>Data!E624</f>
        <v/>
      </c>
      <c r="B592">
        <f>Data!G624</f>
        <v/>
      </c>
      <c r="C592">
        <f>Data!H624</f>
        <v/>
      </c>
      <c r="D592">
        <f>Data!I624</f>
        <v/>
      </c>
      <c r="E592">
        <f>Data!M624</f>
        <v/>
      </c>
      <c r="F592">
        <f>Data!O624</f>
        <v/>
      </c>
      <c r="G592">
        <f>E592-F592</f>
        <v/>
      </c>
      <c r="H592">
        <f>Data!P624</f>
        <v/>
      </c>
      <c r="I592">
        <f>G592+H592</f>
        <v/>
      </c>
      <c r="J592">
        <f>F592+G592+H592</f>
        <v/>
      </c>
      <c r="K592">
        <f>Data!R624</f>
        <v/>
      </c>
      <c r="L592">
        <f>Data!T624</f>
        <v/>
      </c>
      <c r="M592">
        <f>AND(E592=0,F592=0,G592=0,H592=0,I592=0,J592=0,K592=0,L592=0)</f>
        <v/>
      </c>
      <c r="N592">
        <f>G592&lt;=$T$6</f>
        <v/>
      </c>
      <c r="O592">
        <f>G592&lt;=$T$12</f>
        <v/>
      </c>
      <c r="P592">
        <f>OR(AND(H592&gt;=$T$4,K592&lt;=$T$5,N592),M592)</f>
        <v/>
      </c>
      <c r="Q592">
        <f>OR(AND(I592&gt;=$T$10,K592&lt;=$T$11,O592),M592)</f>
        <v/>
      </c>
    </row>
    <row r="593">
      <c r="A593">
        <f>Data!E625</f>
        <v/>
      </c>
      <c r="B593">
        <f>Data!G625</f>
        <v/>
      </c>
      <c r="C593">
        <f>Data!H625</f>
        <v/>
      </c>
      <c r="D593">
        <f>Data!I625</f>
        <v/>
      </c>
      <c r="E593">
        <f>Data!M625</f>
        <v/>
      </c>
      <c r="F593">
        <f>Data!O625</f>
        <v/>
      </c>
      <c r="G593">
        <f>E593-F593</f>
        <v/>
      </c>
      <c r="H593">
        <f>Data!P625</f>
        <v/>
      </c>
      <c r="I593">
        <f>G593+H593</f>
        <v/>
      </c>
      <c r="J593">
        <f>F593+G593+H593</f>
        <v/>
      </c>
      <c r="K593">
        <f>Data!R625</f>
        <v/>
      </c>
      <c r="L593">
        <f>Data!T625</f>
        <v/>
      </c>
      <c r="M593">
        <f>AND(E593=0,F593=0,G593=0,H593=0,I593=0,J593=0,K593=0,L593=0)</f>
        <v/>
      </c>
      <c r="N593">
        <f>G593&lt;=$T$6</f>
        <v/>
      </c>
      <c r="O593">
        <f>G593&lt;=$T$12</f>
        <v/>
      </c>
      <c r="P593">
        <f>OR(AND(H593&gt;=$T$4,K593&lt;=$T$5,N593),M593)</f>
        <v/>
      </c>
      <c r="Q593">
        <f>OR(AND(I593&gt;=$T$10,K593&lt;=$T$11,O593),M593)</f>
        <v/>
      </c>
    </row>
    <row r="594">
      <c r="A594">
        <f>Data!E626</f>
        <v/>
      </c>
      <c r="B594">
        <f>Data!G626</f>
        <v/>
      </c>
      <c r="C594">
        <f>Data!H626</f>
        <v/>
      </c>
      <c r="D594">
        <f>Data!I626</f>
        <v/>
      </c>
      <c r="E594">
        <f>Data!M626</f>
        <v/>
      </c>
      <c r="F594">
        <f>Data!O626</f>
        <v/>
      </c>
      <c r="G594">
        <f>E594-F594</f>
        <v/>
      </c>
      <c r="H594">
        <f>Data!P626</f>
        <v/>
      </c>
      <c r="I594">
        <f>G594+H594</f>
        <v/>
      </c>
      <c r="J594">
        <f>F594+G594+H594</f>
        <v/>
      </c>
      <c r="K594">
        <f>Data!R626</f>
        <v/>
      </c>
      <c r="L594">
        <f>Data!T626</f>
        <v/>
      </c>
      <c r="M594">
        <f>AND(E594=0,F594=0,G594=0,H594=0,I594=0,J594=0,K594=0,L594=0)</f>
        <v/>
      </c>
      <c r="N594">
        <f>G594&lt;=$T$6</f>
        <v/>
      </c>
      <c r="O594">
        <f>G594&lt;=$T$12</f>
        <v/>
      </c>
      <c r="P594">
        <f>OR(AND(H594&gt;=$T$4,K594&lt;=$T$5,N594),M594)</f>
        <v/>
      </c>
      <c r="Q594">
        <f>OR(AND(I594&gt;=$T$10,K594&lt;=$T$11,O594),M594)</f>
        <v/>
      </c>
    </row>
    <row r="595">
      <c r="A595">
        <f>Data!E627</f>
        <v/>
      </c>
      <c r="B595">
        <f>Data!G627</f>
        <v/>
      </c>
      <c r="C595">
        <f>Data!H627</f>
        <v/>
      </c>
      <c r="D595">
        <f>Data!I627</f>
        <v/>
      </c>
      <c r="E595">
        <f>Data!M627</f>
        <v/>
      </c>
      <c r="F595">
        <f>Data!O627</f>
        <v/>
      </c>
      <c r="G595">
        <f>E595-F595</f>
        <v/>
      </c>
      <c r="H595">
        <f>Data!P627</f>
        <v/>
      </c>
      <c r="I595">
        <f>G595+H595</f>
        <v/>
      </c>
      <c r="J595">
        <f>F595+G595+H595</f>
        <v/>
      </c>
      <c r="K595">
        <f>Data!R627</f>
        <v/>
      </c>
      <c r="L595">
        <f>Data!T627</f>
        <v/>
      </c>
      <c r="M595">
        <f>AND(E595=0,F595=0,G595=0,H595=0,I595=0,J595=0,K595=0,L595=0)</f>
        <v/>
      </c>
      <c r="N595">
        <f>G595&lt;=$T$6</f>
        <v/>
      </c>
      <c r="O595">
        <f>G595&lt;=$T$12</f>
        <v/>
      </c>
      <c r="P595">
        <f>OR(AND(H595&gt;=$T$4,K595&lt;=$T$5,N595),M595)</f>
        <v/>
      </c>
      <c r="Q595">
        <f>OR(AND(I595&gt;=$T$10,K595&lt;=$T$11,O595),M595)</f>
        <v/>
      </c>
    </row>
    <row r="596">
      <c r="A596">
        <f>Data!E628</f>
        <v/>
      </c>
      <c r="B596">
        <f>Data!G628</f>
        <v/>
      </c>
      <c r="C596">
        <f>Data!H628</f>
        <v/>
      </c>
      <c r="D596">
        <f>Data!I628</f>
        <v/>
      </c>
      <c r="E596">
        <f>Data!M628</f>
        <v/>
      </c>
      <c r="F596">
        <f>Data!O628</f>
        <v/>
      </c>
      <c r="G596">
        <f>E596-F596</f>
        <v/>
      </c>
      <c r="H596">
        <f>Data!P628</f>
        <v/>
      </c>
      <c r="I596">
        <f>G596+H596</f>
        <v/>
      </c>
      <c r="J596">
        <f>F596+G596+H596</f>
        <v/>
      </c>
      <c r="K596">
        <f>Data!R628</f>
        <v/>
      </c>
      <c r="L596">
        <f>Data!T628</f>
        <v/>
      </c>
      <c r="M596">
        <f>AND(E596=0,F596=0,G596=0,H596=0,I596=0,J596=0,K596=0,L596=0)</f>
        <v/>
      </c>
      <c r="N596">
        <f>G596&lt;=$T$6</f>
        <v/>
      </c>
      <c r="O596">
        <f>G596&lt;=$T$12</f>
        <v/>
      </c>
      <c r="P596">
        <f>OR(AND(H596&gt;=$T$4,K596&lt;=$T$5,N596),M596)</f>
        <v/>
      </c>
      <c r="Q596">
        <f>OR(AND(I596&gt;=$T$10,K596&lt;=$T$11,O596),M596)</f>
        <v/>
      </c>
    </row>
    <row r="597">
      <c r="A597">
        <f>Data!E629</f>
        <v/>
      </c>
      <c r="B597">
        <f>Data!G629</f>
        <v/>
      </c>
      <c r="C597">
        <f>Data!H629</f>
        <v/>
      </c>
      <c r="D597">
        <f>Data!I629</f>
        <v/>
      </c>
      <c r="E597">
        <f>Data!M629</f>
        <v/>
      </c>
      <c r="F597">
        <f>Data!O629</f>
        <v/>
      </c>
      <c r="G597">
        <f>E597-F597</f>
        <v/>
      </c>
      <c r="H597">
        <f>Data!P629</f>
        <v/>
      </c>
      <c r="I597">
        <f>G597+H597</f>
        <v/>
      </c>
      <c r="J597">
        <f>F597+G597+H597</f>
        <v/>
      </c>
      <c r="K597">
        <f>Data!R629</f>
        <v/>
      </c>
      <c r="L597">
        <f>Data!T629</f>
        <v/>
      </c>
      <c r="M597">
        <f>AND(E597=0,F597=0,G597=0,H597=0,I597=0,J597=0,K597=0,L597=0)</f>
        <v/>
      </c>
      <c r="N597">
        <f>G597&lt;=$T$6</f>
        <v/>
      </c>
      <c r="O597">
        <f>G597&lt;=$T$12</f>
        <v/>
      </c>
      <c r="P597">
        <f>OR(AND(H597&gt;=$T$4,K597&lt;=$T$5,N597),M597)</f>
        <v/>
      </c>
      <c r="Q597">
        <f>OR(AND(I597&gt;=$T$10,K597&lt;=$T$11,O597),M597)</f>
        <v/>
      </c>
    </row>
    <row r="598">
      <c r="A598">
        <f>Data!E630</f>
        <v/>
      </c>
      <c r="B598">
        <f>Data!G630</f>
        <v/>
      </c>
      <c r="C598">
        <f>Data!H630</f>
        <v/>
      </c>
      <c r="D598">
        <f>Data!I630</f>
        <v/>
      </c>
      <c r="E598">
        <f>Data!M630</f>
        <v/>
      </c>
      <c r="F598">
        <f>Data!O630</f>
        <v/>
      </c>
      <c r="G598">
        <f>E598-F598</f>
        <v/>
      </c>
      <c r="H598">
        <f>Data!P630</f>
        <v/>
      </c>
      <c r="I598">
        <f>G598+H598</f>
        <v/>
      </c>
      <c r="J598">
        <f>F598+G598+H598</f>
        <v/>
      </c>
      <c r="K598">
        <f>Data!R630</f>
        <v/>
      </c>
      <c r="L598">
        <f>Data!T630</f>
        <v/>
      </c>
      <c r="M598">
        <f>AND(E598=0,F598=0,G598=0,H598=0,I598=0,J598=0,K598=0,L598=0)</f>
        <v/>
      </c>
      <c r="N598">
        <f>G598&lt;=$T$6</f>
        <v/>
      </c>
      <c r="O598">
        <f>G598&lt;=$T$12</f>
        <v/>
      </c>
      <c r="P598">
        <f>OR(AND(H598&gt;=$T$4,K598&lt;=$T$5,N598),M598)</f>
        <v/>
      </c>
      <c r="Q598">
        <f>OR(AND(I598&gt;=$T$10,K598&lt;=$T$11,O598),M598)</f>
        <v/>
      </c>
    </row>
    <row r="599">
      <c r="A599">
        <f>Data!E631</f>
        <v/>
      </c>
      <c r="B599">
        <f>Data!G631</f>
        <v/>
      </c>
      <c r="C599">
        <f>Data!H631</f>
        <v/>
      </c>
      <c r="D599">
        <f>Data!I631</f>
        <v/>
      </c>
      <c r="E599">
        <f>Data!M631</f>
        <v/>
      </c>
      <c r="F599">
        <f>Data!O631</f>
        <v/>
      </c>
      <c r="G599">
        <f>E599-F599</f>
        <v/>
      </c>
      <c r="H599">
        <f>Data!P631</f>
        <v/>
      </c>
      <c r="I599">
        <f>G599+H599</f>
        <v/>
      </c>
      <c r="J599">
        <f>F599+G599+H599</f>
        <v/>
      </c>
      <c r="K599">
        <f>Data!R631</f>
        <v/>
      </c>
      <c r="L599">
        <f>Data!T631</f>
        <v/>
      </c>
      <c r="M599">
        <f>AND(E599=0,F599=0,G599=0,H599=0,I599=0,J599=0,K599=0,L599=0)</f>
        <v/>
      </c>
      <c r="N599">
        <f>G599&lt;=$T$6</f>
        <v/>
      </c>
      <c r="O599">
        <f>G599&lt;=$T$12</f>
        <v/>
      </c>
      <c r="P599">
        <f>OR(AND(H599&gt;=$T$4,K599&lt;=$T$5,N599),M599)</f>
        <v/>
      </c>
      <c r="Q599">
        <f>OR(AND(I599&gt;=$T$10,K599&lt;=$T$11,O599),M599)</f>
        <v/>
      </c>
    </row>
    <row r="600">
      <c r="A600">
        <f>Data!E632</f>
        <v/>
      </c>
      <c r="B600">
        <f>Data!G632</f>
        <v/>
      </c>
      <c r="C600">
        <f>Data!H632</f>
        <v/>
      </c>
      <c r="D600">
        <f>Data!I632</f>
        <v/>
      </c>
      <c r="E600">
        <f>Data!M632</f>
        <v/>
      </c>
      <c r="F600">
        <f>Data!O632</f>
        <v/>
      </c>
      <c r="G600">
        <f>E600-F600</f>
        <v/>
      </c>
      <c r="H600">
        <f>Data!P632</f>
        <v/>
      </c>
      <c r="I600">
        <f>G600+H600</f>
        <v/>
      </c>
      <c r="J600">
        <f>F600+G600+H600</f>
        <v/>
      </c>
      <c r="K600">
        <f>Data!R632</f>
        <v/>
      </c>
      <c r="L600">
        <f>Data!T632</f>
        <v/>
      </c>
      <c r="M600">
        <f>AND(E600=0,F600=0,G600=0,H600=0,I600=0,J600=0,K600=0,L600=0)</f>
        <v/>
      </c>
      <c r="N600">
        <f>G600&lt;=$T$6</f>
        <v/>
      </c>
      <c r="O600">
        <f>G600&lt;=$T$12</f>
        <v/>
      </c>
      <c r="P600">
        <f>OR(AND(H600&gt;=$T$4,K600&lt;=$T$5,N600),M600)</f>
        <v/>
      </c>
      <c r="Q600">
        <f>OR(AND(I600&gt;=$T$10,K600&lt;=$T$11,O600),M600)</f>
        <v/>
      </c>
    </row>
    <row r="601">
      <c r="A601">
        <f>Data!E633</f>
        <v/>
      </c>
      <c r="B601">
        <f>Data!G633</f>
        <v/>
      </c>
      <c r="C601">
        <f>Data!H633</f>
        <v/>
      </c>
      <c r="D601">
        <f>Data!I633</f>
        <v/>
      </c>
      <c r="E601">
        <f>Data!M633</f>
        <v/>
      </c>
      <c r="F601">
        <f>Data!O633</f>
        <v/>
      </c>
      <c r="G601">
        <f>E601-F601</f>
        <v/>
      </c>
      <c r="H601">
        <f>Data!P633</f>
        <v/>
      </c>
      <c r="I601">
        <f>G601+H601</f>
        <v/>
      </c>
      <c r="J601">
        <f>F601+G601+H601</f>
        <v/>
      </c>
      <c r="K601">
        <f>Data!R633</f>
        <v/>
      </c>
      <c r="L601">
        <f>Data!T633</f>
        <v/>
      </c>
      <c r="M601">
        <f>AND(E601=0,F601=0,G601=0,H601=0,I601=0,J601=0,K601=0,L601=0)</f>
        <v/>
      </c>
      <c r="N601">
        <f>G601&lt;=$T$6</f>
        <v/>
      </c>
      <c r="O601">
        <f>G601&lt;=$T$12</f>
        <v/>
      </c>
      <c r="P601">
        <f>OR(AND(H601&gt;=$T$4,K601&lt;=$T$5,N601),M601)</f>
        <v/>
      </c>
      <c r="Q601">
        <f>OR(AND(I601&gt;=$T$10,K601&lt;=$T$11,O601),M601)</f>
        <v/>
      </c>
    </row>
    <row r="602">
      <c r="A602">
        <f>Data!E634</f>
        <v/>
      </c>
      <c r="B602">
        <f>Data!G634</f>
        <v/>
      </c>
      <c r="C602">
        <f>Data!H634</f>
        <v/>
      </c>
      <c r="D602">
        <f>Data!I634</f>
        <v/>
      </c>
      <c r="E602">
        <f>Data!M634</f>
        <v/>
      </c>
      <c r="F602">
        <f>Data!O634</f>
        <v/>
      </c>
      <c r="G602">
        <f>E602-F602</f>
        <v/>
      </c>
      <c r="H602">
        <f>Data!P634</f>
        <v/>
      </c>
      <c r="I602">
        <f>G602+H602</f>
        <v/>
      </c>
      <c r="J602">
        <f>F602+G602+H602</f>
        <v/>
      </c>
      <c r="K602">
        <f>Data!R634</f>
        <v/>
      </c>
      <c r="L602">
        <f>Data!T634</f>
        <v/>
      </c>
      <c r="M602">
        <f>AND(E602=0,F602=0,G602=0,H602=0,I602=0,J602=0,K602=0,L602=0)</f>
        <v/>
      </c>
      <c r="N602">
        <f>G602&lt;=$T$6</f>
        <v/>
      </c>
      <c r="O602">
        <f>G602&lt;=$T$12</f>
        <v/>
      </c>
      <c r="P602">
        <f>OR(AND(H602&gt;=$T$4,K602&lt;=$T$5,N602),M602)</f>
        <v/>
      </c>
      <c r="Q602">
        <f>OR(AND(I602&gt;=$T$10,K602&lt;=$T$11,O602),M602)</f>
        <v/>
      </c>
    </row>
    <row r="603">
      <c r="A603">
        <f>Data!E635</f>
        <v/>
      </c>
      <c r="B603">
        <f>Data!G635</f>
        <v/>
      </c>
      <c r="C603">
        <f>Data!H635</f>
        <v/>
      </c>
      <c r="D603">
        <f>Data!I635</f>
        <v/>
      </c>
      <c r="E603">
        <f>Data!M635</f>
        <v/>
      </c>
      <c r="F603">
        <f>Data!O635</f>
        <v/>
      </c>
      <c r="G603">
        <f>E603-F603</f>
        <v/>
      </c>
      <c r="H603">
        <f>Data!P635</f>
        <v/>
      </c>
      <c r="I603">
        <f>G603+H603</f>
        <v/>
      </c>
      <c r="J603">
        <f>F603+G603+H603</f>
        <v/>
      </c>
      <c r="K603">
        <f>Data!R635</f>
        <v/>
      </c>
      <c r="L603">
        <f>Data!T635</f>
        <v/>
      </c>
      <c r="M603">
        <f>AND(E603=0,F603=0,G603=0,H603=0,I603=0,J603=0,K603=0,L603=0)</f>
        <v/>
      </c>
      <c r="N603">
        <f>G603&lt;=$T$6</f>
        <v/>
      </c>
      <c r="O603">
        <f>G603&lt;=$T$12</f>
        <v/>
      </c>
      <c r="P603">
        <f>OR(AND(H603&gt;=$T$4,K603&lt;=$T$5,N603),M603)</f>
        <v/>
      </c>
      <c r="Q603">
        <f>OR(AND(I603&gt;=$T$10,K603&lt;=$T$11,O603),M603)</f>
        <v/>
      </c>
    </row>
    <row r="604">
      <c r="A604">
        <f>Data!E636</f>
        <v/>
      </c>
      <c r="B604">
        <f>Data!G636</f>
        <v/>
      </c>
      <c r="C604">
        <f>Data!H636</f>
        <v/>
      </c>
      <c r="D604">
        <f>Data!I636</f>
        <v/>
      </c>
      <c r="E604">
        <f>Data!M636</f>
        <v/>
      </c>
      <c r="F604">
        <f>Data!O636</f>
        <v/>
      </c>
      <c r="G604">
        <f>E604-F604</f>
        <v/>
      </c>
      <c r="H604">
        <f>Data!P636</f>
        <v/>
      </c>
      <c r="I604">
        <f>G604+H604</f>
        <v/>
      </c>
      <c r="J604">
        <f>F604+G604+H604</f>
        <v/>
      </c>
      <c r="K604">
        <f>Data!R636</f>
        <v/>
      </c>
      <c r="L604">
        <f>Data!T636</f>
        <v/>
      </c>
      <c r="M604">
        <f>AND(E604=0,F604=0,G604=0,H604=0,I604=0,J604=0,K604=0,L604=0)</f>
        <v/>
      </c>
      <c r="N604">
        <f>G604&lt;=$T$6</f>
        <v/>
      </c>
      <c r="O604">
        <f>G604&lt;=$T$12</f>
        <v/>
      </c>
      <c r="P604">
        <f>OR(AND(H604&gt;=$T$4,K604&lt;=$T$5,N604),M604)</f>
        <v/>
      </c>
      <c r="Q604">
        <f>OR(AND(I604&gt;=$T$10,K604&lt;=$T$11,O604),M604)</f>
        <v/>
      </c>
    </row>
    <row r="605">
      <c r="A605">
        <f>Data!E638</f>
        <v/>
      </c>
      <c r="B605">
        <f>Data!G638</f>
        <v/>
      </c>
      <c r="C605">
        <f>Data!H638</f>
        <v/>
      </c>
      <c r="D605">
        <f>Data!I638</f>
        <v/>
      </c>
      <c r="E605">
        <f>Data!M638</f>
        <v/>
      </c>
      <c r="F605">
        <f>Data!O638</f>
        <v/>
      </c>
      <c r="G605">
        <f>E605-F605</f>
        <v/>
      </c>
      <c r="H605">
        <f>Data!P638</f>
        <v/>
      </c>
      <c r="I605">
        <f>G605+H605</f>
        <v/>
      </c>
      <c r="J605">
        <f>F605+G605+H605</f>
        <v/>
      </c>
      <c r="K605">
        <f>Data!R638</f>
        <v/>
      </c>
      <c r="L605">
        <f>Data!T638</f>
        <v/>
      </c>
      <c r="M605">
        <f>AND(E605=0,F605=0,G605=0,H605=0,I605=0,J605=0,K605=0,L605=0)</f>
        <v/>
      </c>
      <c r="N605">
        <f>G605&lt;=$T$6</f>
        <v/>
      </c>
      <c r="O605">
        <f>G605&lt;=$T$12</f>
        <v/>
      </c>
      <c r="P605">
        <f>OR(AND(H605&gt;=$T$4,K605&lt;=$T$5,N605),M605)</f>
        <v/>
      </c>
      <c r="Q605">
        <f>OR(AND(I605&gt;=$T$10,K605&lt;=$T$11,O605),M605)</f>
        <v/>
      </c>
    </row>
    <row r="606">
      <c r="A606">
        <f>Data!E639</f>
        <v/>
      </c>
      <c r="B606">
        <f>Data!G639</f>
        <v/>
      </c>
      <c r="C606">
        <f>Data!H639</f>
        <v/>
      </c>
      <c r="D606">
        <f>Data!I639</f>
        <v/>
      </c>
      <c r="E606">
        <f>Data!M639</f>
        <v/>
      </c>
      <c r="F606">
        <f>Data!O639</f>
        <v/>
      </c>
      <c r="G606">
        <f>E606-F606</f>
        <v/>
      </c>
      <c r="H606">
        <f>Data!P639</f>
        <v/>
      </c>
      <c r="I606">
        <f>G606+H606</f>
        <v/>
      </c>
      <c r="J606">
        <f>F606+G606+H606</f>
        <v/>
      </c>
      <c r="K606">
        <f>Data!R639</f>
        <v/>
      </c>
      <c r="L606">
        <f>Data!T639</f>
        <v/>
      </c>
      <c r="M606">
        <f>AND(E606=0,F606=0,G606=0,H606=0,I606=0,J606=0,K606=0,L606=0)</f>
        <v/>
      </c>
      <c r="N606">
        <f>G606&lt;=$T$6</f>
        <v/>
      </c>
      <c r="O606">
        <f>G606&lt;=$T$12</f>
        <v/>
      </c>
      <c r="P606">
        <f>OR(AND(H606&gt;=$T$4,K606&lt;=$T$5,N606),M606)</f>
        <v/>
      </c>
      <c r="Q606">
        <f>OR(AND(I606&gt;=$T$10,K606&lt;=$T$11,O606),M606)</f>
        <v/>
      </c>
    </row>
    <row r="607">
      <c r="A607">
        <f>Data!E640</f>
        <v/>
      </c>
      <c r="B607">
        <f>Data!G640</f>
        <v/>
      </c>
      <c r="C607">
        <f>Data!H640</f>
        <v/>
      </c>
      <c r="D607">
        <f>Data!I640</f>
        <v/>
      </c>
      <c r="E607">
        <f>Data!M640</f>
        <v/>
      </c>
      <c r="F607">
        <f>Data!O640</f>
        <v/>
      </c>
      <c r="G607">
        <f>E607-F607</f>
        <v/>
      </c>
      <c r="H607">
        <f>Data!P640</f>
        <v/>
      </c>
      <c r="I607">
        <f>G607+H607</f>
        <v/>
      </c>
      <c r="J607">
        <f>F607+G607+H607</f>
        <v/>
      </c>
      <c r="K607">
        <f>Data!R640</f>
        <v/>
      </c>
      <c r="L607">
        <f>Data!T640</f>
        <v/>
      </c>
      <c r="M607">
        <f>AND(E607=0,F607=0,G607=0,H607=0,I607=0,J607=0,K607=0,L607=0)</f>
        <v/>
      </c>
      <c r="N607">
        <f>G607&lt;=$T$6</f>
        <v/>
      </c>
      <c r="O607">
        <f>G607&lt;=$T$12</f>
        <v/>
      </c>
      <c r="P607">
        <f>OR(AND(H607&gt;=$T$4,K607&lt;=$T$5,N607),M607)</f>
        <v/>
      </c>
      <c r="Q607">
        <f>OR(AND(I607&gt;=$T$10,K607&lt;=$T$11,O607),M607)</f>
        <v/>
      </c>
    </row>
    <row r="608">
      <c r="A608">
        <f>Data!E641</f>
        <v/>
      </c>
      <c r="B608">
        <f>Data!G641</f>
        <v/>
      </c>
      <c r="C608">
        <f>Data!H641</f>
        <v/>
      </c>
      <c r="D608">
        <f>Data!I641</f>
        <v/>
      </c>
      <c r="E608">
        <f>Data!M641</f>
        <v/>
      </c>
      <c r="F608">
        <f>Data!O641</f>
        <v/>
      </c>
      <c r="G608">
        <f>E608-F608</f>
        <v/>
      </c>
      <c r="H608">
        <f>Data!P641</f>
        <v/>
      </c>
      <c r="I608">
        <f>G608+H608</f>
        <v/>
      </c>
      <c r="J608">
        <f>F608+G608+H608</f>
        <v/>
      </c>
      <c r="K608">
        <f>Data!R641</f>
        <v/>
      </c>
      <c r="L608">
        <f>Data!T641</f>
        <v/>
      </c>
      <c r="M608">
        <f>AND(E608=0,F608=0,G608=0,H608=0,I608=0,J608=0,K608=0,L608=0)</f>
        <v/>
      </c>
      <c r="N608">
        <f>G608&lt;=$T$6</f>
        <v/>
      </c>
      <c r="O608">
        <f>G608&lt;=$T$12</f>
        <v/>
      </c>
      <c r="P608">
        <f>OR(AND(H608&gt;=$T$4,K608&lt;=$T$5,N608),M608)</f>
        <v/>
      </c>
      <c r="Q608">
        <f>OR(AND(I608&gt;=$T$10,K608&lt;=$T$11,O608),M608)</f>
        <v/>
      </c>
    </row>
    <row r="609">
      <c r="A609">
        <f>Data!E642</f>
        <v/>
      </c>
      <c r="B609">
        <f>Data!G642</f>
        <v/>
      </c>
      <c r="C609">
        <f>Data!H642</f>
        <v/>
      </c>
      <c r="D609">
        <f>Data!I642</f>
        <v/>
      </c>
      <c r="E609">
        <f>Data!M642</f>
        <v/>
      </c>
      <c r="F609">
        <f>Data!O642</f>
        <v/>
      </c>
      <c r="G609">
        <f>E609-F609</f>
        <v/>
      </c>
      <c r="H609">
        <f>Data!P642</f>
        <v/>
      </c>
      <c r="I609">
        <f>G609+H609</f>
        <v/>
      </c>
      <c r="J609">
        <f>F609+G609+H609</f>
        <v/>
      </c>
      <c r="K609">
        <f>Data!R642</f>
        <v/>
      </c>
      <c r="L609">
        <f>Data!T642</f>
        <v/>
      </c>
      <c r="M609">
        <f>AND(E609=0,F609=0,G609=0,H609=0,I609=0,J609=0,K609=0,L609=0)</f>
        <v/>
      </c>
      <c r="N609">
        <f>G609&lt;=$T$6</f>
        <v/>
      </c>
      <c r="O609">
        <f>G609&lt;=$T$12</f>
        <v/>
      </c>
      <c r="P609">
        <f>OR(AND(H609&gt;=$T$4,K609&lt;=$T$5,N609),M609)</f>
        <v/>
      </c>
      <c r="Q609">
        <f>OR(AND(I609&gt;=$T$10,K609&lt;=$T$11,O609),M609)</f>
        <v/>
      </c>
    </row>
    <row r="610">
      <c r="A610">
        <f>Data!E643</f>
        <v/>
      </c>
      <c r="B610">
        <f>Data!G643</f>
        <v/>
      </c>
      <c r="C610">
        <f>Data!H643</f>
        <v/>
      </c>
      <c r="D610">
        <f>Data!I643</f>
        <v/>
      </c>
      <c r="E610">
        <f>Data!M643</f>
        <v/>
      </c>
      <c r="F610">
        <f>Data!O643</f>
        <v/>
      </c>
      <c r="G610">
        <f>E610-F610</f>
        <v/>
      </c>
      <c r="H610">
        <f>Data!P643</f>
        <v/>
      </c>
      <c r="I610">
        <f>G610+H610</f>
        <v/>
      </c>
      <c r="J610">
        <f>F610+G610+H610</f>
        <v/>
      </c>
      <c r="K610">
        <f>Data!R643</f>
        <v/>
      </c>
      <c r="L610">
        <f>Data!T643</f>
        <v/>
      </c>
      <c r="M610">
        <f>AND(E610=0,F610=0,G610=0,H610=0,I610=0,J610=0,K610=0,L610=0)</f>
        <v/>
      </c>
      <c r="N610">
        <f>G610&lt;=$T$6</f>
        <v/>
      </c>
      <c r="O610">
        <f>G610&lt;=$T$12</f>
        <v/>
      </c>
      <c r="P610">
        <f>OR(AND(H610&gt;=$T$4,K610&lt;=$T$5,N610),M610)</f>
        <v/>
      </c>
      <c r="Q610">
        <f>OR(AND(I610&gt;=$T$10,K610&lt;=$T$11,O610),M610)</f>
        <v/>
      </c>
    </row>
    <row r="611">
      <c r="A611">
        <f>Data!E644</f>
        <v/>
      </c>
      <c r="B611">
        <f>Data!G644</f>
        <v/>
      </c>
      <c r="C611">
        <f>Data!H644</f>
        <v/>
      </c>
      <c r="D611">
        <f>Data!I644</f>
        <v/>
      </c>
      <c r="E611">
        <f>Data!M644</f>
        <v/>
      </c>
      <c r="F611">
        <f>Data!O644</f>
        <v/>
      </c>
      <c r="G611">
        <f>E611-F611</f>
        <v/>
      </c>
      <c r="H611">
        <f>Data!P644</f>
        <v/>
      </c>
      <c r="I611">
        <f>G611+H611</f>
        <v/>
      </c>
      <c r="J611">
        <f>F611+G611+H611</f>
        <v/>
      </c>
      <c r="K611">
        <f>Data!R644</f>
        <v/>
      </c>
      <c r="L611">
        <f>Data!T644</f>
        <v/>
      </c>
      <c r="M611">
        <f>AND(E611=0,F611=0,G611=0,H611=0,I611=0,J611=0,K611=0,L611=0)</f>
        <v/>
      </c>
      <c r="N611">
        <f>G611&lt;=$T$6</f>
        <v/>
      </c>
      <c r="O611">
        <f>G611&lt;=$T$12</f>
        <v/>
      </c>
      <c r="P611">
        <f>OR(AND(H611&gt;=$T$4,K611&lt;=$T$5,N611),M611)</f>
        <v/>
      </c>
      <c r="Q611">
        <f>OR(AND(I611&gt;=$T$10,K611&lt;=$T$11,O611),M611)</f>
        <v/>
      </c>
    </row>
    <row r="612">
      <c r="A612">
        <f>Data!E645</f>
        <v/>
      </c>
      <c r="B612">
        <f>Data!G645</f>
        <v/>
      </c>
      <c r="C612">
        <f>Data!H645</f>
        <v/>
      </c>
      <c r="D612">
        <f>Data!I645</f>
        <v/>
      </c>
      <c r="E612">
        <f>Data!M645</f>
        <v/>
      </c>
      <c r="F612">
        <f>Data!O645</f>
        <v/>
      </c>
      <c r="G612">
        <f>E612-F612</f>
        <v/>
      </c>
      <c r="H612">
        <f>Data!P645</f>
        <v/>
      </c>
      <c r="I612">
        <f>G612+H612</f>
        <v/>
      </c>
      <c r="J612">
        <f>F612+G612+H612</f>
        <v/>
      </c>
      <c r="K612">
        <f>Data!R645</f>
        <v/>
      </c>
      <c r="L612">
        <f>Data!T645</f>
        <v/>
      </c>
      <c r="M612">
        <f>AND(E612=0,F612=0,G612=0,H612=0,I612=0,J612=0,K612=0,L612=0)</f>
        <v/>
      </c>
      <c r="N612">
        <f>G612&lt;=$T$6</f>
        <v/>
      </c>
      <c r="O612">
        <f>G612&lt;=$T$12</f>
        <v/>
      </c>
      <c r="P612">
        <f>OR(AND(H612&gt;=$T$4,K612&lt;=$T$5,N612),M612)</f>
        <v/>
      </c>
      <c r="Q612">
        <f>OR(AND(I612&gt;=$T$10,K612&lt;=$T$11,O612),M612)</f>
        <v/>
      </c>
    </row>
    <row r="613">
      <c r="A613">
        <f>Data!E646</f>
        <v/>
      </c>
      <c r="B613">
        <f>Data!G646</f>
        <v/>
      </c>
      <c r="C613">
        <f>Data!H646</f>
        <v/>
      </c>
      <c r="D613">
        <f>Data!I646</f>
        <v/>
      </c>
      <c r="E613">
        <f>Data!M646</f>
        <v/>
      </c>
      <c r="F613">
        <f>Data!O646</f>
        <v/>
      </c>
      <c r="G613">
        <f>E613-F613</f>
        <v/>
      </c>
      <c r="H613">
        <f>Data!P646</f>
        <v/>
      </c>
      <c r="I613">
        <f>G613+H613</f>
        <v/>
      </c>
      <c r="J613">
        <f>F613+G613+H613</f>
        <v/>
      </c>
      <c r="K613">
        <f>Data!R646</f>
        <v/>
      </c>
      <c r="L613">
        <f>Data!T646</f>
        <v/>
      </c>
      <c r="M613">
        <f>AND(E613=0,F613=0,G613=0,H613=0,I613=0,J613=0,K613=0,L613=0)</f>
        <v/>
      </c>
      <c r="N613">
        <f>G613&lt;=$T$6</f>
        <v/>
      </c>
      <c r="O613">
        <f>G613&lt;=$T$12</f>
        <v/>
      </c>
      <c r="P613">
        <f>OR(AND(H613&gt;=$T$4,K613&lt;=$T$5,N613),M613)</f>
        <v/>
      </c>
      <c r="Q613">
        <f>OR(AND(I613&gt;=$T$10,K613&lt;=$T$11,O613),M613)</f>
        <v/>
      </c>
    </row>
    <row r="614">
      <c r="A614">
        <f>Data!E647</f>
        <v/>
      </c>
      <c r="B614">
        <f>Data!G647</f>
        <v/>
      </c>
      <c r="C614">
        <f>Data!H647</f>
        <v/>
      </c>
      <c r="D614">
        <f>Data!I647</f>
        <v/>
      </c>
      <c r="E614">
        <f>Data!M647</f>
        <v/>
      </c>
      <c r="F614">
        <f>Data!O647</f>
        <v/>
      </c>
      <c r="G614">
        <f>E614-F614</f>
        <v/>
      </c>
      <c r="H614">
        <f>Data!P647</f>
        <v/>
      </c>
      <c r="I614">
        <f>G614+H614</f>
        <v/>
      </c>
      <c r="J614">
        <f>F614+G614+H614</f>
        <v/>
      </c>
      <c r="K614">
        <f>Data!R647</f>
        <v/>
      </c>
      <c r="L614">
        <f>Data!T647</f>
        <v/>
      </c>
      <c r="M614">
        <f>AND(E614=0,F614=0,G614=0,H614=0,I614=0,J614=0,K614=0,L614=0)</f>
        <v/>
      </c>
      <c r="N614">
        <f>G614&lt;=$T$6</f>
        <v/>
      </c>
      <c r="O614">
        <f>G614&lt;=$T$12</f>
        <v/>
      </c>
      <c r="P614">
        <f>OR(AND(H614&gt;=$T$4,K614&lt;=$T$5,N614),M614)</f>
        <v/>
      </c>
      <c r="Q614">
        <f>OR(AND(I614&gt;=$T$10,K614&lt;=$T$11,O614),M614)</f>
        <v/>
      </c>
    </row>
    <row r="615">
      <c r="A615">
        <f>Data!E648</f>
        <v/>
      </c>
      <c r="B615">
        <f>Data!G648</f>
        <v/>
      </c>
      <c r="C615">
        <f>Data!H648</f>
        <v/>
      </c>
      <c r="D615">
        <f>Data!I648</f>
        <v/>
      </c>
      <c r="E615">
        <f>Data!M648</f>
        <v/>
      </c>
      <c r="F615">
        <f>Data!O648</f>
        <v/>
      </c>
      <c r="G615">
        <f>E615-F615</f>
        <v/>
      </c>
      <c r="H615">
        <f>Data!P648</f>
        <v/>
      </c>
      <c r="I615">
        <f>G615+H615</f>
        <v/>
      </c>
      <c r="J615">
        <f>F615+G615+H615</f>
        <v/>
      </c>
      <c r="K615">
        <f>Data!R648</f>
        <v/>
      </c>
      <c r="L615">
        <f>Data!T648</f>
        <v/>
      </c>
      <c r="M615">
        <f>AND(E615=0,F615=0,G615=0,H615=0,I615=0,J615=0,K615=0,L615=0)</f>
        <v/>
      </c>
      <c r="N615">
        <f>G615&lt;=$T$6</f>
        <v/>
      </c>
      <c r="O615">
        <f>G615&lt;=$T$12</f>
        <v/>
      </c>
      <c r="P615">
        <f>OR(AND(H615&gt;=$T$4,K615&lt;=$T$5,N615),M615)</f>
        <v/>
      </c>
      <c r="Q615">
        <f>OR(AND(I615&gt;=$T$10,K615&lt;=$T$11,O615),M615)</f>
        <v/>
      </c>
    </row>
    <row r="616">
      <c r="A616">
        <f>Data!E649</f>
        <v/>
      </c>
      <c r="B616">
        <f>Data!G649</f>
        <v/>
      </c>
      <c r="C616">
        <f>Data!H649</f>
        <v/>
      </c>
      <c r="D616">
        <f>Data!I649</f>
        <v/>
      </c>
      <c r="E616">
        <f>Data!M649</f>
        <v/>
      </c>
      <c r="F616">
        <f>Data!O649</f>
        <v/>
      </c>
      <c r="G616">
        <f>E616-F616</f>
        <v/>
      </c>
      <c r="H616">
        <f>Data!P649</f>
        <v/>
      </c>
      <c r="I616">
        <f>G616+H616</f>
        <v/>
      </c>
      <c r="J616">
        <f>F616+G616+H616</f>
        <v/>
      </c>
      <c r="K616">
        <f>Data!R649</f>
        <v/>
      </c>
      <c r="L616">
        <f>Data!T649</f>
        <v/>
      </c>
      <c r="M616">
        <f>AND(E616=0,F616=0,G616=0,H616=0,I616=0,J616=0,K616=0,L616=0)</f>
        <v/>
      </c>
      <c r="N616">
        <f>G616&lt;=$T$6</f>
        <v/>
      </c>
      <c r="O616">
        <f>G616&lt;=$T$12</f>
        <v/>
      </c>
      <c r="P616">
        <f>OR(AND(H616&gt;=$T$4,K616&lt;=$T$5,N616),M616)</f>
        <v/>
      </c>
      <c r="Q616">
        <f>OR(AND(I616&gt;=$T$10,K616&lt;=$T$11,O616),M616)</f>
        <v/>
      </c>
    </row>
    <row r="617">
      <c r="A617">
        <f>Data!E650</f>
        <v/>
      </c>
      <c r="B617">
        <f>Data!G650</f>
        <v/>
      </c>
      <c r="C617">
        <f>Data!H650</f>
        <v/>
      </c>
      <c r="D617">
        <f>Data!I650</f>
        <v/>
      </c>
      <c r="E617">
        <f>Data!M650</f>
        <v/>
      </c>
      <c r="F617">
        <f>Data!O650</f>
        <v/>
      </c>
      <c r="G617">
        <f>E617-F617</f>
        <v/>
      </c>
      <c r="H617">
        <f>Data!P650</f>
        <v/>
      </c>
      <c r="I617">
        <f>G617+H617</f>
        <v/>
      </c>
      <c r="J617">
        <f>F617+G617+H617</f>
        <v/>
      </c>
      <c r="K617">
        <f>Data!R650</f>
        <v/>
      </c>
      <c r="L617">
        <f>Data!T650</f>
        <v/>
      </c>
      <c r="M617">
        <f>AND(E617=0,F617=0,G617=0,H617=0,I617=0,J617=0,K617=0,L617=0)</f>
        <v/>
      </c>
      <c r="N617">
        <f>G617&lt;=$T$6</f>
        <v/>
      </c>
      <c r="O617">
        <f>G617&lt;=$T$12</f>
        <v/>
      </c>
      <c r="P617">
        <f>OR(AND(H617&gt;=$T$4,K617&lt;=$T$5,N617),M617)</f>
        <v/>
      </c>
      <c r="Q617">
        <f>OR(AND(I617&gt;=$T$10,K617&lt;=$T$11,O617),M617)</f>
        <v/>
      </c>
    </row>
    <row r="618">
      <c r="A618">
        <f>Data!E651</f>
        <v/>
      </c>
      <c r="B618">
        <f>Data!G651</f>
        <v/>
      </c>
      <c r="C618">
        <f>Data!H651</f>
        <v/>
      </c>
      <c r="D618">
        <f>Data!I651</f>
        <v/>
      </c>
      <c r="E618">
        <f>Data!M651</f>
        <v/>
      </c>
      <c r="F618">
        <f>Data!O651</f>
        <v/>
      </c>
      <c r="G618">
        <f>E618-F618</f>
        <v/>
      </c>
      <c r="H618">
        <f>Data!P651</f>
        <v/>
      </c>
      <c r="I618">
        <f>G618+H618</f>
        <v/>
      </c>
      <c r="J618">
        <f>F618+G618+H618</f>
        <v/>
      </c>
      <c r="K618">
        <f>Data!R651</f>
        <v/>
      </c>
      <c r="L618">
        <f>Data!T651</f>
        <v/>
      </c>
      <c r="M618">
        <f>AND(E618=0,F618=0,G618=0,H618=0,I618=0,J618=0,K618=0,L618=0)</f>
        <v/>
      </c>
      <c r="N618">
        <f>G618&lt;=$T$6</f>
        <v/>
      </c>
      <c r="O618">
        <f>G618&lt;=$T$12</f>
        <v/>
      </c>
      <c r="P618">
        <f>OR(AND(H618&gt;=$T$4,K618&lt;=$T$5,N618),M618)</f>
        <v/>
      </c>
      <c r="Q618">
        <f>OR(AND(I618&gt;=$T$10,K618&lt;=$T$11,O618),M618)</f>
        <v/>
      </c>
    </row>
    <row r="619">
      <c r="A619">
        <f>Data!E652</f>
        <v/>
      </c>
      <c r="B619">
        <f>Data!G652</f>
        <v/>
      </c>
      <c r="C619">
        <f>Data!H652</f>
        <v/>
      </c>
      <c r="D619">
        <f>Data!I652</f>
        <v/>
      </c>
      <c r="E619">
        <f>Data!M652</f>
        <v/>
      </c>
      <c r="F619">
        <f>Data!O652</f>
        <v/>
      </c>
      <c r="G619">
        <f>E619-F619</f>
        <v/>
      </c>
      <c r="H619">
        <f>Data!P652</f>
        <v/>
      </c>
      <c r="I619">
        <f>G619+H619</f>
        <v/>
      </c>
      <c r="J619">
        <f>F619+G619+H619</f>
        <v/>
      </c>
      <c r="K619">
        <f>Data!R652</f>
        <v/>
      </c>
      <c r="L619">
        <f>Data!T652</f>
        <v/>
      </c>
      <c r="M619">
        <f>AND(E619=0,F619=0,G619=0,H619=0,I619=0,J619=0,K619=0,L619=0)</f>
        <v/>
      </c>
      <c r="N619">
        <f>G619&lt;=$T$6</f>
        <v/>
      </c>
      <c r="O619">
        <f>G619&lt;=$T$12</f>
        <v/>
      </c>
      <c r="P619">
        <f>OR(AND(H619&gt;=$T$4,K619&lt;=$T$5,N619),M619)</f>
        <v/>
      </c>
      <c r="Q619">
        <f>OR(AND(I619&gt;=$T$10,K619&lt;=$T$11,O619),M619)</f>
        <v/>
      </c>
    </row>
    <row r="620">
      <c r="A620">
        <f>Data!E653</f>
        <v/>
      </c>
      <c r="B620">
        <f>Data!G653</f>
        <v/>
      </c>
      <c r="C620">
        <f>Data!H653</f>
        <v/>
      </c>
      <c r="D620">
        <f>Data!I653</f>
        <v/>
      </c>
      <c r="E620">
        <f>Data!M653</f>
        <v/>
      </c>
      <c r="F620">
        <f>Data!O653</f>
        <v/>
      </c>
      <c r="G620">
        <f>E620-F620</f>
        <v/>
      </c>
      <c r="H620">
        <f>Data!P653</f>
        <v/>
      </c>
      <c r="I620">
        <f>G620+H620</f>
        <v/>
      </c>
      <c r="J620">
        <f>F620+G620+H620</f>
        <v/>
      </c>
      <c r="K620">
        <f>Data!R653</f>
        <v/>
      </c>
      <c r="L620">
        <f>Data!T653</f>
        <v/>
      </c>
      <c r="M620">
        <f>AND(E620=0,F620=0,G620=0,H620=0,I620=0,J620=0,K620=0,L620=0)</f>
        <v/>
      </c>
      <c r="N620">
        <f>G620&lt;=$T$6</f>
        <v/>
      </c>
      <c r="O620">
        <f>G620&lt;=$T$12</f>
        <v/>
      </c>
      <c r="P620">
        <f>OR(AND(H620&gt;=$T$4,K620&lt;=$T$5,N620),M620)</f>
        <v/>
      </c>
      <c r="Q620">
        <f>OR(AND(I620&gt;=$T$10,K620&lt;=$T$11,O620),M620)</f>
        <v/>
      </c>
    </row>
    <row r="621">
      <c r="A621">
        <f>Data!E654</f>
        <v/>
      </c>
      <c r="B621">
        <f>Data!G654</f>
        <v/>
      </c>
      <c r="C621">
        <f>Data!H654</f>
        <v/>
      </c>
      <c r="D621">
        <f>Data!I654</f>
        <v/>
      </c>
      <c r="E621">
        <f>Data!M654</f>
        <v/>
      </c>
      <c r="F621">
        <f>Data!O654</f>
        <v/>
      </c>
      <c r="G621">
        <f>E621-F621</f>
        <v/>
      </c>
      <c r="H621">
        <f>Data!P654</f>
        <v/>
      </c>
      <c r="I621">
        <f>G621+H621</f>
        <v/>
      </c>
      <c r="J621">
        <f>F621+G621+H621</f>
        <v/>
      </c>
      <c r="K621">
        <f>Data!R654</f>
        <v/>
      </c>
      <c r="L621">
        <f>Data!T654</f>
        <v/>
      </c>
      <c r="M621">
        <f>AND(E621=0,F621=0,G621=0,H621=0,I621=0,J621=0,K621=0,L621=0)</f>
        <v/>
      </c>
      <c r="N621">
        <f>G621&lt;=$T$6</f>
        <v/>
      </c>
      <c r="O621">
        <f>G621&lt;=$T$12</f>
        <v/>
      </c>
      <c r="P621">
        <f>OR(AND(H621&gt;=$T$4,K621&lt;=$T$5,N621),M621)</f>
        <v/>
      </c>
      <c r="Q621">
        <f>OR(AND(I621&gt;=$T$10,K621&lt;=$T$11,O621),M621)</f>
        <v/>
      </c>
    </row>
    <row r="622">
      <c r="A622">
        <f>Data!E655</f>
        <v/>
      </c>
      <c r="B622">
        <f>Data!G655</f>
        <v/>
      </c>
      <c r="C622">
        <f>Data!H655</f>
        <v/>
      </c>
      <c r="D622">
        <f>Data!I655</f>
        <v/>
      </c>
      <c r="E622">
        <f>Data!M655</f>
        <v/>
      </c>
      <c r="F622">
        <f>Data!O655</f>
        <v/>
      </c>
      <c r="G622">
        <f>E622-F622</f>
        <v/>
      </c>
      <c r="H622">
        <f>Data!P655</f>
        <v/>
      </c>
      <c r="I622">
        <f>G622+H622</f>
        <v/>
      </c>
      <c r="J622">
        <f>F622+G622+H622</f>
        <v/>
      </c>
      <c r="K622">
        <f>Data!R655</f>
        <v/>
      </c>
      <c r="L622">
        <f>Data!T655</f>
        <v/>
      </c>
      <c r="M622">
        <f>AND(E622=0,F622=0,G622=0,H622=0,I622=0,J622=0,K622=0,L622=0)</f>
        <v/>
      </c>
      <c r="N622">
        <f>G622&lt;=$T$6</f>
        <v/>
      </c>
      <c r="O622">
        <f>G622&lt;=$T$12</f>
        <v/>
      </c>
      <c r="P622">
        <f>OR(AND(H622&gt;=$T$4,K622&lt;=$T$5,N622),M622)</f>
        <v/>
      </c>
      <c r="Q622">
        <f>OR(AND(I622&gt;=$T$10,K622&lt;=$T$11,O622),M622)</f>
        <v/>
      </c>
    </row>
    <row r="623">
      <c r="A623">
        <f>Data!E656</f>
        <v/>
      </c>
      <c r="B623">
        <f>Data!G656</f>
        <v/>
      </c>
      <c r="C623">
        <f>Data!H656</f>
        <v/>
      </c>
      <c r="D623">
        <f>Data!I656</f>
        <v/>
      </c>
      <c r="E623">
        <f>Data!M656</f>
        <v/>
      </c>
      <c r="F623">
        <f>Data!O656</f>
        <v/>
      </c>
      <c r="G623">
        <f>E623-F623</f>
        <v/>
      </c>
      <c r="H623">
        <f>Data!P656</f>
        <v/>
      </c>
      <c r="I623">
        <f>G623+H623</f>
        <v/>
      </c>
      <c r="J623">
        <f>F623+G623+H623</f>
        <v/>
      </c>
      <c r="K623">
        <f>Data!R656</f>
        <v/>
      </c>
      <c r="L623">
        <f>Data!T656</f>
        <v/>
      </c>
      <c r="M623">
        <f>AND(E623=0,F623=0,G623=0,H623=0,I623=0,J623=0,K623=0,L623=0)</f>
        <v/>
      </c>
      <c r="N623">
        <f>G623&lt;=$T$6</f>
        <v/>
      </c>
      <c r="O623">
        <f>G623&lt;=$T$12</f>
        <v/>
      </c>
      <c r="P623">
        <f>OR(AND(H623&gt;=$T$4,K623&lt;=$T$5,N623),M623)</f>
        <v/>
      </c>
      <c r="Q623">
        <f>OR(AND(I623&gt;=$T$10,K623&lt;=$T$11,O623),M623)</f>
        <v/>
      </c>
    </row>
    <row r="624">
      <c r="A624">
        <f>Data!E657</f>
        <v/>
      </c>
      <c r="B624">
        <f>Data!G657</f>
        <v/>
      </c>
      <c r="C624">
        <f>Data!H657</f>
        <v/>
      </c>
      <c r="D624">
        <f>Data!I657</f>
        <v/>
      </c>
      <c r="E624">
        <f>Data!M657</f>
        <v/>
      </c>
      <c r="F624">
        <f>Data!O657</f>
        <v/>
      </c>
      <c r="G624">
        <f>E624-F624</f>
        <v/>
      </c>
      <c r="H624">
        <f>Data!P657</f>
        <v/>
      </c>
      <c r="I624">
        <f>G624+H624</f>
        <v/>
      </c>
      <c r="J624">
        <f>F624+G624+H624</f>
        <v/>
      </c>
      <c r="K624">
        <f>Data!R657</f>
        <v/>
      </c>
      <c r="L624">
        <f>Data!T657</f>
        <v/>
      </c>
      <c r="M624">
        <f>AND(E624=0,F624=0,G624=0,H624=0,I624=0,J624=0,K624=0,L624=0)</f>
        <v/>
      </c>
      <c r="N624">
        <f>G624&lt;=$T$6</f>
        <v/>
      </c>
      <c r="O624">
        <f>G624&lt;=$T$12</f>
        <v/>
      </c>
      <c r="P624">
        <f>OR(AND(H624&gt;=$T$4,K624&lt;=$T$5,N624),M624)</f>
        <v/>
      </c>
      <c r="Q624">
        <f>OR(AND(I624&gt;=$T$10,K624&lt;=$T$11,O624),M624)</f>
        <v/>
      </c>
    </row>
    <row r="625">
      <c r="A625">
        <f>Data!E658</f>
        <v/>
      </c>
      <c r="B625">
        <f>Data!G658</f>
        <v/>
      </c>
      <c r="C625">
        <f>Data!H658</f>
        <v/>
      </c>
      <c r="D625">
        <f>Data!I658</f>
        <v/>
      </c>
      <c r="E625">
        <f>Data!M658</f>
        <v/>
      </c>
      <c r="F625">
        <f>Data!O658</f>
        <v/>
      </c>
      <c r="G625">
        <f>E625-F625</f>
        <v/>
      </c>
      <c r="H625">
        <f>Data!P658</f>
        <v/>
      </c>
      <c r="I625">
        <f>G625+H625</f>
        <v/>
      </c>
      <c r="J625">
        <f>F625+G625+H625</f>
        <v/>
      </c>
      <c r="K625">
        <f>Data!R658</f>
        <v/>
      </c>
      <c r="L625">
        <f>Data!T658</f>
        <v/>
      </c>
      <c r="M625">
        <f>AND(E625=0,F625=0,G625=0,H625=0,I625=0,J625=0,K625=0,L625=0)</f>
        <v/>
      </c>
      <c r="N625">
        <f>G625&lt;=$T$6</f>
        <v/>
      </c>
      <c r="O625">
        <f>G625&lt;=$T$12</f>
        <v/>
      </c>
      <c r="P625">
        <f>OR(AND(H625&gt;=$T$4,K625&lt;=$T$5,N625),M625)</f>
        <v/>
      </c>
      <c r="Q625">
        <f>OR(AND(I625&gt;=$T$10,K625&lt;=$T$11,O625),M625)</f>
        <v/>
      </c>
    </row>
    <row r="626">
      <c r="A626">
        <f>Data!E659</f>
        <v/>
      </c>
      <c r="B626">
        <f>Data!G659</f>
        <v/>
      </c>
      <c r="C626">
        <f>Data!H659</f>
        <v/>
      </c>
      <c r="D626">
        <f>Data!I659</f>
        <v/>
      </c>
      <c r="E626">
        <f>Data!M659</f>
        <v/>
      </c>
      <c r="F626">
        <f>Data!O659</f>
        <v/>
      </c>
      <c r="G626">
        <f>E626-F626</f>
        <v/>
      </c>
      <c r="H626">
        <f>Data!P659</f>
        <v/>
      </c>
      <c r="I626">
        <f>G626+H626</f>
        <v/>
      </c>
      <c r="J626">
        <f>F626+G626+H626</f>
        <v/>
      </c>
      <c r="K626">
        <f>Data!R659</f>
        <v/>
      </c>
      <c r="L626">
        <f>Data!T659</f>
        <v/>
      </c>
      <c r="M626">
        <f>AND(E626=0,F626=0,G626=0,H626=0,I626=0,J626=0,K626=0,L626=0)</f>
        <v/>
      </c>
      <c r="N626">
        <f>G626&lt;=$T$6</f>
        <v/>
      </c>
      <c r="O626">
        <f>G626&lt;=$T$12</f>
        <v/>
      </c>
      <c r="P626">
        <f>OR(AND(H626&gt;=$T$4,K626&lt;=$T$5,N626),M626)</f>
        <v/>
      </c>
      <c r="Q626">
        <f>OR(AND(I626&gt;=$T$10,K626&lt;=$T$11,O626),M626)</f>
        <v/>
      </c>
    </row>
    <row r="627">
      <c r="A627">
        <f>Data!E660</f>
        <v/>
      </c>
      <c r="B627">
        <f>Data!G660</f>
        <v/>
      </c>
      <c r="C627">
        <f>Data!H660</f>
        <v/>
      </c>
      <c r="D627">
        <f>Data!I660</f>
        <v/>
      </c>
      <c r="E627">
        <f>Data!M660</f>
        <v/>
      </c>
      <c r="F627">
        <f>Data!O660</f>
        <v/>
      </c>
      <c r="G627">
        <f>E627-F627</f>
        <v/>
      </c>
      <c r="H627">
        <f>Data!P660</f>
        <v/>
      </c>
      <c r="I627">
        <f>G627+H627</f>
        <v/>
      </c>
      <c r="J627">
        <f>F627+G627+H627</f>
        <v/>
      </c>
      <c r="K627">
        <f>Data!R660</f>
        <v/>
      </c>
      <c r="L627">
        <f>Data!T660</f>
        <v/>
      </c>
      <c r="M627">
        <f>AND(E627=0,F627=0,G627=0,H627=0,I627=0,J627=0,K627=0,L627=0)</f>
        <v/>
      </c>
      <c r="N627">
        <f>G627&lt;=$T$6</f>
        <v/>
      </c>
      <c r="O627">
        <f>G627&lt;=$T$12</f>
        <v/>
      </c>
      <c r="P627">
        <f>OR(AND(H627&gt;=$T$4,K627&lt;=$T$5,N627),M627)</f>
        <v/>
      </c>
      <c r="Q627">
        <f>OR(AND(I627&gt;=$T$10,K627&lt;=$T$11,O627),M627)</f>
        <v/>
      </c>
    </row>
    <row r="628">
      <c r="A628">
        <f>Data!E661</f>
        <v/>
      </c>
      <c r="B628">
        <f>Data!G661</f>
        <v/>
      </c>
      <c r="C628">
        <f>Data!H661</f>
        <v/>
      </c>
      <c r="D628">
        <f>Data!I661</f>
        <v/>
      </c>
      <c r="E628">
        <f>Data!M661</f>
        <v/>
      </c>
      <c r="F628">
        <f>Data!O661</f>
        <v/>
      </c>
      <c r="G628">
        <f>E628-F628</f>
        <v/>
      </c>
      <c r="H628">
        <f>Data!P661</f>
        <v/>
      </c>
      <c r="I628">
        <f>G628+H628</f>
        <v/>
      </c>
      <c r="J628">
        <f>F628+G628+H628</f>
        <v/>
      </c>
      <c r="K628">
        <f>Data!R661</f>
        <v/>
      </c>
      <c r="L628">
        <f>Data!T661</f>
        <v/>
      </c>
      <c r="M628">
        <f>AND(E628=0,F628=0,G628=0,H628=0,I628=0,J628=0,K628=0,L628=0)</f>
        <v/>
      </c>
      <c r="N628">
        <f>G628&lt;=$T$6</f>
        <v/>
      </c>
      <c r="O628">
        <f>G628&lt;=$T$12</f>
        <v/>
      </c>
      <c r="P628">
        <f>OR(AND(H628&gt;=$T$4,K628&lt;=$T$5,N628),M628)</f>
        <v/>
      </c>
      <c r="Q628">
        <f>OR(AND(I628&gt;=$T$10,K628&lt;=$T$11,O628),M628)</f>
        <v/>
      </c>
    </row>
    <row r="629">
      <c r="A629">
        <f>Data!E662</f>
        <v/>
      </c>
      <c r="B629">
        <f>Data!G662</f>
        <v/>
      </c>
      <c r="C629">
        <f>Data!H662</f>
        <v/>
      </c>
      <c r="D629">
        <f>Data!I662</f>
        <v/>
      </c>
      <c r="E629">
        <f>Data!M662</f>
        <v/>
      </c>
      <c r="F629">
        <f>Data!O662</f>
        <v/>
      </c>
      <c r="G629">
        <f>E629-F629</f>
        <v/>
      </c>
      <c r="H629">
        <f>Data!P662</f>
        <v/>
      </c>
      <c r="I629">
        <f>G629+H629</f>
        <v/>
      </c>
      <c r="J629">
        <f>F629+G629+H629</f>
        <v/>
      </c>
      <c r="K629">
        <f>Data!R662</f>
        <v/>
      </c>
      <c r="L629">
        <f>Data!T662</f>
        <v/>
      </c>
      <c r="M629">
        <f>AND(E629=0,F629=0,G629=0,H629=0,I629=0,J629=0,K629=0,L629=0)</f>
        <v/>
      </c>
      <c r="N629">
        <f>G629&lt;=$T$6</f>
        <v/>
      </c>
      <c r="O629">
        <f>G629&lt;=$T$12</f>
        <v/>
      </c>
      <c r="P629">
        <f>OR(AND(H629&gt;=$T$4,K629&lt;=$T$5,N629),M629)</f>
        <v/>
      </c>
      <c r="Q629">
        <f>OR(AND(I629&gt;=$T$10,K629&lt;=$T$11,O629),M629)</f>
        <v/>
      </c>
    </row>
    <row r="630">
      <c r="A630">
        <f>Data!E663</f>
        <v/>
      </c>
      <c r="B630">
        <f>Data!G663</f>
        <v/>
      </c>
      <c r="C630">
        <f>Data!H663</f>
        <v/>
      </c>
      <c r="D630">
        <f>Data!I663</f>
        <v/>
      </c>
      <c r="E630">
        <f>Data!M663</f>
        <v/>
      </c>
      <c r="F630">
        <f>Data!O663</f>
        <v/>
      </c>
      <c r="G630">
        <f>E630-F630</f>
        <v/>
      </c>
      <c r="H630">
        <f>Data!P663</f>
        <v/>
      </c>
      <c r="I630">
        <f>G630+H630</f>
        <v/>
      </c>
      <c r="J630">
        <f>F630+G630+H630</f>
        <v/>
      </c>
      <c r="K630">
        <f>Data!R663</f>
        <v/>
      </c>
      <c r="L630">
        <f>Data!T663</f>
        <v/>
      </c>
      <c r="M630">
        <f>AND(E630=0,F630=0,G630=0,H630=0,I630=0,J630=0,K630=0,L630=0)</f>
        <v/>
      </c>
      <c r="N630">
        <f>G630&lt;=$T$6</f>
        <v/>
      </c>
      <c r="O630">
        <f>G630&lt;=$T$12</f>
        <v/>
      </c>
      <c r="P630">
        <f>OR(AND(H630&gt;=$T$4,K630&lt;=$T$5,N630),M630)</f>
        <v/>
      </c>
      <c r="Q630">
        <f>OR(AND(I630&gt;=$T$10,K630&lt;=$T$11,O630),M630)</f>
        <v/>
      </c>
    </row>
    <row r="631">
      <c r="A631">
        <f>Data!E664</f>
        <v/>
      </c>
      <c r="B631">
        <f>Data!G664</f>
        <v/>
      </c>
      <c r="C631">
        <f>Data!H664</f>
        <v/>
      </c>
      <c r="D631">
        <f>Data!I664</f>
        <v/>
      </c>
      <c r="E631">
        <f>Data!M664</f>
        <v/>
      </c>
      <c r="F631">
        <f>Data!O664</f>
        <v/>
      </c>
      <c r="G631">
        <f>E631-F631</f>
        <v/>
      </c>
      <c r="H631">
        <f>Data!P664</f>
        <v/>
      </c>
      <c r="I631">
        <f>G631+H631</f>
        <v/>
      </c>
      <c r="J631">
        <f>F631+G631+H631</f>
        <v/>
      </c>
      <c r="K631">
        <f>Data!R664</f>
        <v/>
      </c>
      <c r="L631">
        <f>Data!T664</f>
        <v/>
      </c>
      <c r="M631">
        <f>AND(E631=0,F631=0,G631=0,H631=0,I631=0,J631=0,K631=0,L631=0)</f>
        <v/>
      </c>
      <c r="N631">
        <f>G631&lt;=$T$6</f>
        <v/>
      </c>
      <c r="O631">
        <f>G631&lt;=$T$12</f>
        <v/>
      </c>
      <c r="P631">
        <f>OR(AND(H631&gt;=$T$4,K631&lt;=$T$5,N631),M631)</f>
        <v/>
      </c>
      <c r="Q631">
        <f>OR(AND(I631&gt;=$T$10,K631&lt;=$T$11,O631),M631)</f>
        <v/>
      </c>
    </row>
    <row r="632">
      <c r="A632">
        <f>Data!E665</f>
        <v/>
      </c>
      <c r="B632">
        <f>Data!G665</f>
        <v/>
      </c>
      <c r="C632">
        <f>Data!H665</f>
        <v/>
      </c>
      <c r="D632">
        <f>Data!I665</f>
        <v/>
      </c>
      <c r="E632">
        <f>Data!M665</f>
        <v/>
      </c>
      <c r="F632">
        <f>Data!O665</f>
        <v/>
      </c>
      <c r="G632">
        <f>E632-F632</f>
        <v/>
      </c>
      <c r="H632">
        <f>Data!P665</f>
        <v/>
      </c>
      <c r="I632">
        <f>G632+H632</f>
        <v/>
      </c>
      <c r="J632">
        <f>F632+G632+H632</f>
        <v/>
      </c>
      <c r="K632">
        <f>Data!R665</f>
        <v/>
      </c>
      <c r="L632">
        <f>Data!T665</f>
        <v/>
      </c>
      <c r="M632">
        <f>AND(E632=0,F632=0,G632=0,H632=0,I632=0,J632=0,K632=0,L632=0)</f>
        <v/>
      </c>
      <c r="N632">
        <f>G632&lt;=$T$6</f>
        <v/>
      </c>
      <c r="O632">
        <f>G632&lt;=$T$12</f>
        <v/>
      </c>
      <c r="P632">
        <f>OR(AND(H632&gt;=$T$4,K632&lt;=$T$5,N632),M632)</f>
        <v/>
      </c>
      <c r="Q632">
        <f>OR(AND(I632&gt;=$T$10,K632&lt;=$T$11,O632),M632)</f>
        <v/>
      </c>
    </row>
    <row r="633">
      <c r="A633">
        <f>Data!E666</f>
        <v/>
      </c>
      <c r="B633">
        <f>Data!G666</f>
        <v/>
      </c>
      <c r="C633">
        <f>Data!H666</f>
        <v/>
      </c>
      <c r="D633">
        <f>Data!I666</f>
        <v/>
      </c>
      <c r="E633">
        <f>Data!M666</f>
        <v/>
      </c>
      <c r="F633">
        <f>Data!O666</f>
        <v/>
      </c>
      <c r="G633">
        <f>E633-F633</f>
        <v/>
      </c>
      <c r="H633">
        <f>Data!P666</f>
        <v/>
      </c>
      <c r="I633">
        <f>G633+H633</f>
        <v/>
      </c>
      <c r="J633">
        <f>F633+G633+H633</f>
        <v/>
      </c>
      <c r="K633">
        <f>Data!R666</f>
        <v/>
      </c>
      <c r="L633">
        <f>Data!T666</f>
        <v/>
      </c>
      <c r="M633">
        <f>AND(E633=0,F633=0,G633=0,H633=0,I633=0,J633=0,K633=0,L633=0)</f>
        <v/>
      </c>
      <c r="N633">
        <f>G633&lt;=$T$6</f>
        <v/>
      </c>
      <c r="O633">
        <f>G633&lt;=$T$12</f>
        <v/>
      </c>
      <c r="P633">
        <f>OR(AND(H633&gt;=$T$4,K633&lt;=$T$5,N633),M633)</f>
        <v/>
      </c>
      <c r="Q633">
        <f>OR(AND(I633&gt;=$T$10,K633&lt;=$T$11,O633),M633)</f>
        <v/>
      </c>
    </row>
    <row r="634">
      <c r="A634">
        <f>Data!E667</f>
        <v/>
      </c>
      <c r="B634">
        <f>Data!G667</f>
        <v/>
      </c>
      <c r="C634">
        <f>Data!H667</f>
        <v/>
      </c>
      <c r="D634">
        <f>Data!I667</f>
        <v/>
      </c>
      <c r="E634">
        <f>Data!M667</f>
        <v/>
      </c>
      <c r="F634">
        <f>Data!O667</f>
        <v/>
      </c>
      <c r="G634">
        <f>E634-F634</f>
        <v/>
      </c>
      <c r="H634">
        <f>Data!P667</f>
        <v/>
      </c>
      <c r="I634">
        <f>G634+H634</f>
        <v/>
      </c>
      <c r="J634">
        <f>F634+G634+H634</f>
        <v/>
      </c>
      <c r="K634">
        <f>Data!R667</f>
        <v/>
      </c>
      <c r="L634">
        <f>Data!T667</f>
        <v/>
      </c>
      <c r="M634">
        <f>AND(E634=0,F634=0,G634=0,H634=0,I634=0,J634=0,K634=0,L634=0)</f>
        <v/>
      </c>
      <c r="N634">
        <f>G634&lt;=$T$6</f>
        <v/>
      </c>
      <c r="O634">
        <f>G634&lt;=$T$12</f>
        <v/>
      </c>
      <c r="P634">
        <f>OR(AND(H634&gt;=$T$4,K634&lt;=$T$5,N634),M634)</f>
        <v/>
      </c>
      <c r="Q634">
        <f>OR(AND(I634&gt;=$T$10,K634&lt;=$T$11,O634),M634)</f>
        <v/>
      </c>
    </row>
    <row r="635">
      <c r="A635">
        <f>Data!E668</f>
        <v/>
      </c>
      <c r="B635">
        <f>Data!G668</f>
        <v/>
      </c>
      <c r="C635">
        <f>Data!H668</f>
        <v/>
      </c>
      <c r="D635">
        <f>Data!I668</f>
        <v/>
      </c>
      <c r="E635">
        <f>Data!M668</f>
        <v/>
      </c>
      <c r="F635">
        <f>Data!O668</f>
        <v/>
      </c>
      <c r="G635">
        <f>E635-F635</f>
        <v/>
      </c>
      <c r="H635">
        <f>Data!P668</f>
        <v/>
      </c>
      <c r="I635">
        <f>G635+H635</f>
        <v/>
      </c>
      <c r="J635">
        <f>F635+G635+H635</f>
        <v/>
      </c>
      <c r="K635">
        <f>Data!R668</f>
        <v/>
      </c>
      <c r="L635">
        <f>Data!T668</f>
        <v/>
      </c>
      <c r="M635">
        <f>AND(E635=0,F635=0,G635=0,H635=0,I635=0,J635=0,K635=0,L635=0)</f>
        <v/>
      </c>
      <c r="N635">
        <f>G635&lt;=$T$6</f>
        <v/>
      </c>
      <c r="O635">
        <f>G635&lt;=$T$12</f>
        <v/>
      </c>
      <c r="P635">
        <f>OR(AND(H635&gt;=$T$4,K635&lt;=$T$5,N635),M635)</f>
        <v/>
      </c>
      <c r="Q635">
        <f>OR(AND(I635&gt;=$T$10,K635&lt;=$T$11,O635),M635)</f>
        <v/>
      </c>
    </row>
    <row r="636">
      <c r="A636">
        <f>Data!E669</f>
        <v/>
      </c>
      <c r="B636">
        <f>Data!G669</f>
        <v/>
      </c>
      <c r="C636">
        <f>Data!H669</f>
        <v/>
      </c>
      <c r="D636">
        <f>Data!I669</f>
        <v/>
      </c>
      <c r="E636">
        <f>Data!M669</f>
        <v/>
      </c>
      <c r="F636">
        <f>Data!O669</f>
        <v/>
      </c>
      <c r="G636">
        <f>E636-F636</f>
        <v/>
      </c>
      <c r="H636">
        <f>Data!P669</f>
        <v/>
      </c>
      <c r="I636">
        <f>G636+H636</f>
        <v/>
      </c>
      <c r="J636">
        <f>F636+G636+H636</f>
        <v/>
      </c>
      <c r="K636">
        <f>Data!R669</f>
        <v/>
      </c>
      <c r="L636">
        <f>Data!T669</f>
        <v/>
      </c>
      <c r="M636">
        <f>AND(E636=0,F636=0,G636=0,H636=0,I636=0,J636=0,K636=0,L636=0)</f>
        <v/>
      </c>
      <c r="N636">
        <f>G636&lt;=$T$6</f>
        <v/>
      </c>
      <c r="O636">
        <f>G636&lt;=$T$12</f>
        <v/>
      </c>
      <c r="P636">
        <f>OR(AND(H636&gt;=$T$4,K636&lt;=$T$5,N636),M636)</f>
        <v/>
      </c>
      <c r="Q636">
        <f>OR(AND(I636&gt;=$T$10,K636&lt;=$T$11,O636),M636)</f>
        <v/>
      </c>
    </row>
    <row r="637">
      <c r="A637">
        <f>Data!E670</f>
        <v/>
      </c>
      <c r="B637">
        <f>Data!G670</f>
        <v/>
      </c>
      <c r="C637">
        <f>Data!H670</f>
        <v/>
      </c>
      <c r="D637">
        <f>Data!I670</f>
        <v/>
      </c>
      <c r="E637">
        <f>Data!M670</f>
        <v/>
      </c>
      <c r="F637">
        <f>Data!O670</f>
        <v/>
      </c>
      <c r="G637">
        <f>E637-F637</f>
        <v/>
      </c>
      <c r="H637">
        <f>Data!P670</f>
        <v/>
      </c>
      <c r="I637">
        <f>G637+H637</f>
        <v/>
      </c>
      <c r="J637">
        <f>F637+G637+H637</f>
        <v/>
      </c>
      <c r="K637">
        <f>Data!R670</f>
        <v/>
      </c>
      <c r="L637">
        <f>Data!T670</f>
        <v/>
      </c>
      <c r="M637">
        <f>AND(E637=0,F637=0,G637=0,H637=0,I637=0,J637=0,K637=0,L637=0)</f>
        <v/>
      </c>
      <c r="N637">
        <f>G637&lt;=$T$6</f>
        <v/>
      </c>
      <c r="O637">
        <f>G637&lt;=$T$12</f>
        <v/>
      </c>
      <c r="P637">
        <f>OR(AND(H637&gt;=$T$4,K637&lt;=$T$5,N637),M637)</f>
        <v/>
      </c>
      <c r="Q637">
        <f>OR(AND(I637&gt;=$T$10,K637&lt;=$T$11,O637),M637)</f>
        <v/>
      </c>
    </row>
    <row r="638">
      <c r="A638">
        <f>Data!E671</f>
        <v/>
      </c>
      <c r="B638">
        <f>Data!G671</f>
        <v/>
      </c>
      <c r="C638">
        <f>Data!H671</f>
        <v/>
      </c>
      <c r="D638">
        <f>Data!I671</f>
        <v/>
      </c>
      <c r="E638">
        <f>Data!M671</f>
        <v/>
      </c>
      <c r="F638">
        <f>Data!O671</f>
        <v/>
      </c>
      <c r="G638">
        <f>E638-F638</f>
        <v/>
      </c>
      <c r="H638">
        <f>Data!P671</f>
        <v/>
      </c>
      <c r="I638">
        <f>G638+H638</f>
        <v/>
      </c>
      <c r="J638">
        <f>F638+G638+H638</f>
        <v/>
      </c>
      <c r="K638">
        <f>Data!R671</f>
        <v/>
      </c>
      <c r="L638">
        <f>Data!T671</f>
        <v/>
      </c>
      <c r="M638">
        <f>AND(E638=0,F638=0,G638=0,H638=0,I638=0,J638=0,K638=0,L638=0)</f>
        <v/>
      </c>
      <c r="N638">
        <f>G638&lt;=$T$6</f>
        <v/>
      </c>
      <c r="O638">
        <f>G638&lt;=$T$12</f>
        <v/>
      </c>
      <c r="P638">
        <f>OR(AND(H638&gt;=$T$4,K638&lt;=$T$5,N638),M638)</f>
        <v/>
      </c>
      <c r="Q638">
        <f>OR(AND(I638&gt;=$T$10,K638&lt;=$T$11,O638),M638)</f>
        <v/>
      </c>
    </row>
    <row r="639">
      <c r="A639">
        <f>Data!E672</f>
        <v/>
      </c>
      <c r="B639">
        <f>Data!G672</f>
        <v/>
      </c>
      <c r="C639">
        <f>Data!H672</f>
        <v/>
      </c>
      <c r="D639">
        <f>Data!I672</f>
        <v/>
      </c>
      <c r="E639">
        <f>Data!M672</f>
        <v/>
      </c>
      <c r="F639">
        <f>Data!O672</f>
        <v/>
      </c>
      <c r="G639">
        <f>E639-F639</f>
        <v/>
      </c>
      <c r="H639">
        <f>Data!P672</f>
        <v/>
      </c>
      <c r="I639">
        <f>G639+H639</f>
        <v/>
      </c>
      <c r="J639">
        <f>F639+G639+H639</f>
        <v/>
      </c>
      <c r="K639">
        <f>Data!R672</f>
        <v/>
      </c>
      <c r="L639">
        <f>Data!T672</f>
        <v/>
      </c>
      <c r="M639">
        <f>AND(E639=0,F639=0,G639=0,H639=0,I639=0,J639=0,K639=0,L639=0)</f>
        <v/>
      </c>
      <c r="N639">
        <f>G639&lt;=$T$6</f>
        <v/>
      </c>
      <c r="O639">
        <f>G639&lt;=$T$12</f>
        <v/>
      </c>
      <c r="P639">
        <f>OR(AND(H639&gt;=$T$4,K639&lt;=$T$5,N639),M639)</f>
        <v/>
      </c>
      <c r="Q639">
        <f>OR(AND(I639&gt;=$T$10,K639&lt;=$T$11,O639),M639)</f>
        <v/>
      </c>
    </row>
    <row r="640">
      <c r="A640">
        <f>Data!E673</f>
        <v/>
      </c>
      <c r="B640">
        <f>Data!G673</f>
        <v/>
      </c>
      <c r="C640">
        <f>Data!H673</f>
        <v/>
      </c>
      <c r="D640">
        <f>Data!I673</f>
        <v/>
      </c>
      <c r="E640">
        <f>Data!M673</f>
        <v/>
      </c>
      <c r="F640">
        <f>Data!O673</f>
        <v/>
      </c>
      <c r="G640">
        <f>E640-F640</f>
        <v/>
      </c>
      <c r="H640">
        <f>Data!P673</f>
        <v/>
      </c>
      <c r="I640">
        <f>G640+H640</f>
        <v/>
      </c>
      <c r="J640">
        <f>F640+G640+H640</f>
        <v/>
      </c>
      <c r="K640">
        <f>Data!R673</f>
        <v/>
      </c>
      <c r="L640">
        <f>Data!T673</f>
        <v/>
      </c>
      <c r="M640">
        <f>AND(E640=0,F640=0,G640=0,H640=0,I640=0,J640=0,K640=0,L640=0)</f>
        <v/>
      </c>
      <c r="N640">
        <f>G640&lt;=$T$6</f>
        <v/>
      </c>
      <c r="O640">
        <f>G640&lt;=$T$12</f>
        <v/>
      </c>
      <c r="P640">
        <f>OR(AND(H640&gt;=$T$4,K640&lt;=$T$5,N640),M640)</f>
        <v/>
      </c>
      <c r="Q640">
        <f>OR(AND(I640&gt;=$T$10,K640&lt;=$T$11,O640),M640)</f>
        <v/>
      </c>
    </row>
    <row r="641">
      <c r="A641">
        <f>Data!E674</f>
        <v/>
      </c>
      <c r="B641">
        <f>Data!G674</f>
        <v/>
      </c>
      <c r="C641">
        <f>Data!H674</f>
        <v/>
      </c>
      <c r="D641">
        <f>Data!I674</f>
        <v/>
      </c>
      <c r="E641">
        <f>Data!M674</f>
        <v/>
      </c>
      <c r="F641">
        <f>Data!O674</f>
        <v/>
      </c>
      <c r="G641">
        <f>E641-F641</f>
        <v/>
      </c>
      <c r="H641">
        <f>Data!P674</f>
        <v/>
      </c>
      <c r="I641">
        <f>G641+H641</f>
        <v/>
      </c>
      <c r="J641">
        <f>F641+G641+H641</f>
        <v/>
      </c>
      <c r="K641">
        <f>Data!R674</f>
        <v/>
      </c>
      <c r="L641">
        <f>Data!T674</f>
        <v/>
      </c>
      <c r="M641">
        <f>AND(E641=0,F641=0,G641=0,H641=0,I641=0,J641=0,K641=0,L641=0)</f>
        <v/>
      </c>
      <c r="N641">
        <f>G641&lt;=$T$6</f>
        <v/>
      </c>
      <c r="O641">
        <f>G641&lt;=$T$12</f>
        <v/>
      </c>
      <c r="P641">
        <f>OR(AND(H641&gt;=$T$4,K641&lt;=$T$5,N641),M641)</f>
        <v/>
      </c>
      <c r="Q641">
        <f>OR(AND(I641&gt;=$T$10,K641&lt;=$T$11,O641),M641)</f>
        <v/>
      </c>
    </row>
    <row r="642">
      <c r="A642">
        <f>Data!E675</f>
        <v/>
      </c>
      <c r="B642">
        <f>Data!G675</f>
        <v/>
      </c>
      <c r="C642">
        <f>Data!H675</f>
        <v/>
      </c>
      <c r="D642">
        <f>Data!I675</f>
        <v/>
      </c>
      <c r="E642">
        <f>Data!M675</f>
        <v/>
      </c>
      <c r="F642">
        <f>Data!O675</f>
        <v/>
      </c>
      <c r="G642">
        <f>E642-F642</f>
        <v/>
      </c>
      <c r="H642">
        <f>Data!P675</f>
        <v/>
      </c>
      <c r="I642">
        <f>G642+H642</f>
        <v/>
      </c>
      <c r="J642">
        <f>F642+G642+H642</f>
        <v/>
      </c>
      <c r="K642">
        <f>Data!R675</f>
        <v/>
      </c>
      <c r="L642">
        <f>Data!T675</f>
        <v/>
      </c>
      <c r="M642">
        <f>AND(E642=0,F642=0,G642=0,H642=0,I642=0,J642=0,K642=0,L642=0)</f>
        <v/>
      </c>
      <c r="N642">
        <f>G642&lt;=$T$6</f>
        <v/>
      </c>
      <c r="O642">
        <f>G642&lt;=$T$12</f>
        <v/>
      </c>
      <c r="P642">
        <f>OR(AND(H642&gt;=$T$4,K642&lt;=$T$5,N642),M642)</f>
        <v/>
      </c>
      <c r="Q642">
        <f>OR(AND(I642&gt;=$T$10,K642&lt;=$T$11,O642),M642)</f>
        <v/>
      </c>
    </row>
    <row r="643">
      <c r="A643">
        <f>Data!E676</f>
        <v/>
      </c>
      <c r="B643">
        <f>Data!G676</f>
        <v/>
      </c>
      <c r="C643">
        <f>Data!H676</f>
        <v/>
      </c>
      <c r="D643">
        <f>Data!I676</f>
        <v/>
      </c>
      <c r="E643">
        <f>Data!M676</f>
        <v/>
      </c>
      <c r="F643">
        <f>Data!O676</f>
        <v/>
      </c>
      <c r="G643">
        <f>E643-F643</f>
        <v/>
      </c>
      <c r="H643">
        <f>Data!P676</f>
        <v/>
      </c>
      <c r="I643">
        <f>G643+H643</f>
        <v/>
      </c>
      <c r="J643">
        <f>F643+G643+H643</f>
        <v/>
      </c>
      <c r="K643">
        <f>Data!R676</f>
        <v/>
      </c>
      <c r="L643">
        <f>Data!T676</f>
        <v/>
      </c>
      <c r="M643">
        <f>AND(E643=0,F643=0,G643=0,H643=0,I643=0,J643=0,K643=0,L643=0)</f>
        <v/>
      </c>
      <c r="N643">
        <f>G643&lt;=$T$6</f>
        <v/>
      </c>
      <c r="O643">
        <f>G643&lt;=$T$12</f>
        <v/>
      </c>
      <c r="P643">
        <f>OR(AND(H643&gt;=$T$4,K643&lt;=$T$5,N643),M643)</f>
        <v/>
      </c>
      <c r="Q643">
        <f>OR(AND(I643&gt;=$T$10,K643&lt;=$T$11,O643),M643)</f>
        <v/>
      </c>
    </row>
    <row r="644">
      <c r="A644">
        <f>Data!E677</f>
        <v/>
      </c>
      <c r="B644">
        <f>Data!G677</f>
        <v/>
      </c>
      <c r="C644">
        <f>Data!H677</f>
        <v/>
      </c>
      <c r="D644">
        <f>Data!I677</f>
        <v/>
      </c>
      <c r="E644">
        <f>Data!M677</f>
        <v/>
      </c>
      <c r="F644">
        <f>Data!O677</f>
        <v/>
      </c>
      <c r="G644">
        <f>E644-F644</f>
        <v/>
      </c>
      <c r="H644">
        <f>Data!P677</f>
        <v/>
      </c>
      <c r="I644">
        <f>G644+H644</f>
        <v/>
      </c>
      <c r="J644">
        <f>F644+G644+H644</f>
        <v/>
      </c>
      <c r="K644">
        <f>Data!R677</f>
        <v/>
      </c>
      <c r="L644">
        <f>Data!T677</f>
        <v/>
      </c>
      <c r="M644">
        <f>AND(E644=0,F644=0,G644=0,H644=0,I644=0,J644=0,K644=0,L644=0)</f>
        <v/>
      </c>
      <c r="N644">
        <f>G644&lt;=$T$6</f>
        <v/>
      </c>
      <c r="O644">
        <f>G644&lt;=$T$12</f>
        <v/>
      </c>
      <c r="P644">
        <f>OR(AND(H644&gt;=$T$4,K644&lt;=$T$5,N644),M644)</f>
        <v/>
      </c>
      <c r="Q644">
        <f>OR(AND(I644&gt;=$T$10,K644&lt;=$T$11,O644),M644)</f>
        <v/>
      </c>
    </row>
    <row r="645">
      <c r="A645">
        <f>Data!E678</f>
        <v/>
      </c>
      <c r="B645">
        <f>Data!G678</f>
        <v/>
      </c>
      <c r="C645">
        <f>Data!H678</f>
        <v/>
      </c>
      <c r="D645">
        <f>Data!I678</f>
        <v/>
      </c>
      <c r="E645">
        <f>Data!M678</f>
        <v/>
      </c>
      <c r="F645">
        <f>Data!O678</f>
        <v/>
      </c>
      <c r="G645">
        <f>E645-F645</f>
        <v/>
      </c>
      <c r="H645">
        <f>Data!P678</f>
        <v/>
      </c>
      <c r="I645">
        <f>G645+H645</f>
        <v/>
      </c>
      <c r="J645">
        <f>F645+G645+H645</f>
        <v/>
      </c>
      <c r="K645">
        <f>Data!R678</f>
        <v/>
      </c>
      <c r="L645">
        <f>Data!T678</f>
        <v/>
      </c>
      <c r="M645">
        <f>AND(E645=0,F645=0,G645=0,H645=0,I645=0,J645=0,K645=0,L645=0)</f>
        <v/>
      </c>
      <c r="N645">
        <f>G645&lt;=$T$6</f>
        <v/>
      </c>
      <c r="O645">
        <f>G645&lt;=$T$12</f>
        <v/>
      </c>
      <c r="P645">
        <f>OR(AND(H645&gt;=$T$4,K645&lt;=$T$5,N645),M645)</f>
        <v/>
      </c>
      <c r="Q645">
        <f>OR(AND(I645&gt;=$T$10,K645&lt;=$T$11,O645),M645)</f>
        <v/>
      </c>
    </row>
    <row r="646">
      <c r="A646">
        <f>Data!E679</f>
        <v/>
      </c>
      <c r="B646">
        <f>Data!G679</f>
        <v/>
      </c>
      <c r="C646">
        <f>Data!H679</f>
        <v/>
      </c>
      <c r="D646">
        <f>Data!I679</f>
        <v/>
      </c>
      <c r="E646">
        <f>Data!M679</f>
        <v/>
      </c>
      <c r="F646">
        <f>Data!O679</f>
        <v/>
      </c>
      <c r="G646">
        <f>E646-F646</f>
        <v/>
      </c>
      <c r="H646">
        <f>Data!P679</f>
        <v/>
      </c>
      <c r="I646">
        <f>G646+H646</f>
        <v/>
      </c>
      <c r="J646">
        <f>F646+G646+H646</f>
        <v/>
      </c>
      <c r="K646">
        <f>Data!R679</f>
        <v/>
      </c>
      <c r="L646">
        <f>Data!T679</f>
        <v/>
      </c>
      <c r="M646">
        <f>AND(E646=0,F646=0,G646=0,H646=0,I646=0,J646=0,K646=0,L646=0)</f>
        <v/>
      </c>
      <c r="N646">
        <f>G646&lt;=$T$6</f>
        <v/>
      </c>
      <c r="O646">
        <f>G646&lt;=$T$12</f>
        <v/>
      </c>
      <c r="P646">
        <f>OR(AND(H646&gt;=$T$4,K646&lt;=$T$5,N646),M646)</f>
        <v/>
      </c>
      <c r="Q646">
        <f>OR(AND(I646&gt;=$T$10,K646&lt;=$T$11,O646),M646)</f>
        <v/>
      </c>
    </row>
    <row r="647">
      <c r="A647">
        <f>Data!E680</f>
        <v/>
      </c>
      <c r="B647">
        <f>Data!G680</f>
        <v/>
      </c>
      <c r="C647">
        <f>Data!H680</f>
        <v/>
      </c>
      <c r="D647">
        <f>Data!I680</f>
        <v/>
      </c>
      <c r="E647">
        <f>Data!M680</f>
        <v/>
      </c>
      <c r="F647">
        <f>Data!O680</f>
        <v/>
      </c>
      <c r="G647">
        <f>E647-F647</f>
        <v/>
      </c>
      <c r="H647">
        <f>Data!P680</f>
        <v/>
      </c>
      <c r="I647">
        <f>G647+H647</f>
        <v/>
      </c>
      <c r="J647">
        <f>F647+G647+H647</f>
        <v/>
      </c>
      <c r="K647">
        <f>Data!R680</f>
        <v/>
      </c>
      <c r="L647">
        <f>Data!T680</f>
        <v/>
      </c>
      <c r="M647">
        <f>AND(E647=0,F647=0,G647=0,H647=0,I647=0,J647=0,K647=0,L647=0)</f>
        <v/>
      </c>
      <c r="N647">
        <f>G647&lt;=$T$6</f>
        <v/>
      </c>
      <c r="O647">
        <f>G647&lt;=$T$12</f>
        <v/>
      </c>
      <c r="P647">
        <f>OR(AND(H647&gt;=$T$4,K647&lt;=$T$5,N647),M647)</f>
        <v/>
      </c>
      <c r="Q647">
        <f>OR(AND(I647&gt;=$T$10,K647&lt;=$T$11,O647),M647)</f>
        <v/>
      </c>
    </row>
    <row r="648">
      <c r="A648">
        <f>Data!E681</f>
        <v/>
      </c>
      <c r="B648">
        <f>Data!G681</f>
        <v/>
      </c>
      <c r="C648">
        <f>Data!H681</f>
        <v/>
      </c>
      <c r="D648">
        <f>Data!I681</f>
        <v/>
      </c>
      <c r="E648">
        <f>Data!M681</f>
        <v/>
      </c>
      <c r="F648">
        <f>Data!O681</f>
        <v/>
      </c>
      <c r="G648">
        <f>E648-F648</f>
        <v/>
      </c>
      <c r="H648">
        <f>Data!P681</f>
        <v/>
      </c>
      <c r="I648">
        <f>G648+H648</f>
        <v/>
      </c>
      <c r="J648">
        <f>F648+G648+H648</f>
        <v/>
      </c>
      <c r="K648">
        <f>Data!R681</f>
        <v/>
      </c>
      <c r="L648">
        <f>Data!T681</f>
        <v/>
      </c>
      <c r="M648">
        <f>AND(E648=0,F648=0,G648=0,H648=0,I648=0,J648=0,K648=0,L648=0)</f>
        <v/>
      </c>
      <c r="N648">
        <f>G648&lt;=$T$6</f>
        <v/>
      </c>
      <c r="O648">
        <f>G648&lt;=$T$12</f>
        <v/>
      </c>
      <c r="P648">
        <f>OR(AND(H648&gt;=$T$4,K648&lt;=$T$5,N648),M648)</f>
        <v/>
      </c>
      <c r="Q648">
        <f>OR(AND(I648&gt;=$T$10,K648&lt;=$T$11,O648),M648)</f>
        <v/>
      </c>
    </row>
    <row r="649">
      <c r="A649">
        <f>Data!E682</f>
        <v/>
      </c>
      <c r="B649">
        <f>Data!G682</f>
        <v/>
      </c>
      <c r="C649">
        <f>Data!H682</f>
        <v/>
      </c>
      <c r="D649">
        <f>Data!I682</f>
        <v/>
      </c>
      <c r="E649">
        <f>Data!M682</f>
        <v/>
      </c>
      <c r="F649">
        <f>Data!O682</f>
        <v/>
      </c>
      <c r="G649">
        <f>E649-F649</f>
        <v/>
      </c>
      <c r="H649">
        <f>Data!P682</f>
        <v/>
      </c>
      <c r="I649">
        <f>G649+H649</f>
        <v/>
      </c>
      <c r="J649">
        <f>F649+G649+H649</f>
        <v/>
      </c>
      <c r="K649">
        <f>Data!R682</f>
        <v/>
      </c>
      <c r="L649">
        <f>Data!T682</f>
        <v/>
      </c>
      <c r="M649">
        <f>AND(E649=0,F649=0,G649=0,H649=0,I649=0,J649=0,K649=0,L649=0)</f>
        <v/>
      </c>
      <c r="N649">
        <f>G649&lt;=$T$6</f>
        <v/>
      </c>
      <c r="O649">
        <f>G649&lt;=$T$12</f>
        <v/>
      </c>
      <c r="P649">
        <f>OR(AND(H649&gt;=$T$4,K649&lt;=$T$5,N649),M649)</f>
        <v/>
      </c>
      <c r="Q649">
        <f>OR(AND(I649&gt;=$T$10,K649&lt;=$T$11,O649),M649)</f>
        <v/>
      </c>
    </row>
    <row r="650">
      <c r="A650">
        <f>Data!E683</f>
        <v/>
      </c>
      <c r="B650">
        <f>Data!G683</f>
        <v/>
      </c>
      <c r="C650">
        <f>Data!H683</f>
        <v/>
      </c>
      <c r="D650">
        <f>Data!I683</f>
        <v/>
      </c>
      <c r="E650">
        <f>Data!M683</f>
        <v/>
      </c>
      <c r="F650">
        <f>Data!O683</f>
        <v/>
      </c>
      <c r="G650">
        <f>E650-F650</f>
        <v/>
      </c>
      <c r="H650">
        <f>Data!P683</f>
        <v/>
      </c>
      <c r="I650">
        <f>G650+H650</f>
        <v/>
      </c>
      <c r="J650">
        <f>F650+G650+H650</f>
        <v/>
      </c>
      <c r="K650">
        <f>Data!R683</f>
        <v/>
      </c>
      <c r="L650">
        <f>Data!T683</f>
        <v/>
      </c>
      <c r="M650">
        <f>AND(E650=0,F650=0,G650=0,H650=0,I650=0,J650=0,K650=0,L650=0)</f>
        <v/>
      </c>
      <c r="N650">
        <f>G650&lt;=$T$6</f>
        <v/>
      </c>
      <c r="O650">
        <f>G650&lt;=$T$12</f>
        <v/>
      </c>
      <c r="P650">
        <f>OR(AND(H650&gt;=$T$4,K650&lt;=$T$5,N650),M650)</f>
        <v/>
      </c>
      <c r="Q650">
        <f>OR(AND(I650&gt;=$T$10,K650&lt;=$T$11,O650),M650)</f>
        <v/>
      </c>
    </row>
    <row r="651">
      <c r="A651">
        <f>Data!E684</f>
        <v/>
      </c>
      <c r="B651">
        <f>Data!G684</f>
        <v/>
      </c>
      <c r="C651">
        <f>Data!H684</f>
        <v/>
      </c>
      <c r="D651">
        <f>Data!I684</f>
        <v/>
      </c>
      <c r="E651">
        <f>Data!M684</f>
        <v/>
      </c>
      <c r="F651">
        <f>Data!O684</f>
        <v/>
      </c>
      <c r="G651">
        <f>E651-F651</f>
        <v/>
      </c>
      <c r="H651">
        <f>Data!P684</f>
        <v/>
      </c>
      <c r="I651">
        <f>G651+H651</f>
        <v/>
      </c>
      <c r="J651">
        <f>F651+G651+H651</f>
        <v/>
      </c>
      <c r="K651">
        <f>Data!R684</f>
        <v/>
      </c>
      <c r="L651">
        <f>Data!T684</f>
        <v/>
      </c>
      <c r="M651">
        <f>AND(E651=0,F651=0,G651=0,H651=0,I651=0,J651=0,K651=0,L651=0)</f>
        <v/>
      </c>
      <c r="N651">
        <f>G651&lt;=$T$6</f>
        <v/>
      </c>
      <c r="O651">
        <f>G651&lt;=$T$12</f>
        <v/>
      </c>
      <c r="P651">
        <f>OR(AND(H651&gt;=$T$4,K651&lt;=$T$5,N651),M651)</f>
        <v/>
      </c>
      <c r="Q651">
        <f>OR(AND(I651&gt;=$T$10,K651&lt;=$T$11,O651),M651)</f>
        <v/>
      </c>
    </row>
    <row r="652">
      <c r="A652">
        <f>Data!E686</f>
        <v/>
      </c>
      <c r="B652">
        <f>Data!G686</f>
        <v/>
      </c>
      <c r="C652">
        <f>Data!H686</f>
        <v/>
      </c>
      <c r="D652">
        <f>Data!I686</f>
        <v/>
      </c>
      <c r="E652">
        <f>Data!M686</f>
        <v/>
      </c>
      <c r="F652">
        <f>Data!O686</f>
        <v/>
      </c>
      <c r="G652">
        <f>E652-F652</f>
        <v/>
      </c>
      <c r="H652">
        <f>Data!P686</f>
        <v/>
      </c>
      <c r="I652">
        <f>G652+H652</f>
        <v/>
      </c>
      <c r="J652">
        <f>F652+G652+H652</f>
        <v/>
      </c>
      <c r="K652">
        <f>Data!R686</f>
        <v/>
      </c>
      <c r="L652">
        <f>Data!T686</f>
        <v/>
      </c>
      <c r="M652">
        <f>AND(E652=0,F652=0,G652=0,H652=0,I652=0,J652=0,K652=0,L652=0)</f>
        <v/>
      </c>
      <c r="N652">
        <f>G652&lt;=$T$6</f>
        <v/>
      </c>
      <c r="O652">
        <f>G652&lt;=$T$12</f>
        <v/>
      </c>
      <c r="P652">
        <f>OR(AND(H652&gt;=$T$4,K652&lt;=$T$5,N652),M652)</f>
        <v/>
      </c>
      <c r="Q652">
        <f>OR(AND(I652&gt;=$T$10,K652&lt;=$T$11,O652),M652)</f>
        <v/>
      </c>
    </row>
    <row r="653">
      <c r="A653">
        <f>Data!E687</f>
        <v/>
      </c>
      <c r="B653">
        <f>Data!G687</f>
        <v/>
      </c>
      <c r="C653">
        <f>Data!H687</f>
        <v/>
      </c>
      <c r="D653">
        <f>Data!I687</f>
        <v/>
      </c>
      <c r="E653">
        <f>Data!M687</f>
        <v/>
      </c>
      <c r="F653">
        <f>Data!O687</f>
        <v/>
      </c>
      <c r="G653">
        <f>E653-F653</f>
        <v/>
      </c>
      <c r="H653">
        <f>Data!P687</f>
        <v/>
      </c>
      <c r="I653">
        <f>G653+H653</f>
        <v/>
      </c>
      <c r="J653">
        <f>F653+G653+H653</f>
        <v/>
      </c>
      <c r="K653">
        <f>Data!R687</f>
        <v/>
      </c>
      <c r="L653">
        <f>Data!T687</f>
        <v/>
      </c>
      <c r="M653">
        <f>AND(E653=0,F653=0,G653=0,H653=0,I653=0,J653=0,K653=0,L653=0)</f>
        <v/>
      </c>
      <c r="N653">
        <f>G653&lt;=$T$6</f>
        <v/>
      </c>
      <c r="O653">
        <f>G653&lt;=$T$12</f>
        <v/>
      </c>
      <c r="P653">
        <f>OR(AND(H653&gt;=$T$4,K653&lt;=$T$5,N653),M653)</f>
        <v/>
      </c>
      <c r="Q653">
        <f>OR(AND(I653&gt;=$T$10,K653&lt;=$T$11,O653),M653)</f>
        <v/>
      </c>
    </row>
    <row r="654">
      <c r="A654">
        <f>Data!E688</f>
        <v/>
      </c>
      <c r="B654">
        <f>Data!G688</f>
        <v/>
      </c>
      <c r="C654">
        <f>Data!H688</f>
        <v/>
      </c>
      <c r="D654">
        <f>Data!I688</f>
        <v/>
      </c>
      <c r="E654">
        <f>Data!M688</f>
        <v/>
      </c>
      <c r="F654">
        <f>Data!O688</f>
        <v/>
      </c>
      <c r="G654">
        <f>E654-F654</f>
        <v/>
      </c>
      <c r="H654">
        <f>Data!P688</f>
        <v/>
      </c>
      <c r="I654">
        <f>G654+H654</f>
        <v/>
      </c>
      <c r="J654">
        <f>F654+G654+H654</f>
        <v/>
      </c>
      <c r="K654">
        <f>Data!R688</f>
        <v/>
      </c>
      <c r="L654">
        <f>Data!T688</f>
        <v/>
      </c>
      <c r="M654">
        <f>AND(E654=0,F654=0,G654=0,H654=0,I654=0,J654=0,K654=0,L654=0)</f>
        <v/>
      </c>
      <c r="N654">
        <f>G654&lt;=$T$6</f>
        <v/>
      </c>
      <c r="O654">
        <f>G654&lt;=$T$12</f>
        <v/>
      </c>
      <c r="P654">
        <f>OR(AND(H654&gt;=$T$4,K654&lt;=$T$5,N654),M654)</f>
        <v/>
      </c>
      <c r="Q654">
        <f>OR(AND(I654&gt;=$T$10,K654&lt;=$T$11,O654),M654)</f>
        <v/>
      </c>
    </row>
    <row r="655">
      <c r="A655">
        <f>Data!E689</f>
        <v/>
      </c>
      <c r="B655">
        <f>Data!G689</f>
        <v/>
      </c>
      <c r="C655">
        <f>Data!H689</f>
        <v/>
      </c>
      <c r="D655">
        <f>Data!I689</f>
        <v/>
      </c>
      <c r="E655">
        <f>Data!M689</f>
        <v/>
      </c>
      <c r="F655">
        <f>Data!O689</f>
        <v/>
      </c>
      <c r="G655">
        <f>E655-F655</f>
        <v/>
      </c>
      <c r="H655">
        <f>Data!P689</f>
        <v/>
      </c>
      <c r="I655">
        <f>G655+H655</f>
        <v/>
      </c>
      <c r="J655">
        <f>F655+G655+H655</f>
        <v/>
      </c>
      <c r="K655">
        <f>Data!R689</f>
        <v/>
      </c>
      <c r="L655">
        <f>Data!T689</f>
        <v/>
      </c>
      <c r="M655">
        <f>AND(E655=0,F655=0,G655=0,H655=0,I655=0,J655=0,K655=0,L655=0)</f>
        <v/>
      </c>
      <c r="N655">
        <f>G655&lt;=$T$6</f>
        <v/>
      </c>
      <c r="O655">
        <f>G655&lt;=$T$12</f>
        <v/>
      </c>
      <c r="P655">
        <f>OR(AND(H655&gt;=$T$4,K655&lt;=$T$5,N655),M655)</f>
        <v/>
      </c>
      <c r="Q655">
        <f>OR(AND(I655&gt;=$T$10,K655&lt;=$T$11,O655),M655)</f>
        <v/>
      </c>
    </row>
    <row r="656">
      <c r="A656">
        <f>Data!E690</f>
        <v/>
      </c>
      <c r="B656">
        <f>Data!G690</f>
        <v/>
      </c>
      <c r="C656">
        <f>Data!H690</f>
        <v/>
      </c>
      <c r="D656">
        <f>Data!I690</f>
        <v/>
      </c>
      <c r="E656">
        <f>Data!M690</f>
        <v/>
      </c>
      <c r="F656">
        <f>Data!O690</f>
        <v/>
      </c>
      <c r="G656">
        <f>E656-F656</f>
        <v/>
      </c>
      <c r="H656">
        <f>Data!P690</f>
        <v/>
      </c>
      <c r="I656">
        <f>G656+H656</f>
        <v/>
      </c>
      <c r="J656">
        <f>F656+G656+H656</f>
        <v/>
      </c>
      <c r="K656">
        <f>Data!R690</f>
        <v/>
      </c>
      <c r="L656">
        <f>Data!T690</f>
        <v/>
      </c>
      <c r="M656">
        <f>AND(E656=0,F656=0,G656=0,H656=0,I656=0,J656=0,K656=0,L656=0)</f>
        <v/>
      </c>
      <c r="N656">
        <f>G656&lt;=$T$6</f>
        <v/>
      </c>
      <c r="O656">
        <f>G656&lt;=$T$12</f>
        <v/>
      </c>
      <c r="P656">
        <f>OR(AND(H656&gt;=$T$4,K656&lt;=$T$5,N656),M656)</f>
        <v/>
      </c>
      <c r="Q656">
        <f>OR(AND(I656&gt;=$T$10,K656&lt;=$T$11,O656),M656)</f>
        <v/>
      </c>
    </row>
    <row r="657">
      <c r="A657">
        <f>Data!E691</f>
        <v/>
      </c>
      <c r="B657">
        <f>Data!G691</f>
        <v/>
      </c>
      <c r="C657">
        <f>Data!H691</f>
        <v/>
      </c>
      <c r="D657">
        <f>Data!I691</f>
        <v/>
      </c>
      <c r="E657">
        <f>Data!M691</f>
        <v/>
      </c>
      <c r="F657">
        <f>Data!O691</f>
        <v/>
      </c>
      <c r="G657">
        <f>E657-F657</f>
        <v/>
      </c>
      <c r="H657">
        <f>Data!P691</f>
        <v/>
      </c>
      <c r="I657">
        <f>G657+H657</f>
        <v/>
      </c>
      <c r="J657">
        <f>F657+G657+H657</f>
        <v/>
      </c>
      <c r="K657">
        <f>Data!R691</f>
        <v/>
      </c>
      <c r="L657">
        <f>Data!T691</f>
        <v/>
      </c>
      <c r="M657">
        <f>AND(E657=0,F657=0,G657=0,H657=0,I657=0,J657=0,K657=0,L657=0)</f>
        <v/>
      </c>
      <c r="N657">
        <f>G657&lt;=$T$6</f>
        <v/>
      </c>
      <c r="O657">
        <f>G657&lt;=$T$12</f>
        <v/>
      </c>
      <c r="P657">
        <f>OR(AND(H657&gt;=$T$4,K657&lt;=$T$5,N657),M657)</f>
        <v/>
      </c>
      <c r="Q657">
        <f>OR(AND(I657&gt;=$T$10,K657&lt;=$T$11,O657),M657)</f>
        <v/>
      </c>
    </row>
    <row r="658">
      <c r="A658">
        <f>Data!E692</f>
        <v/>
      </c>
      <c r="B658">
        <f>Data!G692</f>
        <v/>
      </c>
      <c r="C658">
        <f>Data!H692</f>
        <v/>
      </c>
      <c r="D658">
        <f>Data!I692</f>
        <v/>
      </c>
      <c r="E658">
        <f>Data!M692</f>
        <v/>
      </c>
      <c r="F658">
        <f>Data!O692</f>
        <v/>
      </c>
      <c r="G658">
        <f>E658-F658</f>
        <v/>
      </c>
      <c r="H658">
        <f>Data!P692</f>
        <v/>
      </c>
      <c r="I658">
        <f>G658+H658</f>
        <v/>
      </c>
      <c r="J658">
        <f>F658+G658+H658</f>
        <v/>
      </c>
      <c r="K658">
        <f>Data!R692</f>
        <v/>
      </c>
      <c r="L658">
        <f>Data!T692</f>
        <v/>
      </c>
      <c r="M658">
        <f>AND(E658=0,F658=0,G658=0,H658=0,I658=0,J658=0,K658=0,L658=0)</f>
        <v/>
      </c>
      <c r="N658">
        <f>G658&lt;=$T$6</f>
        <v/>
      </c>
      <c r="O658">
        <f>G658&lt;=$T$12</f>
        <v/>
      </c>
      <c r="P658">
        <f>OR(AND(H658&gt;=$T$4,K658&lt;=$T$5,N658),M658)</f>
        <v/>
      </c>
      <c r="Q658">
        <f>OR(AND(I658&gt;=$T$10,K658&lt;=$T$11,O658),M658)</f>
        <v/>
      </c>
    </row>
    <row r="659">
      <c r="A659">
        <f>Data!E693</f>
        <v/>
      </c>
      <c r="B659">
        <f>Data!G693</f>
        <v/>
      </c>
      <c r="C659">
        <f>Data!H693</f>
        <v/>
      </c>
      <c r="D659">
        <f>Data!I693</f>
        <v/>
      </c>
      <c r="E659">
        <f>Data!M693</f>
        <v/>
      </c>
      <c r="F659">
        <f>Data!O693</f>
        <v/>
      </c>
      <c r="G659">
        <f>E659-F659</f>
        <v/>
      </c>
      <c r="H659">
        <f>Data!P693</f>
        <v/>
      </c>
      <c r="I659">
        <f>G659+H659</f>
        <v/>
      </c>
      <c r="J659">
        <f>F659+G659+H659</f>
        <v/>
      </c>
      <c r="K659">
        <f>Data!R693</f>
        <v/>
      </c>
      <c r="L659">
        <f>Data!T693</f>
        <v/>
      </c>
      <c r="M659">
        <f>AND(E659=0,F659=0,G659=0,H659=0,I659=0,J659=0,K659=0,L659=0)</f>
        <v/>
      </c>
      <c r="N659">
        <f>G659&lt;=$T$6</f>
        <v/>
      </c>
      <c r="O659">
        <f>G659&lt;=$T$12</f>
        <v/>
      </c>
      <c r="P659">
        <f>OR(AND(H659&gt;=$T$4,K659&lt;=$T$5,N659),M659)</f>
        <v/>
      </c>
      <c r="Q659">
        <f>OR(AND(I659&gt;=$T$10,K659&lt;=$T$11,O659),M659)</f>
        <v/>
      </c>
    </row>
    <row r="660">
      <c r="A660">
        <f>Data!E694</f>
        <v/>
      </c>
      <c r="B660">
        <f>Data!G694</f>
        <v/>
      </c>
      <c r="C660">
        <f>Data!H694</f>
        <v/>
      </c>
      <c r="D660">
        <f>Data!I694</f>
        <v/>
      </c>
      <c r="E660">
        <f>Data!M694</f>
        <v/>
      </c>
      <c r="F660">
        <f>Data!O694</f>
        <v/>
      </c>
      <c r="G660">
        <f>E660-F660</f>
        <v/>
      </c>
      <c r="H660">
        <f>Data!P694</f>
        <v/>
      </c>
      <c r="I660">
        <f>G660+H660</f>
        <v/>
      </c>
      <c r="J660">
        <f>F660+G660+H660</f>
        <v/>
      </c>
      <c r="K660">
        <f>Data!R694</f>
        <v/>
      </c>
      <c r="L660">
        <f>Data!T694</f>
        <v/>
      </c>
      <c r="M660">
        <f>AND(E660=0,F660=0,G660=0,H660=0,I660=0,J660=0,K660=0,L660=0)</f>
        <v/>
      </c>
      <c r="N660">
        <f>G660&lt;=$T$6</f>
        <v/>
      </c>
      <c r="O660">
        <f>G660&lt;=$T$12</f>
        <v/>
      </c>
      <c r="P660">
        <f>OR(AND(H660&gt;=$T$4,K660&lt;=$T$5,N660),M660)</f>
        <v/>
      </c>
      <c r="Q660">
        <f>OR(AND(I660&gt;=$T$10,K660&lt;=$T$11,O660),M660)</f>
        <v/>
      </c>
    </row>
    <row r="661">
      <c r="A661">
        <f>Data!E695</f>
        <v/>
      </c>
      <c r="B661">
        <f>Data!G695</f>
        <v/>
      </c>
      <c r="C661">
        <f>Data!H695</f>
        <v/>
      </c>
      <c r="D661">
        <f>Data!I695</f>
        <v/>
      </c>
      <c r="E661">
        <f>Data!M695</f>
        <v/>
      </c>
      <c r="F661">
        <f>Data!O695</f>
        <v/>
      </c>
      <c r="G661">
        <f>E661-F661</f>
        <v/>
      </c>
      <c r="H661">
        <f>Data!P695</f>
        <v/>
      </c>
      <c r="I661">
        <f>G661+H661</f>
        <v/>
      </c>
      <c r="J661">
        <f>F661+G661+H661</f>
        <v/>
      </c>
      <c r="K661">
        <f>Data!R695</f>
        <v/>
      </c>
      <c r="L661">
        <f>Data!T695</f>
        <v/>
      </c>
      <c r="M661">
        <f>AND(E661=0,F661=0,G661=0,H661=0,I661=0,J661=0,K661=0,L661=0)</f>
        <v/>
      </c>
      <c r="N661">
        <f>G661&lt;=$T$6</f>
        <v/>
      </c>
      <c r="O661">
        <f>G661&lt;=$T$12</f>
        <v/>
      </c>
      <c r="P661">
        <f>OR(AND(H661&gt;=$T$4,K661&lt;=$T$5,N661),M661)</f>
        <v/>
      </c>
      <c r="Q661">
        <f>OR(AND(I661&gt;=$T$10,K661&lt;=$T$11,O661),M661)</f>
        <v/>
      </c>
    </row>
    <row r="662">
      <c r="A662">
        <f>Data!E696</f>
        <v/>
      </c>
      <c r="B662">
        <f>Data!G696</f>
        <v/>
      </c>
      <c r="C662">
        <f>Data!H696</f>
        <v/>
      </c>
      <c r="D662">
        <f>Data!I696</f>
        <v/>
      </c>
      <c r="E662">
        <f>Data!M696</f>
        <v/>
      </c>
      <c r="F662">
        <f>Data!O696</f>
        <v/>
      </c>
      <c r="G662">
        <f>E662-F662</f>
        <v/>
      </c>
      <c r="H662">
        <f>Data!P696</f>
        <v/>
      </c>
      <c r="I662">
        <f>G662+H662</f>
        <v/>
      </c>
      <c r="J662">
        <f>F662+G662+H662</f>
        <v/>
      </c>
      <c r="K662">
        <f>Data!R696</f>
        <v/>
      </c>
      <c r="L662">
        <f>Data!T696</f>
        <v/>
      </c>
      <c r="M662">
        <f>AND(E662=0,F662=0,G662=0,H662=0,I662=0,J662=0,K662=0,L662=0)</f>
        <v/>
      </c>
      <c r="N662">
        <f>G662&lt;=$T$6</f>
        <v/>
      </c>
      <c r="O662">
        <f>G662&lt;=$T$12</f>
        <v/>
      </c>
      <c r="P662">
        <f>OR(AND(H662&gt;=$T$4,K662&lt;=$T$5,N662),M662)</f>
        <v/>
      </c>
      <c r="Q662">
        <f>OR(AND(I662&gt;=$T$10,K662&lt;=$T$11,O662),M662)</f>
        <v/>
      </c>
    </row>
    <row r="663">
      <c r="A663">
        <f>Data!E697</f>
        <v/>
      </c>
      <c r="B663">
        <f>Data!G697</f>
        <v/>
      </c>
      <c r="C663">
        <f>Data!H697</f>
        <v/>
      </c>
      <c r="D663">
        <f>Data!I697</f>
        <v/>
      </c>
      <c r="E663">
        <f>Data!M697</f>
        <v/>
      </c>
      <c r="F663">
        <f>Data!O697</f>
        <v/>
      </c>
      <c r="G663">
        <f>E663-F663</f>
        <v/>
      </c>
      <c r="H663">
        <f>Data!P697</f>
        <v/>
      </c>
      <c r="I663">
        <f>G663+H663</f>
        <v/>
      </c>
      <c r="J663">
        <f>F663+G663+H663</f>
        <v/>
      </c>
      <c r="K663">
        <f>Data!R697</f>
        <v/>
      </c>
      <c r="L663">
        <f>Data!T697</f>
        <v/>
      </c>
      <c r="M663">
        <f>AND(E663=0,F663=0,G663=0,H663=0,I663=0,J663=0,K663=0,L663=0)</f>
        <v/>
      </c>
      <c r="N663">
        <f>G663&lt;=$T$6</f>
        <v/>
      </c>
      <c r="O663">
        <f>G663&lt;=$T$12</f>
        <v/>
      </c>
      <c r="P663">
        <f>OR(AND(H663&gt;=$T$4,K663&lt;=$T$5,N663),M663)</f>
        <v/>
      </c>
      <c r="Q663">
        <f>OR(AND(I663&gt;=$T$10,K663&lt;=$T$11,O663),M663)</f>
        <v/>
      </c>
    </row>
    <row r="664">
      <c r="A664">
        <f>Data!E698</f>
        <v/>
      </c>
      <c r="B664">
        <f>Data!G698</f>
        <v/>
      </c>
      <c r="C664">
        <f>Data!H698</f>
        <v/>
      </c>
      <c r="D664">
        <f>Data!I698</f>
        <v/>
      </c>
      <c r="E664">
        <f>Data!M698</f>
        <v/>
      </c>
      <c r="F664">
        <f>Data!O698</f>
        <v/>
      </c>
      <c r="G664">
        <f>E664-F664</f>
        <v/>
      </c>
      <c r="H664">
        <f>Data!P698</f>
        <v/>
      </c>
      <c r="I664">
        <f>G664+H664</f>
        <v/>
      </c>
      <c r="J664">
        <f>F664+G664+H664</f>
        <v/>
      </c>
      <c r="K664">
        <f>Data!R698</f>
        <v/>
      </c>
      <c r="L664">
        <f>Data!T698</f>
        <v/>
      </c>
      <c r="M664">
        <f>AND(E664=0,F664=0,G664=0,H664=0,I664=0,J664=0,K664=0,L664=0)</f>
        <v/>
      </c>
      <c r="N664">
        <f>G664&lt;=$T$6</f>
        <v/>
      </c>
      <c r="O664">
        <f>G664&lt;=$T$12</f>
        <v/>
      </c>
      <c r="P664">
        <f>OR(AND(H664&gt;=$T$4,K664&lt;=$T$5,N664),M664)</f>
        <v/>
      </c>
      <c r="Q664">
        <f>OR(AND(I664&gt;=$T$10,K664&lt;=$T$11,O664),M664)</f>
        <v/>
      </c>
    </row>
    <row r="665">
      <c r="A665">
        <f>Data!E699</f>
        <v/>
      </c>
      <c r="B665">
        <f>Data!G699</f>
        <v/>
      </c>
      <c r="C665">
        <f>Data!H699</f>
        <v/>
      </c>
      <c r="D665">
        <f>Data!I699</f>
        <v/>
      </c>
      <c r="E665">
        <f>Data!M699</f>
        <v/>
      </c>
      <c r="F665">
        <f>Data!O699</f>
        <v/>
      </c>
      <c r="G665">
        <f>E665-F665</f>
        <v/>
      </c>
      <c r="H665">
        <f>Data!P699</f>
        <v/>
      </c>
      <c r="I665">
        <f>G665+H665</f>
        <v/>
      </c>
      <c r="J665">
        <f>F665+G665+H665</f>
        <v/>
      </c>
      <c r="K665">
        <f>Data!R699</f>
        <v/>
      </c>
      <c r="L665">
        <f>Data!T699</f>
        <v/>
      </c>
      <c r="M665">
        <f>AND(E665=0,F665=0,G665=0,H665=0,I665=0,J665=0,K665=0,L665=0)</f>
        <v/>
      </c>
      <c r="N665">
        <f>G665&lt;=$T$6</f>
        <v/>
      </c>
      <c r="O665">
        <f>G665&lt;=$T$12</f>
        <v/>
      </c>
      <c r="P665">
        <f>OR(AND(H665&gt;=$T$4,K665&lt;=$T$5,N665),M665)</f>
        <v/>
      </c>
      <c r="Q665">
        <f>OR(AND(I665&gt;=$T$10,K665&lt;=$T$11,O665),M665)</f>
        <v/>
      </c>
    </row>
    <row r="666">
      <c r="A666">
        <f>Data!E700</f>
        <v/>
      </c>
      <c r="B666">
        <f>Data!G700</f>
        <v/>
      </c>
      <c r="C666">
        <f>Data!H700</f>
        <v/>
      </c>
      <c r="D666">
        <f>Data!I700</f>
        <v/>
      </c>
      <c r="E666">
        <f>Data!M700</f>
        <v/>
      </c>
      <c r="F666">
        <f>Data!O700</f>
        <v/>
      </c>
      <c r="G666">
        <f>E666-F666</f>
        <v/>
      </c>
      <c r="H666">
        <f>Data!P700</f>
        <v/>
      </c>
      <c r="I666">
        <f>G666+H666</f>
        <v/>
      </c>
      <c r="J666">
        <f>F666+G666+H666</f>
        <v/>
      </c>
      <c r="K666">
        <f>Data!R700</f>
        <v/>
      </c>
      <c r="L666">
        <f>Data!T700</f>
        <v/>
      </c>
      <c r="M666">
        <f>AND(E666=0,F666=0,G666=0,H666=0,I666=0,J666=0,K666=0,L666=0)</f>
        <v/>
      </c>
      <c r="N666">
        <f>G666&lt;=$T$6</f>
        <v/>
      </c>
      <c r="O666">
        <f>G666&lt;=$T$12</f>
        <v/>
      </c>
      <c r="P666">
        <f>OR(AND(H666&gt;=$T$4,K666&lt;=$T$5,N666),M666)</f>
        <v/>
      </c>
      <c r="Q666">
        <f>OR(AND(I666&gt;=$T$10,K666&lt;=$T$11,O666),M666)</f>
        <v/>
      </c>
    </row>
    <row r="667">
      <c r="A667">
        <f>Data!E701</f>
        <v/>
      </c>
      <c r="B667">
        <f>Data!G701</f>
        <v/>
      </c>
      <c r="C667">
        <f>Data!H701</f>
        <v/>
      </c>
      <c r="D667">
        <f>Data!I701</f>
        <v/>
      </c>
      <c r="E667">
        <f>Data!M701</f>
        <v/>
      </c>
      <c r="F667">
        <f>Data!O701</f>
        <v/>
      </c>
      <c r="G667">
        <f>E667-F667</f>
        <v/>
      </c>
      <c r="H667">
        <f>Data!P701</f>
        <v/>
      </c>
      <c r="I667">
        <f>G667+H667</f>
        <v/>
      </c>
      <c r="J667">
        <f>F667+G667+H667</f>
        <v/>
      </c>
      <c r="K667">
        <f>Data!R701</f>
        <v/>
      </c>
      <c r="L667">
        <f>Data!T701</f>
        <v/>
      </c>
      <c r="M667">
        <f>AND(E667=0,F667=0,G667=0,H667=0,I667=0,J667=0,K667=0,L667=0)</f>
        <v/>
      </c>
      <c r="N667">
        <f>G667&lt;=$T$6</f>
        <v/>
      </c>
      <c r="O667">
        <f>G667&lt;=$T$12</f>
        <v/>
      </c>
      <c r="P667">
        <f>OR(AND(H667&gt;=$T$4,K667&lt;=$T$5,N667),M667)</f>
        <v/>
      </c>
      <c r="Q667">
        <f>OR(AND(I667&gt;=$T$10,K667&lt;=$T$11,O667),M667)</f>
        <v/>
      </c>
    </row>
    <row r="668">
      <c r="A668">
        <f>Data!E702</f>
        <v/>
      </c>
      <c r="B668">
        <f>Data!G702</f>
        <v/>
      </c>
      <c r="C668">
        <f>Data!H702</f>
        <v/>
      </c>
      <c r="D668">
        <f>Data!I702</f>
        <v/>
      </c>
      <c r="E668">
        <f>Data!M702</f>
        <v/>
      </c>
      <c r="F668">
        <f>Data!O702</f>
        <v/>
      </c>
      <c r="G668">
        <f>E668-F668</f>
        <v/>
      </c>
      <c r="H668">
        <f>Data!P702</f>
        <v/>
      </c>
      <c r="I668">
        <f>G668+H668</f>
        <v/>
      </c>
      <c r="J668">
        <f>F668+G668+H668</f>
        <v/>
      </c>
      <c r="K668">
        <f>Data!R702</f>
        <v/>
      </c>
      <c r="L668">
        <f>Data!T702</f>
        <v/>
      </c>
      <c r="M668">
        <f>AND(E668=0,F668=0,G668=0,H668=0,I668=0,J668=0,K668=0,L668=0)</f>
        <v/>
      </c>
      <c r="N668">
        <f>G668&lt;=$T$6</f>
        <v/>
      </c>
      <c r="O668">
        <f>G668&lt;=$T$12</f>
        <v/>
      </c>
      <c r="P668">
        <f>OR(AND(H668&gt;=$T$4,K668&lt;=$T$5,N668),M668)</f>
        <v/>
      </c>
      <c r="Q668">
        <f>OR(AND(I668&gt;=$T$10,K668&lt;=$T$11,O668),M668)</f>
        <v/>
      </c>
    </row>
    <row r="669">
      <c r="A669">
        <f>Data!E703</f>
        <v/>
      </c>
      <c r="B669">
        <f>Data!G703</f>
        <v/>
      </c>
      <c r="C669">
        <f>Data!H703</f>
        <v/>
      </c>
      <c r="D669">
        <f>Data!I703</f>
        <v/>
      </c>
      <c r="E669">
        <f>Data!M703</f>
        <v/>
      </c>
      <c r="F669">
        <f>Data!O703</f>
        <v/>
      </c>
      <c r="G669">
        <f>E669-F669</f>
        <v/>
      </c>
      <c r="H669">
        <f>Data!P703</f>
        <v/>
      </c>
      <c r="I669">
        <f>G669+H669</f>
        <v/>
      </c>
      <c r="J669">
        <f>F669+G669+H669</f>
        <v/>
      </c>
      <c r="K669">
        <f>Data!R703</f>
        <v/>
      </c>
      <c r="L669">
        <f>Data!T703</f>
        <v/>
      </c>
      <c r="M669">
        <f>AND(E669=0,F669=0,G669=0,H669=0,I669=0,J669=0,K669=0,L669=0)</f>
        <v/>
      </c>
      <c r="N669">
        <f>G669&lt;=$T$6</f>
        <v/>
      </c>
      <c r="O669">
        <f>G669&lt;=$T$12</f>
        <v/>
      </c>
      <c r="P669">
        <f>OR(AND(H669&gt;=$T$4,K669&lt;=$T$5,N669),M669)</f>
        <v/>
      </c>
      <c r="Q669">
        <f>OR(AND(I669&gt;=$T$10,K669&lt;=$T$11,O669),M669)</f>
        <v/>
      </c>
    </row>
    <row r="670">
      <c r="A670">
        <f>Data!E704</f>
        <v/>
      </c>
      <c r="B670">
        <f>Data!G704</f>
        <v/>
      </c>
      <c r="C670">
        <f>Data!H704</f>
        <v/>
      </c>
      <c r="D670">
        <f>Data!I704</f>
        <v/>
      </c>
      <c r="E670">
        <f>Data!M704</f>
        <v/>
      </c>
      <c r="F670">
        <f>Data!O704</f>
        <v/>
      </c>
      <c r="G670">
        <f>E670-F670</f>
        <v/>
      </c>
      <c r="H670">
        <f>Data!P704</f>
        <v/>
      </c>
      <c r="I670">
        <f>G670+H670</f>
        <v/>
      </c>
      <c r="J670">
        <f>F670+G670+H670</f>
        <v/>
      </c>
      <c r="K670">
        <f>Data!R704</f>
        <v/>
      </c>
      <c r="L670">
        <f>Data!T704</f>
        <v/>
      </c>
      <c r="M670">
        <f>AND(E670=0,F670=0,G670=0,H670=0,I670=0,J670=0,K670=0,L670=0)</f>
        <v/>
      </c>
      <c r="N670">
        <f>G670&lt;=$T$6</f>
        <v/>
      </c>
      <c r="O670">
        <f>G670&lt;=$T$12</f>
        <v/>
      </c>
      <c r="P670">
        <f>OR(AND(H670&gt;=$T$4,K670&lt;=$T$5,N670),M670)</f>
        <v/>
      </c>
      <c r="Q670">
        <f>OR(AND(I670&gt;=$T$10,K670&lt;=$T$11,O670),M670)</f>
        <v/>
      </c>
    </row>
    <row r="671">
      <c r="A671">
        <f>Data!E705</f>
        <v/>
      </c>
      <c r="B671">
        <f>Data!G705</f>
        <v/>
      </c>
      <c r="C671">
        <f>Data!H705</f>
        <v/>
      </c>
      <c r="D671">
        <f>Data!I705</f>
        <v/>
      </c>
      <c r="E671">
        <f>Data!M705</f>
        <v/>
      </c>
      <c r="F671">
        <f>Data!O705</f>
        <v/>
      </c>
      <c r="G671">
        <f>E671-F671</f>
        <v/>
      </c>
      <c r="H671">
        <f>Data!P705</f>
        <v/>
      </c>
      <c r="I671">
        <f>G671+H671</f>
        <v/>
      </c>
      <c r="J671">
        <f>F671+G671+H671</f>
        <v/>
      </c>
      <c r="K671">
        <f>Data!R705</f>
        <v/>
      </c>
      <c r="L671">
        <f>Data!T705</f>
        <v/>
      </c>
      <c r="M671">
        <f>AND(E671=0,F671=0,G671=0,H671=0,I671=0,J671=0,K671=0,L671=0)</f>
        <v/>
      </c>
      <c r="N671">
        <f>G671&lt;=$T$6</f>
        <v/>
      </c>
      <c r="O671">
        <f>G671&lt;=$T$12</f>
        <v/>
      </c>
      <c r="P671">
        <f>OR(AND(H671&gt;=$T$4,K671&lt;=$T$5,N671),M671)</f>
        <v/>
      </c>
      <c r="Q671">
        <f>OR(AND(I671&gt;=$T$10,K671&lt;=$T$11,O671),M671)</f>
        <v/>
      </c>
    </row>
    <row r="672">
      <c r="A672">
        <f>Data!E706</f>
        <v/>
      </c>
      <c r="B672">
        <f>Data!G706</f>
        <v/>
      </c>
      <c r="C672">
        <f>Data!H706</f>
        <v/>
      </c>
      <c r="D672">
        <f>Data!I706</f>
        <v/>
      </c>
      <c r="E672">
        <f>Data!M706</f>
        <v/>
      </c>
      <c r="F672">
        <f>Data!O706</f>
        <v/>
      </c>
      <c r="G672">
        <f>E672-F672</f>
        <v/>
      </c>
      <c r="H672">
        <f>Data!P706</f>
        <v/>
      </c>
      <c r="I672">
        <f>G672+H672</f>
        <v/>
      </c>
      <c r="J672">
        <f>F672+G672+H672</f>
        <v/>
      </c>
      <c r="K672">
        <f>Data!R706</f>
        <v/>
      </c>
      <c r="L672">
        <f>Data!T706</f>
        <v/>
      </c>
      <c r="M672">
        <f>AND(E672=0,F672=0,G672=0,H672=0,I672=0,J672=0,K672=0,L672=0)</f>
        <v/>
      </c>
      <c r="N672">
        <f>G672&lt;=$T$6</f>
        <v/>
      </c>
      <c r="O672">
        <f>G672&lt;=$T$12</f>
        <v/>
      </c>
      <c r="P672">
        <f>OR(AND(H672&gt;=$T$4,K672&lt;=$T$5,N672),M672)</f>
        <v/>
      </c>
      <c r="Q672">
        <f>OR(AND(I672&gt;=$T$10,K672&lt;=$T$11,O672),M672)</f>
        <v/>
      </c>
    </row>
    <row r="673">
      <c r="A673">
        <f>Data!E707</f>
        <v/>
      </c>
      <c r="B673">
        <f>Data!G707</f>
        <v/>
      </c>
      <c r="C673">
        <f>Data!H707</f>
        <v/>
      </c>
      <c r="D673">
        <f>Data!I707</f>
        <v/>
      </c>
      <c r="E673">
        <f>Data!M707</f>
        <v/>
      </c>
      <c r="F673">
        <f>Data!O707</f>
        <v/>
      </c>
      <c r="G673">
        <f>E673-F673</f>
        <v/>
      </c>
      <c r="H673">
        <f>Data!P707</f>
        <v/>
      </c>
      <c r="I673">
        <f>G673+H673</f>
        <v/>
      </c>
      <c r="J673">
        <f>F673+G673+H673</f>
        <v/>
      </c>
      <c r="K673">
        <f>Data!R707</f>
        <v/>
      </c>
      <c r="L673">
        <f>Data!T707</f>
        <v/>
      </c>
      <c r="M673">
        <f>AND(E673=0,F673=0,G673=0,H673=0,I673=0,J673=0,K673=0,L673=0)</f>
        <v/>
      </c>
      <c r="N673">
        <f>G673&lt;=$T$6</f>
        <v/>
      </c>
      <c r="O673">
        <f>G673&lt;=$T$12</f>
        <v/>
      </c>
      <c r="P673">
        <f>OR(AND(H673&gt;=$T$4,K673&lt;=$T$5,N673),M673)</f>
        <v/>
      </c>
      <c r="Q673">
        <f>OR(AND(I673&gt;=$T$10,K673&lt;=$T$11,O673),M673)</f>
        <v/>
      </c>
    </row>
    <row r="674">
      <c r="A674">
        <f>Data!E708</f>
        <v/>
      </c>
      <c r="B674">
        <f>Data!G708</f>
        <v/>
      </c>
      <c r="C674">
        <f>Data!H708</f>
        <v/>
      </c>
      <c r="D674">
        <f>Data!I708</f>
        <v/>
      </c>
      <c r="E674">
        <f>Data!M708</f>
        <v/>
      </c>
      <c r="F674">
        <f>Data!O708</f>
        <v/>
      </c>
      <c r="G674">
        <f>E674-F674</f>
        <v/>
      </c>
      <c r="H674">
        <f>Data!P708</f>
        <v/>
      </c>
      <c r="I674">
        <f>G674+H674</f>
        <v/>
      </c>
      <c r="J674">
        <f>F674+G674+H674</f>
        <v/>
      </c>
      <c r="K674">
        <f>Data!R708</f>
        <v/>
      </c>
      <c r="L674">
        <f>Data!T708</f>
        <v/>
      </c>
      <c r="M674">
        <f>AND(E674=0,F674=0,G674=0,H674=0,I674=0,J674=0,K674=0,L674=0)</f>
        <v/>
      </c>
      <c r="N674">
        <f>G674&lt;=$T$6</f>
        <v/>
      </c>
      <c r="O674">
        <f>G674&lt;=$T$12</f>
        <v/>
      </c>
      <c r="P674">
        <f>OR(AND(H674&gt;=$T$4,K674&lt;=$T$5,N674),M674)</f>
        <v/>
      </c>
      <c r="Q674">
        <f>OR(AND(I674&gt;=$T$10,K674&lt;=$T$11,O674),M674)</f>
        <v/>
      </c>
    </row>
    <row r="675">
      <c r="A675">
        <f>Data!E709</f>
        <v/>
      </c>
      <c r="B675">
        <f>Data!G709</f>
        <v/>
      </c>
      <c r="C675">
        <f>Data!H709</f>
        <v/>
      </c>
      <c r="D675">
        <f>Data!I709</f>
        <v/>
      </c>
      <c r="E675">
        <f>Data!M709</f>
        <v/>
      </c>
      <c r="F675">
        <f>Data!O709</f>
        <v/>
      </c>
      <c r="G675">
        <f>E675-F675</f>
        <v/>
      </c>
      <c r="H675">
        <f>Data!P709</f>
        <v/>
      </c>
      <c r="I675">
        <f>G675+H675</f>
        <v/>
      </c>
      <c r="J675">
        <f>F675+G675+H675</f>
        <v/>
      </c>
      <c r="K675">
        <f>Data!R709</f>
        <v/>
      </c>
      <c r="L675">
        <f>Data!T709</f>
        <v/>
      </c>
      <c r="M675">
        <f>AND(E675=0,F675=0,G675=0,H675=0,I675=0,J675=0,K675=0,L675=0)</f>
        <v/>
      </c>
      <c r="N675">
        <f>G675&lt;=$T$6</f>
        <v/>
      </c>
      <c r="O675">
        <f>G675&lt;=$T$12</f>
        <v/>
      </c>
      <c r="P675">
        <f>OR(AND(H675&gt;=$T$4,K675&lt;=$T$5,N675),M675)</f>
        <v/>
      </c>
      <c r="Q675">
        <f>OR(AND(I675&gt;=$T$10,K675&lt;=$T$11,O675),M675)</f>
        <v/>
      </c>
    </row>
    <row r="676">
      <c r="A676">
        <f>Data!E710</f>
        <v/>
      </c>
      <c r="B676">
        <f>Data!G710</f>
        <v/>
      </c>
      <c r="C676">
        <f>Data!H710</f>
        <v/>
      </c>
      <c r="D676">
        <f>Data!I710</f>
        <v/>
      </c>
      <c r="E676">
        <f>Data!M710</f>
        <v/>
      </c>
      <c r="F676">
        <f>Data!O710</f>
        <v/>
      </c>
      <c r="G676">
        <f>E676-F676</f>
        <v/>
      </c>
      <c r="H676">
        <f>Data!P710</f>
        <v/>
      </c>
      <c r="I676">
        <f>G676+H676</f>
        <v/>
      </c>
      <c r="J676">
        <f>F676+G676+H676</f>
        <v/>
      </c>
      <c r="K676">
        <f>Data!R710</f>
        <v/>
      </c>
      <c r="L676">
        <f>Data!T710</f>
        <v/>
      </c>
      <c r="M676">
        <f>AND(E676=0,F676=0,G676=0,H676=0,I676=0,J676=0,K676=0,L676=0)</f>
        <v/>
      </c>
      <c r="N676">
        <f>G676&lt;=$T$6</f>
        <v/>
      </c>
      <c r="O676">
        <f>G676&lt;=$T$12</f>
        <v/>
      </c>
      <c r="P676">
        <f>OR(AND(H676&gt;=$T$4,K676&lt;=$T$5,N676),M676)</f>
        <v/>
      </c>
      <c r="Q676">
        <f>OR(AND(I676&gt;=$T$10,K676&lt;=$T$11,O676),M676)</f>
        <v/>
      </c>
    </row>
    <row r="677">
      <c r="A677">
        <f>Data!E711</f>
        <v/>
      </c>
      <c r="B677">
        <f>Data!G711</f>
        <v/>
      </c>
      <c r="C677">
        <f>Data!H711</f>
        <v/>
      </c>
      <c r="D677">
        <f>Data!I711</f>
        <v/>
      </c>
      <c r="E677">
        <f>Data!M711</f>
        <v/>
      </c>
      <c r="F677">
        <f>Data!O711</f>
        <v/>
      </c>
      <c r="G677">
        <f>E677-F677</f>
        <v/>
      </c>
      <c r="H677">
        <f>Data!P711</f>
        <v/>
      </c>
      <c r="I677">
        <f>G677+H677</f>
        <v/>
      </c>
      <c r="J677">
        <f>F677+G677+H677</f>
        <v/>
      </c>
      <c r="K677">
        <f>Data!R711</f>
        <v/>
      </c>
      <c r="L677">
        <f>Data!T711</f>
        <v/>
      </c>
      <c r="M677">
        <f>AND(E677=0,F677=0,G677=0,H677=0,I677=0,J677=0,K677=0,L677=0)</f>
        <v/>
      </c>
      <c r="N677">
        <f>G677&lt;=$T$6</f>
        <v/>
      </c>
      <c r="O677">
        <f>G677&lt;=$T$12</f>
        <v/>
      </c>
      <c r="P677">
        <f>OR(AND(H677&gt;=$T$4,K677&lt;=$T$5,N677),M677)</f>
        <v/>
      </c>
      <c r="Q677">
        <f>OR(AND(I677&gt;=$T$10,K677&lt;=$T$11,O677),M677)</f>
        <v/>
      </c>
    </row>
    <row r="678">
      <c r="A678">
        <f>Data!E712</f>
        <v/>
      </c>
      <c r="B678">
        <f>Data!G712</f>
        <v/>
      </c>
      <c r="C678">
        <f>Data!H712</f>
        <v/>
      </c>
      <c r="D678">
        <f>Data!I712</f>
        <v/>
      </c>
      <c r="E678">
        <f>Data!M712</f>
        <v/>
      </c>
      <c r="F678">
        <f>Data!O712</f>
        <v/>
      </c>
      <c r="G678">
        <f>E678-F678</f>
        <v/>
      </c>
      <c r="H678">
        <f>Data!P712</f>
        <v/>
      </c>
      <c r="I678">
        <f>G678+H678</f>
        <v/>
      </c>
      <c r="J678">
        <f>F678+G678+H678</f>
        <v/>
      </c>
      <c r="K678">
        <f>Data!R712</f>
        <v/>
      </c>
      <c r="L678">
        <f>Data!T712</f>
        <v/>
      </c>
      <c r="M678">
        <f>AND(E678=0,F678=0,G678=0,H678=0,I678=0,J678=0,K678=0,L678=0)</f>
        <v/>
      </c>
      <c r="N678">
        <f>G678&lt;=$T$6</f>
        <v/>
      </c>
      <c r="O678">
        <f>G678&lt;=$T$12</f>
        <v/>
      </c>
      <c r="P678">
        <f>OR(AND(H678&gt;=$T$4,K678&lt;=$T$5,N678),M678)</f>
        <v/>
      </c>
      <c r="Q678">
        <f>OR(AND(I678&gt;=$T$10,K678&lt;=$T$11,O678),M678)</f>
        <v/>
      </c>
    </row>
    <row r="679">
      <c r="A679">
        <f>Data!E713</f>
        <v/>
      </c>
      <c r="B679">
        <f>Data!G713</f>
        <v/>
      </c>
      <c r="C679">
        <f>Data!H713</f>
        <v/>
      </c>
      <c r="D679">
        <f>Data!I713</f>
        <v/>
      </c>
      <c r="E679">
        <f>Data!M713</f>
        <v/>
      </c>
      <c r="F679">
        <f>Data!O713</f>
        <v/>
      </c>
      <c r="G679">
        <f>E679-F679</f>
        <v/>
      </c>
      <c r="H679">
        <f>Data!P713</f>
        <v/>
      </c>
      <c r="I679">
        <f>G679+H679</f>
        <v/>
      </c>
      <c r="J679">
        <f>F679+G679+H679</f>
        <v/>
      </c>
      <c r="K679">
        <f>Data!R713</f>
        <v/>
      </c>
      <c r="L679">
        <f>Data!T713</f>
        <v/>
      </c>
      <c r="M679">
        <f>AND(E679=0,F679=0,G679=0,H679=0,I679=0,J679=0,K679=0,L679=0)</f>
        <v/>
      </c>
      <c r="N679">
        <f>G679&lt;=$T$6</f>
        <v/>
      </c>
      <c r="O679">
        <f>G679&lt;=$T$12</f>
        <v/>
      </c>
      <c r="P679">
        <f>OR(AND(H679&gt;=$T$4,K679&lt;=$T$5,N679),M679)</f>
        <v/>
      </c>
      <c r="Q679">
        <f>OR(AND(I679&gt;=$T$10,K679&lt;=$T$11,O679),M679)</f>
        <v/>
      </c>
    </row>
    <row r="680">
      <c r="A680">
        <f>Data!E714</f>
        <v/>
      </c>
      <c r="B680">
        <f>Data!G714</f>
        <v/>
      </c>
      <c r="C680">
        <f>Data!H714</f>
        <v/>
      </c>
      <c r="D680">
        <f>Data!I714</f>
        <v/>
      </c>
      <c r="E680">
        <f>Data!M714</f>
        <v/>
      </c>
      <c r="F680">
        <f>Data!O714</f>
        <v/>
      </c>
      <c r="G680">
        <f>E680-F680</f>
        <v/>
      </c>
      <c r="H680">
        <f>Data!P714</f>
        <v/>
      </c>
      <c r="I680">
        <f>G680+H680</f>
        <v/>
      </c>
      <c r="J680">
        <f>F680+G680+H680</f>
        <v/>
      </c>
      <c r="K680">
        <f>Data!R714</f>
        <v/>
      </c>
      <c r="L680">
        <f>Data!T714</f>
        <v/>
      </c>
      <c r="M680">
        <f>AND(E680=0,F680=0,G680=0,H680=0,I680=0,J680=0,K680=0,L680=0)</f>
        <v/>
      </c>
      <c r="N680">
        <f>G680&lt;=$T$6</f>
        <v/>
      </c>
      <c r="O680">
        <f>G680&lt;=$T$12</f>
        <v/>
      </c>
      <c r="P680">
        <f>OR(AND(H680&gt;=$T$4,K680&lt;=$T$5,N680),M680)</f>
        <v/>
      </c>
      <c r="Q680">
        <f>OR(AND(I680&gt;=$T$10,K680&lt;=$T$11,O680),M680)</f>
        <v/>
      </c>
    </row>
    <row r="681">
      <c r="A681">
        <f>Data!E715</f>
        <v/>
      </c>
      <c r="B681">
        <f>Data!G715</f>
        <v/>
      </c>
      <c r="C681">
        <f>Data!H715</f>
        <v/>
      </c>
      <c r="D681">
        <f>Data!I715</f>
        <v/>
      </c>
      <c r="E681">
        <f>Data!M715</f>
        <v/>
      </c>
      <c r="F681">
        <f>Data!O715</f>
        <v/>
      </c>
      <c r="G681">
        <f>E681-F681</f>
        <v/>
      </c>
      <c r="H681">
        <f>Data!P715</f>
        <v/>
      </c>
      <c r="I681">
        <f>G681+H681</f>
        <v/>
      </c>
      <c r="J681">
        <f>F681+G681+H681</f>
        <v/>
      </c>
      <c r="K681">
        <f>Data!R715</f>
        <v/>
      </c>
      <c r="L681">
        <f>Data!T715</f>
        <v/>
      </c>
      <c r="M681">
        <f>AND(E681=0,F681=0,G681=0,H681=0,I681=0,J681=0,K681=0,L681=0)</f>
        <v/>
      </c>
      <c r="N681">
        <f>G681&lt;=$T$6</f>
        <v/>
      </c>
      <c r="O681">
        <f>G681&lt;=$T$12</f>
        <v/>
      </c>
      <c r="P681">
        <f>OR(AND(H681&gt;=$T$4,K681&lt;=$T$5,N681),M681)</f>
        <v/>
      </c>
      <c r="Q681">
        <f>OR(AND(I681&gt;=$T$10,K681&lt;=$T$11,O681),M681)</f>
        <v/>
      </c>
    </row>
    <row r="682">
      <c r="A682">
        <f>Data!E716</f>
        <v/>
      </c>
      <c r="B682">
        <f>Data!G716</f>
        <v/>
      </c>
      <c r="C682">
        <f>Data!H716</f>
        <v/>
      </c>
      <c r="D682">
        <f>Data!I716</f>
        <v/>
      </c>
      <c r="E682">
        <f>Data!M716</f>
        <v/>
      </c>
      <c r="F682">
        <f>Data!O716</f>
        <v/>
      </c>
      <c r="G682">
        <f>E682-F682</f>
        <v/>
      </c>
      <c r="H682">
        <f>Data!P716</f>
        <v/>
      </c>
      <c r="I682">
        <f>G682+H682</f>
        <v/>
      </c>
      <c r="J682">
        <f>F682+G682+H682</f>
        <v/>
      </c>
      <c r="K682">
        <f>Data!R716</f>
        <v/>
      </c>
      <c r="L682">
        <f>Data!T716</f>
        <v/>
      </c>
      <c r="M682">
        <f>AND(E682=0,F682=0,G682=0,H682=0,I682=0,J682=0,K682=0,L682=0)</f>
        <v/>
      </c>
      <c r="N682">
        <f>G682&lt;=$T$6</f>
        <v/>
      </c>
      <c r="O682">
        <f>G682&lt;=$T$12</f>
        <v/>
      </c>
      <c r="P682">
        <f>OR(AND(H682&gt;=$T$4,K682&lt;=$T$5,N682),M682)</f>
        <v/>
      </c>
      <c r="Q682">
        <f>OR(AND(I682&gt;=$T$10,K682&lt;=$T$11,O682),M682)</f>
        <v/>
      </c>
    </row>
    <row r="683">
      <c r="A683">
        <f>Data!E717</f>
        <v/>
      </c>
      <c r="B683">
        <f>Data!G717</f>
        <v/>
      </c>
      <c r="C683">
        <f>Data!H717</f>
        <v/>
      </c>
      <c r="D683">
        <f>Data!I717</f>
        <v/>
      </c>
      <c r="E683">
        <f>Data!M717</f>
        <v/>
      </c>
      <c r="F683">
        <f>Data!O717</f>
        <v/>
      </c>
      <c r="G683">
        <f>E683-F683</f>
        <v/>
      </c>
      <c r="H683">
        <f>Data!P717</f>
        <v/>
      </c>
      <c r="I683">
        <f>G683+H683</f>
        <v/>
      </c>
      <c r="J683">
        <f>F683+G683+H683</f>
        <v/>
      </c>
      <c r="K683">
        <f>Data!R717</f>
        <v/>
      </c>
      <c r="L683">
        <f>Data!T717</f>
        <v/>
      </c>
      <c r="M683">
        <f>AND(E683=0,F683=0,G683=0,H683=0,I683=0,J683=0,K683=0,L683=0)</f>
        <v/>
      </c>
      <c r="N683">
        <f>G683&lt;=$T$6</f>
        <v/>
      </c>
      <c r="O683">
        <f>G683&lt;=$T$12</f>
        <v/>
      </c>
      <c r="P683">
        <f>OR(AND(H683&gt;=$T$4,K683&lt;=$T$5,N683),M683)</f>
        <v/>
      </c>
      <c r="Q683">
        <f>OR(AND(I683&gt;=$T$10,K683&lt;=$T$11,O683),M683)</f>
        <v/>
      </c>
    </row>
    <row r="684">
      <c r="A684">
        <f>Data!E718</f>
        <v/>
      </c>
      <c r="B684">
        <f>Data!G718</f>
        <v/>
      </c>
      <c r="C684">
        <f>Data!H718</f>
        <v/>
      </c>
      <c r="D684">
        <f>Data!I718</f>
        <v/>
      </c>
      <c r="E684">
        <f>Data!M718</f>
        <v/>
      </c>
      <c r="F684">
        <f>Data!O718</f>
        <v/>
      </c>
      <c r="G684">
        <f>E684-F684</f>
        <v/>
      </c>
      <c r="H684">
        <f>Data!P718</f>
        <v/>
      </c>
      <c r="I684">
        <f>G684+H684</f>
        <v/>
      </c>
      <c r="J684">
        <f>F684+G684+H684</f>
        <v/>
      </c>
      <c r="K684">
        <f>Data!R718</f>
        <v/>
      </c>
      <c r="L684">
        <f>Data!T718</f>
        <v/>
      </c>
      <c r="M684">
        <f>AND(E684=0,F684=0,G684=0,H684=0,I684=0,J684=0,K684=0,L684=0)</f>
        <v/>
      </c>
      <c r="N684">
        <f>G684&lt;=$T$6</f>
        <v/>
      </c>
      <c r="O684">
        <f>G684&lt;=$T$12</f>
        <v/>
      </c>
      <c r="P684">
        <f>OR(AND(H684&gt;=$T$4,K684&lt;=$T$5,N684),M684)</f>
        <v/>
      </c>
      <c r="Q684">
        <f>OR(AND(I684&gt;=$T$10,K684&lt;=$T$11,O684),M684)</f>
        <v/>
      </c>
    </row>
    <row r="685">
      <c r="A685">
        <f>Data!E719</f>
        <v/>
      </c>
      <c r="B685">
        <f>Data!G719</f>
        <v/>
      </c>
      <c r="C685">
        <f>Data!H719</f>
        <v/>
      </c>
      <c r="D685">
        <f>Data!I719</f>
        <v/>
      </c>
      <c r="E685">
        <f>Data!M719</f>
        <v/>
      </c>
      <c r="F685">
        <f>Data!O719</f>
        <v/>
      </c>
      <c r="G685">
        <f>E685-F685</f>
        <v/>
      </c>
      <c r="H685">
        <f>Data!P719</f>
        <v/>
      </c>
      <c r="I685">
        <f>G685+H685</f>
        <v/>
      </c>
      <c r="J685">
        <f>F685+G685+H685</f>
        <v/>
      </c>
      <c r="K685">
        <f>Data!R719</f>
        <v/>
      </c>
      <c r="L685">
        <f>Data!T719</f>
        <v/>
      </c>
      <c r="M685">
        <f>AND(E685=0,F685=0,G685=0,H685=0,I685=0,J685=0,K685=0,L685=0)</f>
        <v/>
      </c>
      <c r="N685">
        <f>G685&lt;=$T$6</f>
        <v/>
      </c>
      <c r="O685">
        <f>G685&lt;=$T$12</f>
        <v/>
      </c>
      <c r="P685">
        <f>OR(AND(H685&gt;=$T$4,K685&lt;=$T$5,N685),M685)</f>
        <v/>
      </c>
      <c r="Q685">
        <f>OR(AND(I685&gt;=$T$10,K685&lt;=$T$11,O685),M685)</f>
        <v/>
      </c>
    </row>
    <row r="686">
      <c r="A686">
        <f>Data!E720</f>
        <v/>
      </c>
      <c r="B686">
        <f>Data!G720</f>
        <v/>
      </c>
      <c r="C686">
        <f>Data!H720</f>
        <v/>
      </c>
      <c r="D686">
        <f>Data!I720</f>
        <v/>
      </c>
      <c r="E686">
        <f>Data!M720</f>
        <v/>
      </c>
      <c r="F686">
        <f>Data!O720</f>
        <v/>
      </c>
      <c r="G686">
        <f>E686-F686</f>
        <v/>
      </c>
      <c r="H686">
        <f>Data!P720</f>
        <v/>
      </c>
      <c r="I686">
        <f>G686+H686</f>
        <v/>
      </c>
      <c r="J686">
        <f>F686+G686+H686</f>
        <v/>
      </c>
      <c r="K686">
        <f>Data!R720</f>
        <v/>
      </c>
      <c r="L686">
        <f>Data!T720</f>
        <v/>
      </c>
      <c r="M686">
        <f>AND(E686=0,F686=0,G686=0,H686=0,I686=0,J686=0,K686=0,L686=0)</f>
        <v/>
      </c>
      <c r="N686">
        <f>G686&lt;=$T$6</f>
        <v/>
      </c>
      <c r="O686">
        <f>G686&lt;=$T$12</f>
        <v/>
      </c>
      <c r="P686">
        <f>OR(AND(H686&gt;=$T$4,K686&lt;=$T$5,N686),M686)</f>
        <v/>
      </c>
      <c r="Q686">
        <f>OR(AND(I686&gt;=$T$10,K686&lt;=$T$11,O686),M686)</f>
        <v/>
      </c>
    </row>
    <row r="687">
      <c r="A687">
        <f>Data!E721</f>
        <v/>
      </c>
      <c r="B687">
        <f>Data!G721</f>
        <v/>
      </c>
      <c r="C687">
        <f>Data!H721</f>
        <v/>
      </c>
      <c r="D687">
        <f>Data!I721</f>
        <v/>
      </c>
      <c r="E687">
        <f>Data!M721</f>
        <v/>
      </c>
      <c r="F687">
        <f>Data!O721</f>
        <v/>
      </c>
      <c r="G687">
        <f>E687-F687</f>
        <v/>
      </c>
      <c r="H687">
        <f>Data!P721</f>
        <v/>
      </c>
      <c r="I687">
        <f>G687+H687</f>
        <v/>
      </c>
      <c r="J687">
        <f>F687+G687+H687</f>
        <v/>
      </c>
      <c r="K687">
        <f>Data!R721</f>
        <v/>
      </c>
      <c r="L687">
        <f>Data!T721</f>
        <v/>
      </c>
      <c r="M687">
        <f>AND(E687=0,F687=0,G687=0,H687=0,I687=0,J687=0,K687=0,L687=0)</f>
        <v/>
      </c>
      <c r="N687">
        <f>G687&lt;=$T$6</f>
        <v/>
      </c>
      <c r="O687">
        <f>G687&lt;=$T$12</f>
        <v/>
      </c>
      <c r="P687">
        <f>OR(AND(H687&gt;=$T$4,K687&lt;=$T$5,N687),M687)</f>
        <v/>
      </c>
      <c r="Q687">
        <f>OR(AND(I687&gt;=$T$10,K687&lt;=$T$11,O687),M687)</f>
        <v/>
      </c>
    </row>
    <row r="688">
      <c r="A688">
        <f>Data!E722</f>
        <v/>
      </c>
      <c r="B688">
        <f>Data!G722</f>
        <v/>
      </c>
      <c r="C688">
        <f>Data!H722</f>
        <v/>
      </c>
      <c r="D688">
        <f>Data!I722</f>
        <v/>
      </c>
      <c r="E688">
        <f>Data!M722</f>
        <v/>
      </c>
      <c r="F688">
        <f>Data!O722</f>
        <v/>
      </c>
      <c r="G688">
        <f>E688-F688</f>
        <v/>
      </c>
      <c r="H688">
        <f>Data!P722</f>
        <v/>
      </c>
      <c r="I688">
        <f>G688+H688</f>
        <v/>
      </c>
      <c r="J688">
        <f>F688+G688+H688</f>
        <v/>
      </c>
      <c r="K688">
        <f>Data!R722</f>
        <v/>
      </c>
      <c r="L688">
        <f>Data!T722</f>
        <v/>
      </c>
      <c r="M688">
        <f>AND(E688=0,F688=0,G688=0,H688=0,I688=0,J688=0,K688=0,L688=0)</f>
        <v/>
      </c>
      <c r="N688">
        <f>G688&lt;=$T$6</f>
        <v/>
      </c>
      <c r="O688">
        <f>G688&lt;=$T$12</f>
        <v/>
      </c>
      <c r="P688">
        <f>OR(AND(H688&gt;=$T$4,K688&lt;=$T$5,N688),M688)</f>
        <v/>
      </c>
      <c r="Q688">
        <f>OR(AND(I688&gt;=$T$10,K688&lt;=$T$11,O688),M688)</f>
        <v/>
      </c>
    </row>
    <row r="689">
      <c r="A689">
        <f>Data!E723</f>
        <v/>
      </c>
      <c r="B689">
        <f>Data!G723</f>
        <v/>
      </c>
      <c r="C689">
        <f>Data!H723</f>
        <v/>
      </c>
      <c r="D689">
        <f>Data!I723</f>
        <v/>
      </c>
      <c r="E689">
        <f>Data!M723</f>
        <v/>
      </c>
      <c r="F689">
        <f>Data!O723</f>
        <v/>
      </c>
      <c r="G689">
        <f>E689-F689</f>
        <v/>
      </c>
      <c r="H689">
        <f>Data!P723</f>
        <v/>
      </c>
      <c r="I689">
        <f>G689+H689</f>
        <v/>
      </c>
      <c r="J689">
        <f>F689+G689+H689</f>
        <v/>
      </c>
      <c r="K689">
        <f>Data!R723</f>
        <v/>
      </c>
      <c r="L689">
        <f>Data!T723</f>
        <v/>
      </c>
      <c r="M689">
        <f>AND(E689=0,F689=0,G689=0,H689=0,I689=0,J689=0,K689=0,L689=0)</f>
        <v/>
      </c>
      <c r="N689">
        <f>G689&lt;=$T$6</f>
        <v/>
      </c>
      <c r="O689">
        <f>G689&lt;=$T$12</f>
        <v/>
      </c>
      <c r="P689">
        <f>OR(AND(H689&gt;=$T$4,K689&lt;=$T$5,N689),M689)</f>
        <v/>
      </c>
      <c r="Q689">
        <f>OR(AND(I689&gt;=$T$10,K689&lt;=$T$11,O689),M689)</f>
        <v/>
      </c>
    </row>
    <row r="690">
      <c r="A690">
        <f>Data!E724</f>
        <v/>
      </c>
      <c r="B690">
        <f>Data!G724</f>
        <v/>
      </c>
      <c r="C690">
        <f>Data!H724</f>
        <v/>
      </c>
      <c r="D690">
        <f>Data!I724</f>
        <v/>
      </c>
      <c r="E690">
        <f>Data!M724</f>
        <v/>
      </c>
      <c r="F690">
        <f>Data!O724</f>
        <v/>
      </c>
      <c r="G690">
        <f>E690-F690</f>
        <v/>
      </c>
      <c r="H690">
        <f>Data!P724</f>
        <v/>
      </c>
      <c r="I690">
        <f>G690+H690</f>
        <v/>
      </c>
      <c r="J690">
        <f>F690+G690+H690</f>
        <v/>
      </c>
      <c r="K690">
        <f>Data!R724</f>
        <v/>
      </c>
      <c r="L690">
        <f>Data!T724</f>
        <v/>
      </c>
      <c r="M690">
        <f>AND(E690=0,F690=0,G690=0,H690=0,I690=0,J690=0,K690=0,L690=0)</f>
        <v/>
      </c>
      <c r="N690">
        <f>G690&lt;=$T$6</f>
        <v/>
      </c>
      <c r="O690">
        <f>G690&lt;=$T$12</f>
        <v/>
      </c>
      <c r="P690">
        <f>OR(AND(H690&gt;=$T$4,K690&lt;=$T$5,N690),M690)</f>
        <v/>
      </c>
      <c r="Q690">
        <f>OR(AND(I690&gt;=$T$10,K690&lt;=$T$11,O690),M690)</f>
        <v/>
      </c>
    </row>
    <row r="691">
      <c r="A691">
        <f>Data!E725</f>
        <v/>
      </c>
      <c r="B691">
        <f>Data!G725</f>
        <v/>
      </c>
      <c r="C691">
        <f>Data!H725</f>
        <v/>
      </c>
      <c r="D691">
        <f>Data!I725</f>
        <v/>
      </c>
      <c r="E691">
        <f>Data!M725</f>
        <v/>
      </c>
      <c r="F691">
        <f>Data!O725</f>
        <v/>
      </c>
      <c r="G691">
        <f>E691-F691</f>
        <v/>
      </c>
      <c r="H691">
        <f>Data!P725</f>
        <v/>
      </c>
      <c r="I691">
        <f>G691+H691</f>
        <v/>
      </c>
      <c r="J691">
        <f>F691+G691+H691</f>
        <v/>
      </c>
      <c r="K691">
        <f>Data!R725</f>
        <v/>
      </c>
      <c r="L691">
        <f>Data!T725</f>
        <v/>
      </c>
      <c r="M691">
        <f>AND(E691=0,F691=0,G691=0,H691=0,I691=0,J691=0,K691=0,L691=0)</f>
        <v/>
      </c>
      <c r="N691">
        <f>G691&lt;=$T$6</f>
        <v/>
      </c>
      <c r="O691">
        <f>G691&lt;=$T$12</f>
        <v/>
      </c>
      <c r="P691">
        <f>OR(AND(H691&gt;=$T$4,K691&lt;=$T$5,N691),M691)</f>
        <v/>
      </c>
      <c r="Q691">
        <f>OR(AND(I691&gt;=$T$10,K691&lt;=$T$11,O691),M691)</f>
        <v/>
      </c>
    </row>
    <row r="692">
      <c r="A692">
        <f>Data!E726</f>
        <v/>
      </c>
      <c r="B692">
        <f>Data!G726</f>
        <v/>
      </c>
      <c r="C692">
        <f>Data!H726</f>
        <v/>
      </c>
      <c r="D692">
        <f>Data!I726</f>
        <v/>
      </c>
      <c r="E692">
        <f>Data!M726</f>
        <v/>
      </c>
      <c r="F692">
        <f>Data!O726</f>
        <v/>
      </c>
      <c r="G692">
        <f>E692-F692</f>
        <v/>
      </c>
      <c r="H692">
        <f>Data!P726</f>
        <v/>
      </c>
      <c r="I692">
        <f>G692+H692</f>
        <v/>
      </c>
      <c r="J692">
        <f>F692+G692+H692</f>
        <v/>
      </c>
      <c r="K692">
        <f>Data!R726</f>
        <v/>
      </c>
      <c r="L692">
        <f>Data!T726</f>
        <v/>
      </c>
      <c r="M692">
        <f>AND(E692=0,F692=0,G692=0,H692=0,I692=0,J692=0,K692=0,L692=0)</f>
        <v/>
      </c>
      <c r="N692">
        <f>G692&lt;=$T$6</f>
        <v/>
      </c>
      <c r="O692">
        <f>G692&lt;=$T$12</f>
        <v/>
      </c>
      <c r="P692">
        <f>OR(AND(H692&gt;=$T$4,K692&lt;=$T$5,N692),M692)</f>
        <v/>
      </c>
      <c r="Q692">
        <f>OR(AND(I692&gt;=$T$10,K692&lt;=$T$11,O692),M692)</f>
        <v/>
      </c>
    </row>
    <row r="693">
      <c r="A693">
        <f>Data!E727</f>
        <v/>
      </c>
      <c r="B693">
        <f>Data!G727</f>
        <v/>
      </c>
      <c r="C693">
        <f>Data!H727</f>
        <v/>
      </c>
      <c r="D693">
        <f>Data!I727</f>
        <v/>
      </c>
      <c r="E693">
        <f>Data!M727</f>
        <v/>
      </c>
      <c r="F693">
        <f>Data!O727</f>
        <v/>
      </c>
      <c r="G693">
        <f>E693-F693</f>
        <v/>
      </c>
      <c r="H693">
        <f>Data!P727</f>
        <v/>
      </c>
      <c r="I693">
        <f>G693+H693</f>
        <v/>
      </c>
      <c r="J693">
        <f>F693+G693+H693</f>
        <v/>
      </c>
      <c r="K693">
        <f>Data!R727</f>
        <v/>
      </c>
      <c r="L693">
        <f>Data!T727</f>
        <v/>
      </c>
      <c r="M693">
        <f>AND(E693=0,F693=0,G693=0,H693=0,I693=0,J693=0,K693=0,L693=0)</f>
        <v/>
      </c>
      <c r="N693">
        <f>G693&lt;=$T$6</f>
        <v/>
      </c>
      <c r="O693">
        <f>G693&lt;=$T$12</f>
        <v/>
      </c>
      <c r="P693">
        <f>OR(AND(H693&gt;=$T$4,K693&lt;=$T$5,N693),M693)</f>
        <v/>
      </c>
      <c r="Q693">
        <f>OR(AND(I693&gt;=$T$10,K693&lt;=$T$11,O693),M693)</f>
        <v/>
      </c>
    </row>
    <row r="694">
      <c r="A694">
        <f>Data!E728</f>
        <v/>
      </c>
      <c r="B694">
        <f>Data!G728</f>
        <v/>
      </c>
      <c r="C694">
        <f>Data!H728</f>
        <v/>
      </c>
      <c r="D694">
        <f>Data!I728</f>
        <v/>
      </c>
      <c r="E694">
        <f>Data!M728</f>
        <v/>
      </c>
      <c r="F694">
        <f>Data!O728</f>
        <v/>
      </c>
      <c r="G694">
        <f>E694-F694</f>
        <v/>
      </c>
      <c r="H694">
        <f>Data!P728</f>
        <v/>
      </c>
      <c r="I694">
        <f>G694+H694</f>
        <v/>
      </c>
      <c r="J694">
        <f>F694+G694+H694</f>
        <v/>
      </c>
      <c r="K694">
        <f>Data!R728</f>
        <v/>
      </c>
      <c r="L694">
        <f>Data!T728</f>
        <v/>
      </c>
      <c r="M694">
        <f>AND(E694=0,F694=0,G694=0,H694=0,I694=0,J694=0,K694=0,L694=0)</f>
        <v/>
      </c>
      <c r="N694">
        <f>G694&lt;=$T$6</f>
        <v/>
      </c>
      <c r="O694">
        <f>G694&lt;=$T$12</f>
        <v/>
      </c>
      <c r="P694">
        <f>OR(AND(H694&gt;=$T$4,K694&lt;=$T$5,N694),M694)</f>
        <v/>
      </c>
      <c r="Q694">
        <f>OR(AND(I694&gt;=$T$10,K694&lt;=$T$11,O694),M694)</f>
        <v/>
      </c>
    </row>
    <row r="695">
      <c r="A695">
        <f>Data!E729</f>
        <v/>
      </c>
      <c r="B695">
        <f>Data!G729</f>
        <v/>
      </c>
      <c r="C695">
        <f>Data!H729</f>
        <v/>
      </c>
      <c r="D695">
        <f>Data!I729</f>
        <v/>
      </c>
      <c r="E695">
        <f>Data!M729</f>
        <v/>
      </c>
      <c r="F695">
        <f>Data!O729</f>
        <v/>
      </c>
      <c r="G695">
        <f>E695-F695</f>
        <v/>
      </c>
      <c r="H695">
        <f>Data!P729</f>
        <v/>
      </c>
      <c r="I695">
        <f>G695+H695</f>
        <v/>
      </c>
      <c r="J695">
        <f>F695+G695+H695</f>
        <v/>
      </c>
      <c r="K695">
        <f>Data!R729</f>
        <v/>
      </c>
      <c r="L695">
        <f>Data!T729</f>
        <v/>
      </c>
      <c r="M695">
        <f>AND(E695=0,F695=0,G695=0,H695=0,I695=0,J695=0,K695=0,L695=0)</f>
        <v/>
      </c>
      <c r="N695">
        <f>G695&lt;=$T$6</f>
        <v/>
      </c>
      <c r="O695">
        <f>G695&lt;=$T$12</f>
        <v/>
      </c>
      <c r="P695">
        <f>OR(AND(H695&gt;=$T$4,K695&lt;=$T$5,N695),M695)</f>
        <v/>
      </c>
      <c r="Q695">
        <f>OR(AND(I695&gt;=$T$10,K695&lt;=$T$11,O695),M695)</f>
        <v/>
      </c>
    </row>
    <row r="696">
      <c r="A696">
        <f>Data!E730</f>
        <v/>
      </c>
      <c r="B696">
        <f>Data!G730</f>
        <v/>
      </c>
      <c r="C696">
        <f>Data!H730</f>
        <v/>
      </c>
      <c r="D696">
        <f>Data!I730</f>
        <v/>
      </c>
      <c r="E696">
        <f>Data!M730</f>
        <v/>
      </c>
      <c r="F696">
        <f>Data!O730</f>
        <v/>
      </c>
      <c r="G696">
        <f>E696-F696</f>
        <v/>
      </c>
      <c r="H696">
        <f>Data!P730</f>
        <v/>
      </c>
      <c r="I696">
        <f>G696+H696</f>
        <v/>
      </c>
      <c r="J696">
        <f>F696+G696+H696</f>
        <v/>
      </c>
      <c r="K696">
        <f>Data!R730</f>
        <v/>
      </c>
      <c r="L696">
        <f>Data!T730</f>
        <v/>
      </c>
      <c r="M696">
        <f>AND(E696=0,F696=0,G696=0,H696=0,I696=0,J696=0,K696=0,L696=0)</f>
        <v/>
      </c>
      <c r="N696">
        <f>G696&lt;=$T$6</f>
        <v/>
      </c>
      <c r="O696">
        <f>G696&lt;=$T$12</f>
        <v/>
      </c>
      <c r="P696">
        <f>OR(AND(H696&gt;=$T$4,K696&lt;=$T$5,N696),M696)</f>
        <v/>
      </c>
      <c r="Q696">
        <f>OR(AND(I696&gt;=$T$10,K696&lt;=$T$11,O696),M696)</f>
        <v/>
      </c>
    </row>
    <row r="697">
      <c r="A697">
        <f>Data!E731</f>
        <v/>
      </c>
      <c r="B697">
        <f>Data!G731</f>
        <v/>
      </c>
      <c r="C697">
        <f>Data!H731</f>
        <v/>
      </c>
      <c r="D697">
        <f>Data!I731</f>
        <v/>
      </c>
      <c r="E697">
        <f>Data!M731</f>
        <v/>
      </c>
      <c r="F697">
        <f>Data!O731</f>
        <v/>
      </c>
      <c r="G697">
        <f>E697-F697</f>
        <v/>
      </c>
      <c r="H697">
        <f>Data!P731</f>
        <v/>
      </c>
      <c r="I697">
        <f>G697+H697</f>
        <v/>
      </c>
      <c r="J697">
        <f>F697+G697+H697</f>
        <v/>
      </c>
      <c r="K697">
        <f>Data!R731</f>
        <v/>
      </c>
      <c r="L697">
        <f>Data!T731</f>
        <v/>
      </c>
      <c r="M697">
        <f>AND(E697=0,F697=0,G697=0,H697=0,I697=0,J697=0,K697=0,L697=0)</f>
        <v/>
      </c>
      <c r="N697">
        <f>G697&lt;=$T$6</f>
        <v/>
      </c>
      <c r="O697">
        <f>G697&lt;=$T$12</f>
        <v/>
      </c>
      <c r="P697">
        <f>OR(AND(H697&gt;=$T$4,K697&lt;=$T$5,N697),M697)</f>
        <v/>
      </c>
      <c r="Q697">
        <f>OR(AND(I697&gt;=$T$10,K697&lt;=$T$11,O697),M697)</f>
        <v/>
      </c>
    </row>
    <row r="698">
      <c r="A698">
        <f>Data!E732</f>
        <v/>
      </c>
      <c r="B698">
        <f>Data!G732</f>
        <v/>
      </c>
      <c r="C698">
        <f>Data!H732</f>
        <v/>
      </c>
      <c r="D698">
        <f>Data!I732</f>
        <v/>
      </c>
      <c r="E698">
        <f>Data!M732</f>
        <v/>
      </c>
      <c r="F698">
        <f>Data!O732</f>
        <v/>
      </c>
      <c r="G698">
        <f>E698-F698</f>
        <v/>
      </c>
      <c r="H698">
        <f>Data!P732</f>
        <v/>
      </c>
      <c r="I698">
        <f>G698+H698</f>
        <v/>
      </c>
      <c r="J698">
        <f>F698+G698+H698</f>
        <v/>
      </c>
      <c r="K698">
        <f>Data!R732</f>
        <v/>
      </c>
      <c r="L698">
        <f>Data!T732</f>
        <v/>
      </c>
      <c r="M698">
        <f>AND(E698=0,F698=0,G698=0,H698=0,I698=0,J698=0,K698=0,L698=0)</f>
        <v/>
      </c>
      <c r="N698">
        <f>G698&lt;=$T$6</f>
        <v/>
      </c>
      <c r="O698">
        <f>G698&lt;=$T$12</f>
        <v/>
      </c>
      <c r="P698">
        <f>OR(AND(H698&gt;=$T$4,K698&lt;=$T$5,N698),M698)</f>
        <v/>
      </c>
      <c r="Q698">
        <f>OR(AND(I698&gt;=$T$10,K698&lt;=$T$11,O698),M698)</f>
        <v/>
      </c>
    </row>
    <row r="699">
      <c r="A699">
        <f>Data!E734</f>
        <v/>
      </c>
      <c r="B699">
        <f>Data!G734</f>
        <v/>
      </c>
      <c r="C699">
        <f>Data!H734</f>
        <v/>
      </c>
      <c r="D699">
        <f>Data!I734</f>
        <v/>
      </c>
      <c r="E699">
        <f>Data!M734</f>
        <v/>
      </c>
      <c r="F699">
        <f>Data!O734</f>
        <v/>
      </c>
      <c r="G699">
        <f>E699-F699</f>
        <v/>
      </c>
      <c r="H699">
        <f>Data!P734</f>
        <v/>
      </c>
      <c r="I699">
        <f>G699+H699</f>
        <v/>
      </c>
      <c r="J699">
        <f>F699+G699+H699</f>
        <v/>
      </c>
      <c r="K699">
        <f>Data!R734</f>
        <v/>
      </c>
      <c r="L699">
        <f>Data!T734</f>
        <v/>
      </c>
      <c r="M699">
        <f>AND(E699=0,F699=0,G699=0,H699=0,I699=0,J699=0,K699=0,L699=0)</f>
        <v/>
      </c>
      <c r="N699">
        <f>G699&lt;=$T$6</f>
        <v/>
      </c>
      <c r="O699">
        <f>G699&lt;=$T$12</f>
        <v/>
      </c>
      <c r="P699">
        <f>OR(AND(H699&gt;=$T$4,K699&lt;=$T$5,N699),M699)</f>
        <v/>
      </c>
      <c r="Q699">
        <f>OR(AND(I699&gt;=$T$10,K699&lt;=$T$11,O699),M699)</f>
        <v/>
      </c>
    </row>
    <row r="700">
      <c r="A700">
        <f>Data!E735</f>
        <v/>
      </c>
      <c r="B700">
        <f>Data!G735</f>
        <v/>
      </c>
      <c r="C700">
        <f>Data!H735</f>
        <v/>
      </c>
      <c r="D700">
        <f>Data!I735</f>
        <v/>
      </c>
      <c r="E700">
        <f>Data!M735</f>
        <v/>
      </c>
      <c r="F700">
        <f>Data!O735</f>
        <v/>
      </c>
      <c r="G700">
        <f>E700-F700</f>
        <v/>
      </c>
      <c r="H700">
        <f>Data!P735</f>
        <v/>
      </c>
      <c r="I700">
        <f>G700+H700</f>
        <v/>
      </c>
      <c r="J700">
        <f>F700+G700+H700</f>
        <v/>
      </c>
      <c r="K700">
        <f>Data!R735</f>
        <v/>
      </c>
      <c r="L700">
        <f>Data!T735</f>
        <v/>
      </c>
      <c r="M700">
        <f>AND(E700=0,F700=0,G700=0,H700=0,I700=0,J700=0,K700=0,L700=0)</f>
        <v/>
      </c>
      <c r="N700">
        <f>G700&lt;=$T$6</f>
        <v/>
      </c>
      <c r="O700">
        <f>G700&lt;=$T$12</f>
        <v/>
      </c>
      <c r="P700">
        <f>OR(AND(H700&gt;=$T$4,K700&lt;=$T$5,N700),M700)</f>
        <v/>
      </c>
      <c r="Q700">
        <f>OR(AND(I700&gt;=$T$10,K700&lt;=$T$11,O700),M700)</f>
        <v/>
      </c>
    </row>
    <row r="701">
      <c r="A701">
        <f>Data!E736</f>
        <v/>
      </c>
      <c r="B701">
        <f>Data!G736</f>
        <v/>
      </c>
      <c r="C701">
        <f>Data!H736</f>
        <v/>
      </c>
      <c r="D701">
        <f>Data!I736</f>
        <v/>
      </c>
      <c r="E701">
        <f>Data!M736</f>
        <v/>
      </c>
      <c r="F701">
        <f>Data!O736</f>
        <v/>
      </c>
      <c r="G701">
        <f>E701-F701</f>
        <v/>
      </c>
      <c r="H701">
        <f>Data!P736</f>
        <v/>
      </c>
      <c r="I701">
        <f>G701+H701</f>
        <v/>
      </c>
      <c r="J701">
        <f>F701+G701+H701</f>
        <v/>
      </c>
      <c r="K701">
        <f>Data!R736</f>
        <v/>
      </c>
      <c r="L701">
        <f>Data!T736</f>
        <v/>
      </c>
      <c r="M701">
        <f>AND(E701=0,F701=0,G701=0,H701=0,I701=0,J701=0,K701=0,L701=0)</f>
        <v/>
      </c>
      <c r="N701">
        <f>G701&lt;=$T$6</f>
        <v/>
      </c>
      <c r="O701">
        <f>G701&lt;=$T$12</f>
        <v/>
      </c>
      <c r="P701">
        <f>OR(AND(H701&gt;=$T$4,K701&lt;=$T$5,N701),M701)</f>
        <v/>
      </c>
      <c r="Q701">
        <f>OR(AND(I701&gt;=$T$10,K701&lt;=$T$11,O701),M701)</f>
        <v/>
      </c>
    </row>
    <row r="702">
      <c r="A702">
        <f>Data!E737</f>
        <v/>
      </c>
      <c r="B702">
        <f>Data!G737</f>
        <v/>
      </c>
      <c r="C702">
        <f>Data!H737</f>
        <v/>
      </c>
      <c r="D702">
        <f>Data!I737</f>
        <v/>
      </c>
      <c r="E702">
        <f>Data!M737</f>
        <v/>
      </c>
      <c r="F702">
        <f>Data!O737</f>
        <v/>
      </c>
      <c r="G702">
        <f>E702-F702</f>
        <v/>
      </c>
      <c r="H702">
        <f>Data!P737</f>
        <v/>
      </c>
      <c r="I702">
        <f>G702+H702</f>
        <v/>
      </c>
      <c r="J702">
        <f>F702+G702+H702</f>
        <v/>
      </c>
      <c r="K702">
        <f>Data!R737</f>
        <v/>
      </c>
      <c r="L702">
        <f>Data!T737</f>
        <v/>
      </c>
      <c r="M702">
        <f>AND(E702=0,F702=0,G702=0,H702=0,I702=0,J702=0,K702=0,L702=0)</f>
        <v/>
      </c>
      <c r="N702">
        <f>G702&lt;=$T$6</f>
        <v/>
      </c>
      <c r="O702">
        <f>G702&lt;=$T$12</f>
        <v/>
      </c>
      <c r="P702">
        <f>OR(AND(H702&gt;=$T$4,K702&lt;=$T$5,N702),M702)</f>
        <v/>
      </c>
      <c r="Q702">
        <f>OR(AND(I702&gt;=$T$10,K702&lt;=$T$11,O702),M702)</f>
        <v/>
      </c>
    </row>
    <row r="703">
      <c r="A703">
        <f>Data!E738</f>
        <v/>
      </c>
      <c r="B703">
        <f>Data!G738</f>
        <v/>
      </c>
      <c r="C703">
        <f>Data!H738</f>
        <v/>
      </c>
      <c r="D703">
        <f>Data!I738</f>
        <v/>
      </c>
      <c r="E703">
        <f>Data!M738</f>
        <v/>
      </c>
      <c r="F703">
        <f>Data!O738</f>
        <v/>
      </c>
      <c r="G703">
        <f>E703-F703</f>
        <v/>
      </c>
      <c r="H703">
        <f>Data!P738</f>
        <v/>
      </c>
      <c r="I703">
        <f>G703+H703</f>
        <v/>
      </c>
      <c r="J703">
        <f>F703+G703+H703</f>
        <v/>
      </c>
      <c r="K703">
        <f>Data!R738</f>
        <v/>
      </c>
      <c r="L703">
        <f>Data!T738</f>
        <v/>
      </c>
      <c r="M703">
        <f>AND(E703=0,F703=0,G703=0,H703=0,I703=0,J703=0,K703=0,L703=0)</f>
        <v/>
      </c>
      <c r="N703">
        <f>G703&lt;=$T$6</f>
        <v/>
      </c>
      <c r="O703">
        <f>G703&lt;=$T$12</f>
        <v/>
      </c>
      <c r="P703">
        <f>OR(AND(H703&gt;=$T$4,K703&lt;=$T$5,N703),M703)</f>
        <v/>
      </c>
      <c r="Q703">
        <f>OR(AND(I703&gt;=$T$10,K703&lt;=$T$11,O703),M703)</f>
        <v/>
      </c>
    </row>
    <row r="704">
      <c r="A704">
        <f>Data!E739</f>
        <v/>
      </c>
      <c r="B704">
        <f>Data!G739</f>
        <v/>
      </c>
      <c r="C704">
        <f>Data!H739</f>
        <v/>
      </c>
      <c r="D704">
        <f>Data!I739</f>
        <v/>
      </c>
      <c r="E704">
        <f>Data!M739</f>
        <v/>
      </c>
      <c r="F704">
        <f>Data!O739</f>
        <v/>
      </c>
      <c r="G704">
        <f>E704-F704</f>
        <v/>
      </c>
      <c r="H704">
        <f>Data!P739</f>
        <v/>
      </c>
      <c r="I704">
        <f>G704+H704</f>
        <v/>
      </c>
      <c r="J704">
        <f>F704+G704+H704</f>
        <v/>
      </c>
      <c r="K704">
        <f>Data!R739</f>
        <v/>
      </c>
      <c r="L704">
        <f>Data!T739</f>
        <v/>
      </c>
      <c r="M704">
        <f>AND(E704=0,F704=0,G704=0,H704=0,I704=0,J704=0,K704=0,L704=0)</f>
        <v/>
      </c>
      <c r="N704">
        <f>G704&lt;=$T$6</f>
        <v/>
      </c>
      <c r="O704">
        <f>G704&lt;=$T$12</f>
        <v/>
      </c>
      <c r="P704">
        <f>OR(AND(H704&gt;=$T$4,K704&lt;=$T$5,N704),M704)</f>
        <v/>
      </c>
      <c r="Q704">
        <f>OR(AND(I704&gt;=$T$10,K704&lt;=$T$11,O704),M704)</f>
        <v/>
      </c>
    </row>
    <row r="705">
      <c r="A705">
        <f>Data!E740</f>
        <v/>
      </c>
      <c r="B705">
        <f>Data!G740</f>
        <v/>
      </c>
      <c r="C705">
        <f>Data!H740</f>
        <v/>
      </c>
      <c r="D705">
        <f>Data!I740</f>
        <v/>
      </c>
      <c r="E705">
        <f>Data!M740</f>
        <v/>
      </c>
      <c r="F705">
        <f>Data!O740</f>
        <v/>
      </c>
      <c r="G705">
        <f>E705-F705</f>
        <v/>
      </c>
      <c r="H705">
        <f>Data!P740</f>
        <v/>
      </c>
      <c r="I705">
        <f>G705+H705</f>
        <v/>
      </c>
      <c r="J705">
        <f>F705+G705+H705</f>
        <v/>
      </c>
      <c r="K705">
        <f>Data!R740</f>
        <v/>
      </c>
      <c r="L705">
        <f>Data!T740</f>
        <v/>
      </c>
      <c r="M705">
        <f>AND(E705=0,F705=0,G705=0,H705=0,I705=0,J705=0,K705=0,L705=0)</f>
        <v/>
      </c>
      <c r="N705">
        <f>G705&lt;=$T$6</f>
        <v/>
      </c>
      <c r="O705">
        <f>G705&lt;=$T$12</f>
        <v/>
      </c>
      <c r="P705">
        <f>OR(AND(H705&gt;=$T$4,K705&lt;=$T$5,N705),M705)</f>
        <v/>
      </c>
      <c r="Q705">
        <f>OR(AND(I705&gt;=$T$10,K705&lt;=$T$11,O705),M705)</f>
        <v/>
      </c>
    </row>
    <row r="706">
      <c r="A706">
        <f>Data!E741</f>
        <v/>
      </c>
      <c r="B706">
        <f>Data!G741</f>
        <v/>
      </c>
      <c r="C706">
        <f>Data!H741</f>
        <v/>
      </c>
      <c r="D706">
        <f>Data!I741</f>
        <v/>
      </c>
      <c r="E706">
        <f>Data!M741</f>
        <v/>
      </c>
      <c r="F706">
        <f>Data!O741</f>
        <v/>
      </c>
      <c r="G706">
        <f>E706-F706</f>
        <v/>
      </c>
      <c r="H706">
        <f>Data!P741</f>
        <v/>
      </c>
      <c r="I706">
        <f>G706+H706</f>
        <v/>
      </c>
      <c r="J706">
        <f>F706+G706+H706</f>
        <v/>
      </c>
      <c r="K706">
        <f>Data!R741</f>
        <v/>
      </c>
      <c r="L706">
        <f>Data!T741</f>
        <v/>
      </c>
      <c r="M706">
        <f>AND(E706=0,F706=0,G706=0,H706=0,I706=0,J706=0,K706=0,L706=0)</f>
        <v/>
      </c>
      <c r="N706">
        <f>G706&lt;=$T$6</f>
        <v/>
      </c>
      <c r="O706">
        <f>G706&lt;=$T$12</f>
        <v/>
      </c>
      <c r="P706">
        <f>OR(AND(H706&gt;=$T$4,K706&lt;=$T$5,N706),M706)</f>
        <v/>
      </c>
      <c r="Q706">
        <f>OR(AND(I706&gt;=$T$10,K706&lt;=$T$11,O706),M706)</f>
        <v/>
      </c>
    </row>
    <row r="707">
      <c r="A707">
        <f>Data!E742</f>
        <v/>
      </c>
      <c r="B707">
        <f>Data!G742</f>
        <v/>
      </c>
      <c r="C707">
        <f>Data!H742</f>
        <v/>
      </c>
      <c r="D707">
        <f>Data!I742</f>
        <v/>
      </c>
      <c r="E707">
        <f>Data!M742</f>
        <v/>
      </c>
      <c r="F707">
        <f>Data!O742</f>
        <v/>
      </c>
      <c r="G707">
        <f>E707-F707</f>
        <v/>
      </c>
      <c r="H707">
        <f>Data!P742</f>
        <v/>
      </c>
      <c r="I707">
        <f>G707+H707</f>
        <v/>
      </c>
      <c r="J707">
        <f>F707+G707+H707</f>
        <v/>
      </c>
      <c r="K707">
        <f>Data!R742</f>
        <v/>
      </c>
      <c r="L707">
        <f>Data!T742</f>
        <v/>
      </c>
      <c r="M707">
        <f>AND(E707=0,F707=0,G707=0,H707=0,I707=0,J707=0,K707=0,L707=0)</f>
        <v/>
      </c>
      <c r="N707">
        <f>G707&lt;=$T$6</f>
        <v/>
      </c>
      <c r="O707">
        <f>G707&lt;=$T$12</f>
        <v/>
      </c>
      <c r="P707">
        <f>OR(AND(H707&gt;=$T$4,K707&lt;=$T$5,N707),M707)</f>
        <v/>
      </c>
      <c r="Q707">
        <f>OR(AND(I707&gt;=$T$10,K707&lt;=$T$11,O707),M707)</f>
        <v/>
      </c>
    </row>
    <row r="708">
      <c r="A708">
        <f>Data!E743</f>
        <v/>
      </c>
      <c r="B708">
        <f>Data!G743</f>
        <v/>
      </c>
      <c r="C708">
        <f>Data!H743</f>
        <v/>
      </c>
      <c r="D708">
        <f>Data!I743</f>
        <v/>
      </c>
      <c r="E708">
        <f>Data!M743</f>
        <v/>
      </c>
      <c r="F708">
        <f>Data!O743</f>
        <v/>
      </c>
      <c r="G708">
        <f>E708-F708</f>
        <v/>
      </c>
      <c r="H708">
        <f>Data!P743</f>
        <v/>
      </c>
      <c r="I708">
        <f>G708+H708</f>
        <v/>
      </c>
      <c r="J708">
        <f>F708+G708+H708</f>
        <v/>
      </c>
      <c r="K708">
        <f>Data!R743</f>
        <v/>
      </c>
      <c r="L708">
        <f>Data!T743</f>
        <v/>
      </c>
      <c r="M708">
        <f>AND(E708=0,F708=0,G708=0,H708=0,I708=0,J708=0,K708=0,L708=0)</f>
        <v/>
      </c>
      <c r="N708">
        <f>G708&lt;=$T$6</f>
        <v/>
      </c>
      <c r="O708">
        <f>G708&lt;=$T$12</f>
        <v/>
      </c>
      <c r="P708">
        <f>OR(AND(H708&gt;=$T$4,K708&lt;=$T$5,N708),M708)</f>
        <v/>
      </c>
      <c r="Q708">
        <f>OR(AND(I708&gt;=$T$10,K708&lt;=$T$11,O708),M708)</f>
        <v/>
      </c>
    </row>
    <row r="709">
      <c r="A709">
        <f>Data!E744</f>
        <v/>
      </c>
      <c r="B709">
        <f>Data!G744</f>
        <v/>
      </c>
      <c r="C709">
        <f>Data!H744</f>
        <v/>
      </c>
      <c r="D709">
        <f>Data!I744</f>
        <v/>
      </c>
      <c r="E709">
        <f>Data!M744</f>
        <v/>
      </c>
      <c r="F709">
        <f>Data!O744</f>
        <v/>
      </c>
      <c r="G709">
        <f>E709-F709</f>
        <v/>
      </c>
      <c r="H709">
        <f>Data!P744</f>
        <v/>
      </c>
      <c r="I709">
        <f>G709+H709</f>
        <v/>
      </c>
      <c r="J709">
        <f>F709+G709+H709</f>
        <v/>
      </c>
      <c r="K709">
        <f>Data!R744</f>
        <v/>
      </c>
      <c r="L709">
        <f>Data!T744</f>
        <v/>
      </c>
      <c r="M709">
        <f>AND(E709=0,F709=0,G709=0,H709=0,I709=0,J709=0,K709=0,L709=0)</f>
        <v/>
      </c>
      <c r="N709">
        <f>G709&lt;=$T$6</f>
        <v/>
      </c>
      <c r="O709">
        <f>G709&lt;=$T$12</f>
        <v/>
      </c>
      <c r="P709">
        <f>OR(AND(H709&gt;=$T$4,K709&lt;=$T$5,N709),M709)</f>
        <v/>
      </c>
      <c r="Q709">
        <f>OR(AND(I709&gt;=$T$10,K709&lt;=$T$11,O709),M709)</f>
        <v/>
      </c>
    </row>
    <row r="710">
      <c r="A710">
        <f>Data!E745</f>
        <v/>
      </c>
      <c r="B710">
        <f>Data!G745</f>
        <v/>
      </c>
      <c r="C710">
        <f>Data!H745</f>
        <v/>
      </c>
      <c r="D710">
        <f>Data!I745</f>
        <v/>
      </c>
      <c r="E710">
        <f>Data!M745</f>
        <v/>
      </c>
      <c r="F710">
        <f>Data!O745</f>
        <v/>
      </c>
      <c r="G710">
        <f>E710-F710</f>
        <v/>
      </c>
      <c r="H710">
        <f>Data!P745</f>
        <v/>
      </c>
      <c r="I710">
        <f>G710+H710</f>
        <v/>
      </c>
      <c r="J710">
        <f>F710+G710+H710</f>
        <v/>
      </c>
      <c r="K710">
        <f>Data!R745</f>
        <v/>
      </c>
      <c r="L710">
        <f>Data!T745</f>
        <v/>
      </c>
      <c r="M710">
        <f>AND(E710=0,F710=0,G710=0,H710=0,I710=0,J710=0,K710=0,L710=0)</f>
        <v/>
      </c>
      <c r="N710">
        <f>G710&lt;=$T$6</f>
        <v/>
      </c>
      <c r="O710">
        <f>G710&lt;=$T$12</f>
        <v/>
      </c>
      <c r="P710">
        <f>OR(AND(H710&gt;=$T$4,K710&lt;=$T$5,N710),M710)</f>
        <v/>
      </c>
      <c r="Q710">
        <f>OR(AND(I710&gt;=$T$10,K710&lt;=$T$11,O710),M710)</f>
        <v/>
      </c>
    </row>
    <row r="711">
      <c r="A711">
        <f>Data!E746</f>
        <v/>
      </c>
      <c r="B711">
        <f>Data!G746</f>
        <v/>
      </c>
      <c r="C711">
        <f>Data!H746</f>
        <v/>
      </c>
      <c r="D711">
        <f>Data!I746</f>
        <v/>
      </c>
      <c r="E711">
        <f>Data!M746</f>
        <v/>
      </c>
      <c r="F711">
        <f>Data!O746</f>
        <v/>
      </c>
      <c r="G711">
        <f>E711-F711</f>
        <v/>
      </c>
      <c r="H711">
        <f>Data!P746</f>
        <v/>
      </c>
      <c r="I711">
        <f>G711+H711</f>
        <v/>
      </c>
      <c r="J711">
        <f>F711+G711+H711</f>
        <v/>
      </c>
      <c r="K711">
        <f>Data!R746</f>
        <v/>
      </c>
      <c r="L711">
        <f>Data!T746</f>
        <v/>
      </c>
      <c r="M711">
        <f>AND(E711=0,F711=0,G711=0,H711=0,I711=0,J711=0,K711=0,L711=0)</f>
        <v/>
      </c>
      <c r="N711">
        <f>G711&lt;=$T$6</f>
        <v/>
      </c>
      <c r="O711">
        <f>G711&lt;=$T$12</f>
        <v/>
      </c>
      <c r="P711">
        <f>OR(AND(H711&gt;=$T$4,K711&lt;=$T$5,N711),M711)</f>
        <v/>
      </c>
      <c r="Q711">
        <f>OR(AND(I711&gt;=$T$10,K711&lt;=$T$11,O711),M711)</f>
        <v/>
      </c>
    </row>
    <row r="712">
      <c r="A712">
        <f>Data!E747</f>
        <v/>
      </c>
      <c r="B712">
        <f>Data!G747</f>
        <v/>
      </c>
      <c r="C712">
        <f>Data!H747</f>
        <v/>
      </c>
      <c r="D712">
        <f>Data!I747</f>
        <v/>
      </c>
      <c r="E712">
        <f>Data!M747</f>
        <v/>
      </c>
      <c r="F712">
        <f>Data!O747</f>
        <v/>
      </c>
      <c r="G712">
        <f>E712-F712</f>
        <v/>
      </c>
      <c r="H712">
        <f>Data!P747</f>
        <v/>
      </c>
      <c r="I712">
        <f>G712+H712</f>
        <v/>
      </c>
      <c r="J712">
        <f>F712+G712+H712</f>
        <v/>
      </c>
      <c r="K712">
        <f>Data!R747</f>
        <v/>
      </c>
      <c r="L712">
        <f>Data!T747</f>
        <v/>
      </c>
      <c r="M712">
        <f>AND(E712=0,F712=0,G712=0,H712=0,I712=0,J712=0,K712=0,L712=0)</f>
        <v/>
      </c>
      <c r="N712">
        <f>G712&lt;=$T$6</f>
        <v/>
      </c>
      <c r="O712">
        <f>G712&lt;=$T$12</f>
        <v/>
      </c>
      <c r="P712">
        <f>OR(AND(H712&gt;=$T$4,K712&lt;=$T$5,N712),M712)</f>
        <v/>
      </c>
      <c r="Q712">
        <f>OR(AND(I712&gt;=$T$10,K712&lt;=$T$11,O712),M712)</f>
        <v/>
      </c>
    </row>
    <row r="713">
      <c r="A713">
        <f>Data!E748</f>
        <v/>
      </c>
      <c r="B713">
        <f>Data!G748</f>
        <v/>
      </c>
      <c r="C713">
        <f>Data!H748</f>
        <v/>
      </c>
      <c r="D713">
        <f>Data!I748</f>
        <v/>
      </c>
      <c r="E713">
        <f>Data!M748</f>
        <v/>
      </c>
      <c r="F713">
        <f>Data!O748</f>
        <v/>
      </c>
      <c r="G713">
        <f>E713-F713</f>
        <v/>
      </c>
      <c r="H713">
        <f>Data!P748</f>
        <v/>
      </c>
      <c r="I713">
        <f>G713+H713</f>
        <v/>
      </c>
      <c r="J713">
        <f>F713+G713+H713</f>
        <v/>
      </c>
      <c r="K713">
        <f>Data!R748</f>
        <v/>
      </c>
      <c r="L713">
        <f>Data!T748</f>
        <v/>
      </c>
      <c r="M713">
        <f>AND(E713=0,F713=0,G713=0,H713=0,I713=0,J713=0,K713=0,L713=0)</f>
        <v/>
      </c>
      <c r="N713">
        <f>G713&lt;=$T$6</f>
        <v/>
      </c>
      <c r="O713">
        <f>G713&lt;=$T$12</f>
        <v/>
      </c>
      <c r="P713">
        <f>OR(AND(H713&gt;=$T$4,K713&lt;=$T$5,N713),M713)</f>
        <v/>
      </c>
      <c r="Q713">
        <f>OR(AND(I713&gt;=$T$10,K713&lt;=$T$11,O713),M713)</f>
        <v/>
      </c>
    </row>
    <row r="714">
      <c r="A714">
        <f>Data!E749</f>
        <v/>
      </c>
      <c r="B714">
        <f>Data!G749</f>
        <v/>
      </c>
      <c r="C714">
        <f>Data!H749</f>
        <v/>
      </c>
      <c r="D714">
        <f>Data!I749</f>
        <v/>
      </c>
      <c r="E714">
        <f>Data!M749</f>
        <v/>
      </c>
      <c r="F714">
        <f>Data!O749</f>
        <v/>
      </c>
      <c r="G714">
        <f>E714-F714</f>
        <v/>
      </c>
      <c r="H714">
        <f>Data!P749</f>
        <v/>
      </c>
      <c r="I714">
        <f>G714+H714</f>
        <v/>
      </c>
      <c r="J714">
        <f>F714+G714+H714</f>
        <v/>
      </c>
      <c r="K714">
        <f>Data!R749</f>
        <v/>
      </c>
      <c r="L714">
        <f>Data!T749</f>
        <v/>
      </c>
      <c r="M714">
        <f>AND(E714=0,F714=0,G714=0,H714=0,I714=0,J714=0,K714=0,L714=0)</f>
        <v/>
      </c>
      <c r="N714">
        <f>G714&lt;=$T$6</f>
        <v/>
      </c>
      <c r="O714">
        <f>G714&lt;=$T$12</f>
        <v/>
      </c>
      <c r="P714">
        <f>OR(AND(H714&gt;=$T$4,K714&lt;=$T$5,N714),M714)</f>
        <v/>
      </c>
      <c r="Q714">
        <f>OR(AND(I714&gt;=$T$10,K714&lt;=$T$11,O714),M714)</f>
        <v/>
      </c>
    </row>
    <row r="715">
      <c r="A715">
        <f>Data!E750</f>
        <v/>
      </c>
      <c r="B715">
        <f>Data!G750</f>
        <v/>
      </c>
      <c r="C715">
        <f>Data!H750</f>
        <v/>
      </c>
      <c r="D715">
        <f>Data!I750</f>
        <v/>
      </c>
      <c r="E715">
        <f>Data!M750</f>
        <v/>
      </c>
      <c r="F715">
        <f>Data!O750</f>
        <v/>
      </c>
      <c r="G715">
        <f>E715-F715</f>
        <v/>
      </c>
      <c r="H715">
        <f>Data!P750</f>
        <v/>
      </c>
      <c r="I715">
        <f>G715+H715</f>
        <v/>
      </c>
      <c r="J715">
        <f>F715+G715+H715</f>
        <v/>
      </c>
      <c r="K715">
        <f>Data!R750</f>
        <v/>
      </c>
      <c r="L715">
        <f>Data!T750</f>
        <v/>
      </c>
      <c r="M715">
        <f>AND(E715=0,F715=0,G715=0,H715=0,I715=0,J715=0,K715=0,L715=0)</f>
        <v/>
      </c>
      <c r="N715">
        <f>G715&lt;=$T$6</f>
        <v/>
      </c>
      <c r="O715">
        <f>G715&lt;=$T$12</f>
        <v/>
      </c>
      <c r="P715">
        <f>OR(AND(H715&gt;=$T$4,K715&lt;=$T$5,N715),M715)</f>
        <v/>
      </c>
      <c r="Q715">
        <f>OR(AND(I715&gt;=$T$10,K715&lt;=$T$11,O715),M715)</f>
        <v/>
      </c>
    </row>
    <row r="716">
      <c r="A716">
        <f>Data!E751</f>
        <v/>
      </c>
      <c r="B716">
        <f>Data!G751</f>
        <v/>
      </c>
      <c r="C716">
        <f>Data!H751</f>
        <v/>
      </c>
      <c r="D716">
        <f>Data!I751</f>
        <v/>
      </c>
      <c r="E716">
        <f>Data!M751</f>
        <v/>
      </c>
      <c r="F716">
        <f>Data!O751</f>
        <v/>
      </c>
      <c r="G716">
        <f>E716-F716</f>
        <v/>
      </c>
      <c r="H716">
        <f>Data!P751</f>
        <v/>
      </c>
      <c r="I716">
        <f>G716+H716</f>
        <v/>
      </c>
      <c r="J716">
        <f>F716+G716+H716</f>
        <v/>
      </c>
      <c r="K716">
        <f>Data!R751</f>
        <v/>
      </c>
      <c r="L716">
        <f>Data!T751</f>
        <v/>
      </c>
      <c r="M716">
        <f>AND(E716=0,F716=0,G716=0,H716=0,I716=0,J716=0,K716=0,L716=0)</f>
        <v/>
      </c>
      <c r="N716">
        <f>G716&lt;=$T$6</f>
        <v/>
      </c>
      <c r="O716">
        <f>G716&lt;=$T$12</f>
        <v/>
      </c>
      <c r="P716">
        <f>OR(AND(H716&gt;=$T$4,K716&lt;=$T$5,N716),M716)</f>
        <v/>
      </c>
      <c r="Q716">
        <f>OR(AND(I716&gt;=$T$10,K716&lt;=$T$11,O716),M716)</f>
        <v/>
      </c>
    </row>
    <row r="717">
      <c r="A717">
        <f>Data!E752</f>
        <v/>
      </c>
      <c r="B717">
        <f>Data!G752</f>
        <v/>
      </c>
      <c r="C717">
        <f>Data!H752</f>
        <v/>
      </c>
      <c r="D717">
        <f>Data!I752</f>
        <v/>
      </c>
      <c r="E717">
        <f>Data!M752</f>
        <v/>
      </c>
      <c r="F717">
        <f>Data!O752</f>
        <v/>
      </c>
      <c r="G717">
        <f>E717-F717</f>
        <v/>
      </c>
      <c r="H717">
        <f>Data!P752</f>
        <v/>
      </c>
      <c r="I717">
        <f>G717+H717</f>
        <v/>
      </c>
      <c r="J717">
        <f>F717+G717+H717</f>
        <v/>
      </c>
      <c r="K717">
        <f>Data!R752</f>
        <v/>
      </c>
      <c r="L717">
        <f>Data!T752</f>
        <v/>
      </c>
      <c r="M717">
        <f>AND(E717=0,F717=0,G717=0,H717=0,I717=0,J717=0,K717=0,L717=0)</f>
        <v/>
      </c>
      <c r="N717">
        <f>G717&lt;=$T$6</f>
        <v/>
      </c>
      <c r="O717">
        <f>G717&lt;=$T$12</f>
        <v/>
      </c>
      <c r="P717">
        <f>OR(AND(H717&gt;=$T$4,K717&lt;=$T$5,N717),M717)</f>
        <v/>
      </c>
      <c r="Q717">
        <f>OR(AND(I717&gt;=$T$10,K717&lt;=$T$11,O717),M717)</f>
        <v/>
      </c>
    </row>
    <row r="718">
      <c r="A718">
        <f>Data!E753</f>
        <v/>
      </c>
      <c r="B718">
        <f>Data!G753</f>
        <v/>
      </c>
      <c r="C718">
        <f>Data!H753</f>
        <v/>
      </c>
      <c r="D718">
        <f>Data!I753</f>
        <v/>
      </c>
      <c r="E718">
        <f>Data!M753</f>
        <v/>
      </c>
      <c r="F718">
        <f>Data!O753</f>
        <v/>
      </c>
      <c r="G718">
        <f>E718-F718</f>
        <v/>
      </c>
      <c r="H718">
        <f>Data!P753</f>
        <v/>
      </c>
      <c r="I718">
        <f>G718+H718</f>
        <v/>
      </c>
      <c r="J718">
        <f>F718+G718+H718</f>
        <v/>
      </c>
      <c r="K718">
        <f>Data!R753</f>
        <v/>
      </c>
      <c r="L718">
        <f>Data!T753</f>
        <v/>
      </c>
      <c r="M718">
        <f>AND(E718=0,F718=0,G718=0,H718=0,I718=0,J718=0,K718=0,L718=0)</f>
        <v/>
      </c>
      <c r="N718">
        <f>G718&lt;=$T$6</f>
        <v/>
      </c>
      <c r="O718">
        <f>G718&lt;=$T$12</f>
        <v/>
      </c>
      <c r="P718">
        <f>OR(AND(H718&gt;=$T$4,K718&lt;=$T$5,N718),M718)</f>
        <v/>
      </c>
      <c r="Q718">
        <f>OR(AND(I718&gt;=$T$10,K718&lt;=$T$11,O718),M718)</f>
        <v/>
      </c>
    </row>
    <row r="719">
      <c r="A719">
        <f>Data!E754</f>
        <v/>
      </c>
      <c r="B719">
        <f>Data!G754</f>
        <v/>
      </c>
      <c r="C719">
        <f>Data!H754</f>
        <v/>
      </c>
      <c r="D719">
        <f>Data!I754</f>
        <v/>
      </c>
      <c r="E719">
        <f>Data!M754</f>
        <v/>
      </c>
      <c r="F719">
        <f>Data!O754</f>
        <v/>
      </c>
      <c r="G719">
        <f>E719-F719</f>
        <v/>
      </c>
      <c r="H719">
        <f>Data!P754</f>
        <v/>
      </c>
      <c r="I719">
        <f>G719+H719</f>
        <v/>
      </c>
      <c r="J719">
        <f>F719+G719+H719</f>
        <v/>
      </c>
      <c r="K719">
        <f>Data!R754</f>
        <v/>
      </c>
      <c r="L719">
        <f>Data!T754</f>
        <v/>
      </c>
      <c r="M719">
        <f>AND(E719=0,F719=0,G719=0,H719=0,I719=0,J719=0,K719=0,L719=0)</f>
        <v/>
      </c>
      <c r="N719">
        <f>G719&lt;=$T$6</f>
        <v/>
      </c>
      <c r="O719">
        <f>G719&lt;=$T$12</f>
        <v/>
      </c>
      <c r="P719">
        <f>OR(AND(H719&gt;=$T$4,K719&lt;=$T$5,N719),M719)</f>
        <v/>
      </c>
      <c r="Q719">
        <f>OR(AND(I719&gt;=$T$10,K719&lt;=$T$11,O719),M719)</f>
        <v/>
      </c>
    </row>
    <row r="720">
      <c r="A720">
        <f>Data!E755</f>
        <v/>
      </c>
      <c r="B720">
        <f>Data!G755</f>
        <v/>
      </c>
      <c r="C720">
        <f>Data!H755</f>
        <v/>
      </c>
      <c r="D720">
        <f>Data!I755</f>
        <v/>
      </c>
      <c r="E720">
        <f>Data!M755</f>
        <v/>
      </c>
      <c r="F720">
        <f>Data!O755</f>
        <v/>
      </c>
      <c r="G720">
        <f>E720-F720</f>
        <v/>
      </c>
      <c r="H720">
        <f>Data!P755</f>
        <v/>
      </c>
      <c r="I720">
        <f>G720+H720</f>
        <v/>
      </c>
      <c r="J720">
        <f>F720+G720+H720</f>
        <v/>
      </c>
      <c r="K720">
        <f>Data!R755</f>
        <v/>
      </c>
      <c r="L720">
        <f>Data!T755</f>
        <v/>
      </c>
      <c r="M720">
        <f>AND(E720=0,F720=0,G720=0,H720=0,I720=0,J720=0,K720=0,L720=0)</f>
        <v/>
      </c>
      <c r="N720">
        <f>G720&lt;=$T$6</f>
        <v/>
      </c>
      <c r="O720">
        <f>G720&lt;=$T$12</f>
        <v/>
      </c>
      <c r="P720">
        <f>OR(AND(H720&gt;=$T$4,K720&lt;=$T$5,N720),M720)</f>
        <v/>
      </c>
      <c r="Q720">
        <f>OR(AND(I720&gt;=$T$10,K720&lt;=$T$11,O720),M720)</f>
        <v/>
      </c>
    </row>
    <row r="721">
      <c r="A721">
        <f>Data!E756</f>
        <v/>
      </c>
      <c r="B721">
        <f>Data!G756</f>
        <v/>
      </c>
      <c r="C721">
        <f>Data!H756</f>
        <v/>
      </c>
      <c r="D721">
        <f>Data!I756</f>
        <v/>
      </c>
      <c r="E721">
        <f>Data!M756</f>
        <v/>
      </c>
      <c r="F721">
        <f>Data!O756</f>
        <v/>
      </c>
      <c r="G721">
        <f>E721-F721</f>
        <v/>
      </c>
      <c r="H721">
        <f>Data!P756</f>
        <v/>
      </c>
      <c r="I721">
        <f>G721+H721</f>
        <v/>
      </c>
      <c r="J721">
        <f>F721+G721+H721</f>
        <v/>
      </c>
      <c r="K721">
        <f>Data!R756</f>
        <v/>
      </c>
      <c r="L721">
        <f>Data!T756</f>
        <v/>
      </c>
      <c r="M721">
        <f>AND(E721=0,F721=0,G721=0,H721=0,I721=0,J721=0,K721=0,L721=0)</f>
        <v/>
      </c>
      <c r="N721">
        <f>G721&lt;=$T$6</f>
        <v/>
      </c>
      <c r="O721">
        <f>G721&lt;=$T$12</f>
        <v/>
      </c>
      <c r="P721">
        <f>OR(AND(H721&gt;=$T$4,K721&lt;=$T$5,N721),M721)</f>
        <v/>
      </c>
      <c r="Q721">
        <f>OR(AND(I721&gt;=$T$10,K721&lt;=$T$11,O721),M721)</f>
        <v/>
      </c>
    </row>
    <row r="722">
      <c r="A722">
        <f>Data!E757</f>
        <v/>
      </c>
      <c r="B722">
        <f>Data!G757</f>
        <v/>
      </c>
      <c r="C722">
        <f>Data!H757</f>
        <v/>
      </c>
      <c r="D722">
        <f>Data!I757</f>
        <v/>
      </c>
      <c r="E722">
        <f>Data!M757</f>
        <v/>
      </c>
      <c r="F722">
        <f>Data!O757</f>
        <v/>
      </c>
      <c r="G722">
        <f>E722-F722</f>
        <v/>
      </c>
      <c r="H722">
        <f>Data!P757</f>
        <v/>
      </c>
      <c r="I722">
        <f>G722+H722</f>
        <v/>
      </c>
      <c r="J722">
        <f>F722+G722+H722</f>
        <v/>
      </c>
      <c r="K722">
        <f>Data!R757</f>
        <v/>
      </c>
      <c r="L722">
        <f>Data!T757</f>
        <v/>
      </c>
      <c r="M722">
        <f>AND(E722=0,F722=0,G722=0,H722=0,I722=0,J722=0,K722=0,L722=0)</f>
        <v/>
      </c>
      <c r="N722">
        <f>G722&lt;=$T$6</f>
        <v/>
      </c>
      <c r="O722">
        <f>G722&lt;=$T$12</f>
        <v/>
      </c>
      <c r="P722">
        <f>OR(AND(H722&gt;=$T$4,K722&lt;=$T$5,N722),M722)</f>
        <v/>
      </c>
      <c r="Q722">
        <f>OR(AND(I722&gt;=$T$10,K722&lt;=$T$11,O722),M722)</f>
        <v/>
      </c>
    </row>
    <row r="723">
      <c r="A723">
        <f>Data!E758</f>
        <v/>
      </c>
      <c r="B723">
        <f>Data!G758</f>
        <v/>
      </c>
      <c r="C723">
        <f>Data!H758</f>
        <v/>
      </c>
      <c r="D723">
        <f>Data!I758</f>
        <v/>
      </c>
      <c r="E723">
        <f>Data!M758</f>
        <v/>
      </c>
      <c r="F723">
        <f>Data!O758</f>
        <v/>
      </c>
      <c r="G723">
        <f>E723-F723</f>
        <v/>
      </c>
      <c r="H723">
        <f>Data!P758</f>
        <v/>
      </c>
      <c r="I723">
        <f>G723+H723</f>
        <v/>
      </c>
      <c r="J723">
        <f>F723+G723+H723</f>
        <v/>
      </c>
      <c r="K723">
        <f>Data!R758</f>
        <v/>
      </c>
      <c r="L723">
        <f>Data!T758</f>
        <v/>
      </c>
      <c r="M723">
        <f>AND(E723=0,F723=0,G723=0,H723=0,I723=0,J723=0,K723=0,L723=0)</f>
        <v/>
      </c>
      <c r="N723">
        <f>G723&lt;=$T$6</f>
        <v/>
      </c>
      <c r="O723">
        <f>G723&lt;=$T$12</f>
        <v/>
      </c>
      <c r="P723">
        <f>OR(AND(H723&gt;=$T$4,K723&lt;=$T$5,N723),M723)</f>
        <v/>
      </c>
      <c r="Q723">
        <f>OR(AND(I723&gt;=$T$10,K723&lt;=$T$11,O723),M723)</f>
        <v/>
      </c>
    </row>
    <row r="724">
      <c r="A724">
        <f>Data!E759</f>
        <v/>
      </c>
      <c r="B724">
        <f>Data!G759</f>
        <v/>
      </c>
      <c r="C724">
        <f>Data!H759</f>
        <v/>
      </c>
      <c r="D724">
        <f>Data!I759</f>
        <v/>
      </c>
      <c r="E724">
        <f>Data!M759</f>
        <v/>
      </c>
      <c r="F724">
        <f>Data!O759</f>
        <v/>
      </c>
      <c r="G724">
        <f>E724-F724</f>
        <v/>
      </c>
      <c r="H724">
        <f>Data!P759</f>
        <v/>
      </c>
      <c r="I724">
        <f>G724+H724</f>
        <v/>
      </c>
      <c r="J724">
        <f>F724+G724+H724</f>
        <v/>
      </c>
      <c r="K724">
        <f>Data!R759</f>
        <v/>
      </c>
      <c r="L724">
        <f>Data!T759</f>
        <v/>
      </c>
      <c r="M724">
        <f>AND(E724=0,F724=0,G724=0,H724=0,I724=0,J724=0,K724=0,L724=0)</f>
        <v/>
      </c>
      <c r="N724">
        <f>G724&lt;=$T$6</f>
        <v/>
      </c>
      <c r="O724">
        <f>G724&lt;=$T$12</f>
        <v/>
      </c>
      <c r="P724">
        <f>OR(AND(H724&gt;=$T$4,K724&lt;=$T$5,N724),M724)</f>
        <v/>
      </c>
      <c r="Q724">
        <f>OR(AND(I724&gt;=$T$10,K724&lt;=$T$11,O724),M724)</f>
        <v/>
      </c>
    </row>
    <row r="725">
      <c r="A725">
        <f>Data!E760</f>
        <v/>
      </c>
      <c r="B725">
        <f>Data!G760</f>
        <v/>
      </c>
      <c r="C725">
        <f>Data!H760</f>
        <v/>
      </c>
      <c r="D725">
        <f>Data!I760</f>
        <v/>
      </c>
      <c r="E725">
        <f>Data!M760</f>
        <v/>
      </c>
      <c r="F725">
        <f>Data!O760</f>
        <v/>
      </c>
      <c r="G725">
        <f>E725-F725</f>
        <v/>
      </c>
      <c r="H725">
        <f>Data!P760</f>
        <v/>
      </c>
      <c r="I725">
        <f>G725+H725</f>
        <v/>
      </c>
      <c r="J725">
        <f>F725+G725+H725</f>
        <v/>
      </c>
      <c r="K725">
        <f>Data!R760</f>
        <v/>
      </c>
      <c r="L725">
        <f>Data!T760</f>
        <v/>
      </c>
      <c r="M725">
        <f>AND(E725=0,F725=0,G725=0,H725=0,I725=0,J725=0,K725=0,L725=0)</f>
        <v/>
      </c>
      <c r="N725">
        <f>G725&lt;=$T$6</f>
        <v/>
      </c>
      <c r="O725">
        <f>G725&lt;=$T$12</f>
        <v/>
      </c>
      <c r="P725">
        <f>OR(AND(H725&gt;=$T$4,K725&lt;=$T$5,N725),M725)</f>
        <v/>
      </c>
      <c r="Q725">
        <f>OR(AND(I725&gt;=$T$10,K725&lt;=$T$11,O725),M725)</f>
        <v/>
      </c>
    </row>
    <row r="726">
      <c r="A726">
        <f>Data!E761</f>
        <v/>
      </c>
      <c r="B726">
        <f>Data!G761</f>
        <v/>
      </c>
      <c r="C726">
        <f>Data!H761</f>
        <v/>
      </c>
      <c r="D726">
        <f>Data!I761</f>
        <v/>
      </c>
      <c r="E726">
        <f>Data!M761</f>
        <v/>
      </c>
      <c r="F726">
        <f>Data!O761</f>
        <v/>
      </c>
      <c r="G726">
        <f>E726-F726</f>
        <v/>
      </c>
      <c r="H726">
        <f>Data!P761</f>
        <v/>
      </c>
      <c r="I726">
        <f>G726+H726</f>
        <v/>
      </c>
      <c r="J726">
        <f>F726+G726+H726</f>
        <v/>
      </c>
      <c r="K726">
        <f>Data!R761</f>
        <v/>
      </c>
      <c r="L726">
        <f>Data!T761</f>
        <v/>
      </c>
      <c r="M726">
        <f>AND(E726=0,F726=0,G726=0,H726=0,I726=0,J726=0,K726=0,L726=0)</f>
        <v/>
      </c>
      <c r="N726">
        <f>G726&lt;=$T$6</f>
        <v/>
      </c>
      <c r="O726">
        <f>G726&lt;=$T$12</f>
        <v/>
      </c>
      <c r="P726">
        <f>OR(AND(H726&gt;=$T$4,K726&lt;=$T$5,N726),M726)</f>
        <v/>
      </c>
      <c r="Q726">
        <f>OR(AND(I726&gt;=$T$10,K726&lt;=$T$11,O726),M726)</f>
        <v/>
      </c>
    </row>
    <row r="727">
      <c r="A727">
        <f>Data!E762</f>
        <v/>
      </c>
      <c r="B727">
        <f>Data!G762</f>
        <v/>
      </c>
      <c r="C727">
        <f>Data!H762</f>
        <v/>
      </c>
      <c r="D727">
        <f>Data!I762</f>
        <v/>
      </c>
      <c r="E727">
        <f>Data!M762</f>
        <v/>
      </c>
      <c r="F727">
        <f>Data!O762</f>
        <v/>
      </c>
      <c r="G727">
        <f>E727-F727</f>
        <v/>
      </c>
      <c r="H727">
        <f>Data!P762</f>
        <v/>
      </c>
      <c r="I727">
        <f>G727+H727</f>
        <v/>
      </c>
      <c r="J727">
        <f>F727+G727+H727</f>
        <v/>
      </c>
      <c r="K727">
        <f>Data!R762</f>
        <v/>
      </c>
      <c r="L727">
        <f>Data!T762</f>
        <v/>
      </c>
      <c r="M727">
        <f>AND(E727=0,F727=0,G727=0,H727=0,I727=0,J727=0,K727=0,L727=0)</f>
        <v/>
      </c>
      <c r="N727">
        <f>G727&lt;=$T$6</f>
        <v/>
      </c>
      <c r="O727">
        <f>G727&lt;=$T$12</f>
        <v/>
      </c>
      <c r="P727">
        <f>OR(AND(H727&gt;=$T$4,K727&lt;=$T$5,N727),M727)</f>
        <v/>
      </c>
      <c r="Q727">
        <f>OR(AND(I727&gt;=$T$10,K727&lt;=$T$11,O727),M727)</f>
        <v/>
      </c>
    </row>
    <row r="728">
      <c r="A728">
        <f>Data!E763</f>
        <v/>
      </c>
      <c r="B728">
        <f>Data!G763</f>
        <v/>
      </c>
      <c r="C728">
        <f>Data!H763</f>
        <v/>
      </c>
      <c r="D728">
        <f>Data!I763</f>
        <v/>
      </c>
      <c r="E728">
        <f>Data!M763</f>
        <v/>
      </c>
      <c r="F728">
        <f>Data!O763</f>
        <v/>
      </c>
      <c r="G728">
        <f>E728-F728</f>
        <v/>
      </c>
      <c r="H728">
        <f>Data!P763</f>
        <v/>
      </c>
      <c r="I728">
        <f>G728+H728</f>
        <v/>
      </c>
      <c r="J728">
        <f>F728+G728+H728</f>
        <v/>
      </c>
      <c r="K728">
        <f>Data!R763</f>
        <v/>
      </c>
      <c r="L728">
        <f>Data!T763</f>
        <v/>
      </c>
      <c r="M728">
        <f>AND(E728=0,F728=0,G728=0,H728=0,I728=0,J728=0,K728=0,L728=0)</f>
        <v/>
      </c>
      <c r="N728">
        <f>G728&lt;=$T$6</f>
        <v/>
      </c>
      <c r="O728">
        <f>G728&lt;=$T$12</f>
        <v/>
      </c>
      <c r="P728">
        <f>OR(AND(H728&gt;=$T$4,K728&lt;=$T$5,N728),M728)</f>
        <v/>
      </c>
      <c r="Q728">
        <f>OR(AND(I728&gt;=$T$10,K728&lt;=$T$11,O728),M728)</f>
        <v/>
      </c>
    </row>
    <row r="729">
      <c r="A729">
        <f>Data!E764</f>
        <v/>
      </c>
      <c r="B729">
        <f>Data!G764</f>
        <v/>
      </c>
      <c r="C729">
        <f>Data!H764</f>
        <v/>
      </c>
      <c r="D729">
        <f>Data!I764</f>
        <v/>
      </c>
      <c r="E729">
        <f>Data!M764</f>
        <v/>
      </c>
      <c r="F729">
        <f>Data!O764</f>
        <v/>
      </c>
      <c r="G729">
        <f>E729-F729</f>
        <v/>
      </c>
      <c r="H729">
        <f>Data!P764</f>
        <v/>
      </c>
      <c r="I729">
        <f>G729+H729</f>
        <v/>
      </c>
      <c r="J729">
        <f>F729+G729+H729</f>
        <v/>
      </c>
      <c r="K729">
        <f>Data!R764</f>
        <v/>
      </c>
      <c r="L729">
        <f>Data!T764</f>
        <v/>
      </c>
      <c r="M729">
        <f>AND(E729=0,F729=0,G729=0,H729=0,I729=0,J729=0,K729=0,L729=0)</f>
        <v/>
      </c>
      <c r="N729">
        <f>G729&lt;=$T$6</f>
        <v/>
      </c>
      <c r="O729">
        <f>G729&lt;=$T$12</f>
        <v/>
      </c>
      <c r="P729">
        <f>OR(AND(H729&gt;=$T$4,K729&lt;=$T$5,N729),M729)</f>
        <v/>
      </c>
      <c r="Q729">
        <f>OR(AND(I729&gt;=$T$10,K729&lt;=$T$11,O729),M729)</f>
        <v/>
      </c>
    </row>
    <row r="730">
      <c r="A730">
        <f>Data!E765</f>
        <v/>
      </c>
      <c r="B730">
        <f>Data!G765</f>
        <v/>
      </c>
      <c r="C730">
        <f>Data!H765</f>
        <v/>
      </c>
      <c r="D730">
        <f>Data!I765</f>
        <v/>
      </c>
      <c r="E730">
        <f>Data!M765</f>
        <v/>
      </c>
      <c r="F730">
        <f>Data!O765</f>
        <v/>
      </c>
      <c r="G730">
        <f>E730-F730</f>
        <v/>
      </c>
      <c r="H730">
        <f>Data!P765</f>
        <v/>
      </c>
      <c r="I730">
        <f>G730+H730</f>
        <v/>
      </c>
      <c r="J730">
        <f>F730+G730+H730</f>
        <v/>
      </c>
      <c r="K730">
        <f>Data!R765</f>
        <v/>
      </c>
      <c r="L730">
        <f>Data!T765</f>
        <v/>
      </c>
      <c r="M730">
        <f>AND(E730=0,F730=0,G730=0,H730=0,I730=0,J730=0,K730=0,L730=0)</f>
        <v/>
      </c>
      <c r="N730">
        <f>G730&lt;=$T$6</f>
        <v/>
      </c>
      <c r="O730">
        <f>G730&lt;=$T$12</f>
        <v/>
      </c>
      <c r="P730">
        <f>OR(AND(H730&gt;=$T$4,K730&lt;=$T$5,N730),M730)</f>
        <v/>
      </c>
      <c r="Q730">
        <f>OR(AND(I730&gt;=$T$10,K730&lt;=$T$11,O730),M730)</f>
        <v/>
      </c>
    </row>
    <row r="731">
      <c r="A731">
        <f>Data!E766</f>
        <v/>
      </c>
      <c r="B731">
        <f>Data!G766</f>
        <v/>
      </c>
      <c r="C731">
        <f>Data!H766</f>
        <v/>
      </c>
      <c r="D731">
        <f>Data!I766</f>
        <v/>
      </c>
      <c r="E731">
        <f>Data!M766</f>
        <v/>
      </c>
      <c r="F731">
        <f>Data!O766</f>
        <v/>
      </c>
      <c r="G731">
        <f>E731-F731</f>
        <v/>
      </c>
      <c r="H731">
        <f>Data!P766</f>
        <v/>
      </c>
      <c r="I731">
        <f>G731+H731</f>
        <v/>
      </c>
      <c r="J731">
        <f>F731+G731+H731</f>
        <v/>
      </c>
      <c r="K731">
        <f>Data!R766</f>
        <v/>
      </c>
      <c r="L731">
        <f>Data!T766</f>
        <v/>
      </c>
      <c r="M731">
        <f>AND(E731=0,F731=0,G731=0,H731=0,I731=0,J731=0,K731=0,L731=0)</f>
        <v/>
      </c>
      <c r="N731">
        <f>G731&lt;=$T$6</f>
        <v/>
      </c>
      <c r="O731">
        <f>G731&lt;=$T$12</f>
        <v/>
      </c>
      <c r="P731">
        <f>OR(AND(H731&gt;=$T$4,K731&lt;=$T$5,N731),M731)</f>
        <v/>
      </c>
      <c r="Q731">
        <f>OR(AND(I731&gt;=$T$10,K731&lt;=$T$11,O731),M731)</f>
        <v/>
      </c>
    </row>
    <row r="732">
      <c r="A732">
        <f>Data!E767</f>
        <v/>
      </c>
      <c r="B732">
        <f>Data!G767</f>
        <v/>
      </c>
      <c r="C732">
        <f>Data!H767</f>
        <v/>
      </c>
      <c r="D732">
        <f>Data!I767</f>
        <v/>
      </c>
      <c r="E732">
        <f>Data!M767</f>
        <v/>
      </c>
      <c r="F732">
        <f>Data!O767</f>
        <v/>
      </c>
      <c r="G732">
        <f>E732-F732</f>
        <v/>
      </c>
      <c r="H732">
        <f>Data!P767</f>
        <v/>
      </c>
      <c r="I732">
        <f>G732+H732</f>
        <v/>
      </c>
      <c r="J732">
        <f>F732+G732+H732</f>
        <v/>
      </c>
      <c r="K732">
        <f>Data!R767</f>
        <v/>
      </c>
      <c r="L732">
        <f>Data!T767</f>
        <v/>
      </c>
      <c r="M732">
        <f>AND(E732=0,F732=0,G732=0,H732=0,I732=0,J732=0,K732=0,L732=0)</f>
        <v/>
      </c>
      <c r="N732">
        <f>G732&lt;=$T$6</f>
        <v/>
      </c>
      <c r="O732">
        <f>G732&lt;=$T$12</f>
        <v/>
      </c>
      <c r="P732">
        <f>OR(AND(H732&gt;=$T$4,K732&lt;=$T$5,N732),M732)</f>
        <v/>
      </c>
      <c r="Q732">
        <f>OR(AND(I732&gt;=$T$10,K732&lt;=$T$11,O732),M732)</f>
        <v/>
      </c>
    </row>
    <row r="733">
      <c r="A733">
        <f>Data!E768</f>
        <v/>
      </c>
      <c r="B733">
        <f>Data!G768</f>
        <v/>
      </c>
      <c r="C733">
        <f>Data!H768</f>
        <v/>
      </c>
      <c r="D733">
        <f>Data!I768</f>
        <v/>
      </c>
      <c r="E733">
        <f>Data!M768</f>
        <v/>
      </c>
      <c r="F733">
        <f>Data!O768</f>
        <v/>
      </c>
      <c r="G733">
        <f>E733-F733</f>
        <v/>
      </c>
      <c r="H733">
        <f>Data!P768</f>
        <v/>
      </c>
      <c r="I733">
        <f>G733+H733</f>
        <v/>
      </c>
      <c r="J733">
        <f>F733+G733+H733</f>
        <v/>
      </c>
      <c r="K733">
        <f>Data!R768</f>
        <v/>
      </c>
      <c r="L733">
        <f>Data!T768</f>
        <v/>
      </c>
      <c r="M733">
        <f>AND(E733=0,F733=0,G733=0,H733=0,I733=0,J733=0,K733=0,L733=0)</f>
        <v/>
      </c>
      <c r="N733">
        <f>G733&lt;=$T$6</f>
        <v/>
      </c>
      <c r="O733">
        <f>G733&lt;=$T$12</f>
        <v/>
      </c>
      <c r="P733">
        <f>OR(AND(H733&gt;=$T$4,K733&lt;=$T$5,N733),M733)</f>
        <v/>
      </c>
      <c r="Q733">
        <f>OR(AND(I733&gt;=$T$10,K733&lt;=$T$11,O733),M733)</f>
        <v/>
      </c>
    </row>
    <row r="734">
      <c r="A734">
        <f>Data!E769</f>
        <v/>
      </c>
      <c r="B734">
        <f>Data!G769</f>
        <v/>
      </c>
      <c r="C734">
        <f>Data!H769</f>
        <v/>
      </c>
      <c r="D734">
        <f>Data!I769</f>
        <v/>
      </c>
      <c r="E734">
        <f>Data!M769</f>
        <v/>
      </c>
      <c r="F734">
        <f>Data!O769</f>
        <v/>
      </c>
      <c r="G734">
        <f>E734-F734</f>
        <v/>
      </c>
      <c r="H734">
        <f>Data!P769</f>
        <v/>
      </c>
      <c r="I734">
        <f>G734+H734</f>
        <v/>
      </c>
      <c r="J734">
        <f>F734+G734+H734</f>
        <v/>
      </c>
      <c r="K734">
        <f>Data!R769</f>
        <v/>
      </c>
      <c r="L734">
        <f>Data!T769</f>
        <v/>
      </c>
      <c r="M734">
        <f>AND(E734=0,F734=0,G734=0,H734=0,I734=0,J734=0,K734=0,L734=0)</f>
        <v/>
      </c>
      <c r="N734">
        <f>G734&lt;=$T$6</f>
        <v/>
      </c>
      <c r="O734">
        <f>G734&lt;=$T$12</f>
        <v/>
      </c>
      <c r="P734">
        <f>OR(AND(H734&gt;=$T$4,K734&lt;=$T$5,N734),M734)</f>
        <v/>
      </c>
      <c r="Q734">
        <f>OR(AND(I734&gt;=$T$10,K734&lt;=$T$11,O734),M734)</f>
        <v/>
      </c>
    </row>
    <row r="735">
      <c r="A735">
        <f>Data!E770</f>
        <v/>
      </c>
      <c r="B735">
        <f>Data!G770</f>
        <v/>
      </c>
      <c r="C735">
        <f>Data!H770</f>
        <v/>
      </c>
      <c r="D735">
        <f>Data!I770</f>
        <v/>
      </c>
      <c r="E735">
        <f>Data!M770</f>
        <v/>
      </c>
      <c r="F735">
        <f>Data!O770</f>
        <v/>
      </c>
      <c r="G735">
        <f>E735-F735</f>
        <v/>
      </c>
      <c r="H735">
        <f>Data!P770</f>
        <v/>
      </c>
      <c r="I735">
        <f>G735+H735</f>
        <v/>
      </c>
      <c r="J735">
        <f>F735+G735+H735</f>
        <v/>
      </c>
      <c r="K735">
        <f>Data!R770</f>
        <v/>
      </c>
      <c r="L735">
        <f>Data!T770</f>
        <v/>
      </c>
      <c r="M735">
        <f>AND(E735=0,F735=0,G735=0,H735=0,I735=0,J735=0,K735=0,L735=0)</f>
        <v/>
      </c>
      <c r="N735">
        <f>G735&lt;=$T$6</f>
        <v/>
      </c>
      <c r="O735">
        <f>G735&lt;=$T$12</f>
        <v/>
      </c>
      <c r="P735">
        <f>OR(AND(H735&gt;=$T$4,K735&lt;=$T$5,N735),M735)</f>
        <v/>
      </c>
      <c r="Q735">
        <f>OR(AND(I735&gt;=$T$10,K735&lt;=$T$11,O735),M735)</f>
        <v/>
      </c>
    </row>
    <row r="736">
      <c r="A736">
        <f>Data!E771</f>
        <v/>
      </c>
      <c r="B736">
        <f>Data!G771</f>
        <v/>
      </c>
      <c r="C736">
        <f>Data!H771</f>
        <v/>
      </c>
      <c r="D736">
        <f>Data!I771</f>
        <v/>
      </c>
      <c r="E736">
        <f>Data!M771</f>
        <v/>
      </c>
      <c r="F736">
        <f>Data!O771</f>
        <v/>
      </c>
      <c r="G736">
        <f>E736-F736</f>
        <v/>
      </c>
      <c r="H736">
        <f>Data!P771</f>
        <v/>
      </c>
      <c r="I736">
        <f>G736+H736</f>
        <v/>
      </c>
      <c r="J736">
        <f>F736+G736+H736</f>
        <v/>
      </c>
      <c r="K736">
        <f>Data!R771</f>
        <v/>
      </c>
      <c r="L736">
        <f>Data!T771</f>
        <v/>
      </c>
      <c r="M736">
        <f>AND(E736=0,F736=0,G736=0,H736=0,I736=0,J736=0,K736=0,L736=0)</f>
        <v/>
      </c>
      <c r="N736">
        <f>G736&lt;=$T$6</f>
        <v/>
      </c>
      <c r="O736">
        <f>G736&lt;=$T$12</f>
        <v/>
      </c>
      <c r="P736">
        <f>OR(AND(H736&gt;=$T$4,K736&lt;=$T$5,N736),M736)</f>
        <v/>
      </c>
      <c r="Q736">
        <f>OR(AND(I736&gt;=$T$10,K736&lt;=$T$11,O736),M736)</f>
        <v/>
      </c>
    </row>
    <row r="737">
      <c r="A737">
        <f>Data!E772</f>
        <v/>
      </c>
      <c r="B737">
        <f>Data!G772</f>
        <v/>
      </c>
      <c r="C737">
        <f>Data!H772</f>
        <v/>
      </c>
      <c r="D737">
        <f>Data!I772</f>
        <v/>
      </c>
      <c r="E737">
        <f>Data!M772</f>
        <v/>
      </c>
      <c r="F737">
        <f>Data!O772</f>
        <v/>
      </c>
      <c r="G737">
        <f>E737-F737</f>
        <v/>
      </c>
      <c r="H737">
        <f>Data!P772</f>
        <v/>
      </c>
      <c r="I737">
        <f>G737+H737</f>
        <v/>
      </c>
      <c r="J737">
        <f>F737+G737+H737</f>
        <v/>
      </c>
      <c r="K737">
        <f>Data!R772</f>
        <v/>
      </c>
      <c r="L737">
        <f>Data!T772</f>
        <v/>
      </c>
      <c r="M737">
        <f>AND(E737=0,F737=0,G737=0,H737=0,I737=0,J737=0,K737=0,L737=0)</f>
        <v/>
      </c>
      <c r="N737">
        <f>G737&lt;=$T$6</f>
        <v/>
      </c>
      <c r="O737">
        <f>G737&lt;=$T$12</f>
        <v/>
      </c>
      <c r="P737">
        <f>OR(AND(H737&gt;=$T$4,K737&lt;=$T$5,N737),M737)</f>
        <v/>
      </c>
      <c r="Q737">
        <f>OR(AND(I737&gt;=$T$10,K737&lt;=$T$11,O737),M737)</f>
        <v/>
      </c>
    </row>
    <row r="738">
      <c r="A738">
        <f>Data!E773</f>
        <v/>
      </c>
      <c r="B738">
        <f>Data!G773</f>
        <v/>
      </c>
      <c r="C738">
        <f>Data!H773</f>
        <v/>
      </c>
      <c r="D738">
        <f>Data!I773</f>
        <v/>
      </c>
      <c r="E738">
        <f>Data!M773</f>
        <v/>
      </c>
      <c r="F738">
        <f>Data!O773</f>
        <v/>
      </c>
      <c r="G738">
        <f>E738-F738</f>
        <v/>
      </c>
      <c r="H738">
        <f>Data!P773</f>
        <v/>
      </c>
      <c r="I738">
        <f>G738+H738</f>
        <v/>
      </c>
      <c r="J738">
        <f>F738+G738+H738</f>
        <v/>
      </c>
      <c r="K738">
        <f>Data!R773</f>
        <v/>
      </c>
      <c r="L738">
        <f>Data!T773</f>
        <v/>
      </c>
      <c r="M738">
        <f>AND(E738=0,F738=0,G738=0,H738=0,I738=0,J738=0,K738=0,L738=0)</f>
        <v/>
      </c>
      <c r="N738">
        <f>G738&lt;=$T$6</f>
        <v/>
      </c>
      <c r="O738">
        <f>G738&lt;=$T$12</f>
        <v/>
      </c>
      <c r="P738">
        <f>OR(AND(H738&gt;=$T$4,K738&lt;=$T$5,N738),M738)</f>
        <v/>
      </c>
      <c r="Q738">
        <f>OR(AND(I738&gt;=$T$10,K738&lt;=$T$11,O738),M738)</f>
        <v/>
      </c>
    </row>
    <row r="739">
      <c r="A739">
        <f>Data!E774</f>
        <v/>
      </c>
      <c r="B739">
        <f>Data!G774</f>
        <v/>
      </c>
      <c r="C739">
        <f>Data!H774</f>
        <v/>
      </c>
      <c r="D739">
        <f>Data!I774</f>
        <v/>
      </c>
      <c r="E739">
        <f>Data!M774</f>
        <v/>
      </c>
      <c r="F739">
        <f>Data!O774</f>
        <v/>
      </c>
      <c r="G739">
        <f>E739-F739</f>
        <v/>
      </c>
      <c r="H739">
        <f>Data!P774</f>
        <v/>
      </c>
      <c r="I739">
        <f>G739+H739</f>
        <v/>
      </c>
      <c r="J739">
        <f>F739+G739+H739</f>
        <v/>
      </c>
      <c r="K739">
        <f>Data!R774</f>
        <v/>
      </c>
      <c r="L739">
        <f>Data!T774</f>
        <v/>
      </c>
      <c r="M739">
        <f>AND(E739=0,F739=0,G739=0,H739=0,I739=0,J739=0,K739=0,L739=0)</f>
        <v/>
      </c>
      <c r="N739">
        <f>G739&lt;=$T$6</f>
        <v/>
      </c>
      <c r="O739">
        <f>G739&lt;=$T$12</f>
        <v/>
      </c>
      <c r="P739">
        <f>OR(AND(H739&gt;=$T$4,K739&lt;=$T$5,N739),M739)</f>
        <v/>
      </c>
      <c r="Q739">
        <f>OR(AND(I739&gt;=$T$10,K739&lt;=$T$11,O739),M739)</f>
        <v/>
      </c>
    </row>
    <row r="740">
      <c r="A740">
        <f>Data!E775</f>
        <v/>
      </c>
      <c r="B740">
        <f>Data!G775</f>
        <v/>
      </c>
      <c r="C740">
        <f>Data!H775</f>
        <v/>
      </c>
      <c r="D740">
        <f>Data!I775</f>
        <v/>
      </c>
      <c r="E740">
        <f>Data!M775</f>
        <v/>
      </c>
      <c r="F740">
        <f>Data!O775</f>
        <v/>
      </c>
      <c r="G740">
        <f>E740-F740</f>
        <v/>
      </c>
      <c r="H740">
        <f>Data!P775</f>
        <v/>
      </c>
      <c r="I740">
        <f>G740+H740</f>
        <v/>
      </c>
      <c r="J740">
        <f>F740+G740+H740</f>
        <v/>
      </c>
      <c r="K740">
        <f>Data!R775</f>
        <v/>
      </c>
      <c r="L740">
        <f>Data!T775</f>
        <v/>
      </c>
      <c r="M740">
        <f>AND(E740=0,F740=0,G740=0,H740=0,I740=0,J740=0,K740=0,L740=0)</f>
        <v/>
      </c>
      <c r="N740">
        <f>G740&lt;=$T$6</f>
        <v/>
      </c>
      <c r="O740">
        <f>G740&lt;=$T$12</f>
        <v/>
      </c>
      <c r="P740">
        <f>OR(AND(H740&gt;=$T$4,K740&lt;=$T$5,N740),M740)</f>
        <v/>
      </c>
      <c r="Q740">
        <f>OR(AND(I740&gt;=$T$10,K740&lt;=$T$11,O740),M740)</f>
        <v/>
      </c>
    </row>
    <row r="741">
      <c r="A741">
        <f>Data!E776</f>
        <v/>
      </c>
      <c r="B741">
        <f>Data!G776</f>
        <v/>
      </c>
      <c r="C741">
        <f>Data!H776</f>
        <v/>
      </c>
      <c r="D741">
        <f>Data!I776</f>
        <v/>
      </c>
      <c r="E741">
        <f>Data!M776</f>
        <v/>
      </c>
      <c r="F741">
        <f>Data!O776</f>
        <v/>
      </c>
      <c r="G741">
        <f>E741-F741</f>
        <v/>
      </c>
      <c r="H741">
        <f>Data!P776</f>
        <v/>
      </c>
      <c r="I741">
        <f>G741+H741</f>
        <v/>
      </c>
      <c r="J741">
        <f>F741+G741+H741</f>
        <v/>
      </c>
      <c r="K741">
        <f>Data!R776</f>
        <v/>
      </c>
      <c r="L741">
        <f>Data!T776</f>
        <v/>
      </c>
      <c r="M741">
        <f>AND(E741=0,F741=0,G741=0,H741=0,I741=0,J741=0,K741=0,L741=0)</f>
        <v/>
      </c>
      <c r="N741">
        <f>G741&lt;=$T$6</f>
        <v/>
      </c>
      <c r="O741">
        <f>G741&lt;=$T$12</f>
        <v/>
      </c>
      <c r="P741">
        <f>OR(AND(H741&gt;=$T$4,K741&lt;=$T$5,N741),M741)</f>
        <v/>
      </c>
      <c r="Q741">
        <f>OR(AND(I741&gt;=$T$10,K741&lt;=$T$11,O741),M741)</f>
        <v/>
      </c>
    </row>
    <row r="742">
      <c r="A742">
        <f>Data!E777</f>
        <v/>
      </c>
      <c r="B742">
        <f>Data!G777</f>
        <v/>
      </c>
      <c r="C742">
        <f>Data!H777</f>
        <v/>
      </c>
      <c r="D742">
        <f>Data!I777</f>
        <v/>
      </c>
      <c r="E742">
        <f>Data!M777</f>
        <v/>
      </c>
      <c r="F742">
        <f>Data!O777</f>
        <v/>
      </c>
      <c r="G742">
        <f>E742-F742</f>
        <v/>
      </c>
      <c r="H742">
        <f>Data!P777</f>
        <v/>
      </c>
      <c r="I742">
        <f>G742+H742</f>
        <v/>
      </c>
      <c r="J742">
        <f>F742+G742+H742</f>
        <v/>
      </c>
      <c r="K742">
        <f>Data!R777</f>
        <v/>
      </c>
      <c r="L742">
        <f>Data!T777</f>
        <v/>
      </c>
      <c r="M742">
        <f>AND(E742=0,F742=0,G742=0,H742=0,I742=0,J742=0,K742=0,L742=0)</f>
        <v/>
      </c>
      <c r="N742">
        <f>G742&lt;=$T$6</f>
        <v/>
      </c>
      <c r="O742">
        <f>G742&lt;=$T$12</f>
        <v/>
      </c>
      <c r="P742">
        <f>OR(AND(H742&gt;=$T$4,K742&lt;=$T$5,N742),M742)</f>
        <v/>
      </c>
      <c r="Q742">
        <f>OR(AND(I742&gt;=$T$10,K742&lt;=$T$11,O742),M742)</f>
        <v/>
      </c>
    </row>
    <row r="743">
      <c r="A743">
        <f>Data!E778</f>
        <v/>
      </c>
      <c r="B743">
        <f>Data!G778</f>
        <v/>
      </c>
      <c r="C743">
        <f>Data!H778</f>
        <v/>
      </c>
      <c r="D743">
        <f>Data!I778</f>
        <v/>
      </c>
      <c r="E743">
        <f>Data!M778</f>
        <v/>
      </c>
      <c r="F743">
        <f>Data!O778</f>
        <v/>
      </c>
      <c r="G743">
        <f>E743-F743</f>
        <v/>
      </c>
      <c r="H743">
        <f>Data!P778</f>
        <v/>
      </c>
      <c r="I743">
        <f>G743+H743</f>
        <v/>
      </c>
      <c r="J743">
        <f>F743+G743+H743</f>
        <v/>
      </c>
      <c r="K743">
        <f>Data!R778</f>
        <v/>
      </c>
      <c r="L743">
        <f>Data!T778</f>
        <v/>
      </c>
      <c r="M743">
        <f>AND(E743=0,F743=0,G743=0,H743=0,I743=0,J743=0,K743=0,L743=0)</f>
        <v/>
      </c>
      <c r="N743">
        <f>G743&lt;=$T$6</f>
        <v/>
      </c>
      <c r="O743">
        <f>G743&lt;=$T$12</f>
        <v/>
      </c>
      <c r="P743">
        <f>OR(AND(H743&gt;=$T$4,K743&lt;=$T$5,N743),M743)</f>
        <v/>
      </c>
      <c r="Q743">
        <f>OR(AND(I743&gt;=$T$10,K743&lt;=$T$11,O743),M743)</f>
        <v/>
      </c>
    </row>
    <row r="744">
      <c r="A744">
        <f>Data!E779</f>
        <v/>
      </c>
      <c r="B744">
        <f>Data!G779</f>
        <v/>
      </c>
      <c r="C744">
        <f>Data!H779</f>
        <v/>
      </c>
      <c r="D744">
        <f>Data!I779</f>
        <v/>
      </c>
      <c r="E744">
        <f>Data!M779</f>
        <v/>
      </c>
      <c r="F744">
        <f>Data!O779</f>
        <v/>
      </c>
      <c r="G744">
        <f>E744-F744</f>
        <v/>
      </c>
      <c r="H744">
        <f>Data!P779</f>
        <v/>
      </c>
      <c r="I744">
        <f>G744+H744</f>
        <v/>
      </c>
      <c r="J744">
        <f>F744+G744+H744</f>
        <v/>
      </c>
      <c r="K744">
        <f>Data!R779</f>
        <v/>
      </c>
      <c r="L744">
        <f>Data!T779</f>
        <v/>
      </c>
      <c r="M744">
        <f>AND(E744=0,F744=0,G744=0,H744=0,I744=0,J744=0,K744=0,L744=0)</f>
        <v/>
      </c>
      <c r="N744">
        <f>G744&lt;=$T$6</f>
        <v/>
      </c>
      <c r="O744">
        <f>G744&lt;=$T$12</f>
        <v/>
      </c>
      <c r="P744">
        <f>OR(AND(H744&gt;=$T$4,K744&lt;=$T$5,N744),M744)</f>
        <v/>
      </c>
      <c r="Q744">
        <f>OR(AND(I744&gt;=$T$10,K744&lt;=$T$11,O744),M744)</f>
        <v/>
      </c>
    </row>
    <row r="745">
      <c r="A745">
        <f>Data!E780</f>
        <v/>
      </c>
      <c r="B745">
        <f>Data!G780</f>
        <v/>
      </c>
      <c r="C745">
        <f>Data!H780</f>
        <v/>
      </c>
      <c r="D745">
        <f>Data!I780</f>
        <v/>
      </c>
      <c r="E745">
        <f>Data!M780</f>
        <v/>
      </c>
      <c r="F745">
        <f>Data!O780</f>
        <v/>
      </c>
      <c r="G745">
        <f>E745-F745</f>
        <v/>
      </c>
      <c r="H745">
        <f>Data!P780</f>
        <v/>
      </c>
      <c r="I745">
        <f>G745+H745</f>
        <v/>
      </c>
      <c r="J745">
        <f>F745+G745+H745</f>
        <v/>
      </c>
      <c r="K745">
        <f>Data!R780</f>
        <v/>
      </c>
      <c r="L745">
        <f>Data!T780</f>
        <v/>
      </c>
      <c r="M745">
        <f>AND(E745=0,F745=0,G745=0,H745=0,I745=0,J745=0,K745=0,L745=0)</f>
        <v/>
      </c>
      <c r="N745">
        <f>G745&lt;=$T$6</f>
        <v/>
      </c>
      <c r="O745">
        <f>G745&lt;=$T$12</f>
        <v/>
      </c>
      <c r="P745">
        <f>OR(AND(H745&gt;=$T$4,K745&lt;=$T$5,N745),M745)</f>
        <v/>
      </c>
      <c r="Q745">
        <f>OR(AND(I745&gt;=$T$10,K745&lt;=$T$11,O745),M745)</f>
        <v/>
      </c>
    </row>
    <row r="746">
      <c r="A746">
        <f>Data!E782</f>
        <v/>
      </c>
      <c r="B746">
        <f>Data!G782</f>
        <v/>
      </c>
      <c r="C746">
        <f>Data!H782</f>
        <v/>
      </c>
      <c r="D746">
        <f>Data!I782</f>
        <v/>
      </c>
      <c r="E746">
        <f>Data!M782</f>
        <v/>
      </c>
      <c r="F746">
        <f>Data!O782</f>
        <v/>
      </c>
      <c r="G746">
        <f>E746-F746</f>
        <v/>
      </c>
      <c r="H746">
        <f>Data!P782</f>
        <v/>
      </c>
      <c r="I746">
        <f>G746+H746</f>
        <v/>
      </c>
      <c r="J746">
        <f>F746+G746+H746</f>
        <v/>
      </c>
      <c r="K746">
        <f>Data!R782</f>
        <v/>
      </c>
      <c r="L746">
        <f>Data!T782</f>
        <v/>
      </c>
      <c r="M746">
        <f>AND(E746=0,F746=0,G746=0,H746=0,I746=0,J746=0,K746=0,L746=0)</f>
        <v/>
      </c>
      <c r="N746">
        <f>G746&lt;=$T$6</f>
        <v/>
      </c>
      <c r="O746">
        <f>G746&lt;=$T$12</f>
        <v/>
      </c>
      <c r="P746">
        <f>OR(AND(H746&gt;=$T$4,K746&lt;=$T$5,N746),M746)</f>
        <v/>
      </c>
      <c r="Q746">
        <f>OR(AND(I746&gt;=$T$10,K746&lt;=$T$11,O746),M746)</f>
        <v/>
      </c>
    </row>
    <row r="747">
      <c r="A747">
        <f>Data!E783</f>
        <v/>
      </c>
      <c r="B747">
        <f>Data!G783</f>
        <v/>
      </c>
      <c r="C747">
        <f>Data!H783</f>
        <v/>
      </c>
      <c r="D747">
        <f>Data!I783</f>
        <v/>
      </c>
      <c r="E747">
        <f>Data!M783</f>
        <v/>
      </c>
      <c r="F747">
        <f>Data!O783</f>
        <v/>
      </c>
      <c r="G747">
        <f>E747-F747</f>
        <v/>
      </c>
      <c r="H747">
        <f>Data!P783</f>
        <v/>
      </c>
      <c r="I747">
        <f>G747+H747</f>
        <v/>
      </c>
      <c r="J747">
        <f>F747+G747+H747</f>
        <v/>
      </c>
      <c r="K747">
        <f>Data!R783</f>
        <v/>
      </c>
      <c r="L747">
        <f>Data!T783</f>
        <v/>
      </c>
      <c r="M747">
        <f>AND(E747=0,F747=0,G747=0,H747=0,I747=0,J747=0,K747=0,L747=0)</f>
        <v/>
      </c>
      <c r="N747">
        <f>G747&lt;=$T$6</f>
        <v/>
      </c>
      <c r="O747">
        <f>G747&lt;=$T$12</f>
        <v/>
      </c>
      <c r="P747">
        <f>OR(AND(H747&gt;=$T$4,K747&lt;=$T$5,N747),M747)</f>
        <v/>
      </c>
      <c r="Q747">
        <f>OR(AND(I747&gt;=$T$10,K747&lt;=$T$11,O747),M747)</f>
        <v/>
      </c>
    </row>
    <row r="748">
      <c r="A748">
        <f>Data!E784</f>
        <v/>
      </c>
      <c r="B748">
        <f>Data!G784</f>
        <v/>
      </c>
      <c r="C748">
        <f>Data!H784</f>
        <v/>
      </c>
      <c r="D748">
        <f>Data!I784</f>
        <v/>
      </c>
      <c r="E748">
        <f>Data!M784</f>
        <v/>
      </c>
      <c r="F748">
        <f>Data!O784</f>
        <v/>
      </c>
      <c r="G748">
        <f>E748-F748</f>
        <v/>
      </c>
      <c r="H748">
        <f>Data!P784</f>
        <v/>
      </c>
      <c r="I748">
        <f>G748+H748</f>
        <v/>
      </c>
      <c r="J748">
        <f>F748+G748+H748</f>
        <v/>
      </c>
      <c r="K748">
        <f>Data!R784</f>
        <v/>
      </c>
      <c r="L748">
        <f>Data!T784</f>
        <v/>
      </c>
      <c r="M748">
        <f>AND(E748=0,F748=0,G748=0,H748=0,I748=0,J748=0,K748=0,L748=0)</f>
        <v/>
      </c>
      <c r="N748">
        <f>G748&lt;=$T$6</f>
        <v/>
      </c>
      <c r="O748">
        <f>G748&lt;=$T$12</f>
        <v/>
      </c>
      <c r="P748">
        <f>OR(AND(H748&gt;=$T$4,K748&lt;=$T$5,N748),M748)</f>
        <v/>
      </c>
      <c r="Q748">
        <f>OR(AND(I748&gt;=$T$10,K748&lt;=$T$11,O748),M748)</f>
        <v/>
      </c>
    </row>
    <row r="749">
      <c r="A749">
        <f>Data!E785</f>
        <v/>
      </c>
      <c r="B749">
        <f>Data!G785</f>
        <v/>
      </c>
      <c r="C749">
        <f>Data!H785</f>
        <v/>
      </c>
      <c r="D749">
        <f>Data!I785</f>
        <v/>
      </c>
      <c r="E749">
        <f>Data!M785</f>
        <v/>
      </c>
      <c r="F749">
        <f>Data!O785</f>
        <v/>
      </c>
      <c r="G749">
        <f>E749-F749</f>
        <v/>
      </c>
      <c r="H749">
        <f>Data!P785</f>
        <v/>
      </c>
      <c r="I749">
        <f>G749+H749</f>
        <v/>
      </c>
      <c r="J749">
        <f>F749+G749+H749</f>
        <v/>
      </c>
      <c r="K749">
        <f>Data!R785</f>
        <v/>
      </c>
      <c r="L749">
        <f>Data!T785</f>
        <v/>
      </c>
      <c r="M749">
        <f>AND(E749=0,F749=0,G749=0,H749=0,I749=0,J749=0,K749=0,L749=0)</f>
        <v/>
      </c>
      <c r="N749">
        <f>G749&lt;=$T$6</f>
        <v/>
      </c>
      <c r="O749">
        <f>G749&lt;=$T$12</f>
        <v/>
      </c>
      <c r="P749">
        <f>OR(AND(H749&gt;=$T$4,K749&lt;=$T$5,N749),M749)</f>
        <v/>
      </c>
      <c r="Q749">
        <f>OR(AND(I749&gt;=$T$10,K749&lt;=$T$11,O749),M749)</f>
        <v/>
      </c>
    </row>
    <row r="750">
      <c r="A750">
        <f>Data!E786</f>
        <v/>
      </c>
      <c r="B750">
        <f>Data!G786</f>
        <v/>
      </c>
      <c r="C750">
        <f>Data!H786</f>
        <v/>
      </c>
      <c r="D750">
        <f>Data!I786</f>
        <v/>
      </c>
      <c r="E750">
        <f>Data!M786</f>
        <v/>
      </c>
      <c r="F750">
        <f>Data!O786</f>
        <v/>
      </c>
      <c r="G750">
        <f>E750-F750</f>
        <v/>
      </c>
      <c r="H750">
        <f>Data!P786</f>
        <v/>
      </c>
      <c r="I750">
        <f>G750+H750</f>
        <v/>
      </c>
      <c r="J750">
        <f>F750+G750+H750</f>
        <v/>
      </c>
      <c r="K750">
        <f>Data!R786</f>
        <v/>
      </c>
      <c r="L750">
        <f>Data!T786</f>
        <v/>
      </c>
      <c r="M750">
        <f>AND(E750=0,F750=0,G750=0,H750=0,I750=0,J750=0,K750=0,L750=0)</f>
        <v/>
      </c>
      <c r="N750">
        <f>G750&lt;=$T$6</f>
        <v/>
      </c>
      <c r="O750">
        <f>G750&lt;=$T$12</f>
        <v/>
      </c>
      <c r="P750">
        <f>OR(AND(H750&gt;=$T$4,K750&lt;=$T$5,N750),M750)</f>
        <v/>
      </c>
      <c r="Q750">
        <f>OR(AND(I750&gt;=$T$10,K750&lt;=$T$11,O750),M750)</f>
        <v/>
      </c>
    </row>
    <row r="751">
      <c r="A751">
        <f>Data!E787</f>
        <v/>
      </c>
      <c r="B751">
        <f>Data!G787</f>
        <v/>
      </c>
      <c r="C751">
        <f>Data!H787</f>
        <v/>
      </c>
      <c r="D751">
        <f>Data!I787</f>
        <v/>
      </c>
      <c r="E751">
        <f>Data!M787</f>
        <v/>
      </c>
      <c r="F751">
        <f>Data!O787</f>
        <v/>
      </c>
      <c r="G751">
        <f>E751-F751</f>
        <v/>
      </c>
      <c r="H751">
        <f>Data!P787</f>
        <v/>
      </c>
      <c r="I751">
        <f>G751+H751</f>
        <v/>
      </c>
      <c r="J751">
        <f>F751+G751+H751</f>
        <v/>
      </c>
      <c r="K751">
        <f>Data!R787</f>
        <v/>
      </c>
      <c r="L751">
        <f>Data!T787</f>
        <v/>
      </c>
      <c r="M751">
        <f>AND(E751=0,F751=0,G751=0,H751=0,I751=0,J751=0,K751=0,L751=0)</f>
        <v/>
      </c>
      <c r="N751">
        <f>G751&lt;=$T$6</f>
        <v/>
      </c>
      <c r="O751">
        <f>G751&lt;=$T$12</f>
        <v/>
      </c>
      <c r="P751">
        <f>OR(AND(H751&gt;=$T$4,K751&lt;=$T$5,N751),M751)</f>
        <v/>
      </c>
      <c r="Q751">
        <f>OR(AND(I751&gt;=$T$10,K751&lt;=$T$11,O751),M751)</f>
        <v/>
      </c>
    </row>
    <row r="752">
      <c r="A752">
        <f>Data!E788</f>
        <v/>
      </c>
      <c r="B752">
        <f>Data!G788</f>
        <v/>
      </c>
      <c r="C752">
        <f>Data!H788</f>
        <v/>
      </c>
      <c r="D752">
        <f>Data!I788</f>
        <v/>
      </c>
      <c r="E752">
        <f>Data!M788</f>
        <v/>
      </c>
      <c r="F752">
        <f>Data!O788</f>
        <v/>
      </c>
      <c r="G752">
        <f>E752-F752</f>
        <v/>
      </c>
      <c r="H752">
        <f>Data!P788</f>
        <v/>
      </c>
      <c r="I752">
        <f>G752+H752</f>
        <v/>
      </c>
      <c r="J752">
        <f>F752+G752+H752</f>
        <v/>
      </c>
      <c r="K752">
        <f>Data!R788</f>
        <v/>
      </c>
      <c r="L752">
        <f>Data!T788</f>
        <v/>
      </c>
      <c r="M752">
        <f>AND(E752=0,F752=0,G752=0,H752=0,I752=0,J752=0,K752=0,L752=0)</f>
        <v/>
      </c>
      <c r="N752">
        <f>G752&lt;=$T$6</f>
        <v/>
      </c>
      <c r="O752">
        <f>G752&lt;=$T$12</f>
        <v/>
      </c>
      <c r="P752">
        <f>OR(AND(H752&gt;=$T$4,K752&lt;=$T$5,N752),M752)</f>
        <v/>
      </c>
      <c r="Q752">
        <f>OR(AND(I752&gt;=$T$10,K752&lt;=$T$11,O752),M752)</f>
        <v/>
      </c>
    </row>
    <row r="753">
      <c r="A753">
        <f>Data!E789</f>
        <v/>
      </c>
      <c r="B753">
        <f>Data!G789</f>
        <v/>
      </c>
      <c r="C753">
        <f>Data!H789</f>
        <v/>
      </c>
      <c r="D753">
        <f>Data!I789</f>
        <v/>
      </c>
      <c r="E753">
        <f>Data!M789</f>
        <v/>
      </c>
      <c r="F753">
        <f>Data!O789</f>
        <v/>
      </c>
      <c r="G753">
        <f>E753-F753</f>
        <v/>
      </c>
      <c r="H753">
        <f>Data!P789</f>
        <v/>
      </c>
      <c r="I753">
        <f>G753+H753</f>
        <v/>
      </c>
      <c r="J753">
        <f>F753+G753+H753</f>
        <v/>
      </c>
      <c r="K753">
        <f>Data!R789</f>
        <v/>
      </c>
      <c r="L753">
        <f>Data!T789</f>
        <v/>
      </c>
      <c r="M753">
        <f>AND(E753=0,F753=0,G753=0,H753=0,I753=0,J753=0,K753=0,L753=0)</f>
        <v/>
      </c>
      <c r="N753">
        <f>G753&lt;=$T$6</f>
        <v/>
      </c>
      <c r="O753">
        <f>G753&lt;=$T$12</f>
        <v/>
      </c>
      <c r="P753">
        <f>OR(AND(H753&gt;=$T$4,K753&lt;=$T$5,N753),M753)</f>
        <v/>
      </c>
      <c r="Q753">
        <f>OR(AND(I753&gt;=$T$10,K753&lt;=$T$11,O753),M753)</f>
        <v/>
      </c>
    </row>
    <row r="754">
      <c r="A754">
        <f>Data!E790</f>
        <v/>
      </c>
      <c r="B754">
        <f>Data!G790</f>
        <v/>
      </c>
      <c r="C754">
        <f>Data!H790</f>
        <v/>
      </c>
      <c r="D754">
        <f>Data!I790</f>
        <v/>
      </c>
      <c r="E754">
        <f>Data!M790</f>
        <v/>
      </c>
      <c r="F754">
        <f>Data!O790</f>
        <v/>
      </c>
      <c r="G754">
        <f>E754-F754</f>
        <v/>
      </c>
      <c r="H754">
        <f>Data!P790</f>
        <v/>
      </c>
      <c r="I754">
        <f>G754+H754</f>
        <v/>
      </c>
      <c r="J754">
        <f>F754+G754+H754</f>
        <v/>
      </c>
      <c r="K754">
        <f>Data!R790</f>
        <v/>
      </c>
      <c r="L754">
        <f>Data!T790</f>
        <v/>
      </c>
      <c r="M754">
        <f>AND(E754=0,F754=0,G754=0,H754=0,I754=0,J754=0,K754=0,L754=0)</f>
        <v/>
      </c>
      <c r="N754">
        <f>G754&lt;=$T$6</f>
        <v/>
      </c>
      <c r="O754">
        <f>G754&lt;=$T$12</f>
        <v/>
      </c>
      <c r="P754">
        <f>OR(AND(H754&gt;=$T$4,K754&lt;=$T$5,N754),M754)</f>
        <v/>
      </c>
      <c r="Q754">
        <f>OR(AND(I754&gt;=$T$10,K754&lt;=$T$11,O754),M754)</f>
        <v/>
      </c>
    </row>
    <row r="755">
      <c r="A755">
        <f>Data!E791</f>
        <v/>
      </c>
      <c r="B755">
        <f>Data!G791</f>
        <v/>
      </c>
      <c r="C755">
        <f>Data!H791</f>
        <v/>
      </c>
      <c r="D755">
        <f>Data!I791</f>
        <v/>
      </c>
      <c r="E755">
        <f>Data!M791</f>
        <v/>
      </c>
      <c r="F755">
        <f>Data!O791</f>
        <v/>
      </c>
      <c r="G755">
        <f>E755-F755</f>
        <v/>
      </c>
      <c r="H755">
        <f>Data!P791</f>
        <v/>
      </c>
      <c r="I755">
        <f>G755+H755</f>
        <v/>
      </c>
      <c r="J755">
        <f>F755+G755+H755</f>
        <v/>
      </c>
      <c r="K755">
        <f>Data!R791</f>
        <v/>
      </c>
      <c r="L755">
        <f>Data!T791</f>
        <v/>
      </c>
      <c r="M755">
        <f>AND(E755=0,F755=0,G755=0,H755=0,I755=0,J755=0,K755=0,L755=0)</f>
        <v/>
      </c>
      <c r="N755">
        <f>G755&lt;=$T$6</f>
        <v/>
      </c>
      <c r="O755">
        <f>G755&lt;=$T$12</f>
        <v/>
      </c>
      <c r="P755">
        <f>OR(AND(H755&gt;=$T$4,K755&lt;=$T$5,N755),M755)</f>
        <v/>
      </c>
      <c r="Q755">
        <f>OR(AND(I755&gt;=$T$10,K755&lt;=$T$11,O755),M755)</f>
        <v/>
      </c>
    </row>
    <row r="756">
      <c r="A756">
        <f>Data!E792</f>
        <v/>
      </c>
      <c r="B756">
        <f>Data!G792</f>
        <v/>
      </c>
      <c r="C756">
        <f>Data!H792</f>
        <v/>
      </c>
      <c r="D756">
        <f>Data!I792</f>
        <v/>
      </c>
      <c r="E756">
        <f>Data!M792</f>
        <v/>
      </c>
      <c r="F756">
        <f>Data!O792</f>
        <v/>
      </c>
      <c r="G756">
        <f>E756-F756</f>
        <v/>
      </c>
      <c r="H756">
        <f>Data!P792</f>
        <v/>
      </c>
      <c r="I756">
        <f>G756+H756</f>
        <v/>
      </c>
      <c r="J756">
        <f>F756+G756+H756</f>
        <v/>
      </c>
      <c r="K756">
        <f>Data!R792</f>
        <v/>
      </c>
      <c r="L756">
        <f>Data!T792</f>
        <v/>
      </c>
      <c r="M756">
        <f>AND(E756=0,F756=0,G756=0,H756=0,I756=0,J756=0,K756=0,L756=0)</f>
        <v/>
      </c>
      <c r="N756">
        <f>G756&lt;=$T$6</f>
        <v/>
      </c>
      <c r="O756">
        <f>G756&lt;=$T$12</f>
        <v/>
      </c>
      <c r="P756">
        <f>OR(AND(H756&gt;=$T$4,K756&lt;=$T$5,N756),M756)</f>
        <v/>
      </c>
      <c r="Q756">
        <f>OR(AND(I756&gt;=$T$10,K756&lt;=$T$11,O756),M756)</f>
        <v/>
      </c>
    </row>
    <row r="757">
      <c r="A757">
        <f>Data!E793</f>
        <v/>
      </c>
      <c r="B757">
        <f>Data!G793</f>
        <v/>
      </c>
      <c r="C757">
        <f>Data!H793</f>
        <v/>
      </c>
      <c r="D757">
        <f>Data!I793</f>
        <v/>
      </c>
      <c r="E757">
        <f>Data!M793</f>
        <v/>
      </c>
      <c r="F757">
        <f>Data!O793</f>
        <v/>
      </c>
      <c r="G757">
        <f>E757-F757</f>
        <v/>
      </c>
      <c r="H757">
        <f>Data!P793</f>
        <v/>
      </c>
      <c r="I757">
        <f>G757+H757</f>
        <v/>
      </c>
      <c r="J757">
        <f>F757+G757+H757</f>
        <v/>
      </c>
      <c r="K757">
        <f>Data!R793</f>
        <v/>
      </c>
      <c r="L757">
        <f>Data!T793</f>
        <v/>
      </c>
      <c r="M757">
        <f>AND(E757=0,F757=0,G757=0,H757=0,I757=0,J757=0,K757=0,L757=0)</f>
        <v/>
      </c>
      <c r="N757">
        <f>G757&lt;=$T$6</f>
        <v/>
      </c>
      <c r="O757">
        <f>G757&lt;=$T$12</f>
        <v/>
      </c>
      <c r="P757">
        <f>OR(AND(H757&gt;=$T$4,K757&lt;=$T$5,N757),M757)</f>
        <v/>
      </c>
      <c r="Q757">
        <f>OR(AND(I757&gt;=$T$10,K757&lt;=$T$11,O757),M757)</f>
        <v/>
      </c>
    </row>
    <row r="758">
      <c r="A758">
        <f>Data!E795</f>
        <v/>
      </c>
      <c r="B758">
        <f>Data!G795</f>
        <v/>
      </c>
      <c r="C758">
        <f>Data!H795</f>
        <v/>
      </c>
      <c r="D758">
        <f>Data!I795</f>
        <v/>
      </c>
      <c r="E758">
        <f>Data!M795</f>
        <v/>
      </c>
      <c r="F758">
        <f>Data!O795</f>
        <v/>
      </c>
      <c r="G758">
        <f>E758-F758</f>
        <v/>
      </c>
      <c r="H758">
        <f>Data!P795</f>
        <v/>
      </c>
      <c r="I758">
        <f>G758+H758</f>
        <v/>
      </c>
      <c r="J758">
        <f>F758+G758+H758</f>
        <v/>
      </c>
      <c r="K758">
        <f>Data!R795</f>
        <v/>
      </c>
      <c r="L758">
        <f>Data!T795</f>
        <v/>
      </c>
      <c r="M758">
        <f>AND(E758=0,F758=0,G758=0,H758=0,I758=0,J758=0,K758=0,L758=0)</f>
        <v/>
      </c>
      <c r="N758">
        <f>G758&lt;=$T$6</f>
        <v/>
      </c>
      <c r="O758">
        <f>G758&lt;=$T$12</f>
        <v/>
      </c>
      <c r="P758">
        <f>OR(AND(H758&gt;=$T$4,K758&lt;=$T$5,N758),M758)</f>
        <v/>
      </c>
      <c r="Q758">
        <f>OR(AND(I758&gt;=$T$10,K758&lt;=$T$11,O758),M758)</f>
        <v/>
      </c>
    </row>
    <row r="759">
      <c r="A759">
        <f>Data!E796</f>
        <v/>
      </c>
      <c r="B759">
        <f>Data!G796</f>
        <v/>
      </c>
      <c r="C759">
        <f>Data!H796</f>
        <v/>
      </c>
      <c r="D759">
        <f>Data!I796</f>
        <v/>
      </c>
      <c r="E759">
        <f>Data!M796</f>
        <v/>
      </c>
      <c r="F759">
        <f>Data!O796</f>
        <v/>
      </c>
      <c r="G759">
        <f>E759-F759</f>
        <v/>
      </c>
      <c r="H759">
        <f>Data!P796</f>
        <v/>
      </c>
      <c r="I759">
        <f>G759+H759</f>
        <v/>
      </c>
      <c r="J759">
        <f>F759+G759+H759</f>
        <v/>
      </c>
      <c r="K759">
        <f>Data!R796</f>
        <v/>
      </c>
      <c r="L759">
        <f>Data!T796</f>
        <v/>
      </c>
      <c r="M759">
        <f>AND(E759=0,F759=0,G759=0,H759=0,I759=0,J759=0,K759=0,L759=0)</f>
        <v/>
      </c>
      <c r="N759">
        <f>G759&lt;=$T$6</f>
        <v/>
      </c>
      <c r="O759">
        <f>G759&lt;=$T$12</f>
        <v/>
      </c>
      <c r="P759">
        <f>OR(AND(H759&gt;=$T$4,K759&lt;=$T$5,N759),M759)</f>
        <v/>
      </c>
      <c r="Q759">
        <f>OR(AND(I759&gt;=$T$10,K759&lt;=$T$11,O759),M759)</f>
        <v/>
      </c>
    </row>
    <row r="760">
      <c r="A760">
        <f>Data!E797</f>
        <v/>
      </c>
      <c r="B760">
        <f>Data!G797</f>
        <v/>
      </c>
      <c r="C760">
        <f>Data!H797</f>
        <v/>
      </c>
      <c r="D760">
        <f>Data!I797</f>
        <v/>
      </c>
      <c r="E760">
        <f>Data!M797</f>
        <v/>
      </c>
      <c r="F760">
        <f>Data!O797</f>
        <v/>
      </c>
      <c r="G760">
        <f>E760-F760</f>
        <v/>
      </c>
      <c r="H760">
        <f>Data!P797</f>
        <v/>
      </c>
      <c r="I760">
        <f>G760+H760</f>
        <v/>
      </c>
      <c r="J760">
        <f>F760+G760+H760</f>
        <v/>
      </c>
      <c r="K760">
        <f>Data!R797</f>
        <v/>
      </c>
      <c r="L760">
        <f>Data!T797</f>
        <v/>
      </c>
      <c r="M760">
        <f>AND(E760=0,F760=0,G760=0,H760=0,I760=0,J760=0,K760=0,L760=0)</f>
        <v/>
      </c>
      <c r="N760">
        <f>G760&lt;=$T$6</f>
        <v/>
      </c>
      <c r="O760">
        <f>G760&lt;=$T$12</f>
        <v/>
      </c>
      <c r="P760">
        <f>OR(AND(H760&gt;=$T$4,K760&lt;=$T$5,N760),M760)</f>
        <v/>
      </c>
      <c r="Q760">
        <f>OR(AND(I760&gt;=$T$10,K760&lt;=$T$11,O760),M760)</f>
        <v/>
      </c>
    </row>
    <row r="761">
      <c r="A761">
        <f>Data!E798</f>
        <v/>
      </c>
      <c r="B761">
        <f>Data!G798</f>
        <v/>
      </c>
      <c r="C761">
        <f>Data!H798</f>
        <v/>
      </c>
      <c r="D761">
        <f>Data!I798</f>
        <v/>
      </c>
      <c r="E761">
        <f>Data!M798</f>
        <v/>
      </c>
      <c r="F761">
        <f>Data!O798</f>
        <v/>
      </c>
      <c r="G761">
        <f>E761-F761</f>
        <v/>
      </c>
      <c r="H761">
        <f>Data!P798</f>
        <v/>
      </c>
      <c r="I761">
        <f>G761+H761</f>
        <v/>
      </c>
      <c r="J761">
        <f>F761+G761+H761</f>
        <v/>
      </c>
      <c r="K761">
        <f>Data!R798</f>
        <v/>
      </c>
      <c r="L761">
        <f>Data!T798</f>
        <v/>
      </c>
      <c r="M761">
        <f>AND(E761=0,F761=0,G761=0,H761=0,I761=0,J761=0,K761=0,L761=0)</f>
        <v/>
      </c>
      <c r="N761">
        <f>G761&lt;=$T$6</f>
        <v/>
      </c>
      <c r="O761">
        <f>G761&lt;=$T$12</f>
        <v/>
      </c>
      <c r="P761">
        <f>OR(AND(H761&gt;=$T$4,K761&lt;=$T$5,N761),M761)</f>
        <v/>
      </c>
      <c r="Q761">
        <f>OR(AND(I761&gt;=$T$10,K761&lt;=$T$11,O761),M761)</f>
        <v/>
      </c>
    </row>
    <row r="762">
      <c r="A762">
        <f>Data!E799</f>
        <v/>
      </c>
      <c r="B762">
        <f>Data!G799</f>
        <v/>
      </c>
      <c r="C762">
        <f>Data!H799</f>
        <v/>
      </c>
      <c r="D762">
        <f>Data!I799</f>
        <v/>
      </c>
      <c r="E762">
        <f>Data!M799</f>
        <v/>
      </c>
      <c r="F762">
        <f>Data!O799</f>
        <v/>
      </c>
      <c r="G762">
        <f>E762-F762</f>
        <v/>
      </c>
      <c r="H762">
        <f>Data!P799</f>
        <v/>
      </c>
      <c r="I762">
        <f>G762+H762</f>
        <v/>
      </c>
      <c r="J762">
        <f>F762+G762+H762</f>
        <v/>
      </c>
      <c r="K762">
        <f>Data!R799</f>
        <v/>
      </c>
      <c r="L762">
        <f>Data!T799</f>
        <v/>
      </c>
      <c r="M762">
        <f>AND(E762=0,F762=0,G762=0,H762=0,I762=0,J762=0,K762=0,L762=0)</f>
        <v/>
      </c>
      <c r="N762">
        <f>G762&lt;=$T$6</f>
        <v/>
      </c>
      <c r="O762">
        <f>G762&lt;=$T$12</f>
        <v/>
      </c>
      <c r="P762">
        <f>OR(AND(H762&gt;=$T$4,K762&lt;=$T$5,N762),M762)</f>
        <v/>
      </c>
      <c r="Q762">
        <f>OR(AND(I762&gt;=$T$10,K762&lt;=$T$11,O762),M762)</f>
        <v/>
      </c>
    </row>
    <row r="763">
      <c r="A763">
        <f>Data!E800</f>
        <v/>
      </c>
      <c r="B763">
        <f>Data!G800</f>
        <v/>
      </c>
      <c r="C763">
        <f>Data!H800</f>
        <v/>
      </c>
      <c r="D763">
        <f>Data!I800</f>
        <v/>
      </c>
      <c r="E763">
        <f>Data!M800</f>
        <v/>
      </c>
      <c r="F763">
        <f>Data!O800</f>
        <v/>
      </c>
      <c r="G763">
        <f>E763-F763</f>
        <v/>
      </c>
      <c r="H763">
        <f>Data!P800</f>
        <v/>
      </c>
      <c r="I763">
        <f>G763+H763</f>
        <v/>
      </c>
      <c r="J763">
        <f>F763+G763+H763</f>
        <v/>
      </c>
      <c r="K763">
        <f>Data!R800</f>
        <v/>
      </c>
      <c r="L763">
        <f>Data!T800</f>
        <v/>
      </c>
      <c r="M763">
        <f>AND(E763=0,F763=0,G763=0,H763=0,I763=0,J763=0,K763=0,L763=0)</f>
        <v/>
      </c>
      <c r="N763">
        <f>G763&lt;=$T$6</f>
        <v/>
      </c>
      <c r="O763">
        <f>G763&lt;=$T$12</f>
        <v/>
      </c>
      <c r="P763">
        <f>OR(AND(H763&gt;=$T$4,K763&lt;=$T$5,N763),M763)</f>
        <v/>
      </c>
      <c r="Q763">
        <f>OR(AND(I763&gt;=$T$10,K763&lt;=$T$11,O763),M763)</f>
        <v/>
      </c>
    </row>
    <row r="764">
      <c r="A764">
        <f>Data!E801</f>
        <v/>
      </c>
      <c r="B764">
        <f>Data!G801</f>
        <v/>
      </c>
      <c r="C764">
        <f>Data!H801</f>
        <v/>
      </c>
      <c r="D764">
        <f>Data!I801</f>
        <v/>
      </c>
      <c r="E764">
        <f>Data!M801</f>
        <v/>
      </c>
      <c r="F764">
        <f>Data!O801</f>
        <v/>
      </c>
      <c r="G764">
        <f>E764-F764</f>
        <v/>
      </c>
      <c r="H764">
        <f>Data!P801</f>
        <v/>
      </c>
      <c r="I764">
        <f>G764+H764</f>
        <v/>
      </c>
      <c r="J764">
        <f>F764+G764+H764</f>
        <v/>
      </c>
      <c r="K764">
        <f>Data!R801</f>
        <v/>
      </c>
      <c r="L764">
        <f>Data!T801</f>
        <v/>
      </c>
      <c r="M764">
        <f>AND(E764=0,F764=0,G764=0,H764=0,I764=0,J764=0,K764=0,L764=0)</f>
        <v/>
      </c>
      <c r="N764">
        <f>G764&lt;=$T$6</f>
        <v/>
      </c>
      <c r="O764">
        <f>G764&lt;=$T$12</f>
        <v/>
      </c>
      <c r="P764">
        <f>OR(AND(H764&gt;=$T$4,K764&lt;=$T$5,N764),M764)</f>
        <v/>
      </c>
      <c r="Q764">
        <f>OR(AND(I764&gt;=$T$10,K764&lt;=$T$11,O764),M764)</f>
        <v/>
      </c>
    </row>
    <row r="765">
      <c r="A765">
        <f>Data!E802</f>
        <v/>
      </c>
      <c r="B765">
        <f>Data!G802</f>
        <v/>
      </c>
      <c r="C765">
        <f>Data!H802</f>
        <v/>
      </c>
      <c r="D765">
        <f>Data!I802</f>
        <v/>
      </c>
      <c r="E765">
        <f>Data!M802</f>
        <v/>
      </c>
      <c r="F765">
        <f>Data!O802</f>
        <v/>
      </c>
      <c r="G765">
        <f>E765-F765</f>
        <v/>
      </c>
      <c r="H765">
        <f>Data!P802</f>
        <v/>
      </c>
      <c r="I765">
        <f>G765+H765</f>
        <v/>
      </c>
      <c r="J765">
        <f>F765+G765+H765</f>
        <v/>
      </c>
      <c r="K765">
        <f>Data!R802</f>
        <v/>
      </c>
      <c r="L765">
        <f>Data!T802</f>
        <v/>
      </c>
      <c r="M765">
        <f>AND(E765=0,F765=0,G765=0,H765=0,I765=0,J765=0,K765=0,L765=0)</f>
        <v/>
      </c>
      <c r="N765">
        <f>G765&lt;=$T$6</f>
        <v/>
      </c>
      <c r="O765">
        <f>G765&lt;=$T$12</f>
        <v/>
      </c>
      <c r="P765">
        <f>OR(AND(H765&gt;=$T$4,K765&lt;=$T$5,N765),M765)</f>
        <v/>
      </c>
      <c r="Q765">
        <f>OR(AND(I765&gt;=$T$10,K765&lt;=$T$11,O765),M765)</f>
        <v/>
      </c>
    </row>
    <row r="766">
      <c r="A766">
        <f>Data!E803</f>
        <v/>
      </c>
      <c r="B766">
        <f>Data!G803</f>
        <v/>
      </c>
      <c r="C766">
        <f>Data!H803</f>
        <v/>
      </c>
      <c r="D766">
        <f>Data!I803</f>
        <v/>
      </c>
      <c r="E766">
        <f>Data!M803</f>
        <v/>
      </c>
      <c r="F766">
        <f>Data!O803</f>
        <v/>
      </c>
      <c r="G766">
        <f>E766-F766</f>
        <v/>
      </c>
      <c r="H766">
        <f>Data!P803</f>
        <v/>
      </c>
      <c r="I766">
        <f>G766+H766</f>
        <v/>
      </c>
      <c r="J766">
        <f>F766+G766+H766</f>
        <v/>
      </c>
      <c r="K766">
        <f>Data!R803</f>
        <v/>
      </c>
      <c r="L766">
        <f>Data!T803</f>
        <v/>
      </c>
      <c r="M766">
        <f>AND(E766=0,F766=0,G766=0,H766=0,I766=0,J766=0,K766=0,L766=0)</f>
        <v/>
      </c>
      <c r="N766">
        <f>G766&lt;=$T$6</f>
        <v/>
      </c>
      <c r="O766">
        <f>G766&lt;=$T$12</f>
        <v/>
      </c>
      <c r="P766">
        <f>OR(AND(H766&gt;=$T$4,K766&lt;=$T$5,N766),M766)</f>
        <v/>
      </c>
      <c r="Q766">
        <f>OR(AND(I766&gt;=$T$10,K766&lt;=$T$11,O766),M766)</f>
        <v/>
      </c>
    </row>
    <row r="767">
      <c r="A767">
        <f>Data!E804</f>
        <v/>
      </c>
      <c r="B767">
        <f>Data!G804</f>
        <v/>
      </c>
      <c r="C767">
        <f>Data!H804</f>
        <v/>
      </c>
      <c r="D767">
        <f>Data!I804</f>
        <v/>
      </c>
      <c r="E767">
        <f>Data!M804</f>
        <v/>
      </c>
      <c r="F767">
        <f>Data!O804</f>
        <v/>
      </c>
      <c r="G767">
        <f>E767-F767</f>
        <v/>
      </c>
      <c r="H767">
        <f>Data!P804</f>
        <v/>
      </c>
      <c r="I767">
        <f>G767+H767</f>
        <v/>
      </c>
      <c r="J767">
        <f>F767+G767+H767</f>
        <v/>
      </c>
      <c r="K767">
        <f>Data!R804</f>
        <v/>
      </c>
      <c r="L767">
        <f>Data!T804</f>
        <v/>
      </c>
      <c r="M767">
        <f>AND(E767=0,F767=0,G767=0,H767=0,I767=0,J767=0,K767=0,L767=0)</f>
        <v/>
      </c>
      <c r="N767">
        <f>G767&lt;=$T$6</f>
        <v/>
      </c>
      <c r="O767">
        <f>G767&lt;=$T$12</f>
        <v/>
      </c>
      <c r="P767">
        <f>OR(AND(H767&gt;=$T$4,K767&lt;=$T$5,N767),M767)</f>
        <v/>
      </c>
      <c r="Q767">
        <f>OR(AND(I767&gt;=$T$10,K767&lt;=$T$11,O767),M767)</f>
        <v/>
      </c>
    </row>
    <row r="768">
      <c r="A768">
        <f>Data!E805</f>
        <v/>
      </c>
      <c r="B768">
        <f>Data!G805</f>
        <v/>
      </c>
      <c r="C768">
        <f>Data!H805</f>
        <v/>
      </c>
      <c r="D768">
        <f>Data!I805</f>
        <v/>
      </c>
      <c r="E768">
        <f>Data!M805</f>
        <v/>
      </c>
      <c r="F768">
        <f>Data!O805</f>
        <v/>
      </c>
      <c r="G768">
        <f>E768-F768</f>
        <v/>
      </c>
      <c r="H768">
        <f>Data!P805</f>
        <v/>
      </c>
      <c r="I768">
        <f>G768+H768</f>
        <v/>
      </c>
      <c r="J768">
        <f>F768+G768+H768</f>
        <v/>
      </c>
      <c r="K768">
        <f>Data!R805</f>
        <v/>
      </c>
      <c r="L768">
        <f>Data!T805</f>
        <v/>
      </c>
      <c r="M768">
        <f>AND(E768=0,F768=0,G768=0,H768=0,I768=0,J768=0,K768=0,L768=0)</f>
        <v/>
      </c>
      <c r="N768">
        <f>G768&lt;=$T$6</f>
        <v/>
      </c>
      <c r="O768">
        <f>G768&lt;=$T$12</f>
        <v/>
      </c>
      <c r="P768">
        <f>OR(AND(H768&gt;=$T$4,K768&lt;=$T$5,N768),M768)</f>
        <v/>
      </c>
      <c r="Q768">
        <f>OR(AND(I768&gt;=$T$10,K768&lt;=$T$11,O768),M768)</f>
        <v/>
      </c>
    </row>
    <row r="769">
      <c r="A769">
        <f>Data!E806</f>
        <v/>
      </c>
      <c r="B769">
        <f>Data!G806</f>
        <v/>
      </c>
      <c r="C769">
        <f>Data!H806</f>
        <v/>
      </c>
      <c r="D769">
        <f>Data!I806</f>
        <v/>
      </c>
      <c r="E769">
        <f>Data!M806</f>
        <v/>
      </c>
      <c r="F769">
        <f>Data!O806</f>
        <v/>
      </c>
      <c r="G769">
        <f>E769-F769</f>
        <v/>
      </c>
      <c r="H769">
        <f>Data!P806</f>
        <v/>
      </c>
      <c r="I769">
        <f>G769+H769</f>
        <v/>
      </c>
      <c r="J769">
        <f>F769+G769+H769</f>
        <v/>
      </c>
      <c r="K769">
        <f>Data!R806</f>
        <v/>
      </c>
      <c r="L769">
        <f>Data!T806</f>
        <v/>
      </c>
      <c r="M769">
        <f>AND(E769=0,F769=0,G769=0,H769=0,I769=0,J769=0,K769=0,L769=0)</f>
        <v/>
      </c>
      <c r="N769">
        <f>G769&lt;=$T$6</f>
        <v/>
      </c>
      <c r="O769">
        <f>G769&lt;=$T$12</f>
        <v/>
      </c>
      <c r="P769">
        <f>OR(AND(H769&gt;=$T$4,K769&lt;=$T$5,N769),M769)</f>
        <v/>
      </c>
      <c r="Q769">
        <f>OR(AND(I769&gt;=$T$10,K769&lt;=$T$11,O769),M769)</f>
        <v/>
      </c>
    </row>
    <row r="770">
      <c r="A770">
        <f>Data!E807</f>
        <v/>
      </c>
      <c r="B770">
        <f>Data!G807</f>
        <v/>
      </c>
      <c r="C770">
        <f>Data!H807</f>
        <v/>
      </c>
      <c r="D770">
        <f>Data!I807</f>
        <v/>
      </c>
      <c r="E770">
        <f>Data!M807</f>
        <v/>
      </c>
      <c r="F770">
        <f>Data!O807</f>
        <v/>
      </c>
      <c r="G770">
        <f>E770-F770</f>
        <v/>
      </c>
      <c r="H770">
        <f>Data!P807</f>
        <v/>
      </c>
      <c r="I770">
        <f>G770+H770</f>
        <v/>
      </c>
      <c r="J770">
        <f>F770+G770+H770</f>
        <v/>
      </c>
      <c r="K770">
        <f>Data!R807</f>
        <v/>
      </c>
      <c r="L770">
        <f>Data!T807</f>
        <v/>
      </c>
      <c r="M770">
        <f>AND(E770=0,F770=0,G770=0,H770=0,I770=0,J770=0,K770=0,L770=0)</f>
        <v/>
      </c>
      <c r="N770">
        <f>G770&lt;=$T$6</f>
        <v/>
      </c>
      <c r="O770">
        <f>G770&lt;=$T$12</f>
        <v/>
      </c>
      <c r="P770">
        <f>OR(AND(H770&gt;=$T$4,K770&lt;=$T$5,N770),M770)</f>
        <v/>
      </c>
      <c r="Q770">
        <f>OR(AND(I770&gt;=$T$10,K770&lt;=$T$11,O770),M770)</f>
        <v/>
      </c>
    </row>
    <row r="771">
      <c r="A771">
        <f>Data!E809</f>
        <v/>
      </c>
      <c r="B771">
        <f>Data!G809</f>
        <v/>
      </c>
      <c r="C771">
        <f>Data!H809</f>
        <v/>
      </c>
      <c r="D771">
        <f>Data!I809</f>
        <v/>
      </c>
      <c r="E771">
        <f>Data!M809</f>
        <v/>
      </c>
      <c r="F771">
        <f>Data!O809</f>
        <v/>
      </c>
      <c r="G771">
        <f>E771-F771</f>
        <v/>
      </c>
      <c r="H771">
        <f>Data!P809</f>
        <v/>
      </c>
      <c r="I771">
        <f>G771+H771</f>
        <v/>
      </c>
      <c r="J771">
        <f>F771+G771+H771</f>
        <v/>
      </c>
      <c r="K771">
        <f>Data!R809</f>
        <v/>
      </c>
      <c r="L771">
        <f>Data!T809</f>
        <v/>
      </c>
      <c r="M771">
        <f>AND(E771=0,F771=0,G771=0,H771=0,I771=0,J771=0,K771=0,L771=0)</f>
        <v/>
      </c>
      <c r="N771">
        <f>G771&lt;=$T$6</f>
        <v/>
      </c>
      <c r="O771">
        <f>G771&lt;=$T$12</f>
        <v/>
      </c>
      <c r="P771">
        <f>OR(AND(H771&gt;=$T$4,K771&lt;=$T$5,N771),M771)</f>
        <v/>
      </c>
      <c r="Q771">
        <f>OR(AND(I771&gt;=$T$10,K771&lt;=$T$11,O771),M771)</f>
        <v/>
      </c>
    </row>
    <row r="772">
      <c r="A772">
        <f>Data!E810</f>
        <v/>
      </c>
      <c r="B772">
        <f>Data!G810</f>
        <v/>
      </c>
      <c r="C772">
        <f>Data!H810</f>
        <v/>
      </c>
      <c r="D772">
        <f>Data!I810</f>
        <v/>
      </c>
      <c r="E772">
        <f>Data!M810</f>
        <v/>
      </c>
      <c r="F772">
        <f>Data!O810</f>
        <v/>
      </c>
      <c r="G772">
        <f>E772-F772</f>
        <v/>
      </c>
      <c r="H772">
        <f>Data!P810</f>
        <v/>
      </c>
      <c r="I772">
        <f>G772+H772</f>
        <v/>
      </c>
      <c r="J772">
        <f>F772+G772+H772</f>
        <v/>
      </c>
      <c r="K772">
        <f>Data!R810</f>
        <v/>
      </c>
      <c r="L772">
        <f>Data!T810</f>
        <v/>
      </c>
      <c r="M772">
        <f>AND(E772=0,F772=0,G772=0,H772=0,I772=0,J772=0,K772=0,L772=0)</f>
        <v/>
      </c>
      <c r="N772">
        <f>G772&lt;=$T$6</f>
        <v/>
      </c>
      <c r="O772">
        <f>G772&lt;=$T$12</f>
        <v/>
      </c>
      <c r="P772">
        <f>OR(AND(H772&gt;=$T$4,K772&lt;=$T$5,N772),M772)</f>
        <v/>
      </c>
      <c r="Q772">
        <f>OR(AND(I772&gt;=$T$10,K772&lt;=$T$11,O772),M772)</f>
        <v/>
      </c>
    </row>
    <row r="773">
      <c r="A773">
        <f>Data!E811</f>
        <v/>
      </c>
      <c r="B773">
        <f>Data!G811</f>
        <v/>
      </c>
      <c r="C773">
        <f>Data!H811</f>
        <v/>
      </c>
      <c r="D773">
        <f>Data!I811</f>
        <v/>
      </c>
      <c r="E773">
        <f>Data!M811</f>
        <v/>
      </c>
      <c r="F773">
        <f>Data!O811</f>
        <v/>
      </c>
      <c r="G773">
        <f>E773-F773</f>
        <v/>
      </c>
      <c r="H773">
        <f>Data!P811</f>
        <v/>
      </c>
      <c r="I773">
        <f>G773+H773</f>
        <v/>
      </c>
      <c r="J773">
        <f>F773+G773+H773</f>
        <v/>
      </c>
      <c r="K773">
        <f>Data!R811</f>
        <v/>
      </c>
      <c r="L773">
        <f>Data!T811</f>
        <v/>
      </c>
      <c r="M773">
        <f>AND(E773=0,F773=0,G773=0,H773=0,I773=0,J773=0,K773=0,L773=0)</f>
        <v/>
      </c>
      <c r="N773">
        <f>G773&lt;=$T$6</f>
        <v/>
      </c>
      <c r="O773">
        <f>G773&lt;=$T$12</f>
        <v/>
      </c>
      <c r="P773">
        <f>OR(AND(H773&gt;=$T$4,K773&lt;=$T$5,N773),M773)</f>
        <v/>
      </c>
      <c r="Q773">
        <f>OR(AND(I773&gt;=$T$10,K773&lt;=$T$11,O773),M773)</f>
        <v/>
      </c>
    </row>
    <row r="774">
      <c r="A774">
        <f>Data!E812</f>
        <v/>
      </c>
      <c r="B774">
        <f>Data!G812</f>
        <v/>
      </c>
      <c r="C774">
        <f>Data!H812</f>
        <v/>
      </c>
      <c r="D774">
        <f>Data!I812</f>
        <v/>
      </c>
      <c r="E774">
        <f>Data!M812</f>
        <v/>
      </c>
      <c r="F774">
        <f>Data!O812</f>
        <v/>
      </c>
      <c r="G774">
        <f>E774-F774</f>
        <v/>
      </c>
      <c r="H774">
        <f>Data!P812</f>
        <v/>
      </c>
      <c r="I774">
        <f>G774+H774</f>
        <v/>
      </c>
      <c r="J774">
        <f>F774+G774+H774</f>
        <v/>
      </c>
      <c r="K774">
        <f>Data!R812</f>
        <v/>
      </c>
      <c r="L774">
        <f>Data!T812</f>
        <v/>
      </c>
      <c r="M774">
        <f>AND(E774=0,F774=0,G774=0,H774=0,I774=0,J774=0,K774=0,L774=0)</f>
        <v/>
      </c>
      <c r="N774">
        <f>G774&lt;=$T$6</f>
        <v/>
      </c>
      <c r="O774">
        <f>G774&lt;=$T$12</f>
        <v/>
      </c>
      <c r="P774">
        <f>OR(AND(H774&gt;=$T$4,K774&lt;=$T$5,N774),M774)</f>
        <v/>
      </c>
      <c r="Q774">
        <f>OR(AND(I774&gt;=$T$10,K774&lt;=$T$11,O774),M774)</f>
        <v/>
      </c>
    </row>
    <row r="775">
      <c r="A775">
        <f>Data!E813</f>
        <v/>
      </c>
      <c r="B775">
        <f>Data!G813</f>
        <v/>
      </c>
      <c r="C775">
        <f>Data!H813</f>
        <v/>
      </c>
      <c r="D775">
        <f>Data!I813</f>
        <v/>
      </c>
      <c r="E775">
        <f>Data!M813</f>
        <v/>
      </c>
      <c r="F775">
        <f>Data!O813</f>
        <v/>
      </c>
      <c r="G775">
        <f>E775-F775</f>
        <v/>
      </c>
      <c r="H775">
        <f>Data!P813</f>
        <v/>
      </c>
      <c r="I775">
        <f>G775+H775</f>
        <v/>
      </c>
      <c r="J775">
        <f>F775+G775+H775</f>
        <v/>
      </c>
      <c r="K775">
        <f>Data!R813</f>
        <v/>
      </c>
      <c r="L775">
        <f>Data!T813</f>
        <v/>
      </c>
      <c r="M775">
        <f>AND(E775=0,F775=0,G775=0,H775=0,I775=0,J775=0,K775=0,L775=0)</f>
        <v/>
      </c>
      <c r="N775">
        <f>G775&lt;=$T$6</f>
        <v/>
      </c>
      <c r="O775">
        <f>G775&lt;=$T$12</f>
        <v/>
      </c>
      <c r="P775">
        <f>OR(AND(H775&gt;=$T$4,K775&lt;=$T$5,N775),M775)</f>
        <v/>
      </c>
      <c r="Q775">
        <f>OR(AND(I775&gt;=$T$10,K775&lt;=$T$11,O775),M775)</f>
        <v/>
      </c>
    </row>
    <row r="776">
      <c r="A776">
        <f>Data!E814</f>
        <v/>
      </c>
      <c r="B776">
        <f>Data!G814</f>
        <v/>
      </c>
      <c r="C776">
        <f>Data!H814</f>
        <v/>
      </c>
      <c r="D776">
        <f>Data!I814</f>
        <v/>
      </c>
      <c r="E776">
        <f>Data!M814</f>
        <v/>
      </c>
      <c r="F776">
        <f>Data!O814</f>
        <v/>
      </c>
      <c r="G776">
        <f>E776-F776</f>
        <v/>
      </c>
      <c r="H776">
        <f>Data!P814</f>
        <v/>
      </c>
      <c r="I776">
        <f>G776+H776</f>
        <v/>
      </c>
      <c r="J776">
        <f>F776+G776+H776</f>
        <v/>
      </c>
      <c r="K776">
        <f>Data!R814</f>
        <v/>
      </c>
      <c r="L776">
        <f>Data!T814</f>
        <v/>
      </c>
      <c r="M776">
        <f>AND(E776=0,F776=0,G776=0,H776=0,I776=0,J776=0,K776=0,L776=0)</f>
        <v/>
      </c>
      <c r="N776">
        <f>G776&lt;=$T$6</f>
        <v/>
      </c>
      <c r="O776">
        <f>G776&lt;=$T$12</f>
        <v/>
      </c>
      <c r="P776">
        <f>OR(AND(H776&gt;=$T$4,K776&lt;=$T$5,N776),M776)</f>
        <v/>
      </c>
      <c r="Q776">
        <f>OR(AND(I776&gt;=$T$10,K776&lt;=$T$11,O776),M776)</f>
        <v/>
      </c>
    </row>
    <row r="777">
      <c r="A777">
        <f>Data!E815</f>
        <v/>
      </c>
      <c r="B777">
        <f>Data!G815</f>
        <v/>
      </c>
      <c r="C777">
        <f>Data!H815</f>
        <v/>
      </c>
      <c r="D777">
        <f>Data!I815</f>
        <v/>
      </c>
      <c r="E777">
        <f>Data!M815</f>
        <v/>
      </c>
      <c r="F777">
        <f>Data!O815</f>
        <v/>
      </c>
      <c r="G777">
        <f>E777-F777</f>
        <v/>
      </c>
      <c r="H777">
        <f>Data!P815</f>
        <v/>
      </c>
      <c r="I777">
        <f>G777+H777</f>
        <v/>
      </c>
      <c r="J777">
        <f>F777+G777+H777</f>
        <v/>
      </c>
      <c r="K777">
        <f>Data!R815</f>
        <v/>
      </c>
      <c r="L777">
        <f>Data!T815</f>
        <v/>
      </c>
      <c r="M777">
        <f>AND(E777=0,F777=0,G777=0,H777=0,I777=0,J777=0,K777=0,L777=0)</f>
        <v/>
      </c>
      <c r="N777">
        <f>G777&lt;=$T$6</f>
        <v/>
      </c>
      <c r="O777">
        <f>G777&lt;=$T$12</f>
        <v/>
      </c>
      <c r="P777">
        <f>OR(AND(H777&gt;=$T$4,K777&lt;=$T$5,N777),M777)</f>
        <v/>
      </c>
      <c r="Q777">
        <f>OR(AND(I777&gt;=$T$10,K777&lt;=$T$11,O777),M777)</f>
        <v/>
      </c>
    </row>
    <row r="778">
      <c r="A778">
        <f>Data!E816</f>
        <v/>
      </c>
      <c r="B778">
        <f>Data!G816</f>
        <v/>
      </c>
      <c r="C778">
        <f>Data!H816</f>
        <v/>
      </c>
      <c r="D778">
        <f>Data!I816</f>
        <v/>
      </c>
      <c r="E778">
        <f>Data!M816</f>
        <v/>
      </c>
      <c r="F778">
        <f>Data!O816</f>
        <v/>
      </c>
      <c r="G778">
        <f>E778-F778</f>
        <v/>
      </c>
      <c r="H778">
        <f>Data!P816</f>
        <v/>
      </c>
      <c r="I778">
        <f>G778+H778</f>
        <v/>
      </c>
      <c r="J778">
        <f>F778+G778+H778</f>
        <v/>
      </c>
      <c r="K778">
        <f>Data!R816</f>
        <v/>
      </c>
      <c r="L778">
        <f>Data!T816</f>
        <v/>
      </c>
      <c r="M778">
        <f>AND(E778=0,F778=0,G778=0,H778=0,I778=0,J778=0,K778=0,L778=0)</f>
        <v/>
      </c>
      <c r="N778">
        <f>G778&lt;=$T$6</f>
        <v/>
      </c>
      <c r="O778">
        <f>G778&lt;=$T$12</f>
        <v/>
      </c>
      <c r="P778">
        <f>OR(AND(H778&gt;=$T$4,K778&lt;=$T$5,N778),M778)</f>
        <v/>
      </c>
      <c r="Q778">
        <f>OR(AND(I778&gt;=$T$10,K778&lt;=$T$11,O778),M778)</f>
        <v/>
      </c>
    </row>
    <row r="779">
      <c r="A779">
        <f>Data!E817</f>
        <v/>
      </c>
      <c r="B779">
        <f>Data!G817</f>
        <v/>
      </c>
      <c r="C779">
        <f>Data!H817</f>
        <v/>
      </c>
      <c r="D779">
        <f>Data!I817</f>
        <v/>
      </c>
      <c r="E779">
        <f>Data!M817</f>
        <v/>
      </c>
      <c r="F779">
        <f>Data!O817</f>
        <v/>
      </c>
      <c r="G779">
        <f>E779-F779</f>
        <v/>
      </c>
      <c r="H779">
        <f>Data!P817</f>
        <v/>
      </c>
      <c r="I779">
        <f>G779+H779</f>
        <v/>
      </c>
      <c r="J779">
        <f>F779+G779+H779</f>
        <v/>
      </c>
      <c r="K779">
        <f>Data!R817</f>
        <v/>
      </c>
      <c r="L779">
        <f>Data!T817</f>
        <v/>
      </c>
      <c r="M779">
        <f>AND(E779=0,F779=0,G779=0,H779=0,I779=0,J779=0,K779=0,L779=0)</f>
        <v/>
      </c>
      <c r="N779">
        <f>G779&lt;=$T$6</f>
        <v/>
      </c>
      <c r="O779">
        <f>G779&lt;=$T$12</f>
        <v/>
      </c>
      <c r="P779">
        <f>OR(AND(H779&gt;=$T$4,K779&lt;=$T$5,N779),M779)</f>
        <v/>
      </c>
      <c r="Q779">
        <f>OR(AND(I779&gt;=$T$10,K779&lt;=$T$11,O779),M779)</f>
        <v/>
      </c>
    </row>
    <row r="780">
      <c r="A780">
        <f>Data!E818</f>
        <v/>
      </c>
      <c r="B780">
        <f>Data!G818</f>
        <v/>
      </c>
      <c r="C780">
        <f>Data!H818</f>
        <v/>
      </c>
      <c r="D780">
        <f>Data!I818</f>
        <v/>
      </c>
      <c r="E780">
        <f>Data!M818</f>
        <v/>
      </c>
      <c r="F780">
        <f>Data!O818</f>
        <v/>
      </c>
      <c r="G780">
        <f>E780-F780</f>
        <v/>
      </c>
      <c r="H780">
        <f>Data!P818</f>
        <v/>
      </c>
      <c r="I780">
        <f>G780+H780</f>
        <v/>
      </c>
      <c r="J780">
        <f>F780+G780+H780</f>
        <v/>
      </c>
      <c r="K780">
        <f>Data!R818</f>
        <v/>
      </c>
      <c r="L780">
        <f>Data!T818</f>
        <v/>
      </c>
      <c r="M780">
        <f>AND(E780=0,F780=0,G780=0,H780=0,I780=0,J780=0,K780=0,L780=0)</f>
        <v/>
      </c>
      <c r="N780">
        <f>G780&lt;=$T$6</f>
        <v/>
      </c>
      <c r="O780">
        <f>G780&lt;=$T$12</f>
        <v/>
      </c>
      <c r="P780">
        <f>OR(AND(H780&gt;=$T$4,K780&lt;=$T$5,N780),M780)</f>
        <v/>
      </c>
      <c r="Q780">
        <f>OR(AND(I780&gt;=$T$10,K780&lt;=$T$11,O780),M780)</f>
        <v/>
      </c>
    </row>
    <row r="781">
      <c r="A781">
        <f>Data!E819</f>
        <v/>
      </c>
      <c r="B781">
        <f>Data!G819</f>
        <v/>
      </c>
      <c r="C781">
        <f>Data!H819</f>
        <v/>
      </c>
      <c r="D781">
        <f>Data!I819</f>
        <v/>
      </c>
      <c r="E781">
        <f>Data!M819</f>
        <v/>
      </c>
      <c r="F781">
        <f>Data!O819</f>
        <v/>
      </c>
      <c r="G781">
        <f>E781-F781</f>
        <v/>
      </c>
      <c r="H781">
        <f>Data!P819</f>
        <v/>
      </c>
      <c r="I781">
        <f>G781+H781</f>
        <v/>
      </c>
      <c r="J781">
        <f>F781+G781+H781</f>
        <v/>
      </c>
      <c r="K781">
        <f>Data!R819</f>
        <v/>
      </c>
      <c r="L781">
        <f>Data!T819</f>
        <v/>
      </c>
      <c r="M781">
        <f>AND(E781=0,F781=0,G781=0,H781=0,I781=0,J781=0,K781=0,L781=0)</f>
        <v/>
      </c>
      <c r="N781">
        <f>G781&lt;=$T$6</f>
        <v/>
      </c>
      <c r="O781">
        <f>G781&lt;=$T$12</f>
        <v/>
      </c>
      <c r="P781">
        <f>OR(AND(H781&gt;=$T$4,K781&lt;=$T$5,N781),M781)</f>
        <v/>
      </c>
      <c r="Q781">
        <f>OR(AND(I781&gt;=$T$10,K781&lt;=$T$11,O781),M781)</f>
        <v/>
      </c>
    </row>
    <row r="782">
      <c r="A782">
        <f>Data!E820</f>
        <v/>
      </c>
      <c r="B782">
        <f>Data!G820</f>
        <v/>
      </c>
      <c r="C782">
        <f>Data!H820</f>
        <v/>
      </c>
      <c r="D782">
        <f>Data!I820</f>
        <v/>
      </c>
      <c r="E782">
        <f>Data!M820</f>
        <v/>
      </c>
      <c r="F782">
        <f>Data!O820</f>
        <v/>
      </c>
      <c r="G782">
        <f>E782-F782</f>
        <v/>
      </c>
      <c r="H782">
        <f>Data!P820</f>
        <v/>
      </c>
      <c r="I782">
        <f>G782+H782</f>
        <v/>
      </c>
      <c r="J782">
        <f>F782+G782+H782</f>
        <v/>
      </c>
      <c r="K782">
        <f>Data!R820</f>
        <v/>
      </c>
      <c r="L782">
        <f>Data!T820</f>
        <v/>
      </c>
      <c r="M782">
        <f>AND(E782=0,F782=0,G782=0,H782=0,I782=0,J782=0,K782=0,L782=0)</f>
        <v/>
      </c>
      <c r="N782">
        <f>G782&lt;=$T$6</f>
        <v/>
      </c>
      <c r="O782">
        <f>G782&lt;=$T$12</f>
        <v/>
      </c>
      <c r="P782">
        <f>OR(AND(H782&gt;=$T$4,K782&lt;=$T$5,N782),M782)</f>
        <v/>
      </c>
      <c r="Q782">
        <f>OR(AND(I782&gt;=$T$10,K782&lt;=$T$11,O782),M782)</f>
        <v/>
      </c>
    </row>
    <row r="783">
      <c r="A783">
        <f>Data!E821</f>
        <v/>
      </c>
      <c r="B783">
        <f>Data!G821</f>
        <v/>
      </c>
      <c r="C783">
        <f>Data!H821</f>
        <v/>
      </c>
      <c r="D783">
        <f>Data!I821</f>
        <v/>
      </c>
      <c r="E783">
        <f>Data!M821</f>
        <v/>
      </c>
      <c r="F783">
        <f>Data!O821</f>
        <v/>
      </c>
      <c r="G783">
        <f>E783-F783</f>
        <v/>
      </c>
      <c r="H783">
        <f>Data!P821</f>
        <v/>
      </c>
      <c r="I783">
        <f>G783+H783</f>
        <v/>
      </c>
      <c r="J783">
        <f>F783+G783+H783</f>
        <v/>
      </c>
      <c r="K783">
        <f>Data!R821</f>
        <v/>
      </c>
      <c r="L783">
        <f>Data!T821</f>
        <v/>
      </c>
      <c r="M783">
        <f>AND(E783=0,F783=0,G783=0,H783=0,I783=0,J783=0,K783=0,L783=0)</f>
        <v/>
      </c>
      <c r="N783">
        <f>G783&lt;=$T$6</f>
        <v/>
      </c>
      <c r="O783">
        <f>G783&lt;=$T$12</f>
        <v/>
      </c>
      <c r="P783">
        <f>OR(AND(H783&gt;=$T$4,K783&lt;=$T$5,N783),M783)</f>
        <v/>
      </c>
      <c r="Q783">
        <f>OR(AND(I783&gt;=$T$10,K783&lt;=$T$11,O783),M783)</f>
        <v/>
      </c>
    </row>
    <row r="784">
      <c r="A784">
        <f>Data!E822</f>
        <v/>
      </c>
      <c r="B784">
        <f>Data!G822</f>
        <v/>
      </c>
      <c r="C784">
        <f>Data!H822</f>
        <v/>
      </c>
      <c r="D784">
        <f>Data!I822</f>
        <v/>
      </c>
      <c r="E784">
        <f>Data!M822</f>
        <v/>
      </c>
      <c r="F784">
        <f>Data!O822</f>
        <v/>
      </c>
      <c r="G784">
        <f>E784-F784</f>
        <v/>
      </c>
      <c r="H784">
        <f>Data!P822</f>
        <v/>
      </c>
      <c r="I784">
        <f>G784+H784</f>
        <v/>
      </c>
      <c r="J784">
        <f>F784+G784+H784</f>
        <v/>
      </c>
      <c r="K784">
        <f>Data!R822</f>
        <v/>
      </c>
      <c r="L784">
        <f>Data!T822</f>
        <v/>
      </c>
      <c r="M784">
        <f>AND(E784=0,F784=0,G784=0,H784=0,I784=0,J784=0,K784=0,L784=0)</f>
        <v/>
      </c>
      <c r="N784">
        <f>G784&lt;=$T$6</f>
        <v/>
      </c>
      <c r="O784">
        <f>G784&lt;=$T$12</f>
        <v/>
      </c>
      <c r="P784">
        <f>OR(AND(H784&gt;=$T$4,K784&lt;=$T$5,N784),M784)</f>
        <v/>
      </c>
      <c r="Q784">
        <f>OR(AND(I784&gt;=$T$10,K784&lt;=$T$11,O784),M784)</f>
        <v/>
      </c>
    </row>
    <row r="785">
      <c r="A785">
        <f>Data!E823</f>
        <v/>
      </c>
      <c r="B785">
        <f>Data!G823</f>
        <v/>
      </c>
      <c r="C785">
        <f>Data!H823</f>
        <v/>
      </c>
      <c r="D785">
        <f>Data!I823</f>
        <v/>
      </c>
      <c r="E785">
        <f>Data!M823</f>
        <v/>
      </c>
      <c r="F785">
        <f>Data!O823</f>
        <v/>
      </c>
      <c r="G785">
        <f>E785-F785</f>
        <v/>
      </c>
      <c r="H785">
        <f>Data!P823</f>
        <v/>
      </c>
      <c r="I785">
        <f>G785+H785</f>
        <v/>
      </c>
      <c r="J785">
        <f>F785+G785+H785</f>
        <v/>
      </c>
      <c r="K785">
        <f>Data!R823</f>
        <v/>
      </c>
      <c r="L785">
        <f>Data!T823</f>
        <v/>
      </c>
      <c r="M785">
        <f>AND(E785=0,F785=0,G785=0,H785=0,I785=0,J785=0,K785=0,L785=0)</f>
        <v/>
      </c>
      <c r="N785">
        <f>G785&lt;=$T$6</f>
        <v/>
      </c>
      <c r="O785">
        <f>G785&lt;=$T$12</f>
        <v/>
      </c>
      <c r="P785">
        <f>OR(AND(H785&gt;=$T$4,K785&lt;=$T$5,N785),M785)</f>
        <v/>
      </c>
      <c r="Q785">
        <f>OR(AND(I785&gt;=$T$10,K785&lt;=$T$11,O785),M785)</f>
        <v/>
      </c>
    </row>
    <row r="786">
      <c r="A786">
        <f>Data!E824</f>
        <v/>
      </c>
      <c r="B786">
        <f>Data!G824</f>
        <v/>
      </c>
      <c r="C786">
        <f>Data!H824</f>
        <v/>
      </c>
      <c r="D786">
        <f>Data!I824</f>
        <v/>
      </c>
      <c r="E786">
        <f>Data!M824</f>
        <v/>
      </c>
      <c r="F786">
        <f>Data!O824</f>
        <v/>
      </c>
      <c r="G786">
        <f>E786-F786</f>
        <v/>
      </c>
      <c r="H786">
        <f>Data!P824</f>
        <v/>
      </c>
      <c r="I786">
        <f>G786+H786</f>
        <v/>
      </c>
      <c r="J786">
        <f>F786+G786+H786</f>
        <v/>
      </c>
      <c r="K786">
        <f>Data!R824</f>
        <v/>
      </c>
      <c r="L786">
        <f>Data!T824</f>
        <v/>
      </c>
      <c r="M786">
        <f>AND(E786=0,F786=0,G786=0,H786=0,I786=0,J786=0,K786=0,L786=0)</f>
        <v/>
      </c>
      <c r="N786">
        <f>G786&lt;=$T$6</f>
        <v/>
      </c>
      <c r="O786">
        <f>G786&lt;=$T$12</f>
        <v/>
      </c>
      <c r="P786">
        <f>OR(AND(H786&gt;=$T$4,K786&lt;=$T$5,N786),M786)</f>
        <v/>
      </c>
      <c r="Q786">
        <f>OR(AND(I786&gt;=$T$10,K786&lt;=$T$11,O786),M786)</f>
        <v/>
      </c>
    </row>
    <row r="787">
      <c r="A787">
        <f>Data!E826</f>
        <v/>
      </c>
      <c r="B787">
        <f>Data!G826</f>
        <v/>
      </c>
      <c r="C787">
        <f>Data!H826</f>
        <v/>
      </c>
      <c r="D787">
        <f>Data!I826</f>
        <v/>
      </c>
      <c r="E787">
        <f>Data!M826</f>
        <v/>
      </c>
      <c r="F787">
        <f>Data!O826</f>
        <v/>
      </c>
      <c r="G787">
        <f>E787-F787</f>
        <v/>
      </c>
      <c r="H787">
        <f>Data!P826</f>
        <v/>
      </c>
      <c r="I787">
        <f>G787+H787</f>
        <v/>
      </c>
      <c r="J787">
        <f>F787+G787+H787</f>
        <v/>
      </c>
      <c r="K787">
        <f>Data!R826</f>
        <v/>
      </c>
      <c r="L787">
        <f>Data!T826</f>
        <v/>
      </c>
      <c r="M787">
        <f>AND(E787=0,F787=0,G787=0,H787=0,I787=0,J787=0,K787=0,L787=0)</f>
        <v/>
      </c>
      <c r="N787">
        <f>G787&lt;=$T$6</f>
        <v/>
      </c>
      <c r="O787">
        <f>G787&lt;=$T$12</f>
        <v/>
      </c>
      <c r="P787">
        <f>OR(AND(H787&gt;=$T$4,K787&lt;=$T$5,N787),M787)</f>
        <v/>
      </c>
      <c r="Q787">
        <f>OR(AND(I787&gt;=$T$10,K787&lt;=$T$11,O787),M787)</f>
        <v/>
      </c>
    </row>
    <row r="788">
      <c r="A788">
        <f>Data!E827</f>
        <v/>
      </c>
      <c r="B788">
        <f>Data!G827</f>
        <v/>
      </c>
      <c r="C788">
        <f>Data!H827</f>
        <v/>
      </c>
      <c r="D788">
        <f>Data!I827</f>
        <v/>
      </c>
      <c r="E788">
        <f>Data!M827</f>
        <v/>
      </c>
      <c r="F788">
        <f>Data!O827</f>
        <v/>
      </c>
      <c r="G788">
        <f>E788-F788</f>
        <v/>
      </c>
      <c r="H788">
        <f>Data!P827</f>
        <v/>
      </c>
      <c r="I788">
        <f>G788+H788</f>
        <v/>
      </c>
      <c r="J788">
        <f>F788+G788+H788</f>
        <v/>
      </c>
      <c r="K788">
        <f>Data!R827</f>
        <v/>
      </c>
      <c r="L788">
        <f>Data!T827</f>
        <v/>
      </c>
      <c r="M788">
        <f>AND(E788=0,F788=0,G788=0,H788=0,I788=0,J788=0,K788=0,L788=0)</f>
        <v/>
      </c>
      <c r="N788">
        <f>G788&lt;=$T$6</f>
        <v/>
      </c>
      <c r="O788">
        <f>G788&lt;=$T$12</f>
        <v/>
      </c>
      <c r="P788">
        <f>OR(AND(H788&gt;=$T$4,K788&lt;=$T$5,N788),M788)</f>
        <v/>
      </c>
      <c r="Q788">
        <f>OR(AND(I788&gt;=$T$10,K788&lt;=$T$11,O788),M788)</f>
        <v/>
      </c>
    </row>
    <row r="789">
      <c r="A789">
        <f>Data!E828</f>
        <v/>
      </c>
      <c r="B789">
        <f>Data!G828</f>
        <v/>
      </c>
      <c r="C789">
        <f>Data!H828</f>
        <v/>
      </c>
      <c r="D789">
        <f>Data!I828</f>
        <v/>
      </c>
      <c r="E789">
        <f>Data!M828</f>
        <v/>
      </c>
      <c r="F789">
        <f>Data!O828</f>
        <v/>
      </c>
      <c r="G789">
        <f>E789-F789</f>
        <v/>
      </c>
      <c r="H789">
        <f>Data!P828</f>
        <v/>
      </c>
      <c r="I789">
        <f>G789+H789</f>
        <v/>
      </c>
      <c r="J789">
        <f>F789+G789+H789</f>
        <v/>
      </c>
      <c r="K789">
        <f>Data!R828</f>
        <v/>
      </c>
      <c r="L789">
        <f>Data!T828</f>
        <v/>
      </c>
      <c r="M789">
        <f>AND(E789=0,F789=0,G789=0,H789=0,I789=0,J789=0,K789=0,L789=0)</f>
        <v/>
      </c>
      <c r="N789">
        <f>G789&lt;=$T$6</f>
        <v/>
      </c>
      <c r="O789">
        <f>G789&lt;=$T$12</f>
        <v/>
      </c>
      <c r="P789">
        <f>OR(AND(H789&gt;=$T$4,K789&lt;=$T$5,N789),M789)</f>
        <v/>
      </c>
      <c r="Q789">
        <f>OR(AND(I789&gt;=$T$10,K789&lt;=$T$11,O789),M789)</f>
        <v/>
      </c>
    </row>
    <row r="790">
      <c r="A790">
        <f>Data!E829</f>
        <v/>
      </c>
      <c r="B790">
        <f>Data!G829</f>
        <v/>
      </c>
      <c r="C790">
        <f>Data!H829</f>
        <v/>
      </c>
      <c r="D790">
        <f>Data!I829</f>
        <v/>
      </c>
      <c r="E790">
        <f>Data!M829</f>
        <v/>
      </c>
      <c r="F790">
        <f>Data!O829</f>
        <v/>
      </c>
      <c r="G790">
        <f>E790-F790</f>
        <v/>
      </c>
      <c r="H790">
        <f>Data!P829</f>
        <v/>
      </c>
      <c r="I790">
        <f>G790+H790</f>
        <v/>
      </c>
      <c r="J790">
        <f>F790+G790+H790</f>
        <v/>
      </c>
      <c r="K790">
        <f>Data!R829</f>
        <v/>
      </c>
      <c r="L790">
        <f>Data!T829</f>
        <v/>
      </c>
      <c r="M790">
        <f>AND(E790=0,F790=0,G790=0,H790=0,I790=0,J790=0,K790=0,L790=0)</f>
        <v/>
      </c>
      <c r="N790">
        <f>G790&lt;=$T$6</f>
        <v/>
      </c>
      <c r="O790">
        <f>G790&lt;=$T$12</f>
        <v/>
      </c>
      <c r="P790">
        <f>OR(AND(H790&gt;=$T$4,K790&lt;=$T$5,N790),M790)</f>
        <v/>
      </c>
      <c r="Q790">
        <f>OR(AND(I790&gt;=$T$10,K790&lt;=$T$11,O790),M790)</f>
        <v/>
      </c>
    </row>
    <row r="791">
      <c r="A791">
        <f>Data!E830</f>
        <v/>
      </c>
      <c r="B791">
        <f>Data!G830</f>
        <v/>
      </c>
      <c r="C791">
        <f>Data!H830</f>
        <v/>
      </c>
      <c r="D791">
        <f>Data!I830</f>
        <v/>
      </c>
      <c r="E791">
        <f>Data!M830</f>
        <v/>
      </c>
      <c r="F791">
        <f>Data!O830</f>
        <v/>
      </c>
      <c r="G791">
        <f>E791-F791</f>
        <v/>
      </c>
      <c r="H791">
        <f>Data!P830</f>
        <v/>
      </c>
      <c r="I791">
        <f>G791+H791</f>
        <v/>
      </c>
      <c r="J791">
        <f>F791+G791+H791</f>
        <v/>
      </c>
      <c r="K791">
        <f>Data!R830</f>
        <v/>
      </c>
      <c r="L791">
        <f>Data!T830</f>
        <v/>
      </c>
      <c r="M791">
        <f>AND(E791=0,F791=0,G791=0,H791=0,I791=0,J791=0,K791=0,L791=0)</f>
        <v/>
      </c>
      <c r="N791">
        <f>G791&lt;=$T$6</f>
        <v/>
      </c>
      <c r="O791">
        <f>G791&lt;=$T$12</f>
        <v/>
      </c>
      <c r="P791">
        <f>OR(AND(H791&gt;=$T$4,K791&lt;=$T$5,N791),M791)</f>
        <v/>
      </c>
      <c r="Q791">
        <f>OR(AND(I791&gt;=$T$10,K791&lt;=$T$11,O791),M791)</f>
        <v/>
      </c>
    </row>
    <row r="792">
      <c r="A792">
        <f>Data!E831</f>
        <v/>
      </c>
      <c r="B792">
        <f>Data!G831</f>
        <v/>
      </c>
      <c r="C792">
        <f>Data!H831</f>
        <v/>
      </c>
      <c r="D792">
        <f>Data!I831</f>
        <v/>
      </c>
      <c r="E792">
        <f>Data!M831</f>
        <v/>
      </c>
      <c r="F792">
        <f>Data!O831</f>
        <v/>
      </c>
      <c r="G792">
        <f>E792-F792</f>
        <v/>
      </c>
      <c r="H792">
        <f>Data!P831</f>
        <v/>
      </c>
      <c r="I792">
        <f>G792+H792</f>
        <v/>
      </c>
      <c r="J792">
        <f>F792+G792+H792</f>
        <v/>
      </c>
      <c r="K792">
        <f>Data!R831</f>
        <v/>
      </c>
      <c r="L792">
        <f>Data!T831</f>
        <v/>
      </c>
      <c r="M792">
        <f>AND(E792=0,F792=0,G792=0,H792=0,I792=0,J792=0,K792=0,L792=0)</f>
        <v/>
      </c>
      <c r="N792">
        <f>G792&lt;=$T$6</f>
        <v/>
      </c>
      <c r="O792">
        <f>G792&lt;=$T$12</f>
        <v/>
      </c>
      <c r="P792">
        <f>OR(AND(H792&gt;=$T$4,K792&lt;=$T$5,N792),M792)</f>
        <v/>
      </c>
      <c r="Q792">
        <f>OR(AND(I792&gt;=$T$10,K792&lt;=$T$11,O792),M792)</f>
        <v/>
      </c>
    </row>
    <row r="793">
      <c r="A793">
        <f>Data!E832</f>
        <v/>
      </c>
      <c r="B793">
        <f>Data!G832</f>
        <v/>
      </c>
      <c r="C793">
        <f>Data!H832</f>
        <v/>
      </c>
      <c r="D793">
        <f>Data!I832</f>
        <v/>
      </c>
      <c r="E793">
        <f>Data!M832</f>
        <v/>
      </c>
      <c r="F793">
        <f>Data!O832</f>
        <v/>
      </c>
      <c r="G793">
        <f>E793-F793</f>
        <v/>
      </c>
      <c r="H793">
        <f>Data!P832</f>
        <v/>
      </c>
      <c r="I793">
        <f>G793+H793</f>
        <v/>
      </c>
      <c r="J793">
        <f>F793+G793+H793</f>
        <v/>
      </c>
      <c r="K793">
        <f>Data!R832</f>
        <v/>
      </c>
      <c r="L793">
        <f>Data!T832</f>
        <v/>
      </c>
      <c r="M793">
        <f>AND(E793=0,F793=0,G793=0,H793=0,I793=0,J793=0,K793=0,L793=0)</f>
        <v/>
      </c>
      <c r="N793">
        <f>G793&lt;=$T$6</f>
        <v/>
      </c>
      <c r="O793">
        <f>G793&lt;=$T$12</f>
        <v/>
      </c>
      <c r="P793">
        <f>OR(AND(H793&gt;=$T$4,K793&lt;=$T$5,N793),M793)</f>
        <v/>
      </c>
      <c r="Q793">
        <f>OR(AND(I793&gt;=$T$10,K793&lt;=$T$11,O793),M793)</f>
        <v/>
      </c>
    </row>
    <row r="794">
      <c r="A794">
        <f>Data!E833</f>
        <v/>
      </c>
      <c r="B794">
        <f>Data!G833</f>
        <v/>
      </c>
      <c r="C794">
        <f>Data!H833</f>
        <v/>
      </c>
      <c r="D794">
        <f>Data!I833</f>
        <v/>
      </c>
      <c r="E794">
        <f>Data!M833</f>
        <v/>
      </c>
      <c r="F794">
        <f>Data!O833</f>
        <v/>
      </c>
      <c r="G794">
        <f>E794-F794</f>
        <v/>
      </c>
      <c r="H794">
        <f>Data!P833</f>
        <v/>
      </c>
      <c r="I794">
        <f>G794+H794</f>
        <v/>
      </c>
      <c r="J794">
        <f>F794+G794+H794</f>
        <v/>
      </c>
      <c r="K794">
        <f>Data!R833</f>
        <v/>
      </c>
      <c r="L794">
        <f>Data!T833</f>
        <v/>
      </c>
      <c r="M794">
        <f>AND(E794=0,F794=0,G794=0,H794=0,I794=0,J794=0,K794=0,L794=0)</f>
        <v/>
      </c>
      <c r="N794">
        <f>G794&lt;=$T$6</f>
        <v/>
      </c>
      <c r="O794">
        <f>G794&lt;=$T$12</f>
        <v/>
      </c>
      <c r="P794">
        <f>OR(AND(H794&gt;=$T$4,K794&lt;=$T$5,N794),M794)</f>
        <v/>
      </c>
      <c r="Q794">
        <f>OR(AND(I794&gt;=$T$10,K794&lt;=$T$11,O794),M794)</f>
        <v/>
      </c>
    </row>
    <row r="795">
      <c r="A795">
        <f>Data!E834</f>
        <v/>
      </c>
      <c r="B795">
        <f>Data!G834</f>
        <v/>
      </c>
      <c r="C795">
        <f>Data!H834</f>
        <v/>
      </c>
      <c r="D795">
        <f>Data!I834</f>
        <v/>
      </c>
      <c r="E795">
        <f>Data!M834</f>
        <v/>
      </c>
      <c r="F795">
        <f>Data!O834</f>
        <v/>
      </c>
      <c r="G795">
        <f>E795-F795</f>
        <v/>
      </c>
      <c r="H795">
        <f>Data!P834</f>
        <v/>
      </c>
      <c r="I795">
        <f>G795+H795</f>
        <v/>
      </c>
      <c r="J795">
        <f>F795+G795+H795</f>
        <v/>
      </c>
      <c r="K795">
        <f>Data!R834</f>
        <v/>
      </c>
      <c r="L795">
        <f>Data!T834</f>
        <v/>
      </c>
      <c r="M795">
        <f>AND(E795=0,F795=0,G795=0,H795=0,I795=0,J795=0,K795=0,L795=0)</f>
        <v/>
      </c>
      <c r="N795">
        <f>G795&lt;=$T$6</f>
        <v/>
      </c>
      <c r="O795">
        <f>G795&lt;=$T$12</f>
        <v/>
      </c>
      <c r="P795">
        <f>OR(AND(H795&gt;=$T$4,K795&lt;=$T$5,N795),M795)</f>
        <v/>
      </c>
      <c r="Q795">
        <f>OR(AND(I795&gt;=$T$10,K795&lt;=$T$11,O795),M795)</f>
        <v/>
      </c>
    </row>
    <row r="796">
      <c r="A796">
        <f>Data!E835</f>
        <v/>
      </c>
      <c r="B796">
        <f>Data!G835</f>
        <v/>
      </c>
      <c r="C796">
        <f>Data!H835</f>
        <v/>
      </c>
      <c r="D796">
        <f>Data!I835</f>
        <v/>
      </c>
      <c r="E796">
        <f>Data!M835</f>
        <v/>
      </c>
      <c r="F796">
        <f>Data!O835</f>
        <v/>
      </c>
      <c r="G796">
        <f>E796-F796</f>
        <v/>
      </c>
      <c r="H796">
        <f>Data!P835</f>
        <v/>
      </c>
      <c r="I796">
        <f>G796+H796</f>
        <v/>
      </c>
      <c r="J796">
        <f>F796+G796+H796</f>
        <v/>
      </c>
      <c r="K796">
        <f>Data!R835</f>
        <v/>
      </c>
      <c r="L796">
        <f>Data!T835</f>
        <v/>
      </c>
      <c r="M796">
        <f>AND(E796=0,F796=0,G796=0,H796=0,I796=0,J796=0,K796=0,L796=0)</f>
        <v/>
      </c>
      <c r="N796">
        <f>G796&lt;=$T$6</f>
        <v/>
      </c>
      <c r="O796">
        <f>G796&lt;=$T$12</f>
        <v/>
      </c>
      <c r="P796">
        <f>OR(AND(H796&gt;=$T$4,K796&lt;=$T$5,N796),M796)</f>
        <v/>
      </c>
      <c r="Q796">
        <f>OR(AND(I796&gt;=$T$10,K796&lt;=$T$11,O796),M796)</f>
        <v/>
      </c>
    </row>
    <row r="797">
      <c r="A797">
        <f>Data!E836</f>
        <v/>
      </c>
      <c r="B797">
        <f>Data!G836</f>
        <v/>
      </c>
      <c r="C797">
        <f>Data!H836</f>
        <v/>
      </c>
      <c r="D797">
        <f>Data!I836</f>
        <v/>
      </c>
      <c r="E797">
        <f>Data!M836</f>
        <v/>
      </c>
      <c r="F797">
        <f>Data!O836</f>
        <v/>
      </c>
      <c r="G797">
        <f>E797-F797</f>
        <v/>
      </c>
      <c r="H797">
        <f>Data!P836</f>
        <v/>
      </c>
      <c r="I797">
        <f>G797+H797</f>
        <v/>
      </c>
      <c r="J797">
        <f>F797+G797+H797</f>
        <v/>
      </c>
      <c r="K797">
        <f>Data!R836</f>
        <v/>
      </c>
      <c r="L797">
        <f>Data!T836</f>
        <v/>
      </c>
      <c r="M797">
        <f>AND(E797=0,F797=0,G797=0,H797=0,I797=0,J797=0,K797=0,L797=0)</f>
        <v/>
      </c>
      <c r="N797">
        <f>G797&lt;=$T$6</f>
        <v/>
      </c>
      <c r="O797">
        <f>G797&lt;=$T$12</f>
        <v/>
      </c>
      <c r="P797">
        <f>OR(AND(H797&gt;=$T$4,K797&lt;=$T$5,N797),M797)</f>
        <v/>
      </c>
      <c r="Q797">
        <f>OR(AND(I797&gt;=$T$10,K797&lt;=$T$11,O797),M797)</f>
        <v/>
      </c>
    </row>
    <row r="798">
      <c r="A798">
        <f>Data!E837</f>
        <v/>
      </c>
      <c r="B798">
        <f>Data!G837</f>
        <v/>
      </c>
      <c r="C798">
        <f>Data!H837</f>
        <v/>
      </c>
      <c r="D798">
        <f>Data!I837</f>
        <v/>
      </c>
      <c r="E798">
        <f>Data!M837</f>
        <v/>
      </c>
      <c r="F798">
        <f>Data!O837</f>
        <v/>
      </c>
      <c r="G798">
        <f>E798-F798</f>
        <v/>
      </c>
      <c r="H798">
        <f>Data!P837</f>
        <v/>
      </c>
      <c r="I798">
        <f>G798+H798</f>
        <v/>
      </c>
      <c r="J798">
        <f>F798+G798+H798</f>
        <v/>
      </c>
      <c r="K798">
        <f>Data!R837</f>
        <v/>
      </c>
      <c r="L798">
        <f>Data!T837</f>
        <v/>
      </c>
      <c r="M798">
        <f>AND(E798=0,F798=0,G798=0,H798=0,I798=0,J798=0,K798=0,L798=0)</f>
        <v/>
      </c>
      <c r="N798">
        <f>G798&lt;=$T$6</f>
        <v/>
      </c>
      <c r="O798">
        <f>G798&lt;=$T$12</f>
        <v/>
      </c>
      <c r="P798">
        <f>OR(AND(H798&gt;=$T$4,K798&lt;=$T$5,N798),M798)</f>
        <v/>
      </c>
      <c r="Q798">
        <f>OR(AND(I798&gt;=$T$10,K798&lt;=$T$11,O798),M798)</f>
        <v/>
      </c>
    </row>
    <row r="799">
      <c r="A799">
        <f>Data!E839</f>
        <v/>
      </c>
      <c r="B799">
        <f>Data!G839</f>
        <v/>
      </c>
      <c r="C799">
        <f>Data!H839</f>
        <v/>
      </c>
      <c r="D799">
        <f>Data!I839</f>
        <v/>
      </c>
      <c r="E799">
        <f>Data!M839</f>
        <v/>
      </c>
      <c r="F799">
        <f>Data!O839</f>
        <v/>
      </c>
      <c r="G799">
        <f>E799-F799</f>
        <v/>
      </c>
      <c r="H799">
        <f>Data!P839</f>
        <v/>
      </c>
      <c r="I799">
        <f>G799+H799</f>
        <v/>
      </c>
      <c r="J799">
        <f>F799+G799+H799</f>
        <v/>
      </c>
      <c r="K799">
        <f>Data!R839</f>
        <v/>
      </c>
      <c r="L799">
        <f>Data!T839</f>
        <v/>
      </c>
      <c r="M799">
        <f>AND(E799=0,F799=0,G799=0,H799=0,I799=0,J799=0,K799=0,L799=0)</f>
        <v/>
      </c>
      <c r="N799">
        <f>G799&lt;=$T$6</f>
        <v/>
      </c>
      <c r="O799">
        <f>G799&lt;=$T$12</f>
        <v/>
      </c>
      <c r="P799">
        <f>OR(AND(H799&gt;=$T$4,K799&lt;=$T$5,N799),M799)</f>
        <v/>
      </c>
      <c r="Q799">
        <f>OR(AND(I799&gt;=$T$10,K799&lt;=$T$11,O799),M799)</f>
        <v/>
      </c>
    </row>
    <row r="800">
      <c r="A800">
        <f>Data!E840</f>
        <v/>
      </c>
      <c r="B800">
        <f>Data!G840</f>
        <v/>
      </c>
      <c r="C800">
        <f>Data!H840</f>
        <v/>
      </c>
      <c r="D800">
        <f>Data!I840</f>
        <v/>
      </c>
      <c r="E800">
        <f>Data!M840</f>
        <v/>
      </c>
      <c r="F800">
        <f>Data!O840</f>
        <v/>
      </c>
      <c r="G800">
        <f>E800-F800</f>
        <v/>
      </c>
      <c r="H800">
        <f>Data!P840</f>
        <v/>
      </c>
      <c r="I800">
        <f>G800+H800</f>
        <v/>
      </c>
      <c r="J800">
        <f>F800+G800+H800</f>
        <v/>
      </c>
      <c r="K800">
        <f>Data!R840</f>
        <v/>
      </c>
      <c r="L800">
        <f>Data!T840</f>
        <v/>
      </c>
      <c r="M800">
        <f>AND(E800=0,F800=0,G800=0,H800=0,I800=0,J800=0,K800=0,L800=0)</f>
        <v/>
      </c>
      <c r="N800">
        <f>G800&lt;=$T$6</f>
        <v/>
      </c>
      <c r="O800">
        <f>G800&lt;=$T$12</f>
        <v/>
      </c>
      <c r="P800">
        <f>OR(AND(H800&gt;=$T$4,K800&lt;=$T$5,N800),M800)</f>
        <v/>
      </c>
      <c r="Q800">
        <f>OR(AND(I800&gt;=$T$10,K800&lt;=$T$11,O800),M800)</f>
        <v/>
      </c>
    </row>
    <row r="801">
      <c r="A801">
        <f>Data!E841</f>
        <v/>
      </c>
      <c r="B801">
        <f>Data!G841</f>
        <v/>
      </c>
      <c r="C801">
        <f>Data!H841</f>
        <v/>
      </c>
      <c r="D801">
        <f>Data!I841</f>
        <v/>
      </c>
      <c r="E801">
        <f>Data!M841</f>
        <v/>
      </c>
      <c r="F801">
        <f>Data!O841</f>
        <v/>
      </c>
      <c r="G801">
        <f>E801-F801</f>
        <v/>
      </c>
      <c r="H801">
        <f>Data!P841</f>
        <v/>
      </c>
      <c r="I801">
        <f>G801+H801</f>
        <v/>
      </c>
      <c r="J801">
        <f>F801+G801+H801</f>
        <v/>
      </c>
      <c r="K801">
        <f>Data!R841</f>
        <v/>
      </c>
      <c r="L801">
        <f>Data!T841</f>
        <v/>
      </c>
      <c r="M801">
        <f>AND(E801=0,F801=0,G801=0,H801=0,I801=0,J801=0,K801=0,L801=0)</f>
        <v/>
      </c>
      <c r="N801">
        <f>G801&lt;=$T$6</f>
        <v/>
      </c>
      <c r="O801">
        <f>G801&lt;=$T$12</f>
        <v/>
      </c>
      <c r="P801">
        <f>OR(AND(H801&gt;=$T$4,K801&lt;=$T$5,N801),M801)</f>
        <v/>
      </c>
      <c r="Q801">
        <f>OR(AND(I801&gt;=$T$10,K801&lt;=$T$11,O801),M801)</f>
        <v/>
      </c>
    </row>
    <row r="802">
      <c r="A802">
        <f>Data!E842</f>
        <v/>
      </c>
      <c r="B802">
        <f>Data!G842</f>
        <v/>
      </c>
      <c r="C802">
        <f>Data!H842</f>
        <v/>
      </c>
      <c r="D802">
        <f>Data!I842</f>
        <v/>
      </c>
      <c r="E802">
        <f>Data!M842</f>
        <v/>
      </c>
      <c r="F802">
        <f>Data!O842</f>
        <v/>
      </c>
      <c r="G802">
        <f>E802-F802</f>
        <v/>
      </c>
      <c r="H802">
        <f>Data!P842</f>
        <v/>
      </c>
      <c r="I802">
        <f>G802+H802</f>
        <v/>
      </c>
      <c r="J802">
        <f>F802+G802+H802</f>
        <v/>
      </c>
      <c r="K802">
        <f>Data!R842</f>
        <v/>
      </c>
      <c r="L802">
        <f>Data!T842</f>
        <v/>
      </c>
      <c r="M802">
        <f>AND(E802=0,F802=0,G802=0,H802=0,I802=0,J802=0,K802=0,L802=0)</f>
        <v/>
      </c>
      <c r="N802">
        <f>G802&lt;=$T$6</f>
        <v/>
      </c>
      <c r="O802">
        <f>G802&lt;=$T$12</f>
        <v/>
      </c>
      <c r="P802">
        <f>OR(AND(H802&gt;=$T$4,K802&lt;=$T$5,N802),M802)</f>
        <v/>
      </c>
      <c r="Q802">
        <f>OR(AND(I802&gt;=$T$10,K802&lt;=$T$11,O802),M802)</f>
        <v/>
      </c>
    </row>
    <row r="803">
      <c r="A803">
        <f>Data!E843</f>
        <v/>
      </c>
      <c r="B803">
        <f>Data!G843</f>
        <v/>
      </c>
      <c r="C803">
        <f>Data!H843</f>
        <v/>
      </c>
      <c r="D803">
        <f>Data!I843</f>
        <v/>
      </c>
      <c r="E803">
        <f>Data!M843</f>
        <v/>
      </c>
      <c r="F803">
        <f>Data!O843</f>
        <v/>
      </c>
      <c r="G803">
        <f>E803-F803</f>
        <v/>
      </c>
      <c r="H803">
        <f>Data!P843</f>
        <v/>
      </c>
      <c r="I803">
        <f>G803+H803</f>
        <v/>
      </c>
      <c r="J803">
        <f>F803+G803+H803</f>
        <v/>
      </c>
      <c r="K803">
        <f>Data!R843</f>
        <v/>
      </c>
      <c r="L803">
        <f>Data!T843</f>
        <v/>
      </c>
      <c r="M803">
        <f>AND(E803=0,F803=0,G803=0,H803=0,I803=0,J803=0,K803=0,L803=0)</f>
        <v/>
      </c>
      <c r="N803">
        <f>G803&lt;=$T$6</f>
        <v/>
      </c>
      <c r="O803">
        <f>G803&lt;=$T$12</f>
        <v/>
      </c>
      <c r="P803">
        <f>OR(AND(H803&gt;=$T$4,K803&lt;=$T$5,N803),M803)</f>
        <v/>
      </c>
      <c r="Q803">
        <f>OR(AND(I803&gt;=$T$10,K803&lt;=$T$11,O803),M803)</f>
        <v/>
      </c>
    </row>
    <row r="804">
      <c r="A804">
        <f>Data!E844</f>
        <v/>
      </c>
      <c r="B804">
        <f>Data!G844</f>
        <v/>
      </c>
      <c r="C804">
        <f>Data!H844</f>
        <v/>
      </c>
      <c r="D804">
        <f>Data!I844</f>
        <v/>
      </c>
      <c r="E804">
        <f>Data!M844</f>
        <v/>
      </c>
      <c r="F804">
        <f>Data!O844</f>
        <v/>
      </c>
      <c r="G804">
        <f>E804-F804</f>
        <v/>
      </c>
      <c r="H804">
        <f>Data!P844</f>
        <v/>
      </c>
      <c r="I804">
        <f>G804+H804</f>
        <v/>
      </c>
      <c r="J804">
        <f>F804+G804+H804</f>
        <v/>
      </c>
      <c r="K804">
        <f>Data!R844</f>
        <v/>
      </c>
      <c r="L804">
        <f>Data!T844</f>
        <v/>
      </c>
      <c r="M804">
        <f>AND(E804=0,F804=0,G804=0,H804=0,I804=0,J804=0,K804=0,L804=0)</f>
        <v/>
      </c>
      <c r="N804">
        <f>G804&lt;=$T$6</f>
        <v/>
      </c>
      <c r="O804">
        <f>G804&lt;=$T$12</f>
        <v/>
      </c>
      <c r="P804">
        <f>OR(AND(H804&gt;=$T$4,K804&lt;=$T$5,N804),M804)</f>
        <v/>
      </c>
      <c r="Q804">
        <f>OR(AND(I804&gt;=$T$10,K804&lt;=$T$11,O804),M804)</f>
        <v/>
      </c>
    </row>
    <row r="805">
      <c r="A805">
        <f>Data!E845</f>
        <v/>
      </c>
      <c r="B805">
        <f>Data!G845</f>
        <v/>
      </c>
      <c r="C805">
        <f>Data!H845</f>
        <v/>
      </c>
      <c r="D805">
        <f>Data!I845</f>
        <v/>
      </c>
      <c r="E805">
        <f>Data!M845</f>
        <v/>
      </c>
      <c r="F805">
        <f>Data!O845</f>
        <v/>
      </c>
      <c r="G805">
        <f>E805-F805</f>
        <v/>
      </c>
      <c r="H805">
        <f>Data!P845</f>
        <v/>
      </c>
      <c r="I805">
        <f>G805+H805</f>
        <v/>
      </c>
      <c r="J805">
        <f>F805+G805+H805</f>
        <v/>
      </c>
      <c r="K805">
        <f>Data!R845</f>
        <v/>
      </c>
      <c r="L805">
        <f>Data!T845</f>
        <v/>
      </c>
      <c r="M805">
        <f>AND(E805=0,F805=0,G805=0,H805=0,I805=0,J805=0,K805=0,L805=0)</f>
        <v/>
      </c>
      <c r="N805">
        <f>G805&lt;=$T$6</f>
        <v/>
      </c>
      <c r="O805">
        <f>G805&lt;=$T$12</f>
        <v/>
      </c>
      <c r="P805">
        <f>OR(AND(H805&gt;=$T$4,K805&lt;=$T$5,N805),M805)</f>
        <v/>
      </c>
      <c r="Q805">
        <f>OR(AND(I805&gt;=$T$10,K805&lt;=$T$11,O805),M805)</f>
        <v/>
      </c>
    </row>
    <row r="806">
      <c r="A806">
        <f>Data!E846</f>
        <v/>
      </c>
      <c r="B806">
        <f>Data!G846</f>
        <v/>
      </c>
      <c r="C806">
        <f>Data!H846</f>
        <v/>
      </c>
      <c r="D806">
        <f>Data!I846</f>
        <v/>
      </c>
      <c r="E806">
        <f>Data!M846</f>
        <v/>
      </c>
      <c r="F806">
        <f>Data!O846</f>
        <v/>
      </c>
      <c r="G806">
        <f>E806-F806</f>
        <v/>
      </c>
      <c r="H806">
        <f>Data!P846</f>
        <v/>
      </c>
      <c r="I806">
        <f>G806+H806</f>
        <v/>
      </c>
      <c r="J806">
        <f>F806+G806+H806</f>
        <v/>
      </c>
      <c r="K806">
        <f>Data!R846</f>
        <v/>
      </c>
      <c r="L806">
        <f>Data!T846</f>
        <v/>
      </c>
      <c r="M806">
        <f>AND(E806=0,F806=0,G806=0,H806=0,I806=0,J806=0,K806=0,L806=0)</f>
        <v/>
      </c>
      <c r="N806">
        <f>G806&lt;=$T$6</f>
        <v/>
      </c>
      <c r="O806">
        <f>G806&lt;=$T$12</f>
        <v/>
      </c>
      <c r="P806">
        <f>OR(AND(H806&gt;=$T$4,K806&lt;=$T$5,N806),M806)</f>
        <v/>
      </c>
      <c r="Q806">
        <f>OR(AND(I806&gt;=$T$10,K806&lt;=$T$11,O806),M806)</f>
        <v/>
      </c>
    </row>
    <row r="807">
      <c r="A807">
        <f>Data!E847</f>
        <v/>
      </c>
      <c r="B807">
        <f>Data!G847</f>
        <v/>
      </c>
      <c r="C807">
        <f>Data!H847</f>
        <v/>
      </c>
      <c r="D807">
        <f>Data!I847</f>
        <v/>
      </c>
      <c r="E807">
        <f>Data!M847</f>
        <v/>
      </c>
      <c r="F807">
        <f>Data!O847</f>
        <v/>
      </c>
      <c r="G807">
        <f>E807-F807</f>
        <v/>
      </c>
      <c r="H807">
        <f>Data!P847</f>
        <v/>
      </c>
      <c r="I807">
        <f>G807+H807</f>
        <v/>
      </c>
      <c r="J807">
        <f>F807+G807+H807</f>
        <v/>
      </c>
      <c r="K807">
        <f>Data!R847</f>
        <v/>
      </c>
      <c r="L807">
        <f>Data!T847</f>
        <v/>
      </c>
      <c r="M807">
        <f>AND(E807=0,F807=0,G807=0,H807=0,I807=0,J807=0,K807=0,L807=0)</f>
        <v/>
      </c>
      <c r="N807">
        <f>G807&lt;=$T$6</f>
        <v/>
      </c>
      <c r="O807">
        <f>G807&lt;=$T$12</f>
        <v/>
      </c>
      <c r="P807">
        <f>OR(AND(H807&gt;=$T$4,K807&lt;=$T$5,N807),M807)</f>
        <v/>
      </c>
      <c r="Q807">
        <f>OR(AND(I807&gt;=$T$10,K807&lt;=$T$11,O807),M807)</f>
        <v/>
      </c>
    </row>
    <row r="808">
      <c r="A808">
        <f>Data!E848</f>
        <v/>
      </c>
      <c r="B808">
        <f>Data!G848</f>
        <v/>
      </c>
      <c r="C808">
        <f>Data!H848</f>
        <v/>
      </c>
      <c r="D808">
        <f>Data!I848</f>
        <v/>
      </c>
      <c r="E808">
        <f>Data!M848</f>
        <v/>
      </c>
      <c r="F808">
        <f>Data!O848</f>
        <v/>
      </c>
      <c r="G808">
        <f>E808-F808</f>
        <v/>
      </c>
      <c r="H808">
        <f>Data!P848</f>
        <v/>
      </c>
      <c r="I808">
        <f>G808+H808</f>
        <v/>
      </c>
      <c r="J808">
        <f>F808+G808+H808</f>
        <v/>
      </c>
      <c r="K808">
        <f>Data!R848</f>
        <v/>
      </c>
      <c r="L808">
        <f>Data!T848</f>
        <v/>
      </c>
      <c r="M808">
        <f>AND(E808=0,F808=0,G808=0,H808=0,I808=0,J808=0,K808=0,L808=0)</f>
        <v/>
      </c>
      <c r="N808">
        <f>G808&lt;=$T$6</f>
        <v/>
      </c>
      <c r="O808">
        <f>G808&lt;=$T$12</f>
        <v/>
      </c>
      <c r="P808">
        <f>OR(AND(H808&gt;=$T$4,K808&lt;=$T$5,N808),M808)</f>
        <v/>
      </c>
      <c r="Q808">
        <f>OR(AND(I808&gt;=$T$10,K808&lt;=$T$11,O808),M808)</f>
        <v/>
      </c>
    </row>
    <row r="809">
      <c r="A809">
        <f>Data!E849</f>
        <v/>
      </c>
      <c r="B809">
        <f>Data!G849</f>
        <v/>
      </c>
      <c r="C809">
        <f>Data!H849</f>
        <v/>
      </c>
      <c r="D809">
        <f>Data!I849</f>
        <v/>
      </c>
      <c r="E809">
        <f>Data!M849</f>
        <v/>
      </c>
      <c r="F809">
        <f>Data!O849</f>
        <v/>
      </c>
      <c r="G809">
        <f>E809-F809</f>
        <v/>
      </c>
      <c r="H809">
        <f>Data!P849</f>
        <v/>
      </c>
      <c r="I809">
        <f>G809+H809</f>
        <v/>
      </c>
      <c r="J809">
        <f>F809+G809+H809</f>
        <v/>
      </c>
      <c r="K809">
        <f>Data!R849</f>
        <v/>
      </c>
      <c r="L809">
        <f>Data!T849</f>
        <v/>
      </c>
      <c r="M809">
        <f>AND(E809=0,F809=0,G809=0,H809=0,I809=0,J809=0,K809=0,L809=0)</f>
        <v/>
      </c>
      <c r="N809">
        <f>G809&lt;=$T$6</f>
        <v/>
      </c>
      <c r="O809">
        <f>G809&lt;=$T$12</f>
        <v/>
      </c>
      <c r="P809">
        <f>OR(AND(H809&gt;=$T$4,K809&lt;=$T$5,N809),M809)</f>
        <v/>
      </c>
      <c r="Q809">
        <f>OR(AND(I809&gt;=$T$10,K809&lt;=$T$11,O809),M809)</f>
        <v/>
      </c>
    </row>
    <row r="810">
      <c r="A810">
        <f>Data!E850</f>
        <v/>
      </c>
      <c r="B810">
        <f>Data!G850</f>
        <v/>
      </c>
      <c r="C810">
        <f>Data!H850</f>
        <v/>
      </c>
      <c r="D810">
        <f>Data!I850</f>
        <v/>
      </c>
      <c r="E810">
        <f>Data!M850</f>
        <v/>
      </c>
      <c r="F810">
        <f>Data!O850</f>
        <v/>
      </c>
      <c r="G810">
        <f>E810-F810</f>
        <v/>
      </c>
      <c r="H810">
        <f>Data!P850</f>
        <v/>
      </c>
      <c r="I810">
        <f>G810+H810</f>
        <v/>
      </c>
      <c r="J810">
        <f>F810+G810+H810</f>
        <v/>
      </c>
      <c r="K810">
        <f>Data!R850</f>
        <v/>
      </c>
      <c r="L810">
        <f>Data!T850</f>
        <v/>
      </c>
      <c r="M810">
        <f>AND(E810=0,F810=0,G810=0,H810=0,I810=0,J810=0,K810=0,L810=0)</f>
        <v/>
      </c>
      <c r="N810">
        <f>G810&lt;=$T$6</f>
        <v/>
      </c>
      <c r="O810">
        <f>G810&lt;=$T$12</f>
        <v/>
      </c>
      <c r="P810">
        <f>OR(AND(H810&gt;=$T$4,K810&lt;=$T$5,N810),M810)</f>
        <v/>
      </c>
      <c r="Q810">
        <f>OR(AND(I810&gt;=$T$10,K810&lt;=$T$11,O810),M810)</f>
        <v/>
      </c>
    </row>
    <row r="811">
      <c r="A811">
        <f>Data!E851</f>
        <v/>
      </c>
      <c r="B811">
        <f>Data!G851</f>
        <v/>
      </c>
      <c r="C811">
        <f>Data!H851</f>
        <v/>
      </c>
      <c r="D811">
        <f>Data!I851</f>
        <v/>
      </c>
      <c r="E811">
        <f>Data!M851</f>
        <v/>
      </c>
      <c r="F811">
        <f>Data!O851</f>
        <v/>
      </c>
      <c r="G811">
        <f>E811-F811</f>
        <v/>
      </c>
      <c r="H811">
        <f>Data!P851</f>
        <v/>
      </c>
      <c r="I811">
        <f>G811+H811</f>
        <v/>
      </c>
      <c r="J811">
        <f>F811+G811+H811</f>
        <v/>
      </c>
      <c r="K811">
        <f>Data!R851</f>
        <v/>
      </c>
      <c r="L811">
        <f>Data!T851</f>
        <v/>
      </c>
      <c r="M811">
        <f>AND(E811=0,F811=0,G811=0,H811=0,I811=0,J811=0,K811=0,L811=0)</f>
        <v/>
      </c>
      <c r="N811">
        <f>G811&lt;=$T$6</f>
        <v/>
      </c>
      <c r="O811">
        <f>G811&lt;=$T$12</f>
        <v/>
      </c>
      <c r="P811">
        <f>OR(AND(H811&gt;=$T$4,K811&lt;=$T$5,N811),M811)</f>
        <v/>
      </c>
      <c r="Q811">
        <f>OR(AND(I811&gt;=$T$10,K811&lt;=$T$11,O811),M811)</f>
        <v/>
      </c>
    </row>
    <row r="812">
      <c r="A812">
        <f>Data!E852</f>
        <v/>
      </c>
      <c r="B812">
        <f>Data!G852</f>
        <v/>
      </c>
      <c r="C812">
        <f>Data!H852</f>
        <v/>
      </c>
      <c r="D812">
        <f>Data!I852</f>
        <v/>
      </c>
      <c r="E812">
        <f>Data!M852</f>
        <v/>
      </c>
      <c r="F812">
        <f>Data!O852</f>
        <v/>
      </c>
      <c r="G812">
        <f>E812-F812</f>
        <v/>
      </c>
      <c r="H812">
        <f>Data!P852</f>
        <v/>
      </c>
      <c r="I812">
        <f>G812+H812</f>
        <v/>
      </c>
      <c r="J812">
        <f>F812+G812+H812</f>
        <v/>
      </c>
      <c r="K812">
        <f>Data!R852</f>
        <v/>
      </c>
      <c r="L812">
        <f>Data!T852</f>
        <v/>
      </c>
      <c r="M812">
        <f>AND(E812=0,F812=0,G812=0,H812=0,I812=0,J812=0,K812=0,L812=0)</f>
        <v/>
      </c>
      <c r="N812">
        <f>G812&lt;=$T$6</f>
        <v/>
      </c>
      <c r="O812">
        <f>G812&lt;=$T$12</f>
        <v/>
      </c>
      <c r="P812">
        <f>OR(AND(H812&gt;=$T$4,K812&lt;=$T$5,N812),M812)</f>
        <v/>
      </c>
      <c r="Q812">
        <f>OR(AND(I812&gt;=$T$10,K812&lt;=$T$11,O812),M812)</f>
        <v/>
      </c>
    </row>
    <row r="813">
      <c r="A813">
        <f>Data!E853</f>
        <v/>
      </c>
      <c r="B813">
        <f>Data!G853</f>
        <v/>
      </c>
      <c r="C813">
        <f>Data!H853</f>
        <v/>
      </c>
      <c r="D813">
        <f>Data!I853</f>
        <v/>
      </c>
      <c r="E813">
        <f>Data!M853</f>
        <v/>
      </c>
      <c r="F813">
        <f>Data!O853</f>
        <v/>
      </c>
      <c r="G813">
        <f>E813-F813</f>
        <v/>
      </c>
      <c r="H813">
        <f>Data!P853</f>
        <v/>
      </c>
      <c r="I813">
        <f>G813+H813</f>
        <v/>
      </c>
      <c r="J813">
        <f>F813+G813+H813</f>
        <v/>
      </c>
      <c r="K813">
        <f>Data!R853</f>
        <v/>
      </c>
      <c r="L813">
        <f>Data!T853</f>
        <v/>
      </c>
      <c r="M813">
        <f>AND(E813=0,F813=0,G813=0,H813=0,I813=0,J813=0,K813=0,L813=0)</f>
        <v/>
      </c>
      <c r="N813">
        <f>G813&lt;=$T$6</f>
        <v/>
      </c>
      <c r="O813">
        <f>G813&lt;=$T$12</f>
        <v/>
      </c>
      <c r="P813">
        <f>OR(AND(H813&gt;=$T$4,K813&lt;=$T$5,N813),M813)</f>
        <v/>
      </c>
      <c r="Q813">
        <f>OR(AND(I813&gt;=$T$10,K813&lt;=$T$11,O813),M813)</f>
        <v/>
      </c>
    </row>
    <row r="814">
      <c r="A814">
        <f>Data!E854</f>
        <v/>
      </c>
      <c r="B814">
        <f>Data!G854</f>
        <v/>
      </c>
      <c r="C814">
        <f>Data!H854</f>
        <v/>
      </c>
      <c r="D814">
        <f>Data!I854</f>
        <v/>
      </c>
      <c r="E814">
        <f>Data!M854</f>
        <v/>
      </c>
      <c r="F814">
        <f>Data!O854</f>
        <v/>
      </c>
      <c r="G814">
        <f>E814-F814</f>
        <v/>
      </c>
      <c r="H814">
        <f>Data!P854</f>
        <v/>
      </c>
      <c r="I814">
        <f>G814+H814</f>
        <v/>
      </c>
      <c r="J814">
        <f>F814+G814+H814</f>
        <v/>
      </c>
      <c r="K814">
        <f>Data!R854</f>
        <v/>
      </c>
      <c r="L814">
        <f>Data!T854</f>
        <v/>
      </c>
      <c r="M814">
        <f>AND(E814=0,F814=0,G814=0,H814=0,I814=0,J814=0,K814=0,L814=0)</f>
        <v/>
      </c>
      <c r="N814">
        <f>G814&lt;=$T$6</f>
        <v/>
      </c>
      <c r="O814">
        <f>G814&lt;=$T$12</f>
        <v/>
      </c>
      <c r="P814">
        <f>OR(AND(H814&gt;=$T$4,K814&lt;=$T$5,N814),M814)</f>
        <v/>
      </c>
      <c r="Q814">
        <f>OR(AND(I814&gt;=$T$10,K814&lt;=$T$11,O814),M814)</f>
        <v/>
      </c>
    </row>
    <row r="815">
      <c r="A815">
        <f>Data!E856</f>
        <v/>
      </c>
      <c r="B815">
        <f>Data!G856</f>
        <v/>
      </c>
      <c r="C815">
        <f>Data!H856</f>
        <v/>
      </c>
      <c r="D815">
        <f>Data!I856</f>
        <v/>
      </c>
      <c r="E815">
        <f>Data!M856</f>
        <v/>
      </c>
      <c r="F815">
        <f>Data!O856</f>
        <v/>
      </c>
      <c r="G815">
        <f>E815-F815</f>
        <v/>
      </c>
      <c r="H815">
        <f>Data!P856</f>
        <v/>
      </c>
      <c r="I815">
        <f>G815+H815</f>
        <v/>
      </c>
      <c r="J815">
        <f>F815+G815+H815</f>
        <v/>
      </c>
      <c r="K815">
        <f>Data!R856</f>
        <v/>
      </c>
      <c r="L815">
        <f>Data!T856</f>
        <v/>
      </c>
      <c r="M815">
        <f>AND(E815=0,F815=0,G815=0,H815=0,I815=0,J815=0,K815=0,L815=0)</f>
        <v/>
      </c>
      <c r="N815">
        <f>G815&lt;=$T$6</f>
        <v/>
      </c>
      <c r="O815">
        <f>G815&lt;=$T$12</f>
        <v/>
      </c>
      <c r="P815">
        <f>OR(AND(H815&gt;=$T$4,K815&lt;=$T$5,N815),M815)</f>
        <v/>
      </c>
      <c r="Q815">
        <f>OR(AND(I815&gt;=$T$10,K815&lt;=$T$11,O815),M815)</f>
        <v/>
      </c>
    </row>
    <row r="816">
      <c r="A816">
        <f>Data!E857</f>
        <v/>
      </c>
      <c r="B816">
        <f>Data!G857</f>
        <v/>
      </c>
      <c r="C816">
        <f>Data!H857</f>
        <v/>
      </c>
      <c r="D816">
        <f>Data!I857</f>
        <v/>
      </c>
      <c r="E816">
        <f>Data!M857</f>
        <v/>
      </c>
      <c r="F816">
        <f>Data!O857</f>
        <v/>
      </c>
      <c r="G816">
        <f>E816-F816</f>
        <v/>
      </c>
      <c r="H816">
        <f>Data!P857</f>
        <v/>
      </c>
      <c r="I816">
        <f>G816+H816</f>
        <v/>
      </c>
      <c r="J816">
        <f>F816+G816+H816</f>
        <v/>
      </c>
      <c r="K816">
        <f>Data!R857</f>
        <v/>
      </c>
      <c r="L816">
        <f>Data!T857</f>
        <v/>
      </c>
      <c r="M816">
        <f>AND(E816=0,F816=0,G816=0,H816=0,I816=0,J816=0,K816=0,L816=0)</f>
        <v/>
      </c>
      <c r="N816">
        <f>G816&lt;=$T$6</f>
        <v/>
      </c>
      <c r="O816">
        <f>G816&lt;=$T$12</f>
        <v/>
      </c>
      <c r="P816">
        <f>OR(AND(H816&gt;=$T$4,K816&lt;=$T$5,N816),M816)</f>
        <v/>
      </c>
      <c r="Q816">
        <f>OR(AND(I816&gt;=$T$10,K816&lt;=$T$11,O816),M816)</f>
        <v/>
      </c>
    </row>
    <row r="817">
      <c r="A817">
        <f>Data!E858</f>
        <v/>
      </c>
      <c r="B817">
        <f>Data!G858</f>
        <v/>
      </c>
      <c r="C817">
        <f>Data!H858</f>
        <v/>
      </c>
      <c r="D817">
        <f>Data!I858</f>
        <v/>
      </c>
      <c r="E817">
        <f>Data!M858</f>
        <v/>
      </c>
      <c r="F817">
        <f>Data!O858</f>
        <v/>
      </c>
      <c r="G817">
        <f>E817-F817</f>
        <v/>
      </c>
      <c r="H817">
        <f>Data!P858</f>
        <v/>
      </c>
      <c r="I817">
        <f>G817+H817</f>
        <v/>
      </c>
      <c r="J817">
        <f>F817+G817+H817</f>
        <v/>
      </c>
      <c r="K817">
        <f>Data!R858</f>
        <v/>
      </c>
      <c r="L817">
        <f>Data!T858</f>
        <v/>
      </c>
      <c r="M817">
        <f>AND(E817=0,F817=0,G817=0,H817=0,I817=0,J817=0,K817=0,L817=0)</f>
        <v/>
      </c>
      <c r="N817">
        <f>G817&lt;=$T$6</f>
        <v/>
      </c>
      <c r="O817">
        <f>G817&lt;=$T$12</f>
        <v/>
      </c>
      <c r="P817">
        <f>OR(AND(H817&gt;=$T$4,K817&lt;=$T$5,N817),M817)</f>
        <v/>
      </c>
      <c r="Q817">
        <f>OR(AND(I817&gt;=$T$10,K817&lt;=$T$11,O817),M817)</f>
        <v/>
      </c>
    </row>
    <row r="818">
      <c r="A818">
        <f>Data!E859</f>
        <v/>
      </c>
      <c r="B818">
        <f>Data!G859</f>
        <v/>
      </c>
      <c r="C818">
        <f>Data!H859</f>
        <v/>
      </c>
      <c r="D818">
        <f>Data!I859</f>
        <v/>
      </c>
      <c r="E818">
        <f>Data!M859</f>
        <v/>
      </c>
      <c r="F818">
        <f>Data!O859</f>
        <v/>
      </c>
      <c r="G818">
        <f>E818-F818</f>
        <v/>
      </c>
      <c r="H818">
        <f>Data!P859</f>
        <v/>
      </c>
      <c r="I818">
        <f>G818+H818</f>
        <v/>
      </c>
      <c r="J818">
        <f>F818+G818+H818</f>
        <v/>
      </c>
      <c r="K818">
        <f>Data!R859</f>
        <v/>
      </c>
      <c r="L818">
        <f>Data!T859</f>
        <v/>
      </c>
      <c r="M818">
        <f>AND(E818=0,F818=0,G818=0,H818=0,I818=0,J818=0,K818=0,L818=0)</f>
        <v/>
      </c>
      <c r="N818">
        <f>G818&lt;=$T$6</f>
        <v/>
      </c>
      <c r="O818">
        <f>G818&lt;=$T$12</f>
        <v/>
      </c>
      <c r="P818">
        <f>OR(AND(H818&gt;=$T$4,K818&lt;=$T$5,N818),M818)</f>
        <v/>
      </c>
      <c r="Q818">
        <f>OR(AND(I818&gt;=$T$10,K818&lt;=$T$11,O818),M818)</f>
        <v/>
      </c>
    </row>
    <row r="819">
      <c r="A819">
        <f>Data!E860</f>
        <v/>
      </c>
      <c r="B819">
        <f>Data!G860</f>
        <v/>
      </c>
      <c r="C819">
        <f>Data!H860</f>
        <v/>
      </c>
      <c r="D819">
        <f>Data!I860</f>
        <v/>
      </c>
      <c r="E819">
        <f>Data!M860</f>
        <v/>
      </c>
      <c r="F819">
        <f>Data!O860</f>
        <v/>
      </c>
      <c r="G819">
        <f>E819-F819</f>
        <v/>
      </c>
      <c r="H819">
        <f>Data!P860</f>
        <v/>
      </c>
      <c r="I819">
        <f>G819+H819</f>
        <v/>
      </c>
      <c r="J819">
        <f>F819+G819+H819</f>
        <v/>
      </c>
      <c r="K819">
        <f>Data!R860</f>
        <v/>
      </c>
      <c r="L819">
        <f>Data!T860</f>
        <v/>
      </c>
      <c r="M819">
        <f>AND(E819=0,F819=0,G819=0,H819=0,I819=0,J819=0,K819=0,L819=0)</f>
        <v/>
      </c>
      <c r="N819">
        <f>G819&lt;=$T$6</f>
        <v/>
      </c>
      <c r="O819">
        <f>G819&lt;=$T$12</f>
        <v/>
      </c>
      <c r="P819">
        <f>OR(AND(H819&gt;=$T$4,K819&lt;=$T$5,N819),M819)</f>
        <v/>
      </c>
      <c r="Q819">
        <f>OR(AND(I819&gt;=$T$10,K819&lt;=$T$11,O819),M819)</f>
        <v/>
      </c>
    </row>
    <row r="820">
      <c r="A820">
        <f>Data!E861</f>
        <v/>
      </c>
      <c r="B820">
        <f>Data!G861</f>
        <v/>
      </c>
      <c r="C820">
        <f>Data!H861</f>
        <v/>
      </c>
      <c r="D820">
        <f>Data!I861</f>
        <v/>
      </c>
      <c r="E820">
        <f>Data!M861</f>
        <v/>
      </c>
      <c r="F820">
        <f>Data!O861</f>
        <v/>
      </c>
      <c r="G820">
        <f>E820-F820</f>
        <v/>
      </c>
      <c r="H820">
        <f>Data!P861</f>
        <v/>
      </c>
      <c r="I820">
        <f>G820+H820</f>
        <v/>
      </c>
      <c r="J820">
        <f>F820+G820+H820</f>
        <v/>
      </c>
      <c r="K820">
        <f>Data!R861</f>
        <v/>
      </c>
      <c r="L820">
        <f>Data!T861</f>
        <v/>
      </c>
      <c r="M820">
        <f>AND(E820=0,F820=0,G820=0,H820=0,I820=0,J820=0,K820=0,L820=0)</f>
        <v/>
      </c>
      <c r="N820">
        <f>G820&lt;=$T$6</f>
        <v/>
      </c>
      <c r="O820">
        <f>G820&lt;=$T$12</f>
        <v/>
      </c>
      <c r="P820">
        <f>OR(AND(H820&gt;=$T$4,K820&lt;=$T$5,N820),M820)</f>
        <v/>
      </c>
      <c r="Q820">
        <f>OR(AND(I820&gt;=$T$10,K820&lt;=$T$11,O820),M820)</f>
        <v/>
      </c>
    </row>
    <row r="821">
      <c r="A821">
        <f>Data!E862</f>
        <v/>
      </c>
      <c r="B821">
        <f>Data!G862</f>
        <v/>
      </c>
      <c r="C821">
        <f>Data!H862</f>
        <v/>
      </c>
      <c r="D821">
        <f>Data!I862</f>
        <v/>
      </c>
      <c r="E821">
        <f>Data!M862</f>
        <v/>
      </c>
      <c r="F821">
        <f>Data!O862</f>
        <v/>
      </c>
      <c r="G821">
        <f>E821-F821</f>
        <v/>
      </c>
      <c r="H821">
        <f>Data!P862</f>
        <v/>
      </c>
      <c r="I821">
        <f>G821+H821</f>
        <v/>
      </c>
      <c r="J821">
        <f>F821+G821+H821</f>
        <v/>
      </c>
      <c r="K821">
        <f>Data!R862</f>
        <v/>
      </c>
      <c r="L821">
        <f>Data!T862</f>
        <v/>
      </c>
      <c r="M821">
        <f>AND(E821=0,F821=0,G821=0,H821=0,I821=0,J821=0,K821=0,L821=0)</f>
        <v/>
      </c>
      <c r="N821">
        <f>G821&lt;=$T$6</f>
        <v/>
      </c>
      <c r="O821">
        <f>G821&lt;=$T$12</f>
        <v/>
      </c>
      <c r="P821">
        <f>OR(AND(H821&gt;=$T$4,K821&lt;=$T$5,N821),M821)</f>
        <v/>
      </c>
      <c r="Q821">
        <f>OR(AND(I821&gt;=$T$10,K821&lt;=$T$11,O821),M821)</f>
        <v/>
      </c>
    </row>
    <row r="822">
      <c r="A822">
        <f>Data!E863</f>
        <v/>
      </c>
      <c r="B822">
        <f>Data!G863</f>
        <v/>
      </c>
      <c r="C822">
        <f>Data!H863</f>
        <v/>
      </c>
      <c r="D822">
        <f>Data!I863</f>
        <v/>
      </c>
      <c r="E822">
        <f>Data!M863</f>
        <v/>
      </c>
      <c r="F822">
        <f>Data!O863</f>
        <v/>
      </c>
      <c r="G822">
        <f>E822-F822</f>
        <v/>
      </c>
      <c r="H822">
        <f>Data!P863</f>
        <v/>
      </c>
      <c r="I822">
        <f>G822+H822</f>
        <v/>
      </c>
      <c r="J822">
        <f>F822+G822+H822</f>
        <v/>
      </c>
      <c r="K822">
        <f>Data!R863</f>
        <v/>
      </c>
      <c r="L822">
        <f>Data!T863</f>
        <v/>
      </c>
      <c r="M822">
        <f>AND(E822=0,F822=0,G822=0,H822=0,I822=0,J822=0,K822=0,L822=0)</f>
        <v/>
      </c>
      <c r="N822">
        <f>G822&lt;=$T$6</f>
        <v/>
      </c>
      <c r="O822">
        <f>G822&lt;=$T$12</f>
        <v/>
      </c>
      <c r="P822">
        <f>OR(AND(H822&gt;=$T$4,K822&lt;=$T$5,N822),M822)</f>
        <v/>
      </c>
      <c r="Q822">
        <f>OR(AND(I822&gt;=$T$10,K822&lt;=$T$11,O822),M822)</f>
        <v/>
      </c>
    </row>
    <row r="823">
      <c r="A823">
        <f>Data!E864</f>
        <v/>
      </c>
      <c r="B823">
        <f>Data!G864</f>
        <v/>
      </c>
      <c r="C823">
        <f>Data!H864</f>
        <v/>
      </c>
      <c r="D823">
        <f>Data!I864</f>
        <v/>
      </c>
      <c r="E823">
        <f>Data!M864</f>
        <v/>
      </c>
      <c r="F823">
        <f>Data!O864</f>
        <v/>
      </c>
      <c r="G823">
        <f>E823-F823</f>
        <v/>
      </c>
      <c r="H823">
        <f>Data!P864</f>
        <v/>
      </c>
      <c r="I823">
        <f>G823+H823</f>
        <v/>
      </c>
      <c r="J823">
        <f>F823+G823+H823</f>
        <v/>
      </c>
      <c r="K823">
        <f>Data!R864</f>
        <v/>
      </c>
      <c r="L823">
        <f>Data!T864</f>
        <v/>
      </c>
      <c r="M823">
        <f>AND(E823=0,F823=0,G823=0,H823=0,I823=0,J823=0,K823=0,L823=0)</f>
        <v/>
      </c>
      <c r="N823">
        <f>G823&lt;=$T$6</f>
        <v/>
      </c>
      <c r="O823">
        <f>G823&lt;=$T$12</f>
        <v/>
      </c>
      <c r="P823">
        <f>OR(AND(H823&gt;=$T$4,K823&lt;=$T$5,N823),M823)</f>
        <v/>
      </c>
      <c r="Q823">
        <f>OR(AND(I823&gt;=$T$10,K823&lt;=$T$11,O823),M823)</f>
        <v/>
      </c>
    </row>
    <row r="824">
      <c r="A824">
        <f>Data!E865</f>
        <v/>
      </c>
      <c r="B824">
        <f>Data!G865</f>
        <v/>
      </c>
      <c r="C824">
        <f>Data!H865</f>
        <v/>
      </c>
      <c r="D824">
        <f>Data!I865</f>
        <v/>
      </c>
      <c r="E824">
        <f>Data!M865</f>
        <v/>
      </c>
      <c r="F824">
        <f>Data!O865</f>
        <v/>
      </c>
      <c r="G824">
        <f>E824-F824</f>
        <v/>
      </c>
      <c r="H824">
        <f>Data!P865</f>
        <v/>
      </c>
      <c r="I824">
        <f>G824+H824</f>
        <v/>
      </c>
      <c r="J824">
        <f>F824+G824+H824</f>
        <v/>
      </c>
      <c r="K824">
        <f>Data!R865</f>
        <v/>
      </c>
      <c r="L824">
        <f>Data!T865</f>
        <v/>
      </c>
      <c r="M824">
        <f>AND(E824=0,F824=0,G824=0,H824=0,I824=0,J824=0,K824=0,L824=0)</f>
        <v/>
      </c>
      <c r="N824">
        <f>G824&lt;=$T$6</f>
        <v/>
      </c>
      <c r="O824">
        <f>G824&lt;=$T$12</f>
        <v/>
      </c>
      <c r="P824">
        <f>OR(AND(H824&gt;=$T$4,K824&lt;=$T$5,N824),M824)</f>
        <v/>
      </c>
      <c r="Q824">
        <f>OR(AND(I824&gt;=$T$10,K824&lt;=$T$11,O824),M824)</f>
        <v/>
      </c>
    </row>
    <row r="825">
      <c r="A825">
        <f>Data!E866</f>
        <v/>
      </c>
      <c r="B825">
        <f>Data!G866</f>
        <v/>
      </c>
      <c r="C825">
        <f>Data!H866</f>
        <v/>
      </c>
      <c r="D825">
        <f>Data!I866</f>
        <v/>
      </c>
      <c r="E825">
        <f>Data!M866</f>
        <v/>
      </c>
      <c r="F825">
        <f>Data!O866</f>
        <v/>
      </c>
      <c r="G825">
        <f>E825-F825</f>
        <v/>
      </c>
      <c r="H825">
        <f>Data!P866</f>
        <v/>
      </c>
      <c r="I825">
        <f>G825+H825</f>
        <v/>
      </c>
      <c r="J825">
        <f>F825+G825+H825</f>
        <v/>
      </c>
      <c r="K825">
        <f>Data!R866</f>
        <v/>
      </c>
      <c r="L825">
        <f>Data!T866</f>
        <v/>
      </c>
      <c r="M825">
        <f>AND(E825=0,F825=0,G825=0,H825=0,I825=0,J825=0,K825=0,L825=0)</f>
        <v/>
      </c>
      <c r="N825">
        <f>G825&lt;=$T$6</f>
        <v/>
      </c>
      <c r="O825">
        <f>G825&lt;=$T$12</f>
        <v/>
      </c>
      <c r="P825">
        <f>OR(AND(H825&gt;=$T$4,K825&lt;=$T$5,N825),M825)</f>
        <v/>
      </c>
      <c r="Q825">
        <f>OR(AND(I825&gt;=$T$10,K825&lt;=$T$11,O825),M825)</f>
        <v/>
      </c>
    </row>
    <row r="826">
      <c r="A826">
        <f>Data!E867</f>
        <v/>
      </c>
      <c r="B826">
        <f>Data!G867</f>
        <v/>
      </c>
      <c r="C826">
        <f>Data!H867</f>
        <v/>
      </c>
      <c r="D826">
        <f>Data!I867</f>
        <v/>
      </c>
      <c r="E826">
        <f>Data!M867</f>
        <v/>
      </c>
      <c r="F826">
        <f>Data!O867</f>
        <v/>
      </c>
      <c r="G826">
        <f>E826-F826</f>
        <v/>
      </c>
      <c r="H826">
        <f>Data!P867</f>
        <v/>
      </c>
      <c r="I826">
        <f>G826+H826</f>
        <v/>
      </c>
      <c r="J826">
        <f>F826+G826+H826</f>
        <v/>
      </c>
      <c r="K826">
        <f>Data!R867</f>
        <v/>
      </c>
      <c r="L826">
        <f>Data!T867</f>
        <v/>
      </c>
      <c r="M826">
        <f>AND(E826=0,F826=0,G826=0,H826=0,I826=0,J826=0,K826=0,L826=0)</f>
        <v/>
      </c>
      <c r="N826">
        <f>G826&lt;=$T$6</f>
        <v/>
      </c>
      <c r="O826">
        <f>G826&lt;=$T$12</f>
        <v/>
      </c>
      <c r="P826">
        <f>OR(AND(H826&gt;=$T$4,K826&lt;=$T$5,N826),M826)</f>
        <v/>
      </c>
      <c r="Q826">
        <f>OR(AND(I826&gt;=$T$10,K826&lt;=$T$11,O826),M826)</f>
        <v/>
      </c>
    </row>
    <row r="827">
      <c r="A827">
        <f>Data!E868</f>
        <v/>
      </c>
      <c r="B827">
        <f>Data!G868</f>
        <v/>
      </c>
      <c r="C827">
        <f>Data!H868</f>
        <v/>
      </c>
      <c r="D827">
        <f>Data!I868</f>
        <v/>
      </c>
      <c r="E827">
        <f>Data!M868</f>
        <v/>
      </c>
      <c r="F827">
        <f>Data!O868</f>
        <v/>
      </c>
      <c r="G827">
        <f>E827-F827</f>
        <v/>
      </c>
      <c r="H827">
        <f>Data!P868</f>
        <v/>
      </c>
      <c r="I827">
        <f>G827+H827</f>
        <v/>
      </c>
      <c r="J827">
        <f>F827+G827+H827</f>
        <v/>
      </c>
      <c r="K827">
        <f>Data!R868</f>
        <v/>
      </c>
      <c r="L827">
        <f>Data!T868</f>
        <v/>
      </c>
      <c r="M827">
        <f>AND(E827=0,F827=0,G827=0,H827=0,I827=0,J827=0,K827=0,L827=0)</f>
        <v/>
      </c>
      <c r="N827">
        <f>G827&lt;=$T$6</f>
        <v/>
      </c>
      <c r="O827">
        <f>G827&lt;=$T$12</f>
        <v/>
      </c>
      <c r="P827">
        <f>OR(AND(H827&gt;=$T$4,K827&lt;=$T$5,N827),M827)</f>
        <v/>
      </c>
      <c r="Q827">
        <f>OR(AND(I827&gt;=$T$10,K827&lt;=$T$11,O827),M827)</f>
        <v/>
      </c>
    </row>
    <row r="828">
      <c r="A828">
        <f>Data!E869</f>
        <v/>
      </c>
      <c r="B828">
        <f>Data!G869</f>
        <v/>
      </c>
      <c r="C828">
        <f>Data!H869</f>
        <v/>
      </c>
      <c r="D828">
        <f>Data!I869</f>
        <v/>
      </c>
      <c r="E828">
        <f>Data!M869</f>
        <v/>
      </c>
      <c r="F828">
        <f>Data!O869</f>
        <v/>
      </c>
      <c r="G828">
        <f>E828-F828</f>
        <v/>
      </c>
      <c r="H828">
        <f>Data!P869</f>
        <v/>
      </c>
      <c r="I828">
        <f>G828+H828</f>
        <v/>
      </c>
      <c r="J828">
        <f>F828+G828+H828</f>
        <v/>
      </c>
      <c r="K828">
        <f>Data!R869</f>
        <v/>
      </c>
      <c r="L828">
        <f>Data!T869</f>
        <v/>
      </c>
      <c r="M828">
        <f>AND(E828=0,F828=0,G828=0,H828=0,I828=0,J828=0,K828=0,L828=0)</f>
        <v/>
      </c>
      <c r="N828">
        <f>G828&lt;=$T$6</f>
        <v/>
      </c>
      <c r="O828">
        <f>G828&lt;=$T$12</f>
        <v/>
      </c>
      <c r="P828">
        <f>OR(AND(H828&gt;=$T$4,K828&lt;=$T$5,N828),M828)</f>
        <v/>
      </c>
      <c r="Q828">
        <f>OR(AND(I828&gt;=$T$10,K828&lt;=$T$11,O828),M828)</f>
        <v/>
      </c>
    </row>
    <row r="829">
      <c r="A829">
        <f>Data!E870</f>
        <v/>
      </c>
      <c r="B829">
        <f>Data!G870</f>
        <v/>
      </c>
      <c r="C829">
        <f>Data!H870</f>
        <v/>
      </c>
      <c r="D829">
        <f>Data!I870</f>
        <v/>
      </c>
      <c r="E829">
        <f>Data!M870</f>
        <v/>
      </c>
      <c r="F829">
        <f>Data!O870</f>
        <v/>
      </c>
      <c r="G829">
        <f>E829-F829</f>
        <v/>
      </c>
      <c r="H829">
        <f>Data!P870</f>
        <v/>
      </c>
      <c r="I829">
        <f>G829+H829</f>
        <v/>
      </c>
      <c r="J829">
        <f>F829+G829+H829</f>
        <v/>
      </c>
      <c r="K829">
        <f>Data!R870</f>
        <v/>
      </c>
      <c r="L829">
        <f>Data!T870</f>
        <v/>
      </c>
      <c r="M829">
        <f>AND(E829=0,F829=0,G829=0,H829=0,I829=0,J829=0,K829=0,L829=0)</f>
        <v/>
      </c>
      <c r="N829">
        <f>G829&lt;=$T$6</f>
        <v/>
      </c>
      <c r="O829">
        <f>G829&lt;=$T$12</f>
        <v/>
      </c>
      <c r="P829">
        <f>OR(AND(H829&gt;=$T$4,K829&lt;=$T$5,N829),M829)</f>
        <v/>
      </c>
      <c r="Q829">
        <f>OR(AND(I829&gt;=$T$10,K829&lt;=$T$11,O829),M829)</f>
        <v/>
      </c>
    </row>
    <row r="830">
      <c r="A830">
        <f>Data!E871</f>
        <v/>
      </c>
      <c r="B830">
        <f>Data!G871</f>
        <v/>
      </c>
      <c r="C830">
        <f>Data!H871</f>
        <v/>
      </c>
      <c r="D830">
        <f>Data!I871</f>
        <v/>
      </c>
      <c r="E830">
        <f>Data!M871</f>
        <v/>
      </c>
      <c r="F830">
        <f>Data!O871</f>
        <v/>
      </c>
      <c r="G830">
        <f>E830-F830</f>
        <v/>
      </c>
      <c r="H830">
        <f>Data!P871</f>
        <v/>
      </c>
      <c r="I830">
        <f>G830+H830</f>
        <v/>
      </c>
      <c r="J830">
        <f>F830+G830+H830</f>
        <v/>
      </c>
      <c r="K830">
        <f>Data!R871</f>
        <v/>
      </c>
      <c r="L830">
        <f>Data!T871</f>
        <v/>
      </c>
      <c r="M830">
        <f>AND(E830=0,F830=0,G830=0,H830=0,I830=0,J830=0,K830=0,L830=0)</f>
        <v/>
      </c>
      <c r="N830">
        <f>G830&lt;=$T$6</f>
        <v/>
      </c>
      <c r="O830">
        <f>G830&lt;=$T$12</f>
        <v/>
      </c>
      <c r="P830">
        <f>OR(AND(H830&gt;=$T$4,K830&lt;=$T$5,N830),M830)</f>
        <v/>
      </c>
      <c r="Q830">
        <f>OR(AND(I830&gt;=$T$10,K830&lt;=$T$11,O830),M830)</f>
        <v/>
      </c>
    </row>
    <row r="831">
      <c r="A831">
        <f>Data!E873</f>
        <v/>
      </c>
      <c r="B831">
        <f>Data!G873</f>
        <v/>
      </c>
      <c r="C831">
        <f>Data!H873</f>
        <v/>
      </c>
      <c r="D831">
        <f>Data!I873</f>
        <v/>
      </c>
      <c r="E831">
        <f>Data!M873</f>
        <v/>
      </c>
      <c r="F831">
        <f>Data!O873</f>
        <v/>
      </c>
      <c r="G831">
        <f>E831-F831</f>
        <v/>
      </c>
      <c r="H831">
        <f>Data!P873</f>
        <v/>
      </c>
      <c r="I831">
        <f>G831+H831</f>
        <v/>
      </c>
      <c r="J831">
        <f>F831+G831+H831</f>
        <v/>
      </c>
      <c r="K831">
        <f>Data!R873</f>
        <v/>
      </c>
      <c r="L831">
        <f>Data!T873</f>
        <v/>
      </c>
      <c r="M831">
        <f>AND(E831=0,F831=0,G831=0,H831=0,I831=0,J831=0,K831=0,L831=0)</f>
        <v/>
      </c>
      <c r="N831">
        <f>G831&lt;=$T$6</f>
        <v/>
      </c>
      <c r="O831">
        <f>G831&lt;=$T$12</f>
        <v/>
      </c>
      <c r="P831">
        <f>OR(AND(H831&gt;=$T$4,K831&lt;=$T$5,N831),M831)</f>
        <v/>
      </c>
      <c r="Q831">
        <f>OR(AND(I831&gt;=$T$10,K831&lt;=$T$11,O831),M831)</f>
        <v/>
      </c>
    </row>
    <row r="832">
      <c r="A832">
        <f>Data!E874</f>
        <v/>
      </c>
      <c r="B832">
        <f>Data!G874</f>
        <v/>
      </c>
      <c r="C832">
        <f>Data!H874</f>
        <v/>
      </c>
      <c r="D832">
        <f>Data!I874</f>
        <v/>
      </c>
      <c r="E832">
        <f>Data!M874</f>
        <v/>
      </c>
      <c r="F832">
        <f>Data!O874</f>
        <v/>
      </c>
      <c r="G832">
        <f>E832-F832</f>
        <v/>
      </c>
      <c r="H832">
        <f>Data!P874</f>
        <v/>
      </c>
      <c r="I832">
        <f>G832+H832</f>
        <v/>
      </c>
      <c r="J832">
        <f>F832+G832+H832</f>
        <v/>
      </c>
      <c r="K832">
        <f>Data!R874</f>
        <v/>
      </c>
      <c r="L832">
        <f>Data!T874</f>
        <v/>
      </c>
      <c r="M832">
        <f>AND(E832=0,F832=0,G832=0,H832=0,I832=0,J832=0,K832=0,L832=0)</f>
        <v/>
      </c>
      <c r="N832">
        <f>G832&lt;=$T$6</f>
        <v/>
      </c>
      <c r="O832">
        <f>G832&lt;=$T$12</f>
        <v/>
      </c>
      <c r="P832">
        <f>OR(AND(H832&gt;=$T$4,K832&lt;=$T$5,N832),M832)</f>
        <v/>
      </c>
      <c r="Q832">
        <f>OR(AND(I832&gt;=$T$10,K832&lt;=$T$11,O832),M832)</f>
        <v/>
      </c>
    </row>
    <row r="833">
      <c r="A833">
        <f>Data!E875</f>
        <v/>
      </c>
      <c r="B833">
        <f>Data!G875</f>
        <v/>
      </c>
      <c r="C833">
        <f>Data!H875</f>
        <v/>
      </c>
      <c r="D833">
        <f>Data!I875</f>
        <v/>
      </c>
      <c r="E833">
        <f>Data!M875</f>
        <v/>
      </c>
      <c r="F833">
        <f>Data!O875</f>
        <v/>
      </c>
      <c r="G833">
        <f>E833-F833</f>
        <v/>
      </c>
      <c r="H833">
        <f>Data!P875</f>
        <v/>
      </c>
      <c r="I833">
        <f>G833+H833</f>
        <v/>
      </c>
      <c r="J833">
        <f>F833+G833+H833</f>
        <v/>
      </c>
      <c r="K833">
        <f>Data!R875</f>
        <v/>
      </c>
      <c r="L833">
        <f>Data!T875</f>
        <v/>
      </c>
      <c r="M833">
        <f>AND(E833=0,F833=0,G833=0,H833=0,I833=0,J833=0,K833=0,L833=0)</f>
        <v/>
      </c>
      <c r="N833">
        <f>G833&lt;=$T$6</f>
        <v/>
      </c>
      <c r="O833">
        <f>G833&lt;=$T$12</f>
        <v/>
      </c>
      <c r="P833">
        <f>OR(AND(H833&gt;=$T$4,K833&lt;=$T$5,N833),M833)</f>
        <v/>
      </c>
      <c r="Q833">
        <f>OR(AND(I833&gt;=$T$10,K833&lt;=$T$11,O833),M833)</f>
        <v/>
      </c>
    </row>
    <row r="834">
      <c r="A834">
        <f>Data!E876</f>
        <v/>
      </c>
      <c r="B834">
        <f>Data!G876</f>
        <v/>
      </c>
      <c r="C834">
        <f>Data!H876</f>
        <v/>
      </c>
      <c r="D834">
        <f>Data!I876</f>
        <v/>
      </c>
      <c r="E834">
        <f>Data!M876</f>
        <v/>
      </c>
      <c r="F834">
        <f>Data!O876</f>
        <v/>
      </c>
      <c r="G834">
        <f>E834-F834</f>
        <v/>
      </c>
      <c r="H834">
        <f>Data!P876</f>
        <v/>
      </c>
      <c r="I834">
        <f>G834+H834</f>
        <v/>
      </c>
      <c r="J834">
        <f>F834+G834+H834</f>
        <v/>
      </c>
      <c r="K834">
        <f>Data!R876</f>
        <v/>
      </c>
      <c r="L834">
        <f>Data!T876</f>
        <v/>
      </c>
      <c r="M834">
        <f>AND(E834=0,F834=0,G834=0,H834=0,I834=0,J834=0,K834=0,L834=0)</f>
        <v/>
      </c>
      <c r="N834">
        <f>G834&lt;=$T$6</f>
        <v/>
      </c>
      <c r="O834">
        <f>G834&lt;=$T$12</f>
        <v/>
      </c>
      <c r="P834">
        <f>OR(AND(H834&gt;=$T$4,K834&lt;=$T$5,N834),M834)</f>
        <v/>
      </c>
      <c r="Q834">
        <f>OR(AND(I834&gt;=$T$10,K834&lt;=$T$11,O834),M834)</f>
        <v/>
      </c>
    </row>
    <row r="835">
      <c r="A835">
        <f>Data!E877</f>
        <v/>
      </c>
      <c r="B835">
        <f>Data!G877</f>
        <v/>
      </c>
      <c r="C835">
        <f>Data!H877</f>
        <v/>
      </c>
      <c r="D835">
        <f>Data!I877</f>
        <v/>
      </c>
      <c r="E835">
        <f>Data!M877</f>
        <v/>
      </c>
      <c r="F835">
        <f>Data!O877</f>
        <v/>
      </c>
      <c r="G835">
        <f>E835-F835</f>
        <v/>
      </c>
      <c r="H835">
        <f>Data!P877</f>
        <v/>
      </c>
      <c r="I835">
        <f>G835+H835</f>
        <v/>
      </c>
      <c r="J835">
        <f>F835+G835+H835</f>
        <v/>
      </c>
      <c r="K835">
        <f>Data!R877</f>
        <v/>
      </c>
      <c r="L835">
        <f>Data!T877</f>
        <v/>
      </c>
      <c r="M835">
        <f>AND(E835=0,F835=0,G835=0,H835=0,I835=0,J835=0,K835=0,L835=0)</f>
        <v/>
      </c>
      <c r="N835">
        <f>G835&lt;=$T$6</f>
        <v/>
      </c>
      <c r="O835">
        <f>G835&lt;=$T$12</f>
        <v/>
      </c>
      <c r="P835">
        <f>OR(AND(H835&gt;=$T$4,K835&lt;=$T$5,N835),M835)</f>
        <v/>
      </c>
      <c r="Q835">
        <f>OR(AND(I835&gt;=$T$10,K835&lt;=$T$11,O835),M835)</f>
        <v/>
      </c>
    </row>
    <row r="836">
      <c r="A836">
        <f>Data!E878</f>
        <v/>
      </c>
      <c r="B836">
        <f>Data!G878</f>
        <v/>
      </c>
      <c r="C836">
        <f>Data!H878</f>
        <v/>
      </c>
      <c r="D836">
        <f>Data!I878</f>
        <v/>
      </c>
      <c r="E836">
        <f>Data!M878</f>
        <v/>
      </c>
      <c r="F836">
        <f>Data!O878</f>
        <v/>
      </c>
      <c r="G836">
        <f>E836-F836</f>
        <v/>
      </c>
      <c r="H836">
        <f>Data!P878</f>
        <v/>
      </c>
      <c r="I836">
        <f>G836+H836</f>
        <v/>
      </c>
      <c r="J836">
        <f>F836+G836+H836</f>
        <v/>
      </c>
      <c r="K836">
        <f>Data!R878</f>
        <v/>
      </c>
      <c r="L836">
        <f>Data!T878</f>
        <v/>
      </c>
      <c r="M836">
        <f>AND(E836=0,F836=0,G836=0,H836=0,I836=0,J836=0,K836=0,L836=0)</f>
        <v/>
      </c>
      <c r="N836">
        <f>G836&lt;=$T$6</f>
        <v/>
      </c>
      <c r="O836">
        <f>G836&lt;=$T$12</f>
        <v/>
      </c>
      <c r="P836">
        <f>OR(AND(H836&gt;=$T$4,K836&lt;=$T$5,N836),M836)</f>
        <v/>
      </c>
      <c r="Q836">
        <f>OR(AND(I836&gt;=$T$10,K836&lt;=$T$11,O836),M836)</f>
        <v/>
      </c>
    </row>
    <row r="837">
      <c r="A837">
        <f>Data!E879</f>
        <v/>
      </c>
      <c r="B837">
        <f>Data!G879</f>
        <v/>
      </c>
      <c r="C837">
        <f>Data!H879</f>
        <v/>
      </c>
      <c r="D837">
        <f>Data!I879</f>
        <v/>
      </c>
      <c r="E837">
        <f>Data!M879</f>
        <v/>
      </c>
      <c r="F837">
        <f>Data!O879</f>
        <v/>
      </c>
      <c r="G837">
        <f>E837-F837</f>
        <v/>
      </c>
      <c r="H837">
        <f>Data!P879</f>
        <v/>
      </c>
      <c r="I837">
        <f>G837+H837</f>
        <v/>
      </c>
      <c r="J837">
        <f>F837+G837+H837</f>
        <v/>
      </c>
      <c r="K837">
        <f>Data!R879</f>
        <v/>
      </c>
      <c r="L837">
        <f>Data!T879</f>
        <v/>
      </c>
      <c r="M837">
        <f>AND(E837=0,F837=0,G837=0,H837=0,I837=0,J837=0,K837=0,L837=0)</f>
        <v/>
      </c>
      <c r="N837">
        <f>G837&lt;=$T$6</f>
        <v/>
      </c>
      <c r="O837">
        <f>G837&lt;=$T$12</f>
        <v/>
      </c>
      <c r="P837">
        <f>OR(AND(H837&gt;=$T$4,K837&lt;=$T$5,N837),M837)</f>
        <v/>
      </c>
      <c r="Q837">
        <f>OR(AND(I837&gt;=$T$10,K837&lt;=$T$11,O837),M837)</f>
        <v/>
      </c>
    </row>
    <row r="838">
      <c r="A838">
        <f>Data!E880</f>
        <v/>
      </c>
      <c r="B838">
        <f>Data!G880</f>
        <v/>
      </c>
      <c r="C838">
        <f>Data!H880</f>
        <v/>
      </c>
      <c r="D838">
        <f>Data!I880</f>
        <v/>
      </c>
      <c r="E838">
        <f>Data!M880</f>
        <v/>
      </c>
      <c r="F838">
        <f>Data!O880</f>
        <v/>
      </c>
      <c r="G838">
        <f>E838-F838</f>
        <v/>
      </c>
      <c r="H838">
        <f>Data!P880</f>
        <v/>
      </c>
      <c r="I838">
        <f>G838+H838</f>
        <v/>
      </c>
      <c r="J838">
        <f>F838+G838+H838</f>
        <v/>
      </c>
      <c r="K838">
        <f>Data!R880</f>
        <v/>
      </c>
      <c r="L838">
        <f>Data!T880</f>
        <v/>
      </c>
      <c r="M838">
        <f>AND(E838=0,F838=0,G838=0,H838=0,I838=0,J838=0,K838=0,L838=0)</f>
        <v/>
      </c>
      <c r="N838">
        <f>G838&lt;=$T$6</f>
        <v/>
      </c>
      <c r="O838">
        <f>G838&lt;=$T$12</f>
        <v/>
      </c>
      <c r="P838">
        <f>OR(AND(H838&gt;=$T$4,K838&lt;=$T$5,N838),M838)</f>
        <v/>
      </c>
      <c r="Q838">
        <f>OR(AND(I838&gt;=$T$10,K838&lt;=$T$11,O838),M838)</f>
        <v/>
      </c>
    </row>
    <row r="839">
      <c r="A839">
        <f>Data!E881</f>
        <v/>
      </c>
      <c r="B839">
        <f>Data!G881</f>
        <v/>
      </c>
      <c r="C839">
        <f>Data!H881</f>
        <v/>
      </c>
      <c r="D839">
        <f>Data!I881</f>
        <v/>
      </c>
      <c r="E839">
        <f>Data!M881</f>
        <v/>
      </c>
      <c r="F839">
        <f>Data!O881</f>
        <v/>
      </c>
      <c r="G839">
        <f>E839-F839</f>
        <v/>
      </c>
      <c r="H839">
        <f>Data!P881</f>
        <v/>
      </c>
      <c r="I839">
        <f>G839+H839</f>
        <v/>
      </c>
      <c r="J839">
        <f>F839+G839+H839</f>
        <v/>
      </c>
      <c r="K839">
        <f>Data!R881</f>
        <v/>
      </c>
      <c r="L839">
        <f>Data!T881</f>
        <v/>
      </c>
      <c r="M839">
        <f>AND(E839=0,F839=0,G839=0,H839=0,I839=0,J839=0,K839=0,L839=0)</f>
        <v/>
      </c>
      <c r="N839">
        <f>G839&lt;=$T$6</f>
        <v/>
      </c>
      <c r="O839">
        <f>G839&lt;=$T$12</f>
        <v/>
      </c>
      <c r="P839">
        <f>OR(AND(H839&gt;=$T$4,K839&lt;=$T$5,N839),M839)</f>
        <v/>
      </c>
      <c r="Q839">
        <f>OR(AND(I839&gt;=$T$10,K839&lt;=$T$11,O839),M839)</f>
        <v/>
      </c>
    </row>
    <row r="840">
      <c r="A840">
        <f>Data!E882</f>
        <v/>
      </c>
      <c r="B840">
        <f>Data!G882</f>
        <v/>
      </c>
      <c r="C840">
        <f>Data!H882</f>
        <v/>
      </c>
      <c r="D840">
        <f>Data!I882</f>
        <v/>
      </c>
      <c r="E840">
        <f>Data!M882</f>
        <v/>
      </c>
      <c r="F840">
        <f>Data!O882</f>
        <v/>
      </c>
      <c r="G840">
        <f>E840-F840</f>
        <v/>
      </c>
      <c r="H840">
        <f>Data!P882</f>
        <v/>
      </c>
      <c r="I840">
        <f>G840+H840</f>
        <v/>
      </c>
      <c r="J840">
        <f>F840+G840+H840</f>
        <v/>
      </c>
      <c r="K840">
        <f>Data!R882</f>
        <v/>
      </c>
      <c r="L840">
        <f>Data!T882</f>
        <v/>
      </c>
      <c r="M840">
        <f>AND(E840=0,F840=0,G840=0,H840=0,I840=0,J840=0,K840=0,L840=0)</f>
        <v/>
      </c>
      <c r="N840">
        <f>G840&lt;=$T$6</f>
        <v/>
      </c>
      <c r="O840">
        <f>G840&lt;=$T$12</f>
        <v/>
      </c>
      <c r="P840">
        <f>OR(AND(H840&gt;=$T$4,K840&lt;=$T$5,N840),M840)</f>
        <v/>
      </c>
      <c r="Q840">
        <f>OR(AND(I840&gt;=$T$10,K840&lt;=$T$11,O840),M840)</f>
        <v/>
      </c>
    </row>
    <row r="841">
      <c r="A841">
        <f>Data!E883</f>
        <v/>
      </c>
      <c r="B841">
        <f>Data!G883</f>
        <v/>
      </c>
      <c r="C841">
        <f>Data!H883</f>
        <v/>
      </c>
      <c r="D841">
        <f>Data!I883</f>
        <v/>
      </c>
      <c r="E841">
        <f>Data!M883</f>
        <v/>
      </c>
      <c r="F841">
        <f>Data!O883</f>
        <v/>
      </c>
      <c r="G841">
        <f>E841-F841</f>
        <v/>
      </c>
      <c r="H841">
        <f>Data!P883</f>
        <v/>
      </c>
      <c r="I841">
        <f>G841+H841</f>
        <v/>
      </c>
      <c r="J841">
        <f>F841+G841+H841</f>
        <v/>
      </c>
      <c r="K841">
        <f>Data!R883</f>
        <v/>
      </c>
      <c r="L841">
        <f>Data!T883</f>
        <v/>
      </c>
      <c r="M841">
        <f>AND(E841=0,F841=0,G841=0,H841=0,I841=0,J841=0,K841=0,L841=0)</f>
        <v/>
      </c>
      <c r="N841">
        <f>G841&lt;=$T$6</f>
        <v/>
      </c>
      <c r="O841">
        <f>G841&lt;=$T$12</f>
        <v/>
      </c>
      <c r="P841">
        <f>OR(AND(H841&gt;=$T$4,K841&lt;=$T$5,N841),M841)</f>
        <v/>
      </c>
      <c r="Q841">
        <f>OR(AND(I841&gt;=$T$10,K841&lt;=$T$11,O841),M841)</f>
        <v/>
      </c>
    </row>
    <row r="842">
      <c r="A842">
        <f>Data!E884</f>
        <v/>
      </c>
      <c r="B842">
        <f>Data!G884</f>
        <v/>
      </c>
      <c r="C842">
        <f>Data!H884</f>
        <v/>
      </c>
      <c r="D842">
        <f>Data!I884</f>
        <v/>
      </c>
      <c r="E842">
        <f>Data!M884</f>
        <v/>
      </c>
      <c r="F842">
        <f>Data!O884</f>
        <v/>
      </c>
      <c r="G842">
        <f>E842-F842</f>
        <v/>
      </c>
      <c r="H842">
        <f>Data!P884</f>
        <v/>
      </c>
      <c r="I842">
        <f>G842+H842</f>
        <v/>
      </c>
      <c r="J842">
        <f>F842+G842+H842</f>
        <v/>
      </c>
      <c r="K842">
        <f>Data!R884</f>
        <v/>
      </c>
      <c r="L842">
        <f>Data!T884</f>
        <v/>
      </c>
      <c r="M842">
        <f>AND(E842=0,F842=0,G842=0,H842=0,I842=0,J842=0,K842=0,L842=0)</f>
        <v/>
      </c>
      <c r="N842">
        <f>G842&lt;=$T$6</f>
        <v/>
      </c>
      <c r="O842">
        <f>G842&lt;=$T$12</f>
        <v/>
      </c>
      <c r="P842">
        <f>OR(AND(H842&gt;=$T$4,K842&lt;=$T$5,N842),M842)</f>
        <v/>
      </c>
      <c r="Q842">
        <f>OR(AND(I842&gt;=$T$10,K842&lt;=$T$11,O842),M842)</f>
        <v/>
      </c>
    </row>
    <row r="843">
      <c r="A843">
        <f>Data!E886</f>
        <v/>
      </c>
      <c r="B843">
        <f>Data!G886</f>
        <v/>
      </c>
      <c r="C843">
        <f>Data!H886</f>
        <v/>
      </c>
      <c r="D843">
        <f>Data!I886</f>
        <v/>
      </c>
      <c r="E843">
        <f>Data!M886</f>
        <v/>
      </c>
      <c r="F843">
        <f>Data!O886</f>
        <v/>
      </c>
      <c r="G843">
        <f>E843-F843</f>
        <v/>
      </c>
      <c r="H843">
        <f>Data!P886</f>
        <v/>
      </c>
      <c r="I843">
        <f>G843+H843</f>
        <v/>
      </c>
      <c r="J843">
        <f>F843+G843+H843</f>
        <v/>
      </c>
      <c r="K843">
        <f>Data!R886</f>
        <v/>
      </c>
      <c r="L843">
        <f>Data!T886</f>
        <v/>
      </c>
      <c r="M843">
        <f>AND(E843=0,F843=0,G843=0,H843=0,I843=0,J843=0,K843=0,L843=0)</f>
        <v/>
      </c>
      <c r="N843">
        <f>G843&lt;=$T$6</f>
        <v/>
      </c>
      <c r="O843">
        <f>G843&lt;=$T$12</f>
        <v/>
      </c>
      <c r="P843">
        <f>OR(AND(H843&gt;=$T$4,K843&lt;=$T$5,N843),M843)</f>
        <v/>
      </c>
      <c r="Q843">
        <f>OR(AND(I843&gt;=$T$10,K843&lt;=$T$11,O843),M843)</f>
        <v/>
      </c>
    </row>
    <row r="844">
      <c r="A844">
        <f>Data!E887</f>
        <v/>
      </c>
      <c r="B844">
        <f>Data!G887</f>
        <v/>
      </c>
      <c r="C844">
        <f>Data!H887</f>
        <v/>
      </c>
      <c r="D844">
        <f>Data!I887</f>
        <v/>
      </c>
      <c r="E844">
        <f>Data!M887</f>
        <v/>
      </c>
      <c r="F844">
        <f>Data!O887</f>
        <v/>
      </c>
      <c r="G844">
        <f>E844-F844</f>
        <v/>
      </c>
      <c r="H844">
        <f>Data!P887</f>
        <v/>
      </c>
      <c r="I844">
        <f>G844+H844</f>
        <v/>
      </c>
      <c r="J844">
        <f>F844+G844+H844</f>
        <v/>
      </c>
      <c r="K844">
        <f>Data!R887</f>
        <v/>
      </c>
      <c r="L844">
        <f>Data!T887</f>
        <v/>
      </c>
      <c r="M844">
        <f>AND(E844=0,F844=0,G844=0,H844=0,I844=0,J844=0,K844=0,L844=0)</f>
        <v/>
      </c>
      <c r="N844">
        <f>G844&lt;=$T$6</f>
        <v/>
      </c>
      <c r="O844">
        <f>G844&lt;=$T$12</f>
        <v/>
      </c>
      <c r="P844">
        <f>OR(AND(H844&gt;=$T$4,K844&lt;=$T$5,N844),M844)</f>
        <v/>
      </c>
      <c r="Q844">
        <f>OR(AND(I844&gt;=$T$10,K844&lt;=$T$11,O844),M844)</f>
        <v/>
      </c>
    </row>
    <row r="845">
      <c r="A845">
        <f>Data!E888</f>
        <v/>
      </c>
      <c r="B845">
        <f>Data!G888</f>
        <v/>
      </c>
      <c r="C845">
        <f>Data!H888</f>
        <v/>
      </c>
      <c r="D845">
        <f>Data!I888</f>
        <v/>
      </c>
      <c r="E845">
        <f>Data!M888</f>
        <v/>
      </c>
      <c r="F845">
        <f>Data!O888</f>
        <v/>
      </c>
      <c r="G845">
        <f>E845-F845</f>
        <v/>
      </c>
      <c r="H845">
        <f>Data!P888</f>
        <v/>
      </c>
      <c r="I845">
        <f>G845+H845</f>
        <v/>
      </c>
      <c r="J845">
        <f>F845+G845+H845</f>
        <v/>
      </c>
      <c r="K845">
        <f>Data!R888</f>
        <v/>
      </c>
      <c r="L845">
        <f>Data!T888</f>
        <v/>
      </c>
      <c r="M845">
        <f>AND(E845=0,F845=0,G845=0,H845=0,I845=0,J845=0,K845=0,L845=0)</f>
        <v/>
      </c>
      <c r="N845">
        <f>G845&lt;=$T$6</f>
        <v/>
      </c>
      <c r="O845">
        <f>G845&lt;=$T$12</f>
        <v/>
      </c>
      <c r="P845">
        <f>OR(AND(H845&gt;=$T$4,K845&lt;=$T$5,N845),M845)</f>
        <v/>
      </c>
      <c r="Q845">
        <f>OR(AND(I845&gt;=$T$10,K845&lt;=$T$11,O845),M845)</f>
        <v/>
      </c>
    </row>
    <row r="846">
      <c r="A846">
        <f>Data!E889</f>
        <v/>
      </c>
      <c r="B846">
        <f>Data!G889</f>
        <v/>
      </c>
      <c r="C846">
        <f>Data!H889</f>
        <v/>
      </c>
      <c r="D846">
        <f>Data!I889</f>
        <v/>
      </c>
      <c r="E846">
        <f>Data!M889</f>
        <v/>
      </c>
      <c r="F846">
        <f>Data!O889</f>
        <v/>
      </c>
      <c r="G846">
        <f>E846-F846</f>
        <v/>
      </c>
      <c r="H846">
        <f>Data!P889</f>
        <v/>
      </c>
      <c r="I846">
        <f>G846+H846</f>
        <v/>
      </c>
      <c r="J846">
        <f>F846+G846+H846</f>
        <v/>
      </c>
      <c r="K846">
        <f>Data!R889</f>
        <v/>
      </c>
      <c r="L846">
        <f>Data!T889</f>
        <v/>
      </c>
      <c r="M846">
        <f>AND(E846=0,F846=0,G846=0,H846=0,I846=0,J846=0,K846=0,L846=0)</f>
        <v/>
      </c>
      <c r="N846">
        <f>G846&lt;=$T$6</f>
        <v/>
      </c>
      <c r="O846">
        <f>G846&lt;=$T$12</f>
        <v/>
      </c>
      <c r="P846">
        <f>OR(AND(H846&gt;=$T$4,K846&lt;=$T$5,N846),M846)</f>
        <v/>
      </c>
      <c r="Q846">
        <f>OR(AND(I846&gt;=$T$10,K846&lt;=$T$11,O846),M846)</f>
        <v/>
      </c>
    </row>
    <row r="847">
      <c r="A847">
        <f>Data!E890</f>
        <v/>
      </c>
      <c r="B847">
        <f>Data!G890</f>
        <v/>
      </c>
      <c r="C847">
        <f>Data!H890</f>
        <v/>
      </c>
      <c r="D847">
        <f>Data!I890</f>
        <v/>
      </c>
      <c r="E847">
        <f>Data!M890</f>
        <v/>
      </c>
      <c r="F847">
        <f>Data!O890</f>
        <v/>
      </c>
      <c r="G847">
        <f>E847-F847</f>
        <v/>
      </c>
      <c r="H847">
        <f>Data!P890</f>
        <v/>
      </c>
      <c r="I847">
        <f>G847+H847</f>
        <v/>
      </c>
      <c r="J847">
        <f>F847+G847+H847</f>
        <v/>
      </c>
      <c r="K847">
        <f>Data!R890</f>
        <v/>
      </c>
      <c r="L847">
        <f>Data!T890</f>
        <v/>
      </c>
      <c r="M847">
        <f>AND(E847=0,F847=0,G847=0,H847=0,I847=0,J847=0,K847=0,L847=0)</f>
        <v/>
      </c>
      <c r="N847">
        <f>G847&lt;=$T$6</f>
        <v/>
      </c>
      <c r="O847">
        <f>G847&lt;=$T$12</f>
        <v/>
      </c>
      <c r="P847">
        <f>OR(AND(H847&gt;=$T$4,K847&lt;=$T$5,N847),M847)</f>
        <v/>
      </c>
      <c r="Q847">
        <f>OR(AND(I847&gt;=$T$10,K847&lt;=$T$11,O847),M847)</f>
        <v/>
      </c>
    </row>
    <row r="848">
      <c r="A848">
        <f>Data!E891</f>
        <v/>
      </c>
      <c r="B848">
        <f>Data!G891</f>
        <v/>
      </c>
      <c r="C848">
        <f>Data!H891</f>
        <v/>
      </c>
      <c r="D848">
        <f>Data!I891</f>
        <v/>
      </c>
      <c r="E848">
        <f>Data!M891</f>
        <v/>
      </c>
      <c r="F848">
        <f>Data!O891</f>
        <v/>
      </c>
      <c r="G848">
        <f>E848-F848</f>
        <v/>
      </c>
      <c r="H848">
        <f>Data!P891</f>
        <v/>
      </c>
      <c r="I848">
        <f>G848+H848</f>
        <v/>
      </c>
      <c r="J848">
        <f>F848+G848+H848</f>
        <v/>
      </c>
      <c r="K848">
        <f>Data!R891</f>
        <v/>
      </c>
      <c r="L848">
        <f>Data!T891</f>
        <v/>
      </c>
      <c r="M848">
        <f>AND(E848=0,F848=0,G848=0,H848=0,I848=0,J848=0,K848=0,L848=0)</f>
        <v/>
      </c>
      <c r="N848">
        <f>G848&lt;=$T$6</f>
        <v/>
      </c>
      <c r="O848">
        <f>G848&lt;=$T$12</f>
        <v/>
      </c>
      <c r="P848">
        <f>OR(AND(H848&gt;=$T$4,K848&lt;=$T$5,N848),M848)</f>
        <v/>
      </c>
      <c r="Q848">
        <f>OR(AND(I848&gt;=$T$10,K848&lt;=$T$11,O848),M848)</f>
        <v/>
      </c>
    </row>
    <row r="849">
      <c r="A849">
        <f>Data!E892</f>
        <v/>
      </c>
      <c r="B849">
        <f>Data!G892</f>
        <v/>
      </c>
      <c r="C849">
        <f>Data!H892</f>
        <v/>
      </c>
      <c r="D849">
        <f>Data!I892</f>
        <v/>
      </c>
      <c r="E849">
        <f>Data!M892</f>
        <v/>
      </c>
      <c r="F849">
        <f>Data!O892</f>
        <v/>
      </c>
      <c r="G849">
        <f>E849-F849</f>
        <v/>
      </c>
      <c r="H849">
        <f>Data!P892</f>
        <v/>
      </c>
      <c r="I849">
        <f>G849+H849</f>
        <v/>
      </c>
      <c r="J849">
        <f>F849+G849+H849</f>
        <v/>
      </c>
      <c r="K849">
        <f>Data!R892</f>
        <v/>
      </c>
      <c r="L849">
        <f>Data!T892</f>
        <v/>
      </c>
      <c r="M849">
        <f>AND(E849=0,F849=0,G849=0,H849=0,I849=0,J849=0,K849=0,L849=0)</f>
        <v/>
      </c>
      <c r="N849">
        <f>G849&lt;=$T$6</f>
        <v/>
      </c>
      <c r="O849">
        <f>G849&lt;=$T$12</f>
        <v/>
      </c>
      <c r="P849">
        <f>OR(AND(H849&gt;=$T$4,K849&lt;=$T$5,N849),M849)</f>
        <v/>
      </c>
      <c r="Q849">
        <f>OR(AND(I849&gt;=$T$10,K849&lt;=$T$11,O849),M849)</f>
        <v/>
      </c>
    </row>
    <row r="850">
      <c r="A850">
        <f>Data!E893</f>
        <v/>
      </c>
      <c r="B850">
        <f>Data!G893</f>
        <v/>
      </c>
      <c r="C850">
        <f>Data!H893</f>
        <v/>
      </c>
      <c r="D850">
        <f>Data!I893</f>
        <v/>
      </c>
      <c r="E850">
        <f>Data!M893</f>
        <v/>
      </c>
      <c r="F850">
        <f>Data!O893</f>
        <v/>
      </c>
      <c r="G850">
        <f>E850-F850</f>
        <v/>
      </c>
      <c r="H850">
        <f>Data!P893</f>
        <v/>
      </c>
      <c r="I850">
        <f>G850+H850</f>
        <v/>
      </c>
      <c r="J850">
        <f>F850+G850+H850</f>
        <v/>
      </c>
      <c r="K850">
        <f>Data!R893</f>
        <v/>
      </c>
      <c r="L850">
        <f>Data!T893</f>
        <v/>
      </c>
      <c r="M850">
        <f>AND(E850=0,F850=0,G850=0,H850=0,I850=0,J850=0,K850=0,L850=0)</f>
        <v/>
      </c>
      <c r="N850">
        <f>G850&lt;=$T$6</f>
        <v/>
      </c>
      <c r="O850">
        <f>G850&lt;=$T$12</f>
        <v/>
      </c>
      <c r="P850">
        <f>OR(AND(H850&gt;=$T$4,K850&lt;=$T$5,N850),M850)</f>
        <v/>
      </c>
      <c r="Q850">
        <f>OR(AND(I850&gt;=$T$10,K850&lt;=$T$11,O850),M850)</f>
        <v/>
      </c>
    </row>
    <row r="851">
      <c r="A851">
        <f>Data!E894</f>
        <v/>
      </c>
      <c r="B851">
        <f>Data!G894</f>
        <v/>
      </c>
      <c r="C851">
        <f>Data!H894</f>
        <v/>
      </c>
      <c r="D851">
        <f>Data!I894</f>
        <v/>
      </c>
      <c r="E851">
        <f>Data!M894</f>
        <v/>
      </c>
      <c r="F851">
        <f>Data!O894</f>
        <v/>
      </c>
      <c r="G851">
        <f>E851-F851</f>
        <v/>
      </c>
      <c r="H851">
        <f>Data!P894</f>
        <v/>
      </c>
      <c r="I851">
        <f>G851+H851</f>
        <v/>
      </c>
      <c r="J851">
        <f>F851+G851+H851</f>
        <v/>
      </c>
      <c r="K851">
        <f>Data!R894</f>
        <v/>
      </c>
      <c r="L851">
        <f>Data!T894</f>
        <v/>
      </c>
      <c r="M851">
        <f>AND(E851=0,F851=0,G851=0,H851=0,I851=0,J851=0,K851=0,L851=0)</f>
        <v/>
      </c>
      <c r="N851">
        <f>G851&lt;=$T$6</f>
        <v/>
      </c>
      <c r="O851">
        <f>G851&lt;=$T$12</f>
        <v/>
      </c>
      <c r="P851">
        <f>OR(AND(H851&gt;=$T$4,K851&lt;=$T$5,N851),M851)</f>
        <v/>
      </c>
      <c r="Q851">
        <f>OR(AND(I851&gt;=$T$10,K851&lt;=$T$11,O851),M851)</f>
        <v/>
      </c>
    </row>
    <row r="852">
      <c r="A852">
        <f>Data!E895</f>
        <v/>
      </c>
      <c r="B852">
        <f>Data!G895</f>
        <v/>
      </c>
      <c r="C852">
        <f>Data!H895</f>
        <v/>
      </c>
      <c r="D852">
        <f>Data!I895</f>
        <v/>
      </c>
      <c r="E852">
        <f>Data!M895</f>
        <v/>
      </c>
      <c r="F852">
        <f>Data!O895</f>
        <v/>
      </c>
      <c r="G852">
        <f>E852-F852</f>
        <v/>
      </c>
      <c r="H852">
        <f>Data!P895</f>
        <v/>
      </c>
      <c r="I852">
        <f>G852+H852</f>
        <v/>
      </c>
      <c r="J852">
        <f>F852+G852+H852</f>
        <v/>
      </c>
      <c r="K852">
        <f>Data!R895</f>
        <v/>
      </c>
      <c r="L852">
        <f>Data!T895</f>
        <v/>
      </c>
      <c r="M852">
        <f>AND(E852=0,F852=0,G852=0,H852=0,I852=0,J852=0,K852=0,L852=0)</f>
        <v/>
      </c>
      <c r="N852">
        <f>G852&lt;=$T$6</f>
        <v/>
      </c>
      <c r="O852">
        <f>G852&lt;=$T$12</f>
        <v/>
      </c>
      <c r="P852">
        <f>OR(AND(H852&gt;=$T$4,K852&lt;=$T$5,N852),M852)</f>
        <v/>
      </c>
      <c r="Q852">
        <f>OR(AND(I852&gt;=$T$10,K852&lt;=$T$11,O852),M852)</f>
        <v/>
      </c>
    </row>
    <row r="853">
      <c r="A853">
        <f>Data!E896</f>
        <v/>
      </c>
      <c r="B853">
        <f>Data!G896</f>
        <v/>
      </c>
      <c r="C853">
        <f>Data!H896</f>
        <v/>
      </c>
      <c r="D853">
        <f>Data!I896</f>
        <v/>
      </c>
      <c r="E853">
        <f>Data!M896</f>
        <v/>
      </c>
      <c r="F853">
        <f>Data!O896</f>
        <v/>
      </c>
      <c r="G853">
        <f>E853-F853</f>
        <v/>
      </c>
      <c r="H853">
        <f>Data!P896</f>
        <v/>
      </c>
      <c r="I853">
        <f>G853+H853</f>
        <v/>
      </c>
      <c r="J853">
        <f>F853+G853+H853</f>
        <v/>
      </c>
      <c r="K853">
        <f>Data!R896</f>
        <v/>
      </c>
      <c r="L853">
        <f>Data!T896</f>
        <v/>
      </c>
      <c r="M853">
        <f>AND(E853=0,F853=0,G853=0,H853=0,I853=0,J853=0,K853=0,L853=0)</f>
        <v/>
      </c>
      <c r="N853">
        <f>G853&lt;=$T$6</f>
        <v/>
      </c>
      <c r="O853">
        <f>G853&lt;=$T$12</f>
        <v/>
      </c>
      <c r="P853">
        <f>OR(AND(H853&gt;=$T$4,K853&lt;=$T$5,N853),M853)</f>
        <v/>
      </c>
      <c r="Q853">
        <f>OR(AND(I853&gt;=$T$10,K853&lt;=$T$11,O853),M853)</f>
        <v/>
      </c>
    </row>
    <row r="854">
      <c r="A854">
        <f>Data!E897</f>
        <v/>
      </c>
      <c r="B854">
        <f>Data!G897</f>
        <v/>
      </c>
      <c r="C854">
        <f>Data!H897</f>
        <v/>
      </c>
      <c r="D854">
        <f>Data!I897</f>
        <v/>
      </c>
      <c r="E854">
        <f>Data!M897</f>
        <v/>
      </c>
      <c r="F854">
        <f>Data!O897</f>
        <v/>
      </c>
      <c r="G854">
        <f>E854-F854</f>
        <v/>
      </c>
      <c r="H854">
        <f>Data!P897</f>
        <v/>
      </c>
      <c r="I854">
        <f>G854+H854</f>
        <v/>
      </c>
      <c r="J854">
        <f>F854+G854+H854</f>
        <v/>
      </c>
      <c r="K854">
        <f>Data!R897</f>
        <v/>
      </c>
      <c r="L854">
        <f>Data!T897</f>
        <v/>
      </c>
      <c r="M854">
        <f>AND(E854=0,F854=0,G854=0,H854=0,I854=0,J854=0,K854=0,L854=0)</f>
        <v/>
      </c>
      <c r="N854">
        <f>G854&lt;=$T$6</f>
        <v/>
      </c>
      <c r="O854">
        <f>G854&lt;=$T$12</f>
        <v/>
      </c>
      <c r="P854">
        <f>OR(AND(H854&gt;=$T$4,K854&lt;=$T$5,N854),M854)</f>
        <v/>
      </c>
      <c r="Q854">
        <f>OR(AND(I854&gt;=$T$10,K854&lt;=$T$11,O854),M854)</f>
        <v/>
      </c>
    </row>
    <row r="855">
      <c r="A855">
        <f>Data!E898</f>
        <v/>
      </c>
      <c r="B855">
        <f>Data!G898</f>
        <v/>
      </c>
      <c r="C855">
        <f>Data!H898</f>
        <v/>
      </c>
      <c r="D855">
        <f>Data!I898</f>
        <v/>
      </c>
      <c r="E855">
        <f>Data!M898</f>
        <v/>
      </c>
      <c r="F855">
        <f>Data!O898</f>
        <v/>
      </c>
      <c r="G855">
        <f>E855-F855</f>
        <v/>
      </c>
      <c r="H855">
        <f>Data!P898</f>
        <v/>
      </c>
      <c r="I855">
        <f>G855+H855</f>
        <v/>
      </c>
      <c r="J855">
        <f>F855+G855+H855</f>
        <v/>
      </c>
      <c r="K855">
        <f>Data!R898</f>
        <v/>
      </c>
      <c r="L855">
        <f>Data!T898</f>
        <v/>
      </c>
      <c r="M855">
        <f>AND(E855=0,F855=0,G855=0,H855=0,I855=0,J855=0,K855=0,L855=0)</f>
        <v/>
      </c>
      <c r="N855">
        <f>G855&lt;=$T$6</f>
        <v/>
      </c>
      <c r="O855">
        <f>G855&lt;=$T$12</f>
        <v/>
      </c>
      <c r="P855">
        <f>OR(AND(H855&gt;=$T$4,K855&lt;=$T$5,N855),M855)</f>
        <v/>
      </c>
      <c r="Q855">
        <f>OR(AND(I855&gt;=$T$10,K855&lt;=$T$11,O855),M855)</f>
        <v/>
      </c>
    </row>
    <row r="856">
      <c r="A856">
        <f>Data!E899</f>
        <v/>
      </c>
      <c r="B856">
        <f>Data!G899</f>
        <v/>
      </c>
      <c r="C856">
        <f>Data!H899</f>
        <v/>
      </c>
      <c r="D856">
        <f>Data!I899</f>
        <v/>
      </c>
      <c r="E856">
        <f>Data!M899</f>
        <v/>
      </c>
      <c r="F856">
        <f>Data!O899</f>
        <v/>
      </c>
      <c r="G856">
        <f>E856-F856</f>
        <v/>
      </c>
      <c r="H856">
        <f>Data!P899</f>
        <v/>
      </c>
      <c r="I856">
        <f>G856+H856</f>
        <v/>
      </c>
      <c r="J856">
        <f>F856+G856+H856</f>
        <v/>
      </c>
      <c r="K856">
        <f>Data!R899</f>
        <v/>
      </c>
      <c r="L856">
        <f>Data!T899</f>
        <v/>
      </c>
      <c r="M856">
        <f>AND(E856=0,F856=0,G856=0,H856=0,I856=0,J856=0,K856=0,L856=0)</f>
        <v/>
      </c>
      <c r="N856">
        <f>G856&lt;=$T$6</f>
        <v/>
      </c>
      <c r="O856">
        <f>G856&lt;=$T$12</f>
        <v/>
      </c>
      <c r="P856">
        <f>OR(AND(H856&gt;=$T$4,K856&lt;=$T$5,N856),M856)</f>
        <v/>
      </c>
      <c r="Q856">
        <f>OR(AND(I856&gt;=$T$10,K856&lt;=$T$11,O856),M856)</f>
        <v/>
      </c>
    </row>
    <row r="857">
      <c r="A857">
        <f>Data!E900</f>
        <v/>
      </c>
      <c r="B857">
        <f>Data!G900</f>
        <v/>
      </c>
      <c r="C857">
        <f>Data!H900</f>
        <v/>
      </c>
      <c r="D857">
        <f>Data!I900</f>
        <v/>
      </c>
      <c r="E857">
        <f>Data!M900</f>
        <v/>
      </c>
      <c r="F857">
        <f>Data!O900</f>
        <v/>
      </c>
      <c r="G857">
        <f>E857-F857</f>
        <v/>
      </c>
      <c r="H857">
        <f>Data!P900</f>
        <v/>
      </c>
      <c r="I857">
        <f>G857+H857</f>
        <v/>
      </c>
      <c r="J857">
        <f>F857+G857+H857</f>
        <v/>
      </c>
      <c r="K857">
        <f>Data!R900</f>
        <v/>
      </c>
      <c r="L857">
        <f>Data!T900</f>
        <v/>
      </c>
      <c r="M857">
        <f>AND(E857=0,F857=0,G857=0,H857=0,I857=0,J857=0,K857=0,L857=0)</f>
        <v/>
      </c>
      <c r="N857">
        <f>G857&lt;=$T$6</f>
        <v/>
      </c>
      <c r="O857">
        <f>G857&lt;=$T$12</f>
        <v/>
      </c>
      <c r="P857">
        <f>OR(AND(H857&gt;=$T$4,K857&lt;=$T$5,N857),M857)</f>
        <v/>
      </c>
      <c r="Q857">
        <f>OR(AND(I857&gt;=$T$10,K857&lt;=$T$11,O857),M857)</f>
        <v/>
      </c>
    </row>
    <row r="858">
      <c r="A858">
        <f>Data!E901</f>
        <v/>
      </c>
      <c r="B858">
        <f>Data!G901</f>
        <v/>
      </c>
      <c r="C858">
        <f>Data!H901</f>
        <v/>
      </c>
      <c r="D858">
        <f>Data!I901</f>
        <v/>
      </c>
      <c r="E858">
        <f>Data!M901</f>
        <v/>
      </c>
      <c r="F858">
        <f>Data!O901</f>
        <v/>
      </c>
      <c r="G858">
        <f>E858-F858</f>
        <v/>
      </c>
      <c r="H858">
        <f>Data!P901</f>
        <v/>
      </c>
      <c r="I858">
        <f>G858+H858</f>
        <v/>
      </c>
      <c r="J858">
        <f>F858+G858+H858</f>
        <v/>
      </c>
      <c r="K858">
        <f>Data!R901</f>
        <v/>
      </c>
      <c r="L858">
        <f>Data!T901</f>
        <v/>
      </c>
      <c r="M858">
        <f>AND(E858=0,F858=0,G858=0,H858=0,I858=0,J858=0,K858=0,L858=0)</f>
        <v/>
      </c>
      <c r="N858">
        <f>G858&lt;=$T$6</f>
        <v/>
      </c>
      <c r="O858">
        <f>G858&lt;=$T$12</f>
        <v/>
      </c>
      <c r="P858">
        <f>OR(AND(H858&gt;=$T$4,K858&lt;=$T$5,N858),M858)</f>
        <v/>
      </c>
      <c r="Q858">
        <f>OR(AND(I858&gt;=$T$10,K858&lt;=$T$11,O858),M858)</f>
        <v/>
      </c>
    </row>
    <row r="859">
      <c r="A859">
        <f>Data!E903</f>
        <v/>
      </c>
      <c r="B859">
        <f>Data!G903</f>
        <v/>
      </c>
      <c r="C859">
        <f>Data!H903</f>
        <v/>
      </c>
      <c r="D859">
        <f>Data!I903</f>
        <v/>
      </c>
      <c r="E859">
        <f>Data!M903</f>
        <v/>
      </c>
      <c r="F859">
        <f>Data!O903</f>
        <v/>
      </c>
      <c r="G859">
        <f>E859-F859</f>
        <v/>
      </c>
      <c r="H859">
        <f>Data!P903</f>
        <v/>
      </c>
      <c r="I859">
        <f>G859+H859</f>
        <v/>
      </c>
      <c r="J859">
        <f>F859+G859+H859</f>
        <v/>
      </c>
      <c r="K859">
        <f>Data!R903</f>
        <v/>
      </c>
      <c r="L859">
        <f>Data!T903</f>
        <v/>
      </c>
      <c r="M859">
        <f>AND(E859=0,F859=0,G859=0,H859=0,I859=0,J859=0,K859=0,L859=0)</f>
        <v/>
      </c>
      <c r="N859">
        <f>G859&lt;=$T$6</f>
        <v/>
      </c>
      <c r="O859">
        <f>G859&lt;=$T$12</f>
        <v/>
      </c>
      <c r="P859">
        <f>OR(AND(H859&gt;=$T$4,K859&lt;=$T$5,N859),M859)</f>
        <v/>
      </c>
      <c r="Q859">
        <f>OR(AND(I859&gt;=$T$10,K859&lt;=$T$11,O859),M859)</f>
        <v/>
      </c>
    </row>
    <row r="860">
      <c r="A860">
        <f>Data!E904</f>
        <v/>
      </c>
      <c r="B860">
        <f>Data!G904</f>
        <v/>
      </c>
      <c r="C860">
        <f>Data!H904</f>
        <v/>
      </c>
      <c r="D860">
        <f>Data!I904</f>
        <v/>
      </c>
      <c r="E860">
        <f>Data!M904</f>
        <v/>
      </c>
      <c r="F860">
        <f>Data!O904</f>
        <v/>
      </c>
      <c r="G860">
        <f>E860-F860</f>
        <v/>
      </c>
      <c r="H860">
        <f>Data!P904</f>
        <v/>
      </c>
      <c r="I860">
        <f>G860+H860</f>
        <v/>
      </c>
      <c r="J860">
        <f>F860+G860+H860</f>
        <v/>
      </c>
      <c r="K860">
        <f>Data!R904</f>
        <v/>
      </c>
      <c r="L860">
        <f>Data!T904</f>
        <v/>
      </c>
      <c r="M860">
        <f>AND(E860=0,F860=0,G860=0,H860=0,I860=0,J860=0,K860=0,L860=0)</f>
        <v/>
      </c>
      <c r="N860">
        <f>G860&lt;=$T$6</f>
        <v/>
      </c>
      <c r="O860">
        <f>G860&lt;=$T$12</f>
        <v/>
      </c>
      <c r="P860">
        <f>OR(AND(H860&gt;=$T$4,K860&lt;=$T$5,N860),M860)</f>
        <v/>
      </c>
      <c r="Q860">
        <f>OR(AND(I860&gt;=$T$10,K860&lt;=$T$11,O860),M860)</f>
        <v/>
      </c>
    </row>
    <row r="861">
      <c r="A861">
        <f>Data!E905</f>
        <v/>
      </c>
      <c r="B861">
        <f>Data!G905</f>
        <v/>
      </c>
      <c r="C861">
        <f>Data!H905</f>
        <v/>
      </c>
      <c r="D861">
        <f>Data!I905</f>
        <v/>
      </c>
      <c r="E861">
        <f>Data!M905</f>
        <v/>
      </c>
      <c r="F861">
        <f>Data!O905</f>
        <v/>
      </c>
      <c r="G861">
        <f>E861-F861</f>
        <v/>
      </c>
      <c r="H861">
        <f>Data!P905</f>
        <v/>
      </c>
      <c r="I861">
        <f>G861+H861</f>
        <v/>
      </c>
      <c r="J861">
        <f>F861+G861+H861</f>
        <v/>
      </c>
      <c r="K861">
        <f>Data!R905</f>
        <v/>
      </c>
      <c r="L861">
        <f>Data!T905</f>
        <v/>
      </c>
      <c r="M861">
        <f>AND(E861=0,F861=0,G861=0,H861=0,I861=0,J861=0,K861=0,L861=0)</f>
        <v/>
      </c>
      <c r="N861">
        <f>G861&lt;=$T$6</f>
        <v/>
      </c>
      <c r="O861">
        <f>G861&lt;=$T$12</f>
        <v/>
      </c>
      <c r="P861">
        <f>OR(AND(H861&gt;=$T$4,K861&lt;=$T$5,N861),M861)</f>
        <v/>
      </c>
      <c r="Q861">
        <f>OR(AND(I861&gt;=$T$10,K861&lt;=$T$11,O861),M861)</f>
        <v/>
      </c>
    </row>
    <row r="862">
      <c r="A862">
        <f>Data!E906</f>
        <v/>
      </c>
      <c r="B862">
        <f>Data!G906</f>
        <v/>
      </c>
      <c r="C862">
        <f>Data!H906</f>
        <v/>
      </c>
      <c r="D862">
        <f>Data!I906</f>
        <v/>
      </c>
      <c r="E862">
        <f>Data!M906</f>
        <v/>
      </c>
      <c r="F862">
        <f>Data!O906</f>
        <v/>
      </c>
      <c r="G862">
        <f>E862-F862</f>
        <v/>
      </c>
      <c r="H862">
        <f>Data!P906</f>
        <v/>
      </c>
      <c r="I862">
        <f>G862+H862</f>
        <v/>
      </c>
      <c r="J862">
        <f>F862+G862+H862</f>
        <v/>
      </c>
      <c r="K862">
        <f>Data!R906</f>
        <v/>
      </c>
      <c r="L862">
        <f>Data!T906</f>
        <v/>
      </c>
      <c r="M862">
        <f>AND(E862=0,F862=0,G862=0,H862=0,I862=0,J862=0,K862=0,L862=0)</f>
        <v/>
      </c>
      <c r="N862">
        <f>G862&lt;=$T$6</f>
        <v/>
      </c>
      <c r="O862">
        <f>G862&lt;=$T$12</f>
        <v/>
      </c>
      <c r="P862">
        <f>OR(AND(H862&gt;=$T$4,K862&lt;=$T$5,N862),M862)</f>
        <v/>
      </c>
      <c r="Q862">
        <f>OR(AND(I862&gt;=$T$10,K862&lt;=$T$11,O862),M862)</f>
        <v/>
      </c>
    </row>
    <row r="863">
      <c r="A863">
        <f>Data!E907</f>
        <v/>
      </c>
      <c r="B863">
        <f>Data!G907</f>
        <v/>
      </c>
      <c r="C863">
        <f>Data!H907</f>
        <v/>
      </c>
      <c r="D863">
        <f>Data!I907</f>
        <v/>
      </c>
      <c r="E863">
        <f>Data!M907</f>
        <v/>
      </c>
      <c r="F863">
        <f>Data!O907</f>
        <v/>
      </c>
      <c r="G863">
        <f>E863-F863</f>
        <v/>
      </c>
      <c r="H863">
        <f>Data!P907</f>
        <v/>
      </c>
      <c r="I863">
        <f>G863+H863</f>
        <v/>
      </c>
      <c r="J863">
        <f>F863+G863+H863</f>
        <v/>
      </c>
      <c r="K863">
        <f>Data!R907</f>
        <v/>
      </c>
      <c r="L863">
        <f>Data!T907</f>
        <v/>
      </c>
      <c r="M863">
        <f>AND(E863=0,F863=0,G863=0,H863=0,I863=0,J863=0,K863=0,L863=0)</f>
        <v/>
      </c>
      <c r="N863">
        <f>G863&lt;=$T$6</f>
        <v/>
      </c>
      <c r="O863">
        <f>G863&lt;=$T$12</f>
        <v/>
      </c>
      <c r="P863">
        <f>OR(AND(H863&gt;=$T$4,K863&lt;=$T$5,N863),M863)</f>
        <v/>
      </c>
      <c r="Q863">
        <f>OR(AND(I863&gt;=$T$10,K863&lt;=$T$11,O863),M863)</f>
        <v/>
      </c>
    </row>
    <row r="864">
      <c r="A864">
        <f>Data!E908</f>
        <v/>
      </c>
      <c r="B864">
        <f>Data!G908</f>
        <v/>
      </c>
      <c r="C864">
        <f>Data!H908</f>
        <v/>
      </c>
      <c r="D864">
        <f>Data!I908</f>
        <v/>
      </c>
      <c r="E864">
        <f>Data!M908</f>
        <v/>
      </c>
      <c r="F864">
        <f>Data!O908</f>
        <v/>
      </c>
      <c r="G864">
        <f>E864-F864</f>
        <v/>
      </c>
      <c r="H864">
        <f>Data!P908</f>
        <v/>
      </c>
      <c r="I864">
        <f>G864+H864</f>
        <v/>
      </c>
      <c r="J864">
        <f>F864+G864+H864</f>
        <v/>
      </c>
      <c r="K864">
        <f>Data!R908</f>
        <v/>
      </c>
      <c r="L864">
        <f>Data!T908</f>
        <v/>
      </c>
      <c r="M864">
        <f>AND(E864=0,F864=0,G864=0,H864=0,I864=0,J864=0,K864=0,L864=0)</f>
        <v/>
      </c>
      <c r="N864">
        <f>G864&lt;=$T$6</f>
        <v/>
      </c>
      <c r="O864">
        <f>G864&lt;=$T$12</f>
        <v/>
      </c>
      <c r="P864">
        <f>OR(AND(H864&gt;=$T$4,K864&lt;=$T$5,N864),M864)</f>
        <v/>
      </c>
      <c r="Q864">
        <f>OR(AND(I864&gt;=$T$10,K864&lt;=$T$11,O864),M864)</f>
        <v/>
      </c>
    </row>
    <row r="865">
      <c r="A865">
        <f>Data!E909</f>
        <v/>
      </c>
      <c r="B865">
        <f>Data!G909</f>
        <v/>
      </c>
      <c r="C865">
        <f>Data!H909</f>
        <v/>
      </c>
      <c r="D865">
        <f>Data!I909</f>
        <v/>
      </c>
      <c r="E865">
        <f>Data!M909</f>
        <v/>
      </c>
      <c r="F865">
        <f>Data!O909</f>
        <v/>
      </c>
      <c r="G865">
        <f>E865-F865</f>
        <v/>
      </c>
      <c r="H865">
        <f>Data!P909</f>
        <v/>
      </c>
      <c r="I865">
        <f>G865+H865</f>
        <v/>
      </c>
      <c r="J865">
        <f>F865+G865+H865</f>
        <v/>
      </c>
      <c r="K865">
        <f>Data!R909</f>
        <v/>
      </c>
      <c r="L865">
        <f>Data!T909</f>
        <v/>
      </c>
      <c r="M865">
        <f>AND(E865=0,F865=0,G865=0,H865=0,I865=0,J865=0,K865=0,L865=0)</f>
        <v/>
      </c>
      <c r="N865">
        <f>G865&lt;=$T$6</f>
        <v/>
      </c>
      <c r="O865">
        <f>G865&lt;=$T$12</f>
        <v/>
      </c>
      <c r="P865">
        <f>OR(AND(H865&gt;=$T$4,K865&lt;=$T$5,N865),M865)</f>
        <v/>
      </c>
      <c r="Q865">
        <f>OR(AND(I865&gt;=$T$10,K865&lt;=$T$11,O865),M865)</f>
        <v/>
      </c>
    </row>
    <row r="866">
      <c r="A866">
        <f>Data!E910</f>
        <v/>
      </c>
      <c r="B866">
        <f>Data!G910</f>
        <v/>
      </c>
      <c r="C866">
        <f>Data!H910</f>
        <v/>
      </c>
      <c r="D866">
        <f>Data!I910</f>
        <v/>
      </c>
      <c r="E866">
        <f>Data!M910</f>
        <v/>
      </c>
      <c r="F866">
        <f>Data!O910</f>
        <v/>
      </c>
      <c r="G866">
        <f>E866-F866</f>
        <v/>
      </c>
      <c r="H866">
        <f>Data!P910</f>
        <v/>
      </c>
      <c r="I866">
        <f>G866+H866</f>
        <v/>
      </c>
      <c r="J866">
        <f>F866+G866+H866</f>
        <v/>
      </c>
      <c r="K866">
        <f>Data!R910</f>
        <v/>
      </c>
      <c r="L866">
        <f>Data!T910</f>
        <v/>
      </c>
      <c r="M866">
        <f>AND(E866=0,F866=0,G866=0,H866=0,I866=0,J866=0,K866=0,L866=0)</f>
        <v/>
      </c>
      <c r="N866">
        <f>G866&lt;=$T$6</f>
        <v/>
      </c>
      <c r="O866">
        <f>G866&lt;=$T$12</f>
        <v/>
      </c>
      <c r="P866">
        <f>OR(AND(H866&gt;=$T$4,K866&lt;=$T$5,N866),M866)</f>
        <v/>
      </c>
      <c r="Q866">
        <f>OR(AND(I866&gt;=$T$10,K866&lt;=$T$11,O866),M866)</f>
        <v/>
      </c>
    </row>
    <row r="867">
      <c r="A867">
        <f>Data!E911</f>
        <v/>
      </c>
      <c r="B867">
        <f>Data!G911</f>
        <v/>
      </c>
      <c r="C867">
        <f>Data!H911</f>
        <v/>
      </c>
      <c r="D867">
        <f>Data!I911</f>
        <v/>
      </c>
      <c r="E867">
        <f>Data!M911</f>
        <v/>
      </c>
      <c r="F867">
        <f>Data!O911</f>
        <v/>
      </c>
      <c r="G867">
        <f>E867-F867</f>
        <v/>
      </c>
      <c r="H867">
        <f>Data!P911</f>
        <v/>
      </c>
      <c r="I867">
        <f>G867+H867</f>
        <v/>
      </c>
      <c r="J867">
        <f>F867+G867+H867</f>
        <v/>
      </c>
      <c r="K867">
        <f>Data!R911</f>
        <v/>
      </c>
      <c r="L867">
        <f>Data!T911</f>
        <v/>
      </c>
      <c r="M867">
        <f>AND(E867=0,F867=0,G867=0,H867=0,I867=0,J867=0,K867=0,L867=0)</f>
        <v/>
      </c>
      <c r="N867">
        <f>G867&lt;=$T$6</f>
        <v/>
      </c>
      <c r="O867">
        <f>G867&lt;=$T$12</f>
        <v/>
      </c>
      <c r="P867">
        <f>OR(AND(H867&gt;=$T$4,K867&lt;=$T$5,N867),M867)</f>
        <v/>
      </c>
      <c r="Q867">
        <f>OR(AND(I867&gt;=$T$10,K867&lt;=$T$11,O867),M867)</f>
        <v/>
      </c>
    </row>
    <row r="868">
      <c r="A868">
        <f>Data!E912</f>
        <v/>
      </c>
      <c r="B868">
        <f>Data!G912</f>
        <v/>
      </c>
      <c r="C868">
        <f>Data!H912</f>
        <v/>
      </c>
      <c r="D868">
        <f>Data!I912</f>
        <v/>
      </c>
      <c r="E868">
        <f>Data!M912</f>
        <v/>
      </c>
      <c r="F868">
        <f>Data!O912</f>
        <v/>
      </c>
      <c r="G868">
        <f>E868-F868</f>
        <v/>
      </c>
      <c r="H868">
        <f>Data!P912</f>
        <v/>
      </c>
      <c r="I868">
        <f>G868+H868</f>
        <v/>
      </c>
      <c r="J868">
        <f>F868+G868+H868</f>
        <v/>
      </c>
      <c r="K868">
        <f>Data!R912</f>
        <v/>
      </c>
      <c r="L868">
        <f>Data!T912</f>
        <v/>
      </c>
      <c r="M868">
        <f>AND(E868=0,F868=0,G868=0,H868=0,I868=0,J868=0,K868=0,L868=0)</f>
        <v/>
      </c>
      <c r="N868">
        <f>G868&lt;=$T$6</f>
        <v/>
      </c>
      <c r="O868">
        <f>G868&lt;=$T$12</f>
        <v/>
      </c>
      <c r="P868">
        <f>OR(AND(H868&gt;=$T$4,K868&lt;=$T$5,N868),M868)</f>
        <v/>
      </c>
      <c r="Q868">
        <f>OR(AND(I868&gt;=$T$10,K868&lt;=$T$11,O868),M868)</f>
        <v/>
      </c>
    </row>
    <row r="869">
      <c r="A869">
        <f>Data!E913</f>
        <v/>
      </c>
      <c r="B869">
        <f>Data!G913</f>
        <v/>
      </c>
      <c r="C869">
        <f>Data!H913</f>
        <v/>
      </c>
      <c r="D869">
        <f>Data!I913</f>
        <v/>
      </c>
      <c r="E869">
        <f>Data!M913</f>
        <v/>
      </c>
      <c r="F869">
        <f>Data!O913</f>
        <v/>
      </c>
      <c r="G869">
        <f>E869-F869</f>
        <v/>
      </c>
      <c r="H869">
        <f>Data!P913</f>
        <v/>
      </c>
      <c r="I869">
        <f>G869+H869</f>
        <v/>
      </c>
      <c r="J869">
        <f>F869+G869+H869</f>
        <v/>
      </c>
      <c r="K869">
        <f>Data!R913</f>
        <v/>
      </c>
      <c r="L869">
        <f>Data!T913</f>
        <v/>
      </c>
      <c r="M869">
        <f>AND(E869=0,F869=0,G869=0,H869=0,I869=0,J869=0,K869=0,L869=0)</f>
        <v/>
      </c>
      <c r="N869">
        <f>G869&lt;=$T$6</f>
        <v/>
      </c>
      <c r="O869">
        <f>G869&lt;=$T$12</f>
        <v/>
      </c>
      <c r="P869">
        <f>OR(AND(H869&gt;=$T$4,K869&lt;=$T$5,N869),M869)</f>
        <v/>
      </c>
      <c r="Q869">
        <f>OR(AND(I869&gt;=$T$10,K869&lt;=$T$11,O869),M869)</f>
        <v/>
      </c>
    </row>
    <row r="870">
      <c r="A870">
        <f>Data!E914</f>
        <v/>
      </c>
      <c r="B870">
        <f>Data!G914</f>
        <v/>
      </c>
      <c r="C870">
        <f>Data!H914</f>
        <v/>
      </c>
      <c r="D870">
        <f>Data!I914</f>
        <v/>
      </c>
      <c r="E870">
        <f>Data!M914</f>
        <v/>
      </c>
      <c r="F870">
        <f>Data!O914</f>
        <v/>
      </c>
      <c r="G870">
        <f>E870-F870</f>
        <v/>
      </c>
      <c r="H870">
        <f>Data!P914</f>
        <v/>
      </c>
      <c r="I870">
        <f>G870+H870</f>
        <v/>
      </c>
      <c r="J870">
        <f>F870+G870+H870</f>
        <v/>
      </c>
      <c r="K870">
        <f>Data!R914</f>
        <v/>
      </c>
      <c r="L870">
        <f>Data!T914</f>
        <v/>
      </c>
      <c r="M870">
        <f>AND(E870=0,F870=0,G870=0,H870=0,I870=0,J870=0,K870=0,L870=0)</f>
        <v/>
      </c>
      <c r="N870">
        <f>G870&lt;=$T$6</f>
        <v/>
      </c>
      <c r="O870">
        <f>G870&lt;=$T$12</f>
        <v/>
      </c>
      <c r="P870">
        <f>OR(AND(H870&gt;=$T$4,K870&lt;=$T$5,N870),M870)</f>
        <v/>
      </c>
      <c r="Q870">
        <f>OR(AND(I870&gt;=$T$10,K870&lt;=$T$11,O870),M870)</f>
        <v/>
      </c>
    </row>
    <row r="871">
      <c r="A871">
        <f>Data!E915</f>
        <v/>
      </c>
      <c r="B871">
        <f>Data!G915</f>
        <v/>
      </c>
      <c r="C871">
        <f>Data!H915</f>
        <v/>
      </c>
      <c r="D871">
        <f>Data!I915</f>
        <v/>
      </c>
      <c r="E871">
        <f>Data!M915</f>
        <v/>
      </c>
      <c r="F871">
        <f>Data!O915</f>
        <v/>
      </c>
      <c r="G871">
        <f>E871-F871</f>
        <v/>
      </c>
      <c r="H871">
        <f>Data!P915</f>
        <v/>
      </c>
      <c r="I871">
        <f>G871+H871</f>
        <v/>
      </c>
      <c r="J871">
        <f>F871+G871+H871</f>
        <v/>
      </c>
      <c r="K871">
        <f>Data!R915</f>
        <v/>
      </c>
      <c r="L871">
        <f>Data!T915</f>
        <v/>
      </c>
      <c r="M871">
        <f>AND(E871=0,F871=0,G871=0,H871=0,I871=0,J871=0,K871=0,L871=0)</f>
        <v/>
      </c>
      <c r="N871">
        <f>G871&lt;=$T$6</f>
        <v/>
      </c>
      <c r="O871">
        <f>G871&lt;=$T$12</f>
        <v/>
      </c>
      <c r="P871">
        <f>OR(AND(H871&gt;=$T$4,K871&lt;=$T$5,N871),M871)</f>
        <v/>
      </c>
      <c r="Q871">
        <f>OR(AND(I871&gt;=$T$10,K871&lt;=$T$11,O871),M871)</f>
        <v/>
      </c>
    </row>
    <row r="872">
      <c r="A872">
        <f>Data!E916</f>
        <v/>
      </c>
      <c r="B872">
        <f>Data!G916</f>
        <v/>
      </c>
      <c r="C872">
        <f>Data!H916</f>
        <v/>
      </c>
      <c r="D872">
        <f>Data!I916</f>
        <v/>
      </c>
      <c r="E872">
        <f>Data!M916</f>
        <v/>
      </c>
      <c r="F872">
        <f>Data!O916</f>
        <v/>
      </c>
      <c r="G872">
        <f>E872-F872</f>
        <v/>
      </c>
      <c r="H872">
        <f>Data!P916</f>
        <v/>
      </c>
      <c r="I872">
        <f>G872+H872</f>
        <v/>
      </c>
      <c r="J872">
        <f>F872+G872+H872</f>
        <v/>
      </c>
      <c r="K872">
        <f>Data!R916</f>
        <v/>
      </c>
      <c r="L872">
        <f>Data!T916</f>
        <v/>
      </c>
      <c r="M872">
        <f>AND(E872=0,F872=0,G872=0,H872=0,I872=0,J872=0,K872=0,L872=0)</f>
        <v/>
      </c>
      <c r="N872">
        <f>G872&lt;=$T$6</f>
        <v/>
      </c>
      <c r="O872">
        <f>G872&lt;=$T$12</f>
        <v/>
      </c>
      <c r="P872">
        <f>OR(AND(H872&gt;=$T$4,K872&lt;=$T$5,N872),M872)</f>
        <v/>
      </c>
      <c r="Q872">
        <f>OR(AND(I872&gt;=$T$10,K872&lt;=$T$11,O872),M872)</f>
        <v/>
      </c>
    </row>
    <row r="873">
      <c r="A873">
        <f>Data!E917</f>
        <v/>
      </c>
      <c r="B873">
        <f>Data!G917</f>
        <v/>
      </c>
      <c r="C873">
        <f>Data!H917</f>
        <v/>
      </c>
      <c r="D873">
        <f>Data!I917</f>
        <v/>
      </c>
      <c r="E873">
        <f>Data!M917</f>
        <v/>
      </c>
      <c r="F873">
        <f>Data!O917</f>
        <v/>
      </c>
      <c r="G873">
        <f>E873-F873</f>
        <v/>
      </c>
      <c r="H873">
        <f>Data!P917</f>
        <v/>
      </c>
      <c r="I873">
        <f>G873+H873</f>
        <v/>
      </c>
      <c r="J873">
        <f>F873+G873+H873</f>
        <v/>
      </c>
      <c r="K873">
        <f>Data!R917</f>
        <v/>
      </c>
      <c r="L873">
        <f>Data!T917</f>
        <v/>
      </c>
      <c r="M873">
        <f>AND(E873=0,F873=0,G873=0,H873=0,I873=0,J873=0,K873=0,L873=0)</f>
        <v/>
      </c>
      <c r="N873">
        <f>G873&lt;=$T$6</f>
        <v/>
      </c>
      <c r="O873">
        <f>G873&lt;=$T$12</f>
        <v/>
      </c>
      <c r="P873">
        <f>OR(AND(H873&gt;=$T$4,K873&lt;=$T$5,N873),M873)</f>
        <v/>
      </c>
      <c r="Q873">
        <f>OR(AND(I873&gt;=$T$10,K873&lt;=$T$11,O873),M873)</f>
        <v/>
      </c>
    </row>
    <row r="874">
      <c r="A874">
        <f>Data!E918</f>
        <v/>
      </c>
      <c r="B874">
        <f>Data!G918</f>
        <v/>
      </c>
      <c r="C874">
        <f>Data!H918</f>
        <v/>
      </c>
      <c r="D874">
        <f>Data!I918</f>
        <v/>
      </c>
      <c r="E874">
        <f>Data!M918</f>
        <v/>
      </c>
      <c r="F874">
        <f>Data!O918</f>
        <v/>
      </c>
      <c r="G874">
        <f>E874-F874</f>
        <v/>
      </c>
      <c r="H874">
        <f>Data!P918</f>
        <v/>
      </c>
      <c r="I874">
        <f>G874+H874</f>
        <v/>
      </c>
      <c r="J874">
        <f>F874+G874+H874</f>
        <v/>
      </c>
      <c r="K874">
        <f>Data!R918</f>
        <v/>
      </c>
      <c r="L874">
        <f>Data!T918</f>
        <v/>
      </c>
      <c r="M874">
        <f>AND(E874=0,F874=0,G874=0,H874=0,I874=0,J874=0,K874=0,L874=0)</f>
        <v/>
      </c>
      <c r="N874">
        <f>G874&lt;=$T$6</f>
        <v/>
      </c>
      <c r="O874">
        <f>G874&lt;=$T$12</f>
        <v/>
      </c>
      <c r="P874">
        <f>OR(AND(H874&gt;=$T$4,K874&lt;=$T$5,N874),M874)</f>
        <v/>
      </c>
      <c r="Q874">
        <f>OR(AND(I874&gt;=$T$10,K874&lt;=$T$11,O874),M874)</f>
        <v/>
      </c>
    </row>
    <row r="875">
      <c r="A875">
        <f>Data!E919</f>
        <v/>
      </c>
      <c r="B875">
        <f>Data!G919</f>
        <v/>
      </c>
      <c r="C875">
        <f>Data!H919</f>
        <v/>
      </c>
      <c r="D875">
        <f>Data!I919</f>
        <v/>
      </c>
      <c r="E875">
        <f>Data!M919</f>
        <v/>
      </c>
      <c r="F875">
        <f>Data!O919</f>
        <v/>
      </c>
      <c r="G875">
        <f>E875-F875</f>
        <v/>
      </c>
      <c r="H875">
        <f>Data!P919</f>
        <v/>
      </c>
      <c r="I875">
        <f>G875+H875</f>
        <v/>
      </c>
      <c r="J875">
        <f>F875+G875+H875</f>
        <v/>
      </c>
      <c r="K875">
        <f>Data!R919</f>
        <v/>
      </c>
      <c r="L875">
        <f>Data!T919</f>
        <v/>
      </c>
      <c r="M875">
        <f>AND(E875=0,F875=0,G875=0,H875=0,I875=0,J875=0,K875=0,L875=0)</f>
        <v/>
      </c>
      <c r="N875">
        <f>G875&lt;=$T$6</f>
        <v/>
      </c>
      <c r="O875">
        <f>G875&lt;=$T$12</f>
        <v/>
      </c>
      <c r="P875">
        <f>OR(AND(H875&gt;=$T$4,K875&lt;=$T$5,N875),M875)</f>
        <v/>
      </c>
      <c r="Q875">
        <f>OR(AND(I875&gt;=$T$10,K875&lt;=$T$11,O875),M875)</f>
        <v/>
      </c>
    </row>
    <row r="876">
      <c r="A876">
        <f>Data!E920</f>
        <v/>
      </c>
      <c r="B876">
        <f>Data!G920</f>
        <v/>
      </c>
      <c r="C876">
        <f>Data!H920</f>
        <v/>
      </c>
      <c r="D876">
        <f>Data!I920</f>
        <v/>
      </c>
      <c r="E876">
        <f>Data!M920</f>
        <v/>
      </c>
      <c r="F876">
        <f>Data!O920</f>
        <v/>
      </c>
      <c r="G876">
        <f>E876-F876</f>
        <v/>
      </c>
      <c r="H876">
        <f>Data!P920</f>
        <v/>
      </c>
      <c r="I876">
        <f>G876+H876</f>
        <v/>
      </c>
      <c r="J876">
        <f>F876+G876+H876</f>
        <v/>
      </c>
      <c r="K876">
        <f>Data!R920</f>
        <v/>
      </c>
      <c r="L876">
        <f>Data!T920</f>
        <v/>
      </c>
      <c r="M876">
        <f>AND(E876=0,F876=0,G876=0,H876=0,I876=0,J876=0,K876=0,L876=0)</f>
        <v/>
      </c>
      <c r="N876">
        <f>G876&lt;=$T$6</f>
        <v/>
      </c>
      <c r="O876">
        <f>G876&lt;=$T$12</f>
        <v/>
      </c>
      <c r="P876">
        <f>OR(AND(H876&gt;=$T$4,K876&lt;=$T$5,N876),M876)</f>
        <v/>
      </c>
      <c r="Q876">
        <f>OR(AND(I876&gt;=$T$10,K876&lt;=$T$11,O876),M876)</f>
        <v/>
      </c>
    </row>
    <row r="877">
      <c r="A877">
        <f>Data!E921</f>
        <v/>
      </c>
      <c r="B877">
        <f>Data!G921</f>
        <v/>
      </c>
      <c r="C877">
        <f>Data!H921</f>
        <v/>
      </c>
      <c r="D877">
        <f>Data!I921</f>
        <v/>
      </c>
      <c r="E877">
        <f>Data!M921</f>
        <v/>
      </c>
      <c r="F877">
        <f>Data!O921</f>
        <v/>
      </c>
      <c r="G877">
        <f>E877-F877</f>
        <v/>
      </c>
      <c r="H877">
        <f>Data!P921</f>
        <v/>
      </c>
      <c r="I877">
        <f>G877+H877</f>
        <v/>
      </c>
      <c r="J877">
        <f>F877+G877+H877</f>
        <v/>
      </c>
      <c r="K877">
        <f>Data!R921</f>
        <v/>
      </c>
      <c r="L877">
        <f>Data!T921</f>
        <v/>
      </c>
      <c r="M877">
        <f>AND(E877=0,F877=0,G877=0,H877=0,I877=0,J877=0,K877=0,L877=0)</f>
        <v/>
      </c>
      <c r="N877">
        <f>G877&lt;=$T$6</f>
        <v/>
      </c>
      <c r="O877">
        <f>G877&lt;=$T$12</f>
        <v/>
      </c>
      <c r="P877">
        <f>OR(AND(H877&gt;=$T$4,K877&lt;=$T$5,N877),M877)</f>
        <v/>
      </c>
      <c r="Q877">
        <f>OR(AND(I877&gt;=$T$10,K877&lt;=$T$11,O877),M877)</f>
        <v/>
      </c>
    </row>
    <row r="878">
      <c r="A878">
        <f>Data!E922</f>
        <v/>
      </c>
      <c r="B878">
        <f>Data!G922</f>
        <v/>
      </c>
      <c r="C878">
        <f>Data!H922</f>
        <v/>
      </c>
      <c r="D878">
        <f>Data!I922</f>
        <v/>
      </c>
      <c r="E878">
        <f>Data!M922</f>
        <v/>
      </c>
      <c r="F878">
        <f>Data!O922</f>
        <v/>
      </c>
      <c r="G878">
        <f>E878-F878</f>
        <v/>
      </c>
      <c r="H878">
        <f>Data!P922</f>
        <v/>
      </c>
      <c r="I878">
        <f>G878+H878</f>
        <v/>
      </c>
      <c r="J878">
        <f>F878+G878+H878</f>
        <v/>
      </c>
      <c r="K878">
        <f>Data!R922</f>
        <v/>
      </c>
      <c r="L878">
        <f>Data!T922</f>
        <v/>
      </c>
      <c r="M878">
        <f>AND(E878=0,F878=0,G878=0,H878=0,I878=0,J878=0,K878=0,L878=0)</f>
        <v/>
      </c>
      <c r="N878">
        <f>G878&lt;=$T$6</f>
        <v/>
      </c>
      <c r="O878">
        <f>G878&lt;=$T$12</f>
        <v/>
      </c>
      <c r="P878">
        <f>OR(AND(H878&gt;=$T$4,K878&lt;=$T$5,N878),M878)</f>
        <v/>
      </c>
      <c r="Q878">
        <f>OR(AND(I878&gt;=$T$10,K878&lt;=$T$11,O878),M878)</f>
        <v/>
      </c>
    </row>
    <row r="879">
      <c r="A879">
        <f>Data!E923</f>
        <v/>
      </c>
      <c r="B879">
        <f>Data!G923</f>
        <v/>
      </c>
      <c r="C879">
        <f>Data!H923</f>
        <v/>
      </c>
      <c r="D879">
        <f>Data!I923</f>
        <v/>
      </c>
      <c r="E879">
        <f>Data!M923</f>
        <v/>
      </c>
      <c r="F879">
        <f>Data!O923</f>
        <v/>
      </c>
      <c r="G879">
        <f>E879-F879</f>
        <v/>
      </c>
      <c r="H879">
        <f>Data!P923</f>
        <v/>
      </c>
      <c r="I879">
        <f>G879+H879</f>
        <v/>
      </c>
      <c r="J879">
        <f>F879+G879+H879</f>
        <v/>
      </c>
      <c r="K879">
        <f>Data!R923</f>
        <v/>
      </c>
      <c r="L879">
        <f>Data!T923</f>
        <v/>
      </c>
      <c r="M879">
        <f>AND(E879=0,F879=0,G879=0,H879=0,I879=0,J879=0,K879=0,L879=0)</f>
        <v/>
      </c>
      <c r="N879">
        <f>G879&lt;=$T$6</f>
        <v/>
      </c>
      <c r="O879">
        <f>G879&lt;=$T$12</f>
        <v/>
      </c>
      <c r="P879">
        <f>OR(AND(H879&gt;=$T$4,K879&lt;=$T$5,N879),M879)</f>
        <v/>
      </c>
      <c r="Q879">
        <f>OR(AND(I879&gt;=$T$10,K879&lt;=$T$11,O879),M879)</f>
        <v/>
      </c>
    </row>
    <row r="880">
      <c r="A880">
        <f>Data!E924</f>
        <v/>
      </c>
      <c r="B880">
        <f>Data!G924</f>
        <v/>
      </c>
      <c r="C880">
        <f>Data!H924</f>
        <v/>
      </c>
      <c r="D880">
        <f>Data!I924</f>
        <v/>
      </c>
      <c r="E880">
        <f>Data!M924</f>
        <v/>
      </c>
      <c r="F880">
        <f>Data!O924</f>
        <v/>
      </c>
      <c r="G880">
        <f>E880-F880</f>
        <v/>
      </c>
      <c r="H880">
        <f>Data!P924</f>
        <v/>
      </c>
      <c r="I880">
        <f>G880+H880</f>
        <v/>
      </c>
      <c r="J880">
        <f>F880+G880+H880</f>
        <v/>
      </c>
      <c r="K880">
        <f>Data!R924</f>
        <v/>
      </c>
      <c r="L880">
        <f>Data!T924</f>
        <v/>
      </c>
      <c r="M880">
        <f>AND(E880=0,F880=0,G880=0,H880=0,I880=0,J880=0,K880=0,L880=0)</f>
        <v/>
      </c>
      <c r="N880">
        <f>G880&lt;=$T$6</f>
        <v/>
      </c>
      <c r="O880">
        <f>G880&lt;=$T$12</f>
        <v/>
      </c>
      <c r="P880">
        <f>OR(AND(H880&gt;=$T$4,K880&lt;=$T$5,N880),M880)</f>
        <v/>
      </c>
      <c r="Q880">
        <f>OR(AND(I880&gt;=$T$10,K880&lt;=$T$11,O880),M880)</f>
        <v/>
      </c>
    </row>
    <row r="881">
      <c r="A881">
        <f>Data!E926</f>
        <v/>
      </c>
      <c r="B881">
        <f>Data!G926</f>
        <v/>
      </c>
      <c r="C881">
        <f>Data!H926</f>
        <v/>
      </c>
      <c r="D881">
        <f>Data!I926</f>
        <v/>
      </c>
      <c r="E881">
        <f>Data!M926</f>
        <v/>
      </c>
      <c r="F881">
        <f>Data!O926</f>
        <v/>
      </c>
      <c r="G881">
        <f>E881-F881</f>
        <v/>
      </c>
      <c r="H881">
        <f>Data!P926</f>
        <v/>
      </c>
      <c r="I881">
        <f>G881+H881</f>
        <v/>
      </c>
      <c r="J881">
        <f>F881+G881+H881</f>
        <v/>
      </c>
      <c r="K881">
        <f>Data!R926</f>
        <v/>
      </c>
      <c r="L881">
        <f>Data!T926</f>
        <v/>
      </c>
      <c r="M881">
        <f>AND(E881=0,F881=0,G881=0,H881=0,I881=0,J881=0,K881=0,L881=0)</f>
        <v/>
      </c>
      <c r="N881">
        <f>G881&lt;=$T$6</f>
        <v/>
      </c>
      <c r="O881">
        <f>G881&lt;=$T$12</f>
        <v/>
      </c>
      <c r="P881">
        <f>OR(AND(H881&gt;=$T$4,K881&lt;=$T$5,N881),M881)</f>
        <v/>
      </c>
      <c r="Q881">
        <f>OR(AND(I881&gt;=$T$10,K881&lt;=$T$11,O881),M881)</f>
        <v/>
      </c>
    </row>
    <row r="882">
      <c r="A882">
        <f>Data!E927</f>
        <v/>
      </c>
      <c r="B882">
        <f>Data!G927</f>
        <v/>
      </c>
      <c r="C882">
        <f>Data!H927</f>
        <v/>
      </c>
      <c r="D882">
        <f>Data!I927</f>
        <v/>
      </c>
      <c r="E882">
        <f>Data!M927</f>
        <v/>
      </c>
      <c r="F882">
        <f>Data!O927</f>
        <v/>
      </c>
      <c r="G882">
        <f>E882-F882</f>
        <v/>
      </c>
      <c r="H882">
        <f>Data!P927</f>
        <v/>
      </c>
      <c r="I882">
        <f>G882+H882</f>
        <v/>
      </c>
      <c r="J882">
        <f>F882+G882+H882</f>
        <v/>
      </c>
      <c r="K882">
        <f>Data!R927</f>
        <v/>
      </c>
      <c r="L882">
        <f>Data!T927</f>
        <v/>
      </c>
      <c r="M882">
        <f>AND(E882=0,F882=0,G882=0,H882=0,I882=0,J882=0,K882=0,L882=0)</f>
        <v/>
      </c>
      <c r="N882">
        <f>G882&lt;=$T$6</f>
        <v/>
      </c>
      <c r="O882">
        <f>G882&lt;=$T$12</f>
        <v/>
      </c>
      <c r="P882">
        <f>OR(AND(H882&gt;=$T$4,K882&lt;=$T$5,N882),M882)</f>
        <v/>
      </c>
      <c r="Q882">
        <f>OR(AND(I882&gt;=$T$10,K882&lt;=$T$11,O882),M882)</f>
        <v/>
      </c>
    </row>
    <row r="883">
      <c r="A883">
        <f>Data!E928</f>
        <v/>
      </c>
      <c r="B883">
        <f>Data!G928</f>
        <v/>
      </c>
      <c r="C883">
        <f>Data!H928</f>
        <v/>
      </c>
      <c r="D883">
        <f>Data!I928</f>
        <v/>
      </c>
      <c r="E883">
        <f>Data!M928</f>
        <v/>
      </c>
      <c r="F883">
        <f>Data!O928</f>
        <v/>
      </c>
      <c r="G883">
        <f>E883-F883</f>
        <v/>
      </c>
      <c r="H883">
        <f>Data!P928</f>
        <v/>
      </c>
      <c r="I883">
        <f>G883+H883</f>
        <v/>
      </c>
      <c r="J883">
        <f>F883+G883+H883</f>
        <v/>
      </c>
      <c r="K883">
        <f>Data!R928</f>
        <v/>
      </c>
      <c r="L883">
        <f>Data!T928</f>
        <v/>
      </c>
      <c r="M883">
        <f>AND(E883=0,F883=0,G883=0,H883=0,I883=0,J883=0,K883=0,L883=0)</f>
        <v/>
      </c>
      <c r="N883">
        <f>G883&lt;=$T$6</f>
        <v/>
      </c>
      <c r="O883">
        <f>G883&lt;=$T$12</f>
        <v/>
      </c>
      <c r="P883">
        <f>OR(AND(H883&gt;=$T$4,K883&lt;=$T$5,N883),M883)</f>
        <v/>
      </c>
      <c r="Q883">
        <f>OR(AND(I883&gt;=$T$10,K883&lt;=$T$11,O883),M883)</f>
        <v/>
      </c>
    </row>
    <row r="884">
      <c r="A884">
        <f>Data!E929</f>
        <v/>
      </c>
      <c r="B884">
        <f>Data!G929</f>
        <v/>
      </c>
      <c r="C884">
        <f>Data!H929</f>
        <v/>
      </c>
      <c r="D884">
        <f>Data!I929</f>
        <v/>
      </c>
      <c r="E884">
        <f>Data!M929</f>
        <v/>
      </c>
      <c r="F884">
        <f>Data!O929</f>
        <v/>
      </c>
      <c r="G884">
        <f>E884-F884</f>
        <v/>
      </c>
      <c r="H884">
        <f>Data!P929</f>
        <v/>
      </c>
      <c r="I884">
        <f>G884+H884</f>
        <v/>
      </c>
      <c r="J884">
        <f>F884+G884+H884</f>
        <v/>
      </c>
      <c r="K884">
        <f>Data!R929</f>
        <v/>
      </c>
      <c r="L884">
        <f>Data!T929</f>
        <v/>
      </c>
      <c r="M884">
        <f>AND(E884=0,F884=0,G884=0,H884=0,I884=0,J884=0,K884=0,L884=0)</f>
        <v/>
      </c>
      <c r="N884">
        <f>G884&lt;=$T$6</f>
        <v/>
      </c>
      <c r="O884">
        <f>G884&lt;=$T$12</f>
        <v/>
      </c>
      <c r="P884">
        <f>OR(AND(H884&gt;=$T$4,K884&lt;=$T$5,N884),M884)</f>
        <v/>
      </c>
      <c r="Q884">
        <f>OR(AND(I884&gt;=$T$10,K884&lt;=$T$11,O884),M884)</f>
        <v/>
      </c>
    </row>
    <row r="885">
      <c r="A885">
        <f>Data!E930</f>
        <v/>
      </c>
      <c r="B885">
        <f>Data!G930</f>
        <v/>
      </c>
      <c r="C885">
        <f>Data!H930</f>
        <v/>
      </c>
      <c r="D885">
        <f>Data!I930</f>
        <v/>
      </c>
      <c r="E885">
        <f>Data!M930</f>
        <v/>
      </c>
      <c r="F885">
        <f>Data!O930</f>
        <v/>
      </c>
      <c r="G885">
        <f>E885-F885</f>
        <v/>
      </c>
      <c r="H885">
        <f>Data!P930</f>
        <v/>
      </c>
      <c r="I885">
        <f>G885+H885</f>
        <v/>
      </c>
      <c r="J885">
        <f>F885+G885+H885</f>
        <v/>
      </c>
      <c r="K885">
        <f>Data!R930</f>
        <v/>
      </c>
      <c r="L885">
        <f>Data!T930</f>
        <v/>
      </c>
      <c r="M885">
        <f>AND(E885=0,F885=0,G885=0,H885=0,I885=0,J885=0,K885=0,L885=0)</f>
        <v/>
      </c>
      <c r="N885">
        <f>G885&lt;=$T$6</f>
        <v/>
      </c>
      <c r="O885">
        <f>G885&lt;=$T$12</f>
        <v/>
      </c>
      <c r="P885">
        <f>OR(AND(H885&gt;=$T$4,K885&lt;=$T$5,N885),M885)</f>
        <v/>
      </c>
      <c r="Q885">
        <f>OR(AND(I885&gt;=$T$10,K885&lt;=$T$11,O885),M885)</f>
        <v/>
      </c>
    </row>
    <row r="886">
      <c r="A886">
        <f>Data!E931</f>
        <v/>
      </c>
      <c r="B886">
        <f>Data!G931</f>
        <v/>
      </c>
      <c r="C886">
        <f>Data!H931</f>
        <v/>
      </c>
      <c r="D886">
        <f>Data!I931</f>
        <v/>
      </c>
      <c r="E886">
        <f>Data!M931</f>
        <v/>
      </c>
      <c r="F886">
        <f>Data!O931</f>
        <v/>
      </c>
      <c r="G886">
        <f>E886-F886</f>
        <v/>
      </c>
      <c r="H886">
        <f>Data!P931</f>
        <v/>
      </c>
      <c r="I886">
        <f>G886+H886</f>
        <v/>
      </c>
      <c r="J886">
        <f>F886+G886+H886</f>
        <v/>
      </c>
      <c r="K886">
        <f>Data!R931</f>
        <v/>
      </c>
      <c r="L886">
        <f>Data!T931</f>
        <v/>
      </c>
      <c r="M886">
        <f>AND(E886=0,F886=0,G886=0,H886=0,I886=0,J886=0,K886=0,L886=0)</f>
        <v/>
      </c>
      <c r="N886">
        <f>G886&lt;=$T$6</f>
        <v/>
      </c>
      <c r="O886">
        <f>G886&lt;=$T$12</f>
        <v/>
      </c>
      <c r="P886">
        <f>OR(AND(H886&gt;=$T$4,K886&lt;=$T$5,N886),M886)</f>
        <v/>
      </c>
      <c r="Q886">
        <f>OR(AND(I886&gt;=$T$10,K886&lt;=$T$11,O886),M886)</f>
        <v/>
      </c>
    </row>
    <row r="887">
      <c r="A887">
        <f>Data!E932</f>
        <v/>
      </c>
      <c r="B887">
        <f>Data!G932</f>
        <v/>
      </c>
      <c r="C887">
        <f>Data!H932</f>
        <v/>
      </c>
      <c r="D887">
        <f>Data!I932</f>
        <v/>
      </c>
      <c r="E887">
        <f>Data!M932</f>
        <v/>
      </c>
      <c r="F887">
        <f>Data!O932</f>
        <v/>
      </c>
      <c r="G887">
        <f>E887-F887</f>
        <v/>
      </c>
      <c r="H887">
        <f>Data!P932</f>
        <v/>
      </c>
      <c r="I887">
        <f>G887+H887</f>
        <v/>
      </c>
      <c r="J887">
        <f>F887+G887+H887</f>
        <v/>
      </c>
      <c r="K887">
        <f>Data!R932</f>
        <v/>
      </c>
      <c r="L887">
        <f>Data!T932</f>
        <v/>
      </c>
      <c r="M887">
        <f>AND(E887=0,F887=0,G887=0,H887=0,I887=0,J887=0,K887=0,L887=0)</f>
        <v/>
      </c>
      <c r="N887">
        <f>G887&lt;=$T$6</f>
        <v/>
      </c>
      <c r="O887">
        <f>G887&lt;=$T$12</f>
        <v/>
      </c>
      <c r="P887">
        <f>OR(AND(H887&gt;=$T$4,K887&lt;=$T$5,N887),M887)</f>
        <v/>
      </c>
      <c r="Q887">
        <f>OR(AND(I887&gt;=$T$10,K887&lt;=$T$11,O887),M887)</f>
        <v/>
      </c>
    </row>
    <row r="888">
      <c r="A888">
        <f>Data!E933</f>
        <v/>
      </c>
      <c r="B888">
        <f>Data!G933</f>
        <v/>
      </c>
      <c r="C888">
        <f>Data!H933</f>
        <v/>
      </c>
      <c r="D888">
        <f>Data!I933</f>
        <v/>
      </c>
      <c r="E888">
        <f>Data!M933</f>
        <v/>
      </c>
      <c r="F888">
        <f>Data!O933</f>
        <v/>
      </c>
      <c r="G888">
        <f>E888-F888</f>
        <v/>
      </c>
      <c r="H888">
        <f>Data!P933</f>
        <v/>
      </c>
      <c r="I888">
        <f>G888+H888</f>
        <v/>
      </c>
      <c r="J888">
        <f>F888+G888+H888</f>
        <v/>
      </c>
      <c r="K888">
        <f>Data!R933</f>
        <v/>
      </c>
      <c r="L888">
        <f>Data!T933</f>
        <v/>
      </c>
      <c r="M888">
        <f>AND(E888=0,F888=0,G888=0,H888=0,I888=0,J888=0,K888=0,L888=0)</f>
        <v/>
      </c>
      <c r="N888">
        <f>G888&lt;=$T$6</f>
        <v/>
      </c>
      <c r="O888">
        <f>G888&lt;=$T$12</f>
        <v/>
      </c>
      <c r="P888">
        <f>OR(AND(H888&gt;=$T$4,K888&lt;=$T$5,N888),M888)</f>
        <v/>
      </c>
      <c r="Q888">
        <f>OR(AND(I888&gt;=$T$10,K888&lt;=$T$11,O888),M888)</f>
        <v/>
      </c>
    </row>
    <row r="889">
      <c r="A889">
        <f>Data!E934</f>
        <v/>
      </c>
      <c r="B889">
        <f>Data!G934</f>
        <v/>
      </c>
      <c r="C889">
        <f>Data!H934</f>
        <v/>
      </c>
      <c r="D889">
        <f>Data!I934</f>
        <v/>
      </c>
      <c r="E889">
        <f>Data!M934</f>
        <v/>
      </c>
      <c r="F889">
        <f>Data!O934</f>
        <v/>
      </c>
      <c r="G889">
        <f>E889-F889</f>
        <v/>
      </c>
      <c r="H889">
        <f>Data!P934</f>
        <v/>
      </c>
      <c r="I889">
        <f>G889+H889</f>
        <v/>
      </c>
      <c r="J889">
        <f>F889+G889+H889</f>
        <v/>
      </c>
      <c r="K889">
        <f>Data!R934</f>
        <v/>
      </c>
      <c r="L889">
        <f>Data!T934</f>
        <v/>
      </c>
      <c r="M889">
        <f>AND(E889=0,F889=0,G889=0,H889=0,I889=0,J889=0,K889=0,L889=0)</f>
        <v/>
      </c>
      <c r="N889">
        <f>G889&lt;=$T$6</f>
        <v/>
      </c>
      <c r="O889">
        <f>G889&lt;=$T$12</f>
        <v/>
      </c>
      <c r="P889">
        <f>OR(AND(H889&gt;=$T$4,K889&lt;=$T$5,N889),M889)</f>
        <v/>
      </c>
      <c r="Q889">
        <f>OR(AND(I889&gt;=$T$10,K889&lt;=$T$11,O889),M889)</f>
        <v/>
      </c>
    </row>
    <row r="890">
      <c r="A890">
        <f>Data!E935</f>
        <v/>
      </c>
      <c r="B890">
        <f>Data!G935</f>
        <v/>
      </c>
      <c r="C890">
        <f>Data!H935</f>
        <v/>
      </c>
      <c r="D890">
        <f>Data!I935</f>
        <v/>
      </c>
      <c r="E890">
        <f>Data!M935</f>
        <v/>
      </c>
      <c r="F890">
        <f>Data!O935</f>
        <v/>
      </c>
      <c r="G890">
        <f>E890-F890</f>
        <v/>
      </c>
      <c r="H890">
        <f>Data!P935</f>
        <v/>
      </c>
      <c r="I890">
        <f>G890+H890</f>
        <v/>
      </c>
      <c r="J890">
        <f>F890+G890+H890</f>
        <v/>
      </c>
      <c r="K890">
        <f>Data!R935</f>
        <v/>
      </c>
      <c r="L890">
        <f>Data!T935</f>
        <v/>
      </c>
      <c r="M890">
        <f>AND(E890=0,F890=0,G890=0,H890=0,I890=0,J890=0,K890=0,L890=0)</f>
        <v/>
      </c>
      <c r="N890">
        <f>G890&lt;=$T$6</f>
        <v/>
      </c>
      <c r="O890">
        <f>G890&lt;=$T$12</f>
        <v/>
      </c>
      <c r="P890">
        <f>OR(AND(H890&gt;=$T$4,K890&lt;=$T$5,N890),M890)</f>
        <v/>
      </c>
      <c r="Q890">
        <f>OR(AND(I890&gt;=$T$10,K890&lt;=$T$11,O890),M890)</f>
        <v/>
      </c>
    </row>
    <row r="891">
      <c r="A891">
        <f>Data!E936</f>
        <v/>
      </c>
      <c r="B891">
        <f>Data!G936</f>
        <v/>
      </c>
      <c r="C891">
        <f>Data!H936</f>
        <v/>
      </c>
      <c r="D891">
        <f>Data!I936</f>
        <v/>
      </c>
      <c r="E891">
        <f>Data!M936</f>
        <v/>
      </c>
      <c r="F891">
        <f>Data!O936</f>
        <v/>
      </c>
      <c r="G891">
        <f>E891-F891</f>
        <v/>
      </c>
      <c r="H891">
        <f>Data!P936</f>
        <v/>
      </c>
      <c r="I891">
        <f>G891+H891</f>
        <v/>
      </c>
      <c r="J891">
        <f>F891+G891+H891</f>
        <v/>
      </c>
      <c r="K891">
        <f>Data!R936</f>
        <v/>
      </c>
      <c r="L891">
        <f>Data!T936</f>
        <v/>
      </c>
      <c r="M891">
        <f>AND(E891=0,F891=0,G891=0,H891=0,I891=0,J891=0,K891=0,L891=0)</f>
        <v/>
      </c>
      <c r="N891">
        <f>G891&lt;=$T$6</f>
        <v/>
      </c>
      <c r="O891">
        <f>G891&lt;=$T$12</f>
        <v/>
      </c>
      <c r="P891">
        <f>OR(AND(H891&gt;=$T$4,K891&lt;=$T$5,N891),M891)</f>
        <v/>
      </c>
      <c r="Q891">
        <f>OR(AND(I891&gt;=$T$10,K891&lt;=$T$11,O891),M891)</f>
        <v/>
      </c>
    </row>
    <row r="892">
      <c r="A892">
        <f>Data!E937</f>
        <v/>
      </c>
      <c r="B892">
        <f>Data!G937</f>
        <v/>
      </c>
      <c r="C892">
        <f>Data!H937</f>
        <v/>
      </c>
      <c r="D892">
        <f>Data!I937</f>
        <v/>
      </c>
      <c r="E892">
        <f>Data!M937</f>
        <v/>
      </c>
      <c r="F892">
        <f>Data!O937</f>
        <v/>
      </c>
      <c r="G892">
        <f>E892-F892</f>
        <v/>
      </c>
      <c r="H892">
        <f>Data!P937</f>
        <v/>
      </c>
      <c r="I892">
        <f>G892+H892</f>
        <v/>
      </c>
      <c r="J892">
        <f>F892+G892+H892</f>
        <v/>
      </c>
      <c r="K892">
        <f>Data!R937</f>
        <v/>
      </c>
      <c r="L892">
        <f>Data!T937</f>
        <v/>
      </c>
      <c r="M892">
        <f>AND(E892=0,F892=0,G892=0,H892=0,I892=0,J892=0,K892=0,L892=0)</f>
        <v/>
      </c>
      <c r="N892">
        <f>G892&lt;=$T$6</f>
        <v/>
      </c>
      <c r="O892">
        <f>G892&lt;=$T$12</f>
        <v/>
      </c>
      <c r="P892">
        <f>OR(AND(H892&gt;=$T$4,K892&lt;=$T$5,N892),M892)</f>
        <v/>
      </c>
      <c r="Q892">
        <f>OR(AND(I892&gt;=$T$10,K892&lt;=$T$11,O892),M892)</f>
        <v/>
      </c>
    </row>
    <row r="893">
      <c r="A893">
        <f>Data!E938</f>
        <v/>
      </c>
      <c r="B893">
        <f>Data!G938</f>
        <v/>
      </c>
      <c r="C893">
        <f>Data!H938</f>
        <v/>
      </c>
      <c r="D893">
        <f>Data!I938</f>
        <v/>
      </c>
      <c r="E893">
        <f>Data!M938</f>
        <v/>
      </c>
      <c r="F893">
        <f>Data!O938</f>
        <v/>
      </c>
      <c r="G893">
        <f>E893-F893</f>
        <v/>
      </c>
      <c r="H893">
        <f>Data!P938</f>
        <v/>
      </c>
      <c r="I893">
        <f>G893+H893</f>
        <v/>
      </c>
      <c r="J893">
        <f>F893+G893+H893</f>
        <v/>
      </c>
      <c r="K893">
        <f>Data!R938</f>
        <v/>
      </c>
      <c r="L893">
        <f>Data!T938</f>
        <v/>
      </c>
      <c r="M893">
        <f>AND(E893=0,F893=0,G893=0,H893=0,I893=0,J893=0,K893=0,L893=0)</f>
        <v/>
      </c>
      <c r="N893">
        <f>G893&lt;=$T$6</f>
        <v/>
      </c>
      <c r="O893">
        <f>G893&lt;=$T$12</f>
        <v/>
      </c>
      <c r="P893">
        <f>OR(AND(H893&gt;=$T$4,K893&lt;=$T$5,N893),M893)</f>
        <v/>
      </c>
      <c r="Q893">
        <f>OR(AND(I893&gt;=$T$10,K893&lt;=$T$11,O893),M893)</f>
        <v/>
      </c>
    </row>
    <row r="894">
      <c r="A894">
        <f>Data!E939</f>
        <v/>
      </c>
      <c r="B894">
        <f>Data!G939</f>
        <v/>
      </c>
      <c r="C894">
        <f>Data!H939</f>
        <v/>
      </c>
      <c r="D894">
        <f>Data!I939</f>
        <v/>
      </c>
      <c r="E894">
        <f>Data!M939</f>
        <v/>
      </c>
      <c r="F894">
        <f>Data!O939</f>
        <v/>
      </c>
      <c r="G894">
        <f>E894-F894</f>
        <v/>
      </c>
      <c r="H894">
        <f>Data!P939</f>
        <v/>
      </c>
      <c r="I894">
        <f>G894+H894</f>
        <v/>
      </c>
      <c r="J894">
        <f>F894+G894+H894</f>
        <v/>
      </c>
      <c r="K894">
        <f>Data!R939</f>
        <v/>
      </c>
      <c r="L894">
        <f>Data!T939</f>
        <v/>
      </c>
      <c r="M894">
        <f>AND(E894=0,F894=0,G894=0,H894=0,I894=0,J894=0,K894=0,L894=0)</f>
        <v/>
      </c>
      <c r="N894">
        <f>G894&lt;=$T$6</f>
        <v/>
      </c>
      <c r="O894">
        <f>G894&lt;=$T$12</f>
        <v/>
      </c>
      <c r="P894">
        <f>OR(AND(H894&gt;=$T$4,K894&lt;=$T$5,N894),M894)</f>
        <v/>
      </c>
      <c r="Q894">
        <f>OR(AND(I894&gt;=$T$10,K894&lt;=$T$11,O894),M894)</f>
        <v/>
      </c>
    </row>
    <row r="895">
      <c r="A895">
        <f>Data!E940</f>
        <v/>
      </c>
      <c r="B895">
        <f>Data!G940</f>
        <v/>
      </c>
      <c r="C895">
        <f>Data!H940</f>
        <v/>
      </c>
      <c r="D895">
        <f>Data!I940</f>
        <v/>
      </c>
      <c r="E895">
        <f>Data!M940</f>
        <v/>
      </c>
      <c r="F895">
        <f>Data!O940</f>
        <v/>
      </c>
      <c r="G895">
        <f>E895-F895</f>
        <v/>
      </c>
      <c r="H895">
        <f>Data!P940</f>
        <v/>
      </c>
      <c r="I895">
        <f>G895+H895</f>
        <v/>
      </c>
      <c r="J895">
        <f>F895+G895+H895</f>
        <v/>
      </c>
      <c r="K895">
        <f>Data!R940</f>
        <v/>
      </c>
      <c r="L895">
        <f>Data!T940</f>
        <v/>
      </c>
      <c r="M895">
        <f>AND(E895=0,F895=0,G895=0,H895=0,I895=0,J895=0,K895=0,L895=0)</f>
        <v/>
      </c>
      <c r="N895">
        <f>G895&lt;=$T$6</f>
        <v/>
      </c>
      <c r="O895">
        <f>G895&lt;=$T$12</f>
        <v/>
      </c>
      <c r="P895">
        <f>OR(AND(H895&gt;=$T$4,K895&lt;=$T$5,N895),M895)</f>
        <v/>
      </c>
      <c r="Q895">
        <f>OR(AND(I895&gt;=$T$10,K895&lt;=$T$11,O895),M895)</f>
        <v/>
      </c>
    </row>
    <row r="896">
      <c r="A896">
        <f>Data!E942</f>
        <v/>
      </c>
      <c r="B896">
        <f>Data!G942</f>
        <v/>
      </c>
      <c r="C896">
        <f>Data!H942</f>
        <v/>
      </c>
      <c r="D896">
        <f>Data!I942</f>
        <v/>
      </c>
      <c r="E896">
        <f>Data!M942</f>
        <v/>
      </c>
      <c r="F896">
        <f>Data!O942</f>
        <v/>
      </c>
      <c r="G896">
        <f>E896-F896</f>
        <v/>
      </c>
      <c r="H896">
        <f>Data!P942</f>
        <v/>
      </c>
      <c r="I896">
        <f>G896+H896</f>
        <v/>
      </c>
      <c r="J896">
        <f>F896+G896+H896</f>
        <v/>
      </c>
      <c r="K896">
        <f>Data!R942</f>
        <v/>
      </c>
      <c r="L896">
        <f>Data!T942</f>
        <v/>
      </c>
      <c r="M896">
        <f>AND(E896=0,F896=0,G896=0,H896=0,I896=0,J896=0,K896=0,L896=0)</f>
        <v/>
      </c>
      <c r="N896">
        <f>G896&lt;=$T$6</f>
        <v/>
      </c>
      <c r="O896">
        <f>G896&lt;=$T$12</f>
        <v/>
      </c>
      <c r="P896">
        <f>OR(AND(H896&gt;=$T$4,K896&lt;=$T$5,N896),M896)</f>
        <v/>
      </c>
      <c r="Q896">
        <f>OR(AND(I896&gt;=$T$10,K896&lt;=$T$11,O896),M896)</f>
        <v/>
      </c>
    </row>
    <row r="897">
      <c r="A897">
        <f>Data!E943</f>
        <v/>
      </c>
      <c r="B897">
        <f>Data!G943</f>
        <v/>
      </c>
      <c r="C897">
        <f>Data!H943</f>
        <v/>
      </c>
      <c r="D897">
        <f>Data!I943</f>
        <v/>
      </c>
      <c r="E897">
        <f>Data!M943</f>
        <v/>
      </c>
      <c r="F897">
        <f>Data!O943</f>
        <v/>
      </c>
      <c r="G897">
        <f>E897-F897</f>
        <v/>
      </c>
      <c r="H897">
        <f>Data!P943</f>
        <v/>
      </c>
      <c r="I897">
        <f>G897+H897</f>
        <v/>
      </c>
      <c r="J897">
        <f>F897+G897+H897</f>
        <v/>
      </c>
      <c r="K897">
        <f>Data!R943</f>
        <v/>
      </c>
      <c r="L897">
        <f>Data!T943</f>
        <v/>
      </c>
      <c r="M897">
        <f>AND(E897=0,F897=0,G897=0,H897=0,I897=0,J897=0,K897=0,L897=0)</f>
        <v/>
      </c>
      <c r="N897">
        <f>G897&lt;=$T$6</f>
        <v/>
      </c>
      <c r="O897">
        <f>G897&lt;=$T$12</f>
        <v/>
      </c>
      <c r="P897">
        <f>OR(AND(H897&gt;=$T$4,K897&lt;=$T$5,N897),M897)</f>
        <v/>
      </c>
      <c r="Q897">
        <f>OR(AND(I897&gt;=$T$10,K897&lt;=$T$11,O897),M897)</f>
        <v/>
      </c>
    </row>
    <row r="898">
      <c r="A898">
        <f>Data!E944</f>
        <v/>
      </c>
      <c r="B898">
        <f>Data!G944</f>
        <v/>
      </c>
      <c r="C898">
        <f>Data!H944</f>
        <v/>
      </c>
      <c r="D898">
        <f>Data!I944</f>
        <v/>
      </c>
      <c r="E898">
        <f>Data!M944</f>
        <v/>
      </c>
      <c r="F898">
        <f>Data!O944</f>
        <v/>
      </c>
      <c r="G898">
        <f>E898-F898</f>
        <v/>
      </c>
      <c r="H898">
        <f>Data!P944</f>
        <v/>
      </c>
      <c r="I898">
        <f>G898+H898</f>
        <v/>
      </c>
      <c r="J898">
        <f>F898+G898+H898</f>
        <v/>
      </c>
      <c r="K898">
        <f>Data!R944</f>
        <v/>
      </c>
      <c r="L898">
        <f>Data!T944</f>
        <v/>
      </c>
      <c r="M898">
        <f>AND(E898=0,F898=0,G898=0,H898=0,I898=0,J898=0,K898=0,L898=0)</f>
        <v/>
      </c>
      <c r="N898">
        <f>G898&lt;=$T$6</f>
        <v/>
      </c>
      <c r="O898">
        <f>G898&lt;=$T$12</f>
        <v/>
      </c>
      <c r="P898">
        <f>OR(AND(H898&gt;=$T$4,K898&lt;=$T$5,N898),M898)</f>
        <v/>
      </c>
      <c r="Q898">
        <f>OR(AND(I898&gt;=$T$10,K898&lt;=$T$11,O898),M898)</f>
        <v/>
      </c>
    </row>
    <row r="899">
      <c r="A899">
        <f>Data!E945</f>
        <v/>
      </c>
      <c r="B899">
        <f>Data!G945</f>
        <v/>
      </c>
      <c r="C899">
        <f>Data!H945</f>
        <v/>
      </c>
      <c r="D899">
        <f>Data!I945</f>
        <v/>
      </c>
      <c r="E899">
        <f>Data!M945</f>
        <v/>
      </c>
      <c r="F899">
        <f>Data!O945</f>
        <v/>
      </c>
      <c r="G899">
        <f>E899-F899</f>
        <v/>
      </c>
      <c r="H899">
        <f>Data!P945</f>
        <v/>
      </c>
      <c r="I899">
        <f>G899+H899</f>
        <v/>
      </c>
      <c r="J899">
        <f>F899+G899+H899</f>
        <v/>
      </c>
      <c r="K899">
        <f>Data!R945</f>
        <v/>
      </c>
      <c r="L899">
        <f>Data!T945</f>
        <v/>
      </c>
      <c r="M899">
        <f>AND(E899=0,F899=0,G899=0,H899=0,I899=0,J899=0,K899=0,L899=0)</f>
        <v/>
      </c>
      <c r="N899">
        <f>G899&lt;=$T$6</f>
        <v/>
      </c>
      <c r="O899">
        <f>G899&lt;=$T$12</f>
        <v/>
      </c>
      <c r="P899">
        <f>OR(AND(H899&gt;=$T$4,K899&lt;=$T$5,N899),M899)</f>
        <v/>
      </c>
      <c r="Q899">
        <f>OR(AND(I899&gt;=$T$10,K899&lt;=$T$11,O899),M899)</f>
        <v/>
      </c>
    </row>
    <row r="900">
      <c r="A900">
        <f>Data!E946</f>
        <v/>
      </c>
      <c r="B900">
        <f>Data!G946</f>
        <v/>
      </c>
      <c r="C900">
        <f>Data!H946</f>
        <v/>
      </c>
      <c r="D900">
        <f>Data!I946</f>
        <v/>
      </c>
      <c r="E900">
        <f>Data!M946</f>
        <v/>
      </c>
      <c r="F900">
        <f>Data!O946</f>
        <v/>
      </c>
      <c r="G900">
        <f>E900-F900</f>
        <v/>
      </c>
      <c r="H900">
        <f>Data!P946</f>
        <v/>
      </c>
      <c r="I900">
        <f>G900+H900</f>
        <v/>
      </c>
      <c r="J900">
        <f>F900+G900+H900</f>
        <v/>
      </c>
      <c r="K900">
        <f>Data!R946</f>
        <v/>
      </c>
      <c r="L900">
        <f>Data!T946</f>
        <v/>
      </c>
      <c r="M900">
        <f>AND(E900=0,F900=0,G900=0,H900=0,I900=0,J900=0,K900=0,L900=0)</f>
        <v/>
      </c>
      <c r="N900">
        <f>G900&lt;=$T$6</f>
        <v/>
      </c>
      <c r="O900">
        <f>G900&lt;=$T$12</f>
        <v/>
      </c>
      <c r="P900">
        <f>OR(AND(H900&gt;=$T$4,K900&lt;=$T$5,N900),M900)</f>
        <v/>
      </c>
      <c r="Q900">
        <f>OR(AND(I900&gt;=$T$10,K900&lt;=$T$11,O900),M900)</f>
        <v/>
      </c>
    </row>
    <row r="901">
      <c r="A901">
        <f>Data!E947</f>
        <v/>
      </c>
      <c r="B901">
        <f>Data!G947</f>
        <v/>
      </c>
      <c r="C901">
        <f>Data!H947</f>
        <v/>
      </c>
      <c r="D901">
        <f>Data!I947</f>
        <v/>
      </c>
      <c r="E901">
        <f>Data!M947</f>
        <v/>
      </c>
      <c r="F901">
        <f>Data!O947</f>
        <v/>
      </c>
      <c r="G901">
        <f>E901-F901</f>
        <v/>
      </c>
      <c r="H901">
        <f>Data!P947</f>
        <v/>
      </c>
      <c r="I901">
        <f>G901+H901</f>
        <v/>
      </c>
      <c r="J901">
        <f>F901+G901+H901</f>
        <v/>
      </c>
      <c r="K901">
        <f>Data!R947</f>
        <v/>
      </c>
      <c r="L901">
        <f>Data!T947</f>
        <v/>
      </c>
      <c r="M901">
        <f>AND(E901=0,F901=0,G901=0,H901=0,I901=0,J901=0,K901=0,L901=0)</f>
        <v/>
      </c>
      <c r="N901">
        <f>G901&lt;=$T$6</f>
        <v/>
      </c>
      <c r="O901">
        <f>G901&lt;=$T$12</f>
        <v/>
      </c>
      <c r="P901">
        <f>OR(AND(H901&gt;=$T$4,K901&lt;=$T$5,N901),M901)</f>
        <v/>
      </c>
      <c r="Q901">
        <f>OR(AND(I901&gt;=$T$10,K901&lt;=$T$11,O901),M901)</f>
        <v/>
      </c>
    </row>
    <row r="902">
      <c r="A902">
        <f>Data!E948</f>
        <v/>
      </c>
      <c r="B902">
        <f>Data!G948</f>
        <v/>
      </c>
      <c r="C902">
        <f>Data!H948</f>
        <v/>
      </c>
      <c r="D902">
        <f>Data!I948</f>
        <v/>
      </c>
      <c r="E902">
        <f>Data!M948</f>
        <v/>
      </c>
      <c r="F902">
        <f>Data!O948</f>
        <v/>
      </c>
      <c r="G902">
        <f>E902-F902</f>
        <v/>
      </c>
      <c r="H902">
        <f>Data!P948</f>
        <v/>
      </c>
      <c r="I902">
        <f>G902+H902</f>
        <v/>
      </c>
      <c r="J902">
        <f>F902+G902+H902</f>
        <v/>
      </c>
      <c r="K902">
        <f>Data!R948</f>
        <v/>
      </c>
      <c r="L902">
        <f>Data!T948</f>
        <v/>
      </c>
      <c r="M902">
        <f>AND(E902=0,F902=0,G902=0,H902=0,I902=0,J902=0,K902=0,L902=0)</f>
        <v/>
      </c>
      <c r="N902">
        <f>G902&lt;=$T$6</f>
        <v/>
      </c>
      <c r="O902">
        <f>G902&lt;=$T$12</f>
        <v/>
      </c>
      <c r="P902">
        <f>OR(AND(H902&gt;=$T$4,K902&lt;=$T$5,N902),M902)</f>
        <v/>
      </c>
      <c r="Q902">
        <f>OR(AND(I902&gt;=$T$10,K902&lt;=$T$11,O902),M902)</f>
        <v/>
      </c>
    </row>
    <row r="903">
      <c r="A903">
        <f>Data!E949</f>
        <v/>
      </c>
      <c r="B903">
        <f>Data!G949</f>
        <v/>
      </c>
      <c r="C903">
        <f>Data!H949</f>
        <v/>
      </c>
      <c r="D903">
        <f>Data!I949</f>
        <v/>
      </c>
      <c r="E903">
        <f>Data!M949</f>
        <v/>
      </c>
      <c r="F903">
        <f>Data!O949</f>
        <v/>
      </c>
      <c r="G903">
        <f>E903-F903</f>
        <v/>
      </c>
      <c r="H903">
        <f>Data!P949</f>
        <v/>
      </c>
      <c r="I903">
        <f>G903+H903</f>
        <v/>
      </c>
      <c r="J903">
        <f>F903+G903+H903</f>
        <v/>
      </c>
      <c r="K903">
        <f>Data!R949</f>
        <v/>
      </c>
      <c r="L903">
        <f>Data!T949</f>
        <v/>
      </c>
      <c r="M903">
        <f>AND(E903=0,F903=0,G903=0,H903=0,I903=0,J903=0,K903=0,L903=0)</f>
        <v/>
      </c>
      <c r="N903">
        <f>G903&lt;=$T$6</f>
        <v/>
      </c>
      <c r="O903">
        <f>G903&lt;=$T$12</f>
        <v/>
      </c>
      <c r="P903">
        <f>OR(AND(H903&gt;=$T$4,K903&lt;=$T$5,N903),M903)</f>
        <v/>
      </c>
      <c r="Q903">
        <f>OR(AND(I903&gt;=$T$10,K903&lt;=$T$11,O903),M903)</f>
        <v/>
      </c>
    </row>
    <row r="904">
      <c r="A904">
        <f>Data!E950</f>
        <v/>
      </c>
      <c r="B904">
        <f>Data!G950</f>
        <v/>
      </c>
      <c r="C904">
        <f>Data!H950</f>
        <v/>
      </c>
      <c r="D904">
        <f>Data!I950</f>
        <v/>
      </c>
      <c r="E904">
        <f>Data!M950</f>
        <v/>
      </c>
      <c r="F904">
        <f>Data!O950</f>
        <v/>
      </c>
      <c r="G904">
        <f>E904-F904</f>
        <v/>
      </c>
      <c r="H904">
        <f>Data!P950</f>
        <v/>
      </c>
      <c r="I904">
        <f>G904+H904</f>
        <v/>
      </c>
      <c r="J904">
        <f>F904+G904+H904</f>
        <v/>
      </c>
      <c r="K904">
        <f>Data!R950</f>
        <v/>
      </c>
      <c r="L904">
        <f>Data!T950</f>
        <v/>
      </c>
      <c r="M904">
        <f>AND(E904=0,F904=0,G904=0,H904=0,I904=0,J904=0,K904=0,L904=0)</f>
        <v/>
      </c>
      <c r="N904">
        <f>G904&lt;=$T$6</f>
        <v/>
      </c>
      <c r="O904">
        <f>G904&lt;=$T$12</f>
        <v/>
      </c>
      <c r="P904">
        <f>OR(AND(H904&gt;=$T$4,K904&lt;=$T$5,N904),M904)</f>
        <v/>
      </c>
      <c r="Q904">
        <f>OR(AND(I904&gt;=$T$10,K904&lt;=$T$11,O904),M904)</f>
        <v/>
      </c>
    </row>
    <row r="905">
      <c r="A905">
        <f>Data!E951</f>
        <v/>
      </c>
      <c r="B905">
        <f>Data!G951</f>
        <v/>
      </c>
      <c r="C905">
        <f>Data!H951</f>
        <v/>
      </c>
      <c r="D905">
        <f>Data!I951</f>
        <v/>
      </c>
      <c r="E905">
        <f>Data!M951</f>
        <v/>
      </c>
      <c r="F905">
        <f>Data!O951</f>
        <v/>
      </c>
      <c r="G905">
        <f>E905-F905</f>
        <v/>
      </c>
      <c r="H905">
        <f>Data!P951</f>
        <v/>
      </c>
      <c r="I905">
        <f>G905+H905</f>
        <v/>
      </c>
      <c r="J905">
        <f>F905+G905+H905</f>
        <v/>
      </c>
      <c r="K905">
        <f>Data!R951</f>
        <v/>
      </c>
      <c r="L905">
        <f>Data!T951</f>
        <v/>
      </c>
      <c r="M905">
        <f>AND(E905=0,F905=0,G905=0,H905=0,I905=0,J905=0,K905=0,L905=0)</f>
        <v/>
      </c>
      <c r="N905">
        <f>G905&lt;=$T$6</f>
        <v/>
      </c>
      <c r="O905">
        <f>G905&lt;=$T$12</f>
        <v/>
      </c>
      <c r="P905">
        <f>OR(AND(H905&gt;=$T$4,K905&lt;=$T$5,N905),M905)</f>
        <v/>
      </c>
      <c r="Q905">
        <f>OR(AND(I905&gt;=$T$10,K905&lt;=$T$11,O905),M905)</f>
        <v/>
      </c>
    </row>
    <row r="906">
      <c r="A906">
        <f>Data!E952</f>
        <v/>
      </c>
      <c r="B906">
        <f>Data!G952</f>
        <v/>
      </c>
      <c r="C906">
        <f>Data!H952</f>
        <v/>
      </c>
      <c r="D906">
        <f>Data!I952</f>
        <v/>
      </c>
      <c r="E906">
        <f>Data!M952</f>
        <v/>
      </c>
      <c r="F906">
        <f>Data!O952</f>
        <v/>
      </c>
      <c r="G906">
        <f>E906-F906</f>
        <v/>
      </c>
      <c r="H906">
        <f>Data!P952</f>
        <v/>
      </c>
      <c r="I906">
        <f>G906+H906</f>
        <v/>
      </c>
      <c r="J906">
        <f>F906+G906+H906</f>
        <v/>
      </c>
      <c r="K906">
        <f>Data!R952</f>
        <v/>
      </c>
      <c r="L906">
        <f>Data!T952</f>
        <v/>
      </c>
      <c r="M906">
        <f>AND(E906=0,F906=0,G906=0,H906=0,I906=0,J906=0,K906=0,L906=0)</f>
        <v/>
      </c>
      <c r="N906">
        <f>G906&lt;=$T$6</f>
        <v/>
      </c>
      <c r="O906">
        <f>G906&lt;=$T$12</f>
        <v/>
      </c>
      <c r="P906">
        <f>OR(AND(H906&gt;=$T$4,K906&lt;=$T$5,N906),M906)</f>
        <v/>
      </c>
      <c r="Q906">
        <f>OR(AND(I906&gt;=$T$10,K906&lt;=$T$11,O906),M906)</f>
        <v/>
      </c>
    </row>
    <row r="907">
      <c r="A907">
        <f>Data!E953</f>
        <v/>
      </c>
      <c r="B907">
        <f>Data!G953</f>
        <v/>
      </c>
      <c r="C907">
        <f>Data!H953</f>
        <v/>
      </c>
      <c r="D907">
        <f>Data!I953</f>
        <v/>
      </c>
      <c r="E907">
        <f>Data!M953</f>
        <v/>
      </c>
      <c r="F907">
        <f>Data!O953</f>
        <v/>
      </c>
      <c r="G907">
        <f>E907-F907</f>
        <v/>
      </c>
      <c r="H907">
        <f>Data!P953</f>
        <v/>
      </c>
      <c r="I907">
        <f>G907+H907</f>
        <v/>
      </c>
      <c r="J907">
        <f>F907+G907+H907</f>
        <v/>
      </c>
      <c r="K907">
        <f>Data!R953</f>
        <v/>
      </c>
      <c r="L907">
        <f>Data!T953</f>
        <v/>
      </c>
      <c r="M907">
        <f>AND(E907=0,F907=0,G907=0,H907=0,I907=0,J907=0,K907=0,L907=0)</f>
        <v/>
      </c>
      <c r="N907">
        <f>G907&lt;=$T$6</f>
        <v/>
      </c>
      <c r="O907">
        <f>G907&lt;=$T$12</f>
        <v/>
      </c>
      <c r="P907">
        <f>OR(AND(H907&gt;=$T$4,K907&lt;=$T$5,N907),M907)</f>
        <v/>
      </c>
      <c r="Q907">
        <f>OR(AND(I907&gt;=$T$10,K907&lt;=$T$11,O907),M907)</f>
        <v/>
      </c>
    </row>
    <row r="908">
      <c r="A908">
        <f>Data!E954</f>
        <v/>
      </c>
      <c r="B908">
        <f>Data!G954</f>
        <v/>
      </c>
      <c r="C908">
        <f>Data!H954</f>
        <v/>
      </c>
      <c r="D908">
        <f>Data!I954</f>
        <v/>
      </c>
      <c r="E908">
        <f>Data!M954</f>
        <v/>
      </c>
      <c r="F908">
        <f>Data!O954</f>
        <v/>
      </c>
      <c r="G908">
        <f>E908-F908</f>
        <v/>
      </c>
      <c r="H908">
        <f>Data!P954</f>
        <v/>
      </c>
      <c r="I908">
        <f>G908+H908</f>
        <v/>
      </c>
      <c r="J908">
        <f>F908+G908+H908</f>
        <v/>
      </c>
      <c r="K908">
        <f>Data!R954</f>
        <v/>
      </c>
      <c r="L908">
        <f>Data!T954</f>
        <v/>
      </c>
      <c r="M908">
        <f>AND(E908=0,F908=0,G908=0,H908=0,I908=0,J908=0,K908=0,L908=0)</f>
        <v/>
      </c>
      <c r="N908">
        <f>G908&lt;=$T$6</f>
        <v/>
      </c>
      <c r="O908">
        <f>G908&lt;=$T$12</f>
        <v/>
      </c>
      <c r="P908">
        <f>OR(AND(H908&gt;=$T$4,K908&lt;=$T$5,N908),M908)</f>
        <v/>
      </c>
      <c r="Q908">
        <f>OR(AND(I908&gt;=$T$10,K908&lt;=$T$11,O908),M908)</f>
        <v/>
      </c>
    </row>
    <row r="909">
      <c r="A909">
        <f>Data!E955</f>
        <v/>
      </c>
      <c r="B909">
        <f>Data!G955</f>
        <v/>
      </c>
      <c r="C909">
        <f>Data!H955</f>
        <v/>
      </c>
      <c r="D909">
        <f>Data!I955</f>
        <v/>
      </c>
      <c r="E909">
        <f>Data!M955</f>
        <v/>
      </c>
      <c r="F909">
        <f>Data!O955</f>
        <v/>
      </c>
      <c r="G909">
        <f>E909-F909</f>
        <v/>
      </c>
      <c r="H909">
        <f>Data!P955</f>
        <v/>
      </c>
      <c r="I909">
        <f>G909+H909</f>
        <v/>
      </c>
      <c r="J909">
        <f>F909+G909+H909</f>
        <v/>
      </c>
      <c r="K909">
        <f>Data!R955</f>
        <v/>
      </c>
      <c r="L909">
        <f>Data!T955</f>
        <v/>
      </c>
      <c r="M909">
        <f>AND(E909=0,F909=0,G909=0,H909=0,I909=0,J909=0,K909=0,L909=0)</f>
        <v/>
      </c>
      <c r="N909">
        <f>G909&lt;=$T$6</f>
        <v/>
      </c>
      <c r="O909">
        <f>G909&lt;=$T$12</f>
        <v/>
      </c>
      <c r="P909">
        <f>OR(AND(H909&gt;=$T$4,K909&lt;=$T$5,N909),M909)</f>
        <v/>
      </c>
      <c r="Q909">
        <f>OR(AND(I909&gt;=$T$10,K909&lt;=$T$11,O909),M909)</f>
        <v/>
      </c>
    </row>
    <row r="910">
      <c r="A910">
        <f>Data!E956</f>
        <v/>
      </c>
      <c r="B910">
        <f>Data!G956</f>
        <v/>
      </c>
      <c r="C910">
        <f>Data!H956</f>
        <v/>
      </c>
      <c r="D910">
        <f>Data!I956</f>
        <v/>
      </c>
      <c r="E910">
        <f>Data!M956</f>
        <v/>
      </c>
      <c r="F910">
        <f>Data!O956</f>
        <v/>
      </c>
      <c r="G910">
        <f>E910-F910</f>
        <v/>
      </c>
      <c r="H910">
        <f>Data!P956</f>
        <v/>
      </c>
      <c r="I910">
        <f>G910+H910</f>
        <v/>
      </c>
      <c r="J910">
        <f>F910+G910+H910</f>
        <v/>
      </c>
      <c r="K910">
        <f>Data!R956</f>
        <v/>
      </c>
      <c r="L910">
        <f>Data!T956</f>
        <v/>
      </c>
      <c r="M910">
        <f>AND(E910=0,F910=0,G910=0,H910=0,I910=0,J910=0,K910=0,L910=0)</f>
        <v/>
      </c>
      <c r="N910">
        <f>G910&lt;=$T$6</f>
        <v/>
      </c>
      <c r="O910">
        <f>G910&lt;=$T$12</f>
        <v/>
      </c>
      <c r="P910">
        <f>OR(AND(H910&gt;=$T$4,K910&lt;=$T$5,N910),M910)</f>
        <v/>
      </c>
      <c r="Q910">
        <f>OR(AND(I910&gt;=$T$10,K910&lt;=$T$11,O910),M910)</f>
        <v/>
      </c>
    </row>
    <row r="911">
      <c r="A911">
        <f>Data!E957</f>
        <v/>
      </c>
      <c r="B911">
        <f>Data!G957</f>
        <v/>
      </c>
      <c r="C911">
        <f>Data!H957</f>
        <v/>
      </c>
      <c r="D911">
        <f>Data!I957</f>
        <v/>
      </c>
      <c r="E911">
        <f>Data!M957</f>
        <v/>
      </c>
      <c r="F911">
        <f>Data!O957</f>
        <v/>
      </c>
      <c r="G911">
        <f>E911-F911</f>
        <v/>
      </c>
      <c r="H911">
        <f>Data!P957</f>
        <v/>
      </c>
      <c r="I911">
        <f>G911+H911</f>
        <v/>
      </c>
      <c r="J911">
        <f>F911+G911+H911</f>
        <v/>
      </c>
      <c r="K911">
        <f>Data!R957</f>
        <v/>
      </c>
      <c r="L911">
        <f>Data!T957</f>
        <v/>
      </c>
      <c r="M911">
        <f>AND(E911=0,F911=0,G911=0,H911=0,I911=0,J911=0,K911=0,L911=0)</f>
        <v/>
      </c>
      <c r="N911">
        <f>G911&lt;=$T$6</f>
        <v/>
      </c>
      <c r="O911">
        <f>G911&lt;=$T$12</f>
        <v/>
      </c>
      <c r="P911">
        <f>OR(AND(H911&gt;=$T$4,K911&lt;=$T$5,N911),M911)</f>
        <v/>
      </c>
      <c r="Q911">
        <f>OR(AND(I911&gt;=$T$10,K911&lt;=$T$11,O911),M911)</f>
        <v/>
      </c>
    </row>
    <row r="912">
      <c r="A912">
        <f>Data!E959</f>
        <v/>
      </c>
      <c r="B912">
        <f>Data!G959</f>
        <v/>
      </c>
      <c r="C912">
        <f>Data!H959</f>
        <v/>
      </c>
      <c r="D912">
        <f>Data!I959</f>
        <v/>
      </c>
      <c r="E912">
        <f>Data!M959</f>
        <v/>
      </c>
      <c r="F912">
        <f>Data!O959</f>
        <v/>
      </c>
      <c r="G912">
        <f>E912-F912</f>
        <v/>
      </c>
      <c r="H912">
        <f>Data!P959</f>
        <v/>
      </c>
      <c r="I912">
        <f>G912+H912</f>
        <v/>
      </c>
      <c r="J912">
        <f>F912+G912+H912</f>
        <v/>
      </c>
      <c r="K912">
        <f>Data!R959</f>
        <v/>
      </c>
      <c r="L912">
        <f>Data!T959</f>
        <v/>
      </c>
      <c r="M912">
        <f>AND(E912=0,F912=0,G912=0,H912=0,I912=0,J912=0,K912=0,L912=0)</f>
        <v/>
      </c>
      <c r="N912">
        <f>G912&lt;=$T$6</f>
        <v/>
      </c>
      <c r="O912">
        <f>G912&lt;=$T$12</f>
        <v/>
      </c>
      <c r="P912">
        <f>OR(AND(H912&gt;=$T$4,K912&lt;=$T$5,N912),M912)</f>
        <v/>
      </c>
      <c r="Q912">
        <f>OR(AND(I912&gt;=$T$10,K912&lt;=$T$11,O912),M912)</f>
        <v/>
      </c>
    </row>
    <row r="913">
      <c r="A913">
        <f>Data!E960</f>
        <v/>
      </c>
      <c r="B913">
        <f>Data!G960</f>
        <v/>
      </c>
      <c r="C913">
        <f>Data!H960</f>
        <v/>
      </c>
      <c r="D913">
        <f>Data!I960</f>
        <v/>
      </c>
      <c r="E913">
        <f>Data!M960</f>
        <v/>
      </c>
      <c r="F913">
        <f>Data!O960</f>
        <v/>
      </c>
      <c r="G913">
        <f>E913-F913</f>
        <v/>
      </c>
      <c r="H913">
        <f>Data!P960</f>
        <v/>
      </c>
      <c r="I913">
        <f>G913+H913</f>
        <v/>
      </c>
      <c r="J913">
        <f>F913+G913+H913</f>
        <v/>
      </c>
      <c r="K913">
        <f>Data!R960</f>
        <v/>
      </c>
      <c r="L913">
        <f>Data!T960</f>
        <v/>
      </c>
      <c r="M913">
        <f>AND(E913=0,F913=0,G913=0,H913=0,I913=0,J913=0,K913=0,L913=0)</f>
        <v/>
      </c>
      <c r="N913">
        <f>G913&lt;=$T$6</f>
        <v/>
      </c>
      <c r="O913">
        <f>G913&lt;=$T$12</f>
        <v/>
      </c>
      <c r="P913">
        <f>OR(AND(H913&gt;=$T$4,K913&lt;=$T$5,N913),M913)</f>
        <v/>
      </c>
      <c r="Q913">
        <f>OR(AND(I913&gt;=$T$10,K913&lt;=$T$11,O913),M913)</f>
        <v/>
      </c>
    </row>
    <row r="914">
      <c r="A914">
        <f>Data!E961</f>
        <v/>
      </c>
      <c r="B914">
        <f>Data!G961</f>
        <v/>
      </c>
      <c r="C914">
        <f>Data!H961</f>
        <v/>
      </c>
      <c r="D914">
        <f>Data!I961</f>
        <v/>
      </c>
      <c r="E914">
        <f>Data!M961</f>
        <v/>
      </c>
      <c r="F914">
        <f>Data!O961</f>
        <v/>
      </c>
      <c r="G914">
        <f>E914-F914</f>
        <v/>
      </c>
      <c r="H914">
        <f>Data!P961</f>
        <v/>
      </c>
      <c r="I914">
        <f>G914+H914</f>
        <v/>
      </c>
      <c r="J914">
        <f>F914+G914+H914</f>
        <v/>
      </c>
      <c r="K914">
        <f>Data!R961</f>
        <v/>
      </c>
      <c r="L914">
        <f>Data!T961</f>
        <v/>
      </c>
      <c r="M914">
        <f>AND(E914=0,F914=0,G914=0,H914=0,I914=0,J914=0,K914=0,L914=0)</f>
        <v/>
      </c>
      <c r="N914">
        <f>G914&lt;=$T$6</f>
        <v/>
      </c>
      <c r="O914">
        <f>G914&lt;=$T$12</f>
        <v/>
      </c>
      <c r="P914">
        <f>OR(AND(H914&gt;=$T$4,K914&lt;=$T$5,N914),M914)</f>
        <v/>
      </c>
      <c r="Q914">
        <f>OR(AND(I914&gt;=$T$10,K914&lt;=$T$11,O914),M914)</f>
        <v/>
      </c>
    </row>
    <row r="915">
      <c r="A915">
        <f>Data!E962</f>
        <v/>
      </c>
      <c r="B915">
        <f>Data!G962</f>
        <v/>
      </c>
      <c r="C915">
        <f>Data!H962</f>
        <v/>
      </c>
      <c r="D915">
        <f>Data!I962</f>
        <v/>
      </c>
      <c r="E915">
        <f>Data!M962</f>
        <v/>
      </c>
      <c r="F915">
        <f>Data!O962</f>
        <v/>
      </c>
      <c r="G915">
        <f>E915-F915</f>
        <v/>
      </c>
      <c r="H915">
        <f>Data!P962</f>
        <v/>
      </c>
      <c r="I915">
        <f>G915+H915</f>
        <v/>
      </c>
      <c r="J915">
        <f>F915+G915+H915</f>
        <v/>
      </c>
      <c r="K915">
        <f>Data!R962</f>
        <v/>
      </c>
      <c r="L915">
        <f>Data!T962</f>
        <v/>
      </c>
      <c r="M915">
        <f>AND(E915=0,F915=0,G915=0,H915=0,I915=0,J915=0,K915=0,L915=0)</f>
        <v/>
      </c>
      <c r="N915">
        <f>G915&lt;=$T$6</f>
        <v/>
      </c>
      <c r="O915">
        <f>G915&lt;=$T$12</f>
        <v/>
      </c>
      <c r="P915">
        <f>OR(AND(H915&gt;=$T$4,K915&lt;=$T$5,N915),M915)</f>
        <v/>
      </c>
      <c r="Q915">
        <f>OR(AND(I915&gt;=$T$10,K915&lt;=$T$11,O915),M915)</f>
        <v/>
      </c>
    </row>
    <row r="916">
      <c r="A916">
        <f>Data!E963</f>
        <v/>
      </c>
      <c r="B916">
        <f>Data!G963</f>
        <v/>
      </c>
      <c r="C916">
        <f>Data!H963</f>
        <v/>
      </c>
      <c r="D916">
        <f>Data!I963</f>
        <v/>
      </c>
      <c r="E916">
        <f>Data!M963</f>
        <v/>
      </c>
      <c r="F916">
        <f>Data!O963</f>
        <v/>
      </c>
      <c r="G916">
        <f>E916-F916</f>
        <v/>
      </c>
      <c r="H916">
        <f>Data!P963</f>
        <v/>
      </c>
      <c r="I916">
        <f>G916+H916</f>
        <v/>
      </c>
      <c r="J916">
        <f>F916+G916+H916</f>
        <v/>
      </c>
      <c r="K916">
        <f>Data!R963</f>
        <v/>
      </c>
      <c r="L916">
        <f>Data!T963</f>
        <v/>
      </c>
      <c r="M916">
        <f>AND(E916=0,F916=0,G916=0,H916=0,I916=0,J916=0,K916=0,L916=0)</f>
        <v/>
      </c>
      <c r="N916">
        <f>G916&lt;=$T$6</f>
        <v/>
      </c>
      <c r="O916">
        <f>G916&lt;=$T$12</f>
        <v/>
      </c>
      <c r="P916">
        <f>OR(AND(H916&gt;=$T$4,K916&lt;=$T$5,N916),M916)</f>
        <v/>
      </c>
      <c r="Q916">
        <f>OR(AND(I916&gt;=$T$10,K916&lt;=$T$11,O916),M916)</f>
        <v/>
      </c>
    </row>
    <row r="917">
      <c r="A917">
        <f>Data!E964</f>
        <v/>
      </c>
      <c r="B917">
        <f>Data!G964</f>
        <v/>
      </c>
      <c r="C917">
        <f>Data!H964</f>
        <v/>
      </c>
      <c r="D917">
        <f>Data!I964</f>
        <v/>
      </c>
      <c r="E917">
        <f>Data!M964</f>
        <v/>
      </c>
      <c r="F917">
        <f>Data!O964</f>
        <v/>
      </c>
      <c r="G917">
        <f>E917-F917</f>
        <v/>
      </c>
      <c r="H917">
        <f>Data!P964</f>
        <v/>
      </c>
      <c r="I917">
        <f>G917+H917</f>
        <v/>
      </c>
      <c r="J917">
        <f>F917+G917+H917</f>
        <v/>
      </c>
      <c r="K917">
        <f>Data!R964</f>
        <v/>
      </c>
      <c r="L917">
        <f>Data!T964</f>
        <v/>
      </c>
      <c r="M917">
        <f>AND(E917=0,F917=0,G917=0,H917=0,I917=0,J917=0,K917=0,L917=0)</f>
        <v/>
      </c>
      <c r="N917">
        <f>G917&lt;=$T$6</f>
        <v/>
      </c>
      <c r="O917">
        <f>G917&lt;=$T$12</f>
        <v/>
      </c>
      <c r="P917">
        <f>OR(AND(H917&gt;=$T$4,K917&lt;=$T$5,N917),M917)</f>
        <v/>
      </c>
      <c r="Q917">
        <f>OR(AND(I917&gt;=$T$10,K917&lt;=$T$11,O917),M917)</f>
        <v/>
      </c>
    </row>
    <row r="918">
      <c r="A918">
        <f>Data!E965</f>
        <v/>
      </c>
      <c r="B918">
        <f>Data!G965</f>
        <v/>
      </c>
      <c r="C918">
        <f>Data!H965</f>
        <v/>
      </c>
      <c r="D918">
        <f>Data!I965</f>
        <v/>
      </c>
      <c r="E918">
        <f>Data!M965</f>
        <v/>
      </c>
      <c r="F918">
        <f>Data!O965</f>
        <v/>
      </c>
      <c r="G918">
        <f>E918-F918</f>
        <v/>
      </c>
      <c r="H918">
        <f>Data!P965</f>
        <v/>
      </c>
      <c r="I918">
        <f>G918+H918</f>
        <v/>
      </c>
      <c r="J918">
        <f>F918+G918+H918</f>
        <v/>
      </c>
      <c r="K918">
        <f>Data!R965</f>
        <v/>
      </c>
      <c r="L918">
        <f>Data!T965</f>
        <v/>
      </c>
      <c r="M918">
        <f>AND(E918=0,F918=0,G918=0,H918=0,I918=0,J918=0,K918=0,L918=0)</f>
        <v/>
      </c>
      <c r="N918">
        <f>G918&lt;=$T$6</f>
        <v/>
      </c>
      <c r="O918">
        <f>G918&lt;=$T$12</f>
        <v/>
      </c>
      <c r="P918">
        <f>OR(AND(H918&gt;=$T$4,K918&lt;=$T$5,N918),M918)</f>
        <v/>
      </c>
      <c r="Q918">
        <f>OR(AND(I918&gt;=$T$10,K918&lt;=$T$11,O918),M918)</f>
        <v/>
      </c>
    </row>
    <row r="919">
      <c r="A919">
        <f>Data!E966</f>
        <v/>
      </c>
      <c r="B919">
        <f>Data!G966</f>
        <v/>
      </c>
      <c r="C919">
        <f>Data!H966</f>
        <v/>
      </c>
      <c r="D919">
        <f>Data!I966</f>
        <v/>
      </c>
      <c r="E919">
        <f>Data!M966</f>
        <v/>
      </c>
      <c r="F919">
        <f>Data!O966</f>
        <v/>
      </c>
      <c r="G919">
        <f>E919-F919</f>
        <v/>
      </c>
      <c r="H919">
        <f>Data!P966</f>
        <v/>
      </c>
      <c r="I919">
        <f>G919+H919</f>
        <v/>
      </c>
      <c r="J919">
        <f>F919+G919+H919</f>
        <v/>
      </c>
      <c r="K919">
        <f>Data!R966</f>
        <v/>
      </c>
      <c r="L919">
        <f>Data!T966</f>
        <v/>
      </c>
      <c r="M919">
        <f>AND(E919=0,F919=0,G919=0,H919=0,I919=0,J919=0,K919=0,L919=0)</f>
        <v/>
      </c>
      <c r="N919">
        <f>G919&lt;=$T$6</f>
        <v/>
      </c>
      <c r="O919">
        <f>G919&lt;=$T$12</f>
        <v/>
      </c>
      <c r="P919">
        <f>OR(AND(H919&gt;=$T$4,K919&lt;=$T$5,N919),M919)</f>
        <v/>
      </c>
      <c r="Q919">
        <f>OR(AND(I919&gt;=$T$10,K919&lt;=$T$11,O919),M919)</f>
        <v/>
      </c>
    </row>
    <row r="920">
      <c r="A920">
        <f>Data!E967</f>
        <v/>
      </c>
      <c r="B920">
        <f>Data!G967</f>
        <v/>
      </c>
      <c r="C920">
        <f>Data!H967</f>
        <v/>
      </c>
      <c r="D920">
        <f>Data!I967</f>
        <v/>
      </c>
      <c r="E920">
        <f>Data!M967</f>
        <v/>
      </c>
      <c r="F920">
        <f>Data!O967</f>
        <v/>
      </c>
      <c r="G920">
        <f>E920-F920</f>
        <v/>
      </c>
      <c r="H920">
        <f>Data!P967</f>
        <v/>
      </c>
      <c r="I920">
        <f>G920+H920</f>
        <v/>
      </c>
      <c r="J920">
        <f>F920+G920+H920</f>
        <v/>
      </c>
      <c r="K920">
        <f>Data!R967</f>
        <v/>
      </c>
      <c r="L920">
        <f>Data!T967</f>
        <v/>
      </c>
      <c r="M920">
        <f>AND(E920=0,F920=0,G920=0,H920=0,I920=0,J920=0,K920=0,L920=0)</f>
        <v/>
      </c>
      <c r="N920">
        <f>G920&lt;=$T$6</f>
        <v/>
      </c>
      <c r="O920">
        <f>G920&lt;=$T$12</f>
        <v/>
      </c>
      <c r="P920">
        <f>OR(AND(H920&gt;=$T$4,K920&lt;=$T$5,N920),M920)</f>
        <v/>
      </c>
      <c r="Q920">
        <f>OR(AND(I920&gt;=$T$10,K920&lt;=$T$11,O920),M920)</f>
        <v/>
      </c>
    </row>
    <row r="921">
      <c r="A921">
        <f>Data!E968</f>
        <v/>
      </c>
      <c r="B921">
        <f>Data!G968</f>
        <v/>
      </c>
      <c r="C921">
        <f>Data!H968</f>
        <v/>
      </c>
      <c r="D921">
        <f>Data!I968</f>
        <v/>
      </c>
      <c r="E921">
        <f>Data!M968</f>
        <v/>
      </c>
      <c r="F921">
        <f>Data!O968</f>
        <v/>
      </c>
      <c r="G921">
        <f>E921-F921</f>
        <v/>
      </c>
      <c r="H921">
        <f>Data!P968</f>
        <v/>
      </c>
      <c r="I921">
        <f>G921+H921</f>
        <v/>
      </c>
      <c r="J921">
        <f>F921+G921+H921</f>
        <v/>
      </c>
      <c r="K921">
        <f>Data!R968</f>
        <v/>
      </c>
      <c r="L921">
        <f>Data!T968</f>
        <v/>
      </c>
      <c r="M921">
        <f>AND(E921=0,F921=0,G921=0,H921=0,I921=0,J921=0,K921=0,L921=0)</f>
        <v/>
      </c>
      <c r="N921">
        <f>G921&lt;=$T$6</f>
        <v/>
      </c>
      <c r="O921">
        <f>G921&lt;=$T$12</f>
        <v/>
      </c>
      <c r="P921">
        <f>OR(AND(H921&gt;=$T$4,K921&lt;=$T$5,N921),M921)</f>
        <v/>
      </c>
      <c r="Q921">
        <f>OR(AND(I921&gt;=$T$10,K921&lt;=$T$11,O921),M921)</f>
        <v/>
      </c>
    </row>
    <row r="922">
      <c r="A922">
        <f>Data!E969</f>
        <v/>
      </c>
      <c r="B922">
        <f>Data!G969</f>
        <v/>
      </c>
      <c r="C922">
        <f>Data!H969</f>
        <v/>
      </c>
      <c r="D922">
        <f>Data!I969</f>
        <v/>
      </c>
      <c r="E922">
        <f>Data!M969</f>
        <v/>
      </c>
      <c r="F922">
        <f>Data!O969</f>
        <v/>
      </c>
      <c r="G922">
        <f>E922-F922</f>
        <v/>
      </c>
      <c r="H922">
        <f>Data!P969</f>
        <v/>
      </c>
      <c r="I922">
        <f>G922+H922</f>
        <v/>
      </c>
      <c r="J922">
        <f>F922+G922+H922</f>
        <v/>
      </c>
      <c r="K922">
        <f>Data!R969</f>
        <v/>
      </c>
      <c r="L922">
        <f>Data!T969</f>
        <v/>
      </c>
      <c r="M922">
        <f>AND(E922=0,F922=0,G922=0,H922=0,I922=0,J922=0,K922=0,L922=0)</f>
        <v/>
      </c>
      <c r="N922">
        <f>G922&lt;=$T$6</f>
        <v/>
      </c>
      <c r="O922">
        <f>G922&lt;=$T$12</f>
        <v/>
      </c>
      <c r="P922">
        <f>OR(AND(H922&gt;=$T$4,K922&lt;=$T$5,N922),M922)</f>
        <v/>
      </c>
      <c r="Q922">
        <f>OR(AND(I922&gt;=$T$10,K922&lt;=$T$11,O922),M922)</f>
        <v/>
      </c>
    </row>
    <row r="923">
      <c r="A923">
        <f>Data!E970</f>
        <v/>
      </c>
      <c r="B923">
        <f>Data!G970</f>
        <v/>
      </c>
      <c r="C923">
        <f>Data!H970</f>
        <v/>
      </c>
      <c r="D923">
        <f>Data!I970</f>
        <v/>
      </c>
      <c r="E923">
        <f>Data!M970</f>
        <v/>
      </c>
      <c r="F923">
        <f>Data!O970</f>
        <v/>
      </c>
      <c r="G923">
        <f>E923-F923</f>
        <v/>
      </c>
      <c r="H923">
        <f>Data!P970</f>
        <v/>
      </c>
      <c r="I923">
        <f>G923+H923</f>
        <v/>
      </c>
      <c r="J923">
        <f>F923+G923+H923</f>
        <v/>
      </c>
      <c r="K923">
        <f>Data!R970</f>
        <v/>
      </c>
      <c r="L923">
        <f>Data!T970</f>
        <v/>
      </c>
      <c r="M923">
        <f>AND(E923=0,F923=0,G923=0,H923=0,I923=0,J923=0,K923=0,L923=0)</f>
        <v/>
      </c>
      <c r="N923">
        <f>G923&lt;=$T$6</f>
        <v/>
      </c>
      <c r="O923">
        <f>G923&lt;=$T$12</f>
        <v/>
      </c>
      <c r="P923">
        <f>OR(AND(H923&gt;=$T$4,K923&lt;=$T$5,N923),M923)</f>
        <v/>
      </c>
      <c r="Q923">
        <f>OR(AND(I923&gt;=$T$10,K923&lt;=$T$11,O923),M923)</f>
        <v/>
      </c>
    </row>
    <row r="924">
      <c r="A924">
        <f>Data!E971</f>
        <v/>
      </c>
      <c r="B924">
        <f>Data!G971</f>
        <v/>
      </c>
      <c r="C924">
        <f>Data!H971</f>
        <v/>
      </c>
      <c r="D924">
        <f>Data!I971</f>
        <v/>
      </c>
      <c r="E924">
        <f>Data!M971</f>
        <v/>
      </c>
      <c r="F924">
        <f>Data!O971</f>
        <v/>
      </c>
      <c r="G924">
        <f>E924-F924</f>
        <v/>
      </c>
      <c r="H924">
        <f>Data!P971</f>
        <v/>
      </c>
      <c r="I924">
        <f>G924+H924</f>
        <v/>
      </c>
      <c r="J924">
        <f>F924+G924+H924</f>
        <v/>
      </c>
      <c r="K924">
        <f>Data!R971</f>
        <v/>
      </c>
      <c r="L924">
        <f>Data!T971</f>
        <v/>
      </c>
      <c r="M924">
        <f>AND(E924=0,F924=0,G924=0,H924=0,I924=0,J924=0,K924=0,L924=0)</f>
        <v/>
      </c>
      <c r="N924">
        <f>G924&lt;=$T$6</f>
        <v/>
      </c>
      <c r="O924">
        <f>G924&lt;=$T$12</f>
        <v/>
      </c>
      <c r="P924">
        <f>OR(AND(H924&gt;=$T$4,K924&lt;=$T$5,N924),M924)</f>
        <v/>
      </c>
      <c r="Q924">
        <f>OR(AND(I924&gt;=$T$10,K924&lt;=$T$11,O924),M924)</f>
        <v/>
      </c>
    </row>
    <row r="925">
      <c r="A925">
        <f>Data!E972</f>
        <v/>
      </c>
      <c r="B925">
        <f>Data!G972</f>
        <v/>
      </c>
      <c r="C925">
        <f>Data!H972</f>
        <v/>
      </c>
      <c r="D925">
        <f>Data!I972</f>
        <v/>
      </c>
      <c r="E925">
        <f>Data!M972</f>
        <v/>
      </c>
      <c r="F925">
        <f>Data!O972</f>
        <v/>
      </c>
      <c r="G925">
        <f>E925-F925</f>
        <v/>
      </c>
      <c r="H925">
        <f>Data!P972</f>
        <v/>
      </c>
      <c r="I925">
        <f>G925+H925</f>
        <v/>
      </c>
      <c r="J925">
        <f>F925+G925+H925</f>
        <v/>
      </c>
      <c r="K925">
        <f>Data!R972</f>
        <v/>
      </c>
      <c r="L925">
        <f>Data!T972</f>
        <v/>
      </c>
      <c r="M925">
        <f>AND(E925=0,F925=0,G925=0,H925=0,I925=0,J925=0,K925=0,L925=0)</f>
        <v/>
      </c>
      <c r="N925">
        <f>G925&lt;=$T$6</f>
        <v/>
      </c>
      <c r="O925">
        <f>G925&lt;=$T$12</f>
        <v/>
      </c>
      <c r="P925">
        <f>OR(AND(H925&gt;=$T$4,K925&lt;=$T$5,N925),M925)</f>
        <v/>
      </c>
      <c r="Q925">
        <f>OR(AND(I925&gt;=$T$10,K925&lt;=$T$11,O925),M925)</f>
        <v/>
      </c>
    </row>
    <row r="926">
      <c r="A926">
        <f>Data!E973</f>
        <v/>
      </c>
      <c r="B926">
        <f>Data!G973</f>
        <v/>
      </c>
      <c r="C926">
        <f>Data!H973</f>
        <v/>
      </c>
      <c r="D926">
        <f>Data!I973</f>
        <v/>
      </c>
      <c r="E926">
        <f>Data!M973</f>
        <v/>
      </c>
      <c r="F926">
        <f>Data!O973</f>
        <v/>
      </c>
      <c r="G926">
        <f>E926-F926</f>
        <v/>
      </c>
      <c r="H926">
        <f>Data!P973</f>
        <v/>
      </c>
      <c r="I926">
        <f>G926+H926</f>
        <v/>
      </c>
      <c r="J926">
        <f>F926+G926+H926</f>
        <v/>
      </c>
      <c r="K926">
        <f>Data!R973</f>
        <v/>
      </c>
      <c r="L926">
        <f>Data!T973</f>
        <v/>
      </c>
      <c r="M926">
        <f>AND(E926=0,F926=0,G926=0,H926=0,I926=0,J926=0,K926=0,L926=0)</f>
        <v/>
      </c>
      <c r="N926">
        <f>G926&lt;=$T$6</f>
        <v/>
      </c>
      <c r="O926">
        <f>G926&lt;=$T$12</f>
        <v/>
      </c>
      <c r="P926">
        <f>OR(AND(H926&gt;=$T$4,K926&lt;=$T$5,N926),M926)</f>
        <v/>
      </c>
      <c r="Q926">
        <f>OR(AND(I926&gt;=$T$10,K926&lt;=$T$11,O926),M926)</f>
        <v/>
      </c>
    </row>
    <row r="927">
      <c r="A927">
        <f>Data!E974</f>
        <v/>
      </c>
      <c r="B927">
        <f>Data!G974</f>
        <v/>
      </c>
      <c r="C927">
        <f>Data!H974</f>
        <v/>
      </c>
      <c r="D927">
        <f>Data!I974</f>
        <v/>
      </c>
      <c r="E927">
        <f>Data!M974</f>
        <v/>
      </c>
      <c r="F927">
        <f>Data!O974</f>
        <v/>
      </c>
      <c r="G927">
        <f>E927-F927</f>
        <v/>
      </c>
      <c r="H927">
        <f>Data!P974</f>
        <v/>
      </c>
      <c r="I927">
        <f>G927+H927</f>
        <v/>
      </c>
      <c r="J927">
        <f>F927+G927+H927</f>
        <v/>
      </c>
      <c r="K927">
        <f>Data!R974</f>
        <v/>
      </c>
      <c r="L927">
        <f>Data!T974</f>
        <v/>
      </c>
      <c r="M927">
        <f>AND(E927=0,F927=0,G927=0,H927=0,I927=0,J927=0,K927=0,L927=0)</f>
        <v/>
      </c>
      <c r="N927">
        <f>G927&lt;=$T$6</f>
        <v/>
      </c>
      <c r="O927">
        <f>G927&lt;=$T$12</f>
        <v/>
      </c>
      <c r="P927">
        <f>OR(AND(H927&gt;=$T$4,K927&lt;=$T$5,N927),M927)</f>
        <v/>
      </c>
      <c r="Q927">
        <f>OR(AND(I927&gt;=$T$10,K927&lt;=$T$11,O927),M927)</f>
        <v/>
      </c>
    </row>
    <row r="928">
      <c r="A928">
        <f>Data!E975</f>
        <v/>
      </c>
      <c r="B928">
        <f>Data!G975</f>
        <v/>
      </c>
      <c r="C928">
        <f>Data!H975</f>
        <v/>
      </c>
      <c r="D928">
        <f>Data!I975</f>
        <v/>
      </c>
      <c r="E928">
        <f>Data!M975</f>
        <v/>
      </c>
      <c r="F928">
        <f>Data!O975</f>
        <v/>
      </c>
      <c r="G928">
        <f>E928-F928</f>
        <v/>
      </c>
      <c r="H928">
        <f>Data!P975</f>
        <v/>
      </c>
      <c r="I928">
        <f>G928+H928</f>
        <v/>
      </c>
      <c r="J928">
        <f>F928+G928+H928</f>
        <v/>
      </c>
      <c r="K928">
        <f>Data!R975</f>
        <v/>
      </c>
      <c r="L928">
        <f>Data!T975</f>
        <v/>
      </c>
      <c r="M928">
        <f>AND(E928=0,F928=0,G928=0,H928=0,I928=0,J928=0,K928=0,L928=0)</f>
        <v/>
      </c>
      <c r="N928">
        <f>G928&lt;=$T$6</f>
        <v/>
      </c>
      <c r="O928">
        <f>G928&lt;=$T$12</f>
        <v/>
      </c>
      <c r="P928">
        <f>OR(AND(H928&gt;=$T$4,K928&lt;=$T$5,N928),M928)</f>
        <v/>
      </c>
      <c r="Q928">
        <f>OR(AND(I928&gt;=$T$10,K928&lt;=$T$11,O928),M928)</f>
        <v/>
      </c>
    </row>
    <row r="929">
      <c r="A929">
        <f>Data!E976</f>
        <v/>
      </c>
      <c r="B929">
        <f>Data!G976</f>
        <v/>
      </c>
      <c r="C929">
        <f>Data!H976</f>
        <v/>
      </c>
      <c r="D929">
        <f>Data!I976</f>
        <v/>
      </c>
      <c r="E929">
        <f>Data!M976</f>
        <v/>
      </c>
      <c r="F929">
        <f>Data!O976</f>
        <v/>
      </c>
      <c r="G929">
        <f>E929-F929</f>
        <v/>
      </c>
      <c r="H929">
        <f>Data!P976</f>
        <v/>
      </c>
      <c r="I929">
        <f>G929+H929</f>
        <v/>
      </c>
      <c r="J929">
        <f>F929+G929+H929</f>
        <v/>
      </c>
      <c r="K929">
        <f>Data!R976</f>
        <v/>
      </c>
      <c r="L929">
        <f>Data!T976</f>
        <v/>
      </c>
      <c r="M929">
        <f>AND(E929=0,F929=0,G929=0,H929=0,I929=0,J929=0,K929=0,L929=0)</f>
        <v/>
      </c>
      <c r="N929">
        <f>G929&lt;=$T$6</f>
        <v/>
      </c>
      <c r="O929">
        <f>G929&lt;=$T$12</f>
        <v/>
      </c>
      <c r="P929">
        <f>OR(AND(H929&gt;=$T$4,K929&lt;=$T$5,N929),M929)</f>
        <v/>
      </c>
      <c r="Q929">
        <f>OR(AND(I929&gt;=$T$10,K929&lt;=$T$11,O929),M929)</f>
        <v/>
      </c>
    </row>
    <row r="930">
      <c r="A930">
        <f>Data!E977</f>
        <v/>
      </c>
      <c r="B930">
        <f>Data!G977</f>
        <v/>
      </c>
      <c r="C930">
        <f>Data!H977</f>
        <v/>
      </c>
      <c r="D930">
        <f>Data!I977</f>
        <v/>
      </c>
      <c r="E930">
        <f>Data!M977</f>
        <v/>
      </c>
      <c r="F930">
        <f>Data!O977</f>
        <v/>
      </c>
      <c r="G930">
        <f>E930-F930</f>
        <v/>
      </c>
      <c r="H930">
        <f>Data!P977</f>
        <v/>
      </c>
      <c r="I930">
        <f>G930+H930</f>
        <v/>
      </c>
      <c r="J930">
        <f>F930+G930+H930</f>
        <v/>
      </c>
      <c r="K930">
        <f>Data!R977</f>
        <v/>
      </c>
      <c r="L930">
        <f>Data!T977</f>
        <v/>
      </c>
      <c r="M930">
        <f>AND(E930=0,F930=0,G930=0,H930=0,I930=0,J930=0,K930=0,L930=0)</f>
        <v/>
      </c>
      <c r="N930">
        <f>G930&lt;=$T$6</f>
        <v/>
      </c>
      <c r="O930">
        <f>G930&lt;=$T$12</f>
        <v/>
      </c>
      <c r="P930">
        <f>OR(AND(H930&gt;=$T$4,K930&lt;=$T$5,N930),M930)</f>
        <v/>
      </c>
      <c r="Q930">
        <f>OR(AND(I930&gt;=$T$10,K930&lt;=$T$11,O930),M930)</f>
        <v/>
      </c>
    </row>
    <row r="931">
      <c r="A931">
        <f>Data!E978</f>
        <v/>
      </c>
      <c r="B931">
        <f>Data!G978</f>
        <v/>
      </c>
      <c r="C931">
        <f>Data!H978</f>
        <v/>
      </c>
      <c r="D931">
        <f>Data!I978</f>
        <v/>
      </c>
      <c r="E931">
        <f>Data!M978</f>
        <v/>
      </c>
      <c r="F931">
        <f>Data!O978</f>
        <v/>
      </c>
      <c r="G931">
        <f>E931-F931</f>
        <v/>
      </c>
      <c r="H931">
        <f>Data!P978</f>
        <v/>
      </c>
      <c r="I931">
        <f>G931+H931</f>
        <v/>
      </c>
      <c r="J931">
        <f>F931+G931+H931</f>
        <v/>
      </c>
      <c r="K931">
        <f>Data!R978</f>
        <v/>
      </c>
      <c r="L931">
        <f>Data!T978</f>
        <v/>
      </c>
      <c r="M931">
        <f>AND(E931=0,F931=0,G931=0,H931=0,I931=0,J931=0,K931=0,L931=0)</f>
        <v/>
      </c>
      <c r="N931">
        <f>G931&lt;=$T$6</f>
        <v/>
      </c>
      <c r="O931">
        <f>G931&lt;=$T$12</f>
        <v/>
      </c>
      <c r="P931">
        <f>OR(AND(H931&gt;=$T$4,K931&lt;=$T$5,N931),M931)</f>
        <v/>
      </c>
      <c r="Q931">
        <f>OR(AND(I931&gt;=$T$10,K931&lt;=$T$11,O931),M931)</f>
        <v/>
      </c>
    </row>
    <row r="932">
      <c r="A932">
        <f>Data!E979</f>
        <v/>
      </c>
      <c r="B932">
        <f>Data!G979</f>
        <v/>
      </c>
      <c r="C932">
        <f>Data!H979</f>
        <v/>
      </c>
      <c r="D932">
        <f>Data!I979</f>
        <v/>
      </c>
      <c r="E932">
        <f>Data!M979</f>
        <v/>
      </c>
      <c r="F932">
        <f>Data!O979</f>
        <v/>
      </c>
      <c r="G932">
        <f>E932-F932</f>
        <v/>
      </c>
      <c r="H932">
        <f>Data!P979</f>
        <v/>
      </c>
      <c r="I932">
        <f>G932+H932</f>
        <v/>
      </c>
      <c r="J932">
        <f>F932+G932+H932</f>
        <v/>
      </c>
      <c r="K932">
        <f>Data!R979</f>
        <v/>
      </c>
      <c r="L932">
        <f>Data!T979</f>
        <v/>
      </c>
      <c r="M932">
        <f>AND(E932=0,F932=0,G932=0,H932=0,I932=0,J932=0,K932=0,L932=0)</f>
        <v/>
      </c>
      <c r="N932">
        <f>G932&lt;=$T$6</f>
        <v/>
      </c>
      <c r="O932">
        <f>G932&lt;=$T$12</f>
        <v/>
      </c>
      <c r="P932">
        <f>OR(AND(H932&gt;=$T$4,K932&lt;=$T$5,N932),M932)</f>
        <v/>
      </c>
      <c r="Q932">
        <f>OR(AND(I932&gt;=$T$10,K932&lt;=$T$11,O932),M932)</f>
        <v/>
      </c>
    </row>
    <row r="933">
      <c r="A933">
        <f>Data!E980</f>
        <v/>
      </c>
      <c r="B933">
        <f>Data!G980</f>
        <v/>
      </c>
      <c r="C933">
        <f>Data!H980</f>
        <v/>
      </c>
      <c r="D933">
        <f>Data!I980</f>
        <v/>
      </c>
      <c r="E933">
        <f>Data!M980</f>
        <v/>
      </c>
      <c r="F933">
        <f>Data!O980</f>
        <v/>
      </c>
      <c r="G933">
        <f>E933-F933</f>
        <v/>
      </c>
      <c r="H933">
        <f>Data!P980</f>
        <v/>
      </c>
      <c r="I933">
        <f>G933+H933</f>
        <v/>
      </c>
      <c r="J933">
        <f>F933+G933+H933</f>
        <v/>
      </c>
      <c r="K933">
        <f>Data!R980</f>
        <v/>
      </c>
      <c r="L933">
        <f>Data!T980</f>
        <v/>
      </c>
      <c r="M933">
        <f>AND(E933=0,F933=0,G933=0,H933=0,I933=0,J933=0,K933=0,L933=0)</f>
        <v/>
      </c>
      <c r="N933">
        <f>G933&lt;=$T$6</f>
        <v/>
      </c>
      <c r="O933">
        <f>G933&lt;=$T$12</f>
        <v/>
      </c>
      <c r="P933">
        <f>OR(AND(H933&gt;=$T$4,K933&lt;=$T$5,N933),M933)</f>
        <v/>
      </c>
      <c r="Q933">
        <f>OR(AND(I933&gt;=$T$10,K933&lt;=$T$11,O933),M933)</f>
        <v/>
      </c>
    </row>
    <row r="934">
      <c r="A934">
        <f>Data!E982</f>
        <v/>
      </c>
      <c r="B934">
        <f>Data!G982</f>
        <v/>
      </c>
      <c r="C934">
        <f>Data!H982</f>
        <v/>
      </c>
      <c r="D934">
        <f>Data!I982</f>
        <v/>
      </c>
      <c r="E934">
        <f>Data!M982</f>
        <v/>
      </c>
      <c r="F934">
        <f>Data!O982</f>
        <v/>
      </c>
      <c r="G934">
        <f>E934-F934</f>
        <v/>
      </c>
      <c r="H934">
        <f>Data!P982</f>
        <v/>
      </c>
      <c r="I934">
        <f>G934+H934</f>
        <v/>
      </c>
      <c r="J934">
        <f>F934+G934+H934</f>
        <v/>
      </c>
      <c r="K934">
        <f>Data!R982</f>
        <v/>
      </c>
      <c r="L934">
        <f>Data!T982</f>
        <v/>
      </c>
      <c r="M934">
        <f>AND(E934=0,F934=0,G934=0,H934=0,I934=0,J934=0,K934=0,L934=0)</f>
        <v/>
      </c>
      <c r="N934">
        <f>G934&lt;=$T$6</f>
        <v/>
      </c>
      <c r="O934">
        <f>G934&lt;=$T$12</f>
        <v/>
      </c>
      <c r="P934">
        <f>OR(AND(H934&gt;=$T$4,K934&lt;=$T$5,N934),M934)</f>
        <v/>
      </c>
      <c r="Q934">
        <f>OR(AND(I934&gt;=$T$10,K934&lt;=$T$11,O934),M934)</f>
        <v/>
      </c>
    </row>
    <row r="935">
      <c r="A935">
        <f>Data!E983</f>
        <v/>
      </c>
      <c r="B935">
        <f>Data!G983</f>
        <v/>
      </c>
      <c r="C935">
        <f>Data!H983</f>
        <v/>
      </c>
      <c r="D935">
        <f>Data!I983</f>
        <v/>
      </c>
      <c r="E935">
        <f>Data!M983</f>
        <v/>
      </c>
      <c r="F935">
        <f>Data!O983</f>
        <v/>
      </c>
      <c r="G935">
        <f>E935-F935</f>
        <v/>
      </c>
      <c r="H935">
        <f>Data!P983</f>
        <v/>
      </c>
      <c r="I935">
        <f>G935+H935</f>
        <v/>
      </c>
      <c r="J935">
        <f>F935+G935+H935</f>
        <v/>
      </c>
      <c r="K935">
        <f>Data!R983</f>
        <v/>
      </c>
      <c r="L935">
        <f>Data!T983</f>
        <v/>
      </c>
      <c r="M935">
        <f>AND(E935=0,F935=0,G935=0,H935=0,I935=0,J935=0,K935=0,L935=0)</f>
        <v/>
      </c>
      <c r="N935">
        <f>G935&lt;=$T$6</f>
        <v/>
      </c>
      <c r="O935">
        <f>G935&lt;=$T$12</f>
        <v/>
      </c>
      <c r="P935">
        <f>OR(AND(H935&gt;=$T$4,K935&lt;=$T$5,N935),M935)</f>
        <v/>
      </c>
      <c r="Q935">
        <f>OR(AND(I935&gt;=$T$10,K935&lt;=$T$11,O935),M935)</f>
        <v/>
      </c>
    </row>
    <row r="936">
      <c r="A936">
        <f>Data!E984</f>
        <v/>
      </c>
      <c r="B936">
        <f>Data!G984</f>
        <v/>
      </c>
      <c r="C936">
        <f>Data!H984</f>
        <v/>
      </c>
      <c r="D936">
        <f>Data!I984</f>
        <v/>
      </c>
      <c r="E936">
        <f>Data!M984</f>
        <v/>
      </c>
      <c r="F936">
        <f>Data!O984</f>
        <v/>
      </c>
      <c r="G936">
        <f>E936-F936</f>
        <v/>
      </c>
      <c r="H936">
        <f>Data!P984</f>
        <v/>
      </c>
      <c r="I936">
        <f>G936+H936</f>
        <v/>
      </c>
      <c r="J936">
        <f>F936+G936+H936</f>
        <v/>
      </c>
      <c r="K936">
        <f>Data!R984</f>
        <v/>
      </c>
      <c r="L936">
        <f>Data!T984</f>
        <v/>
      </c>
      <c r="M936">
        <f>AND(E936=0,F936=0,G936=0,H936=0,I936=0,J936=0,K936=0,L936=0)</f>
        <v/>
      </c>
      <c r="N936">
        <f>G936&lt;=$T$6</f>
        <v/>
      </c>
      <c r="O936">
        <f>G936&lt;=$T$12</f>
        <v/>
      </c>
      <c r="P936">
        <f>OR(AND(H936&gt;=$T$4,K936&lt;=$T$5,N936),M936)</f>
        <v/>
      </c>
      <c r="Q936">
        <f>OR(AND(I936&gt;=$T$10,K936&lt;=$T$11,O936),M936)</f>
        <v/>
      </c>
    </row>
    <row r="937">
      <c r="A937">
        <f>Data!E985</f>
        <v/>
      </c>
      <c r="B937">
        <f>Data!G985</f>
        <v/>
      </c>
      <c r="C937">
        <f>Data!H985</f>
        <v/>
      </c>
      <c r="D937">
        <f>Data!I985</f>
        <v/>
      </c>
      <c r="E937">
        <f>Data!M985</f>
        <v/>
      </c>
      <c r="F937">
        <f>Data!O985</f>
        <v/>
      </c>
      <c r="G937">
        <f>E937-F937</f>
        <v/>
      </c>
      <c r="H937">
        <f>Data!P985</f>
        <v/>
      </c>
      <c r="I937">
        <f>G937+H937</f>
        <v/>
      </c>
      <c r="J937">
        <f>F937+G937+H937</f>
        <v/>
      </c>
      <c r="K937">
        <f>Data!R985</f>
        <v/>
      </c>
      <c r="L937">
        <f>Data!T985</f>
        <v/>
      </c>
      <c r="M937">
        <f>AND(E937=0,F937=0,G937=0,H937=0,I937=0,J937=0,K937=0,L937=0)</f>
        <v/>
      </c>
      <c r="N937">
        <f>G937&lt;=$T$6</f>
        <v/>
      </c>
      <c r="O937">
        <f>G937&lt;=$T$12</f>
        <v/>
      </c>
      <c r="P937">
        <f>OR(AND(H937&gt;=$T$4,K937&lt;=$T$5,N937),M937)</f>
        <v/>
      </c>
      <c r="Q937">
        <f>OR(AND(I937&gt;=$T$10,K937&lt;=$T$11,O937),M937)</f>
        <v/>
      </c>
    </row>
    <row r="938">
      <c r="A938">
        <f>Data!E986</f>
        <v/>
      </c>
      <c r="B938">
        <f>Data!G986</f>
        <v/>
      </c>
      <c r="C938">
        <f>Data!H986</f>
        <v/>
      </c>
      <c r="D938">
        <f>Data!I986</f>
        <v/>
      </c>
      <c r="E938">
        <f>Data!M986</f>
        <v/>
      </c>
      <c r="F938">
        <f>Data!O986</f>
        <v/>
      </c>
      <c r="G938">
        <f>E938-F938</f>
        <v/>
      </c>
      <c r="H938">
        <f>Data!P986</f>
        <v/>
      </c>
      <c r="I938">
        <f>G938+H938</f>
        <v/>
      </c>
      <c r="J938">
        <f>F938+G938+H938</f>
        <v/>
      </c>
      <c r="K938">
        <f>Data!R986</f>
        <v/>
      </c>
      <c r="L938">
        <f>Data!T986</f>
        <v/>
      </c>
      <c r="M938">
        <f>AND(E938=0,F938=0,G938=0,H938=0,I938=0,J938=0,K938=0,L938=0)</f>
        <v/>
      </c>
      <c r="N938">
        <f>G938&lt;=$T$6</f>
        <v/>
      </c>
      <c r="O938">
        <f>G938&lt;=$T$12</f>
        <v/>
      </c>
      <c r="P938">
        <f>OR(AND(H938&gt;=$T$4,K938&lt;=$T$5,N938),M938)</f>
        <v/>
      </c>
      <c r="Q938">
        <f>OR(AND(I938&gt;=$T$10,K938&lt;=$T$11,O938),M938)</f>
        <v/>
      </c>
    </row>
    <row r="939">
      <c r="A939">
        <f>Data!E987</f>
        <v/>
      </c>
      <c r="B939">
        <f>Data!G987</f>
        <v/>
      </c>
      <c r="C939">
        <f>Data!H987</f>
        <v/>
      </c>
      <c r="D939">
        <f>Data!I987</f>
        <v/>
      </c>
      <c r="E939">
        <f>Data!M987</f>
        <v/>
      </c>
      <c r="F939">
        <f>Data!O987</f>
        <v/>
      </c>
      <c r="G939">
        <f>E939-F939</f>
        <v/>
      </c>
      <c r="H939">
        <f>Data!P987</f>
        <v/>
      </c>
      <c r="I939">
        <f>G939+H939</f>
        <v/>
      </c>
      <c r="J939">
        <f>F939+G939+H939</f>
        <v/>
      </c>
      <c r="K939">
        <f>Data!R987</f>
        <v/>
      </c>
      <c r="L939">
        <f>Data!T987</f>
        <v/>
      </c>
      <c r="M939">
        <f>AND(E939=0,F939=0,G939=0,H939=0,I939=0,J939=0,K939=0,L939=0)</f>
        <v/>
      </c>
      <c r="N939">
        <f>G939&lt;=$T$6</f>
        <v/>
      </c>
      <c r="O939">
        <f>G939&lt;=$T$12</f>
        <v/>
      </c>
      <c r="P939">
        <f>OR(AND(H939&gt;=$T$4,K939&lt;=$T$5,N939),M939)</f>
        <v/>
      </c>
      <c r="Q939">
        <f>OR(AND(I939&gt;=$T$10,K939&lt;=$T$11,O939),M939)</f>
        <v/>
      </c>
    </row>
    <row r="940">
      <c r="A940">
        <f>Data!E988</f>
        <v/>
      </c>
      <c r="B940">
        <f>Data!G988</f>
        <v/>
      </c>
      <c r="C940">
        <f>Data!H988</f>
        <v/>
      </c>
      <c r="D940">
        <f>Data!I988</f>
        <v/>
      </c>
      <c r="E940">
        <f>Data!M988</f>
        <v/>
      </c>
      <c r="F940">
        <f>Data!O988</f>
        <v/>
      </c>
      <c r="G940">
        <f>E940-F940</f>
        <v/>
      </c>
      <c r="H940">
        <f>Data!P988</f>
        <v/>
      </c>
      <c r="I940">
        <f>G940+H940</f>
        <v/>
      </c>
      <c r="J940">
        <f>F940+G940+H940</f>
        <v/>
      </c>
      <c r="K940">
        <f>Data!R988</f>
        <v/>
      </c>
      <c r="L940">
        <f>Data!T988</f>
        <v/>
      </c>
      <c r="M940">
        <f>AND(E940=0,F940=0,G940=0,H940=0,I940=0,J940=0,K940=0,L940=0)</f>
        <v/>
      </c>
      <c r="N940">
        <f>G940&lt;=$T$6</f>
        <v/>
      </c>
      <c r="O940">
        <f>G940&lt;=$T$12</f>
        <v/>
      </c>
      <c r="P940">
        <f>OR(AND(H940&gt;=$T$4,K940&lt;=$T$5,N940),M940)</f>
        <v/>
      </c>
      <c r="Q940">
        <f>OR(AND(I940&gt;=$T$10,K940&lt;=$T$11,O940),M940)</f>
        <v/>
      </c>
    </row>
    <row r="941">
      <c r="A941">
        <f>Data!E989</f>
        <v/>
      </c>
      <c r="B941">
        <f>Data!G989</f>
        <v/>
      </c>
      <c r="C941">
        <f>Data!H989</f>
        <v/>
      </c>
      <c r="D941">
        <f>Data!I989</f>
        <v/>
      </c>
      <c r="E941">
        <f>Data!M989</f>
        <v/>
      </c>
      <c r="F941">
        <f>Data!O989</f>
        <v/>
      </c>
      <c r="G941">
        <f>E941-F941</f>
        <v/>
      </c>
      <c r="H941">
        <f>Data!P989</f>
        <v/>
      </c>
      <c r="I941">
        <f>G941+H941</f>
        <v/>
      </c>
      <c r="J941">
        <f>F941+G941+H941</f>
        <v/>
      </c>
      <c r="K941">
        <f>Data!R989</f>
        <v/>
      </c>
      <c r="L941">
        <f>Data!T989</f>
        <v/>
      </c>
      <c r="M941">
        <f>AND(E941=0,F941=0,G941=0,H941=0,I941=0,J941=0,K941=0,L941=0)</f>
        <v/>
      </c>
      <c r="N941">
        <f>G941&lt;=$T$6</f>
        <v/>
      </c>
      <c r="O941">
        <f>G941&lt;=$T$12</f>
        <v/>
      </c>
      <c r="P941">
        <f>OR(AND(H941&gt;=$T$4,K941&lt;=$T$5,N941),M941)</f>
        <v/>
      </c>
      <c r="Q941">
        <f>OR(AND(I941&gt;=$T$10,K941&lt;=$T$11,O941),M941)</f>
        <v/>
      </c>
    </row>
    <row r="942">
      <c r="A942">
        <f>Data!E990</f>
        <v/>
      </c>
      <c r="B942">
        <f>Data!G990</f>
        <v/>
      </c>
      <c r="C942">
        <f>Data!H990</f>
        <v/>
      </c>
      <c r="D942">
        <f>Data!I990</f>
        <v/>
      </c>
      <c r="E942">
        <f>Data!M990</f>
        <v/>
      </c>
      <c r="F942">
        <f>Data!O990</f>
        <v/>
      </c>
      <c r="G942">
        <f>E942-F942</f>
        <v/>
      </c>
      <c r="H942">
        <f>Data!P990</f>
        <v/>
      </c>
      <c r="I942">
        <f>G942+H942</f>
        <v/>
      </c>
      <c r="J942">
        <f>F942+G942+H942</f>
        <v/>
      </c>
      <c r="K942">
        <f>Data!R990</f>
        <v/>
      </c>
      <c r="L942">
        <f>Data!T990</f>
        <v/>
      </c>
      <c r="M942">
        <f>AND(E942=0,F942=0,G942=0,H942=0,I942=0,J942=0,K942=0,L942=0)</f>
        <v/>
      </c>
      <c r="N942">
        <f>G942&lt;=$T$6</f>
        <v/>
      </c>
      <c r="O942">
        <f>G942&lt;=$T$12</f>
        <v/>
      </c>
      <c r="P942">
        <f>OR(AND(H942&gt;=$T$4,K942&lt;=$T$5,N942),M942)</f>
        <v/>
      </c>
      <c r="Q942">
        <f>OR(AND(I942&gt;=$T$10,K942&lt;=$T$11,O942),M942)</f>
        <v/>
      </c>
    </row>
    <row r="943">
      <c r="A943">
        <f>Data!E991</f>
        <v/>
      </c>
      <c r="B943">
        <f>Data!G991</f>
        <v/>
      </c>
      <c r="C943">
        <f>Data!H991</f>
        <v/>
      </c>
      <c r="D943">
        <f>Data!I991</f>
        <v/>
      </c>
      <c r="E943">
        <f>Data!M991</f>
        <v/>
      </c>
      <c r="F943">
        <f>Data!O991</f>
        <v/>
      </c>
      <c r="G943">
        <f>E943-F943</f>
        <v/>
      </c>
      <c r="H943">
        <f>Data!P991</f>
        <v/>
      </c>
      <c r="I943">
        <f>G943+H943</f>
        <v/>
      </c>
      <c r="J943">
        <f>F943+G943+H943</f>
        <v/>
      </c>
      <c r="K943">
        <f>Data!R991</f>
        <v/>
      </c>
      <c r="L943">
        <f>Data!T991</f>
        <v/>
      </c>
      <c r="M943">
        <f>AND(E943=0,F943=0,G943=0,H943=0,I943=0,J943=0,K943=0,L943=0)</f>
        <v/>
      </c>
      <c r="N943">
        <f>G943&lt;=$T$6</f>
        <v/>
      </c>
      <c r="O943">
        <f>G943&lt;=$T$12</f>
        <v/>
      </c>
      <c r="P943">
        <f>OR(AND(H943&gt;=$T$4,K943&lt;=$T$5,N943),M943)</f>
        <v/>
      </c>
      <c r="Q943">
        <f>OR(AND(I943&gt;=$T$10,K943&lt;=$T$11,O943),M943)</f>
        <v/>
      </c>
    </row>
    <row r="944">
      <c r="A944">
        <f>Data!E992</f>
        <v/>
      </c>
      <c r="B944">
        <f>Data!G992</f>
        <v/>
      </c>
      <c r="C944">
        <f>Data!H992</f>
        <v/>
      </c>
      <c r="D944">
        <f>Data!I992</f>
        <v/>
      </c>
      <c r="E944">
        <f>Data!M992</f>
        <v/>
      </c>
      <c r="F944">
        <f>Data!O992</f>
        <v/>
      </c>
      <c r="G944">
        <f>E944-F944</f>
        <v/>
      </c>
      <c r="H944">
        <f>Data!P992</f>
        <v/>
      </c>
      <c r="I944">
        <f>G944+H944</f>
        <v/>
      </c>
      <c r="J944">
        <f>F944+G944+H944</f>
        <v/>
      </c>
      <c r="K944">
        <f>Data!R992</f>
        <v/>
      </c>
      <c r="L944">
        <f>Data!T992</f>
        <v/>
      </c>
      <c r="M944">
        <f>AND(E944=0,F944=0,G944=0,H944=0,I944=0,J944=0,K944=0,L944=0)</f>
        <v/>
      </c>
      <c r="N944">
        <f>G944&lt;=$T$6</f>
        <v/>
      </c>
      <c r="O944">
        <f>G944&lt;=$T$12</f>
        <v/>
      </c>
      <c r="P944">
        <f>OR(AND(H944&gt;=$T$4,K944&lt;=$T$5,N944),M944)</f>
        <v/>
      </c>
      <c r="Q944">
        <f>OR(AND(I944&gt;=$T$10,K944&lt;=$T$11,O944),M944)</f>
        <v/>
      </c>
    </row>
    <row r="945">
      <c r="A945">
        <f>Data!E993</f>
        <v/>
      </c>
      <c r="B945">
        <f>Data!G993</f>
        <v/>
      </c>
      <c r="C945">
        <f>Data!H993</f>
        <v/>
      </c>
      <c r="D945">
        <f>Data!I993</f>
        <v/>
      </c>
      <c r="E945">
        <f>Data!M993</f>
        <v/>
      </c>
      <c r="F945">
        <f>Data!O993</f>
        <v/>
      </c>
      <c r="G945">
        <f>E945-F945</f>
        <v/>
      </c>
      <c r="H945">
        <f>Data!P993</f>
        <v/>
      </c>
      <c r="I945">
        <f>G945+H945</f>
        <v/>
      </c>
      <c r="J945">
        <f>F945+G945+H945</f>
        <v/>
      </c>
      <c r="K945">
        <f>Data!R993</f>
        <v/>
      </c>
      <c r="L945">
        <f>Data!T993</f>
        <v/>
      </c>
      <c r="M945">
        <f>AND(E945=0,F945=0,G945=0,H945=0,I945=0,J945=0,K945=0,L945=0)</f>
        <v/>
      </c>
      <c r="N945">
        <f>G945&lt;=$T$6</f>
        <v/>
      </c>
      <c r="O945">
        <f>G945&lt;=$T$12</f>
        <v/>
      </c>
      <c r="P945">
        <f>OR(AND(H945&gt;=$T$4,K945&lt;=$T$5,N945),M945)</f>
        <v/>
      </c>
      <c r="Q945">
        <f>OR(AND(I945&gt;=$T$10,K945&lt;=$T$11,O945),M945)</f>
        <v/>
      </c>
    </row>
    <row r="946">
      <c r="A946">
        <f>Data!E994</f>
        <v/>
      </c>
      <c r="B946">
        <f>Data!G994</f>
        <v/>
      </c>
      <c r="C946">
        <f>Data!H994</f>
        <v/>
      </c>
      <c r="D946">
        <f>Data!I994</f>
        <v/>
      </c>
      <c r="E946">
        <f>Data!M994</f>
        <v/>
      </c>
      <c r="F946">
        <f>Data!O994</f>
        <v/>
      </c>
      <c r="G946">
        <f>E946-F946</f>
        <v/>
      </c>
      <c r="H946">
        <f>Data!P994</f>
        <v/>
      </c>
      <c r="I946">
        <f>G946+H946</f>
        <v/>
      </c>
      <c r="J946">
        <f>F946+G946+H946</f>
        <v/>
      </c>
      <c r="K946">
        <f>Data!R994</f>
        <v/>
      </c>
      <c r="L946">
        <f>Data!T994</f>
        <v/>
      </c>
      <c r="M946">
        <f>AND(E946=0,F946=0,G946=0,H946=0,I946=0,J946=0,K946=0,L946=0)</f>
        <v/>
      </c>
      <c r="N946">
        <f>G946&lt;=$T$6</f>
        <v/>
      </c>
      <c r="O946">
        <f>G946&lt;=$T$12</f>
        <v/>
      </c>
      <c r="P946">
        <f>OR(AND(H946&gt;=$T$4,K946&lt;=$T$5,N946),M946)</f>
        <v/>
      </c>
      <c r="Q946">
        <f>OR(AND(I946&gt;=$T$10,K946&lt;=$T$11,O946),M946)</f>
        <v/>
      </c>
    </row>
    <row r="947">
      <c r="A947">
        <f>Data!E995</f>
        <v/>
      </c>
      <c r="B947">
        <f>Data!G995</f>
        <v/>
      </c>
      <c r="C947">
        <f>Data!H995</f>
        <v/>
      </c>
      <c r="D947">
        <f>Data!I995</f>
        <v/>
      </c>
      <c r="E947">
        <f>Data!M995</f>
        <v/>
      </c>
      <c r="F947">
        <f>Data!O995</f>
        <v/>
      </c>
      <c r="G947">
        <f>E947-F947</f>
        <v/>
      </c>
      <c r="H947">
        <f>Data!P995</f>
        <v/>
      </c>
      <c r="I947">
        <f>G947+H947</f>
        <v/>
      </c>
      <c r="J947">
        <f>F947+G947+H947</f>
        <v/>
      </c>
      <c r="K947">
        <f>Data!R995</f>
        <v/>
      </c>
      <c r="L947">
        <f>Data!T995</f>
        <v/>
      </c>
      <c r="M947">
        <f>AND(E947=0,F947=0,G947=0,H947=0,I947=0,J947=0,K947=0,L947=0)</f>
        <v/>
      </c>
      <c r="N947">
        <f>G947&lt;=$T$6</f>
        <v/>
      </c>
      <c r="O947">
        <f>G947&lt;=$T$12</f>
        <v/>
      </c>
      <c r="P947">
        <f>OR(AND(H947&gt;=$T$4,K947&lt;=$T$5,N947),M947)</f>
        <v/>
      </c>
      <c r="Q947">
        <f>OR(AND(I947&gt;=$T$10,K947&lt;=$T$11,O947),M947)</f>
        <v/>
      </c>
    </row>
    <row r="948">
      <c r="A948">
        <f>Data!E996</f>
        <v/>
      </c>
      <c r="B948">
        <f>Data!G996</f>
        <v/>
      </c>
      <c r="C948">
        <f>Data!H996</f>
        <v/>
      </c>
      <c r="D948">
        <f>Data!I996</f>
        <v/>
      </c>
      <c r="E948">
        <f>Data!M996</f>
        <v/>
      </c>
      <c r="F948">
        <f>Data!O996</f>
        <v/>
      </c>
      <c r="G948">
        <f>E948-F948</f>
        <v/>
      </c>
      <c r="H948">
        <f>Data!P996</f>
        <v/>
      </c>
      <c r="I948">
        <f>G948+H948</f>
        <v/>
      </c>
      <c r="J948">
        <f>F948+G948+H948</f>
        <v/>
      </c>
      <c r="K948">
        <f>Data!R996</f>
        <v/>
      </c>
      <c r="L948">
        <f>Data!T996</f>
        <v/>
      </c>
      <c r="M948">
        <f>AND(E948=0,F948=0,G948=0,H948=0,I948=0,J948=0,K948=0,L948=0)</f>
        <v/>
      </c>
      <c r="N948">
        <f>G948&lt;=$T$6</f>
        <v/>
      </c>
      <c r="O948">
        <f>G948&lt;=$T$12</f>
        <v/>
      </c>
      <c r="P948">
        <f>OR(AND(H948&gt;=$T$4,K948&lt;=$T$5,N948),M948)</f>
        <v/>
      </c>
      <c r="Q948">
        <f>OR(AND(I948&gt;=$T$10,K948&lt;=$T$11,O948),M948)</f>
        <v/>
      </c>
    </row>
    <row r="949">
      <c r="A949">
        <f>Data!E997</f>
        <v/>
      </c>
      <c r="B949">
        <f>Data!G997</f>
        <v/>
      </c>
      <c r="C949">
        <f>Data!H997</f>
        <v/>
      </c>
      <c r="D949">
        <f>Data!I997</f>
        <v/>
      </c>
      <c r="E949">
        <f>Data!M997</f>
        <v/>
      </c>
      <c r="F949">
        <f>Data!O997</f>
        <v/>
      </c>
      <c r="G949">
        <f>E949-F949</f>
        <v/>
      </c>
      <c r="H949">
        <f>Data!P997</f>
        <v/>
      </c>
      <c r="I949">
        <f>G949+H949</f>
        <v/>
      </c>
      <c r="J949">
        <f>F949+G949+H949</f>
        <v/>
      </c>
      <c r="K949">
        <f>Data!R997</f>
        <v/>
      </c>
      <c r="L949">
        <f>Data!T997</f>
        <v/>
      </c>
      <c r="M949">
        <f>AND(E949=0,F949=0,G949=0,H949=0,I949=0,J949=0,K949=0,L949=0)</f>
        <v/>
      </c>
      <c r="N949">
        <f>G949&lt;=$T$6</f>
        <v/>
      </c>
      <c r="O949">
        <f>G949&lt;=$T$12</f>
        <v/>
      </c>
      <c r="P949">
        <f>OR(AND(H949&gt;=$T$4,K949&lt;=$T$5,N949),M949)</f>
        <v/>
      </c>
      <c r="Q949">
        <f>OR(AND(I949&gt;=$T$10,K949&lt;=$T$11,O949),M949)</f>
        <v/>
      </c>
    </row>
    <row r="950">
      <c r="A950">
        <f>Data!E998</f>
        <v/>
      </c>
      <c r="B950">
        <f>Data!G998</f>
        <v/>
      </c>
      <c r="C950">
        <f>Data!H998</f>
        <v/>
      </c>
      <c r="D950">
        <f>Data!I998</f>
        <v/>
      </c>
      <c r="E950">
        <f>Data!M998</f>
        <v/>
      </c>
      <c r="F950">
        <f>Data!O998</f>
        <v/>
      </c>
      <c r="G950">
        <f>E950-F950</f>
        <v/>
      </c>
      <c r="H950">
        <f>Data!P998</f>
        <v/>
      </c>
      <c r="I950">
        <f>G950+H950</f>
        <v/>
      </c>
      <c r="J950">
        <f>F950+G950+H950</f>
        <v/>
      </c>
      <c r="K950">
        <f>Data!R998</f>
        <v/>
      </c>
      <c r="L950">
        <f>Data!T998</f>
        <v/>
      </c>
      <c r="M950">
        <f>AND(E950=0,F950=0,G950=0,H950=0,I950=0,J950=0,K950=0,L950=0)</f>
        <v/>
      </c>
      <c r="N950">
        <f>G950&lt;=$T$6</f>
        <v/>
      </c>
      <c r="O950">
        <f>G950&lt;=$T$12</f>
        <v/>
      </c>
      <c r="P950">
        <f>OR(AND(H950&gt;=$T$4,K950&lt;=$T$5,N950),M950)</f>
        <v/>
      </c>
      <c r="Q950">
        <f>OR(AND(I950&gt;=$T$10,K950&lt;=$T$11,O950),M950)</f>
        <v/>
      </c>
    </row>
    <row r="951">
      <c r="A951">
        <f>Data!E999</f>
        <v/>
      </c>
      <c r="B951">
        <f>Data!G999</f>
        <v/>
      </c>
      <c r="C951">
        <f>Data!H999</f>
        <v/>
      </c>
      <c r="D951">
        <f>Data!I999</f>
        <v/>
      </c>
      <c r="E951">
        <f>Data!M999</f>
        <v/>
      </c>
      <c r="F951">
        <f>Data!O999</f>
        <v/>
      </c>
      <c r="G951">
        <f>E951-F951</f>
        <v/>
      </c>
      <c r="H951">
        <f>Data!P999</f>
        <v/>
      </c>
      <c r="I951">
        <f>G951+H951</f>
        <v/>
      </c>
      <c r="J951">
        <f>F951+G951+H951</f>
        <v/>
      </c>
      <c r="K951">
        <f>Data!R999</f>
        <v/>
      </c>
      <c r="L951">
        <f>Data!T999</f>
        <v/>
      </c>
      <c r="M951">
        <f>AND(E951=0,F951=0,G951=0,H951=0,I951=0,J951=0,K951=0,L951=0)</f>
        <v/>
      </c>
      <c r="N951">
        <f>G951&lt;=$T$6</f>
        <v/>
      </c>
      <c r="O951">
        <f>G951&lt;=$T$12</f>
        <v/>
      </c>
      <c r="P951">
        <f>OR(AND(H951&gt;=$T$4,K951&lt;=$T$5,N951),M951)</f>
        <v/>
      </c>
      <c r="Q951">
        <f>OR(AND(I951&gt;=$T$10,K951&lt;=$T$11,O951),M951)</f>
        <v/>
      </c>
    </row>
    <row r="952">
      <c r="A952">
        <f>Data!E1000</f>
        <v/>
      </c>
      <c r="B952">
        <f>Data!G1000</f>
        <v/>
      </c>
      <c r="C952">
        <f>Data!H1000</f>
        <v/>
      </c>
      <c r="D952">
        <f>Data!I1000</f>
        <v/>
      </c>
      <c r="E952">
        <f>Data!M1000</f>
        <v/>
      </c>
      <c r="F952">
        <f>Data!O1000</f>
        <v/>
      </c>
      <c r="G952">
        <f>E952-F952</f>
        <v/>
      </c>
      <c r="H952">
        <f>Data!P1000</f>
        <v/>
      </c>
      <c r="I952">
        <f>G952+H952</f>
        <v/>
      </c>
      <c r="J952">
        <f>F952+G952+H952</f>
        <v/>
      </c>
      <c r="K952">
        <f>Data!R1000</f>
        <v/>
      </c>
      <c r="L952">
        <f>Data!T1000</f>
        <v/>
      </c>
      <c r="M952">
        <f>AND(E952=0,F952=0,G952=0,H952=0,I952=0,J952=0,K952=0,L952=0)</f>
        <v/>
      </c>
      <c r="N952">
        <f>G952&lt;=$T$6</f>
        <v/>
      </c>
      <c r="O952">
        <f>G952&lt;=$T$12</f>
        <v/>
      </c>
      <c r="P952">
        <f>OR(AND(H952&gt;=$T$4,K952&lt;=$T$5,N952),M952)</f>
        <v/>
      </c>
      <c r="Q952">
        <f>OR(AND(I952&gt;=$T$10,K952&lt;=$T$11,O952),M952)</f>
        <v/>
      </c>
    </row>
    <row r="953">
      <c r="A953">
        <f>Data!E1002</f>
        <v/>
      </c>
      <c r="B953">
        <f>Data!G1002</f>
        <v/>
      </c>
      <c r="C953">
        <f>Data!H1002</f>
        <v/>
      </c>
      <c r="D953">
        <f>Data!I1002</f>
        <v/>
      </c>
      <c r="E953">
        <f>Data!M1002</f>
        <v/>
      </c>
      <c r="F953">
        <f>Data!O1002</f>
        <v/>
      </c>
      <c r="G953">
        <f>E953-F953</f>
        <v/>
      </c>
      <c r="H953">
        <f>Data!P1002</f>
        <v/>
      </c>
      <c r="I953">
        <f>G953+H953</f>
        <v/>
      </c>
      <c r="J953">
        <f>F953+G953+H953</f>
        <v/>
      </c>
      <c r="K953">
        <f>Data!R1002</f>
        <v/>
      </c>
      <c r="L953">
        <f>Data!T1002</f>
        <v/>
      </c>
      <c r="M953">
        <f>AND(E953=0,F953=0,G953=0,H953=0,I953=0,J953=0,K953=0,L953=0)</f>
        <v/>
      </c>
      <c r="N953">
        <f>G953&lt;=$T$6</f>
        <v/>
      </c>
      <c r="O953">
        <f>G953&lt;=$T$12</f>
        <v/>
      </c>
      <c r="P953">
        <f>OR(AND(H953&gt;=$T$4,K953&lt;=$T$5,N953),M953)</f>
        <v/>
      </c>
      <c r="Q953">
        <f>OR(AND(I953&gt;=$T$10,K953&lt;=$T$11,O953),M953)</f>
        <v/>
      </c>
    </row>
    <row r="954">
      <c r="A954">
        <f>Data!E1003</f>
        <v/>
      </c>
      <c r="B954">
        <f>Data!G1003</f>
        <v/>
      </c>
      <c r="C954">
        <f>Data!H1003</f>
        <v/>
      </c>
      <c r="D954">
        <f>Data!I1003</f>
        <v/>
      </c>
      <c r="E954">
        <f>Data!M1003</f>
        <v/>
      </c>
      <c r="F954">
        <f>Data!O1003</f>
        <v/>
      </c>
      <c r="G954">
        <f>E954-F954</f>
        <v/>
      </c>
      <c r="H954">
        <f>Data!P1003</f>
        <v/>
      </c>
      <c r="I954">
        <f>G954+H954</f>
        <v/>
      </c>
      <c r="J954">
        <f>F954+G954+H954</f>
        <v/>
      </c>
      <c r="K954">
        <f>Data!R1003</f>
        <v/>
      </c>
      <c r="L954">
        <f>Data!T1003</f>
        <v/>
      </c>
      <c r="M954">
        <f>AND(E954=0,F954=0,G954=0,H954=0,I954=0,J954=0,K954=0,L954=0)</f>
        <v/>
      </c>
      <c r="N954">
        <f>G954&lt;=$T$6</f>
        <v/>
      </c>
      <c r="O954">
        <f>G954&lt;=$T$12</f>
        <v/>
      </c>
      <c r="P954">
        <f>OR(AND(H954&gt;=$T$4,K954&lt;=$T$5,N954),M954)</f>
        <v/>
      </c>
      <c r="Q954">
        <f>OR(AND(I954&gt;=$T$10,K954&lt;=$T$11,O954),M954)</f>
        <v/>
      </c>
    </row>
    <row r="955">
      <c r="A955">
        <f>Data!E1004</f>
        <v/>
      </c>
      <c r="B955">
        <f>Data!G1004</f>
        <v/>
      </c>
      <c r="C955">
        <f>Data!H1004</f>
        <v/>
      </c>
      <c r="D955">
        <f>Data!I1004</f>
        <v/>
      </c>
      <c r="E955">
        <f>Data!M1004</f>
        <v/>
      </c>
      <c r="F955">
        <f>Data!O1004</f>
        <v/>
      </c>
      <c r="G955">
        <f>E955-F955</f>
        <v/>
      </c>
      <c r="H955">
        <f>Data!P1004</f>
        <v/>
      </c>
      <c r="I955">
        <f>G955+H955</f>
        <v/>
      </c>
      <c r="J955">
        <f>F955+G955+H955</f>
        <v/>
      </c>
      <c r="K955">
        <f>Data!R1004</f>
        <v/>
      </c>
      <c r="L955">
        <f>Data!T1004</f>
        <v/>
      </c>
      <c r="M955">
        <f>AND(E955=0,F955=0,G955=0,H955=0,I955=0,J955=0,K955=0,L955=0)</f>
        <v/>
      </c>
      <c r="N955">
        <f>G955&lt;=$T$6</f>
        <v/>
      </c>
      <c r="O955">
        <f>G955&lt;=$T$12</f>
        <v/>
      </c>
      <c r="P955">
        <f>OR(AND(H955&gt;=$T$4,K955&lt;=$T$5,N955),M955)</f>
        <v/>
      </c>
      <c r="Q955">
        <f>OR(AND(I955&gt;=$T$10,K955&lt;=$T$11,O955),M955)</f>
        <v/>
      </c>
    </row>
    <row r="956">
      <c r="A956">
        <f>Data!E1005</f>
        <v/>
      </c>
      <c r="B956">
        <f>Data!G1005</f>
        <v/>
      </c>
      <c r="C956">
        <f>Data!H1005</f>
        <v/>
      </c>
      <c r="D956">
        <f>Data!I1005</f>
        <v/>
      </c>
      <c r="E956">
        <f>Data!M1005</f>
        <v/>
      </c>
      <c r="F956">
        <f>Data!O1005</f>
        <v/>
      </c>
      <c r="G956">
        <f>E956-F956</f>
        <v/>
      </c>
      <c r="H956">
        <f>Data!P1005</f>
        <v/>
      </c>
      <c r="I956">
        <f>G956+H956</f>
        <v/>
      </c>
      <c r="J956">
        <f>F956+G956+H956</f>
        <v/>
      </c>
      <c r="K956">
        <f>Data!R1005</f>
        <v/>
      </c>
      <c r="L956">
        <f>Data!T1005</f>
        <v/>
      </c>
      <c r="M956">
        <f>AND(E956=0,F956=0,G956=0,H956=0,I956=0,J956=0,K956=0,L956=0)</f>
        <v/>
      </c>
      <c r="N956">
        <f>G956&lt;=$T$6</f>
        <v/>
      </c>
      <c r="O956">
        <f>G956&lt;=$T$12</f>
        <v/>
      </c>
      <c r="P956">
        <f>OR(AND(H956&gt;=$T$4,K956&lt;=$T$5,N956),M956)</f>
        <v/>
      </c>
      <c r="Q956">
        <f>OR(AND(I956&gt;=$T$10,K956&lt;=$T$11,O956),M956)</f>
        <v/>
      </c>
    </row>
    <row r="957">
      <c r="A957">
        <f>Data!E1006</f>
        <v/>
      </c>
      <c r="B957">
        <f>Data!G1006</f>
        <v/>
      </c>
      <c r="C957">
        <f>Data!H1006</f>
        <v/>
      </c>
      <c r="D957">
        <f>Data!I1006</f>
        <v/>
      </c>
      <c r="E957">
        <f>Data!M1006</f>
        <v/>
      </c>
      <c r="F957">
        <f>Data!O1006</f>
        <v/>
      </c>
      <c r="G957">
        <f>E957-F957</f>
        <v/>
      </c>
      <c r="H957">
        <f>Data!P1006</f>
        <v/>
      </c>
      <c r="I957">
        <f>G957+H957</f>
        <v/>
      </c>
      <c r="J957">
        <f>F957+G957+H957</f>
        <v/>
      </c>
      <c r="K957">
        <f>Data!R1006</f>
        <v/>
      </c>
      <c r="L957">
        <f>Data!T1006</f>
        <v/>
      </c>
      <c r="M957">
        <f>AND(E957=0,F957=0,G957=0,H957=0,I957=0,J957=0,K957=0,L957=0)</f>
        <v/>
      </c>
      <c r="N957">
        <f>G957&lt;=$T$6</f>
        <v/>
      </c>
      <c r="O957">
        <f>G957&lt;=$T$12</f>
        <v/>
      </c>
      <c r="P957">
        <f>OR(AND(H957&gt;=$T$4,K957&lt;=$T$5,N957),M957)</f>
        <v/>
      </c>
      <c r="Q957">
        <f>OR(AND(I957&gt;=$T$10,K957&lt;=$T$11,O957),M957)</f>
        <v/>
      </c>
    </row>
    <row r="958">
      <c r="A958">
        <f>Data!E1007</f>
        <v/>
      </c>
      <c r="B958">
        <f>Data!G1007</f>
        <v/>
      </c>
      <c r="C958">
        <f>Data!H1007</f>
        <v/>
      </c>
      <c r="D958">
        <f>Data!I1007</f>
        <v/>
      </c>
      <c r="E958">
        <f>Data!M1007</f>
        <v/>
      </c>
      <c r="F958">
        <f>Data!O1007</f>
        <v/>
      </c>
      <c r="G958">
        <f>E958-F958</f>
        <v/>
      </c>
      <c r="H958">
        <f>Data!P1007</f>
        <v/>
      </c>
      <c r="I958">
        <f>G958+H958</f>
        <v/>
      </c>
      <c r="J958">
        <f>F958+G958+H958</f>
        <v/>
      </c>
      <c r="K958">
        <f>Data!R1007</f>
        <v/>
      </c>
      <c r="L958">
        <f>Data!T1007</f>
        <v/>
      </c>
      <c r="M958">
        <f>AND(E958=0,F958=0,G958=0,H958=0,I958=0,J958=0,K958=0,L958=0)</f>
        <v/>
      </c>
      <c r="N958">
        <f>G958&lt;=$T$6</f>
        <v/>
      </c>
      <c r="O958">
        <f>G958&lt;=$T$12</f>
        <v/>
      </c>
      <c r="P958">
        <f>OR(AND(H958&gt;=$T$4,K958&lt;=$T$5,N958),M958)</f>
        <v/>
      </c>
      <c r="Q958">
        <f>OR(AND(I958&gt;=$T$10,K958&lt;=$T$11,O958),M958)</f>
        <v/>
      </c>
    </row>
    <row r="959">
      <c r="A959">
        <f>Data!E1008</f>
        <v/>
      </c>
      <c r="B959">
        <f>Data!G1008</f>
        <v/>
      </c>
      <c r="C959">
        <f>Data!H1008</f>
        <v/>
      </c>
      <c r="D959">
        <f>Data!I1008</f>
        <v/>
      </c>
      <c r="E959">
        <f>Data!M1008</f>
        <v/>
      </c>
      <c r="F959">
        <f>Data!O1008</f>
        <v/>
      </c>
      <c r="G959">
        <f>E959-F959</f>
        <v/>
      </c>
      <c r="H959">
        <f>Data!P1008</f>
        <v/>
      </c>
      <c r="I959">
        <f>G959+H959</f>
        <v/>
      </c>
      <c r="J959">
        <f>F959+G959+H959</f>
        <v/>
      </c>
      <c r="K959">
        <f>Data!R1008</f>
        <v/>
      </c>
      <c r="L959">
        <f>Data!T1008</f>
        <v/>
      </c>
      <c r="M959">
        <f>AND(E959=0,F959=0,G959=0,H959=0,I959=0,J959=0,K959=0,L959=0)</f>
        <v/>
      </c>
      <c r="N959">
        <f>G959&lt;=$T$6</f>
        <v/>
      </c>
      <c r="O959">
        <f>G959&lt;=$T$12</f>
        <v/>
      </c>
      <c r="P959">
        <f>OR(AND(H959&gt;=$T$4,K959&lt;=$T$5,N959),M959)</f>
        <v/>
      </c>
      <c r="Q959">
        <f>OR(AND(I959&gt;=$T$10,K959&lt;=$T$11,O959),M959)</f>
        <v/>
      </c>
    </row>
    <row r="960">
      <c r="A960">
        <f>Data!E1009</f>
        <v/>
      </c>
      <c r="B960">
        <f>Data!G1009</f>
        <v/>
      </c>
      <c r="C960">
        <f>Data!H1009</f>
        <v/>
      </c>
      <c r="D960">
        <f>Data!I1009</f>
        <v/>
      </c>
      <c r="E960">
        <f>Data!M1009</f>
        <v/>
      </c>
      <c r="F960">
        <f>Data!O1009</f>
        <v/>
      </c>
      <c r="G960">
        <f>E960-F960</f>
        <v/>
      </c>
      <c r="H960">
        <f>Data!P1009</f>
        <v/>
      </c>
      <c r="I960">
        <f>G960+H960</f>
        <v/>
      </c>
      <c r="J960">
        <f>F960+G960+H960</f>
        <v/>
      </c>
      <c r="K960">
        <f>Data!R1009</f>
        <v/>
      </c>
      <c r="L960">
        <f>Data!T1009</f>
        <v/>
      </c>
      <c r="M960">
        <f>AND(E960=0,F960=0,G960=0,H960=0,I960=0,J960=0,K960=0,L960=0)</f>
        <v/>
      </c>
      <c r="N960">
        <f>G960&lt;=$T$6</f>
        <v/>
      </c>
      <c r="O960">
        <f>G960&lt;=$T$12</f>
        <v/>
      </c>
      <c r="P960">
        <f>OR(AND(H960&gt;=$T$4,K960&lt;=$T$5,N960),M960)</f>
        <v/>
      </c>
      <c r="Q960">
        <f>OR(AND(I960&gt;=$T$10,K960&lt;=$T$11,O960),M960)</f>
        <v/>
      </c>
    </row>
    <row r="961">
      <c r="A961">
        <f>Data!E1010</f>
        <v/>
      </c>
      <c r="B961">
        <f>Data!G1010</f>
        <v/>
      </c>
      <c r="C961">
        <f>Data!H1010</f>
        <v/>
      </c>
      <c r="D961">
        <f>Data!I1010</f>
        <v/>
      </c>
      <c r="E961">
        <f>Data!M1010</f>
        <v/>
      </c>
      <c r="F961">
        <f>Data!O1010</f>
        <v/>
      </c>
      <c r="G961">
        <f>E961-F961</f>
        <v/>
      </c>
      <c r="H961">
        <f>Data!P1010</f>
        <v/>
      </c>
      <c r="I961">
        <f>G961+H961</f>
        <v/>
      </c>
      <c r="J961">
        <f>F961+G961+H961</f>
        <v/>
      </c>
      <c r="K961">
        <f>Data!R1010</f>
        <v/>
      </c>
      <c r="L961">
        <f>Data!T1010</f>
        <v/>
      </c>
      <c r="M961">
        <f>AND(E961=0,F961=0,G961=0,H961=0,I961=0,J961=0,K961=0,L961=0)</f>
        <v/>
      </c>
      <c r="N961">
        <f>G961&lt;=$T$6</f>
        <v/>
      </c>
      <c r="O961">
        <f>G961&lt;=$T$12</f>
        <v/>
      </c>
      <c r="P961">
        <f>OR(AND(H961&gt;=$T$4,K961&lt;=$T$5,N961),M961)</f>
        <v/>
      </c>
      <c r="Q961">
        <f>OR(AND(I961&gt;=$T$10,K961&lt;=$T$11,O961),M961)</f>
        <v/>
      </c>
    </row>
    <row r="962">
      <c r="A962">
        <f>Data!E1011</f>
        <v/>
      </c>
      <c r="B962">
        <f>Data!G1011</f>
        <v/>
      </c>
      <c r="C962">
        <f>Data!H1011</f>
        <v/>
      </c>
      <c r="D962">
        <f>Data!I1011</f>
        <v/>
      </c>
      <c r="E962">
        <f>Data!M1011</f>
        <v/>
      </c>
      <c r="F962">
        <f>Data!O1011</f>
        <v/>
      </c>
      <c r="G962">
        <f>E962-F962</f>
        <v/>
      </c>
      <c r="H962">
        <f>Data!P1011</f>
        <v/>
      </c>
      <c r="I962">
        <f>G962+H962</f>
        <v/>
      </c>
      <c r="J962">
        <f>F962+G962+H962</f>
        <v/>
      </c>
      <c r="K962">
        <f>Data!R1011</f>
        <v/>
      </c>
      <c r="L962">
        <f>Data!T1011</f>
        <v/>
      </c>
      <c r="M962">
        <f>AND(E962=0,F962=0,G962=0,H962=0,I962=0,J962=0,K962=0,L962=0)</f>
        <v/>
      </c>
      <c r="N962">
        <f>G962&lt;=$T$6</f>
        <v/>
      </c>
      <c r="O962">
        <f>G962&lt;=$T$12</f>
        <v/>
      </c>
      <c r="P962">
        <f>OR(AND(H962&gt;=$T$4,K962&lt;=$T$5,N962),M962)</f>
        <v/>
      </c>
      <c r="Q962">
        <f>OR(AND(I962&gt;=$T$10,K962&lt;=$T$11,O962),M962)</f>
        <v/>
      </c>
    </row>
    <row r="963">
      <c r="A963">
        <f>Data!E1012</f>
        <v/>
      </c>
      <c r="B963">
        <f>Data!G1012</f>
        <v/>
      </c>
      <c r="C963">
        <f>Data!H1012</f>
        <v/>
      </c>
      <c r="D963">
        <f>Data!I1012</f>
        <v/>
      </c>
      <c r="E963">
        <f>Data!M1012</f>
        <v/>
      </c>
      <c r="F963">
        <f>Data!O1012</f>
        <v/>
      </c>
      <c r="G963">
        <f>E963-F963</f>
        <v/>
      </c>
      <c r="H963">
        <f>Data!P1012</f>
        <v/>
      </c>
      <c r="I963">
        <f>G963+H963</f>
        <v/>
      </c>
      <c r="J963">
        <f>F963+G963+H963</f>
        <v/>
      </c>
      <c r="K963">
        <f>Data!R1012</f>
        <v/>
      </c>
      <c r="L963">
        <f>Data!T1012</f>
        <v/>
      </c>
      <c r="M963">
        <f>AND(E963=0,F963=0,G963=0,H963=0,I963=0,J963=0,K963=0,L963=0)</f>
        <v/>
      </c>
      <c r="N963">
        <f>G963&lt;=$T$6</f>
        <v/>
      </c>
      <c r="O963">
        <f>G963&lt;=$T$12</f>
        <v/>
      </c>
      <c r="P963">
        <f>OR(AND(H963&gt;=$T$4,K963&lt;=$T$5,N963),M963)</f>
        <v/>
      </c>
      <c r="Q963">
        <f>OR(AND(I963&gt;=$T$10,K963&lt;=$T$11,O963),M963)</f>
        <v/>
      </c>
    </row>
    <row r="964">
      <c r="A964">
        <f>Data!E1013</f>
        <v/>
      </c>
      <c r="B964">
        <f>Data!G1013</f>
        <v/>
      </c>
      <c r="C964">
        <f>Data!H1013</f>
        <v/>
      </c>
      <c r="D964">
        <f>Data!I1013</f>
        <v/>
      </c>
      <c r="E964">
        <f>Data!M1013</f>
        <v/>
      </c>
      <c r="F964">
        <f>Data!O1013</f>
        <v/>
      </c>
      <c r="G964">
        <f>E964-F964</f>
        <v/>
      </c>
      <c r="H964">
        <f>Data!P1013</f>
        <v/>
      </c>
      <c r="I964">
        <f>G964+H964</f>
        <v/>
      </c>
      <c r="J964">
        <f>F964+G964+H964</f>
        <v/>
      </c>
      <c r="K964">
        <f>Data!R1013</f>
        <v/>
      </c>
      <c r="L964">
        <f>Data!T1013</f>
        <v/>
      </c>
      <c r="M964">
        <f>AND(E964=0,F964=0,G964=0,H964=0,I964=0,J964=0,K964=0,L964=0)</f>
        <v/>
      </c>
      <c r="N964">
        <f>G964&lt;=$T$6</f>
        <v/>
      </c>
      <c r="O964">
        <f>G964&lt;=$T$12</f>
        <v/>
      </c>
      <c r="P964">
        <f>OR(AND(H964&gt;=$T$4,K964&lt;=$T$5,N964),M964)</f>
        <v/>
      </c>
      <c r="Q964">
        <f>OR(AND(I964&gt;=$T$10,K964&lt;=$T$11,O964),M964)</f>
        <v/>
      </c>
    </row>
    <row r="965">
      <c r="A965">
        <f>Data!E1014</f>
        <v/>
      </c>
      <c r="B965">
        <f>Data!G1014</f>
        <v/>
      </c>
      <c r="C965">
        <f>Data!H1014</f>
        <v/>
      </c>
      <c r="D965">
        <f>Data!I1014</f>
        <v/>
      </c>
      <c r="E965">
        <f>Data!M1014</f>
        <v/>
      </c>
      <c r="F965">
        <f>Data!O1014</f>
        <v/>
      </c>
      <c r="G965">
        <f>E965-F965</f>
        <v/>
      </c>
      <c r="H965">
        <f>Data!P1014</f>
        <v/>
      </c>
      <c r="I965">
        <f>G965+H965</f>
        <v/>
      </c>
      <c r="J965">
        <f>F965+G965+H965</f>
        <v/>
      </c>
      <c r="K965">
        <f>Data!R1014</f>
        <v/>
      </c>
      <c r="L965">
        <f>Data!T1014</f>
        <v/>
      </c>
      <c r="M965">
        <f>AND(E965=0,F965=0,G965=0,H965=0,I965=0,J965=0,K965=0,L965=0)</f>
        <v/>
      </c>
      <c r="N965">
        <f>G965&lt;=$T$6</f>
        <v/>
      </c>
      <c r="O965">
        <f>G965&lt;=$T$12</f>
        <v/>
      </c>
      <c r="P965">
        <f>OR(AND(H965&gt;=$T$4,K965&lt;=$T$5,N965),M965)</f>
        <v/>
      </c>
      <c r="Q965">
        <f>OR(AND(I965&gt;=$T$10,K965&lt;=$T$11,O965),M965)</f>
        <v/>
      </c>
    </row>
    <row r="966">
      <c r="A966">
        <f>Data!E1015</f>
        <v/>
      </c>
      <c r="B966">
        <f>Data!G1015</f>
        <v/>
      </c>
      <c r="C966">
        <f>Data!H1015</f>
        <v/>
      </c>
      <c r="D966">
        <f>Data!I1015</f>
        <v/>
      </c>
      <c r="E966">
        <f>Data!M1015</f>
        <v/>
      </c>
      <c r="F966">
        <f>Data!O1015</f>
        <v/>
      </c>
      <c r="G966">
        <f>E966-F966</f>
        <v/>
      </c>
      <c r="H966">
        <f>Data!P1015</f>
        <v/>
      </c>
      <c r="I966">
        <f>G966+H966</f>
        <v/>
      </c>
      <c r="J966">
        <f>F966+G966+H966</f>
        <v/>
      </c>
      <c r="K966">
        <f>Data!R1015</f>
        <v/>
      </c>
      <c r="L966">
        <f>Data!T1015</f>
        <v/>
      </c>
      <c r="M966">
        <f>AND(E966=0,F966=0,G966=0,H966=0,I966=0,J966=0,K966=0,L966=0)</f>
        <v/>
      </c>
      <c r="N966">
        <f>G966&lt;=$T$6</f>
        <v/>
      </c>
      <c r="O966">
        <f>G966&lt;=$T$12</f>
        <v/>
      </c>
      <c r="P966">
        <f>OR(AND(H966&gt;=$T$4,K966&lt;=$T$5,N966),M966)</f>
        <v/>
      </c>
      <c r="Q966">
        <f>OR(AND(I966&gt;=$T$10,K966&lt;=$T$11,O966),M966)</f>
        <v/>
      </c>
    </row>
    <row r="967">
      <c r="A967">
        <f>Data!E1016</f>
        <v/>
      </c>
      <c r="B967">
        <f>Data!G1016</f>
        <v/>
      </c>
      <c r="C967">
        <f>Data!H1016</f>
        <v/>
      </c>
      <c r="D967">
        <f>Data!I1016</f>
        <v/>
      </c>
      <c r="E967">
        <f>Data!M1016</f>
        <v/>
      </c>
      <c r="F967">
        <f>Data!O1016</f>
        <v/>
      </c>
      <c r="G967">
        <f>E967-F967</f>
        <v/>
      </c>
      <c r="H967">
        <f>Data!P1016</f>
        <v/>
      </c>
      <c r="I967">
        <f>G967+H967</f>
        <v/>
      </c>
      <c r="J967">
        <f>F967+G967+H967</f>
        <v/>
      </c>
      <c r="K967">
        <f>Data!R1016</f>
        <v/>
      </c>
      <c r="L967">
        <f>Data!T1016</f>
        <v/>
      </c>
      <c r="M967">
        <f>AND(E967=0,F967=0,G967=0,H967=0,I967=0,J967=0,K967=0,L967=0)</f>
        <v/>
      </c>
      <c r="N967">
        <f>G967&lt;=$T$6</f>
        <v/>
      </c>
      <c r="O967">
        <f>G967&lt;=$T$12</f>
        <v/>
      </c>
      <c r="P967">
        <f>OR(AND(H967&gt;=$T$4,K967&lt;=$T$5,N967),M967)</f>
        <v/>
      </c>
      <c r="Q967">
        <f>OR(AND(I967&gt;=$T$10,K967&lt;=$T$11,O967),M967)</f>
        <v/>
      </c>
    </row>
    <row r="968">
      <c r="A968">
        <f>Data!E1017</f>
        <v/>
      </c>
      <c r="B968">
        <f>Data!G1017</f>
        <v/>
      </c>
      <c r="C968">
        <f>Data!H1017</f>
        <v/>
      </c>
      <c r="D968">
        <f>Data!I1017</f>
        <v/>
      </c>
      <c r="E968">
        <f>Data!M1017</f>
        <v/>
      </c>
      <c r="F968">
        <f>Data!O1017</f>
        <v/>
      </c>
      <c r="G968">
        <f>E968-F968</f>
        <v/>
      </c>
      <c r="H968">
        <f>Data!P1017</f>
        <v/>
      </c>
      <c r="I968">
        <f>G968+H968</f>
        <v/>
      </c>
      <c r="J968">
        <f>F968+G968+H968</f>
        <v/>
      </c>
      <c r="K968">
        <f>Data!R1017</f>
        <v/>
      </c>
      <c r="L968">
        <f>Data!T1017</f>
        <v/>
      </c>
      <c r="M968">
        <f>AND(E968=0,F968=0,G968=0,H968=0,I968=0,J968=0,K968=0,L968=0)</f>
        <v/>
      </c>
      <c r="N968">
        <f>G968&lt;=$T$6</f>
        <v/>
      </c>
      <c r="O968">
        <f>G968&lt;=$T$12</f>
        <v/>
      </c>
      <c r="P968">
        <f>OR(AND(H968&gt;=$T$4,K968&lt;=$T$5,N968),M968)</f>
        <v/>
      </c>
      <c r="Q968">
        <f>OR(AND(I968&gt;=$T$10,K968&lt;=$T$11,O968),M968)</f>
        <v/>
      </c>
    </row>
    <row r="969">
      <c r="A969">
        <f>Data!E1018</f>
        <v/>
      </c>
      <c r="B969">
        <f>Data!G1018</f>
        <v/>
      </c>
      <c r="C969">
        <f>Data!H1018</f>
        <v/>
      </c>
      <c r="D969">
        <f>Data!I1018</f>
        <v/>
      </c>
      <c r="E969">
        <f>Data!M1018</f>
        <v/>
      </c>
      <c r="F969">
        <f>Data!O1018</f>
        <v/>
      </c>
      <c r="G969">
        <f>E969-F969</f>
        <v/>
      </c>
      <c r="H969">
        <f>Data!P1018</f>
        <v/>
      </c>
      <c r="I969">
        <f>G969+H969</f>
        <v/>
      </c>
      <c r="J969">
        <f>F969+G969+H969</f>
        <v/>
      </c>
      <c r="K969">
        <f>Data!R1018</f>
        <v/>
      </c>
      <c r="L969">
        <f>Data!T1018</f>
        <v/>
      </c>
      <c r="M969">
        <f>AND(E969=0,F969=0,G969=0,H969=0,I969=0,J969=0,K969=0,L969=0)</f>
        <v/>
      </c>
      <c r="N969">
        <f>G969&lt;=$T$6</f>
        <v/>
      </c>
      <c r="O969">
        <f>G969&lt;=$T$12</f>
        <v/>
      </c>
      <c r="P969">
        <f>OR(AND(H969&gt;=$T$4,K969&lt;=$T$5,N969),M969)</f>
        <v/>
      </c>
      <c r="Q969">
        <f>OR(AND(I969&gt;=$T$10,K969&lt;=$T$11,O969),M969)</f>
        <v/>
      </c>
    </row>
    <row r="970">
      <c r="A970">
        <f>Data!E1019</f>
        <v/>
      </c>
      <c r="B970">
        <f>Data!G1019</f>
        <v/>
      </c>
      <c r="C970">
        <f>Data!H1019</f>
        <v/>
      </c>
      <c r="D970">
        <f>Data!I1019</f>
        <v/>
      </c>
      <c r="E970">
        <f>Data!M1019</f>
        <v/>
      </c>
      <c r="F970">
        <f>Data!O1019</f>
        <v/>
      </c>
      <c r="G970">
        <f>E970-F970</f>
        <v/>
      </c>
      <c r="H970">
        <f>Data!P1019</f>
        <v/>
      </c>
      <c r="I970">
        <f>G970+H970</f>
        <v/>
      </c>
      <c r="J970">
        <f>F970+G970+H970</f>
        <v/>
      </c>
      <c r="K970">
        <f>Data!R1019</f>
        <v/>
      </c>
      <c r="L970">
        <f>Data!T1019</f>
        <v/>
      </c>
      <c r="M970">
        <f>AND(E970=0,F970=0,G970=0,H970=0,I970=0,J970=0,K970=0,L970=0)</f>
        <v/>
      </c>
      <c r="N970">
        <f>G970&lt;=$T$6</f>
        <v/>
      </c>
      <c r="O970">
        <f>G970&lt;=$T$12</f>
        <v/>
      </c>
      <c r="P970">
        <f>OR(AND(H970&gt;=$T$4,K970&lt;=$T$5,N970),M970)</f>
        <v/>
      </c>
      <c r="Q970">
        <f>OR(AND(I970&gt;=$T$10,K970&lt;=$T$11,O970),M970)</f>
        <v/>
      </c>
    </row>
    <row r="971">
      <c r="A971">
        <f>Data!E1020</f>
        <v/>
      </c>
      <c r="B971">
        <f>Data!G1020</f>
        <v/>
      </c>
      <c r="C971">
        <f>Data!H1020</f>
        <v/>
      </c>
      <c r="D971">
        <f>Data!I1020</f>
        <v/>
      </c>
      <c r="E971">
        <f>Data!M1020</f>
        <v/>
      </c>
      <c r="F971">
        <f>Data!O1020</f>
        <v/>
      </c>
      <c r="G971">
        <f>E971-F971</f>
        <v/>
      </c>
      <c r="H971">
        <f>Data!P1020</f>
        <v/>
      </c>
      <c r="I971">
        <f>G971+H971</f>
        <v/>
      </c>
      <c r="J971">
        <f>F971+G971+H971</f>
        <v/>
      </c>
      <c r="K971">
        <f>Data!R1020</f>
        <v/>
      </c>
      <c r="L971">
        <f>Data!T1020</f>
        <v/>
      </c>
      <c r="M971">
        <f>AND(E971=0,F971=0,G971=0,H971=0,I971=0,J971=0,K971=0,L971=0)</f>
        <v/>
      </c>
      <c r="N971">
        <f>G971&lt;=$T$6</f>
        <v/>
      </c>
      <c r="O971">
        <f>G971&lt;=$T$12</f>
        <v/>
      </c>
      <c r="P971">
        <f>OR(AND(H971&gt;=$T$4,K971&lt;=$T$5,N971),M971)</f>
        <v/>
      </c>
      <c r="Q971">
        <f>OR(AND(I971&gt;=$T$10,K971&lt;=$T$11,O971),M971)</f>
        <v/>
      </c>
    </row>
    <row r="972">
      <c r="A972">
        <f>Data!E1021</f>
        <v/>
      </c>
      <c r="B972">
        <f>Data!G1021</f>
        <v/>
      </c>
      <c r="C972">
        <f>Data!H1021</f>
        <v/>
      </c>
      <c r="D972">
        <f>Data!I1021</f>
        <v/>
      </c>
      <c r="E972">
        <f>Data!M1021</f>
        <v/>
      </c>
      <c r="F972">
        <f>Data!O1021</f>
        <v/>
      </c>
      <c r="G972">
        <f>E972-F972</f>
        <v/>
      </c>
      <c r="H972">
        <f>Data!P1021</f>
        <v/>
      </c>
      <c r="I972">
        <f>G972+H972</f>
        <v/>
      </c>
      <c r="J972">
        <f>F972+G972+H972</f>
        <v/>
      </c>
      <c r="K972">
        <f>Data!R1021</f>
        <v/>
      </c>
      <c r="L972">
        <f>Data!T1021</f>
        <v/>
      </c>
      <c r="M972">
        <f>AND(E972=0,F972=0,G972=0,H972=0,I972=0,J972=0,K972=0,L972=0)</f>
        <v/>
      </c>
      <c r="N972">
        <f>G972&lt;=$T$6</f>
        <v/>
      </c>
      <c r="O972">
        <f>G972&lt;=$T$12</f>
        <v/>
      </c>
      <c r="P972">
        <f>OR(AND(H972&gt;=$T$4,K972&lt;=$T$5,N972),M972)</f>
        <v/>
      </c>
      <c r="Q972">
        <f>OR(AND(I972&gt;=$T$10,K972&lt;=$T$11,O972),M972)</f>
        <v/>
      </c>
    </row>
    <row r="973">
      <c r="A973">
        <f>Data!E1023</f>
        <v/>
      </c>
      <c r="B973">
        <f>Data!G1023</f>
        <v/>
      </c>
      <c r="C973">
        <f>Data!H1023</f>
        <v/>
      </c>
      <c r="D973">
        <f>Data!I1023</f>
        <v/>
      </c>
      <c r="E973">
        <f>Data!M1023</f>
        <v/>
      </c>
      <c r="F973">
        <f>Data!O1023</f>
        <v/>
      </c>
      <c r="G973">
        <f>E973-F973</f>
        <v/>
      </c>
      <c r="H973">
        <f>Data!P1023</f>
        <v/>
      </c>
      <c r="I973">
        <f>G973+H973</f>
        <v/>
      </c>
      <c r="J973">
        <f>F973+G973+H973</f>
        <v/>
      </c>
      <c r="K973">
        <f>Data!R1023</f>
        <v/>
      </c>
      <c r="L973">
        <f>Data!T1023</f>
        <v/>
      </c>
      <c r="M973">
        <f>AND(E973=0,F973=0,G973=0,H973=0,I973=0,J973=0,K973=0,L973=0)</f>
        <v/>
      </c>
      <c r="N973">
        <f>G973&lt;=$T$6</f>
        <v/>
      </c>
      <c r="O973">
        <f>G973&lt;=$T$12</f>
        <v/>
      </c>
      <c r="P973">
        <f>OR(AND(H973&gt;=$T$4,K973&lt;=$T$5,N973),M973)</f>
        <v/>
      </c>
      <c r="Q973">
        <f>OR(AND(I973&gt;=$T$10,K973&lt;=$T$11,O973),M973)</f>
        <v/>
      </c>
    </row>
    <row r="974">
      <c r="A974">
        <f>Data!E1024</f>
        <v/>
      </c>
      <c r="B974">
        <f>Data!G1024</f>
        <v/>
      </c>
      <c r="C974">
        <f>Data!H1024</f>
        <v/>
      </c>
      <c r="D974">
        <f>Data!I1024</f>
        <v/>
      </c>
      <c r="E974">
        <f>Data!M1024</f>
        <v/>
      </c>
      <c r="F974">
        <f>Data!O1024</f>
        <v/>
      </c>
      <c r="G974">
        <f>E974-F974</f>
        <v/>
      </c>
      <c r="H974">
        <f>Data!P1024</f>
        <v/>
      </c>
      <c r="I974">
        <f>G974+H974</f>
        <v/>
      </c>
      <c r="J974">
        <f>F974+G974+H974</f>
        <v/>
      </c>
      <c r="K974">
        <f>Data!R1024</f>
        <v/>
      </c>
      <c r="L974">
        <f>Data!T1024</f>
        <v/>
      </c>
      <c r="M974">
        <f>AND(E974=0,F974=0,G974=0,H974=0,I974=0,J974=0,K974=0,L974=0)</f>
        <v/>
      </c>
      <c r="N974">
        <f>G974&lt;=$T$6</f>
        <v/>
      </c>
      <c r="O974">
        <f>G974&lt;=$T$12</f>
        <v/>
      </c>
      <c r="P974">
        <f>OR(AND(H974&gt;=$T$4,K974&lt;=$T$5,N974),M974)</f>
        <v/>
      </c>
      <c r="Q974">
        <f>OR(AND(I974&gt;=$T$10,K974&lt;=$T$11,O974),M974)</f>
        <v/>
      </c>
    </row>
    <row r="975">
      <c r="A975">
        <f>Data!E1025</f>
        <v/>
      </c>
      <c r="B975">
        <f>Data!G1025</f>
        <v/>
      </c>
      <c r="C975">
        <f>Data!H1025</f>
        <v/>
      </c>
      <c r="D975">
        <f>Data!I1025</f>
        <v/>
      </c>
      <c r="E975">
        <f>Data!M1025</f>
        <v/>
      </c>
      <c r="F975">
        <f>Data!O1025</f>
        <v/>
      </c>
      <c r="G975">
        <f>E975-F975</f>
        <v/>
      </c>
      <c r="H975">
        <f>Data!P1025</f>
        <v/>
      </c>
      <c r="I975">
        <f>G975+H975</f>
        <v/>
      </c>
      <c r="J975">
        <f>F975+G975+H975</f>
        <v/>
      </c>
      <c r="K975">
        <f>Data!R1025</f>
        <v/>
      </c>
      <c r="L975">
        <f>Data!T1025</f>
        <v/>
      </c>
      <c r="M975">
        <f>AND(E975=0,F975=0,G975=0,H975=0,I975=0,J975=0,K975=0,L975=0)</f>
        <v/>
      </c>
      <c r="N975">
        <f>G975&lt;=$T$6</f>
        <v/>
      </c>
      <c r="O975">
        <f>G975&lt;=$T$12</f>
        <v/>
      </c>
      <c r="P975">
        <f>OR(AND(H975&gt;=$T$4,K975&lt;=$T$5,N975),M975)</f>
        <v/>
      </c>
      <c r="Q975">
        <f>OR(AND(I975&gt;=$T$10,K975&lt;=$T$11,O975),M975)</f>
        <v/>
      </c>
    </row>
    <row r="976">
      <c r="A976">
        <f>Data!E1026</f>
        <v/>
      </c>
      <c r="B976">
        <f>Data!G1026</f>
        <v/>
      </c>
      <c r="C976">
        <f>Data!H1026</f>
        <v/>
      </c>
      <c r="D976">
        <f>Data!I1026</f>
        <v/>
      </c>
      <c r="E976">
        <f>Data!M1026</f>
        <v/>
      </c>
      <c r="F976">
        <f>Data!O1026</f>
        <v/>
      </c>
      <c r="G976">
        <f>E976-F976</f>
        <v/>
      </c>
      <c r="H976">
        <f>Data!P1026</f>
        <v/>
      </c>
      <c r="I976">
        <f>G976+H976</f>
        <v/>
      </c>
      <c r="J976">
        <f>F976+G976+H976</f>
        <v/>
      </c>
      <c r="K976">
        <f>Data!R1026</f>
        <v/>
      </c>
      <c r="L976">
        <f>Data!T1026</f>
        <v/>
      </c>
      <c r="M976">
        <f>AND(E976=0,F976=0,G976=0,H976=0,I976=0,J976=0,K976=0,L976=0)</f>
        <v/>
      </c>
      <c r="N976">
        <f>G976&lt;=$T$6</f>
        <v/>
      </c>
      <c r="O976">
        <f>G976&lt;=$T$12</f>
        <v/>
      </c>
      <c r="P976">
        <f>OR(AND(H976&gt;=$T$4,K976&lt;=$T$5,N976),M976)</f>
        <v/>
      </c>
      <c r="Q976">
        <f>OR(AND(I976&gt;=$T$10,K976&lt;=$T$11,O976),M976)</f>
        <v/>
      </c>
    </row>
    <row r="977">
      <c r="A977">
        <f>Data!E1027</f>
        <v/>
      </c>
      <c r="B977">
        <f>Data!G1027</f>
        <v/>
      </c>
      <c r="C977">
        <f>Data!H1027</f>
        <v/>
      </c>
      <c r="D977">
        <f>Data!I1027</f>
        <v/>
      </c>
      <c r="E977">
        <f>Data!M1027</f>
        <v/>
      </c>
      <c r="F977">
        <f>Data!O1027</f>
        <v/>
      </c>
      <c r="G977">
        <f>E977-F977</f>
        <v/>
      </c>
      <c r="H977">
        <f>Data!P1027</f>
        <v/>
      </c>
      <c r="I977">
        <f>G977+H977</f>
        <v/>
      </c>
      <c r="J977">
        <f>F977+G977+H977</f>
        <v/>
      </c>
      <c r="K977">
        <f>Data!R1027</f>
        <v/>
      </c>
      <c r="L977">
        <f>Data!T1027</f>
        <v/>
      </c>
      <c r="M977">
        <f>AND(E977=0,F977=0,G977=0,H977=0,I977=0,J977=0,K977=0,L977=0)</f>
        <v/>
      </c>
      <c r="N977">
        <f>G977&lt;=$T$6</f>
        <v/>
      </c>
      <c r="O977">
        <f>G977&lt;=$T$12</f>
        <v/>
      </c>
      <c r="P977">
        <f>OR(AND(H977&gt;=$T$4,K977&lt;=$T$5,N977),M977)</f>
        <v/>
      </c>
      <c r="Q977">
        <f>OR(AND(I977&gt;=$T$10,K977&lt;=$T$11,O977),M977)</f>
        <v/>
      </c>
    </row>
    <row r="978">
      <c r="A978">
        <f>Data!E1028</f>
        <v/>
      </c>
      <c r="B978">
        <f>Data!G1028</f>
        <v/>
      </c>
      <c r="C978">
        <f>Data!H1028</f>
        <v/>
      </c>
      <c r="D978">
        <f>Data!I1028</f>
        <v/>
      </c>
      <c r="E978">
        <f>Data!M1028</f>
        <v/>
      </c>
      <c r="F978">
        <f>Data!O1028</f>
        <v/>
      </c>
      <c r="G978">
        <f>E978-F978</f>
        <v/>
      </c>
      <c r="H978">
        <f>Data!P1028</f>
        <v/>
      </c>
      <c r="I978">
        <f>G978+H978</f>
        <v/>
      </c>
      <c r="J978">
        <f>F978+G978+H978</f>
        <v/>
      </c>
      <c r="K978">
        <f>Data!R1028</f>
        <v/>
      </c>
      <c r="L978">
        <f>Data!T1028</f>
        <v/>
      </c>
      <c r="M978">
        <f>AND(E978=0,F978=0,G978=0,H978=0,I978=0,J978=0,K978=0,L978=0)</f>
        <v/>
      </c>
      <c r="N978">
        <f>G978&lt;=$T$6</f>
        <v/>
      </c>
      <c r="O978">
        <f>G978&lt;=$T$12</f>
        <v/>
      </c>
      <c r="P978">
        <f>OR(AND(H978&gt;=$T$4,K978&lt;=$T$5,N978),M978)</f>
        <v/>
      </c>
      <c r="Q978">
        <f>OR(AND(I978&gt;=$T$10,K978&lt;=$T$11,O978),M978)</f>
        <v/>
      </c>
    </row>
    <row r="979">
      <c r="A979">
        <f>Data!E1029</f>
        <v/>
      </c>
      <c r="B979">
        <f>Data!G1029</f>
        <v/>
      </c>
      <c r="C979">
        <f>Data!H1029</f>
        <v/>
      </c>
      <c r="D979">
        <f>Data!I1029</f>
        <v/>
      </c>
      <c r="E979">
        <f>Data!M1029</f>
        <v/>
      </c>
      <c r="F979">
        <f>Data!O1029</f>
        <v/>
      </c>
      <c r="G979">
        <f>E979-F979</f>
        <v/>
      </c>
      <c r="H979">
        <f>Data!P1029</f>
        <v/>
      </c>
      <c r="I979">
        <f>G979+H979</f>
        <v/>
      </c>
      <c r="J979">
        <f>F979+G979+H979</f>
        <v/>
      </c>
      <c r="K979">
        <f>Data!R1029</f>
        <v/>
      </c>
      <c r="L979">
        <f>Data!T1029</f>
        <v/>
      </c>
      <c r="M979">
        <f>AND(E979=0,F979=0,G979=0,H979=0,I979=0,J979=0,K979=0,L979=0)</f>
        <v/>
      </c>
      <c r="N979">
        <f>G979&lt;=$T$6</f>
        <v/>
      </c>
      <c r="O979">
        <f>G979&lt;=$T$12</f>
        <v/>
      </c>
      <c r="P979">
        <f>OR(AND(H979&gt;=$T$4,K979&lt;=$T$5,N979),M979)</f>
        <v/>
      </c>
      <c r="Q979">
        <f>OR(AND(I979&gt;=$T$10,K979&lt;=$T$11,O979),M979)</f>
        <v/>
      </c>
    </row>
    <row r="980">
      <c r="A980">
        <f>Data!E1030</f>
        <v/>
      </c>
      <c r="B980">
        <f>Data!G1030</f>
        <v/>
      </c>
      <c r="C980">
        <f>Data!H1030</f>
        <v/>
      </c>
      <c r="D980">
        <f>Data!I1030</f>
        <v/>
      </c>
      <c r="E980">
        <f>Data!M1030</f>
        <v/>
      </c>
      <c r="F980">
        <f>Data!O1030</f>
        <v/>
      </c>
      <c r="G980">
        <f>E980-F980</f>
        <v/>
      </c>
      <c r="H980">
        <f>Data!P1030</f>
        <v/>
      </c>
      <c r="I980">
        <f>G980+H980</f>
        <v/>
      </c>
      <c r="J980">
        <f>F980+G980+H980</f>
        <v/>
      </c>
      <c r="K980">
        <f>Data!R1030</f>
        <v/>
      </c>
      <c r="L980">
        <f>Data!T1030</f>
        <v/>
      </c>
      <c r="M980">
        <f>AND(E980=0,F980=0,G980=0,H980=0,I980=0,J980=0,K980=0,L980=0)</f>
        <v/>
      </c>
      <c r="N980">
        <f>G980&lt;=$T$6</f>
        <v/>
      </c>
      <c r="O980">
        <f>G980&lt;=$T$12</f>
        <v/>
      </c>
      <c r="P980">
        <f>OR(AND(H980&gt;=$T$4,K980&lt;=$T$5,N980),M980)</f>
        <v/>
      </c>
      <c r="Q980">
        <f>OR(AND(I980&gt;=$T$10,K980&lt;=$T$11,O980),M980)</f>
        <v/>
      </c>
    </row>
    <row r="981">
      <c r="A981">
        <f>Data!E1031</f>
        <v/>
      </c>
      <c r="B981">
        <f>Data!G1031</f>
        <v/>
      </c>
      <c r="C981">
        <f>Data!H1031</f>
        <v/>
      </c>
      <c r="D981">
        <f>Data!I1031</f>
        <v/>
      </c>
      <c r="E981">
        <f>Data!M1031</f>
        <v/>
      </c>
      <c r="F981">
        <f>Data!O1031</f>
        <v/>
      </c>
      <c r="G981">
        <f>E981-F981</f>
        <v/>
      </c>
      <c r="H981">
        <f>Data!P1031</f>
        <v/>
      </c>
      <c r="I981">
        <f>G981+H981</f>
        <v/>
      </c>
      <c r="J981">
        <f>F981+G981+H981</f>
        <v/>
      </c>
      <c r="K981">
        <f>Data!R1031</f>
        <v/>
      </c>
      <c r="L981">
        <f>Data!T1031</f>
        <v/>
      </c>
      <c r="M981">
        <f>AND(E981=0,F981=0,G981=0,H981=0,I981=0,J981=0,K981=0,L981=0)</f>
        <v/>
      </c>
      <c r="N981">
        <f>G981&lt;=$T$6</f>
        <v/>
      </c>
      <c r="O981">
        <f>G981&lt;=$T$12</f>
        <v/>
      </c>
      <c r="P981">
        <f>OR(AND(H981&gt;=$T$4,K981&lt;=$T$5,N981),M981)</f>
        <v/>
      </c>
      <c r="Q981">
        <f>OR(AND(I981&gt;=$T$10,K981&lt;=$T$11,O981),M981)</f>
        <v/>
      </c>
    </row>
    <row r="982">
      <c r="A982">
        <f>Data!E1032</f>
        <v/>
      </c>
      <c r="B982">
        <f>Data!G1032</f>
        <v/>
      </c>
      <c r="C982">
        <f>Data!H1032</f>
        <v/>
      </c>
      <c r="D982">
        <f>Data!I1032</f>
        <v/>
      </c>
      <c r="E982">
        <f>Data!M1032</f>
        <v/>
      </c>
      <c r="F982">
        <f>Data!O1032</f>
        <v/>
      </c>
      <c r="G982">
        <f>E982-F982</f>
        <v/>
      </c>
      <c r="H982">
        <f>Data!P1032</f>
        <v/>
      </c>
      <c r="I982">
        <f>G982+H982</f>
        <v/>
      </c>
      <c r="J982">
        <f>F982+G982+H982</f>
        <v/>
      </c>
      <c r="K982">
        <f>Data!R1032</f>
        <v/>
      </c>
      <c r="L982">
        <f>Data!T1032</f>
        <v/>
      </c>
      <c r="M982">
        <f>AND(E982=0,F982=0,G982=0,H982=0,I982=0,J982=0,K982=0,L982=0)</f>
        <v/>
      </c>
      <c r="N982">
        <f>G982&lt;=$T$6</f>
        <v/>
      </c>
      <c r="O982">
        <f>G982&lt;=$T$12</f>
        <v/>
      </c>
      <c r="P982">
        <f>OR(AND(H982&gt;=$T$4,K982&lt;=$T$5,N982),M982)</f>
        <v/>
      </c>
      <c r="Q982">
        <f>OR(AND(I982&gt;=$T$10,K982&lt;=$T$11,O982),M982)</f>
        <v/>
      </c>
    </row>
    <row r="983">
      <c r="A983">
        <f>Data!E1033</f>
        <v/>
      </c>
      <c r="B983">
        <f>Data!G1033</f>
        <v/>
      </c>
      <c r="C983">
        <f>Data!H1033</f>
        <v/>
      </c>
      <c r="D983">
        <f>Data!I1033</f>
        <v/>
      </c>
      <c r="E983">
        <f>Data!M1033</f>
        <v/>
      </c>
      <c r="F983">
        <f>Data!O1033</f>
        <v/>
      </c>
      <c r="G983">
        <f>E983-F983</f>
        <v/>
      </c>
      <c r="H983">
        <f>Data!P1033</f>
        <v/>
      </c>
      <c r="I983">
        <f>G983+H983</f>
        <v/>
      </c>
      <c r="J983">
        <f>F983+G983+H983</f>
        <v/>
      </c>
      <c r="K983">
        <f>Data!R1033</f>
        <v/>
      </c>
      <c r="L983">
        <f>Data!T1033</f>
        <v/>
      </c>
      <c r="M983">
        <f>AND(E983=0,F983=0,G983=0,H983=0,I983=0,J983=0,K983=0,L983=0)</f>
        <v/>
      </c>
      <c r="N983">
        <f>G983&lt;=$T$6</f>
        <v/>
      </c>
      <c r="O983">
        <f>G983&lt;=$T$12</f>
        <v/>
      </c>
      <c r="P983">
        <f>OR(AND(H983&gt;=$T$4,K983&lt;=$T$5,N983),M983)</f>
        <v/>
      </c>
      <c r="Q983">
        <f>OR(AND(I983&gt;=$T$10,K983&lt;=$T$11,O983),M983)</f>
        <v/>
      </c>
    </row>
    <row r="984">
      <c r="A984">
        <f>Data!E1034</f>
        <v/>
      </c>
      <c r="B984">
        <f>Data!G1034</f>
        <v/>
      </c>
      <c r="C984">
        <f>Data!H1034</f>
        <v/>
      </c>
      <c r="D984">
        <f>Data!I1034</f>
        <v/>
      </c>
      <c r="E984">
        <f>Data!M1034</f>
        <v/>
      </c>
      <c r="F984">
        <f>Data!O1034</f>
        <v/>
      </c>
      <c r="G984">
        <f>E984-F984</f>
        <v/>
      </c>
      <c r="H984">
        <f>Data!P1034</f>
        <v/>
      </c>
      <c r="I984">
        <f>G984+H984</f>
        <v/>
      </c>
      <c r="J984">
        <f>F984+G984+H984</f>
        <v/>
      </c>
      <c r="K984">
        <f>Data!R1034</f>
        <v/>
      </c>
      <c r="L984">
        <f>Data!T1034</f>
        <v/>
      </c>
      <c r="M984">
        <f>AND(E984=0,F984=0,G984=0,H984=0,I984=0,J984=0,K984=0,L984=0)</f>
        <v/>
      </c>
      <c r="N984">
        <f>G984&lt;=$T$6</f>
        <v/>
      </c>
      <c r="O984">
        <f>G984&lt;=$T$12</f>
        <v/>
      </c>
      <c r="P984">
        <f>OR(AND(H984&gt;=$T$4,K984&lt;=$T$5,N984),M984)</f>
        <v/>
      </c>
      <c r="Q984">
        <f>OR(AND(I984&gt;=$T$10,K984&lt;=$T$11,O984),M984)</f>
        <v/>
      </c>
    </row>
    <row r="985">
      <c r="A985">
        <f>Data!E1035</f>
        <v/>
      </c>
      <c r="B985">
        <f>Data!G1035</f>
        <v/>
      </c>
      <c r="C985">
        <f>Data!H1035</f>
        <v/>
      </c>
      <c r="D985">
        <f>Data!I1035</f>
        <v/>
      </c>
      <c r="E985">
        <f>Data!M1035</f>
        <v/>
      </c>
      <c r="F985">
        <f>Data!O1035</f>
        <v/>
      </c>
      <c r="G985">
        <f>E985-F985</f>
        <v/>
      </c>
      <c r="H985">
        <f>Data!P1035</f>
        <v/>
      </c>
      <c r="I985">
        <f>G985+H985</f>
        <v/>
      </c>
      <c r="J985">
        <f>F985+G985+H985</f>
        <v/>
      </c>
      <c r="K985">
        <f>Data!R1035</f>
        <v/>
      </c>
      <c r="L985">
        <f>Data!T1035</f>
        <v/>
      </c>
      <c r="M985">
        <f>AND(E985=0,F985=0,G985=0,H985=0,I985=0,J985=0,K985=0,L985=0)</f>
        <v/>
      </c>
      <c r="N985">
        <f>G985&lt;=$T$6</f>
        <v/>
      </c>
      <c r="O985">
        <f>G985&lt;=$T$12</f>
        <v/>
      </c>
      <c r="P985">
        <f>OR(AND(H985&gt;=$T$4,K985&lt;=$T$5,N985),M985)</f>
        <v/>
      </c>
      <c r="Q985">
        <f>OR(AND(I985&gt;=$T$10,K985&lt;=$T$11,O985),M985)</f>
        <v/>
      </c>
    </row>
    <row r="986">
      <c r="A986">
        <f>Data!E1036</f>
        <v/>
      </c>
      <c r="B986">
        <f>Data!G1036</f>
        <v/>
      </c>
      <c r="C986">
        <f>Data!H1036</f>
        <v/>
      </c>
      <c r="D986">
        <f>Data!I1036</f>
        <v/>
      </c>
      <c r="E986">
        <f>Data!M1036</f>
        <v/>
      </c>
      <c r="F986">
        <f>Data!O1036</f>
        <v/>
      </c>
      <c r="G986">
        <f>E986-F986</f>
        <v/>
      </c>
      <c r="H986">
        <f>Data!P1036</f>
        <v/>
      </c>
      <c r="I986">
        <f>G986+H986</f>
        <v/>
      </c>
      <c r="J986">
        <f>F986+G986+H986</f>
        <v/>
      </c>
      <c r="K986">
        <f>Data!R1036</f>
        <v/>
      </c>
      <c r="L986">
        <f>Data!T1036</f>
        <v/>
      </c>
      <c r="M986">
        <f>AND(E986=0,F986=0,G986=0,H986=0,I986=0,J986=0,K986=0,L986=0)</f>
        <v/>
      </c>
      <c r="N986">
        <f>G986&lt;=$T$6</f>
        <v/>
      </c>
      <c r="O986">
        <f>G986&lt;=$T$12</f>
        <v/>
      </c>
      <c r="P986">
        <f>OR(AND(H986&gt;=$T$4,K986&lt;=$T$5,N986),M986)</f>
        <v/>
      </c>
      <c r="Q986">
        <f>OR(AND(I986&gt;=$T$10,K986&lt;=$T$11,O986),M986)</f>
        <v/>
      </c>
    </row>
    <row r="987">
      <c r="A987">
        <f>Data!E1037</f>
        <v/>
      </c>
      <c r="B987">
        <f>Data!G1037</f>
        <v/>
      </c>
      <c r="C987">
        <f>Data!H1037</f>
        <v/>
      </c>
      <c r="D987">
        <f>Data!I1037</f>
        <v/>
      </c>
      <c r="E987">
        <f>Data!M1037</f>
        <v/>
      </c>
      <c r="F987">
        <f>Data!O1037</f>
        <v/>
      </c>
      <c r="G987">
        <f>E987-F987</f>
        <v/>
      </c>
      <c r="H987">
        <f>Data!P1037</f>
        <v/>
      </c>
      <c r="I987">
        <f>G987+H987</f>
        <v/>
      </c>
      <c r="J987">
        <f>F987+G987+H987</f>
        <v/>
      </c>
      <c r="K987">
        <f>Data!R1037</f>
        <v/>
      </c>
      <c r="L987">
        <f>Data!T1037</f>
        <v/>
      </c>
      <c r="M987">
        <f>AND(E987=0,F987=0,G987=0,H987=0,I987=0,J987=0,K987=0,L987=0)</f>
        <v/>
      </c>
      <c r="N987">
        <f>G987&lt;=$T$6</f>
        <v/>
      </c>
      <c r="O987">
        <f>G987&lt;=$T$12</f>
        <v/>
      </c>
      <c r="P987">
        <f>OR(AND(H987&gt;=$T$4,K987&lt;=$T$5,N987),M987)</f>
        <v/>
      </c>
      <c r="Q987">
        <f>OR(AND(I987&gt;=$T$10,K987&lt;=$T$11,O987),M987)</f>
        <v/>
      </c>
    </row>
    <row r="988">
      <c r="A988">
        <f>Data!E1038</f>
        <v/>
      </c>
      <c r="B988">
        <f>Data!G1038</f>
        <v/>
      </c>
      <c r="C988">
        <f>Data!H1038</f>
        <v/>
      </c>
      <c r="D988">
        <f>Data!I1038</f>
        <v/>
      </c>
      <c r="E988">
        <f>Data!M1038</f>
        <v/>
      </c>
      <c r="F988">
        <f>Data!O1038</f>
        <v/>
      </c>
      <c r="G988">
        <f>E988-F988</f>
        <v/>
      </c>
      <c r="H988">
        <f>Data!P1038</f>
        <v/>
      </c>
      <c r="I988">
        <f>G988+H988</f>
        <v/>
      </c>
      <c r="J988">
        <f>F988+G988+H988</f>
        <v/>
      </c>
      <c r="K988">
        <f>Data!R1038</f>
        <v/>
      </c>
      <c r="L988">
        <f>Data!T1038</f>
        <v/>
      </c>
      <c r="M988">
        <f>AND(E988=0,F988=0,G988=0,H988=0,I988=0,J988=0,K988=0,L988=0)</f>
        <v/>
      </c>
      <c r="N988">
        <f>G988&lt;=$T$6</f>
        <v/>
      </c>
      <c r="O988">
        <f>G988&lt;=$T$12</f>
        <v/>
      </c>
      <c r="P988">
        <f>OR(AND(H988&gt;=$T$4,K988&lt;=$T$5,N988),M988)</f>
        <v/>
      </c>
      <c r="Q988">
        <f>OR(AND(I988&gt;=$T$10,K988&lt;=$T$11,O988),M988)</f>
        <v/>
      </c>
    </row>
    <row r="989">
      <c r="A989">
        <f>Data!E1039</f>
        <v/>
      </c>
      <c r="B989">
        <f>Data!G1039</f>
        <v/>
      </c>
      <c r="C989">
        <f>Data!H1039</f>
        <v/>
      </c>
      <c r="D989">
        <f>Data!I1039</f>
        <v/>
      </c>
      <c r="E989">
        <f>Data!M1039</f>
        <v/>
      </c>
      <c r="F989">
        <f>Data!O1039</f>
        <v/>
      </c>
      <c r="G989">
        <f>E989-F989</f>
        <v/>
      </c>
      <c r="H989">
        <f>Data!P1039</f>
        <v/>
      </c>
      <c r="I989">
        <f>G989+H989</f>
        <v/>
      </c>
      <c r="J989">
        <f>F989+G989+H989</f>
        <v/>
      </c>
      <c r="K989">
        <f>Data!R1039</f>
        <v/>
      </c>
      <c r="L989">
        <f>Data!T1039</f>
        <v/>
      </c>
      <c r="M989">
        <f>AND(E989=0,F989=0,G989=0,H989=0,I989=0,J989=0,K989=0,L989=0)</f>
        <v/>
      </c>
      <c r="N989">
        <f>G989&lt;=$T$6</f>
        <v/>
      </c>
      <c r="O989">
        <f>G989&lt;=$T$12</f>
        <v/>
      </c>
      <c r="P989">
        <f>OR(AND(H989&gt;=$T$4,K989&lt;=$T$5,N989),M989)</f>
        <v/>
      </c>
      <c r="Q989">
        <f>OR(AND(I989&gt;=$T$10,K989&lt;=$T$11,O989),M989)</f>
        <v/>
      </c>
    </row>
    <row r="990">
      <c r="A990">
        <f>Data!E1040</f>
        <v/>
      </c>
      <c r="B990">
        <f>Data!G1040</f>
        <v/>
      </c>
      <c r="C990">
        <f>Data!H1040</f>
        <v/>
      </c>
      <c r="D990">
        <f>Data!I1040</f>
        <v/>
      </c>
      <c r="E990">
        <f>Data!M1040</f>
        <v/>
      </c>
      <c r="F990">
        <f>Data!O1040</f>
        <v/>
      </c>
      <c r="G990">
        <f>E990-F990</f>
        <v/>
      </c>
      <c r="H990">
        <f>Data!P1040</f>
        <v/>
      </c>
      <c r="I990">
        <f>G990+H990</f>
        <v/>
      </c>
      <c r="J990">
        <f>F990+G990+H990</f>
        <v/>
      </c>
      <c r="K990">
        <f>Data!R1040</f>
        <v/>
      </c>
      <c r="L990">
        <f>Data!T1040</f>
        <v/>
      </c>
      <c r="M990">
        <f>AND(E990=0,F990=0,G990=0,H990=0,I990=0,J990=0,K990=0,L990=0)</f>
        <v/>
      </c>
      <c r="N990">
        <f>G990&lt;=$T$6</f>
        <v/>
      </c>
      <c r="O990">
        <f>G990&lt;=$T$12</f>
        <v/>
      </c>
      <c r="P990">
        <f>OR(AND(H990&gt;=$T$4,K990&lt;=$T$5,N990),M990)</f>
        <v/>
      </c>
      <c r="Q990">
        <f>OR(AND(I990&gt;=$T$10,K990&lt;=$T$11,O990),M990)</f>
        <v/>
      </c>
    </row>
    <row r="991">
      <c r="A991">
        <f>Data!E1041</f>
        <v/>
      </c>
      <c r="B991">
        <f>Data!G1041</f>
        <v/>
      </c>
      <c r="C991">
        <f>Data!H1041</f>
        <v/>
      </c>
      <c r="D991">
        <f>Data!I1041</f>
        <v/>
      </c>
      <c r="E991">
        <f>Data!M1041</f>
        <v/>
      </c>
      <c r="F991">
        <f>Data!O1041</f>
        <v/>
      </c>
      <c r="G991">
        <f>E991-F991</f>
        <v/>
      </c>
      <c r="H991">
        <f>Data!P1041</f>
        <v/>
      </c>
      <c r="I991">
        <f>G991+H991</f>
        <v/>
      </c>
      <c r="J991">
        <f>F991+G991+H991</f>
        <v/>
      </c>
      <c r="K991">
        <f>Data!R1041</f>
        <v/>
      </c>
      <c r="L991">
        <f>Data!T1041</f>
        <v/>
      </c>
      <c r="M991">
        <f>AND(E991=0,F991=0,G991=0,H991=0,I991=0,J991=0,K991=0,L991=0)</f>
        <v/>
      </c>
      <c r="N991">
        <f>G991&lt;=$T$6</f>
        <v/>
      </c>
      <c r="O991">
        <f>G991&lt;=$T$12</f>
        <v/>
      </c>
      <c r="P991">
        <f>OR(AND(H991&gt;=$T$4,K991&lt;=$T$5,N991),M991)</f>
        <v/>
      </c>
      <c r="Q991">
        <f>OR(AND(I991&gt;=$T$10,K991&lt;=$T$11,O991),M991)</f>
        <v/>
      </c>
    </row>
    <row r="992">
      <c r="A992">
        <f>Data!E1042</f>
        <v/>
      </c>
      <c r="B992">
        <f>Data!G1042</f>
        <v/>
      </c>
      <c r="C992">
        <f>Data!H1042</f>
        <v/>
      </c>
      <c r="D992">
        <f>Data!I1042</f>
        <v/>
      </c>
      <c r="E992">
        <f>Data!M1042</f>
        <v/>
      </c>
      <c r="F992">
        <f>Data!O1042</f>
        <v/>
      </c>
      <c r="G992">
        <f>E992-F992</f>
        <v/>
      </c>
      <c r="H992">
        <f>Data!P1042</f>
        <v/>
      </c>
      <c r="I992">
        <f>G992+H992</f>
        <v/>
      </c>
      <c r="J992">
        <f>F992+G992+H992</f>
        <v/>
      </c>
      <c r="K992">
        <f>Data!R1042</f>
        <v/>
      </c>
      <c r="L992">
        <f>Data!T1042</f>
        <v/>
      </c>
      <c r="M992">
        <f>AND(E992=0,F992=0,G992=0,H992=0,I992=0,J992=0,K992=0,L992=0)</f>
        <v/>
      </c>
      <c r="N992">
        <f>G992&lt;=$T$6</f>
        <v/>
      </c>
      <c r="O992">
        <f>G992&lt;=$T$12</f>
        <v/>
      </c>
      <c r="P992">
        <f>OR(AND(H992&gt;=$T$4,K992&lt;=$T$5,N992),M992)</f>
        <v/>
      </c>
      <c r="Q992">
        <f>OR(AND(I992&gt;=$T$10,K992&lt;=$T$11,O992),M992)</f>
        <v/>
      </c>
    </row>
    <row r="993">
      <c r="A993">
        <f>Data!E1043</f>
        <v/>
      </c>
      <c r="B993">
        <f>Data!G1043</f>
        <v/>
      </c>
      <c r="C993">
        <f>Data!H1043</f>
        <v/>
      </c>
      <c r="D993">
        <f>Data!I1043</f>
        <v/>
      </c>
      <c r="E993">
        <f>Data!M1043</f>
        <v/>
      </c>
      <c r="F993">
        <f>Data!O1043</f>
        <v/>
      </c>
      <c r="G993">
        <f>E993-F993</f>
        <v/>
      </c>
      <c r="H993">
        <f>Data!P1043</f>
        <v/>
      </c>
      <c r="I993">
        <f>G993+H993</f>
        <v/>
      </c>
      <c r="J993">
        <f>F993+G993+H993</f>
        <v/>
      </c>
      <c r="K993">
        <f>Data!R1043</f>
        <v/>
      </c>
      <c r="L993">
        <f>Data!T1043</f>
        <v/>
      </c>
      <c r="M993">
        <f>AND(E993=0,F993=0,G993=0,H993=0,I993=0,J993=0,K993=0,L993=0)</f>
        <v/>
      </c>
      <c r="N993">
        <f>G993&lt;=$T$6</f>
        <v/>
      </c>
      <c r="O993">
        <f>G993&lt;=$T$12</f>
        <v/>
      </c>
      <c r="P993">
        <f>OR(AND(H993&gt;=$T$4,K993&lt;=$T$5,N993),M993)</f>
        <v/>
      </c>
      <c r="Q993">
        <f>OR(AND(I993&gt;=$T$10,K993&lt;=$T$11,O993),M993)</f>
        <v/>
      </c>
    </row>
    <row r="994">
      <c r="A994">
        <f>Data!E1044</f>
        <v/>
      </c>
      <c r="B994">
        <f>Data!G1044</f>
        <v/>
      </c>
      <c r="C994">
        <f>Data!H1044</f>
        <v/>
      </c>
      <c r="D994">
        <f>Data!I1044</f>
        <v/>
      </c>
      <c r="E994">
        <f>Data!M1044</f>
        <v/>
      </c>
      <c r="F994">
        <f>Data!O1044</f>
        <v/>
      </c>
      <c r="G994">
        <f>E994-F994</f>
        <v/>
      </c>
      <c r="H994">
        <f>Data!P1044</f>
        <v/>
      </c>
      <c r="I994">
        <f>G994+H994</f>
        <v/>
      </c>
      <c r="J994">
        <f>F994+G994+H994</f>
        <v/>
      </c>
      <c r="K994">
        <f>Data!R1044</f>
        <v/>
      </c>
      <c r="L994">
        <f>Data!T1044</f>
        <v/>
      </c>
      <c r="M994">
        <f>AND(E994=0,F994=0,G994=0,H994=0,I994=0,J994=0,K994=0,L994=0)</f>
        <v/>
      </c>
      <c r="N994">
        <f>G994&lt;=$T$6</f>
        <v/>
      </c>
      <c r="O994">
        <f>G994&lt;=$T$12</f>
        <v/>
      </c>
      <c r="P994">
        <f>OR(AND(H994&gt;=$T$4,K994&lt;=$T$5,N994),M994)</f>
        <v/>
      </c>
      <c r="Q994">
        <f>OR(AND(I994&gt;=$T$10,K994&lt;=$T$11,O994),M994)</f>
        <v/>
      </c>
    </row>
    <row r="995">
      <c r="A995">
        <f>Data!E1045</f>
        <v/>
      </c>
      <c r="B995">
        <f>Data!G1045</f>
        <v/>
      </c>
      <c r="C995">
        <f>Data!H1045</f>
        <v/>
      </c>
      <c r="D995">
        <f>Data!I1045</f>
        <v/>
      </c>
      <c r="E995">
        <f>Data!M1045</f>
        <v/>
      </c>
      <c r="F995">
        <f>Data!O1045</f>
        <v/>
      </c>
      <c r="G995">
        <f>E995-F995</f>
        <v/>
      </c>
      <c r="H995">
        <f>Data!P1045</f>
        <v/>
      </c>
      <c r="I995">
        <f>G995+H995</f>
        <v/>
      </c>
      <c r="J995">
        <f>F995+G995+H995</f>
        <v/>
      </c>
      <c r="K995">
        <f>Data!R1045</f>
        <v/>
      </c>
      <c r="L995">
        <f>Data!T1045</f>
        <v/>
      </c>
      <c r="M995">
        <f>AND(E995=0,F995=0,G995=0,H995=0,I995=0,J995=0,K995=0,L995=0)</f>
        <v/>
      </c>
      <c r="N995">
        <f>G995&lt;=$T$6</f>
        <v/>
      </c>
      <c r="O995">
        <f>G995&lt;=$T$12</f>
        <v/>
      </c>
      <c r="P995">
        <f>OR(AND(H995&gt;=$T$4,K995&lt;=$T$5,N995),M995)</f>
        <v/>
      </c>
      <c r="Q995">
        <f>OR(AND(I995&gt;=$T$10,K995&lt;=$T$11,O995),M995)</f>
        <v/>
      </c>
    </row>
    <row r="996">
      <c r="A996">
        <f>Data!E1047</f>
        <v/>
      </c>
      <c r="B996">
        <f>Data!G1047</f>
        <v/>
      </c>
      <c r="C996">
        <f>Data!H1047</f>
        <v/>
      </c>
      <c r="D996">
        <f>Data!I1047</f>
        <v/>
      </c>
      <c r="E996">
        <f>Data!M1047</f>
        <v/>
      </c>
      <c r="F996">
        <f>Data!O1047</f>
        <v/>
      </c>
      <c r="G996">
        <f>E996-F996</f>
        <v/>
      </c>
      <c r="H996">
        <f>Data!P1047</f>
        <v/>
      </c>
      <c r="I996">
        <f>G996+H996</f>
        <v/>
      </c>
      <c r="J996">
        <f>F996+G996+H996</f>
        <v/>
      </c>
      <c r="K996">
        <f>Data!R1047</f>
        <v/>
      </c>
      <c r="L996">
        <f>Data!T1047</f>
        <v/>
      </c>
      <c r="M996">
        <f>AND(E996=0,F996=0,G996=0,H996=0,I996=0,J996=0,K996=0,L996=0)</f>
        <v/>
      </c>
      <c r="N996">
        <f>G996&lt;=$T$6</f>
        <v/>
      </c>
      <c r="O996">
        <f>G996&lt;=$T$12</f>
        <v/>
      </c>
      <c r="P996">
        <f>OR(AND(H996&gt;=$T$4,K996&lt;=$T$5,N996),M996)</f>
        <v/>
      </c>
      <c r="Q996">
        <f>OR(AND(I996&gt;=$T$10,K996&lt;=$T$11,O996),M996)</f>
        <v/>
      </c>
    </row>
    <row r="997">
      <c r="A997">
        <f>Data!E1048</f>
        <v/>
      </c>
      <c r="B997">
        <f>Data!G1048</f>
        <v/>
      </c>
      <c r="C997">
        <f>Data!H1048</f>
        <v/>
      </c>
      <c r="D997">
        <f>Data!I1048</f>
        <v/>
      </c>
      <c r="E997">
        <f>Data!M1048</f>
        <v/>
      </c>
      <c r="F997">
        <f>Data!O1048</f>
        <v/>
      </c>
      <c r="G997">
        <f>E997-F997</f>
        <v/>
      </c>
      <c r="H997">
        <f>Data!P1048</f>
        <v/>
      </c>
      <c r="I997">
        <f>G997+H997</f>
        <v/>
      </c>
      <c r="J997">
        <f>F997+G997+H997</f>
        <v/>
      </c>
      <c r="K997">
        <f>Data!R1048</f>
        <v/>
      </c>
      <c r="L997">
        <f>Data!T1048</f>
        <v/>
      </c>
      <c r="M997">
        <f>AND(E997=0,F997=0,G997=0,H997=0,I997=0,J997=0,K997=0,L997=0)</f>
        <v/>
      </c>
      <c r="N997">
        <f>G997&lt;=$T$6</f>
        <v/>
      </c>
      <c r="O997">
        <f>G997&lt;=$T$12</f>
        <v/>
      </c>
      <c r="P997">
        <f>OR(AND(H997&gt;=$T$4,K997&lt;=$T$5,N997),M997)</f>
        <v/>
      </c>
      <c r="Q997">
        <f>OR(AND(I997&gt;=$T$10,K997&lt;=$T$11,O997),M997)</f>
        <v/>
      </c>
    </row>
    <row r="998">
      <c r="A998">
        <f>Data!E1049</f>
        <v/>
      </c>
      <c r="B998">
        <f>Data!G1049</f>
        <v/>
      </c>
      <c r="C998">
        <f>Data!H1049</f>
        <v/>
      </c>
      <c r="D998">
        <f>Data!I1049</f>
        <v/>
      </c>
      <c r="E998">
        <f>Data!M1049</f>
        <v/>
      </c>
      <c r="F998">
        <f>Data!O1049</f>
        <v/>
      </c>
      <c r="G998">
        <f>E998-F998</f>
        <v/>
      </c>
      <c r="H998">
        <f>Data!P1049</f>
        <v/>
      </c>
      <c r="I998">
        <f>G998+H998</f>
        <v/>
      </c>
      <c r="J998">
        <f>F998+G998+H998</f>
        <v/>
      </c>
      <c r="K998">
        <f>Data!R1049</f>
        <v/>
      </c>
      <c r="L998">
        <f>Data!T1049</f>
        <v/>
      </c>
      <c r="M998">
        <f>AND(E998=0,F998=0,G998=0,H998=0,I998=0,J998=0,K998=0,L998=0)</f>
        <v/>
      </c>
      <c r="N998">
        <f>G998&lt;=$T$6</f>
        <v/>
      </c>
      <c r="O998">
        <f>G998&lt;=$T$12</f>
        <v/>
      </c>
      <c r="P998">
        <f>OR(AND(H998&gt;=$T$4,K998&lt;=$T$5,N998),M998)</f>
        <v/>
      </c>
      <c r="Q998">
        <f>OR(AND(I998&gt;=$T$10,K998&lt;=$T$11,O998),M998)</f>
        <v/>
      </c>
    </row>
    <row r="999">
      <c r="A999">
        <f>Data!E1050</f>
        <v/>
      </c>
      <c r="B999">
        <f>Data!G1050</f>
        <v/>
      </c>
      <c r="C999">
        <f>Data!H1050</f>
        <v/>
      </c>
      <c r="D999">
        <f>Data!I1050</f>
        <v/>
      </c>
      <c r="E999">
        <f>Data!M1050</f>
        <v/>
      </c>
      <c r="F999">
        <f>Data!O1050</f>
        <v/>
      </c>
      <c r="G999">
        <f>E999-F999</f>
        <v/>
      </c>
      <c r="H999">
        <f>Data!P1050</f>
        <v/>
      </c>
      <c r="I999">
        <f>G999+H999</f>
        <v/>
      </c>
      <c r="J999">
        <f>F999+G999+H999</f>
        <v/>
      </c>
      <c r="K999">
        <f>Data!R1050</f>
        <v/>
      </c>
      <c r="L999">
        <f>Data!T1050</f>
        <v/>
      </c>
      <c r="M999">
        <f>AND(E999=0,F999=0,G999=0,H999=0,I999=0,J999=0,K999=0,L999=0)</f>
        <v/>
      </c>
      <c r="N999">
        <f>G999&lt;=$T$6</f>
        <v/>
      </c>
      <c r="O999">
        <f>G999&lt;=$T$12</f>
        <v/>
      </c>
      <c r="P999">
        <f>OR(AND(H999&gt;=$T$4,K999&lt;=$T$5,N999),M999)</f>
        <v/>
      </c>
      <c r="Q999">
        <f>OR(AND(I999&gt;=$T$10,K999&lt;=$T$11,O999),M999)</f>
        <v/>
      </c>
    </row>
    <row r="1000">
      <c r="A1000">
        <f>Data!E1051</f>
        <v/>
      </c>
      <c r="B1000">
        <f>Data!G1051</f>
        <v/>
      </c>
      <c r="C1000">
        <f>Data!H1051</f>
        <v/>
      </c>
      <c r="D1000">
        <f>Data!I1051</f>
        <v/>
      </c>
      <c r="E1000">
        <f>Data!M1051</f>
        <v/>
      </c>
      <c r="F1000">
        <f>Data!O1051</f>
        <v/>
      </c>
      <c r="G1000">
        <f>E1000-F1000</f>
        <v/>
      </c>
      <c r="H1000">
        <f>Data!P1051</f>
        <v/>
      </c>
      <c r="I1000">
        <f>G1000+H1000</f>
        <v/>
      </c>
      <c r="J1000">
        <f>F1000+G1000+H1000</f>
        <v/>
      </c>
      <c r="K1000">
        <f>Data!R1051</f>
        <v/>
      </c>
      <c r="L1000">
        <f>Data!T1051</f>
        <v/>
      </c>
      <c r="M1000">
        <f>AND(E1000=0,F1000=0,G1000=0,H1000=0,I1000=0,J1000=0,K1000=0,L1000=0)</f>
        <v/>
      </c>
      <c r="N1000">
        <f>G1000&lt;=$T$6</f>
        <v/>
      </c>
      <c r="O1000">
        <f>G1000&lt;=$T$12</f>
        <v/>
      </c>
      <c r="P1000">
        <f>OR(AND(H1000&gt;=$T$4,K1000&lt;=$T$5,N1000),M1000)</f>
        <v/>
      </c>
      <c r="Q1000">
        <f>OR(AND(I1000&gt;=$T$10,K1000&lt;=$T$11,O1000),M1000)</f>
        <v/>
      </c>
    </row>
    <row r="1001">
      <c r="A1001">
        <f>Data!E1052</f>
        <v/>
      </c>
      <c r="B1001">
        <f>Data!G1052</f>
        <v/>
      </c>
      <c r="C1001">
        <f>Data!H1052</f>
        <v/>
      </c>
      <c r="D1001">
        <f>Data!I1052</f>
        <v/>
      </c>
      <c r="E1001">
        <f>Data!M1052</f>
        <v/>
      </c>
      <c r="F1001">
        <f>Data!O1052</f>
        <v/>
      </c>
      <c r="G1001">
        <f>E1001-F1001</f>
        <v/>
      </c>
      <c r="H1001">
        <f>Data!P1052</f>
        <v/>
      </c>
      <c r="I1001">
        <f>G1001+H1001</f>
        <v/>
      </c>
      <c r="J1001">
        <f>F1001+G1001+H1001</f>
        <v/>
      </c>
      <c r="K1001">
        <f>Data!R1052</f>
        <v/>
      </c>
      <c r="L1001">
        <f>Data!T1052</f>
        <v/>
      </c>
      <c r="M1001">
        <f>AND(E1001=0,F1001=0,G1001=0,H1001=0,I1001=0,J1001=0,K1001=0,L1001=0)</f>
        <v/>
      </c>
      <c r="N1001">
        <f>G1001&lt;=$T$6</f>
        <v/>
      </c>
      <c r="O1001">
        <f>G1001&lt;=$T$12</f>
        <v/>
      </c>
      <c r="P1001">
        <f>OR(AND(H1001&gt;=$T$4,K1001&lt;=$T$5,N1001),M1001)</f>
        <v/>
      </c>
      <c r="Q1001">
        <f>OR(AND(I1001&gt;=$T$10,K1001&lt;=$T$11,O1001),M1001)</f>
        <v/>
      </c>
    </row>
    <row r="1002">
      <c r="A1002">
        <f>Data!E1053</f>
        <v/>
      </c>
      <c r="B1002">
        <f>Data!G1053</f>
        <v/>
      </c>
      <c r="C1002">
        <f>Data!H1053</f>
        <v/>
      </c>
      <c r="D1002">
        <f>Data!I1053</f>
        <v/>
      </c>
      <c r="E1002">
        <f>Data!M1053</f>
        <v/>
      </c>
      <c r="F1002">
        <f>Data!O1053</f>
        <v/>
      </c>
      <c r="G1002">
        <f>E1002-F1002</f>
        <v/>
      </c>
      <c r="H1002">
        <f>Data!P1053</f>
        <v/>
      </c>
      <c r="I1002">
        <f>G1002+H1002</f>
        <v/>
      </c>
      <c r="J1002">
        <f>F1002+G1002+H1002</f>
        <v/>
      </c>
      <c r="K1002">
        <f>Data!R1053</f>
        <v/>
      </c>
      <c r="L1002">
        <f>Data!T1053</f>
        <v/>
      </c>
      <c r="M1002">
        <f>AND(E1002=0,F1002=0,G1002=0,H1002=0,I1002=0,J1002=0,K1002=0,L1002=0)</f>
        <v/>
      </c>
      <c r="N1002">
        <f>G1002&lt;=$T$6</f>
        <v/>
      </c>
      <c r="O1002">
        <f>G1002&lt;=$T$12</f>
        <v/>
      </c>
      <c r="P1002">
        <f>OR(AND(H1002&gt;=$T$4,K1002&lt;=$T$5,N1002),M1002)</f>
        <v/>
      </c>
      <c r="Q1002">
        <f>OR(AND(I1002&gt;=$T$10,K1002&lt;=$T$11,O1002),M1002)</f>
        <v/>
      </c>
    </row>
    <row r="1003">
      <c r="A1003">
        <f>Data!E1054</f>
        <v/>
      </c>
      <c r="B1003">
        <f>Data!G1054</f>
        <v/>
      </c>
      <c r="C1003">
        <f>Data!H1054</f>
        <v/>
      </c>
      <c r="D1003">
        <f>Data!I1054</f>
        <v/>
      </c>
      <c r="E1003">
        <f>Data!M1054</f>
        <v/>
      </c>
      <c r="F1003">
        <f>Data!O1054</f>
        <v/>
      </c>
      <c r="G1003">
        <f>E1003-F1003</f>
        <v/>
      </c>
      <c r="H1003">
        <f>Data!P1054</f>
        <v/>
      </c>
      <c r="I1003">
        <f>G1003+H1003</f>
        <v/>
      </c>
      <c r="J1003">
        <f>F1003+G1003+H1003</f>
        <v/>
      </c>
      <c r="K1003">
        <f>Data!R1054</f>
        <v/>
      </c>
      <c r="L1003">
        <f>Data!T1054</f>
        <v/>
      </c>
      <c r="M1003">
        <f>AND(E1003=0,F1003=0,G1003=0,H1003=0,I1003=0,J1003=0,K1003=0,L1003=0)</f>
        <v/>
      </c>
      <c r="N1003">
        <f>G1003&lt;=$T$6</f>
        <v/>
      </c>
      <c r="O1003">
        <f>G1003&lt;=$T$12</f>
        <v/>
      </c>
      <c r="P1003">
        <f>OR(AND(H1003&gt;=$T$4,K1003&lt;=$T$5,N1003),M1003)</f>
        <v/>
      </c>
      <c r="Q1003">
        <f>OR(AND(I1003&gt;=$T$10,K1003&lt;=$T$11,O1003),M1003)</f>
        <v/>
      </c>
    </row>
    <row r="1004">
      <c r="A1004">
        <f>Data!E1055</f>
        <v/>
      </c>
      <c r="B1004">
        <f>Data!G1055</f>
        <v/>
      </c>
      <c r="C1004">
        <f>Data!H1055</f>
        <v/>
      </c>
      <c r="D1004">
        <f>Data!I1055</f>
        <v/>
      </c>
      <c r="E1004">
        <f>Data!M1055</f>
        <v/>
      </c>
      <c r="F1004">
        <f>Data!O1055</f>
        <v/>
      </c>
      <c r="G1004">
        <f>E1004-F1004</f>
        <v/>
      </c>
      <c r="H1004">
        <f>Data!P1055</f>
        <v/>
      </c>
      <c r="I1004">
        <f>G1004+H1004</f>
        <v/>
      </c>
      <c r="J1004">
        <f>F1004+G1004+H1004</f>
        <v/>
      </c>
      <c r="K1004">
        <f>Data!R1055</f>
        <v/>
      </c>
      <c r="L1004">
        <f>Data!T1055</f>
        <v/>
      </c>
      <c r="M1004">
        <f>AND(E1004=0,F1004=0,G1004=0,H1004=0,I1004=0,J1004=0,K1004=0,L1004=0)</f>
        <v/>
      </c>
      <c r="N1004">
        <f>G1004&lt;=$T$6</f>
        <v/>
      </c>
      <c r="O1004">
        <f>G1004&lt;=$T$12</f>
        <v/>
      </c>
      <c r="P1004">
        <f>OR(AND(H1004&gt;=$T$4,K1004&lt;=$T$5,N1004),M1004)</f>
        <v/>
      </c>
      <c r="Q1004">
        <f>OR(AND(I1004&gt;=$T$10,K1004&lt;=$T$11,O1004),M1004)</f>
        <v/>
      </c>
    </row>
    <row r="1005">
      <c r="A1005">
        <f>Data!E1056</f>
        <v/>
      </c>
      <c r="B1005">
        <f>Data!G1056</f>
        <v/>
      </c>
      <c r="C1005">
        <f>Data!H1056</f>
        <v/>
      </c>
      <c r="D1005">
        <f>Data!I1056</f>
        <v/>
      </c>
      <c r="E1005">
        <f>Data!M1056</f>
        <v/>
      </c>
      <c r="F1005">
        <f>Data!O1056</f>
        <v/>
      </c>
      <c r="G1005">
        <f>E1005-F1005</f>
        <v/>
      </c>
      <c r="H1005">
        <f>Data!P1056</f>
        <v/>
      </c>
      <c r="I1005">
        <f>G1005+H1005</f>
        <v/>
      </c>
      <c r="J1005">
        <f>F1005+G1005+H1005</f>
        <v/>
      </c>
      <c r="K1005">
        <f>Data!R1056</f>
        <v/>
      </c>
      <c r="L1005">
        <f>Data!T1056</f>
        <v/>
      </c>
      <c r="M1005">
        <f>AND(E1005=0,F1005=0,G1005=0,H1005=0,I1005=0,J1005=0,K1005=0,L1005=0)</f>
        <v/>
      </c>
      <c r="N1005">
        <f>G1005&lt;=$T$6</f>
        <v/>
      </c>
      <c r="O1005">
        <f>G1005&lt;=$T$12</f>
        <v/>
      </c>
      <c r="P1005">
        <f>OR(AND(H1005&gt;=$T$4,K1005&lt;=$T$5,N1005),M1005)</f>
        <v/>
      </c>
      <c r="Q1005">
        <f>OR(AND(I1005&gt;=$T$10,K1005&lt;=$T$11,O1005),M1005)</f>
        <v/>
      </c>
    </row>
    <row r="1006">
      <c r="A1006">
        <f>Data!E1057</f>
        <v/>
      </c>
      <c r="B1006">
        <f>Data!G1057</f>
        <v/>
      </c>
      <c r="C1006">
        <f>Data!H1057</f>
        <v/>
      </c>
      <c r="D1006">
        <f>Data!I1057</f>
        <v/>
      </c>
      <c r="E1006">
        <f>Data!M1057</f>
        <v/>
      </c>
      <c r="F1006">
        <f>Data!O1057</f>
        <v/>
      </c>
      <c r="G1006">
        <f>E1006-F1006</f>
        <v/>
      </c>
      <c r="H1006">
        <f>Data!P1057</f>
        <v/>
      </c>
      <c r="I1006">
        <f>G1006+H1006</f>
        <v/>
      </c>
      <c r="J1006">
        <f>F1006+G1006+H1006</f>
        <v/>
      </c>
      <c r="K1006">
        <f>Data!R1057</f>
        <v/>
      </c>
      <c r="L1006">
        <f>Data!T1057</f>
        <v/>
      </c>
      <c r="M1006">
        <f>AND(E1006=0,F1006=0,G1006=0,H1006=0,I1006=0,J1006=0,K1006=0,L1006=0)</f>
        <v/>
      </c>
      <c r="N1006">
        <f>G1006&lt;=$T$6</f>
        <v/>
      </c>
      <c r="O1006">
        <f>G1006&lt;=$T$12</f>
        <v/>
      </c>
      <c r="P1006">
        <f>OR(AND(H1006&gt;=$T$4,K1006&lt;=$T$5,N1006),M1006)</f>
        <v/>
      </c>
      <c r="Q1006">
        <f>OR(AND(I1006&gt;=$T$10,K1006&lt;=$T$11,O1006),M1006)</f>
        <v/>
      </c>
    </row>
    <row r="1007">
      <c r="A1007">
        <f>Data!E1058</f>
        <v/>
      </c>
      <c r="B1007">
        <f>Data!G1058</f>
        <v/>
      </c>
      <c r="C1007">
        <f>Data!H1058</f>
        <v/>
      </c>
      <c r="D1007">
        <f>Data!I1058</f>
        <v/>
      </c>
      <c r="E1007">
        <f>Data!M1058</f>
        <v/>
      </c>
      <c r="F1007">
        <f>Data!O1058</f>
        <v/>
      </c>
      <c r="G1007">
        <f>E1007-F1007</f>
        <v/>
      </c>
      <c r="H1007">
        <f>Data!P1058</f>
        <v/>
      </c>
      <c r="I1007">
        <f>G1007+H1007</f>
        <v/>
      </c>
      <c r="J1007">
        <f>F1007+G1007+H1007</f>
        <v/>
      </c>
      <c r="K1007">
        <f>Data!R1058</f>
        <v/>
      </c>
      <c r="L1007">
        <f>Data!T1058</f>
        <v/>
      </c>
      <c r="M1007">
        <f>AND(E1007=0,F1007=0,G1007=0,H1007=0,I1007=0,J1007=0,K1007=0,L1007=0)</f>
        <v/>
      </c>
      <c r="N1007">
        <f>G1007&lt;=$T$6</f>
        <v/>
      </c>
      <c r="O1007">
        <f>G1007&lt;=$T$12</f>
        <v/>
      </c>
      <c r="P1007">
        <f>OR(AND(H1007&gt;=$T$4,K1007&lt;=$T$5,N1007),M1007)</f>
        <v/>
      </c>
      <c r="Q1007">
        <f>OR(AND(I1007&gt;=$T$10,K1007&lt;=$T$11,O1007),M1007)</f>
        <v/>
      </c>
    </row>
    <row r="1008">
      <c r="A1008">
        <f>Data!E1059</f>
        <v/>
      </c>
      <c r="B1008">
        <f>Data!G1059</f>
        <v/>
      </c>
      <c r="C1008">
        <f>Data!H1059</f>
        <v/>
      </c>
      <c r="D1008">
        <f>Data!I1059</f>
        <v/>
      </c>
      <c r="E1008">
        <f>Data!M1059</f>
        <v/>
      </c>
      <c r="F1008">
        <f>Data!O1059</f>
        <v/>
      </c>
      <c r="G1008">
        <f>E1008-F1008</f>
        <v/>
      </c>
      <c r="H1008">
        <f>Data!P1059</f>
        <v/>
      </c>
      <c r="I1008">
        <f>G1008+H1008</f>
        <v/>
      </c>
      <c r="J1008">
        <f>F1008+G1008+H1008</f>
        <v/>
      </c>
      <c r="K1008">
        <f>Data!R1059</f>
        <v/>
      </c>
      <c r="L1008">
        <f>Data!T1059</f>
        <v/>
      </c>
      <c r="M1008">
        <f>AND(E1008=0,F1008=0,G1008=0,H1008=0,I1008=0,J1008=0,K1008=0,L1008=0)</f>
        <v/>
      </c>
      <c r="N1008">
        <f>G1008&lt;=$T$6</f>
        <v/>
      </c>
      <c r="O1008">
        <f>G1008&lt;=$T$12</f>
        <v/>
      </c>
      <c r="P1008">
        <f>OR(AND(H1008&gt;=$T$4,K1008&lt;=$T$5,N1008),M1008)</f>
        <v/>
      </c>
      <c r="Q1008">
        <f>OR(AND(I1008&gt;=$T$10,K1008&lt;=$T$11,O1008),M1008)</f>
        <v/>
      </c>
    </row>
    <row r="1009">
      <c r="A1009">
        <f>Data!E1060</f>
        <v/>
      </c>
      <c r="B1009">
        <f>Data!G1060</f>
        <v/>
      </c>
      <c r="C1009">
        <f>Data!H1060</f>
        <v/>
      </c>
      <c r="D1009">
        <f>Data!I1060</f>
        <v/>
      </c>
      <c r="E1009">
        <f>Data!M1060</f>
        <v/>
      </c>
      <c r="F1009">
        <f>Data!O1060</f>
        <v/>
      </c>
      <c r="G1009">
        <f>E1009-F1009</f>
        <v/>
      </c>
      <c r="H1009">
        <f>Data!P1060</f>
        <v/>
      </c>
      <c r="I1009">
        <f>G1009+H1009</f>
        <v/>
      </c>
      <c r="J1009">
        <f>F1009+G1009+H1009</f>
        <v/>
      </c>
      <c r="K1009">
        <f>Data!R1060</f>
        <v/>
      </c>
      <c r="L1009">
        <f>Data!T1060</f>
        <v/>
      </c>
      <c r="M1009">
        <f>AND(E1009=0,F1009=0,G1009=0,H1009=0,I1009=0,J1009=0,K1009=0,L1009=0)</f>
        <v/>
      </c>
      <c r="N1009">
        <f>G1009&lt;=$T$6</f>
        <v/>
      </c>
      <c r="O1009">
        <f>G1009&lt;=$T$12</f>
        <v/>
      </c>
      <c r="P1009">
        <f>OR(AND(H1009&gt;=$T$4,K1009&lt;=$T$5,N1009),M1009)</f>
        <v/>
      </c>
      <c r="Q1009">
        <f>OR(AND(I1009&gt;=$T$10,K1009&lt;=$T$11,O1009),M1009)</f>
        <v/>
      </c>
    </row>
    <row r="1010">
      <c r="A1010">
        <f>Data!E1061</f>
        <v/>
      </c>
      <c r="B1010">
        <f>Data!G1061</f>
        <v/>
      </c>
      <c r="C1010">
        <f>Data!H1061</f>
        <v/>
      </c>
      <c r="D1010">
        <f>Data!I1061</f>
        <v/>
      </c>
      <c r="E1010">
        <f>Data!M1061</f>
        <v/>
      </c>
      <c r="F1010">
        <f>Data!O1061</f>
        <v/>
      </c>
      <c r="G1010">
        <f>E1010-F1010</f>
        <v/>
      </c>
      <c r="H1010">
        <f>Data!P1061</f>
        <v/>
      </c>
      <c r="I1010">
        <f>G1010+H1010</f>
        <v/>
      </c>
      <c r="J1010">
        <f>F1010+G1010+H1010</f>
        <v/>
      </c>
      <c r="K1010">
        <f>Data!R1061</f>
        <v/>
      </c>
      <c r="L1010">
        <f>Data!T1061</f>
        <v/>
      </c>
      <c r="M1010">
        <f>AND(E1010=0,F1010=0,G1010=0,H1010=0,I1010=0,J1010=0,K1010=0,L1010=0)</f>
        <v/>
      </c>
      <c r="N1010">
        <f>G1010&lt;=$T$6</f>
        <v/>
      </c>
      <c r="O1010">
        <f>G1010&lt;=$T$12</f>
        <v/>
      </c>
      <c r="P1010">
        <f>OR(AND(H1010&gt;=$T$4,K1010&lt;=$T$5,N1010),M1010)</f>
        <v/>
      </c>
      <c r="Q1010">
        <f>OR(AND(I1010&gt;=$T$10,K1010&lt;=$T$11,O1010),M1010)</f>
        <v/>
      </c>
    </row>
    <row r="1011">
      <c r="A1011">
        <f>Data!E1062</f>
        <v/>
      </c>
      <c r="B1011">
        <f>Data!G1062</f>
        <v/>
      </c>
      <c r="C1011">
        <f>Data!H1062</f>
        <v/>
      </c>
      <c r="D1011">
        <f>Data!I1062</f>
        <v/>
      </c>
      <c r="E1011">
        <f>Data!M1062</f>
        <v/>
      </c>
      <c r="F1011">
        <f>Data!O1062</f>
        <v/>
      </c>
      <c r="G1011">
        <f>E1011-F1011</f>
        <v/>
      </c>
      <c r="H1011">
        <f>Data!P1062</f>
        <v/>
      </c>
      <c r="I1011">
        <f>G1011+H1011</f>
        <v/>
      </c>
      <c r="J1011">
        <f>F1011+G1011+H1011</f>
        <v/>
      </c>
      <c r="K1011">
        <f>Data!R1062</f>
        <v/>
      </c>
      <c r="L1011">
        <f>Data!T1062</f>
        <v/>
      </c>
      <c r="M1011">
        <f>AND(E1011=0,F1011=0,G1011=0,H1011=0,I1011=0,J1011=0,K1011=0,L1011=0)</f>
        <v/>
      </c>
      <c r="N1011">
        <f>G1011&lt;=$T$6</f>
        <v/>
      </c>
      <c r="O1011">
        <f>G1011&lt;=$T$12</f>
        <v/>
      </c>
      <c r="P1011">
        <f>OR(AND(H1011&gt;=$T$4,K1011&lt;=$T$5,N1011),M1011)</f>
        <v/>
      </c>
      <c r="Q1011">
        <f>OR(AND(I1011&gt;=$T$10,K1011&lt;=$T$11,O1011),M1011)</f>
        <v/>
      </c>
    </row>
    <row r="1012">
      <c r="A1012">
        <f>Data!E1063</f>
        <v/>
      </c>
      <c r="B1012">
        <f>Data!G1063</f>
        <v/>
      </c>
      <c r="C1012">
        <f>Data!H1063</f>
        <v/>
      </c>
      <c r="D1012">
        <f>Data!I1063</f>
        <v/>
      </c>
      <c r="E1012">
        <f>Data!M1063</f>
        <v/>
      </c>
      <c r="F1012">
        <f>Data!O1063</f>
        <v/>
      </c>
      <c r="G1012">
        <f>E1012-F1012</f>
        <v/>
      </c>
      <c r="H1012">
        <f>Data!P1063</f>
        <v/>
      </c>
      <c r="I1012">
        <f>G1012+H1012</f>
        <v/>
      </c>
      <c r="J1012">
        <f>F1012+G1012+H1012</f>
        <v/>
      </c>
      <c r="K1012">
        <f>Data!R1063</f>
        <v/>
      </c>
      <c r="L1012">
        <f>Data!T1063</f>
        <v/>
      </c>
      <c r="M1012">
        <f>AND(E1012=0,F1012=0,G1012=0,H1012=0,I1012=0,J1012=0,K1012=0,L1012=0)</f>
        <v/>
      </c>
      <c r="N1012">
        <f>G1012&lt;=$T$6</f>
        <v/>
      </c>
      <c r="O1012">
        <f>G1012&lt;=$T$12</f>
        <v/>
      </c>
      <c r="P1012">
        <f>OR(AND(H1012&gt;=$T$4,K1012&lt;=$T$5,N1012),M1012)</f>
        <v/>
      </c>
      <c r="Q1012">
        <f>OR(AND(I1012&gt;=$T$10,K1012&lt;=$T$11,O1012),M1012)</f>
        <v/>
      </c>
    </row>
    <row r="1013">
      <c r="A1013">
        <f>Data!E1064</f>
        <v/>
      </c>
      <c r="B1013">
        <f>Data!G1064</f>
        <v/>
      </c>
      <c r="C1013">
        <f>Data!H1064</f>
        <v/>
      </c>
      <c r="D1013">
        <f>Data!I1064</f>
        <v/>
      </c>
      <c r="E1013">
        <f>Data!M1064</f>
        <v/>
      </c>
      <c r="F1013">
        <f>Data!O1064</f>
        <v/>
      </c>
      <c r="G1013">
        <f>E1013-F1013</f>
        <v/>
      </c>
      <c r="H1013">
        <f>Data!P1064</f>
        <v/>
      </c>
      <c r="I1013">
        <f>G1013+H1013</f>
        <v/>
      </c>
      <c r="J1013">
        <f>F1013+G1013+H1013</f>
        <v/>
      </c>
      <c r="K1013">
        <f>Data!R1064</f>
        <v/>
      </c>
      <c r="L1013">
        <f>Data!T1064</f>
        <v/>
      </c>
      <c r="M1013">
        <f>AND(E1013=0,F1013=0,G1013=0,H1013=0,I1013=0,J1013=0,K1013=0,L1013=0)</f>
        <v/>
      </c>
      <c r="N1013">
        <f>G1013&lt;=$T$6</f>
        <v/>
      </c>
      <c r="O1013">
        <f>G1013&lt;=$T$12</f>
        <v/>
      </c>
      <c r="P1013">
        <f>OR(AND(H1013&gt;=$T$4,K1013&lt;=$T$5,N1013),M1013)</f>
        <v/>
      </c>
      <c r="Q1013">
        <f>OR(AND(I1013&gt;=$T$10,K1013&lt;=$T$11,O1013),M1013)</f>
        <v/>
      </c>
    </row>
    <row r="1014">
      <c r="A1014">
        <f>Data!E1065</f>
        <v/>
      </c>
      <c r="B1014">
        <f>Data!G1065</f>
        <v/>
      </c>
      <c r="C1014">
        <f>Data!H1065</f>
        <v/>
      </c>
      <c r="D1014">
        <f>Data!I1065</f>
        <v/>
      </c>
      <c r="E1014">
        <f>Data!M1065</f>
        <v/>
      </c>
      <c r="F1014">
        <f>Data!O1065</f>
        <v/>
      </c>
      <c r="G1014">
        <f>E1014-F1014</f>
        <v/>
      </c>
      <c r="H1014">
        <f>Data!P1065</f>
        <v/>
      </c>
      <c r="I1014">
        <f>G1014+H1014</f>
        <v/>
      </c>
      <c r="J1014">
        <f>F1014+G1014+H1014</f>
        <v/>
      </c>
      <c r="K1014">
        <f>Data!R1065</f>
        <v/>
      </c>
      <c r="L1014">
        <f>Data!T1065</f>
        <v/>
      </c>
      <c r="M1014">
        <f>AND(E1014=0,F1014=0,G1014=0,H1014=0,I1014=0,J1014=0,K1014=0,L1014=0)</f>
        <v/>
      </c>
      <c r="N1014">
        <f>G1014&lt;=$T$6</f>
        <v/>
      </c>
      <c r="O1014">
        <f>G1014&lt;=$T$12</f>
        <v/>
      </c>
      <c r="P1014">
        <f>OR(AND(H1014&gt;=$T$4,K1014&lt;=$T$5,N1014),M1014)</f>
        <v/>
      </c>
      <c r="Q1014">
        <f>OR(AND(I1014&gt;=$T$10,K1014&lt;=$T$11,O1014),M1014)</f>
        <v/>
      </c>
    </row>
    <row r="1015">
      <c r="A1015">
        <f>Data!E1066</f>
        <v/>
      </c>
      <c r="B1015">
        <f>Data!G1066</f>
        <v/>
      </c>
      <c r="C1015">
        <f>Data!H1066</f>
        <v/>
      </c>
      <c r="D1015">
        <f>Data!I1066</f>
        <v/>
      </c>
      <c r="E1015">
        <f>Data!M1066</f>
        <v/>
      </c>
      <c r="F1015">
        <f>Data!O1066</f>
        <v/>
      </c>
      <c r="G1015">
        <f>E1015-F1015</f>
        <v/>
      </c>
      <c r="H1015">
        <f>Data!P1066</f>
        <v/>
      </c>
      <c r="I1015">
        <f>G1015+H1015</f>
        <v/>
      </c>
      <c r="J1015">
        <f>F1015+G1015+H1015</f>
        <v/>
      </c>
      <c r="K1015">
        <f>Data!R1066</f>
        <v/>
      </c>
      <c r="L1015">
        <f>Data!T1066</f>
        <v/>
      </c>
      <c r="M1015">
        <f>AND(E1015=0,F1015=0,G1015=0,H1015=0,I1015=0,J1015=0,K1015=0,L1015=0)</f>
        <v/>
      </c>
      <c r="N1015">
        <f>G1015&lt;=$T$6</f>
        <v/>
      </c>
      <c r="O1015">
        <f>G1015&lt;=$T$12</f>
        <v/>
      </c>
      <c r="P1015">
        <f>OR(AND(H1015&gt;=$T$4,K1015&lt;=$T$5,N1015),M1015)</f>
        <v/>
      </c>
      <c r="Q1015">
        <f>OR(AND(I1015&gt;=$T$10,K1015&lt;=$T$11,O1015),M1015)</f>
        <v/>
      </c>
    </row>
    <row r="1016">
      <c r="A1016">
        <f>Data!E1067</f>
        <v/>
      </c>
      <c r="B1016">
        <f>Data!G1067</f>
        <v/>
      </c>
      <c r="C1016">
        <f>Data!H1067</f>
        <v/>
      </c>
      <c r="D1016">
        <f>Data!I1067</f>
        <v/>
      </c>
      <c r="E1016">
        <f>Data!M1067</f>
        <v/>
      </c>
      <c r="F1016">
        <f>Data!O1067</f>
        <v/>
      </c>
      <c r="G1016">
        <f>E1016-F1016</f>
        <v/>
      </c>
      <c r="H1016">
        <f>Data!P1067</f>
        <v/>
      </c>
      <c r="I1016">
        <f>G1016+H1016</f>
        <v/>
      </c>
      <c r="J1016">
        <f>F1016+G1016+H1016</f>
        <v/>
      </c>
      <c r="K1016">
        <f>Data!R1067</f>
        <v/>
      </c>
      <c r="L1016">
        <f>Data!T1067</f>
        <v/>
      </c>
      <c r="M1016">
        <f>AND(E1016=0,F1016=0,G1016=0,H1016=0,I1016=0,J1016=0,K1016=0,L1016=0)</f>
        <v/>
      </c>
      <c r="N1016">
        <f>G1016&lt;=$T$6</f>
        <v/>
      </c>
      <c r="O1016">
        <f>G1016&lt;=$T$12</f>
        <v/>
      </c>
      <c r="P1016">
        <f>OR(AND(H1016&gt;=$T$4,K1016&lt;=$T$5,N1016),M1016)</f>
        <v/>
      </c>
      <c r="Q1016">
        <f>OR(AND(I1016&gt;=$T$10,K1016&lt;=$T$11,O1016),M1016)</f>
        <v/>
      </c>
    </row>
    <row r="1017">
      <c r="A1017">
        <f>Data!E1068</f>
        <v/>
      </c>
      <c r="B1017">
        <f>Data!G1068</f>
        <v/>
      </c>
      <c r="C1017">
        <f>Data!H1068</f>
        <v/>
      </c>
      <c r="D1017">
        <f>Data!I1068</f>
        <v/>
      </c>
      <c r="E1017">
        <f>Data!M1068</f>
        <v/>
      </c>
      <c r="F1017">
        <f>Data!O1068</f>
        <v/>
      </c>
      <c r="G1017">
        <f>E1017-F1017</f>
        <v/>
      </c>
      <c r="H1017">
        <f>Data!P1068</f>
        <v/>
      </c>
      <c r="I1017">
        <f>G1017+H1017</f>
        <v/>
      </c>
      <c r="J1017">
        <f>F1017+G1017+H1017</f>
        <v/>
      </c>
      <c r="K1017">
        <f>Data!R1068</f>
        <v/>
      </c>
      <c r="L1017">
        <f>Data!T1068</f>
        <v/>
      </c>
      <c r="M1017">
        <f>AND(E1017=0,F1017=0,G1017=0,H1017=0,I1017=0,J1017=0,K1017=0,L1017=0)</f>
        <v/>
      </c>
      <c r="N1017">
        <f>G1017&lt;=$T$6</f>
        <v/>
      </c>
      <c r="O1017">
        <f>G1017&lt;=$T$12</f>
        <v/>
      </c>
      <c r="P1017">
        <f>OR(AND(H1017&gt;=$T$4,K1017&lt;=$T$5,N1017),M1017)</f>
        <v/>
      </c>
      <c r="Q1017">
        <f>OR(AND(I1017&gt;=$T$10,K1017&lt;=$T$11,O1017),M1017)</f>
        <v/>
      </c>
    </row>
    <row r="1018">
      <c r="A1018">
        <f>Data!E1069</f>
        <v/>
      </c>
      <c r="B1018">
        <f>Data!G1069</f>
        <v/>
      </c>
      <c r="C1018">
        <f>Data!H1069</f>
        <v/>
      </c>
      <c r="D1018">
        <f>Data!I1069</f>
        <v/>
      </c>
      <c r="E1018">
        <f>Data!M1069</f>
        <v/>
      </c>
      <c r="F1018">
        <f>Data!O1069</f>
        <v/>
      </c>
      <c r="G1018">
        <f>E1018-F1018</f>
        <v/>
      </c>
      <c r="H1018">
        <f>Data!P1069</f>
        <v/>
      </c>
      <c r="I1018">
        <f>G1018+H1018</f>
        <v/>
      </c>
      <c r="J1018">
        <f>F1018+G1018+H1018</f>
        <v/>
      </c>
      <c r="K1018">
        <f>Data!R1069</f>
        <v/>
      </c>
      <c r="L1018">
        <f>Data!T1069</f>
        <v/>
      </c>
      <c r="M1018">
        <f>AND(E1018=0,F1018=0,G1018=0,H1018=0,I1018=0,J1018=0,K1018=0,L1018=0)</f>
        <v/>
      </c>
      <c r="N1018">
        <f>G1018&lt;=$T$6</f>
        <v/>
      </c>
      <c r="O1018">
        <f>G1018&lt;=$T$12</f>
        <v/>
      </c>
      <c r="P1018">
        <f>OR(AND(H1018&gt;=$T$4,K1018&lt;=$T$5,N1018),M1018)</f>
        <v/>
      </c>
      <c r="Q1018">
        <f>OR(AND(I1018&gt;=$T$10,K1018&lt;=$T$11,O1018),M1018)</f>
        <v/>
      </c>
    </row>
    <row r="1019">
      <c r="A1019">
        <f>Data!E1070</f>
        <v/>
      </c>
      <c r="B1019">
        <f>Data!G1070</f>
        <v/>
      </c>
      <c r="C1019">
        <f>Data!H1070</f>
        <v/>
      </c>
      <c r="D1019">
        <f>Data!I1070</f>
        <v/>
      </c>
      <c r="E1019">
        <f>Data!M1070</f>
        <v/>
      </c>
      <c r="F1019">
        <f>Data!O1070</f>
        <v/>
      </c>
      <c r="G1019">
        <f>E1019-F1019</f>
        <v/>
      </c>
      <c r="H1019">
        <f>Data!P1070</f>
        <v/>
      </c>
      <c r="I1019">
        <f>G1019+H1019</f>
        <v/>
      </c>
      <c r="J1019">
        <f>F1019+G1019+H1019</f>
        <v/>
      </c>
      <c r="K1019">
        <f>Data!R1070</f>
        <v/>
      </c>
      <c r="L1019">
        <f>Data!T1070</f>
        <v/>
      </c>
      <c r="M1019">
        <f>AND(E1019=0,F1019=0,G1019=0,H1019=0,I1019=0,J1019=0,K1019=0,L1019=0)</f>
        <v/>
      </c>
      <c r="N1019">
        <f>G1019&lt;=$T$6</f>
        <v/>
      </c>
      <c r="O1019">
        <f>G1019&lt;=$T$12</f>
        <v/>
      </c>
      <c r="P1019">
        <f>OR(AND(H1019&gt;=$T$4,K1019&lt;=$T$5,N1019),M1019)</f>
        <v/>
      </c>
      <c r="Q1019">
        <f>OR(AND(I1019&gt;=$T$10,K1019&lt;=$T$11,O1019),M1019)</f>
        <v/>
      </c>
    </row>
    <row r="1020">
      <c r="A1020">
        <f>Data!E1071</f>
        <v/>
      </c>
      <c r="B1020">
        <f>Data!G1071</f>
        <v/>
      </c>
      <c r="C1020">
        <f>Data!H1071</f>
        <v/>
      </c>
      <c r="D1020">
        <f>Data!I1071</f>
        <v/>
      </c>
      <c r="E1020">
        <f>Data!M1071</f>
        <v/>
      </c>
      <c r="F1020">
        <f>Data!O1071</f>
        <v/>
      </c>
      <c r="G1020">
        <f>E1020-F1020</f>
        <v/>
      </c>
      <c r="H1020">
        <f>Data!P1071</f>
        <v/>
      </c>
      <c r="I1020">
        <f>G1020+H1020</f>
        <v/>
      </c>
      <c r="J1020">
        <f>F1020+G1020+H1020</f>
        <v/>
      </c>
      <c r="K1020">
        <f>Data!R1071</f>
        <v/>
      </c>
      <c r="L1020">
        <f>Data!T1071</f>
        <v/>
      </c>
      <c r="M1020">
        <f>AND(E1020=0,F1020=0,G1020=0,H1020=0,I1020=0,J1020=0,K1020=0,L1020=0)</f>
        <v/>
      </c>
      <c r="N1020">
        <f>G1020&lt;=$T$6</f>
        <v/>
      </c>
      <c r="O1020">
        <f>G1020&lt;=$T$12</f>
        <v/>
      </c>
      <c r="P1020">
        <f>OR(AND(H1020&gt;=$T$4,K1020&lt;=$T$5,N1020),M1020)</f>
        <v/>
      </c>
      <c r="Q1020">
        <f>OR(AND(I1020&gt;=$T$10,K1020&lt;=$T$11,O1020),M1020)</f>
        <v/>
      </c>
    </row>
    <row r="1021">
      <c r="A1021">
        <f>Data!E1072</f>
        <v/>
      </c>
      <c r="B1021">
        <f>Data!G1072</f>
        <v/>
      </c>
      <c r="C1021">
        <f>Data!H1072</f>
        <v/>
      </c>
      <c r="D1021">
        <f>Data!I1072</f>
        <v/>
      </c>
      <c r="E1021">
        <f>Data!M1072</f>
        <v/>
      </c>
      <c r="F1021">
        <f>Data!O1072</f>
        <v/>
      </c>
      <c r="G1021">
        <f>E1021-F1021</f>
        <v/>
      </c>
      <c r="H1021">
        <f>Data!P1072</f>
        <v/>
      </c>
      <c r="I1021">
        <f>G1021+H1021</f>
        <v/>
      </c>
      <c r="J1021">
        <f>F1021+G1021+H1021</f>
        <v/>
      </c>
      <c r="K1021">
        <f>Data!R1072</f>
        <v/>
      </c>
      <c r="L1021">
        <f>Data!T1072</f>
        <v/>
      </c>
      <c r="M1021">
        <f>AND(E1021=0,F1021=0,G1021=0,H1021=0,I1021=0,J1021=0,K1021=0,L1021=0)</f>
        <v/>
      </c>
      <c r="N1021">
        <f>G1021&lt;=$T$6</f>
        <v/>
      </c>
      <c r="O1021">
        <f>G1021&lt;=$T$12</f>
        <v/>
      </c>
      <c r="P1021">
        <f>OR(AND(H1021&gt;=$T$4,K1021&lt;=$T$5,N1021),M1021)</f>
        <v/>
      </c>
      <c r="Q1021">
        <f>OR(AND(I1021&gt;=$T$10,K1021&lt;=$T$11,O1021),M1021)</f>
        <v/>
      </c>
    </row>
    <row r="1022">
      <c r="A1022">
        <f>Data!E1073</f>
        <v/>
      </c>
      <c r="B1022">
        <f>Data!G1073</f>
        <v/>
      </c>
      <c r="C1022">
        <f>Data!H1073</f>
        <v/>
      </c>
      <c r="D1022">
        <f>Data!I1073</f>
        <v/>
      </c>
      <c r="E1022">
        <f>Data!M1073</f>
        <v/>
      </c>
      <c r="F1022">
        <f>Data!O1073</f>
        <v/>
      </c>
      <c r="G1022">
        <f>E1022-F1022</f>
        <v/>
      </c>
      <c r="H1022">
        <f>Data!P1073</f>
        <v/>
      </c>
      <c r="I1022">
        <f>G1022+H1022</f>
        <v/>
      </c>
      <c r="J1022">
        <f>F1022+G1022+H1022</f>
        <v/>
      </c>
      <c r="K1022">
        <f>Data!R1073</f>
        <v/>
      </c>
      <c r="L1022">
        <f>Data!T1073</f>
        <v/>
      </c>
      <c r="M1022">
        <f>AND(E1022=0,F1022=0,G1022=0,H1022=0,I1022=0,J1022=0,K1022=0,L1022=0)</f>
        <v/>
      </c>
      <c r="N1022">
        <f>G1022&lt;=$T$6</f>
        <v/>
      </c>
      <c r="O1022">
        <f>G1022&lt;=$T$12</f>
        <v/>
      </c>
      <c r="P1022">
        <f>OR(AND(H1022&gt;=$T$4,K1022&lt;=$T$5,N1022),M1022)</f>
        <v/>
      </c>
      <c r="Q1022">
        <f>OR(AND(I1022&gt;=$T$10,K1022&lt;=$T$11,O1022),M1022)</f>
        <v/>
      </c>
    </row>
    <row r="1023">
      <c r="A1023">
        <f>Data!E1074</f>
        <v/>
      </c>
      <c r="B1023">
        <f>Data!G1074</f>
        <v/>
      </c>
      <c r="C1023">
        <f>Data!H1074</f>
        <v/>
      </c>
      <c r="D1023">
        <f>Data!I1074</f>
        <v/>
      </c>
      <c r="E1023">
        <f>Data!M1074</f>
        <v/>
      </c>
      <c r="F1023">
        <f>Data!O1074</f>
        <v/>
      </c>
      <c r="G1023">
        <f>E1023-F1023</f>
        <v/>
      </c>
      <c r="H1023">
        <f>Data!P1074</f>
        <v/>
      </c>
      <c r="I1023">
        <f>G1023+H1023</f>
        <v/>
      </c>
      <c r="J1023">
        <f>F1023+G1023+H1023</f>
        <v/>
      </c>
      <c r="K1023">
        <f>Data!R1074</f>
        <v/>
      </c>
      <c r="L1023">
        <f>Data!T1074</f>
        <v/>
      </c>
      <c r="M1023">
        <f>AND(E1023=0,F1023=0,G1023=0,H1023=0,I1023=0,J1023=0,K1023=0,L1023=0)</f>
        <v/>
      </c>
      <c r="N1023">
        <f>G1023&lt;=$T$6</f>
        <v/>
      </c>
      <c r="O1023">
        <f>G1023&lt;=$T$12</f>
        <v/>
      </c>
      <c r="P1023">
        <f>OR(AND(H1023&gt;=$T$4,K1023&lt;=$T$5,N1023),M1023)</f>
        <v/>
      </c>
      <c r="Q1023">
        <f>OR(AND(I1023&gt;=$T$10,K1023&lt;=$T$11,O1023),M1023)</f>
        <v/>
      </c>
    </row>
    <row r="1024">
      <c r="A1024">
        <f>Data!E1075</f>
        <v/>
      </c>
      <c r="B1024">
        <f>Data!G1075</f>
        <v/>
      </c>
      <c r="C1024">
        <f>Data!H1075</f>
        <v/>
      </c>
      <c r="D1024">
        <f>Data!I1075</f>
        <v/>
      </c>
      <c r="E1024">
        <f>Data!M1075</f>
        <v/>
      </c>
      <c r="F1024">
        <f>Data!O1075</f>
        <v/>
      </c>
      <c r="G1024">
        <f>E1024-F1024</f>
        <v/>
      </c>
      <c r="H1024">
        <f>Data!P1075</f>
        <v/>
      </c>
      <c r="I1024">
        <f>G1024+H1024</f>
        <v/>
      </c>
      <c r="J1024">
        <f>F1024+G1024+H1024</f>
        <v/>
      </c>
      <c r="K1024">
        <f>Data!R1075</f>
        <v/>
      </c>
      <c r="L1024">
        <f>Data!T1075</f>
        <v/>
      </c>
      <c r="M1024">
        <f>AND(E1024=0,F1024=0,G1024=0,H1024=0,I1024=0,J1024=0,K1024=0,L1024=0)</f>
        <v/>
      </c>
      <c r="N1024">
        <f>G1024&lt;=$T$6</f>
        <v/>
      </c>
      <c r="O1024">
        <f>G1024&lt;=$T$12</f>
        <v/>
      </c>
      <c r="P1024">
        <f>OR(AND(H1024&gt;=$T$4,K1024&lt;=$T$5,N1024),M1024)</f>
        <v/>
      </c>
      <c r="Q1024">
        <f>OR(AND(I1024&gt;=$T$10,K1024&lt;=$T$11,O1024),M1024)</f>
        <v/>
      </c>
    </row>
    <row r="1025">
      <c r="A1025">
        <f>Data!E1076</f>
        <v/>
      </c>
      <c r="B1025">
        <f>Data!G1076</f>
        <v/>
      </c>
      <c r="C1025">
        <f>Data!H1076</f>
        <v/>
      </c>
      <c r="D1025">
        <f>Data!I1076</f>
        <v/>
      </c>
      <c r="E1025">
        <f>Data!M1076</f>
        <v/>
      </c>
      <c r="F1025">
        <f>Data!O1076</f>
        <v/>
      </c>
      <c r="G1025">
        <f>E1025-F1025</f>
        <v/>
      </c>
      <c r="H1025">
        <f>Data!P1076</f>
        <v/>
      </c>
      <c r="I1025">
        <f>G1025+H1025</f>
        <v/>
      </c>
      <c r="J1025">
        <f>F1025+G1025+H1025</f>
        <v/>
      </c>
      <c r="K1025">
        <f>Data!R1076</f>
        <v/>
      </c>
      <c r="L1025">
        <f>Data!T1076</f>
        <v/>
      </c>
      <c r="M1025">
        <f>AND(E1025=0,F1025=0,G1025=0,H1025=0,I1025=0,J1025=0,K1025=0,L1025=0)</f>
        <v/>
      </c>
      <c r="N1025">
        <f>G1025&lt;=$T$6</f>
        <v/>
      </c>
      <c r="O1025">
        <f>G1025&lt;=$T$12</f>
        <v/>
      </c>
      <c r="P1025">
        <f>OR(AND(H1025&gt;=$T$4,K1025&lt;=$T$5,N1025),M1025)</f>
        <v/>
      </c>
      <c r="Q1025">
        <f>OR(AND(I1025&gt;=$T$10,K1025&lt;=$T$11,O1025),M1025)</f>
        <v/>
      </c>
    </row>
    <row r="1026">
      <c r="A1026">
        <f>Data!E1077</f>
        <v/>
      </c>
      <c r="B1026">
        <f>Data!G1077</f>
        <v/>
      </c>
      <c r="C1026">
        <f>Data!H1077</f>
        <v/>
      </c>
      <c r="D1026">
        <f>Data!I1077</f>
        <v/>
      </c>
      <c r="E1026">
        <f>Data!M1077</f>
        <v/>
      </c>
      <c r="F1026">
        <f>Data!O1077</f>
        <v/>
      </c>
      <c r="G1026">
        <f>E1026-F1026</f>
        <v/>
      </c>
      <c r="H1026">
        <f>Data!P1077</f>
        <v/>
      </c>
      <c r="I1026">
        <f>G1026+H1026</f>
        <v/>
      </c>
      <c r="J1026">
        <f>F1026+G1026+H1026</f>
        <v/>
      </c>
      <c r="K1026">
        <f>Data!R1077</f>
        <v/>
      </c>
      <c r="L1026">
        <f>Data!T1077</f>
        <v/>
      </c>
      <c r="M1026">
        <f>AND(E1026=0,F1026=0,G1026=0,H1026=0,I1026=0,J1026=0,K1026=0,L1026=0)</f>
        <v/>
      </c>
      <c r="N1026">
        <f>G1026&lt;=$T$6</f>
        <v/>
      </c>
      <c r="O1026">
        <f>G1026&lt;=$T$12</f>
        <v/>
      </c>
      <c r="P1026">
        <f>OR(AND(H1026&gt;=$T$4,K1026&lt;=$T$5,N1026),M1026)</f>
        <v/>
      </c>
      <c r="Q1026">
        <f>OR(AND(I1026&gt;=$T$10,K1026&lt;=$T$11,O1026),M1026)</f>
        <v/>
      </c>
    </row>
    <row r="1027">
      <c r="A1027">
        <f>Data!E1078</f>
        <v/>
      </c>
      <c r="B1027">
        <f>Data!G1078</f>
        <v/>
      </c>
      <c r="C1027">
        <f>Data!H1078</f>
        <v/>
      </c>
      <c r="D1027">
        <f>Data!I1078</f>
        <v/>
      </c>
      <c r="E1027">
        <f>Data!M1078</f>
        <v/>
      </c>
      <c r="F1027">
        <f>Data!O1078</f>
        <v/>
      </c>
      <c r="G1027">
        <f>E1027-F1027</f>
        <v/>
      </c>
      <c r="H1027">
        <f>Data!P1078</f>
        <v/>
      </c>
      <c r="I1027">
        <f>G1027+H1027</f>
        <v/>
      </c>
      <c r="J1027">
        <f>F1027+G1027+H1027</f>
        <v/>
      </c>
      <c r="K1027">
        <f>Data!R1078</f>
        <v/>
      </c>
      <c r="L1027">
        <f>Data!T1078</f>
        <v/>
      </c>
      <c r="M1027">
        <f>AND(E1027=0,F1027=0,G1027=0,H1027=0,I1027=0,J1027=0,K1027=0,L1027=0)</f>
        <v/>
      </c>
      <c r="N1027">
        <f>G1027&lt;=$T$6</f>
        <v/>
      </c>
      <c r="O1027">
        <f>G1027&lt;=$T$12</f>
        <v/>
      </c>
      <c r="P1027">
        <f>OR(AND(H1027&gt;=$T$4,K1027&lt;=$T$5,N1027),M1027)</f>
        <v/>
      </c>
      <c r="Q1027">
        <f>OR(AND(I1027&gt;=$T$10,K1027&lt;=$T$11,O1027),M1027)</f>
        <v/>
      </c>
    </row>
    <row r="1028">
      <c r="A1028">
        <f>Data!E1079</f>
        <v/>
      </c>
      <c r="B1028">
        <f>Data!G1079</f>
        <v/>
      </c>
      <c r="C1028">
        <f>Data!H1079</f>
        <v/>
      </c>
      <c r="D1028">
        <f>Data!I1079</f>
        <v/>
      </c>
      <c r="E1028">
        <f>Data!M1079</f>
        <v/>
      </c>
      <c r="F1028">
        <f>Data!O1079</f>
        <v/>
      </c>
      <c r="G1028">
        <f>E1028-F1028</f>
        <v/>
      </c>
      <c r="H1028">
        <f>Data!P1079</f>
        <v/>
      </c>
      <c r="I1028">
        <f>G1028+H1028</f>
        <v/>
      </c>
      <c r="J1028">
        <f>F1028+G1028+H1028</f>
        <v/>
      </c>
      <c r="K1028">
        <f>Data!R1079</f>
        <v/>
      </c>
      <c r="L1028">
        <f>Data!T1079</f>
        <v/>
      </c>
      <c r="M1028">
        <f>AND(E1028=0,F1028=0,G1028=0,H1028=0,I1028=0,J1028=0,K1028=0,L1028=0)</f>
        <v/>
      </c>
      <c r="N1028">
        <f>G1028&lt;=$T$6</f>
        <v/>
      </c>
      <c r="O1028">
        <f>G1028&lt;=$T$12</f>
        <v/>
      </c>
      <c r="P1028">
        <f>OR(AND(H1028&gt;=$T$4,K1028&lt;=$T$5,N1028),M1028)</f>
        <v/>
      </c>
      <c r="Q1028">
        <f>OR(AND(I1028&gt;=$T$10,K1028&lt;=$T$11,O1028),M1028)</f>
        <v/>
      </c>
    </row>
    <row r="1029">
      <c r="A1029">
        <f>Data!E1080</f>
        <v/>
      </c>
      <c r="B1029">
        <f>Data!G1080</f>
        <v/>
      </c>
      <c r="C1029">
        <f>Data!H1080</f>
        <v/>
      </c>
      <c r="D1029">
        <f>Data!I1080</f>
        <v/>
      </c>
      <c r="E1029">
        <f>Data!M1080</f>
        <v/>
      </c>
      <c r="F1029">
        <f>Data!O1080</f>
        <v/>
      </c>
      <c r="G1029">
        <f>E1029-F1029</f>
        <v/>
      </c>
      <c r="H1029">
        <f>Data!P1080</f>
        <v/>
      </c>
      <c r="I1029">
        <f>G1029+H1029</f>
        <v/>
      </c>
      <c r="J1029">
        <f>F1029+G1029+H1029</f>
        <v/>
      </c>
      <c r="K1029">
        <f>Data!R1080</f>
        <v/>
      </c>
      <c r="L1029">
        <f>Data!T1080</f>
        <v/>
      </c>
      <c r="M1029">
        <f>AND(E1029=0,F1029=0,G1029=0,H1029=0,I1029=0,J1029=0,K1029=0,L1029=0)</f>
        <v/>
      </c>
      <c r="N1029">
        <f>G1029&lt;=$T$6</f>
        <v/>
      </c>
      <c r="O1029">
        <f>G1029&lt;=$T$12</f>
        <v/>
      </c>
      <c r="P1029">
        <f>OR(AND(H1029&gt;=$T$4,K1029&lt;=$T$5,N1029),M1029)</f>
        <v/>
      </c>
      <c r="Q1029">
        <f>OR(AND(I1029&gt;=$T$10,K1029&lt;=$T$11,O1029),M1029)</f>
        <v/>
      </c>
    </row>
    <row r="1030">
      <c r="A1030">
        <f>Data!E1081</f>
        <v/>
      </c>
      <c r="B1030">
        <f>Data!G1081</f>
        <v/>
      </c>
      <c r="C1030">
        <f>Data!H1081</f>
        <v/>
      </c>
      <c r="D1030">
        <f>Data!I1081</f>
        <v/>
      </c>
      <c r="E1030">
        <f>Data!M1081</f>
        <v/>
      </c>
      <c r="F1030">
        <f>Data!O1081</f>
        <v/>
      </c>
      <c r="G1030">
        <f>E1030-F1030</f>
        <v/>
      </c>
      <c r="H1030">
        <f>Data!P1081</f>
        <v/>
      </c>
      <c r="I1030">
        <f>G1030+H1030</f>
        <v/>
      </c>
      <c r="J1030">
        <f>F1030+G1030+H1030</f>
        <v/>
      </c>
      <c r="K1030">
        <f>Data!R1081</f>
        <v/>
      </c>
      <c r="L1030">
        <f>Data!T1081</f>
        <v/>
      </c>
      <c r="M1030">
        <f>AND(E1030=0,F1030=0,G1030=0,H1030=0,I1030=0,J1030=0,K1030=0,L1030=0)</f>
        <v/>
      </c>
      <c r="N1030">
        <f>G1030&lt;=$T$6</f>
        <v/>
      </c>
      <c r="O1030">
        <f>G1030&lt;=$T$12</f>
        <v/>
      </c>
      <c r="P1030">
        <f>OR(AND(H1030&gt;=$T$4,K1030&lt;=$T$5,N1030),M1030)</f>
        <v/>
      </c>
      <c r="Q1030">
        <f>OR(AND(I1030&gt;=$T$10,K1030&lt;=$T$11,O1030),M1030)</f>
        <v/>
      </c>
    </row>
    <row r="1031">
      <c r="A1031">
        <f>Data!E1082</f>
        <v/>
      </c>
      <c r="B1031">
        <f>Data!G1082</f>
        <v/>
      </c>
      <c r="C1031">
        <f>Data!H1082</f>
        <v/>
      </c>
      <c r="D1031">
        <f>Data!I1082</f>
        <v/>
      </c>
      <c r="E1031">
        <f>Data!M1082</f>
        <v/>
      </c>
      <c r="F1031">
        <f>Data!O1082</f>
        <v/>
      </c>
      <c r="G1031">
        <f>E1031-F1031</f>
        <v/>
      </c>
      <c r="H1031">
        <f>Data!P1082</f>
        <v/>
      </c>
      <c r="I1031">
        <f>G1031+H1031</f>
        <v/>
      </c>
      <c r="J1031">
        <f>F1031+G1031+H1031</f>
        <v/>
      </c>
      <c r="K1031">
        <f>Data!R1082</f>
        <v/>
      </c>
      <c r="L1031">
        <f>Data!T1082</f>
        <v/>
      </c>
      <c r="M1031">
        <f>AND(E1031=0,F1031=0,G1031=0,H1031=0,I1031=0,J1031=0,K1031=0,L1031=0)</f>
        <v/>
      </c>
      <c r="N1031">
        <f>G1031&lt;=$T$6</f>
        <v/>
      </c>
      <c r="O1031">
        <f>G1031&lt;=$T$12</f>
        <v/>
      </c>
      <c r="P1031">
        <f>OR(AND(H1031&gt;=$T$4,K1031&lt;=$T$5,N1031),M1031)</f>
        <v/>
      </c>
      <c r="Q1031">
        <f>OR(AND(I1031&gt;=$T$10,K1031&lt;=$T$11,O1031),M1031)</f>
        <v/>
      </c>
    </row>
    <row r="1032">
      <c r="A1032">
        <f>Data!E1083</f>
        <v/>
      </c>
      <c r="B1032">
        <f>Data!G1083</f>
        <v/>
      </c>
      <c r="C1032">
        <f>Data!H1083</f>
        <v/>
      </c>
      <c r="D1032">
        <f>Data!I1083</f>
        <v/>
      </c>
      <c r="E1032">
        <f>Data!M1083</f>
        <v/>
      </c>
      <c r="F1032">
        <f>Data!O1083</f>
        <v/>
      </c>
      <c r="G1032">
        <f>E1032-F1032</f>
        <v/>
      </c>
      <c r="H1032">
        <f>Data!P1083</f>
        <v/>
      </c>
      <c r="I1032">
        <f>G1032+H1032</f>
        <v/>
      </c>
      <c r="J1032">
        <f>F1032+G1032+H1032</f>
        <v/>
      </c>
      <c r="K1032">
        <f>Data!R1083</f>
        <v/>
      </c>
      <c r="L1032">
        <f>Data!T1083</f>
        <v/>
      </c>
      <c r="M1032">
        <f>AND(E1032=0,F1032=0,G1032=0,H1032=0,I1032=0,J1032=0,K1032=0,L1032=0)</f>
        <v/>
      </c>
      <c r="N1032">
        <f>G1032&lt;=$T$6</f>
        <v/>
      </c>
      <c r="O1032">
        <f>G1032&lt;=$T$12</f>
        <v/>
      </c>
      <c r="P1032">
        <f>OR(AND(H1032&gt;=$T$4,K1032&lt;=$T$5,N1032),M1032)</f>
        <v/>
      </c>
      <c r="Q1032">
        <f>OR(AND(I1032&gt;=$T$10,K1032&lt;=$T$11,O1032),M1032)</f>
        <v/>
      </c>
    </row>
    <row r="1033">
      <c r="A1033">
        <f>Data!E1084</f>
        <v/>
      </c>
      <c r="B1033">
        <f>Data!G1084</f>
        <v/>
      </c>
      <c r="C1033">
        <f>Data!H1084</f>
        <v/>
      </c>
      <c r="D1033">
        <f>Data!I1084</f>
        <v/>
      </c>
      <c r="E1033">
        <f>Data!M1084</f>
        <v/>
      </c>
      <c r="F1033">
        <f>Data!O1084</f>
        <v/>
      </c>
      <c r="G1033">
        <f>E1033-F1033</f>
        <v/>
      </c>
      <c r="H1033">
        <f>Data!P1084</f>
        <v/>
      </c>
      <c r="I1033">
        <f>G1033+H1033</f>
        <v/>
      </c>
      <c r="J1033">
        <f>F1033+G1033+H1033</f>
        <v/>
      </c>
      <c r="K1033">
        <f>Data!R1084</f>
        <v/>
      </c>
      <c r="L1033">
        <f>Data!T1084</f>
        <v/>
      </c>
      <c r="M1033">
        <f>AND(E1033=0,F1033=0,G1033=0,H1033=0,I1033=0,J1033=0,K1033=0,L1033=0)</f>
        <v/>
      </c>
      <c r="N1033">
        <f>G1033&lt;=$T$6</f>
        <v/>
      </c>
      <c r="O1033">
        <f>G1033&lt;=$T$12</f>
        <v/>
      </c>
      <c r="P1033">
        <f>OR(AND(H1033&gt;=$T$4,K1033&lt;=$T$5,N1033),M1033)</f>
        <v/>
      </c>
      <c r="Q1033">
        <f>OR(AND(I1033&gt;=$T$10,K1033&lt;=$T$11,O1033),M1033)</f>
        <v/>
      </c>
    </row>
    <row r="1034">
      <c r="A1034">
        <f>Data!E1085</f>
        <v/>
      </c>
      <c r="B1034">
        <f>Data!G1085</f>
        <v/>
      </c>
      <c r="C1034">
        <f>Data!H1085</f>
        <v/>
      </c>
      <c r="D1034">
        <f>Data!I1085</f>
        <v/>
      </c>
      <c r="E1034">
        <f>Data!M1085</f>
        <v/>
      </c>
      <c r="F1034">
        <f>Data!O1085</f>
        <v/>
      </c>
      <c r="G1034">
        <f>E1034-F1034</f>
        <v/>
      </c>
      <c r="H1034">
        <f>Data!P1085</f>
        <v/>
      </c>
      <c r="I1034">
        <f>G1034+H1034</f>
        <v/>
      </c>
      <c r="J1034">
        <f>F1034+G1034+H1034</f>
        <v/>
      </c>
      <c r="K1034">
        <f>Data!R1085</f>
        <v/>
      </c>
      <c r="L1034">
        <f>Data!T1085</f>
        <v/>
      </c>
      <c r="M1034">
        <f>AND(E1034=0,F1034=0,G1034=0,H1034=0,I1034=0,J1034=0,K1034=0,L1034=0)</f>
        <v/>
      </c>
      <c r="N1034">
        <f>G1034&lt;=$T$6</f>
        <v/>
      </c>
      <c r="O1034">
        <f>G1034&lt;=$T$12</f>
        <v/>
      </c>
      <c r="P1034">
        <f>OR(AND(H1034&gt;=$T$4,K1034&lt;=$T$5,N1034),M1034)</f>
        <v/>
      </c>
      <c r="Q1034">
        <f>OR(AND(I1034&gt;=$T$10,K1034&lt;=$T$11,O1034),M1034)</f>
        <v/>
      </c>
    </row>
    <row r="1035">
      <c r="A1035">
        <f>Data!E1086</f>
        <v/>
      </c>
      <c r="B1035">
        <f>Data!G1086</f>
        <v/>
      </c>
      <c r="C1035">
        <f>Data!H1086</f>
        <v/>
      </c>
      <c r="D1035">
        <f>Data!I1086</f>
        <v/>
      </c>
      <c r="E1035">
        <f>Data!M1086</f>
        <v/>
      </c>
      <c r="F1035">
        <f>Data!O1086</f>
        <v/>
      </c>
      <c r="G1035">
        <f>E1035-F1035</f>
        <v/>
      </c>
      <c r="H1035">
        <f>Data!P1086</f>
        <v/>
      </c>
      <c r="I1035">
        <f>G1035+H1035</f>
        <v/>
      </c>
      <c r="J1035">
        <f>F1035+G1035+H1035</f>
        <v/>
      </c>
      <c r="K1035">
        <f>Data!R1086</f>
        <v/>
      </c>
      <c r="L1035">
        <f>Data!T1086</f>
        <v/>
      </c>
      <c r="M1035">
        <f>AND(E1035=0,F1035=0,G1035=0,H1035=0,I1035=0,J1035=0,K1035=0,L1035=0)</f>
        <v/>
      </c>
      <c r="N1035">
        <f>G1035&lt;=$T$6</f>
        <v/>
      </c>
      <c r="O1035">
        <f>G1035&lt;=$T$12</f>
        <v/>
      </c>
      <c r="P1035">
        <f>OR(AND(H1035&gt;=$T$4,K1035&lt;=$T$5,N1035),M1035)</f>
        <v/>
      </c>
      <c r="Q1035">
        <f>OR(AND(I1035&gt;=$T$10,K1035&lt;=$T$11,O1035),M1035)</f>
        <v/>
      </c>
    </row>
    <row r="1036">
      <c r="A1036">
        <f>Data!E1087</f>
        <v/>
      </c>
      <c r="B1036">
        <f>Data!G1087</f>
        <v/>
      </c>
      <c r="C1036">
        <f>Data!H1087</f>
        <v/>
      </c>
      <c r="D1036">
        <f>Data!I1087</f>
        <v/>
      </c>
      <c r="E1036">
        <f>Data!M1087</f>
        <v/>
      </c>
      <c r="F1036">
        <f>Data!O1087</f>
        <v/>
      </c>
      <c r="G1036">
        <f>E1036-F1036</f>
        <v/>
      </c>
      <c r="H1036">
        <f>Data!P1087</f>
        <v/>
      </c>
      <c r="I1036">
        <f>G1036+H1036</f>
        <v/>
      </c>
      <c r="J1036">
        <f>F1036+G1036+H1036</f>
        <v/>
      </c>
      <c r="K1036">
        <f>Data!R1087</f>
        <v/>
      </c>
      <c r="L1036">
        <f>Data!T1087</f>
        <v/>
      </c>
      <c r="M1036">
        <f>AND(E1036=0,F1036=0,G1036=0,H1036=0,I1036=0,J1036=0,K1036=0,L1036=0)</f>
        <v/>
      </c>
      <c r="N1036">
        <f>G1036&lt;=$T$6</f>
        <v/>
      </c>
      <c r="O1036">
        <f>G1036&lt;=$T$12</f>
        <v/>
      </c>
      <c r="P1036">
        <f>OR(AND(H1036&gt;=$T$4,K1036&lt;=$T$5,N1036),M1036)</f>
        <v/>
      </c>
      <c r="Q1036">
        <f>OR(AND(I1036&gt;=$T$10,K1036&lt;=$T$11,O1036),M1036)</f>
        <v/>
      </c>
    </row>
    <row r="1037">
      <c r="A1037">
        <f>Data!E1088</f>
        <v/>
      </c>
      <c r="B1037">
        <f>Data!G1088</f>
        <v/>
      </c>
      <c r="C1037">
        <f>Data!H1088</f>
        <v/>
      </c>
      <c r="D1037">
        <f>Data!I1088</f>
        <v/>
      </c>
      <c r="E1037">
        <f>Data!M1088</f>
        <v/>
      </c>
      <c r="F1037">
        <f>Data!O1088</f>
        <v/>
      </c>
      <c r="G1037">
        <f>E1037-F1037</f>
        <v/>
      </c>
      <c r="H1037">
        <f>Data!P1088</f>
        <v/>
      </c>
      <c r="I1037">
        <f>G1037+H1037</f>
        <v/>
      </c>
      <c r="J1037">
        <f>F1037+G1037+H1037</f>
        <v/>
      </c>
      <c r="K1037">
        <f>Data!R1088</f>
        <v/>
      </c>
      <c r="L1037">
        <f>Data!T1088</f>
        <v/>
      </c>
      <c r="M1037">
        <f>AND(E1037=0,F1037=0,G1037=0,H1037=0,I1037=0,J1037=0,K1037=0,L1037=0)</f>
        <v/>
      </c>
      <c r="N1037">
        <f>G1037&lt;=$T$6</f>
        <v/>
      </c>
      <c r="O1037">
        <f>G1037&lt;=$T$12</f>
        <v/>
      </c>
      <c r="P1037">
        <f>OR(AND(H1037&gt;=$T$4,K1037&lt;=$T$5,N1037),M1037)</f>
        <v/>
      </c>
      <c r="Q1037">
        <f>OR(AND(I1037&gt;=$T$10,K1037&lt;=$T$11,O1037),M1037)</f>
        <v/>
      </c>
    </row>
    <row r="1038">
      <c r="A1038">
        <f>Data!E1089</f>
        <v/>
      </c>
      <c r="B1038">
        <f>Data!G1089</f>
        <v/>
      </c>
      <c r="C1038">
        <f>Data!H1089</f>
        <v/>
      </c>
      <c r="D1038">
        <f>Data!I1089</f>
        <v/>
      </c>
      <c r="E1038">
        <f>Data!M1089</f>
        <v/>
      </c>
      <c r="F1038">
        <f>Data!O1089</f>
        <v/>
      </c>
      <c r="G1038">
        <f>E1038-F1038</f>
        <v/>
      </c>
      <c r="H1038">
        <f>Data!P1089</f>
        <v/>
      </c>
      <c r="I1038">
        <f>G1038+H1038</f>
        <v/>
      </c>
      <c r="J1038">
        <f>F1038+G1038+H1038</f>
        <v/>
      </c>
      <c r="K1038">
        <f>Data!R1089</f>
        <v/>
      </c>
      <c r="L1038">
        <f>Data!T1089</f>
        <v/>
      </c>
      <c r="M1038">
        <f>AND(E1038=0,F1038=0,G1038=0,H1038=0,I1038=0,J1038=0,K1038=0,L1038=0)</f>
        <v/>
      </c>
      <c r="N1038">
        <f>G1038&lt;=$T$6</f>
        <v/>
      </c>
      <c r="O1038">
        <f>G1038&lt;=$T$12</f>
        <v/>
      </c>
      <c r="P1038">
        <f>OR(AND(H1038&gt;=$T$4,K1038&lt;=$T$5,N1038),M1038)</f>
        <v/>
      </c>
      <c r="Q1038">
        <f>OR(AND(I1038&gt;=$T$10,K1038&lt;=$T$11,O1038),M1038)</f>
        <v/>
      </c>
    </row>
    <row r="1039">
      <c r="A1039">
        <f>Data!E1090</f>
        <v/>
      </c>
      <c r="B1039">
        <f>Data!G1090</f>
        <v/>
      </c>
      <c r="C1039">
        <f>Data!H1090</f>
        <v/>
      </c>
      <c r="D1039">
        <f>Data!I1090</f>
        <v/>
      </c>
      <c r="E1039">
        <f>Data!M1090</f>
        <v/>
      </c>
      <c r="F1039">
        <f>Data!O1090</f>
        <v/>
      </c>
      <c r="G1039">
        <f>E1039-F1039</f>
        <v/>
      </c>
      <c r="H1039">
        <f>Data!P1090</f>
        <v/>
      </c>
      <c r="I1039">
        <f>G1039+H1039</f>
        <v/>
      </c>
      <c r="J1039">
        <f>F1039+G1039+H1039</f>
        <v/>
      </c>
      <c r="K1039">
        <f>Data!R1090</f>
        <v/>
      </c>
      <c r="L1039">
        <f>Data!T1090</f>
        <v/>
      </c>
      <c r="M1039">
        <f>AND(E1039=0,F1039=0,G1039=0,H1039=0,I1039=0,J1039=0,K1039=0,L1039=0)</f>
        <v/>
      </c>
      <c r="N1039">
        <f>G1039&lt;=$T$6</f>
        <v/>
      </c>
      <c r="O1039">
        <f>G1039&lt;=$T$12</f>
        <v/>
      </c>
      <c r="P1039">
        <f>OR(AND(H1039&gt;=$T$4,K1039&lt;=$T$5,N1039),M1039)</f>
        <v/>
      </c>
      <c r="Q1039">
        <f>OR(AND(I1039&gt;=$T$10,K1039&lt;=$T$11,O1039),M1039)</f>
        <v/>
      </c>
    </row>
    <row r="1040">
      <c r="A1040">
        <f>Data!E1091</f>
        <v/>
      </c>
      <c r="B1040">
        <f>Data!G1091</f>
        <v/>
      </c>
      <c r="C1040">
        <f>Data!H1091</f>
        <v/>
      </c>
      <c r="D1040">
        <f>Data!I1091</f>
        <v/>
      </c>
      <c r="E1040">
        <f>Data!M1091</f>
        <v/>
      </c>
      <c r="F1040">
        <f>Data!O1091</f>
        <v/>
      </c>
      <c r="G1040">
        <f>E1040-F1040</f>
        <v/>
      </c>
      <c r="H1040">
        <f>Data!P1091</f>
        <v/>
      </c>
      <c r="I1040">
        <f>G1040+H1040</f>
        <v/>
      </c>
      <c r="J1040">
        <f>F1040+G1040+H1040</f>
        <v/>
      </c>
      <c r="K1040">
        <f>Data!R1091</f>
        <v/>
      </c>
      <c r="L1040">
        <f>Data!T1091</f>
        <v/>
      </c>
      <c r="M1040">
        <f>AND(E1040=0,F1040=0,G1040=0,H1040=0,I1040=0,J1040=0,K1040=0,L1040=0)</f>
        <v/>
      </c>
      <c r="N1040">
        <f>G1040&lt;=$T$6</f>
        <v/>
      </c>
      <c r="O1040">
        <f>G1040&lt;=$T$12</f>
        <v/>
      </c>
      <c r="P1040">
        <f>OR(AND(H1040&gt;=$T$4,K1040&lt;=$T$5,N1040),M1040)</f>
        <v/>
      </c>
      <c r="Q1040">
        <f>OR(AND(I1040&gt;=$T$10,K1040&lt;=$T$11,O1040),M1040)</f>
        <v/>
      </c>
    </row>
    <row r="1041">
      <c r="A1041">
        <f>Data!E1092</f>
        <v/>
      </c>
      <c r="B1041">
        <f>Data!G1092</f>
        <v/>
      </c>
      <c r="C1041">
        <f>Data!H1092</f>
        <v/>
      </c>
      <c r="D1041">
        <f>Data!I1092</f>
        <v/>
      </c>
      <c r="E1041">
        <f>Data!M1092</f>
        <v/>
      </c>
      <c r="F1041">
        <f>Data!O1092</f>
        <v/>
      </c>
      <c r="G1041">
        <f>E1041-F1041</f>
        <v/>
      </c>
      <c r="H1041">
        <f>Data!P1092</f>
        <v/>
      </c>
      <c r="I1041">
        <f>G1041+H1041</f>
        <v/>
      </c>
      <c r="J1041">
        <f>F1041+G1041+H1041</f>
        <v/>
      </c>
      <c r="K1041">
        <f>Data!R1092</f>
        <v/>
      </c>
      <c r="L1041">
        <f>Data!T1092</f>
        <v/>
      </c>
      <c r="M1041">
        <f>AND(E1041=0,F1041=0,G1041=0,H1041=0,I1041=0,J1041=0,K1041=0,L1041=0)</f>
        <v/>
      </c>
      <c r="N1041">
        <f>G1041&lt;=$T$6</f>
        <v/>
      </c>
      <c r="O1041">
        <f>G1041&lt;=$T$12</f>
        <v/>
      </c>
      <c r="P1041">
        <f>OR(AND(H1041&gt;=$T$4,K1041&lt;=$T$5,N1041),M1041)</f>
        <v/>
      </c>
      <c r="Q1041">
        <f>OR(AND(I1041&gt;=$T$10,K1041&lt;=$T$11,O1041),M1041)</f>
        <v/>
      </c>
    </row>
    <row r="1042">
      <c r="A1042">
        <f>Data!E1093</f>
        <v/>
      </c>
      <c r="B1042">
        <f>Data!G1093</f>
        <v/>
      </c>
      <c r="C1042">
        <f>Data!H1093</f>
        <v/>
      </c>
      <c r="D1042">
        <f>Data!I1093</f>
        <v/>
      </c>
      <c r="E1042">
        <f>Data!M1093</f>
        <v/>
      </c>
      <c r="F1042">
        <f>Data!O1093</f>
        <v/>
      </c>
      <c r="G1042">
        <f>E1042-F1042</f>
        <v/>
      </c>
      <c r="H1042">
        <f>Data!P1093</f>
        <v/>
      </c>
      <c r="I1042">
        <f>G1042+H1042</f>
        <v/>
      </c>
      <c r="J1042">
        <f>F1042+G1042+H1042</f>
        <v/>
      </c>
      <c r="K1042">
        <f>Data!R1093</f>
        <v/>
      </c>
      <c r="L1042">
        <f>Data!T1093</f>
        <v/>
      </c>
      <c r="M1042">
        <f>AND(E1042=0,F1042=0,G1042=0,H1042=0,I1042=0,J1042=0,K1042=0,L1042=0)</f>
        <v/>
      </c>
      <c r="N1042">
        <f>G1042&lt;=$T$6</f>
        <v/>
      </c>
      <c r="O1042">
        <f>G1042&lt;=$T$12</f>
        <v/>
      </c>
      <c r="P1042">
        <f>OR(AND(H1042&gt;=$T$4,K1042&lt;=$T$5,N1042),M1042)</f>
        <v/>
      </c>
      <c r="Q1042">
        <f>OR(AND(I1042&gt;=$T$10,K1042&lt;=$T$11,O1042),M1042)</f>
        <v/>
      </c>
    </row>
    <row r="1043">
      <c r="A1043">
        <f>Data!E1095</f>
        <v/>
      </c>
      <c r="B1043">
        <f>Data!G1095</f>
        <v/>
      </c>
      <c r="C1043">
        <f>Data!H1095</f>
        <v/>
      </c>
      <c r="D1043">
        <f>Data!I1095</f>
        <v/>
      </c>
      <c r="E1043">
        <f>Data!M1095</f>
        <v/>
      </c>
      <c r="F1043">
        <f>Data!O1095</f>
        <v/>
      </c>
      <c r="G1043">
        <f>E1043-F1043</f>
        <v/>
      </c>
      <c r="H1043">
        <f>Data!P1095</f>
        <v/>
      </c>
      <c r="I1043">
        <f>G1043+H1043</f>
        <v/>
      </c>
      <c r="J1043">
        <f>F1043+G1043+H1043</f>
        <v/>
      </c>
      <c r="K1043">
        <f>Data!R1095</f>
        <v/>
      </c>
      <c r="L1043">
        <f>Data!T1095</f>
        <v/>
      </c>
      <c r="M1043">
        <f>AND(E1043=0,F1043=0,G1043=0,H1043=0,I1043=0,J1043=0,K1043=0,L1043=0)</f>
        <v/>
      </c>
      <c r="N1043">
        <f>G1043&lt;=$T$6</f>
        <v/>
      </c>
      <c r="O1043">
        <f>G1043&lt;=$T$12</f>
        <v/>
      </c>
      <c r="P1043">
        <f>OR(AND(H1043&gt;=$T$4,K1043&lt;=$T$5,N1043),M1043)</f>
        <v/>
      </c>
      <c r="Q1043">
        <f>OR(AND(I1043&gt;=$T$10,K1043&lt;=$T$11,O1043),M1043)</f>
        <v/>
      </c>
    </row>
    <row r="1044">
      <c r="A1044">
        <f>Data!E1096</f>
        <v/>
      </c>
      <c r="B1044">
        <f>Data!G1096</f>
        <v/>
      </c>
      <c r="C1044">
        <f>Data!H1096</f>
        <v/>
      </c>
      <c r="D1044">
        <f>Data!I1096</f>
        <v/>
      </c>
      <c r="E1044">
        <f>Data!M1096</f>
        <v/>
      </c>
      <c r="F1044">
        <f>Data!O1096</f>
        <v/>
      </c>
      <c r="G1044">
        <f>E1044-F1044</f>
        <v/>
      </c>
      <c r="H1044">
        <f>Data!P1096</f>
        <v/>
      </c>
      <c r="I1044">
        <f>G1044+H1044</f>
        <v/>
      </c>
      <c r="J1044">
        <f>F1044+G1044+H1044</f>
        <v/>
      </c>
      <c r="K1044">
        <f>Data!R1096</f>
        <v/>
      </c>
      <c r="L1044">
        <f>Data!T1096</f>
        <v/>
      </c>
      <c r="M1044">
        <f>AND(E1044=0,F1044=0,G1044=0,H1044=0,I1044=0,J1044=0,K1044=0,L1044=0)</f>
        <v/>
      </c>
      <c r="N1044">
        <f>G1044&lt;=$T$6</f>
        <v/>
      </c>
      <c r="O1044">
        <f>G1044&lt;=$T$12</f>
        <v/>
      </c>
      <c r="P1044">
        <f>OR(AND(H1044&gt;=$T$4,K1044&lt;=$T$5,N1044),M1044)</f>
        <v/>
      </c>
      <c r="Q1044">
        <f>OR(AND(I1044&gt;=$T$10,K1044&lt;=$T$11,O1044),M1044)</f>
        <v/>
      </c>
    </row>
    <row r="1045">
      <c r="A1045">
        <f>Data!E1097</f>
        <v/>
      </c>
      <c r="B1045">
        <f>Data!G1097</f>
        <v/>
      </c>
      <c r="C1045">
        <f>Data!H1097</f>
        <v/>
      </c>
      <c r="D1045">
        <f>Data!I1097</f>
        <v/>
      </c>
      <c r="E1045">
        <f>Data!M1097</f>
        <v/>
      </c>
      <c r="F1045">
        <f>Data!O1097</f>
        <v/>
      </c>
      <c r="G1045">
        <f>E1045-F1045</f>
        <v/>
      </c>
      <c r="H1045">
        <f>Data!P1097</f>
        <v/>
      </c>
      <c r="I1045">
        <f>G1045+H1045</f>
        <v/>
      </c>
      <c r="J1045">
        <f>F1045+G1045+H1045</f>
        <v/>
      </c>
      <c r="K1045">
        <f>Data!R1097</f>
        <v/>
      </c>
      <c r="L1045">
        <f>Data!T1097</f>
        <v/>
      </c>
      <c r="M1045">
        <f>AND(E1045=0,F1045=0,G1045=0,H1045=0,I1045=0,J1045=0,K1045=0,L1045=0)</f>
        <v/>
      </c>
      <c r="N1045">
        <f>G1045&lt;=$T$6</f>
        <v/>
      </c>
      <c r="O1045">
        <f>G1045&lt;=$T$12</f>
        <v/>
      </c>
      <c r="P1045">
        <f>OR(AND(H1045&gt;=$T$4,K1045&lt;=$T$5,N1045),M1045)</f>
        <v/>
      </c>
      <c r="Q1045">
        <f>OR(AND(I1045&gt;=$T$10,K1045&lt;=$T$11,O1045),M1045)</f>
        <v/>
      </c>
    </row>
    <row r="1046">
      <c r="A1046">
        <f>Data!E1098</f>
        <v/>
      </c>
      <c r="B1046">
        <f>Data!G1098</f>
        <v/>
      </c>
      <c r="C1046">
        <f>Data!H1098</f>
        <v/>
      </c>
      <c r="D1046">
        <f>Data!I1098</f>
        <v/>
      </c>
      <c r="E1046">
        <f>Data!M1098</f>
        <v/>
      </c>
      <c r="F1046">
        <f>Data!O1098</f>
        <v/>
      </c>
      <c r="G1046">
        <f>E1046-F1046</f>
        <v/>
      </c>
      <c r="H1046">
        <f>Data!P1098</f>
        <v/>
      </c>
      <c r="I1046">
        <f>G1046+H1046</f>
        <v/>
      </c>
      <c r="J1046">
        <f>F1046+G1046+H1046</f>
        <v/>
      </c>
      <c r="K1046">
        <f>Data!R1098</f>
        <v/>
      </c>
      <c r="L1046">
        <f>Data!T1098</f>
        <v/>
      </c>
      <c r="M1046">
        <f>AND(E1046=0,F1046=0,G1046=0,H1046=0,I1046=0,J1046=0,K1046=0,L1046=0)</f>
        <v/>
      </c>
      <c r="N1046">
        <f>G1046&lt;=$T$6</f>
        <v/>
      </c>
      <c r="O1046">
        <f>G1046&lt;=$T$12</f>
        <v/>
      </c>
      <c r="P1046">
        <f>OR(AND(H1046&gt;=$T$4,K1046&lt;=$T$5,N1046),M1046)</f>
        <v/>
      </c>
      <c r="Q1046">
        <f>OR(AND(I1046&gt;=$T$10,K1046&lt;=$T$11,O1046),M1046)</f>
        <v/>
      </c>
    </row>
    <row r="1047">
      <c r="A1047">
        <f>Data!E1099</f>
        <v/>
      </c>
      <c r="B1047">
        <f>Data!G1099</f>
        <v/>
      </c>
      <c r="C1047">
        <f>Data!H1099</f>
        <v/>
      </c>
      <c r="D1047">
        <f>Data!I1099</f>
        <v/>
      </c>
      <c r="E1047">
        <f>Data!M1099</f>
        <v/>
      </c>
      <c r="F1047">
        <f>Data!O1099</f>
        <v/>
      </c>
      <c r="G1047">
        <f>E1047-F1047</f>
        <v/>
      </c>
      <c r="H1047">
        <f>Data!P1099</f>
        <v/>
      </c>
      <c r="I1047">
        <f>G1047+H1047</f>
        <v/>
      </c>
      <c r="J1047">
        <f>F1047+G1047+H1047</f>
        <v/>
      </c>
      <c r="K1047">
        <f>Data!R1099</f>
        <v/>
      </c>
      <c r="L1047">
        <f>Data!T1099</f>
        <v/>
      </c>
      <c r="M1047">
        <f>AND(E1047=0,F1047=0,G1047=0,H1047=0,I1047=0,J1047=0,K1047=0,L1047=0)</f>
        <v/>
      </c>
      <c r="N1047">
        <f>G1047&lt;=$T$6</f>
        <v/>
      </c>
      <c r="O1047">
        <f>G1047&lt;=$T$12</f>
        <v/>
      </c>
      <c r="P1047">
        <f>OR(AND(H1047&gt;=$T$4,K1047&lt;=$T$5,N1047),M1047)</f>
        <v/>
      </c>
      <c r="Q1047">
        <f>OR(AND(I1047&gt;=$T$10,K1047&lt;=$T$11,O1047),M1047)</f>
        <v/>
      </c>
    </row>
    <row r="1048">
      <c r="A1048">
        <f>Data!E1100</f>
        <v/>
      </c>
      <c r="B1048">
        <f>Data!G1100</f>
        <v/>
      </c>
      <c r="C1048">
        <f>Data!H1100</f>
        <v/>
      </c>
      <c r="D1048">
        <f>Data!I1100</f>
        <v/>
      </c>
      <c r="E1048">
        <f>Data!M1100</f>
        <v/>
      </c>
      <c r="F1048">
        <f>Data!O1100</f>
        <v/>
      </c>
      <c r="G1048">
        <f>E1048-F1048</f>
        <v/>
      </c>
      <c r="H1048">
        <f>Data!P1100</f>
        <v/>
      </c>
      <c r="I1048">
        <f>G1048+H1048</f>
        <v/>
      </c>
      <c r="J1048">
        <f>F1048+G1048+H1048</f>
        <v/>
      </c>
      <c r="K1048">
        <f>Data!R1100</f>
        <v/>
      </c>
      <c r="L1048">
        <f>Data!T1100</f>
        <v/>
      </c>
      <c r="M1048">
        <f>AND(E1048=0,F1048=0,G1048=0,H1048=0,I1048=0,J1048=0,K1048=0,L1048=0)</f>
        <v/>
      </c>
      <c r="N1048">
        <f>G1048&lt;=$T$6</f>
        <v/>
      </c>
      <c r="O1048">
        <f>G1048&lt;=$T$12</f>
        <v/>
      </c>
      <c r="P1048">
        <f>OR(AND(H1048&gt;=$T$4,K1048&lt;=$T$5,N1048),M1048)</f>
        <v/>
      </c>
      <c r="Q1048">
        <f>OR(AND(I1048&gt;=$T$10,K1048&lt;=$T$11,O1048),M1048)</f>
        <v/>
      </c>
    </row>
    <row r="1049">
      <c r="A1049">
        <f>Data!E1101</f>
        <v/>
      </c>
      <c r="B1049">
        <f>Data!G1101</f>
        <v/>
      </c>
      <c r="C1049">
        <f>Data!H1101</f>
        <v/>
      </c>
      <c r="D1049">
        <f>Data!I1101</f>
        <v/>
      </c>
      <c r="E1049">
        <f>Data!M1101</f>
        <v/>
      </c>
      <c r="F1049">
        <f>Data!O1101</f>
        <v/>
      </c>
      <c r="G1049">
        <f>E1049-F1049</f>
        <v/>
      </c>
      <c r="H1049">
        <f>Data!P1101</f>
        <v/>
      </c>
      <c r="I1049">
        <f>G1049+H1049</f>
        <v/>
      </c>
      <c r="J1049">
        <f>F1049+G1049+H1049</f>
        <v/>
      </c>
      <c r="K1049">
        <f>Data!R1101</f>
        <v/>
      </c>
      <c r="L1049">
        <f>Data!T1101</f>
        <v/>
      </c>
      <c r="M1049">
        <f>AND(E1049=0,F1049=0,G1049=0,H1049=0,I1049=0,J1049=0,K1049=0,L1049=0)</f>
        <v/>
      </c>
      <c r="N1049">
        <f>G1049&lt;=$T$6</f>
        <v/>
      </c>
      <c r="O1049">
        <f>G1049&lt;=$T$12</f>
        <v/>
      </c>
      <c r="P1049">
        <f>OR(AND(H1049&gt;=$T$4,K1049&lt;=$T$5,N1049),M1049)</f>
        <v/>
      </c>
      <c r="Q1049">
        <f>OR(AND(I1049&gt;=$T$10,K1049&lt;=$T$11,O1049),M1049)</f>
        <v/>
      </c>
    </row>
    <row r="1050">
      <c r="A1050">
        <f>Data!E1102</f>
        <v/>
      </c>
      <c r="B1050">
        <f>Data!G1102</f>
        <v/>
      </c>
      <c r="C1050">
        <f>Data!H1102</f>
        <v/>
      </c>
      <c r="D1050">
        <f>Data!I1102</f>
        <v/>
      </c>
      <c r="E1050">
        <f>Data!M1102</f>
        <v/>
      </c>
      <c r="F1050">
        <f>Data!O1102</f>
        <v/>
      </c>
      <c r="G1050">
        <f>E1050-F1050</f>
        <v/>
      </c>
      <c r="H1050">
        <f>Data!P1102</f>
        <v/>
      </c>
      <c r="I1050">
        <f>G1050+H1050</f>
        <v/>
      </c>
      <c r="J1050">
        <f>F1050+G1050+H1050</f>
        <v/>
      </c>
      <c r="K1050">
        <f>Data!R1102</f>
        <v/>
      </c>
      <c r="L1050">
        <f>Data!T1102</f>
        <v/>
      </c>
      <c r="M1050">
        <f>AND(E1050=0,F1050=0,G1050=0,H1050=0,I1050=0,J1050=0,K1050=0,L1050=0)</f>
        <v/>
      </c>
      <c r="N1050">
        <f>G1050&lt;=$T$6</f>
        <v/>
      </c>
      <c r="O1050">
        <f>G1050&lt;=$T$12</f>
        <v/>
      </c>
      <c r="P1050">
        <f>OR(AND(H1050&gt;=$T$4,K1050&lt;=$T$5,N1050),M1050)</f>
        <v/>
      </c>
      <c r="Q1050">
        <f>OR(AND(I1050&gt;=$T$10,K1050&lt;=$T$11,O1050),M1050)</f>
        <v/>
      </c>
    </row>
    <row r="1051">
      <c r="A1051">
        <f>Data!E1103</f>
        <v/>
      </c>
      <c r="B1051">
        <f>Data!G1103</f>
        <v/>
      </c>
      <c r="C1051">
        <f>Data!H1103</f>
        <v/>
      </c>
      <c r="D1051">
        <f>Data!I1103</f>
        <v/>
      </c>
      <c r="E1051">
        <f>Data!M1103</f>
        <v/>
      </c>
      <c r="F1051">
        <f>Data!O1103</f>
        <v/>
      </c>
      <c r="G1051">
        <f>E1051-F1051</f>
        <v/>
      </c>
      <c r="H1051">
        <f>Data!P1103</f>
        <v/>
      </c>
      <c r="I1051">
        <f>G1051+H1051</f>
        <v/>
      </c>
      <c r="J1051">
        <f>F1051+G1051+H1051</f>
        <v/>
      </c>
      <c r="K1051">
        <f>Data!R1103</f>
        <v/>
      </c>
      <c r="L1051">
        <f>Data!T1103</f>
        <v/>
      </c>
      <c r="M1051">
        <f>AND(E1051=0,F1051=0,G1051=0,H1051=0,I1051=0,J1051=0,K1051=0,L1051=0)</f>
        <v/>
      </c>
      <c r="N1051">
        <f>G1051&lt;=$T$6</f>
        <v/>
      </c>
      <c r="O1051">
        <f>G1051&lt;=$T$12</f>
        <v/>
      </c>
      <c r="P1051">
        <f>OR(AND(H1051&gt;=$T$4,K1051&lt;=$T$5,N1051),M1051)</f>
        <v/>
      </c>
      <c r="Q1051">
        <f>OR(AND(I1051&gt;=$T$10,K1051&lt;=$T$11,O1051),M1051)</f>
        <v/>
      </c>
    </row>
    <row r="1052">
      <c r="A1052">
        <f>Data!E1104</f>
        <v/>
      </c>
      <c r="B1052">
        <f>Data!G1104</f>
        <v/>
      </c>
      <c r="C1052">
        <f>Data!H1104</f>
        <v/>
      </c>
      <c r="D1052">
        <f>Data!I1104</f>
        <v/>
      </c>
      <c r="E1052">
        <f>Data!M1104</f>
        <v/>
      </c>
      <c r="F1052">
        <f>Data!O1104</f>
        <v/>
      </c>
      <c r="G1052">
        <f>E1052-F1052</f>
        <v/>
      </c>
      <c r="H1052">
        <f>Data!P1104</f>
        <v/>
      </c>
      <c r="I1052">
        <f>G1052+H1052</f>
        <v/>
      </c>
      <c r="J1052">
        <f>F1052+G1052+H1052</f>
        <v/>
      </c>
      <c r="K1052">
        <f>Data!R1104</f>
        <v/>
      </c>
      <c r="L1052">
        <f>Data!T1104</f>
        <v/>
      </c>
      <c r="M1052">
        <f>AND(E1052=0,F1052=0,G1052=0,H1052=0,I1052=0,J1052=0,K1052=0,L1052=0)</f>
        <v/>
      </c>
      <c r="N1052">
        <f>G1052&lt;=$T$6</f>
        <v/>
      </c>
      <c r="O1052">
        <f>G1052&lt;=$T$12</f>
        <v/>
      </c>
      <c r="P1052">
        <f>OR(AND(H1052&gt;=$T$4,K1052&lt;=$T$5,N1052),M1052)</f>
        <v/>
      </c>
      <c r="Q1052">
        <f>OR(AND(I1052&gt;=$T$10,K1052&lt;=$T$11,O1052),M1052)</f>
        <v/>
      </c>
    </row>
    <row r="1053">
      <c r="A1053">
        <f>Data!E1105</f>
        <v/>
      </c>
      <c r="B1053">
        <f>Data!G1105</f>
        <v/>
      </c>
      <c r="C1053">
        <f>Data!H1105</f>
        <v/>
      </c>
      <c r="D1053">
        <f>Data!I1105</f>
        <v/>
      </c>
      <c r="E1053">
        <f>Data!M1105</f>
        <v/>
      </c>
      <c r="F1053">
        <f>Data!O1105</f>
        <v/>
      </c>
      <c r="G1053">
        <f>E1053-F1053</f>
        <v/>
      </c>
      <c r="H1053">
        <f>Data!P1105</f>
        <v/>
      </c>
      <c r="I1053">
        <f>G1053+H1053</f>
        <v/>
      </c>
      <c r="J1053">
        <f>F1053+G1053+H1053</f>
        <v/>
      </c>
      <c r="K1053">
        <f>Data!R1105</f>
        <v/>
      </c>
      <c r="L1053">
        <f>Data!T1105</f>
        <v/>
      </c>
      <c r="M1053">
        <f>AND(E1053=0,F1053=0,G1053=0,H1053=0,I1053=0,J1053=0,K1053=0,L1053=0)</f>
        <v/>
      </c>
      <c r="N1053">
        <f>G1053&lt;=$T$6</f>
        <v/>
      </c>
      <c r="O1053">
        <f>G1053&lt;=$T$12</f>
        <v/>
      </c>
      <c r="P1053">
        <f>OR(AND(H1053&gt;=$T$4,K1053&lt;=$T$5,N1053),M1053)</f>
        <v/>
      </c>
      <c r="Q1053">
        <f>OR(AND(I1053&gt;=$T$10,K1053&lt;=$T$11,O1053),M1053)</f>
        <v/>
      </c>
    </row>
    <row r="1054">
      <c r="A1054">
        <f>Data!E1106</f>
        <v/>
      </c>
      <c r="B1054">
        <f>Data!G1106</f>
        <v/>
      </c>
      <c r="C1054">
        <f>Data!H1106</f>
        <v/>
      </c>
      <c r="D1054">
        <f>Data!I1106</f>
        <v/>
      </c>
      <c r="E1054">
        <f>Data!M1106</f>
        <v/>
      </c>
      <c r="F1054">
        <f>Data!O1106</f>
        <v/>
      </c>
      <c r="G1054">
        <f>E1054-F1054</f>
        <v/>
      </c>
      <c r="H1054">
        <f>Data!P1106</f>
        <v/>
      </c>
      <c r="I1054">
        <f>G1054+H1054</f>
        <v/>
      </c>
      <c r="J1054">
        <f>F1054+G1054+H1054</f>
        <v/>
      </c>
      <c r="K1054">
        <f>Data!R1106</f>
        <v/>
      </c>
      <c r="L1054">
        <f>Data!T1106</f>
        <v/>
      </c>
      <c r="M1054">
        <f>AND(E1054=0,F1054=0,G1054=0,H1054=0,I1054=0,J1054=0,K1054=0,L1054=0)</f>
        <v/>
      </c>
      <c r="N1054">
        <f>G1054&lt;=$T$6</f>
        <v/>
      </c>
      <c r="O1054">
        <f>G1054&lt;=$T$12</f>
        <v/>
      </c>
      <c r="P1054">
        <f>OR(AND(H1054&gt;=$T$4,K1054&lt;=$T$5,N1054),M1054)</f>
        <v/>
      </c>
      <c r="Q1054">
        <f>OR(AND(I1054&gt;=$T$10,K1054&lt;=$T$11,O1054),M1054)</f>
        <v/>
      </c>
    </row>
    <row r="1055">
      <c r="A1055">
        <f>Data!E1107</f>
        <v/>
      </c>
      <c r="B1055">
        <f>Data!G1107</f>
        <v/>
      </c>
      <c r="C1055">
        <f>Data!H1107</f>
        <v/>
      </c>
      <c r="D1055">
        <f>Data!I1107</f>
        <v/>
      </c>
      <c r="E1055">
        <f>Data!M1107</f>
        <v/>
      </c>
      <c r="F1055">
        <f>Data!O1107</f>
        <v/>
      </c>
      <c r="G1055">
        <f>E1055-F1055</f>
        <v/>
      </c>
      <c r="H1055">
        <f>Data!P1107</f>
        <v/>
      </c>
      <c r="I1055">
        <f>G1055+H1055</f>
        <v/>
      </c>
      <c r="J1055">
        <f>F1055+G1055+H1055</f>
        <v/>
      </c>
      <c r="K1055">
        <f>Data!R1107</f>
        <v/>
      </c>
      <c r="L1055">
        <f>Data!T1107</f>
        <v/>
      </c>
      <c r="M1055">
        <f>AND(E1055=0,F1055=0,G1055=0,H1055=0,I1055=0,J1055=0,K1055=0,L1055=0)</f>
        <v/>
      </c>
      <c r="N1055">
        <f>G1055&lt;=$T$6</f>
        <v/>
      </c>
      <c r="O1055">
        <f>G1055&lt;=$T$12</f>
        <v/>
      </c>
      <c r="P1055">
        <f>OR(AND(H1055&gt;=$T$4,K1055&lt;=$T$5,N1055),M1055)</f>
        <v/>
      </c>
      <c r="Q1055">
        <f>OR(AND(I1055&gt;=$T$10,K1055&lt;=$T$11,O1055),M1055)</f>
        <v/>
      </c>
    </row>
    <row r="1056">
      <c r="A1056">
        <f>Data!E1108</f>
        <v/>
      </c>
      <c r="B1056">
        <f>Data!G1108</f>
        <v/>
      </c>
      <c r="C1056">
        <f>Data!H1108</f>
        <v/>
      </c>
      <c r="D1056">
        <f>Data!I1108</f>
        <v/>
      </c>
      <c r="E1056">
        <f>Data!M1108</f>
        <v/>
      </c>
      <c r="F1056">
        <f>Data!O1108</f>
        <v/>
      </c>
      <c r="G1056">
        <f>E1056-F1056</f>
        <v/>
      </c>
      <c r="H1056">
        <f>Data!P1108</f>
        <v/>
      </c>
      <c r="I1056">
        <f>G1056+H1056</f>
        <v/>
      </c>
      <c r="J1056">
        <f>F1056+G1056+H1056</f>
        <v/>
      </c>
      <c r="K1056">
        <f>Data!R1108</f>
        <v/>
      </c>
      <c r="L1056">
        <f>Data!T1108</f>
        <v/>
      </c>
      <c r="M1056">
        <f>AND(E1056=0,F1056=0,G1056=0,H1056=0,I1056=0,J1056=0,K1056=0,L1056=0)</f>
        <v/>
      </c>
      <c r="N1056">
        <f>G1056&lt;=$T$6</f>
        <v/>
      </c>
      <c r="O1056">
        <f>G1056&lt;=$T$12</f>
        <v/>
      </c>
      <c r="P1056">
        <f>OR(AND(H1056&gt;=$T$4,K1056&lt;=$T$5,N1056),M1056)</f>
        <v/>
      </c>
      <c r="Q1056">
        <f>OR(AND(I1056&gt;=$T$10,K1056&lt;=$T$11,O1056),M1056)</f>
        <v/>
      </c>
    </row>
    <row r="1057">
      <c r="A1057">
        <f>Data!E1109</f>
        <v/>
      </c>
      <c r="B1057">
        <f>Data!G1109</f>
        <v/>
      </c>
      <c r="C1057">
        <f>Data!H1109</f>
        <v/>
      </c>
      <c r="D1057">
        <f>Data!I1109</f>
        <v/>
      </c>
      <c r="E1057">
        <f>Data!M1109</f>
        <v/>
      </c>
      <c r="F1057">
        <f>Data!O1109</f>
        <v/>
      </c>
      <c r="G1057">
        <f>E1057-F1057</f>
        <v/>
      </c>
      <c r="H1057">
        <f>Data!P1109</f>
        <v/>
      </c>
      <c r="I1057">
        <f>G1057+H1057</f>
        <v/>
      </c>
      <c r="J1057">
        <f>F1057+G1057+H1057</f>
        <v/>
      </c>
      <c r="K1057">
        <f>Data!R1109</f>
        <v/>
      </c>
      <c r="L1057">
        <f>Data!T1109</f>
        <v/>
      </c>
      <c r="M1057">
        <f>AND(E1057=0,F1057=0,G1057=0,H1057=0,I1057=0,J1057=0,K1057=0,L1057=0)</f>
        <v/>
      </c>
      <c r="N1057">
        <f>G1057&lt;=$T$6</f>
        <v/>
      </c>
      <c r="O1057">
        <f>G1057&lt;=$T$12</f>
        <v/>
      </c>
      <c r="P1057">
        <f>OR(AND(H1057&gt;=$T$4,K1057&lt;=$T$5,N1057),M1057)</f>
        <v/>
      </c>
      <c r="Q1057">
        <f>OR(AND(I1057&gt;=$T$10,K1057&lt;=$T$11,O1057),M1057)</f>
        <v/>
      </c>
    </row>
    <row r="1058">
      <c r="A1058">
        <f>Data!E1110</f>
        <v/>
      </c>
      <c r="B1058">
        <f>Data!G1110</f>
        <v/>
      </c>
      <c r="C1058">
        <f>Data!H1110</f>
        <v/>
      </c>
      <c r="D1058">
        <f>Data!I1110</f>
        <v/>
      </c>
      <c r="E1058">
        <f>Data!M1110</f>
        <v/>
      </c>
      <c r="F1058">
        <f>Data!O1110</f>
        <v/>
      </c>
      <c r="G1058">
        <f>E1058-F1058</f>
        <v/>
      </c>
      <c r="H1058">
        <f>Data!P1110</f>
        <v/>
      </c>
      <c r="I1058">
        <f>G1058+H1058</f>
        <v/>
      </c>
      <c r="J1058">
        <f>F1058+G1058+H1058</f>
        <v/>
      </c>
      <c r="K1058">
        <f>Data!R1110</f>
        <v/>
      </c>
      <c r="L1058">
        <f>Data!T1110</f>
        <v/>
      </c>
      <c r="M1058">
        <f>AND(E1058=0,F1058=0,G1058=0,H1058=0,I1058=0,J1058=0,K1058=0,L1058=0)</f>
        <v/>
      </c>
      <c r="N1058">
        <f>G1058&lt;=$T$6</f>
        <v/>
      </c>
      <c r="O1058">
        <f>G1058&lt;=$T$12</f>
        <v/>
      </c>
      <c r="P1058">
        <f>OR(AND(H1058&gt;=$T$4,K1058&lt;=$T$5,N1058),M1058)</f>
        <v/>
      </c>
      <c r="Q1058">
        <f>OR(AND(I1058&gt;=$T$10,K1058&lt;=$T$11,O1058),M1058)</f>
        <v/>
      </c>
    </row>
    <row r="1059">
      <c r="A1059">
        <f>Data!E1111</f>
        <v/>
      </c>
      <c r="B1059">
        <f>Data!G1111</f>
        <v/>
      </c>
      <c r="C1059">
        <f>Data!H1111</f>
        <v/>
      </c>
      <c r="D1059">
        <f>Data!I1111</f>
        <v/>
      </c>
      <c r="E1059">
        <f>Data!M1111</f>
        <v/>
      </c>
      <c r="F1059">
        <f>Data!O1111</f>
        <v/>
      </c>
      <c r="G1059">
        <f>E1059-F1059</f>
        <v/>
      </c>
      <c r="H1059">
        <f>Data!P1111</f>
        <v/>
      </c>
      <c r="I1059">
        <f>G1059+H1059</f>
        <v/>
      </c>
      <c r="J1059">
        <f>F1059+G1059+H1059</f>
        <v/>
      </c>
      <c r="K1059">
        <f>Data!R1111</f>
        <v/>
      </c>
      <c r="L1059">
        <f>Data!T1111</f>
        <v/>
      </c>
      <c r="M1059">
        <f>AND(E1059=0,F1059=0,G1059=0,H1059=0,I1059=0,J1059=0,K1059=0,L1059=0)</f>
        <v/>
      </c>
      <c r="N1059">
        <f>G1059&lt;=$T$6</f>
        <v/>
      </c>
      <c r="O1059">
        <f>G1059&lt;=$T$12</f>
        <v/>
      </c>
      <c r="P1059">
        <f>OR(AND(H1059&gt;=$T$4,K1059&lt;=$T$5,N1059),M1059)</f>
        <v/>
      </c>
      <c r="Q1059">
        <f>OR(AND(I1059&gt;=$T$10,K1059&lt;=$T$11,O1059),M1059)</f>
        <v/>
      </c>
    </row>
    <row r="1060">
      <c r="A1060">
        <f>Data!E1112</f>
        <v/>
      </c>
      <c r="B1060">
        <f>Data!G1112</f>
        <v/>
      </c>
      <c r="C1060">
        <f>Data!H1112</f>
        <v/>
      </c>
      <c r="D1060">
        <f>Data!I1112</f>
        <v/>
      </c>
      <c r="E1060">
        <f>Data!M1112</f>
        <v/>
      </c>
      <c r="F1060">
        <f>Data!O1112</f>
        <v/>
      </c>
      <c r="G1060">
        <f>E1060-F1060</f>
        <v/>
      </c>
      <c r="H1060">
        <f>Data!P1112</f>
        <v/>
      </c>
      <c r="I1060">
        <f>G1060+H1060</f>
        <v/>
      </c>
      <c r="J1060">
        <f>F1060+G1060+H1060</f>
        <v/>
      </c>
      <c r="K1060">
        <f>Data!R1112</f>
        <v/>
      </c>
      <c r="L1060">
        <f>Data!T1112</f>
        <v/>
      </c>
      <c r="M1060">
        <f>AND(E1060=0,F1060=0,G1060=0,H1060=0,I1060=0,J1060=0,K1060=0,L1060=0)</f>
        <v/>
      </c>
      <c r="N1060">
        <f>G1060&lt;=$T$6</f>
        <v/>
      </c>
      <c r="O1060">
        <f>G1060&lt;=$T$12</f>
        <v/>
      </c>
      <c r="P1060">
        <f>OR(AND(H1060&gt;=$T$4,K1060&lt;=$T$5,N1060),M1060)</f>
        <v/>
      </c>
      <c r="Q1060">
        <f>OR(AND(I1060&gt;=$T$10,K1060&lt;=$T$11,O1060),M1060)</f>
        <v/>
      </c>
    </row>
    <row r="1061">
      <c r="A1061">
        <f>Data!E1113</f>
        <v/>
      </c>
      <c r="B1061">
        <f>Data!G1113</f>
        <v/>
      </c>
      <c r="C1061">
        <f>Data!H1113</f>
        <v/>
      </c>
      <c r="D1061">
        <f>Data!I1113</f>
        <v/>
      </c>
      <c r="E1061">
        <f>Data!M1113</f>
        <v/>
      </c>
      <c r="F1061">
        <f>Data!O1113</f>
        <v/>
      </c>
      <c r="G1061">
        <f>E1061-F1061</f>
        <v/>
      </c>
      <c r="H1061">
        <f>Data!P1113</f>
        <v/>
      </c>
      <c r="I1061">
        <f>G1061+H1061</f>
        <v/>
      </c>
      <c r="J1061">
        <f>F1061+G1061+H1061</f>
        <v/>
      </c>
      <c r="K1061">
        <f>Data!R1113</f>
        <v/>
      </c>
      <c r="L1061">
        <f>Data!T1113</f>
        <v/>
      </c>
      <c r="M1061">
        <f>AND(E1061=0,F1061=0,G1061=0,H1061=0,I1061=0,J1061=0,K1061=0,L1061=0)</f>
        <v/>
      </c>
      <c r="N1061">
        <f>G1061&lt;=$T$6</f>
        <v/>
      </c>
      <c r="O1061">
        <f>G1061&lt;=$T$12</f>
        <v/>
      </c>
      <c r="P1061">
        <f>OR(AND(H1061&gt;=$T$4,K1061&lt;=$T$5,N1061),M1061)</f>
        <v/>
      </c>
      <c r="Q1061">
        <f>OR(AND(I1061&gt;=$T$10,K1061&lt;=$T$11,O1061),M1061)</f>
        <v/>
      </c>
    </row>
    <row r="1062">
      <c r="A1062">
        <f>Data!E1114</f>
        <v/>
      </c>
      <c r="B1062">
        <f>Data!G1114</f>
        <v/>
      </c>
      <c r="C1062">
        <f>Data!H1114</f>
        <v/>
      </c>
      <c r="D1062">
        <f>Data!I1114</f>
        <v/>
      </c>
      <c r="E1062">
        <f>Data!M1114</f>
        <v/>
      </c>
      <c r="F1062">
        <f>Data!O1114</f>
        <v/>
      </c>
      <c r="G1062">
        <f>E1062-F1062</f>
        <v/>
      </c>
      <c r="H1062">
        <f>Data!P1114</f>
        <v/>
      </c>
      <c r="I1062">
        <f>G1062+H1062</f>
        <v/>
      </c>
      <c r="J1062">
        <f>F1062+G1062+H1062</f>
        <v/>
      </c>
      <c r="K1062">
        <f>Data!R1114</f>
        <v/>
      </c>
      <c r="L1062">
        <f>Data!T1114</f>
        <v/>
      </c>
      <c r="M1062">
        <f>AND(E1062=0,F1062=0,G1062=0,H1062=0,I1062=0,J1062=0,K1062=0,L1062=0)</f>
        <v/>
      </c>
      <c r="N1062">
        <f>G1062&lt;=$T$6</f>
        <v/>
      </c>
      <c r="O1062">
        <f>G1062&lt;=$T$12</f>
        <v/>
      </c>
      <c r="P1062">
        <f>OR(AND(H1062&gt;=$T$4,K1062&lt;=$T$5,N1062),M1062)</f>
        <v/>
      </c>
      <c r="Q1062">
        <f>OR(AND(I1062&gt;=$T$10,K1062&lt;=$T$11,O1062),M1062)</f>
        <v/>
      </c>
    </row>
    <row r="1063">
      <c r="A1063">
        <f>Data!E1115</f>
        <v/>
      </c>
      <c r="B1063">
        <f>Data!G1115</f>
        <v/>
      </c>
      <c r="C1063">
        <f>Data!H1115</f>
        <v/>
      </c>
      <c r="D1063">
        <f>Data!I1115</f>
        <v/>
      </c>
      <c r="E1063">
        <f>Data!M1115</f>
        <v/>
      </c>
      <c r="F1063">
        <f>Data!O1115</f>
        <v/>
      </c>
      <c r="G1063">
        <f>E1063-F1063</f>
        <v/>
      </c>
      <c r="H1063">
        <f>Data!P1115</f>
        <v/>
      </c>
      <c r="I1063">
        <f>G1063+H1063</f>
        <v/>
      </c>
      <c r="J1063">
        <f>F1063+G1063+H1063</f>
        <v/>
      </c>
      <c r="K1063">
        <f>Data!R1115</f>
        <v/>
      </c>
      <c r="L1063">
        <f>Data!T1115</f>
        <v/>
      </c>
      <c r="M1063">
        <f>AND(E1063=0,F1063=0,G1063=0,H1063=0,I1063=0,J1063=0,K1063=0,L1063=0)</f>
        <v/>
      </c>
      <c r="N1063">
        <f>G1063&lt;=$T$6</f>
        <v/>
      </c>
      <c r="O1063">
        <f>G1063&lt;=$T$12</f>
        <v/>
      </c>
      <c r="P1063">
        <f>OR(AND(H1063&gt;=$T$4,K1063&lt;=$T$5,N1063),M1063)</f>
        <v/>
      </c>
      <c r="Q1063">
        <f>OR(AND(I1063&gt;=$T$10,K1063&lt;=$T$11,O1063),M1063)</f>
        <v/>
      </c>
    </row>
    <row r="1064">
      <c r="A1064">
        <f>Data!E1116</f>
        <v/>
      </c>
      <c r="B1064">
        <f>Data!G1116</f>
        <v/>
      </c>
      <c r="C1064">
        <f>Data!H1116</f>
        <v/>
      </c>
      <c r="D1064">
        <f>Data!I1116</f>
        <v/>
      </c>
      <c r="E1064">
        <f>Data!M1116</f>
        <v/>
      </c>
      <c r="F1064">
        <f>Data!O1116</f>
        <v/>
      </c>
      <c r="G1064">
        <f>E1064-F1064</f>
        <v/>
      </c>
      <c r="H1064">
        <f>Data!P1116</f>
        <v/>
      </c>
      <c r="I1064">
        <f>G1064+H1064</f>
        <v/>
      </c>
      <c r="J1064">
        <f>F1064+G1064+H1064</f>
        <v/>
      </c>
      <c r="K1064">
        <f>Data!R1116</f>
        <v/>
      </c>
      <c r="L1064">
        <f>Data!T1116</f>
        <v/>
      </c>
      <c r="M1064">
        <f>AND(E1064=0,F1064=0,G1064=0,H1064=0,I1064=0,J1064=0,K1064=0,L1064=0)</f>
        <v/>
      </c>
      <c r="N1064">
        <f>G1064&lt;=$T$6</f>
        <v/>
      </c>
      <c r="O1064">
        <f>G1064&lt;=$T$12</f>
        <v/>
      </c>
      <c r="P1064">
        <f>OR(AND(H1064&gt;=$T$4,K1064&lt;=$T$5,N1064),M1064)</f>
        <v/>
      </c>
      <c r="Q1064">
        <f>OR(AND(I1064&gt;=$T$10,K1064&lt;=$T$11,O1064),M1064)</f>
        <v/>
      </c>
    </row>
    <row r="1065">
      <c r="A1065">
        <f>Data!E1117</f>
        <v/>
      </c>
      <c r="B1065">
        <f>Data!G1117</f>
        <v/>
      </c>
      <c r="C1065">
        <f>Data!H1117</f>
        <v/>
      </c>
      <c r="D1065">
        <f>Data!I1117</f>
        <v/>
      </c>
      <c r="E1065">
        <f>Data!M1117</f>
        <v/>
      </c>
      <c r="F1065">
        <f>Data!O1117</f>
        <v/>
      </c>
      <c r="G1065">
        <f>E1065-F1065</f>
        <v/>
      </c>
      <c r="H1065">
        <f>Data!P1117</f>
        <v/>
      </c>
      <c r="I1065">
        <f>G1065+H1065</f>
        <v/>
      </c>
      <c r="J1065">
        <f>F1065+G1065+H1065</f>
        <v/>
      </c>
      <c r="K1065">
        <f>Data!R1117</f>
        <v/>
      </c>
      <c r="L1065">
        <f>Data!T1117</f>
        <v/>
      </c>
      <c r="M1065">
        <f>AND(E1065=0,F1065=0,G1065=0,H1065=0,I1065=0,J1065=0,K1065=0,L1065=0)</f>
        <v/>
      </c>
      <c r="N1065">
        <f>G1065&lt;=$T$6</f>
        <v/>
      </c>
      <c r="O1065">
        <f>G1065&lt;=$T$12</f>
        <v/>
      </c>
      <c r="P1065">
        <f>OR(AND(H1065&gt;=$T$4,K1065&lt;=$T$5,N1065),M1065)</f>
        <v/>
      </c>
      <c r="Q1065">
        <f>OR(AND(I1065&gt;=$T$10,K1065&lt;=$T$11,O1065),M1065)</f>
        <v/>
      </c>
    </row>
    <row r="1066">
      <c r="A1066">
        <f>Data!E1118</f>
        <v/>
      </c>
      <c r="B1066">
        <f>Data!G1118</f>
        <v/>
      </c>
      <c r="C1066">
        <f>Data!H1118</f>
        <v/>
      </c>
      <c r="D1066">
        <f>Data!I1118</f>
        <v/>
      </c>
      <c r="E1066">
        <f>Data!M1118</f>
        <v/>
      </c>
      <c r="F1066">
        <f>Data!O1118</f>
        <v/>
      </c>
      <c r="G1066">
        <f>E1066-F1066</f>
        <v/>
      </c>
      <c r="H1066">
        <f>Data!P1118</f>
        <v/>
      </c>
      <c r="I1066">
        <f>G1066+H1066</f>
        <v/>
      </c>
      <c r="J1066">
        <f>F1066+G1066+H1066</f>
        <v/>
      </c>
      <c r="K1066">
        <f>Data!R1118</f>
        <v/>
      </c>
      <c r="L1066">
        <f>Data!T1118</f>
        <v/>
      </c>
      <c r="M1066">
        <f>AND(E1066=0,F1066=0,G1066=0,H1066=0,I1066=0,J1066=0,K1066=0,L1066=0)</f>
        <v/>
      </c>
      <c r="N1066">
        <f>G1066&lt;=$T$6</f>
        <v/>
      </c>
      <c r="O1066">
        <f>G1066&lt;=$T$12</f>
        <v/>
      </c>
      <c r="P1066">
        <f>OR(AND(H1066&gt;=$T$4,K1066&lt;=$T$5,N1066),M1066)</f>
        <v/>
      </c>
      <c r="Q1066">
        <f>OR(AND(I1066&gt;=$T$10,K1066&lt;=$T$11,O1066),M1066)</f>
        <v/>
      </c>
    </row>
    <row r="1067">
      <c r="A1067">
        <f>Data!E1119</f>
        <v/>
      </c>
      <c r="B1067">
        <f>Data!G1119</f>
        <v/>
      </c>
      <c r="C1067">
        <f>Data!H1119</f>
        <v/>
      </c>
      <c r="D1067">
        <f>Data!I1119</f>
        <v/>
      </c>
      <c r="E1067">
        <f>Data!M1119</f>
        <v/>
      </c>
      <c r="F1067">
        <f>Data!O1119</f>
        <v/>
      </c>
      <c r="G1067">
        <f>E1067-F1067</f>
        <v/>
      </c>
      <c r="H1067">
        <f>Data!P1119</f>
        <v/>
      </c>
      <c r="I1067">
        <f>G1067+H1067</f>
        <v/>
      </c>
      <c r="J1067">
        <f>F1067+G1067+H1067</f>
        <v/>
      </c>
      <c r="K1067">
        <f>Data!R1119</f>
        <v/>
      </c>
      <c r="L1067">
        <f>Data!T1119</f>
        <v/>
      </c>
      <c r="M1067">
        <f>AND(E1067=0,F1067=0,G1067=0,H1067=0,I1067=0,J1067=0,K1067=0,L1067=0)</f>
        <v/>
      </c>
      <c r="N1067">
        <f>G1067&lt;=$T$6</f>
        <v/>
      </c>
      <c r="O1067">
        <f>G1067&lt;=$T$12</f>
        <v/>
      </c>
      <c r="P1067">
        <f>OR(AND(H1067&gt;=$T$4,K1067&lt;=$T$5,N1067),M1067)</f>
        <v/>
      </c>
      <c r="Q1067">
        <f>OR(AND(I1067&gt;=$T$10,K1067&lt;=$T$11,O1067),M1067)</f>
        <v/>
      </c>
    </row>
    <row r="1068">
      <c r="A1068">
        <f>Data!E1120</f>
        <v/>
      </c>
      <c r="B1068">
        <f>Data!G1120</f>
        <v/>
      </c>
      <c r="C1068">
        <f>Data!H1120</f>
        <v/>
      </c>
      <c r="D1068">
        <f>Data!I1120</f>
        <v/>
      </c>
      <c r="E1068">
        <f>Data!M1120</f>
        <v/>
      </c>
      <c r="F1068">
        <f>Data!O1120</f>
        <v/>
      </c>
      <c r="G1068">
        <f>E1068-F1068</f>
        <v/>
      </c>
      <c r="H1068">
        <f>Data!P1120</f>
        <v/>
      </c>
      <c r="I1068">
        <f>G1068+H1068</f>
        <v/>
      </c>
      <c r="J1068">
        <f>F1068+G1068+H1068</f>
        <v/>
      </c>
      <c r="K1068">
        <f>Data!R1120</f>
        <v/>
      </c>
      <c r="L1068">
        <f>Data!T1120</f>
        <v/>
      </c>
      <c r="M1068">
        <f>AND(E1068=0,F1068=0,G1068=0,H1068=0,I1068=0,J1068=0,K1068=0,L1068=0)</f>
        <v/>
      </c>
      <c r="N1068">
        <f>G1068&lt;=$T$6</f>
        <v/>
      </c>
      <c r="O1068">
        <f>G1068&lt;=$T$12</f>
        <v/>
      </c>
      <c r="P1068">
        <f>OR(AND(H1068&gt;=$T$4,K1068&lt;=$T$5,N1068),M1068)</f>
        <v/>
      </c>
      <c r="Q1068">
        <f>OR(AND(I1068&gt;=$T$10,K1068&lt;=$T$11,O1068),M1068)</f>
        <v/>
      </c>
    </row>
    <row r="1069">
      <c r="A1069">
        <f>Data!E1121</f>
        <v/>
      </c>
      <c r="B1069">
        <f>Data!G1121</f>
        <v/>
      </c>
      <c r="C1069">
        <f>Data!H1121</f>
        <v/>
      </c>
      <c r="D1069">
        <f>Data!I1121</f>
        <v/>
      </c>
      <c r="E1069">
        <f>Data!M1121</f>
        <v/>
      </c>
      <c r="F1069">
        <f>Data!O1121</f>
        <v/>
      </c>
      <c r="G1069">
        <f>E1069-F1069</f>
        <v/>
      </c>
      <c r="H1069">
        <f>Data!P1121</f>
        <v/>
      </c>
      <c r="I1069">
        <f>G1069+H1069</f>
        <v/>
      </c>
      <c r="J1069">
        <f>F1069+G1069+H1069</f>
        <v/>
      </c>
      <c r="K1069">
        <f>Data!R1121</f>
        <v/>
      </c>
      <c r="L1069">
        <f>Data!T1121</f>
        <v/>
      </c>
      <c r="M1069">
        <f>AND(E1069=0,F1069=0,G1069=0,H1069=0,I1069=0,J1069=0,K1069=0,L1069=0)</f>
        <v/>
      </c>
      <c r="N1069">
        <f>G1069&lt;=$T$6</f>
        <v/>
      </c>
      <c r="O1069">
        <f>G1069&lt;=$T$12</f>
        <v/>
      </c>
      <c r="P1069">
        <f>OR(AND(H1069&gt;=$T$4,K1069&lt;=$T$5,N1069),M1069)</f>
        <v/>
      </c>
      <c r="Q1069">
        <f>OR(AND(I1069&gt;=$T$10,K1069&lt;=$T$11,O1069),M1069)</f>
        <v/>
      </c>
    </row>
    <row r="1070">
      <c r="A1070">
        <f>Data!E1122</f>
        <v/>
      </c>
      <c r="B1070">
        <f>Data!G1122</f>
        <v/>
      </c>
      <c r="C1070">
        <f>Data!H1122</f>
        <v/>
      </c>
      <c r="D1070">
        <f>Data!I1122</f>
        <v/>
      </c>
      <c r="E1070">
        <f>Data!M1122</f>
        <v/>
      </c>
      <c r="F1070">
        <f>Data!O1122</f>
        <v/>
      </c>
      <c r="G1070">
        <f>E1070-F1070</f>
        <v/>
      </c>
      <c r="H1070">
        <f>Data!P1122</f>
        <v/>
      </c>
      <c r="I1070">
        <f>G1070+H1070</f>
        <v/>
      </c>
      <c r="J1070">
        <f>F1070+G1070+H1070</f>
        <v/>
      </c>
      <c r="K1070">
        <f>Data!R1122</f>
        <v/>
      </c>
      <c r="L1070">
        <f>Data!T1122</f>
        <v/>
      </c>
      <c r="M1070">
        <f>AND(E1070=0,F1070=0,G1070=0,H1070=0,I1070=0,J1070=0,K1070=0,L1070=0)</f>
        <v/>
      </c>
      <c r="N1070">
        <f>G1070&lt;=$T$6</f>
        <v/>
      </c>
      <c r="O1070">
        <f>G1070&lt;=$T$12</f>
        <v/>
      </c>
      <c r="P1070">
        <f>OR(AND(H1070&gt;=$T$4,K1070&lt;=$T$5,N1070),M1070)</f>
        <v/>
      </c>
      <c r="Q1070">
        <f>OR(AND(I1070&gt;=$T$10,K1070&lt;=$T$11,O1070),M1070)</f>
        <v/>
      </c>
    </row>
    <row r="1071">
      <c r="A1071">
        <f>Data!E1123</f>
        <v/>
      </c>
      <c r="B1071">
        <f>Data!G1123</f>
        <v/>
      </c>
      <c r="C1071">
        <f>Data!H1123</f>
        <v/>
      </c>
      <c r="D1071">
        <f>Data!I1123</f>
        <v/>
      </c>
      <c r="E1071">
        <f>Data!M1123</f>
        <v/>
      </c>
      <c r="F1071">
        <f>Data!O1123</f>
        <v/>
      </c>
      <c r="G1071">
        <f>E1071-F1071</f>
        <v/>
      </c>
      <c r="H1071">
        <f>Data!P1123</f>
        <v/>
      </c>
      <c r="I1071">
        <f>G1071+H1071</f>
        <v/>
      </c>
      <c r="J1071">
        <f>F1071+G1071+H1071</f>
        <v/>
      </c>
      <c r="K1071">
        <f>Data!R1123</f>
        <v/>
      </c>
      <c r="L1071">
        <f>Data!T1123</f>
        <v/>
      </c>
      <c r="M1071">
        <f>AND(E1071=0,F1071=0,G1071=0,H1071=0,I1071=0,J1071=0,K1071=0,L1071=0)</f>
        <v/>
      </c>
      <c r="N1071">
        <f>G1071&lt;=$T$6</f>
        <v/>
      </c>
      <c r="O1071">
        <f>G1071&lt;=$T$12</f>
        <v/>
      </c>
      <c r="P1071">
        <f>OR(AND(H1071&gt;=$T$4,K1071&lt;=$T$5,N1071),M1071)</f>
        <v/>
      </c>
      <c r="Q1071">
        <f>OR(AND(I1071&gt;=$T$10,K1071&lt;=$T$11,O1071),M1071)</f>
        <v/>
      </c>
    </row>
    <row r="1072">
      <c r="A1072">
        <f>Data!E1124</f>
        <v/>
      </c>
      <c r="B1072">
        <f>Data!G1124</f>
        <v/>
      </c>
      <c r="C1072">
        <f>Data!H1124</f>
        <v/>
      </c>
      <c r="D1072">
        <f>Data!I1124</f>
        <v/>
      </c>
      <c r="E1072">
        <f>Data!M1124</f>
        <v/>
      </c>
      <c r="F1072">
        <f>Data!O1124</f>
        <v/>
      </c>
      <c r="G1072">
        <f>E1072-F1072</f>
        <v/>
      </c>
      <c r="H1072">
        <f>Data!P1124</f>
        <v/>
      </c>
      <c r="I1072">
        <f>G1072+H1072</f>
        <v/>
      </c>
      <c r="J1072">
        <f>F1072+G1072+H1072</f>
        <v/>
      </c>
      <c r="K1072">
        <f>Data!R1124</f>
        <v/>
      </c>
      <c r="L1072">
        <f>Data!T1124</f>
        <v/>
      </c>
      <c r="M1072">
        <f>AND(E1072=0,F1072=0,G1072=0,H1072=0,I1072=0,J1072=0,K1072=0,L1072=0)</f>
        <v/>
      </c>
      <c r="N1072">
        <f>G1072&lt;=$T$6</f>
        <v/>
      </c>
      <c r="O1072">
        <f>G1072&lt;=$T$12</f>
        <v/>
      </c>
      <c r="P1072">
        <f>OR(AND(H1072&gt;=$T$4,K1072&lt;=$T$5,N1072),M1072)</f>
        <v/>
      </c>
      <c r="Q1072">
        <f>OR(AND(I1072&gt;=$T$10,K1072&lt;=$T$11,O1072),M1072)</f>
        <v/>
      </c>
    </row>
    <row r="1073">
      <c r="A1073">
        <f>Data!E1125</f>
        <v/>
      </c>
      <c r="B1073">
        <f>Data!G1125</f>
        <v/>
      </c>
      <c r="C1073">
        <f>Data!H1125</f>
        <v/>
      </c>
      <c r="D1073">
        <f>Data!I1125</f>
        <v/>
      </c>
      <c r="E1073">
        <f>Data!M1125</f>
        <v/>
      </c>
      <c r="F1073">
        <f>Data!O1125</f>
        <v/>
      </c>
      <c r="G1073">
        <f>E1073-F1073</f>
        <v/>
      </c>
      <c r="H1073">
        <f>Data!P1125</f>
        <v/>
      </c>
      <c r="I1073">
        <f>G1073+H1073</f>
        <v/>
      </c>
      <c r="J1073">
        <f>F1073+G1073+H1073</f>
        <v/>
      </c>
      <c r="K1073">
        <f>Data!R1125</f>
        <v/>
      </c>
      <c r="L1073">
        <f>Data!T1125</f>
        <v/>
      </c>
      <c r="M1073">
        <f>AND(E1073=0,F1073=0,G1073=0,H1073=0,I1073=0,J1073=0,K1073=0,L1073=0)</f>
        <v/>
      </c>
      <c r="N1073">
        <f>G1073&lt;=$T$6</f>
        <v/>
      </c>
      <c r="O1073">
        <f>G1073&lt;=$T$12</f>
        <v/>
      </c>
      <c r="P1073">
        <f>OR(AND(H1073&gt;=$T$4,K1073&lt;=$T$5,N1073),M1073)</f>
        <v/>
      </c>
      <c r="Q1073">
        <f>OR(AND(I1073&gt;=$T$10,K1073&lt;=$T$11,O1073),M1073)</f>
        <v/>
      </c>
    </row>
    <row r="1074">
      <c r="A1074">
        <f>Data!E1126</f>
        <v/>
      </c>
      <c r="B1074">
        <f>Data!G1126</f>
        <v/>
      </c>
      <c r="C1074">
        <f>Data!H1126</f>
        <v/>
      </c>
      <c r="D1074">
        <f>Data!I1126</f>
        <v/>
      </c>
      <c r="E1074">
        <f>Data!M1126</f>
        <v/>
      </c>
      <c r="F1074">
        <f>Data!O1126</f>
        <v/>
      </c>
      <c r="G1074">
        <f>E1074-F1074</f>
        <v/>
      </c>
      <c r="H1074">
        <f>Data!P1126</f>
        <v/>
      </c>
      <c r="I1074">
        <f>G1074+H1074</f>
        <v/>
      </c>
      <c r="J1074">
        <f>F1074+G1074+H1074</f>
        <v/>
      </c>
      <c r="K1074">
        <f>Data!R1126</f>
        <v/>
      </c>
      <c r="L1074">
        <f>Data!T1126</f>
        <v/>
      </c>
      <c r="M1074">
        <f>AND(E1074=0,F1074=0,G1074=0,H1074=0,I1074=0,J1074=0,K1074=0,L1074=0)</f>
        <v/>
      </c>
      <c r="N1074">
        <f>G1074&lt;=$T$6</f>
        <v/>
      </c>
      <c r="O1074">
        <f>G1074&lt;=$T$12</f>
        <v/>
      </c>
      <c r="P1074">
        <f>OR(AND(H1074&gt;=$T$4,K1074&lt;=$T$5,N1074),M1074)</f>
        <v/>
      </c>
      <c r="Q1074">
        <f>OR(AND(I1074&gt;=$T$10,K1074&lt;=$T$11,O1074),M1074)</f>
        <v/>
      </c>
    </row>
    <row r="1075">
      <c r="A1075">
        <f>Data!E1127</f>
        <v/>
      </c>
      <c r="B1075">
        <f>Data!G1127</f>
        <v/>
      </c>
      <c r="C1075">
        <f>Data!H1127</f>
        <v/>
      </c>
      <c r="D1075">
        <f>Data!I1127</f>
        <v/>
      </c>
      <c r="E1075">
        <f>Data!M1127</f>
        <v/>
      </c>
      <c r="F1075">
        <f>Data!O1127</f>
        <v/>
      </c>
      <c r="G1075">
        <f>E1075-F1075</f>
        <v/>
      </c>
      <c r="H1075">
        <f>Data!P1127</f>
        <v/>
      </c>
      <c r="I1075">
        <f>G1075+H1075</f>
        <v/>
      </c>
      <c r="J1075">
        <f>F1075+G1075+H1075</f>
        <v/>
      </c>
      <c r="K1075">
        <f>Data!R1127</f>
        <v/>
      </c>
      <c r="L1075">
        <f>Data!T1127</f>
        <v/>
      </c>
      <c r="M1075">
        <f>AND(E1075=0,F1075=0,G1075=0,H1075=0,I1075=0,J1075=0,K1075=0,L1075=0)</f>
        <v/>
      </c>
      <c r="N1075">
        <f>G1075&lt;=$T$6</f>
        <v/>
      </c>
      <c r="O1075">
        <f>G1075&lt;=$T$12</f>
        <v/>
      </c>
      <c r="P1075">
        <f>OR(AND(H1075&gt;=$T$4,K1075&lt;=$T$5,N1075),M1075)</f>
        <v/>
      </c>
      <c r="Q1075">
        <f>OR(AND(I1075&gt;=$T$10,K1075&lt;=$T$11,O1075),M1075)</f>
        <v/>
      </c>
    </row>
    <row r="1076">
      <c r="A1076">
        <f>Data!E1128</f>
        <v/>
      </c>
      <c r="B1076">
        <f>Data!G1128</f>
        <v/>
      </c>
      <c r="C1076">
        <f>Data!H1128</f>
        <v/>
      </c>
      <c r="D1076">
        <f>Data!I1128</f>
        <v/>
      </c>
      <c r="E1076">
        <f>Data!M1128</f>
        <v/>
      </c>
      <c r="F1076">
        <f>Data!O1128</f>
        <v/>
      </c>
      <c r="G1076">
        <f>E1076-F1076</f>
        <v/>
      </c>
      <c r="H1076">
        <f>Data!P1128</f>
        <v/>
      </c>
      <c r="I1076">
        <f>G1076+H1076</f>
        <v/>
      </c>
      <c r="J1076">
        <f>F1076+G1076+H1076</f>
        <v/>
      </c>
      <c r="K1076">
        <f>Data!R1128</f>
        <v/>
      </c>
      <c r="L1076">
        <f>Data!T1128</f>
        <v/>
      </c>
      <c r="M1076">
        <f>AND(E1076=0,F1076=0,G1076=0,H1076=0,I1076=0,J1076=0,K1076=0,L1076=0)</f>
        <v/>
      </c>
      <c r="N1076">
        <f>G1076&lt;=$T$6</f>
        <v/>
      </c>
      <c r="O1076">
        <f>G1076&lt;=$T$12</f>
        <v/>
      </c>
      <c r="P1076">
        <f>OR(AND(H1076&gt;=$T$4,K1076&lt;=$T$5,N1076),M1076)</f>
        <v/>
      </c>
      <c r="Q1076">
        <f>OR(AND(I1076&gt;=$T$10,K1076&lt;=$T$11,O1076),M1076)</f>
        <v/>
      </c>
    </row>
    <row r="1077">
      <c r="A1077">
        <f>Data!E1129</f>
        <v/>
      </c>
      <c r="B1077">
        <f>Data!G1129</f>
        <v/>
      </c>
      <c r="C1077">
        <f>Data!H1129</f>
        <v/>
      </c>
      <c r="D1077">
        <f>Data!I1129</f>
        <v/>
      </c>
      <c r="E1077">
        <f>Data!M1129</f>
        <v/>
      </c>
      <c r="F1077">
        <f>Data!O1129</f>
        <v/>
      </c>
      <c r="G1077">
        <f>E1077-F1077</f>
        <v/>
      </c>
      <c r="H1077">
        <f>Data!P1129</f>
        <v/>
      </c>
      <c r="I1077">
        <f>G1077+H1077</f>
        <v/>
      </c>
      <c r="J1077">
        <f>F1077+G1077+H1077</f>
        <v/>
      </c>
      <c r="K1077">
        <f>Data!R1129</f>
        <v/>
      </c>
      <c r="L1077">
        <f>Data!T1129</f>
        <v/>
      </c>
      <c r="M1077">
        <f>AND(E1077=0,F1077=0,G1077=0,H1077=0,I1077=0,J1077=0,K1077=0,L1077=0)</f>
        <v/>
      </c>
      <c r="N1077">
        <f>G1077&lt;=$T$6</f>
        <v/>
      </c>
      <c r="O1077">
        <f>G1077&lt;=$T$12</f>
        <v/>
      </c>
      <c r="P1077">
        <f>OR(AND(H1077&gt;=$T$4,K1077&lt;=$T$5,N1077),M1077)</f>
        <v/>
      </c>
      <c r="Q1077">
        <f>OR(AND(I1077&gt;=$T$10,K1077&lt;=$T$11,O1077),M1077)</f>
        <v/>
      </c>
    </row>
    <row r="1078">
      <c r="A1078">
        <f>Data!E1130</f>
        <v/>
      </c>
      <c r="B1078">
        <f>Data!G1130</f>
        <v/>
      </c>
      <c r="C1078">
        <f>Data!H1130</f>
        <v/>
      </c>
      <c r="D1078">
        <f>Data!I1130</f>
        <v/>
      </c>
      <c r="E1078">
        <f>Data!M1130</f>
        <v/>
      </c>
      <c r="F1078">
        <f>Data!O1130</f>
        <v/>
      </c>
      <c r="G1078">
        <f>E1078-F1078</f>
        <v/>
      </c>
      <c r="H1078">
        <f>Data!P1130</f>
        <v/>
      </c>
      <c r="I1078">
        <f>G1078+H1078</f>
        <v/>
      </c>
      <c r="J1078">
        <f>F1078+G1078+H1078</f>
        <v/>
      </c>
      <c r="K1078">
        <f>Data!R1130</f>
        <v/>
      </c>
      <c r="L1078">
        <f>Data!T1130</f>
        <v/>
      </c>
      <c r="M1078">
        <f>AND(E1078=0,F1078=0,G1078=0,H1078=0,I1078=0,J1078=0,K1078=0,L1078=0)</f>
        <v/>
      </c>
      <c r="N1078">
        <f>G1078&lt;=$T$6</f>
        <v/>
      </c>
      <c r="O1078">
        <f>G1078&lt;=$T$12</f>
        <v/>
      </c>
      <c r="P1078">
        <f>OR(AND(H1078&gt;=$T$4,K1078&lt;=$T$5,N1078),M1078)</f>
        <v/>
      </c>
      <c r="Q1078">
        <f>OR(AND(I1078&gt;=$T$10,K1078&lt;=$T$11,O1078),M1078)</f>
        <v/>
      </c>
    </row>
    <row r="1079">
      <c r="A1079">
        <f>Data!E1131</f>
        <v/>
      </c>
      <c r="B1079">
        <f>Data!G1131</f>
        <v/>
      </c>
      <c r="C1079">
        <f>Data!H1131</f>
        <v/>
      </c>
      <c r="D1079">
        <f>Data!I1131</f>
        <v/>
      </c>
      <c r="E1079">
        <f>Data!M1131</f>
        <v/>
      </c>
      <c r="F1079">
        <f>Data!O1131</f>
        <v/>
      </c>
      <c r="G1079">
        <f>E1079-F1079</f>
        <v/>
      </c>
      <c r="H1079">
        <f>Data!P1131</f>
        <v/>
      </c>
      <c r="I1079">
        <f>G1079+H1079</f>
        <v/>
      </c>
      <c r="J1079">
        <f>F1079+G1079+H1079</f>
        <v/>
      </c>
      <c r="K1079">
        <f>Data!R1131</f>
        <v/>
      </c>
      <c r="L1079">
        <f>Data!T1131</f>
        <v/>
      </c>
      <c r="M1079">
        <f>AND(E1079=0,F1079=0,G1079=0,H1079=0,I1079=0,J1079=0,K1079=0,L1079=0)</f>
        <v/>
      </c>
      <c r="N1079">
        <f>G1079&lt;=$T$6</f>
        <v/>
      </c>
      <c r="O1079">
        <f>G1079&lt;=$T$12</f>
        <v/>
      </c>
      <c r="P1079">
        <f>OR(AND(H1079&gt;=$T$4,K1079&lt;=$T$5,N1079),M1079)</f>
        <v/>
      </c>
      <c r="Q1079">
        <f>OR(AND(I1079&gt;=$T$10,K1079&lt;=$T$11,O1079),M1079)</f>
        <v/>
      </c>
    </row>
    <row r="1080">
      <c r="A1080">
        <f>Data!E1132</f>
        <v/>
      </c>
      <c r="B1080">
        <f>Data!G1132</f>
        <v/>
      </c>
      <c r="C1080">
        <f>Data!H1132</f>
        <v/>
      </c>
      <c r="D1080">
        <f>Data!I1132</f>
        <v/>
      </c>
      <c r="E1080">
        <f>Data!M1132</f>
        <v/>
      </c>
      <c r="F1080">
        <f>Data!O1132</f>
        <v/>
      </c>
      <c r="G1080">
        <f>E1080-F1080</f>
        <v/>
      </c>
      <c r="H1080">
        <f>Data!P1132</f>
        <v/>
      </c>
      <c r="I1080">
        <f>G1080+H1080</f>
        <v/>
      </c>
      <c r="J1080">
        <f>F1080+G1080+H1080</f>
        <v/>
      </c>
      <c r="K1080">
        <f>Data!R1132</f>
        <v/>
      </c>
      <c r="L1080">
        <f>Data!T1132</f>
        <v/>
      </c>
      <c r="M1080">
        <f>AND(E1080=0,F1080=0,G1080=0,H1080=0,I1080=0,J1080=0,K1080=0,L1080=0)</f>
        <v/>
      </c>
      <c r="N1080">
        <f>G1080&lt;=$T$6</f>
        <v/>
      </c>
      <c r="O1080">
        <f>G1080&lt;=$T$12</f>
        <v/>
      </c>
      <c r="P1080">
        <f>OR(AND(H1080&gt;=$T$4,K1080&lt;=$T$5,N1080),M1080)</f>
        <v/>
      </c>
      <c r="Q1080">
        <f>OR(AND(I1080&gt;=$T$10,K1080&lt;=$T$11,O1080),M1080)</f>
        <v/>
      </c>
    </row>
    <row r="1081">
      <c r="A1081">
        <f>Data!E1133</f>
        <v/>
      </c>
      <c r="B1081">
        <f>Data!G1133</f>
        <v/>
      </c>
      <c r="C1081">
        <f>Data!H1133</f>
        <v/>
      </c>
      <c r="D1081">
        <f>Data!I1133</f>
        <v/>
      </c>
      <c r="E1081">
        <f>Data!M1133</f>
        <v/>
      </c>
      <c r="F1081">
        <f>Data!O1133</f>
        <v/>
      </c>
      <c r="G1081">
        <f>E1081-F1081</f>
        <v/>
      </c>
      <c r="H1081">
        <f>Data!P1133</f>
        <v/>
      </c>
      <c r="I1081">
        <f>G1081+H1081</f>
        <v/>
      </c>
      <c r="J1081">
        <f>F1081+G1081+H1081</f>
        <v/>
      </c>
      <c r="K1081">
        <f>Data!R1133</f>
        <v/>
      </c>
      <c r="L1081">
        <f>Data!T1133</f>
        <v/>
      </c>
      <c r="M1081">
        <f>AND(E1081=0,F1081=0,G1081=0,H1081=0,I1081=0,J1081=0,K1081=0,L1081=0)</f>
        <v/>
      </c>
      <c r="N1081">
        <f>G1081&lt;=$T$6</f>
        <v/>
      </c>
      <c r="O1081">
        <f>G1081&lt;=$T$12</f>
        <v/>
      </c>
      <c r="P1081">
        <f>OR(AND(H1081&gt;=$T$4,K1081&lt;=$T$5,N1081),M1081)</f>
        <v/>
      </c>
      <c r="Q1081">
        <f>OR(AND(I1081&gt;=$T$10,K1081&lt;=$T$11,O1081),M1081)</f>
        <v/>
      </c>
    </row>
    <row r="1082">
      <c r="A1082">
        <f>Data!E1134</f>
        <v/>
      </c>
      <c r="B1082">
        <f>Data!G1134</f>
        <v/>
      </c>
      <c r="C1082">
        <f>Data!H1134</f>
        <v/>
      </c>
      <c r="D1082">
        <f>Data!I1134</f>
        <v/>
      </c>
      <c r="E1082">
        <f>Data!M1134</f>
        <v/>
      </c>
      <c r="F1082">
        <f>Data!O1134</f>
        <v/>
      </c>
      <c r="G1082">
        <f>E1082-F1082</f>
        <v/>
      </c>
      <c r="H1082">
        <f>Data!P1134</f>
        <v/>
      </c>
      <c r="I1082">
        <f>G1082+H1082</f>
        <v/>
      </c>
      <c r="J1082">
        <f>F1082+G1082+H1082</f>
        <v/>
      </c>
      <c r="K1082">
        <f>Data!R1134</f>
        <v/>
      </c>
      <c r="L1082">
        <f>Data!T1134</f>
        <v/>
      </c>
      <c r="M1082">
        <f>AND(E1082=0,F1082=0,G1082=0,H1082=0,I1082=0,J1082=0,K1082=0,L1082=0)</f>
        <v/>
      </c>
      <c r="N1082">
        <f>G1082&lt;=$T$6</f>
        <v/>
      </c>
      <c r="O1082">
        <f>G1082&lt;=$T$12</f>
        <v/>
      </c>
      <c r="P1082">
        <f>OR(AND(H1082&gt;=$T$4,K1082&lt;=$T$5,N1082),M1082)</f>
        <v/>
      </c>
      <c r="Q1082">
        <f>OR(AND(I1082&gt;=$T$10,K1082&lt;=$T$11,O1082),M1082)</f>
        <v/>
      </c>
    </row>
    <row r="1083">
      <c r="A1083">
        <f>Data!E1135</f>
        <v/>
      </c>
      <c r="B1083">
        <f>Data!G1135</f>
        <v/>
      </c>
      <c r="C1083">
        <f>Data!H1135</f>
        <v/>
      </c>
      <c r="D1083">
        <f>Data!I1135</f>
        <v/>
      </c>
      <c r="E1083">
        <f>Data!M1135</f>
        <v/>
      </c>
      <c r="F1083">
        <f>Data!O1135</f>
        <v/>
      </c>
      <c r="G1083">
        <f>E1083-F1083</f>
        <v/>
      </c>
      <c r="H1083">
        <f>Data!P1135</f>
        <v/>
      </c>
      <c r="I1083">
        <f>G1083+H1083</f>
        <v/>
      </c>
      <c r="J1083">
        <f>F1083+G1083+H1083</f>
        <v/>
      </c>
      <c r="K1083">
        <f>Data!R1135</f>
        <v/>
      </c>
      <c r="L1083">
        <f>Data!T1135</f>
        <v/>
      </c>
      <c r="M1083">
        <f>AND(E1083=0,F1083=0,G1083=0,H1083=0,I1083=0,J1083=0,K1083=0,L1083=0)</f>
        <v/>
      </c>
      <c r="N1083">
        <f>G1083&lt;=$T$6</f>
        <v/>
      </c>
      <c r="O1083">
        <f>G1083&lt;=$T$12</f>
        <v/>
      </c>
      <c r="P1083">
        <f>OR(AND(H1083&gt;=$T$4,K1083&lt;=$T$5,N1083),M1083)</f>
        <v/>
      </c>
      <c r="Q1083">
        <f>OR(AND(I1083&gt;=$T$10,K1083&lt;=$T$11,O1083),M1083)</f>
        <v/>
      </c>
    </row>
    <row r="1084">
      <c r="A1084">
        <f>Data!E1136</f>
        <v/>
      </c>
      <c r="B1084">
        <f>Data!G1136</f>
        <v/>
      </c>
      <c r="C1084">
        <f>Data!H1136</f>
        <v/>
      </c>
      <c r="D1084">
        <f>Data!I1136</f>
        <v/>
      </c>
      <c r="E1084">
        <f>Data!M1136</f>
        <v/>
      </c>
      <c r="F1084">
        <f>Data!O1136</f>
        <v/>
      </c>
      <c r="G1084">
        <f>E1084-F1084</f>
        <v/>
      </c>
      <c r="H1084">
        <f>Data!P1136</f>
        <v/>
      </c>
      <c r="I1084">
        <f>G1084+H1084</f>
        <v/>
      </c>
      <c r="J1084">
        <f>F1084+G1084+H1084</f>
        <v/>
      </c>
      <c r="K1084">
        <f>Data!R1136</f>
        <v/>
      </c>
      <c r="L1084">
        <f>Data!T1136</f>
        <v/>
      </c>
      <c r="M1084">
        <f>AND(E1084=0,F1084=0,G1084=0,H1084=0,I1084=0,J1084=0,K1084=0,L1084=0)</f>
        <v/>
      </c>
      <c r="N1084">
        <f>G1084&lt;=$T$6</f>
        <v/>
      </c>
      <c r="O1084">
        <f>G1084&lt;=$T$12</f>
        <v/>
      </c>
      <c r="P1084">
        <f>OR(AND(H1084&gt;=$T$4,K1084&lt;=$T$5,N1084),M1084)</f>
        <v/>
      </c>
      <c r="Q1084">
        <f>OR(AND(I1084&gt;=$T$10,K1084&lt;=$T$11,O1084),M1084)</f>
        <v/>
      </c>
    </row>
    <row r="1085">
      <c r="A1085">
        <f>Data!E1137</f>
        <v/>
      </c>
      <c r="B1085">
        <f>Data!G1137</f>
        <v/>
      </c>
      <c r="C1085">
        <f>Data!H1137</f>
        <v/>
      </c>
      <c r="D1085">
        <f>Data!I1137</f>
        <v/>
      </c>
      <c r="E1085">
        <f>Data!M1137</f>
        <v/>
      </c>
      <c r="F1085">
        <f>Data!O1137</f>
        <v/>
      </c>
      <c r="G1085">
        <f>E1085-F1085</f>
        <v/>
      </c>
      <c r="H1085">
        <f>Data!P1137</f>
        <v/>
      </c>
      <c r="I1085">
        <f>G1085+H1085</f>
        <v/>
      </c>
      <c r="J1085">
        <f>F1085+G1085+H1085</f>
        <v/>
      </c>
      <c r="K1085">
        <f>Data!R1137</f>
        <v/>
      </c>
      <c r="L1085">
        <f>Data!T1137</f>
        <v/>
      </c>
      <c r="M1085">
        <f>AND(E1085=0,F1085=0,G1085=0,H1085=0,I1085=0,J1085=0,K1085=0,L1085=0)</f>
        <v/>
      </c>
      <c r="N1085">
        <f>G1085&lt;=$T$6</f>
        <v/>
      </c>
      <c r="O1085">
        <f>G1085&lt;=$T$12</f>
        <v/>
      </c>
      <c r="P1085">
        <f>OR(AND(H1085&gt;=$T$4,K1085&lt;=$T$5,N1085),M1085)</f>
        <v/>
      </c>
      <c r="Q1085">
        <f>OR(AND(I1085&gt;=$T$10,K1085&lt;=$T$11,O1085),M1085)</f>
        <v/>
      </c>
    </row>
    <row r="1086">
      <c r="A1086">
        <f>Data!E1138</f>
        <v/>
      </c>
      <c r="B1086">
        <f>Data!G1138</f>
        <v/>
      </c>
      <c r="C1086">
        <f>Data!H1138</f>
        <v/>
      </c>
      <c r="D1086">
        <f>Data!I1138</f>
        <v/>
      </c>
      <c r="E1086">
        <f>Data!M1138</f>
        <v/>
      </c>
      <c r="F1086">
        <f>Data!O1138</f>
        <v/>
      </c>
      <c r="G1086">
        <f>E1086-F1086</f>
        <v/>
      </c>
      <c r="H1086">
        <f>Data!P1138</f>
        <v/>
      </c>
      <c r="I1086">
        <f>G1086+H1086</f>
        <v/>
      </c>
      <c r="J1086">
        <f>F1086+G1086+H1086</f>
        <v/>
      </c>
      <c r="K1086">
        <f>Data!R1138</f>
        <v/>
      </c>
      <c r="L1086">
        <f>Data!T1138</f>
        <v/>
      </c>
      <c r="M1086">
        <f>AND(E1086=0,F1086=0,G1086=0,H1086=0,I1086=0,J1086=0,K1086=0,L1086=0)</f>
        <v/>
      </c>
      <c r="N1086">
        <f>G1086&lt;=$T$6</f>
        <v/>
      </c>
      <c r="O1086">
        <f>G1086&lt;=$T$12</f>
        <v/>
      </c>
      <c r="P1086">
        <f>OR(AND(H1086&gt;=$T$4,K1086&lt;=$T$5,N1086),M1086)</f>
        <v/>
      </c>
      <c r="Q1086">
        <f>OR(AND(I1086&gt;=$T$10,K1086&lt;=$T$11,O1086),M1086)</f>
        <v/>
      </c>
    </row>
    <row r="1087">
      <c r="A1087">
        <f>Data!E1139</f>
        <v/>
      </c>
      <c r="B1087">
        <f>Data!G1139</f>
        <v/>
      </c>
      <c r="C1087">
        <f>Data!H1139</f>
        <v/>
      </c>
      <c r="D1087">
        <f>Data!I1139</f>
        <v/>
      </c>
      <c r="E1087">
        <f>Data!M1139</f>
        <v/>
      </c>
      <c r="F1087">
        <f>Data!O1139</f>
        <v/>
      </c>
      <c r="G1087">
        <f>E1087-F1087</f>
        <v/>
      </c>
      <c r="H1087">
        <f>Data!P1139</f>
        <v/>
      </c>
      <c r="I1087">
        <f>G1087+H1087</f>
        <v/>
      </c>
      <c r="J1087">
        <f>F1087+G1087+H1087</f>
        <v/>
      </c>
      <c r="K1087">
        <f>Data!R1139</f>
        <v/>
      </c>
      <c r="L1087">
        <f>Data!T1139</f>
        <v/>
      </c>
      <c r="M1087">
        <f>AND(E1087=0,F1087=0,G1087=0,H1087=0,I1087=0,J1087=0,K1087=0,L1087=0)</f>
        <v/>
      </c>
      <c r="N1087">
        <f>G1087&lt;=$T$6</f>
        <v/>
      </c>
      <c r="O1087">
        <f>G1087&lt;=$T$12</f>
        <v/>
      </c>
      <c r="P1087">
        <f>OR(AND(H1087&gt;=$T$4,K1087&lt;=$T$5,N1087),M1087)</f>
        <v/>
      </c>
      <c r="Q1087">
        <f>OR(AND(I1087&gt;=$T$10,K1087&lt;=$T$11,O1087),M1087)</f>
        <v/>
      </c>
    </row>
    <row r="1088">
      <c r="A1088">
        <f>Data!E1140</f>
        <v/>
      </c>
      <c r="B1088">
        <f>Data!G1140</f>
        <v/>
      </c>
      <c r="C1088">
        <f>Data!H1140</f>
        <v/>
      </c>
      <c r="D1088">
        <f>Data!I1140</f>
        <v/>
      </c>
      <c r="E1088">
        <f>Data!M1140</f>
        <v/>
      </c>
      <c r="F1088">
        <f>Data!O1140</f>
        <v/>
      </c>
      <c r="G1088">
        <f>E1088-F1088</f>
        <v/>
      </c>
      <c r="H1088">
        <f>Data!P1140</f>
        <v/>
      </c>
      <c r="I1088">
        <f>G1088+H1088</f>
        <v/>
      </c>
      <c r="J1088">
        <f>F1088+G1088+H1088</f>
        <v/>
      </c>
      <c r="K1088">
        <f>Data!R1140</f>
        <v/>
      </c>
      <c r="L1088">
        <f>Data!T1140</f>
        <v/>
      </c>
      <c r="M1088">
        <f>AND(E1088=0,F1088=0,G1088=0,H1088=0,I1088=0,J1088=0,K1088=0,L1088=0)</f>
        <v/>
      </c>
      <c r="N1088">
        <f>G1088&lt;=$T$6</f>
        <v/>
      </c>
      <c r="O1088">
        <f>G1088&lt;=$T$12</f>
        <v/>
      </c>
      <c r="P1088">
        <f>OR(AND(H1088&gt;=$T$4,K1088&lt;=$T$5,N1088),M1088)</f>
        <v/>
      </c>
      <c r="Q1088">
        <f>OR(AND(I1088&gt;=$T$10,K1088&lt;=$T$11,O1088),M1088)</f>
        <v/>
      </c>
    </row>
    <row r="1089">
      <c r="A1089">
        <f>Data!E1141</f>
        <v/>
      </c>
      <c r="B1089">
        <f>Data!G1141</f>
        <v/>
      </c>
      <c r="C1089">
        <f>Data!H1141</f>
        <v/>
      </c>
      <c r="D1089">
        <f>Data!I1141</f>
        <v/>
      </c>
      <c r="E1089">
        <f>Data!M1141</f>
        <v/>
      </c>
      <c r="F1089">
        <f>Data!O1141</f>
        <v/>
      </c>
      <c r="G1089">
        <f>E1089-F1089</f>
        <v/>
      </c>
      <c r="H1089">
        <f>Data!P1141</f>
        <v/>
      </c>
      <c r="I1089">
        <f>G1089+H1089</f>
        <v/>
      </c>
      <c r="J1089">
        <f>F1089+G1089+H1089</f>
        <v/>
      </c>
      <c r="K1089">
        <f>Data!R1141</f>
        <v/>
      </c>
      <c r="L1089">
        <f>Data!T1141</f>
        <v/>
      </c>
      <c r="M1089">
        <f>AND(E1089=0,F1089=0,G1089=0,H1089=0,I1089=0,J1089=0,K1089=0,L1089=0)</f>
        <v/>
      </c>
      <c r="N1089">
        <f>G1089&lt;=$T$6</f>
        <v/>
      </c>
      <c r="O1089">
        <f>G1089&lt;=$T$12</f>
        <v/>
      </c>
      <c r="P1089">
        <f>OR(AND(H1089&gt;=$T$4,K1089&lt;=$T$5,N1089),M1089)</f>
        <v/>
      </c>
      <c r="Q1089">
        <f>OR(AND(I1089&gt;=$T$10,K1089&lt;=$T$11,O1089),M1089)</f>
        <v/>
      </c>
    </row>
    <row r="1090">
      <c r="A1090">
        <f>Data!E1143</f>
        <v/>
      </c>
      <c r="B1090">
        <f>Data!G1143</f>
        <v/>
      </c>
      <c r="C1090">
        <f>Data!H1143</f>
        <v/>
      </c>
      <c r="D1090">
        <f>Data!I1143</f>
        <v/>
      </c>
      <c r="E1090">
        <f>Data!M1143</f>
        <v/>
      </c>
      <c r="F1090">
        <f>Data!O1143</f>
        <v/>
      </c>
      <c r="G1090">
        <f>E1090-F1090</f>
        <v/>
      </c>
      <c r="H1090">
        <f>Data!P1143</f>
        <v/>
      </c>
      <c r="I1090">
        <f>G1090+H1090</f>
        <v/>
      </c>
      <c r="J1090">
        <f>F1090+G1090+H1090</f>
        <v/>
      </c>
      <c r="K1090">
        <f>Data!R1143</f>
        <v/>
      </c>
      <c r="L1090">
        <f>Data!T1143</f>
        <v/>
      </c>
      <c r="M1090">
        <f>AND(E1090=0,F1090=0,G1090=0,H1090=0,I1090=0,J1090=0,K1090=0,L1090=0)</f>
        <v/>
      </c>
      <c r="N1090">
        <f>G1090&lt;=$T$6</f>
        <v/>
      </c>
      <c r="O1090">
        <f>G1090&lt;=$T$12</f>
        <v/>
      </c>
      <c r="P1090">
        <f>OR(AND(H1090&gt;=$T$4,K1090&lt;=$T$5,N1090),M1090)</f>
        <v/>
      </c>
      <c r="Q1090">
        <f>OR(AND(I1090&gt;=$T$10,K1090&lt;=$T$11,O1090),M1090)</f>
        <v/>
      </c>
    </row>
    <row r="1091">
      <c r="A1091">
        <f>Data!E1144</f>
        <v/>
      </c>
      <c r="B1091">
        <f>Data!G1144</f>
        <v/>
      </c>
      <c r="C1091">
        <f>Data!H1144</f>
        <v/>
      </c>
      <c r="D1091">
        <f>Data!I1144</f>
        <v/>
      </c>
      <c r="E1091">
        <f>Data!M1144</f>
        <v/>
      </c>
      <c r="F1091">
        <f>Data!O1144</f>
        <v/>
      </c>
      <c r="G1091">
        <f>E1091-F1091</f>
        <v/>
      </c>
      <c r="H1091">
        <f>Data!P1144</f>
        <v/>
      </c>
      <c r="I1091">
        <f>G1091+H1091</f>
        <v/>
      </c>
      <c r="J1091">
        <f>F1091+G1091+H1091</f>
        <v/>
      </c>
      <c r="K1091">
        <f>Data!R1144</f>
        <v/>
      </c>
      <c r="L1091">
        <f>Data!T1144</f>
        <v/>
      </c>
      <c r="M1091">
        <f>AND(E1091=0,F1091=0,G1091=0,H1091=0,I1091=0,J1091=0,K1091=0,L1091=0)</f>
        <v/>
      </c>
      <c r="N1091">
        <f>G1091&lt;=$T$6</f>
        <v/>
      </c>
      <c r="O1091">
        <f>G1091&lt;=$T$12</f>
        <v/>
      </c>
      <c r="P1091">
        <f>OR(AND(H1091&gt;=$T$4,K1091&lt;=$T$5,N1091),M1091)</f>
        <v/>
      </c>
      <c r="Q1091">
        <f>OR(AND(I1091&gt;=$T$10,K1091&lt;=$T$11,O1091),M1091)</f>
        <v/>
      </c>
    </row>
    <row r="1092">
      <c r="A1092">
        <f>Data!E1145</f>
        <v/>
      </c>
      <c r="B1092">
        <f>Data!G1145</f>
        <v/>
      </c>
      <c r="C1092">
        <f>Data!H1145</f>
        <v/>
      </c>
      <c r="D1092">
        <f>Data!I1145</f>
        <v/>
      </c>
      <c r="E1092">
        <f>Data!M1145</f>
        <v/>
      </c>
      <c r="F1092">
        <f>Data!O1145</f>
        <v/>
      </c>
      <c r="G1092">
        <f>E1092-F1092</f>
        <v/>
      </c>
      <c r="H1092">
        <f>Data!P1145</f>
        <v/>
      </c>
      <c r="I1092">
        <f>G1092+H1092</f>
        <v/>
      </c>
      <c r="J1092">
        <f>F1092+G1092+H1092</f>
        <v/>
      </c>
      <c r="K1092">
        <f>Data!R1145</f>
        <v/>
      </c>
      <c r="L1092">
        <f>Data!T1145</f>
        <v/>
      </c>
      <c r="M1092">
        <f>AND(E1092=0,F1092=0,G1092=0,H1092=0,I1092=0,J1092=0,K1092=0,L1092=0)</f>
        <v/>
      </c>
      <c r="N1092">
        <f>G1092&lt;=$T$6</f>
        <v/>
      </c>
      <c r="O1092">
        <f>G1092&lt;=$T$12</f>
        <v/>
      </c>
      <c r="P1092">
        <f>OR(AND(H1092&gt;=$T$4,K1092&lt;=$T$5,N1092),M1092)</f>
        <v/>
      </c>
      <c r="Q1092">
        <f>OR(AND(I1092&gt;=$T$10,K1092&lt;=$T$11,O1092),M1092)</f>
        <v/>
      </c>
    </row>
    <row r="1093">
      <c r="A1093">
        <f>Data!E1146</f>
        <v/>
      </c>
      <c r="B1093">
        <f>Data!G1146</f>
        <v/>
      </c>
      <c r="C1093">
        <f>Data!H1146</f>
        <v/>
      </c>
      <c r="D1093">
        <f>Data!I1146</f>
        <v/>
      </c>
      <c r="E1093">
        <f>Data!M1146</f>
        <v/>
      </c>
      <c r="F1093">
        <f>Data!O1146</f>
        <v/>
      </c>
      <c r="G1093">
        <f>E1093-F1093</f>
        <v/>
      </c>
      <c r="H1093">
        <f>Data!P1146</f>
        <v/>
      </c>
      <c r="I1093">
        <f>G1093+H1093</f>
        <v/>
      </c>
      <c r="J1093">
        <f>F1093+G1093+H1093</f>
        <v/>
      </c>
      <c r="K1093">
        <f>Data!R1146</f>
        <v/>
      </c>
      <c r="L1093">
        <f>Data!T1146</f>
        <v/>
      </c>
      <c r="M1093">
        <f>AND(E1093=0,F1093=0,G1093=0,H1093=0,I1093=0,J1093=0,K1093=0,L1093=0)</f>
        <v/>
      </c>
      <c r="N1093">
        <f>G1093&lt;=$T$6</f>
        <v/>
      </c>
      <c r="O1093">
        <f>G1093&lt;=$T$12</f>
        <v/>
      </c>
      <c r="P1093">
        <f>OR(AND(H1093&gt;=$T$4,K1093&lt;=$T$5,N1093),M1093)</f>
        <v/>
      </c>
      <c r="Q1093">
        <f>OR(AND(I1093&gt;=$T$10,K1093&lt;=$T$11,O1093),M1093)</f>
        <v/>
      </c>
    </row>
    <row r="1094">
      <c r="A1094">
        <f>Data!E1147</f>
        <v/>
      </c>
      <c r="B1094">
        <f>Data!G1147</f>
        <v/>
      </c>
      <c r="C1094">
        <f>Data!H1147</f>
        <v/>
      </c>
      <c r="D1094">
        <f>Data!I1147</f>
        <v/>
      </c>
      <c r="E1094">
        <f>Data!M1147</f>
        <v/>
      </c>
      <c r="F1094">
        <f>Data!O1147</f>
        <v/>
      </c>
      <c r="G1094">
        <f>E1094-F1094</f>
        <v/>
      </c>
      <c r="H1094">
        <f>Data!P1147</f>
        <v/>
      </c>
      <c r="I1094">
        <f>G1094+H1094</f>
        <v/>
      </c>
      <c r="J1094">
        <f>F1094+G1094+H1094</f>
        <v/>
      </c>
      <c r="K1094">
        <f>Data!R1147</f>
        <v/>
      </c>
      <c r="L1094">
        <f>Data!T1147</f>
        <v/>
      </c>
      <c r="M1094">
        <f>AND(E1094=0,F1094=0,G1094=0,H1094=0,I1094=0,J1094=0,K1094=0,L1094=0)</f>
        <v/>
      </c>
      <c r="N1094">
        <f>G1094&lt;=$T$6</f>
        <v/>
      </c>
      <c r="O1094">
        <f>G1094&lt;=$T$12</f>
        <v/>
      </c>
      <c r="P1094">
        <f>OR(AND(H1094&gt;=$T$4,K1094&lt;=$T$5,N1094),M1094)</f>
        <v/>
      </c>
      <c r="Q1094">
        <f>OR(AND(I1094&gt;=$T$10,K1094&lt;=$T$11,O1094),M1094)</f>
        <v/>
      </c>
    </row>
    <row r="1095">
      <c r="A1095">
        <f>Data!E1148</f>
        <v/>
      </c>
      <c r="B1095">
        <f>Data!G1148</f>
        <v/>
      </c>
      <c r="C1095">
        <f>Data!H1148</f>
        <v/>
      </c>
      <c r="D1095">
        <f>Data!I1148</f>
        <v/>
      </c>
      <c r="E1095">
        <f>Data!M1148</f>
        <v/>
      </c>
      <c r="F1095">
        <f>Data!O1148</f>
        <v/>
      </c>
      <c r="G1095">
        <f>E1095-F1095</f>
        <v/>
      </c>
      <c r="H1095">
        <f>Data!P1148</f>
        <v/>
      </c>
      <c r="I1095">
        <f>G1095+H1095</f>
        <v/>
      </c>
      <c r="J1095">
        <f>F1095+G1095+H1095</f>
        <v/>
      </c>
      <c r="K1095">
        <f>Data!R1148</f>
        <v/>
      </c>
      <c r="L1095">
        <f>Data!T1148</f>
        <v/>
      </c>
      <c r="M1095">
        <f>AND(E1095=0,F1095=0,G1095=0,H1095=0,I1095=0,J1095=0,K1095=0,L1095=0)</f>
        <v/>
      </c>
      <c r="N1095">
        <f>G1095&lt;=$T$6</f>
        <v/>
      </c>
      <c r="O1095">
        <f>G1095&lt;=$T$12</f>
        <v/>
      </c>
      <c r="P1095">
        <f>OR(AND(H1095&gt;=$T$4,K1095&lt;=$T$5,N1095),M1095)</f>
        <v/>
      </c>
      <c r="Q1095">
        <f>OR(AND(I1095&gt;=$T$10,K1095&lt;=$T$11,O1095),M1095)</f>
        <v/>
      </c>
    </row>
    <row r="1096">
      <c r="A1096">
        <f>Data!E1149</f>
        <v/>
      </c>
      <c r="B1096">
        <f>Data!G1149</f>
        <v/>
      </c>
      <c r="C1096">
        <f>Data!H1149</f>
        <v/>
      </c>
      <c r="D1096">
        <f>Data!I1149</f>
        <v/>
      </c>
      <c r="E1096">
        <f>Data!M1149</f>
        <v/>
      </c>
      <c r="F1096">
        <f>Data!O1149</f>
        <v/>
      </c>
      <c r="G1096">
        <f>E1096-F1096</f>
        <v/>
      </c>
      <c r="H1096">
        <f>Data!P1149</f>
        <v/>
      </c>
      <c r="I1096">
        <f>G1096+H1096</f>
        <v/>
      </c>
      <c r="J1096">
        <f>F1096+G1096+H1096</f>
        <v/>
      </c>
      <c r="K1096">
        <f>Data!R1149</f>
        <v/>
      </c>
      <c r="L1096">
        <f>Data!T1149</f>
        <v/>
      </c>
      <c r="M1096">
        <f>AND(E1096=0,F1096=0,G1096=0,H1096=0,I1096=0,J1096=0,K1096=0,L1096=0)</f>
        <v/>
      </c>
      <c r="N1096">
        <f>G1096&lt;=$T$6</f>
        <v/>
      </c>
      <c r="O1096">
        <f>G1096&lt;=$T$12</f>
        <v/>
      </c>
      <c r="P1096">
        <f>OR(AND(H1096&gt;=$T$4,K1096&lt;=$T$5,N1096),M1096)</f>
        <v/>
      </c>
      <c r="Q1096">
        <f>OR(AND(I1096&gt;=$T$10,K1096&lt;=$T$11,O1096),M1096)</f>
        <v/>
      </c>
    </row>
    <row r="1097">
      <c r="A1097">
        <f>Data!E1150</f>
        <v/>
      </c>
      <c r="B1097">
        <f>Data!G1150</f>
        <v/>
      </c>
      <c r="C1097">
        <f>Data!H1150</f>
        <v/>
      </c>
      <c r="D1097">
        <f>Data!I1150</f>
        <v/>
      </c>
      <c r="E1097">
        <f>Data!M1150</f>
        <v/>
      </c>
      <c r="F1097">
        <f>Data!O1150</f>
        <v/>
      </c>
      <c r="G1097">
        <f>E1097-F1097</f>
        <v/>
      </c>
      <c r="H1097">
        <f>Data!P1150</f>
        <v/>
      </c>
      <c r="I1097">
        <f>G1097+H1097</f>
        <v/>
      </c>
      <c r="J1097">
        <f>F1097+G1097+H1097</f>
        <v/>
      </c>
      <c r="K1097">
        <f>Data!R1150</f>
        <v/>
      </c>
      <c r="L1097">
        <f>Data!T1150</f>
        <v/>
      </c>
      <c r="M1097">
        <f>AND(E1097=0,F1097=0,G1097=0,H1097=0,I1097=0,J1097=0,K1097=0,L1097=0)</f>
        <v/>
      </c>
      <c r="N1097">
        <f>G1097&lt;=$T$6</f>
        <v/>
      </c>
      <c r="O1097">
        <f>G1097&lt;=$T$12</f>
        <v/>
      </c>
      <c r="P1097">
        <f>OR(AND(H1097&gt;=$T$4,K1097&lt;=$T$5,N1097),M1097)</f>
        <v/>
      </c>
      <c r="Q1097">
        <f>OR(AND(I1097&gt;=$T$10,K1097&lt;=$T$11,O1097),M1097)</f>
        <v/>
      </c>
    </row>
    <row r="1098">
      <c r="A1098">
        <f>Data!E1151</f>
        <v/>
      </c>
      <c r="B1098">
        <f>Data!G1151</f>
        <v/>
      </c>
      <c r="C1098">
        <f>Data!H1151</f>
        <v/>
      </c>
      <c r="D1098">
        <f>Data!I1151</f>
        <v/>
      </c>
      <c r="E1098">
        <f>Data!M1151</f>
        <v/>
      </c>
      <c r="F1098">
        <f>Data!O1151</f>
        <v/>
      </c>
      <c r="G1098">
        <f>E1098-F1098</f>
        <v/>
      </c>
      <c r="H1098">
        <f>Data!P1151</f>
        <v/>
      </c>
      <c r="I1098">
        <f>G1098+H1098</f>
        <v/>
      </c>
      <c r="J1098">
        <f>F1098+G1098+H1098</f>
        <v/>
      </c>
      <c r="K1098">
        <f>Data!R1151</f>
        <v/>
      </c>
      <c r="L1098">
        <f>Data!T1151</f>
        <v/>
      </c>
      <c r="M1098">
        <f>AND(E1098=0,F1098=0,G1098=0,H1098=0,I1098=0,J1098=0,K1098=0,L1098=0)</f>
        <v/>
      </c>
      <c r="N1098">
        <f>G1098&lt;=$T$6</f>
        <v/>
      </c>
      <c r="O1098">
        <f>G1098&lt;=$T$12</f>
        <v/>
      </c>
      <c r="P1098">
        <f>OR(AND(H1098&gt;=$T$4,K1098&lt;=$T$5,N1098),M1098)</f>
        <v/>
      </c>
      <c r="Q1098">
        <f>OR(AND(I1098&gt;=$T$10,K1098&lt;=$T$11,O1098),M1098)</f>
        <v/>
      </c>
    </row>
    <row r="1099">
      <c r="A1099">
        <f>Data!E1152</f>
        <v/>
      </c>
      <c r="B1099">
        <f>Data!G1152</f>
        <v/>
      </c>
      <c r="C1099">
        <f>Data!H1152</f>
        <v/>
      </c>
      <c r="D1099">
        <f>Data!I1152</f>
        <v/>
      </c>
      <c r="E1099">
        <f>Data!M1152</f>
        <v/>
      </c>
      <c r="F1099">
        <f>Data!O1152</f>
        <v/>
      </c>
      <c r="G1099">
        <f>E1099-F1099</f>
        <v/>
      </c>
      <c r="H1099">
        <f>Data!P1152</f>
        <v/>
      </c>
      <c r="I1099">
        <f>G1099+H1099</f>
        <v/>
      </c>
      <c r="J1099">
        <f>F1099+G1099+H1099</f>
        <v/>
      </c>
      <c r="K1099">
        <f>Data!R1152</f>
        <v/>
      </c>
      <c r="L1099">
        <f>Data!T1152</f>
        <v/>
      </c>
      <c r="M1099">
        <f>AND(E1099=0,F1099=0,G1099=0,H1099=0,I1099=0,J1099=0,K1099=0,L1099=0)</f>
        <v/>
      </c>
      <c r="N1099">
        <f>G1099&lt;=$T$6</f>
        <v/>
      </c>
      <c r="O1099">
        <f>G1099&lt;=$T$12</f>
        <v/>
      </c>
      <c r="P1099">
        <f>OR(AND(H1099&gt;=$T$4,K1099&lt;=$T$5,N1099),M1099)</f>
        <v/>
      </c>
      <c r="Q1099">
        <f>OR(AND(I1099&gt;=$T$10,K1099&lt;=$T$11,O1099),M1099)</f>
        <v/>
      </c>
    </row>
    <row r="1100">
      <c r="A1100">
        <f>Data!E1153</f>
        <v/>
      </c>
      <c r="B1100">
        <f>Data!G1153</f>
        <v/>
      </c>
      <c r="C1100">
        <f>Data!H1153</f>
        <v/>
      </c>
      <c r="D1100">
        <f>Data!I1153</f>
        <v/>
      </c>
      <c r="E1100">
        <f>Data!M1153</f>
        <v/>
      </c>
      <c r="F1100">
        <f>Data!O1153</f>
        <v/>
      </c>
      <c r="G1100">
        <f>E1100-F1100</f>
        <v/>
      </c>
      <c r="H1100">
        <f>Data!P1153</f>
        <v/>
      </c>
      <c r="I1100">
        <f>G1100+H1100</f>
        <v/>
      </c>
      <c r="J1100">
        <f>F1100+G1100+H1100</f>
        <v/>
      </c>
      <c r="K1100">
        <f>Data!R1153</f>
        <v/>
      </c>
      <c r="L1100">
        <f>Data!T1153</f>
        <v/>
      </c>
      <c r="M1100">
        <f>AND(E1100=0,F1100=0,G1100=0,H1100=0,I1100=0,J1100=0,K1100=0,L1100=0)</f>
        <v/>
      </c>
      <c r="N1100">
        <f>G1100&lt;=$T$6</f>
        <v/>
      </c>
      <c r="O1100">
        <f>G1100&lt;=$T$12</f>
        <v/>
      </c>
      <c r="P1100">
        <f>OR(AND(H1100&gt;=$T$4,K1100&lt;=$T$5,N1100),M1100)</f>
        <v/>
      </c>
      <c r="Q1100">
        <f>OR(AND(I1100&gt;=$T$10,K1100&lt;=$T$11,O1100),M1100)</f>
        <v/>
      </c>
    </row>
    <row r="1101">
      <c r="A1101">
        <f>Data!E1154</f>
        <v/>
      </c>
      <c r="B1101">
        <f>Data!G1154</f>
        <v/>
      </c>
      <c r="C1101">
        <f>Data!H1154</f>
        <v/>
      </c>
      <c r="D1101">
        <f>Data!I1154</f>
        <v/>
      </c>
      <c r="E1101">
        <f>Data!M1154</f>
        <v/>
      </c>
      <c r="F1101">
        <f>Data!O1154</f>
        <v/>
      </c>
      <c r="G1101">
        <f>E1101-F1101</f>
        <v/>
      </c>
      <c r="H1101">
        <f>Data!P1154</f>
        <v/>
      </c>
      <c r="I1101">
        <f>G1101+H1101</f>
        <v/>
      </c>
      <c r="J1101">
        <f>F1101+G1101+H1101</f>
        <v/>
      </c>
      <c r="K1101">
        <f>Data!R1154</f>
        <v/>
      </c>
      <c r="L1101">
        <f>Data!T1154</f>
        <v/>
      </c>
      <c r="M1101">
        <f>AND(E1101=0,F1101=0,G1101=0,H1101=0,I1101=0,J1101=0,K1101=0,L1101=0)</f>
        <v/>
      </c>
      <c r="N1101">
        <f>G1101&lt;=$T$6</f>
        <v/>
      </c>
      <c r="O1101">
        <f>G1101&lt;=$T$12</f>
        <v/>
      </c>
      <c r="P1101">
        <f>OR(AND(H1101&gt;=$T$4,K1101&lt;=$T$5,N1101),M1101)</f>
        <v/>
      </c>
      <c r="Q1101">
        <f>OR(AND(I1101&gt;=$T$10,K1101&lt;=$T$11,O1101),M1101)</f>
        <v/>
      </c>
    </row>
    <row r="1102">
      <c r="A1102">
        <f>Data!E1155</f>
        <v/>
      </c>
      <c r="B1102">
        <f>Data!G1155</f>
        <v/>
      </c>
      <c r="C1102">
        <f>Data!H1155</f>
        <v/>
      </c>
      <c r="D1102">
        <f>Data!I1155</f>
        <v/>
      </c>
      <c r="E1102">
        <f>Data!M1155</f>
        <v/>
      </c>
      <c r="F1102">
        <f>Data!O1155</f>
        <v/>
      </c>
      <c r="G1102">
        <f>E1102-F1102</f>
        <v/>
      </c>
      <c r="H1102">
        <f>Data!P1155</f>
        <v/>
      </c>
      <c r="I1102">
        <f>G1102+H1102</f>
        <v/>
      </c>
      <c r="J1102">
        <f>F1102+G1102+H1102</f>
        <v/>
      </c>
      <c r="K1102">
        <f>Data!R1155</f>
        <v/>
      </c>
      <c r="L1102">
        <f>Data!T1155</f>
        <v/>
      </c>
      <c r="M1102">
        <f>AND(E1102=0,F1102=0,G1102=0,H1102=0,I1102=0,J1102=0,K1102=0,L1102=0)</f>
        <v/>
      </c>
      <c r="N1102">
        <f>G1102&lt;=$T$6</f>
        <v/>
      </c>
      <c r="O1102">
        <f>G1102&lt;=$T$12</f>
        <v/>
      </c>
      <c r="P1102">
        <f>OR(AND(H1102&gt;=$T$4,K1102&lt;=$T$5,N1102),M1102)</f>
        <v/>
      </c>
      <c r="Q1102">
        <f>OR(AND(I1102&gt;=$T$10,K1102&lt;=$T$11,O1102),M1102)</f>
        <v/>
      </c>
    </row>
    <row r="1103">
      <c r="A1103">
        <f>Data!E1156</f>
        <v/>
      </c>
      <c r="B1103">
        <f>Data!G1156</f>
        <v/>
      </c>
      <c r="C1103">
        <f>Data!H1156</f>
        <v/>
      </c>
      <c r="D1103">
        <f>Data!I1156</f>
        <v/>
      </c>
      <c r="E1103">
        <f>Data!M1156</f>
        <v/>
      </c>
      <c r="F1103">
        <f>Data!O1156</f>
        <v/>
      </c>
      <c r="G1103">
        <f>E1103-F1103</f>
        <v/>
      </c>
      <c r="H1103">
        <f>Data!P1156</f>
        <v/>
      </c>
      <c r="I1103">
        <f>G1103+H1103</f>
        <v/>
      </c>
      <c r="J1103">
        <f>F1103+G1103+H1103</f>
        <v/>
      </c>
      <c r="K1103">
        <f>Data!R1156</f>
        <v/>
      </c>
      <c r="L1103">
        <f>Data!T1156</f>
        <v/>
      </c>
      <c r="M1103">
        <f>AND(E1103=0,F1103=0,G1103=0,H1103=0,I1103=0,J1103=0,K1103=0,L1103=0)</f>
        <v/>
      </c>
      <c r="N1103">
        <f>G1103&lt;=$T$6</f>
        <v/>
      </c>
      <c r="O1103">
        <f>G1103&lt;=$T$12</f>
        <v/>
      </c>
      <c r="P1103">
        <f>OR(AND(H1103&gt;=$T$4,K1103&lt;=$T$5,N1103),M1103)</f>
        <v/>
      </c>
      <c r="Q1103">
        <f>OR(AND(I1103&gt;=$T$10,K1103&lt;=$T$11,O1103),M1103)</f>
        <v/>
      </c>
    </row>
    <row r="1104">
      <c r="A1104">
        <f>Data!E1157</f>
        <v/>
      </c>
      <c r="B1104">
        <f>Data!G1157</f>
        <v/>
      </c>
      <c r="C1104">
        <f>Data!H1157</f>
        <v/>
      </c>
      <c r="D1104">
        <f>Data!I1157</f>
        <v/>
      </c>
      <c r="E1104">
        <f>Data!M1157</f>
        <v/>
      </c>
      <c r="F1104">
        <f>Data!O1157</f>
        <v/>
      </c>
      <c r="G1104">
        <f>E1104-F1104</f>
        <v/>
      </c>
      <c r="H1104">
        <f>Data!P1157</f>
        <v/>
      </c>
      <c r="I1104">
        <f>G1104+H1104</f>
        <v/>
      </c>
      <c r="J1104">
        <f>F1104+G1104+H1104</f>
        <v/>
      </c>
      <c r="K1104">
        <f>Data!R1157</f>
        <v/>
      </c>
      <c r="L1104">
        <f>Data!T1157</f>
        <v/>
      </c>
      <c r="M1104">
        <f>AND(E1104=0,F1104=0,G1104=0,H1104=0,I1104=0,J1104=0,K1104=0,L1104=0)</f>
        <v/>
      </c>
      <c r="N1104">
        <f>G1104&lt;=$T$6</f>
        <v/>
      </c>
      <c r="O1104">
        <f>G1104&lt;=$T$12</f>
        <v/>
      </c>
      <c r="P1104">
        <f>OR(AND(H1104&gt;=$T$4,K1104&lt;=$T$5,N1104),M1104)</f>
        <v/>
      </c>
      <c r="Q1104">
        <f>OR(AND(I1104&gt;=$T$10,K1104&lt;=$T$11,O1104),M1104)</f>
        <v/>
      </c>
    </row>
    <row r="1105">
      <c r="A1105">
        <f>Data!E1158</f>
        <v/>
      </c>
      <c r="B1105">
        <f>Data!G1158</f>
        <v/>
      </c>
      <c r="C1105">
        <f>Data!H1158</f>
        <v/>
      </c>
      <c r="D1105">
        <f>Data!I1158</f>
        <v/>
      </c>
      <c r="E1105">
        <f>Data!M1158</f>
        <v/>
      </c>
      <c r="F1105">
        <f>Data!O1158</f>
        <v/>
      </c>
      <c r="G1105">
        <f>E1105-F1105</f>
        <v/>
      </c>
      <c r="H1105">
        <f>Data!P1158</f>
        <v/>
      </c>
      <c r="I1105">
        <f>G1105+H1105</f>
        <v/>
      </c>
      <c r="J1105">
        <f>F1105+G1105+H1105</f>
        <v/>
      </c>
      <c r="K1105">
        <f>Data!R1158</f>
        <v/>
      </c>
      <c r="L1105">
        <f>Data!T1158</f>
        <v/>
      </c>
      <c r="M1105">
        <f>AND(E1105=0,F1105=0,G1105=0,H1105=0,I1105=0,J1105=0,K1105=0,L1105=0)</f>
        <v/>
      </c>
      <c r="N1105">
        <f>G1105&lt;=$T$6</f>
        <v/>
      </c>
      <c r="O1105">
        <f>G1105&lt;=$T$12</f>
        <v/>
      </c>
      <c r="P1105">
        <f>OR(AND(H1105&gt;=$T$4,K1105&lt;=$T$5,N1105),M1105)</f>
        <v/>
      </c>
      <c r="Q1105">
        <f>OR(AND(I1105&gt;=$T$10,K1105&lt;=$T$11,O1105),M1105)</f>
        <v/>
      </c>
    </row>
    <row r="1106">
      <c r="A1106">
        <f>Data!E1159</f>
        <v/>
      </c>
      <c r="B1106">
        <f>Data!G1159</f>
        <v/>
      </c>
      <c r="C1106">
        <f>Data!H1159</f>
        <v/>
      </c>
      <c r="D1106">
        <f>Data!I1159</f>
        <v/>
      </c>
      <c r="E1106">
        <f>Data!M1159</f>
        <v/>
      </c>
      <c r="F1106">
        <f>Data!O1159</f>
        <v/>
      </c>
      <c r="G1106">
        <f>E1106-F1106</f>
        <v/>
      </c>
      <c r="H1106">
        <f>Data!P1159</f>
        <v/>
      </c>
      <c r="I1106">
        <f>G1106+H1106</f>
        <v/>
      </c>
      <c r="J1106">
        <f>F1106+G1106+H1106</f>
        <v/>
      </c>
      <c r="K1106">
        <f>Data!R1159</f>
        <v/>
      </c>
      <c r="L1106">
        <f>Data!T1159</f>
        <v/>
      </c>
      <c r="M1106">
        <f>AND(E1106=0,F1106=0,G1106=0,H1106=0,I1106=0,J1106=0,K1106=0,L1106=0)</f>
        <v/>
      </c>
      <c r="N1106">
        <f>G1106&lt;=$T$6</f>
        <v/>
      </c>
      <c r="O1106">
        <f>G1106&lt;=$T$12</f>
        <v/>
      </c>
      <c r="P1106">
        <f>OR(AND(H1106&gt;=$T$4,K1106&lt;=$T$5,N1106),M1106)</f>
        <v/>
      </c>
      <c r="Q1106">
        <f>OR(AND(I1106&gt;=$T$10,K1106&lt;=$T$11,O1106),M1106)</f>
        <v/>
      </c>
    </row>
    <row r="1107">
      <c r="A1107">
        <f>Data!E1160</f>
        <v/>
      </c>
      <c r="B1107">
        <f>Data!G1160</f>
        <v/>
      </c>
      <c r="C1107">
        <f>Data!H1160</f>
        <v/>
      </c>
      <c r="D1107">
        <f>Data!I1160</f>
        <v/>
      </c>
      <c r="E1107">
        <f>Data!M1160</f>
        <v/>
      </c>
      <c r="F1107">
        <f>Data!O1160</f>
        <v/>
      </c>
      <c r="G1107">
        <f>E1107-F1107</f>
        <v/>
      </c>
      <c r="H1107">
        <f>Data!P1160</f>
        <v/>
      </c>
      <c r="I1107">
        <f>G1107+H1107</f>
        <v/>
      </c>
      <c r="J1107">
        <f>F1107+G1107+H1107</f>
        <v/>
      </c>
      <c r="K1107">
        <f>Data!R1160</f>
        <v/>
      </c>
      <c r="L1107">
        <f>Data!T1160</f>
        <v/>
      </c>
      <c r="M1107">
        <f>AND(E1107=0,F1107=0,G1107=0,H1107=0,I1107=0,J1107=0,K1107=0,L1107=0)</f>
        <v/>
      </c>
      <c r="N1107">
        <f>G1107&lt;=$T$6</f>
        <v/>
      </c>
      <c r="O1107">
        <f>G1107&lt;=$T$12</f>
        <v/>
      </c>
      <c r="P1107">
        <f>OR(AND(H1107&gt;=$T$4,K1107&lt;=$T$5,N1107),M1107)</f>
        <v/>
      </c>
      <c r="Q1107">
        <f>OR(AND(I1107&gt;=$T$10,K1107&lt;=$T$11,O1107),M1107)</f>
        <v/>
      </c>
    </row>
    <row r="1108">
      <c r="A1108">
        <f>Data!E1161</f>
        <v/>
      </c>
      <c r="B1108">
        <f>Data!G1161</f>
        <v/>
      </c>
      <c r="C1108">
        <f>Data!H1161</f>
        <v/>
      </c>
      <c r="D1108">
        <f>Data!I1161</f>
        <v/>
      </c>
      <c r="E1108">
        <f>Data!M1161</f>
        <v/>
      </c>
      <c r="F1108">
        <f>Data!O1161</f>
        <v/>
      </c>
      <c r="G1108">
        <f>E1108-F1108</f>
        <v/>
      </c>
      <c r="H1108">
        <f>Data!P1161</f>
        <v/>
      </c>
      <c r="I1108">
        <f>G1108+H1108</f>
        <v/>
      </c>
      <c r="J1108">
        <f>F1108+G1108+H1108</f>
        <v/>
      </c>
      <c r="K1108">
        <f>Data!R1161</f>
        <v/>
      </c>
      <c r="L1108">
        <f>Data!T1161</f>
        <v/>
      </c>
      <c r="M1108">
        <f>AND(E1108=0,F1108=0,G1108=0,H1108=0,I1108=0,J1108=0,K1108=0,L1108=0)</f>
        <v/>
      </c>
      <c r="N1108">
        <f>G1108&lt;=$T$6</f>
        <v/>
      </c>
      <c r="O1108">
        <f>G1108&lt;=$T$12</f>
        <v/>
      </c>
      <c r="P1108">
        <f>OR(AND(H1108&gt;=$T$4,K1108&lt;=$T$5,N1108),M1108)</f>
        <v/>
      </c>
      <c r="Q1108">
        <f>OR(AND(I1108&gt;=$T$10,K1108&lt;=$T$11,O1108),M1108)</f>
        <v/>
      </c>
    </row>
    <row r="1109">
      <c r="A1109">
        <f>Data!E1162</f>
        <v/>
      </c>
      <c r="B1109">
        <f>Data!G1162</f>
        <v/>
      </c>
      <c r="C1109">
        <f>Data!H1162</f>
        <v/>
      </c>
      <c r="D1109">
        <f>Data!I1162</f>
        <v/>
      </c>
      <c r="E1109">
        <f>Data!M1162</f>
        <v/>
      </c>
      <c r="F1109">
        <f>Data!O1162</f>
        <v/>
      </c>
      <c r="G1109">
        <f>E1109-F1109</f>
        <v/>
      </c>
      <c r="H1109">
        <f>Data!P1162</f>
        <v/>
      </c>
      <c r="I1109">
        <f>G1109+H1109</f>
        <v/>
      </c>
      <c r="J1109">
        <f>F1109+G1109+H1109</f>
        <v/>
      </c>
      <c r="K1109">
        <f>Data!R1162</f>
        <v/>
      </c>
      <c r="L1109">
        <f>Data!T1162</f>
        <v/>
      </c>
      <c r="M1109">
        <f>AND(E1109=0,F1109=0,G1109=0,H1109=0,I1109=0,J1109=0,K1109=0,L1109=0)</f>
        <v/>
      </c>
      <c r="N1109">
        <f>G1109&lt;=$T$6</f>
        <v/>
      </c>
      <c r="O1109">
        <f>G1109&lt;=$T$12</f>
        <v/>
      </c>
      <c r="P1109">
        <f>OR(AND(H1109&gt;=$T$4,K1109&lt;=$T$5,N1109),M1109)</f>
        <v/>
      </c>
      <c r="Q1109">
        <f>OR(AND(I1109&gt;=$T$10,K1109&lt;=$T$11,O1109),M1109)</f>
        <v/>
      </c>
    </row>
    <row r="1110">
      <c r="A1110">
        <f>Data!E1163</f>
        <v/>
      </c>
      <c r="B1110">
        <f>Data!G1163</f>
        <v/>
      </c>
      <c r="C1110">
        <f>Data!H1163</f>
        <v/>
      </c>
      <c r="D1110">
        <f>Data!I1163</f>
        <v/>
      </c>
      <c r="E1110">
        <f>Data!M1163</f>
        <v/>
      </c>
      <c r="F1110">
        <f>Data!O1163</f>
        <v/>
      </c>
      <c r="G1110">
        <f>E1110-F1110</f>
        <v/>
      </c>
      <c r="H1110">
        <f>Data!P1163</f>
        <v/>
      </c>
      <c r="I1110">
        <f>G1110+H1110</f>
        <v/>
      </c>
      <c r="J1110">
        <f>F1110+G1110+H1110</f>
        <v/>
      </c>
      <c r="K1110">
        <f>Data!R1163</f>
        <v/>
      </c>
      <c r="L1110">
        <f>Data!T1163</f>
        <v/>
      </c>
      <c r="M1110">
        <f>AND(E1110=0,F1110=0,G1110=0,H1110=0,I1110=0,J1110=0,K1110=0,L1110=0)</f>
        <v/>
      </c>
      <c r="N1110">
        <f>G1110&lt;=$T$6</f>
        <v/>
      </c>
      <c r="O1110">
        <f>G1110&lt;=$T$12</f>
        <v/>
      </c>
      <c r="P1110">
        <f>OR(AND(H1110&gt;=$T$4,K1110&lt;=$T$5,N1110),M1110)</f>
        <v/>
      </c>
      <c r="Q1110">
        <f>OR(AND(I1110&gt;=$T$10,K1110&lt;=$T$11,O1110),M1110)</f>
        <v/>
      </c>
    </row>
    <row r="1111">
      <c r="A1111">
        <f>Data!E1164</f>
        <v/>
      </c>
      <c r="B1111">
        <f>Data!G1164</f>
        <v/>
      </c>
      <c r="C1111">
        <f>Data!H1164</f>
        <v/>
      </c>
      <c r="D1111">
        <f>Data!I1164</f>
        <v/>
      </c>
      <c r="E1111">
        <f>Data!M1164</f>
        <v/>
      </c>
      <c r="F1111">
        <f>Data!O1164</f>
        <v/>
      </c>
      <c r="G1111">
        <f>E1111-F1111</f>
        <v/>
      </c>
      <c r="H1111">
        <f>Data!P1164</f>
        <v/>
      </c>
      <c r="I1111">
        <f>G1111+H1111</f>
        <v/>
      </c>
      <c r="J1111">
        <f>F1111+G1111+H1111</f>
        <v/>
      </c>
      <c r="K1111">
        <f>Data!R1164</f>
        <v/>
      </c>
      <c r="L1111">
        <f>Data!T1164</f>
        <v/>
      </c>
      <c r="M1111">
        <f>AND(E1111=0,F1111=0,G1111=0,H1111=0,I1111=0,J1111=0,K1111=0,L1111=0)</f>
        <v/>
      </c>
      <c r="N1111">
        <f>G1111&lt;=$T$6</f>
        <v/>
      </c>
      <c r="O1111">
        <f>G1111&lt;=$T$12</f>
        <v/>
      </c>
      <c r="P1111">
        <f>OR(AND(H1111&gt;=$T$4,K1111&lt;=$T$5,N1111),M1111)</f>
        <v/>
      </c>
      <c r="Q1111">
        <f>OR(AND(I1111&gt;=$T$10,K1111&lt;=$T$11,O1111),M1111)</f>
        <v/>
      </c>
    </row>
    <row r="1112">
      <c r="A1112">
        <f>Data!E1165</f>
        <v/>
      </c>
      <c r="B1112">
        <f>Data!G1165</f>
        <v/>
      </c>
      <c r="C1112">
        <f>Data!H1165</f>
        <v/>
      </c>
      <c r="D1112">
        <f>Data!I1165</f>
        <v/>
      </c>
      <c r="E1112">
        <f>Data!M1165</f>
        <v/>
      </c>
      <c r="F1112">
        <f>Data!O1165</f>
        <v/>
      </c>
      <c r="G1112">
        <f>E1112-F1112</f>
        <v/>
      </c>
      <c r="H1112">
        <f>Data!P1165</f>
        <v/>
      </c>
      <c r="I1112">
        <f>G1112+H1112</f>
        <v/>
      </c>
      <c r="J1112">
        <f>F1112+G1112+H1112</f>
        <v/>
      </c>
      <c r="K1112">
        <f>Data!R1165</f>
        <v/>
      </c>
      <c r="L1112">
        <f>Data!T1165</f>
        <v/>
      </c>
      <c r="M1112">
        <f>AND(E1112=0,F1112=0,G1112=0,H1112=0,I1112=0,J1112=0,K1112=0,L1112=0)</f>
        <v/>
      </c>
      <c r="N1112">
        <f>G1112&lt;=$T$6</f>
        <v/>
      </c>
      <c r="O1112">
        <f>G1112&lt;=$T$12</f>
        <v/>
      </c>
      <c r="P1112">
        <f>OR(AND(H1112&gt;=$T$4,K1112&lt;=$T$5,N1112),M1112)</f>
        <v/>
      </c>
      <c r="Q1112">
        <f>OR(AND(I1112&gt;=$T$10,K1112&lt;=$T$11,O1112),M1112)</f>
        <v/>
      </c>
    </row>
    <row r="1113">
      <c r="A1113">
        <f>Data!E1166</f>
        <v/>
      </c>
      <c r="B1113">
        <f>Data!G1166</f>
        <v/>
      </c>
      <c r="C1113">
        <f>Data!H1166</f>
        <v/>
      </c>
      <c r="D1113">
        <f>Data!I1166</f>
        <v/>
      </c>
      <c r="E1113">
        <f>Data!M1166</f>
        <v/>
      </c>
      <c r="F1113">
        <f>Data!O1166</f>
        <v/>
      </c>
      <c r="G1113">
        <f>E1113-F1113</f>
        <v/>
      </c>
      <c r="H1113">
        <f>Data!P1166</f>
        <v/>
      </c>
      <c r="I1113">
        <f>G1113+H1113</f>
        <v/>
      </c>
      <c r="J1113">
        <f>F1113+G1113+H1113</f>
        <v/>
      </c>
      <c r="K1113">
        <f>Data!R1166</f>
        <v/>
      </c>
      <c r="L1113">
        <f>Data!T1166</f>
        <v/>
      </c>
      <c r="M1113">
        <f>AND(E1113=0,F1113=0,G1113=0,H1113=0,I1113=0,J1113=0,K1113=0,L1113=0)</f>
        <v/>
      </c>
      <c r="N1113">
        <f>G1113&lt;=$T$6</f>
        <v/>
      </c>
      <c r="O1113">
        <f>G1113&lt;=$T$12</f>
        <v/>
      </c>
      <c r="P1113">
        <f>OR(AND(H1113&gt;=$T$4,K1113&lt;=$T$5,N1113),M1113)</f>
        <v/>
      </c>
      <c r="Q1113">
        <f>OR(AND(I1113&gt;=$T$10,K1113&lt;=$T$11,O1113),M1113)</f>
        <v/>
      </c>
    </row>
    <row r="1114">
      <c r="A1114">
        <f>Data!E1167</f>
        <v/>
      </c>
      <c r="B1114">
        <f>Data!G1167</f>
        <v/>
      </c>
      <c r="C1114">
        <f>Data!H1167</f>
        <v/>
      </c>
      <c r="D1114">
        <f>Data!I1167</f>
        <v/>
      </c>
      <c r="E1114">
        <f>Data!M1167</f>
        <v/>
      </c>
      <c r="F1114">
        <f>Data!O1167</f>
        <v/>
      </c>
      <c r="G1114">
        <f>E1114-F1114</f>
        <v/>
      </c>
      <c r="H1114">
        <f>Data!P1167</f>
        <v/>
      </c>
      <c r="I1114">
        <f>G1114+H1114</f>
        <v/>
      </c>
      <c r="J1114">
        <f>F1114+G1114+H1114</f>
        <v/>
      </c>
      <c r="K1114">
        <f>Data!R1167</f>
        <v/>
      </c>
      <c r="L1114">
        <f>Data!T1167</f>
        <v/>
      </c>
      <c r="M1114">
        <f>AND(E1114=0,F1114=0,G1114=0,H1114=0,I1114=0,J1114=0,K1114=0,L1114=0)</f>
        <v/>
      </c>
      <c r="N1114">
        <f>G1114&lt;=$T$6</f>
        <v/>
      </c>
      <c r="O1114">
        <f>G1114&lt;=$T$12</f>
        <v/>
      </c>
      <c r="P1114">
        <f>OR(AND(H1114&gt;=$T$4,K1114&lt;=$T$5,N1114),M1114)</f>
        <v/>
      </c>
      <c r="Q1114">
        <f>OR(AND(I1114&gt;=$T$10,K1114&lt;=$T$11,O1114),M1114)</f>
        <v/>
      </c>
    </row>
    <row r="1115">
      <c r="A1115">
        <f>Data!E1168</f>
        <v/>
      </c>
      <c r="B1115">
        <f>Data!G1168</f>
        <v/>
      </c>
      <c r="C1115">
        <f>Data!H1168</f>
        <v/>
      </c>
      <c r="D1115">
        <f>Data!I1168</f>
        <v/>
      </c>
      <c r="E1115">
        <f>Data!M1168</f>
        <v/>
      </c>
      <c r="F1115">
        <f>Data!O1168</f>
        <v/>
      </c>
      <c r="G1115">
        <f>E1115-F1115</f>
        <v/>
      </c>
      <c r="H1115">
        <f>Data!P1168</f>
        <v/>
      </c>
      <c r="I1115">
        <f>G1115+H1115</f>
        <v/>
      </c>
      <c r="J1115">
        <f>F1115+G1115+H1115</f>
        <v/>
      </c>
      <c r="K1115">
        <f>Data!R1168</f>
        <v/>
      </c>
      <c r="L1115">
        <f>Data!T1168</f>
        <v/>
      </c>
      <c r="M1115">
        <f>AND(E1115=0,F1115=0,G1115=0,H1115=0,I1115=0,J1115=0,K1115=0,L1115=0)</f>
        <v/>
      </c>
      <c r="N1115">
        <f>G1115&lt;=$T$6</f>
        <v/>
      </c>
      <c r="O1115">
        <f>G1115&lt;=$T$12</f>
        <v/>
      </c>
      <c r="P1115">
        <f>OR(AND(H1115&gt;=$T$4,K1115&lt;=$T$5,N1115),M1115)</f>
        <v/>
      </c>
      <c r="Q1115">
        <f>OR(AND(I1115&gt;=$T$10,K1115&lt;=$T$11,O1115),M1115)</f>
        <v/>
      </c>
    </row>
    <row r="1116">
      <c r="A1116">
        <f>Data!E1169</f>
        <v/>
      </c>
      <c r="B1116">
        <f>Data!G1169</f>
        <v/>
      </c>
      <c r="C1116">
        <f>Data!H1169</f>
        <v/>
      </c>
      <c r="D1116">
        <f>Data!I1169</f>
        <v/>
      </c>
      <c r="E1116">
        <f>Data!M1169</f>
        <v/>
      </c>
      <c r="F1116">
        <f>Data!O1169</f>
        <v/>
      </c>
      <c r="G1116">
        <f>E1116-F1116</f>
        <v/>
      </c>
      <c r="H1116">
        <f>Data!P1169</f>
        <v/>
      </c>
      <c r="I1116">
        <f>G1116+H1116</f>
        <v/>
      </c>
      <c r="J1116">
        <f>F1116+G1116+H1116</f>
        <v/>
      </c>
      <c r="K1116">
        <f>Data!R1169</f>
        <v/>
      </c>
      <c r="L1116">
        <f>Data!T1169</f>
        <v/>
      </c>
      <c r="M1116">
        <f>AND(E1116=0,F1116=0,G1116=0,H1116=0,I1116=0,J1116=0,K1116=0,L1116=0)</f>
        <v/>
      </c>
      <c r="N1116">
        <f>G1116&lt;=$T$6</f>
        <v/>
      </c>
      <c r="O1116">
        <f>G1116&lt;=$T$12</f>
        <v/>
      </c>
      <c r="P1116">
        <f>OR(AND(H1116&gt;=$T$4,K1116&lt;=$T$5,N1116),M1116)</f>
        <v/>
      </c>
      <c r="Q1116">
        <f>OR(AND(I1116&gt;=$T$10,K1116&lt;=$T$11,O1116),M1116)</f>
        <v/>
      </c>
    </row>
    <row r="1117">
      <c r="A1117">
        <f>Data!E1170</f>
        <v/>
      </c>
      <c r="B1117">
        <f>Data!G1170</f>
        <v/>
      </c>
      <c r="C1117">
        <f>Data!H1170</f>
        <v/>
      </c>
      <c r="D1117">
        <f>Data!I1170</f>
        <v/>
      </c>
      <c r="E1117">
        <f>Data!M1170</f>
        <v/>
      </c>
      <c r="F1117">
        <f>Data!O1170</f>
        <v/>
      </c>
      <c r="G1117">
        <f>E1117-F1117</f>
        <v/>
      </c>
      <c r="H1117">
        <f>Data!P1170</f>
        <v/>
      </c>
      <c r="I1117">
        <f>G1117+H1117</f>
        <v/>
      </c>
      <c r="J1117">
        <f>F1117+G1117+H1117</f>
        <v/>
      </c>
      <c r="K1117">
        <f>Data!R1170</f>
        <v/>
      </c>
      <c r="L1117">
        <f>Data!T1170</f>
        <v/>
      </c>
      <c r="M1117">
        <f>AND(E1117=0,F1117=0,G1117=0,H1117=0,I1117=0,J1117=0,K1117=0,L1117=0)</f>
        <v/>
      </c>
      <c r="N1117">
        <f>G1117&lt;=$T$6</f>
        <v/>
      </c>
      <c r="O1117">
        <f>G1117&lt;=$T$12</f>
        <v/>
      </c>
      <c r="P1117">
        <f>OR(AND(H1117&gt;=$T$4,K1117&lt;=$T$5,N1117),M1117)</f>
        <v/>
      </c>
      <c r="Q1117">
        <f>OR(AND(I1117&gt;=$T$10,K1117&lt;=$T$11,O1117),M1117)</f>
        <v/>
      </c>
    </row>
    <row r="1118">
      <c r="A1118">
        <f>Data!E1171</f>
        <v/>
      </c>
      <c r="B1118">
        <f>Data!G1171</f>
        <v/>
      </c>
      <c r="C1118">
        <f>Data!H1171</f>
        <v/>
      </c>
      <c r="D1118">
        <f>Data!I1171</f>
        <v/>
      </c>
      <c r="E1118">
        <f>Data!M1171</f>
        <v/>
      </c>
      <c r="F1118">
        <f>Data!O1171</f>
        <v/>
      </c>
      <c r="G1118">
        <f>E1118-F1118</f>
        <v/>
      </c>
      <c r="H1118">
        <f>Data!P1171</f>
        <v/>
      </c>
      <c r="I1118">
        <f>G1118+H1118</f>
        <v/>
      </c>
      <c r="J1118">
        <f>F1118+G1118+H1118</f>
        <v/>
      </c>
      <c r="K1118">
        <f>Data!R1171</f>
        <v/>
      </c>
      <c r="L1118">
        <f>Data!T1171</f>
        <v/>
      </c>
      <c r="M1118">
        <f>AND(E1118=0,F1118=0,G1118=0,H1118=0,I1118=0,J1118=0,K1118=0,L1118=0)</f>
        <v/>
      </c>
      <c r="N1118">
        <f>G1118&lt;=$T$6</f>
        <v/>
      </c>
      <c r="O1118">
        <f>G1118&lt;=$T$12</f>
        <v/>
      </c>
      <c r="P1118">
        <f>OR(AND(H1118&gt;=$T$4,K1118&lt;=$T$5,N1118),M1118)</f>
        <v/>
      </c>
      <c r="Q1118">
        <f>OR(AND(I1118&gt;=$T$10,K1118&lt;=$T$11,O1118),M1118)</f>
        <v/>
      </c>
    </row>
    <row r="1119">
      <c r="A1119">
        <f>Data!E1172</f>
        <v/>
      </c>
      <c r="B1119">
        <f>Data!G1172</f>
        <v/>
      </c>
      <c r="C1119">
        <f>Data!H1172</f>
        <v/>
      </c>
      <c r="D1119">
        <f>Data!I1172</f>
        <v/>
      </c>
      <c r="E1119">
        <f>Data!M1172</f>
        <v/>
      </c>
      <c r="F1119">
        <f>Data!O1172</f>
        <v/>
      </c>
      <c r="G1119">
        <f>E1119-F1119</f>
        <v/>
      </c>
      <c r="H1119">
        <f>Data!P1172</f>
        <v/>
      </c>
      <c r="I1119">
        <f>G1119+H1119</f>
        <v/>
      </c>
      <c r="J1119">
        <f>F1119+G1119+H1119</f>
        <v/>
      </c>
      <c r="K1119">
        <f>Data!R1172</f>
        <v/>
      </c>
      <c r="L1119">
        <f>Data!T1172</f>
        <v/>
      </c>
      <c r="M1119">
        <f>AND(E1119=0,F1119=0,G1119=0,H1119=0,I1119=0,J1119=0,K1119=0,L1119=0)</f>
        <v/>
      </c>
      <c r="N1119">
        <f>G1119&lt;=$T$6</f>
        <v/>
      </c>
      <c r="O1119">
        <f>G1119&lt;=$T$12</f>
        <v/>
      </c>
      <c r="P1119">
        <f>OR(AND(H1119&gt;=$T$4,K1119&lt;=$T$5,N1119),M1119)</f>
        <v/>
      </c>
      <c r="Q1119">
        <f>OR(AND(I1119&gt;=$T$10,K1119&lt;=$T$11,O1119),M1119)</f>
        <v/>
      </c>
    </row>
    <row r="1120">
      <c r="A1120">
        <f>Data!E1173</f>
        <v/>
      </c>
      <c r="B1120">
        <f>Data!G1173</f>
        <v/>
      </c>
      <c r="C1120">
        <f>Data!H1173</f>
        <v/>
      </c>
      <c r="D1120">
        <f>Data!I1173</f>
        <v/>
      </c>
      <c r="E1120">
        <f>Data!M1173</f>
        <v/>
      </c>
      <c r="F1120">
        <f>Data!O1173</f>
        <v/>
      </c>
      <c r="G1120">
        <f>E1120-F1120</f>
        <v/>
      </c>
      <c r="H1120">
        <f>Data!P1173</f>
        <v/>
      </c>
      <c r="I1120">
        <f>G1120+H1120</f>
        <v/>
      </c>
      <c r="J1120">
        <f>F1120+G1120+H1120</f>
        <v/>
      </c>
      <c r="K1120">
        <f>Data!R1173</f>
        <v/>
      </c>
      <c r="L1120">
        <f>Data!T1173</f>
        <v/>
      </c>
      <c r="M1120">
        <f>AND(E1120=0,F1120=0,G1120=0,H1120=0,I1120=0,J1120=0,K1120=0,L1120=0)</f>
        <v/>
      </c>
      <c r="N1120">
        <f>G1120&lt;=$T$6</f>
        <v/>
      </c>
      <c r="O1120">
        <f>G1120&lt;=$T$12</f>
        <v/>
      </c>
      <c r="P1120">
        <f>OR(AND(H1120&gt;=$T$4,K1120&lt;=$T$5,N1120),M1120)</f>
        <v/>
      </c>
      <c r="Q1120">
        <f>OR(AND(I1120&gt;=$T$10,K1120&lt;=$T$11,O1120),M1120)</f>
        <v/>
      </c>
    </row>
    <row r="1121">
      <c r="A1121">
        <f>Data!E1174</f>
        <v/>
      </c>
      <c r="B1121">
        <f>Data!G1174</f>
        <v/>
      </c>
      <c r="C1121">
        <f>Data!H1174</f>
        <v/>
      </c>
      <c r="D1121">
        <f>Data!I1174</f>
        <v/>
      </c>
      <c r="E1121">
        <f>Data!M1174</f>
        <v/>
      </c>
      <c r="F1121">
        <f>Data!O1174</f>
        <v/>
      </c>
      <c r="G1121">
        <f>E1121-F1121</f>
        <v/>
      </c>
      <c r="H1121">
        <f>Data!P1174</f>
        <v/>
      </c>
      <c r="I1121">
        <f>G1121+H1121</f>
        <v/>
      </c>
      <c r="J1121">
        <f>F1121+G1121+H1121</f>
        <v/>
      </c>
      <c r="K1121">
        <f>Data!R1174</f>
        <v/>
      </c>
      <c r="L1121">
        <f>Data!T1174</f>
        <v/>
      </c>
      <c r="M1121">
        <f>AND(E1121=0,F1121=0,G1121=0,H1121=0,I1121=0,J1121=0,K1121=0,L1121=0)</f>
        <v/>
      </c>
      <c r="N1121">
        <f>G1121&lt;=$T$6</f>
        <v/>
      </c>
      <c r="O1121">
        <f>G1121&lt;=$T$12</f>
        <v/>
      </c>
      <c r="P1121">
        <f>OR(AND(H1121&gt;=$T$4,K1121&lt;=$T$5,N1121),M1121)</f>
        <v/>
      </c>
      <c r="Q1121">
        <f>OR(AND(I1121&gt;=$T$10,K1121&lt;=$T$11,O1121),M1121)</f>
        <v/>
      </c>
    </row>
    <row r="1122">
      <c r="A1122">
        <f>Data!E1175</f>
        <v/>
      </c>
      <c r="B1122">
        <f>Data!G1175</f>
        <v/>
      </c>
      <c r="C1122">
        <f>Data!H1175</f>
        <v/>
      </c>
      <c r="D1122">
        <f>Data!I1175</f>
        <v/>
      </c>
      <c r="E1122">
        <f>Data!M1175</f>
        <v/>
      </c>
      <c r="F1122">
        <f>Data!O1175</f>
        <v/>
      </c>
      <c r="G1122">
        <f>E1122-F1122</f>
        <v/>
      </c>
      <c r="H1122">
        <f>Data!P1175</f>
        <v/>
      </c>
      <c r="I1122">
        <f>G1122+H1122</f>
        <v/>
      </c>
      <c r="J1122">
        <f>F1122+G1122+H1122</f>
        <v/>
      </c>
      <c r="K1122">
        <f>Data!R1175</f>
        <v/>
      </c>
      <c r="L1122">
        <f>Data!T1175</f>
        <v/>
      </c>
      <c r="M1122">
        <f>AND(E1122=0,F1122=0,G1122=0,H1122=0,I1122=0,J1122=0,K1122=0,L1122=0)</f>
        <v/>
      </c>
      <c r="N1122">
        <f>G1122&lt;=$T$6</f>
        <v/>
      </c>
      <c r="O1122">
        <f>G1122&lt;=$T$12</f>
        <v/>
      </c>
      <c r="P1122">
        <f>OR(AND(H1122&gt;=$T$4,K1122&lt;=$T$5,N1122),M1122)</f>
        <v/>
      </c>
      <c r="Q1122">
        <f>OR(AND(I1122&gt;=$T$10,K1122&lt;=$T$11,O1122),M1122)</f>
        <v/>
      </c>
    </row>
    <row r="1123">
      <c r="A1123">
        <f>Data!E1176</f>
        <v/>
      </c>
      <c r="B1123">
        <f>Data!G1176</f>
        <v/>
      </c>
      <c r="C1123">
        <f>Data!H1176</f>
        <v/>
      </c>
      <c r="D1123">
        <f>Data!I1176</f>
        <v/>
      </c>
      <c r="E1123">
        <f>Data!M1176</f>
        <v/>
      </c>
      <c r="F1123">
        <f>Data!O1176</f>
        <v/>
      </c>
      <c r="G1123">
        <f>E1123-F1123</f>
        <v/>
      </c>
      <c r="H1123">
        <f>Data!P1176</f>
        <v/>
      </c>
      <c r="I1123">
        <f>G1123+H1123</f>
        <v/>
      </c>
      <c r="J1123">
        <f>F1123+G1123+H1123</f>
        <v/>
      </c>
      <c r="K1123">
        <f>Data!R1176</f>
        <v/>
      </c>
      <c r="L1123">
        <f>Data!T1176</f>
        <v/>
      </c>
      <c r="M1123">
        <f>AND(E1123=0,F1123=0,G1123=0,H1123=0,I1123=0,J1123=0,K1123=0,L1123=0)</f>
        <v/>
      </c>
      <c r="N1123">
        <f>G1123&lt;=$T$6</f>
        <v/>
      </c>
      <c r="O1123">
        <f>G1123&lt;=$T$12</f>
        <v/>
      </c>
      <c r="P1123">
        <f>OR(AND(H1123&gt;=$T$4,K1123&lt;=$T$5,N1123),M1123)</f>
        <v/>
      </c>
      <c r="Q1123">
        <f>OR(AND(I1123&gt;=$T$10,K1123&lt;=$T$11,O1123),M1123)</f>
        <v/>
      </c>
    </row>
    <row r="1124">
      <c r="A1124">
        <f>Data!E1177</f>
        <v/>
      </c>
      <c r="B1124">
        <f>Data!G1177</f>
        <v/>
      </c>
      <c r="C1124">
        <f>Data!H1177</f>
        <v/>
      </c>
      <c r="D1124">
        <f>Data!I1177</f>
        <v/>
      </c>
      <c r="E1124">
        <f>Data!M1177</f>
        <v/>
      </c>
      <c r="F1124">
        <f>Data!O1177</f>
        <v/>
      </c>
      <c r="G1124">
        <f>E1124-F1124</f>
        <v/>
      </c>
      <c r="H1124">
        <f>Data!P1177</f>
        <v/>
      </c>
      <c r="I1124">
        <f>G1124+H1124</f>
        <v/>
      </c>
      <c r="J1124">
        <f>F1124+G1124+H1124</f>
        <v/>
      </c>
      <c r="K1124">
        <f>Data!R1177</f>
        <v/>
      </c>
      <c r="L1124">
        <f>Data!T1177</f>
        <v/>
      </c>
      <c r="M1124">
        <f>AND(E1124=0,F1124=0,G1124=0,H1124=0,I1124=0,J1124=0,K1124=0,L1124=0)</f>
        <v/>
      </c>
      <c r="N1124">
        <f>G1124&lt;=$T$6</f>
        <v/>
      </c>
      <c r="O1124">
        <f>G1124&lt;=$T$12</f>
        <v/>
      </c>
      <c r="P1124">
        <f>OR(AND(H1124&gt;=$T$4,K1124&lt;=$T$5,N1124),M1124)</f>
        <v/>
      </c>
      <c r="Q1124">
        <f>OR(AND(I1124&gt;=$T$10,K1124&lt;=$T$11,O1124),M1124)</f>
        <v/>
      </c>
    </row>
    <row r="1125">
      <c r="A1125">
        <f>Data!E1178</f>
        <v/>
      </c>
      <c r="B1125">
        <f>Data!G1178</f>
        <v/>
      </c>
      <c r="C1125">
        <f>Data!H1178</f>
        <v/>
      </c>
      <c r="D1125">
        <f>Data!I1178</f>
        <v/>
      </c>
      <c r="E1125">
        <f>Data!M1178</f>
        <v/>
      </c>
      <c r="F1125">
        <f>Data!O1178</f>
        <v/>
      </c>
      <c r="G1125">
        <f>E1125-F1125</f>
        <v/>
      </c>
      <c r="H1125">
        <f>Data!P1178</f>
        <v/>
      </c>
      <c r="I1125">
        <f>G1125+H1125</f>
        <v/>
      </c>
      <c r="J1125">
        <f>F1125+G1125+H1125</f>
        <v/>
      </c>
      <c r="K1125">
        <f>Data!R1178</f>
        <v/>
      </c>
      <c r="L1125">
        <f>Data!T1178</f>
        <v/>
      </c>
      <c r="M1125">
        <f>AND(E1125=0,F1125=0,G1125=0,H1125=0,I1125=0,J1125=0,K1125=0,L1125=0)</f>
        <v/>
      </c>
      <c r="N1125">
        <f>G1125&lt;=$T$6</f>
        <v/>
      </c>
      <c r="O1125">
        <f>G1125&lt;=$T$12</f>
        <v/>
      </c>
      <c r="P1125">
        <f>OR(AND(H1125&gt;=$T$4,K1125&lt;=$T$5,N1125),M1125)</f>
        <v/>
      </c>
      <c r="Q1125">
        <f>OR(AND(I1125&gt;=$T$10,K1125&lt;=$T$11,O1125),M1125)</f>
        <v/>
      </c>
    </row>
    <row r="1126">
      <c r="A1126">
        <f>Data!E1179</f>
        <v/>
      </c>
      <c r="B1126">
        <f>Data!G1179</f>
        <v/>
      </c>
      <c r="C1126">
        <f>Data!H1179</f>
        <v/>
      </c>
      <c r="D1126">
        <f>Data!I1179</f>
        <v/>
      </c>
      <c r="E1126">
        <f>Data!M1179</f>
        <v/>
      </c>
      <c r="F1126">
        <f>Data!O1179</f>
        <v/>
      </c>
      <c r="G1126">
        <f>E1126-F1126</f>
        <v/>
      </c>
      <c r="H1126">
        <f>Data!P1179</f>
        <v/>
      </c>
      <c r="I1126">
        <f>G1126+H1126</f>
        <v/>
      </c>
      <c r="J1126">
        <f>F1126+G1126+H1126</f>
        <v/>
      </c>
      <c r="K1126">
        <f>Data!R1179</f>
        <v/>
      </c>
      <c r="L1126">
        <f>Data!T1179</f>
        <v/>
      </c>
      <c r="M1126">
        <f>AND(E1126=0,F1126=0,G1126=0,H1126=0,I1126=0,J1126=0,K1126=0,L1126=0)</f>
        <v/>
      </c>
      <c r="N1126">
        <f>G1126&lt;=$T$6</f>
        <v/>
      </c>
      <c r="O1126">
        <f>G1126&lt;=$T$12</f>
        <v/>
      </c>
      <c r="P1126">
        <f>OR(AND(H1126&gt;=$T$4,K1126&lt;=$T$5,N1126),M1126)</f>
        <v/>
      </c>
      <c r="Q1126">
        <f>OR(AND(I1126&gt;=$T$10,K1126&lt;=$T$11,O1126),M1126)</f>
        <v/>
      </c>
    </row>
    <row r="1127">
      <c r="A1127">
        <f>Data!E1180</f>
        <v/>
      </c>
      <c r="B1127">
        <f>Data!G1180</f>
        <v/>
      </c>
      <c r="C1127">
        <f>Data!H1180</f>
        <v/>
      </c>
      <c r="D1127">
        <f>Data!I1180</f>
        <v/>
      </c>
      <c r="E1127">
        <f>Data!M1180</f>
        <v/>
      </c>
      <c r="F1127">
        <f>Data!O1180</f>
        <v/>
      </c>
      <c r="G1127">
        <f>E1127-F1127</f>
        <v/>
      </c>
      <c r="H1127">
        <f>Data!P1180</f>
        <v/>
      </c>
      <c r="I1127">
        <f>G1127+H1127</f>
        <v/>
      </c>
      <c r="J1127">
        <f>F1127+G1127+H1127</f>
        <v/>
      </c>
      <c r="K1127">
        <f>Data!R1180</f>
        <v/>
      </c>
      <c r="L1127">
        <f>Data!T1180</f>
        <v/>
      </c>
      <c r="M1127">
        <f>AND(E1127=0,F1127=0,G1127=0,H1127=0,I1127=0,J1127=0,K1127=0,L1127=0)</f>
        <v/>
      </c>
      <c r="N1127">
        <f>G1127&lt;=$T$6</f>
        <v/>
      </c>
      <c r="O1127">
        <f>G1127&lt;=$T$12</f>
        <v/>
      </c>
      <c r="P1127">
        <f>OR(AND(H1127&gt;=$T$4,K1127&lt;=$T$5,N1127),M1127)</f>
        <v/>
      </c>
      <c r="Q1127">
        <f>OR(AND(I1127&gt;=$T$10,K1127&lt;=$T$11,O1127),M1127)</f>
        <v/>
      </c>
    </row>
    <row r="1128">
      <c r="A1128">
        <f>Data!E1181</f>
        <v/>
      </c>
      <c r="B1128">
        <f>Data!G1181</f>
        <v/>
      </c>
      <c r="C1128">
        <f>Data!H1181</f>
        <v/>
      </c>
      <c r="D1128">
        <f>Data!I1181</f>
        <v/>
      </c>
      <c r="E1128">
        <f>Data!M1181</f>
        <v/>
      </c>
      <c r="F1128">
        <f>Data!O1181</f>
        <v/>
      </c>
      <c r="G1128">
        <f>E1128-F1128</f>
        <v/>
      </c>
      <c r="H1128">
        <f>Data!P1181</f>
        <v/>
      </c>
      <c r="I1128">
        <f>G1128+H1128</f>
        <v/>
      </c>
      <c r="J1128">
        <f>F1128+G1128+H1128</f>
        <v/>
      </c>
      <c r="K1128">
        <f>Data!R1181</f>
        <v/>
      </c>
      <c r="L1128">
        <f>Data!T1181</f>
        <v/>
      </c>
      <c r="M1128">
        <f>AND(E1128=0,F1128=0,G1128=0,H1128=0,I1128=0,J1128=0,K1128=0,L1128=0)</f>
        <v/>
      </c>
      <c r="N1128">
        <f>G1128&lt;=$T$6</f>
        <v/>
      </c>
      <c r="O1128">
        <f>G1128&lt;=$T$12</f>
        <v/>
      </c>
      <c r="P1128">
        <f>OR(AND(H1128&gt;=$T$4,K1128&lt;=$T$5,N1128),M1128)</f>
        <v/>
      </c>
      <c r="Q1128">
        <f>OR(AND(I1128&gt;=$T$10,K1128&lt;=$T$11,O1128),M1128)</f>
        <v/>
      </c>
    </row>
    <row r="1129">
      <c r="A1129">
        <f>Data!E1182</f>
        <v/>
      </c>
      <c r="B1129">
        <f>Data!G1182</f>
        <v/>
      </c>
      <c r="C1129">
        <f>Data!H1182</f>
        <v/>
      </c>
      <c r="D1129">
        <f>Data!I1182</f>
        <v/>
      </c>
      <c r="E1129">
        <f>Data!M1182</f>
        <v/>
      </c>
      <c r="F1129">
        <f>Data!O1182</f>
        <v/>
      </c>
      <c r="G1129">
        <f>E1129-F1129</f>
        <v/>
      </c>
      <c r="H1129">
        <f>Data!P1182</f>
        <v/>
      </c>
      <c r="I1129">
        <f>G1129+H1129</f>
        <v/>
      </c>
      <c r="J1129">
        <f>F1129+G1129+H1129</f>
        <v/>
      </c>
      <c r="K1129">
        <f>Data!R1182</f>
        <v/>
      </c>
      <c r="L1129">
        <f>Data!T1182</f>
        <v/>
      </c>
      <c r="M1129">
        <f>AND(E1129=0,F1129=0,G1129=0,H1129=0,I1129=0,J1129=0,K1129=0,L1129=0)</f>
        <v/>
      </c>
      <c r="N1129">
        <f>G1129&lt;=$T$6</f>
        <v/>
      </c>
      <c r="O1129">
        <f>G1129&lt;=$T$12</f>
        <v/>
      </c>
      <c r="P1129">
        <f>OR(AND(H1129&gt;=$T$4,K1129&lt;=$T$5,N1129),M1129)</f>
        <v/>
      </c>
      <c r="Q1129">
        <f>OR(AND(I1129&gt;=$T$10,K1129&lt;=$T$11,O1129),M1129)</f>
        <v/>
      </c>
    </row>
    <row r="1130">
      <c r="A1130">
        <f>Data!E1183</f>
        <v/>
      </c>
      <c r="B1130">
        <f>Data!G1183</f>
        <v/>
      </c>
      <c r="C1130">
        <f>Data!H1183</f>
        <v/>
      </c>
      <c r="D1130">
        <f>Data!I1183</f>
        <v/>
      </c>
      <c r="E1130">
        <f>Data!M1183</f>
        <v/>
      </c>
      <c r="F1130">
        <f>Data!O1183</f>
        <v/>
      </c>
      <c r="G1130">
        <f>E1130-F1130</f>
        <v/>
      </c>
      <c r="H1130">
        <f>Data!P1183</f>
        <v/>
      </c>
      <c r="I1130">
        <f>G1130+H1130</f>
        <v/>
      </c>
      <c r="J1130">
        <f>F1130+G1130+H1130</f>
        <v/>
      </c>
      <c r="K1130">
        <f>Data!R1183</f>
        <v/>
      </c>
      <c r="L1130">
        <f>Data!T1183</f>
        <v/>
      </c>
      <c r="M1130">
        <f>AND(E1130=0,F1130=0,G1130=0,H1130=0,I1130=0,J1130=0,K1130=0,L1130=0)</f>
        <v/>
      </c>
      <c r="N1130">
        <f>G1130&lt;=$T$6</f>
        <v/>
      </c>
      <c r="O1130">
        <f>G1130&lt;=$T$12</f>
        <v/>
      </c>
      <c r="P1130">
        <f>OR(AND(H1130&gt;=$T$4,K1130&lt;=$T$5,N1130),M1130)</f>
        <v/>
      </c>
      <c r="Q1130">
        <f>OR(AND(I1130&gt;=$T$10,K1130&lt;=$T$11,O1130),M1130)</f>
        <v/>
      </c>
    </row>
    <row r="1131">
      <c r="A1131">
        <f>Data!E1184</f>
        <v/>
      </c>
      <c r="B1131">
        <f>Data!G1184</f>
        <v/>
      </c>
      <c r="C1131">
        <f>Data!H1184</f>
        <v/>
      </c>
      <c r="D1131">
        <f>Data!I1184</f>
        <v/>
      </c>
      <c r="E1131">
        <f>Data!M1184</f>
        <v/>
      </c>
      <c r="F1131">
        <f>Data!O1184</f>
        <v/>
      </c>
      <c r="G1131">
        <f>E1131-F1131</f>
        <v/>
      </c>
      <c r="H1131">
        <f>Data!P1184</f>
        <v/>
      </c>
      <c r="I1131">
        <f>G1131+H1131</f>
        <v/>
      </c>
      <c r="J1131">
        <f>F1131+G1131+H1131</f>
        <v/>
      </c>
      <c r="K1131">
        <f>Data!R1184</f>
        <v/>
      </c>
      <c r="L1131">
        <f>Data!T1184</f>
        <v/>
      </c>
      <c r="M1131">
        <f>AND(E1131=0,F1131=0,G1131=0,H1131=0,I1131=0,J1131=0,K1131=0,L1131=0)</f>
        <v/>
      </c>
      <c r="N1131">
        <f>G1131&lt;=$T$6</f>
        <v/>
      </c>
      <c r="O1131">
        <f>G1131&lt;=$T$12</f>
        <v/>
      </c>
      <c r="P1131">
        <f>OR(AND(H1131&gt;=$T$4,K1131&lt;=$T$5,N1131),M1131)</f>
        <v/>
      </c>
      <c r="Q1131">
        <f>OR(AND(I1131&gt;=$T$10,K1131&lt;=$T$11,O1131),M1131)</f>
        <v/>
      </c>
    </row>
    <row r="1132">
      <c r="A1132">
        <f>Data!E1185</f>
        <v/>
      </c>
      <c r="B1132">
        <f>Data!G1185</f>
        <v/>
      </c>
      <c r="C1132">
        <f>Data!H1185</f>
        <v/>
      </c>
      <c r="D1132">
        <f>Data!I1185</f>
        <v/>
      </c>
      <c r="E1132">
        <f>Data!M1185</f>
        <v/>
      </c>
      <c r="F1132">
        <f>Data!O1185</f>
        <v/>
      </c>
      <c r="G1132">
        <f>E1132-F1132</f>
        <v/>
      </c>
      <c r="H1132">
        <f>Data!P1185</f>
        <v/>
      </c>
      <c r="I1132">
        <f>G1132+H1132</f>
        <v/>
      </c>
      <c r="J1132">
        <f>F1132+G1132+H1132</f>
        <v/>
      </c>
      <c r="K1132">
        <f>Data!R1185</f>
        <v/>
      </c>
      <c r="L1132">
        <f>Data!T1185</f>
        <v/>
      </c>
      <c r="M1132">
        <f>AND(E1132=0,F1132=0,G1132=0,H1132=0,I1132=0,J1132=0,K1132=0,L1132=0)</f>
        <v/>
      </c>
      <c r="N1132">
        <f>G1132&lt;=$T$6</f>
        <v/>
      </c>
      <c r="O1132">
        <f>G1132&lt;=$T$12</f>
        <v/>
      </c>
      <c r="P1132">
        <f>OR(AND(H1132&gt;=$T$4,K1132&lt;=$T$5,N1132),M1132)</f>
        <v/>
      </c>
      <c r="Q1132">
        <f>OR(AND(I1132&gt;=$T$10,K1132&lt;=$T$11,O1132),M1132)</f>
        <v/>
      </c>
    </row>
    <row r="1133">
      <c r="A1133">
        <f>Data!E1186</f>
        <v/>
      </c>
      <c r="B1133">
        <f>Data!G1186</f>
        <v/>
      </c>
      <c r="C1133">
        <f>Data!H1186</f>
        <v/>
      </c>
      <c r="D1133">
        <f>Data!I1186</f>
        <v/>
      </c>
      <c r="E1133">
        <f>Data!M1186</f>
        <v/>
      </c>
      <c r="F1133">
        <f>Data!O1186</f>
        <v/>
      </c>
      <c r="G1133">
        <f>E1133-F1133</f>
        <v/>
      </c>
      <c r="H1133">
        <f>Data!P1186</f>
        <v/>
      </c>
      <c r="I1133">
        <f>G1133+H1133</f>
        <v/>
      </c>
      <c r="J1133">
        <f>F1133+G1133+H1133</f>
        <v/>
      </c>
      <c r="K1133">
        <f>Data!R1186</f>
        <v/>
      </c>
      <c r="L1133">
        <f>Data!T1186</f>
        <v/>
      </c>
      <c r="M1133">
        <f>AND(E1133=0,F1133=0,G1133=0,H1133=0,I1133=0,J1133=0,K1133=0,L1133=0)</f>
        <v/>
      </c>
      <c r="N1133">
        <f>G1133&lt;=$T$6</f>
        <v/>
      </c>
      <c r="O1133">
        <f>G1133&lt;=$T$12</f>
        <v/>
      </c>
      <c r="P1133">
        <f>OR(AND(H1133&gt;=$T$4,K1133&lt;=$T$5,N1133),M1133)</f>
        <v/>
      </c>
      <c r="Q1133">
        <f>OR(AND(I1133&gt;=$T$10,K1133&lt;=$T$11,O1133),M1133)</f>
        <v/>
      </c>
    </row>
    <row r="1134">
      <c r="A1134">
        <f>Data!E1187</f>
        <v/>
      </c>
      <c r="B1134">
        <f>Data!G1187</f>
        <v/>
      </c>
      <c r="C1134">
        <f>Data!H1187</f>
        <v/>
      </c>
      <c r="D1134">
        <f>Data!I1187</f>
        <v/>
      </c>
      <c r="E1134">
        <f>Data!M1187</f>
        <v/>
      </c>
      <c r="F1134">
        <f>Data!O1187</f>
        <v/>
      </c>
      <c r="G1134">
        <f>E1134-F1134</f>
        <v/>
      </c>
      <c r="H1134">
        <f>Data!P1187</f>
        <v/>
      </c>
      <c r="I1134">
        <f>G1134+H1134</f>
        <v/>
      </c>
      <c r="J1134">
        <f>F1134+G1134+H1134</f>
        <v/>
      </c>
      <c r="K1134">
        <f>Data!R1187</f>
        <v/>
      </c>
      <c r="L1134">
        <f>Data!T1187</f>
        <v/>
      </c>
      <c r="M1134">
        <f>AND(E1134=0,F1134=0,G1134=0,H1134=0,I1134=0,J1134=0,K1134=0,L1134=0)</f>
        <v/>
      </c>
      <c r="N1134">
        <f>G1134&lt;=$T$6</f>
        <v/>
      </c>
      <c r="O1134">
        <f>G1134&lt;=$T$12</f>
        <v/>
      </c>
      <c r="P1134">
        <f>OR(AND(H1134&gt;=$T$4,K1134&lt;=$T$5,N1134),M1134)</f>
        <v/>
      </c>
      <c r="Q1134">
        <f>OR(AND(I1134&gt;=$T$10,K1134&lt;=$T$11,O1134),M1134)</f>
        <v/>
      </c>
    </row>
    <row r="1135">
      <c r="A1135">
        <f>Data!E1188</f>
        <v/>
      </c>
      <c r="B1135">
        <f>Data!G1188</f>
        <v/>
      </c>
      <c r="C1135">
        <f>Data!H1188</f>
        <v/>
      </c>
      <c r="D1135">
        <f>Data!I1188</f>
        <v/>
      </c>
      <c r="E1135">
        <f>Data!M1188</f>
        <v/>
      </c>
      <c r="F1135">
        <f>Data!O1188</f>
        <v/>
      </c>
      <c r="G1135">
        <f>E1135-F1135</f>
        <v/>
      </c>
      <c r="H1135">
        <f>Data!P1188</f>
        <v/>
      </c>
      <c r="I1135">
        <f>G1135+H1135</f>
        <v/>
      </c>
      <c r="J1135">
        <f>F1135+G1135+H1135</f>
        <v/>
      </c>
      <c r="K1135">
        <f>Data!R1188</f>
        <v/>
      </c>
      <c r="L1135">
        <f>Data!T1188</f>
        <v/>
      </c>
      <c r="M1135">
        <f>AND(E1135=0,F1135=0,G1135=0,H1135=0,I1135=0,J1135=0,K1135=0,L1135=0)</f>
        <v/>
      </c>
      <c r="N1135">
        <f>G1135&lt;=$T$6</f>
        <v/>
      </c>
      <c r="O1135">
        <f>G1135&lt;=$T$12</f>
        <v/>
      </c>
      <c r="P1135">
        <f>OR(AND(H1135&gt;=$T$4,K1135&lt;=$T$5,N1135),M1135)</f>
        <v/>
      </c>
      <c r="Q1135">
        <f>OR(AND(I1135&gt;=$T$10,K1135&lt;=$T$11,O1135),M1135)</f>
        <v/>
      </c>
    </row>
    <row r="1136">
      <c r="A1136">
        <f>Data!E1189</f>
        <v/>
      </c>
      <c r="B1136">
        <f>Data!G1189</f>
        <v/>
      </c>
      <c r="C1136">
        <f>Data!H1189</f>
        <v/>
      </c>
      <c r="D1136">
        <f>Data!I1189</f>
        <v/>
      </c>
      <c r="E1136">
        <f>Data!M1189</f>
        <v/>
      </c>
      <c r="F1136">
        <f>Data!O1189</f>
        <v/>
      </c>
      <c r="G1136">
        <f>E1136-F1136</f>
        <v/>
      </c>
      <c r="H1136">
        <f>Data!P1189</f>
        <v/>
      </c>
      <c r="I1136">
        <f>G1136+H1136</f>
        <v/>
      </c>
      <c r="J1136">
        <f>F1136+G1136+H1136</f>
        <v/>
      </c>
      <c r="K1136">
        <f>Data!R1189</f>
        <v/>
      </c>
      <c r="L1136">
        <f>Data!T1189</f>
        <v/>
      </c>
      <c r="M1136">
        <f>AND(E1136=0,F1136=0,G1136=0,H1136=0,I1136=0,J1136=0,K1136=0,L1136=0)</f>
        <v/>
      </c>
      <c r="N1136">
        <f>G1136&lt;=$T$6</f>
        <v/>
      </c>
      <c r="O1136">
        <f>G1136&lt;=$T$12</f>
        <v/>
      </c>
      <c r="P1136">
        <f>OR(AND(H1136&gt;=$T$4,K1136&lt;=$T$5,N1136),M1136)</f>
        <v/>
      </c>
      <c r="Q1136">
        <f>OR(AND(I1136&gt;=$T$10,K1136&lt;=$T$11,O1136),M1136)</f>
        <v/>
      </c>
    </row>
    <row r="1137">
      <c r="A1137">
        <f>Data!E1191</f>
        <v/>
      </c>
      <c r="B1137">
        <f>Data!G1191</f>
        <v/>
      </c>
      <c r="C1137">
        <f>Data!H1191</f>
        <v/>
      </c>
      <c r="D1137">
        <f>Data!I1191</f>
        <v/>
      </c>
      <c r="E1137">
        <f>Data!M1191</f>
        <v/>
      </c>
      <c r="F1137">
        <f>Data!O1191</f>
        <v/>
      </c>
      <c r="G1137">
        <f>E1137-F1137</f>
        <v/>
      </c>
      <c r="H1137">
        <f>Data!P1191</f>
        <v/>
      </c>
      <c r="I1137">
        <f>G1137+H1137</f>
        <v/>
      </c>
      <c r="J1137">
        <f>F1137+G1137+H1137</f>
        <v/>
      </c>
      <c r="K1137">
        <f>Data!R1191</f>
        <v/>
      </c>
      <c r="L1137">
        <f>Data!T1191</f>
        <v/>
      </c>
      <c r="M1137">
        <f>AND(E1137=0,F1137=0,G1137=0,H1137=0,I1137=0,J1137=0,K1137=0,L1137=0)</f>
        <v/>
      </c>
      <c r="N1137">
        <f>G1137&lt;=$T$6</f>
        <v/>
      </c>
      <c r="O1137">
        <f>G1137&lt;=$T$12</f>
        <v/>
      </c>
      <c r="P1137">
        <f>OR(AND(H1137&gt;=$T$4,K1137&lt;=$T$5,N1137),M1137)</f>
        <v/>
      </c>
      <c r="Q1137">
        <f>OR(AND(I1137&gt;=$T$10,K1137&lt;=$T$11,O1137),M1137)</f>
        <v/>
      </c>
    </row>
    <row r="1138">
      <c r="A1138">
        <f>Data!E1192</f>
        <v/>
      </c>
      <c r="B1138">
        <f>Data!G1192</f>
        <v/>
      </c>
      <c r="C1138">
        <f>Data!H1192</f>
        <v/>
      </c>
      <c r="D1138">
        <f>Data!I1192</f>
        <v/>
      </c>
      <c r="E1138">
        <f>Data!M1192</f>
        <v/>
      </c>
      <c r="F1138">
        <f>Data!O1192</f>
        <v/>
      </c>
      <c r="G1138">
        <f>E1138-F1138</f>
        <v/>
      </c>
      <c r="H1138">
        <f>Data!P1192</f>
        <v/>
      </c>
      <c r="I1138">
        <f>G1138+H1138</f>
        <v/>
      </c>
      <c r="J1138">
        <f>F1138+G1138+H1138</f>
        <v/>
      </c>
      <c r="K1138">
        <f>Data!R1192</f>
        <v/>
      </c>
      <c r="L1138">
        <f>Data!T1192</f>
        <v/>
      </c>
      <c r="M1138">
        <f>AND(E1138=0,F1138=0,G1138=0,H1138=0,I1138=0,J1138=0,K1138=0,L1138=0)</f>
        <v/>
      </c>
      <c r="N1138">
        <f>G1138&lt;=$T$6</f>
        <v/>
      </c>
      <c r="O1138">
        <f>G1138&lt;=$T$12</f>
        <v/>
      </c>
      <c r="P1138">
        <f>OR(AND(H1138&gt;=$T$4,K1138&lt;=$T$5,N1138),M1138)</f>
        <v/>
      </c>
      <c r="Q1138">
        <f>OR(AND(I1138&gt;=$T$10,K1138&lt;=$T$11,O1138),M1138)</f>
        <v/>
      </c>
    </row>
    <row r="1139">
      <c r="A1139">
        <f>Data!E1193</f>
        <v/>
      </c>
      <c r="B1139">
        <f>Data!G1193</f>
        <v/>
      </c>
      <c r="C1139">
        <f>Data!H1193</f>
        <v/>
      </c>
      <c r="D1139">
        <f>Data!I1193</f>
        <v/>
      </c>
      <c r="E1139">
        <f>Data!M1193</f>
        <v/>
      </c>
      <c r="F1139">
        <f>Data!O1193</f>
        <v/>
      </c>
      <c r="G1139">
        <f>E1139-F1139</f>
        <v/>
      </c>
      <c r="H1139">
        <f>Data!P1193</f>
        <v/>
      </c>
      <c r="I1139">
        <f>G1139+H1139</f>
        <v/>
      </c>
      <c r="J1139">
        <f>F1139+G1139+H1139</f>
        <v/>
      </c>
      <c r="K1139">
        <f>Data!R1193</f>
        <v/>
      </c>
      <c r="L1139">
        <f>Data!T1193</f>
        <v/>
      </c>
      <c r="M1139">
        <f>AND(E1139=0,F1139=0,G1139=0,H1139=0,I1139=0,J1139=0,K1139=0,L1139=0)</f>
        <v/>
      </c>
      <c r="N1139">
        <f>G1139&lt;=$T$6</f>
        <v/>
      </c>
      <c r="O1139">
        <f>G1139&lt;=$T$12</f>
        <v/>
      </c>
      <c r="P1139">
        <f>OR(AND(H1139&gt;=$T$4,K1139&lt;=$T$5,N1139),M1139)</f>
        <v/>
      </c>
      <c r="Q1139">
        <f>OR(AND(I1139&gt;=$T$10,K1139&lt;=$T$11,O1139),M1139)</f>
        <v/>
      </c>
    </row>
    <row r="1140">
      <c r="A1140">
        <f>Data!E1194</f>
        <v/>
      </c>
      <c r="B1140">
        <f>Data!G1194</f>
        <v/>
      </c>
      <c r="C1140">
        <f>Data!H1194</f>
        <v/>
      </c>
      <c r="D1140">
        <f>Data!I1194</f>
        <v/>
      </c>
      <c r="E1140">
        <f>Data!M1194</f>
        <v/>
      </c>
      <c r="F1140">
        <f>Data!O1194</f>
        <v/>
      </c>
      <c r="G1140">
        <f>E1140-F1140</f>
        <v/>
      </c>
      <c r="H1140">
        <f>Data!P1194</f>
        <v/>
      </c>
      <c r="I1140">
        <f>G1140+H1140</f>
        <v/>
      </c>
      <c r="J1140">
        <f>F1140+G1140+H1140</f>
        <v/>
      </c>
      <c r="K1140">
        <f>Data!R1194</f>
        <v/>
      </c>
      <c r="L1140">
        <f>Data!T1194</f>
        <v/>
      </c>
      <c r="M1140">
        <f>AND(E1140=0,F1140=0,G1140=0,H1140=0,I1140=0,J1140=0,K1140=0,L1140=0)</f>
        <v/>
      </c>
      <c r="N1140">
        <f>G1140&lt;=$T$6</f>
        <v/>
      </c>
      <c r="O1140">
        <f>G1140&lt;=$T$12</f>
        <v/>
      </c>
      <c r="P1140">
        <f>OR(AND(H1140&gt;=$T$4,K1140&lt;=$T$5,N1140),M1140)</f>
        <v/>
      </c>
      <c r="Q1140">
        <f>OR(AND(I1140&gt;=$T$10,K1140&lt;=$T$11,O1140),M1140)</f>
        <v/>
      </c>
    </row>
    <row r="1141">
      <c r="A1141">
        <f>Data!E1195</f>
        <v/>
      </c>
      <c r="B1141">
        <f>Data!G1195</f>
        <v/>
      </c>
      <c r="C1141">
        <f>Data!H1195</f>
        <v/>
      </c>
      <c r="D1141">
        <f>Data!I1195</f>
        <v/>
      </c>
      <c r="E1141">
        <f>Data!M1195</f>
        <v/>
      </c>
      <c r="F1141">
        <f>Data!O1195</f>
        <v/>
      </c>
      <c r="G1141">
        <f>E1141-F1141</f>
        <v/>
      </c>
      <c r="H1141">
        <f>Data!P1195</f>
        <v/>
      </c>
      <c r="I1141">
        <f>G1141+H1141</f>
        <v/>
      </c>
      <c r="J1141">
        <f>F1141+G1141+H1141</f>
        <v/>
      </c>
      <c r="K1141">
        <f>Data!R1195</f>
        <v/>
      </c>
      <c r="L1141">
        <f>Data!T1195</f>
        <v/>
      </c>
      <c r="M1141">
        <f>AND(E1141=0,F1141=0,G1141=0,H1141=0,I1141=0,J1141=0,K1141=0,L1141=0)</f>
        <v/>
      </c>
      <c r="N1141">
        <f>G1141&lt;=$T$6</f>
        <v/>
      </c>
      <c r="O1141">
        <f>G1141&lt;=$T$12</f>
        <v/>
      </c>
      <c r="P1141">
        <f>OR(AND(H1141&gt;=$T$4,K1141&lt;=$T$5,N1141),M1141)</f>
        <v/>
      </c>
      <c r="Q1141">
        <f>OR(AND(I1141&gt;=$T$10,K1141&lt;=$T$11,O1141),M1141)</f>
        <v/>
      </c>
    </row>
    <row r="1142">
      <c r="A1142">
        <f>Data!E1196</f>
        <v/>
      </c>
      <c r="B1142">
        <f>Data!G1196</f>
        <v/>
      </c>
      <c r="C1142">
        <f>Data!H1196</f>
        <v/>
      </c>
      <c r="D1142">
        <f>Data!I1196</f>
        <v/>
      </c>
      <c r="E1142">
        <f>Data!M1196</f>
        <v/>
      </c>
      <c r="F1142">
        <f>Data!O1196</f>
        <v/>
      </c>
      <c r="G1142">
        <f>E1142-F1142</f>
        <v/>
      </c>
      <c r="H1142">
        <f>Data!P1196</f>
        <v/>
      </c>
      <c r="I1142">
        <f>G1142+H1142</f>
        <v/>
      </c>
      <c r="J1142">
        <f>F1142+G1142+H1142</f>
        <v/>
      </c>
      <c r="K1142">
        <f>Data!R1196</f>
        <v/>
      </c>
      <c r="L1142">
        <f>Data!T1196</f>
        <v/>
      </c>
      <c r="M1142">
        <f>AND(E1142=0,F1142=0,G1142=0,H1142=0,I1142=0,J1142=0,K1142=0,L1142=0)</f>
        <v/>
      </c>
      <c r="N1142">
        <f>G1142&lt;=$T$6</f>
        <v/>
      </c>
      <c r="O1142">
        <f>G1142&lt;=$T$12</f>
        <v/>
      </c>
      <c r="P1142">
        <f>OR(AND(H1142&gt;=$T$4,K1142&lt;=$T$5,N1142),M1142)</f>
        <v/>
      </c>
      <c r="Q1142">
        <f>OR(AND(I1142&gt;=$T$10,K1142&lt;=$T$11,O1142),M1142)</f>
        <v/>
      </c>
    </row>
    <row r="1143">
      <c r="A1143">
        <f>Data!E1197</f>
        <v/>
      </c>
      <c r="B1143">
        <f>Data!G1197</f>
        <v/>
      </c>
      <c r="C1143">
        <f>Data!H1197</f>
        <v/>
      </c>
      <c r="D1143">
        <f>Data!I1197</f>
        <v/>
      </c>
      <c r="E1143">
        <f>Data!M1197</f>
        <v/>
      </c>
      <c r="F1143">
        <f>Data!O1197</f>
        <v/>
      </c>
      <c r="G1143">
        <f>E1143-F1143</f>
        <v/>
      </c>
      <c r="H1143">
        <f>Data!P1197</f>
        <v/>
      </c>
      <c r="I1143">
        <f>G1143+H1143</f>
        <v/>
      </c>
      <c r="J1143">
        <f>F1143+G1143+H1143</f>
        <v/>
      </c>
      <c r="K1143">
        <f>Data!R1197</f>
        <v/>
      </c>
      <c r="L1143">
        <f>Data!T1197</f>
        <v/>
      </c>
      <c r="M1143">
        <f>AND(E1143=0,F1143=0,G1143=0,H1143=0,I1143=0,J1143=0,K1143=0,L1143=0)</f>
        <v/>
      </c>
      <c r="N1143">
        <f>G1143&lt;=$T$6</f>
        <v/>
      </c>
      <c r="O1143">
        <f>G1143&lt;=$T$12</f>
        <v/>
      </c>
      <c r="P1143">
        <f>OR(AND(H1143&gt;=$T$4,K1143&lt;=$T$5,N1143),M1143)</f>
        <v/>
      </c>
      <c r="Q1143">
        <f>OR(AND(I1143&gt;=$T$10,K1143&lt;=$T$11,O1143),M1143)</f>
        <v/>
      </c>
    </row>
    <row r="1144">
      <c r="A1144">
        <f>Data!E1198</f>
        <v/>
      </c>
      <c r="B1144">
        <f>Data!G1198</f>
        <v/>
      </c>
      <c r="C1144">
        <f>Data!H1198</f>
        <v/>
      </c>
      <c r="D1144">
        <f>Data!I1198</f>
        <v/>
      </c>
      <c r="E1144">
        <f>Data!M1198</f>
        <v/>
      </c>
      <c r="F1144">
        <f>Data!O1198</f>
        <v/>
      </c>
      <c r="G1144">
        <f>E1144-F1144</f>
        <v/>
      </c>
      <c r="H1144">
        <f>Data!P1198</f>
        <v/>
      </c>
      <c r="I1144">
        <f>G1144+H1144</f>
        <v/>
      </c>
      <c r="J1144">
        <f>F1144+G1144+H1144</f>
        <v/>
      </c>
      <c r="K1144">
        <f>Data!R1198</f>
        <v/>
      </c>
      <c r="L1144">
        <f>Data!T1198</f>
        <v/>
      </c>
      <c r="M1144">
        <f>AND(E1144=0,F1144=0,G1144=0,H1144=0,I1144=0,J1144=0,K1144=0,L1144=0)</f>
        <v/>
      </c>
      <c r="N1144">
        <f>G1144&lt;=$T$6</f>
        <v/>
      </c>
      <c r="O1144">
        <f>G1144&lt;=$T$12</f>
        <v/>
      </c>
      <c r="P1144">
        <f>OR(AND(H1144&gt;=$T$4,K1144&lt;=$T$5,N1144),M1144)</f>
        <v/>
      </c>
      <c r="Q1144">
        <f>OR(AND(I1144&gt;=$T$10,K1144&lt;=$T$11,O1144),M1144)</f>
        <v/>
      </c>
    </row>
    <row r="1145">
      <c r="A1145">
        <f>Data!E1199</f>
        <v/>
      </c>
      <c r="B1145">
        <f>Data!G1199</f>
        <v/>
      </c>
      <c r="C1145">
        <f>Data!H1199</f>
        <v/>
      </c>
      <c r="D1145">
        <f>Data!I1199</f>
        <v/>
      </c>
      <c r="E1145">
        <f>Data!M1199</f>
        <v/>
      </c>
      <c r="F1145">
        <f>Data!O1199</f>
        <v/>
      </c>
      <c r="G1145">
        <f>E1145-F1145</f>
        <v/>
      </c>
      <c r="H1145">
        <f>Data!P1199</f>
        <v/>
      </c>
      <c r="I1145">
        <f>G1145+H1145</f>
        <v/>
      </c>
      <c r="J1145">
        <f>F1145+G1145+H1145</f>
        <v/>
      </c>
      <c r="K1145">
        <f>Data!R1199</f>
        <v/>
      </c>
      <c r="L1145">
        <f>Data!T1199</f>
        <v/>
      </c>
      <c r="M1145">
        <f>AND(E1145=0,F1145=0,G1145=0,H1145=0,I1145=0,J1145=0,K1145=0,L1145=0)</f>
        <v/>
      </c>
      <c r="N1145">
        <f>G1145&lt;=$T$6</f>
        <v/>
      </c>
      <c r="O1145">
        <f>G1145&lt;=$T$12</f>
        <v/>
      </c>
      <c r="P1145">
        <f>OR(AND(H1145&gt;=$T$4,K1145&lt;=$T$5,N1145),M1145)</f>
        <v/>
      </c>
      <c r="Q1145">
        <f>OR(AND(I1145&gt;=$T$10,K1145&lt;=$T$11,O1145),M1145)</f>
        <v/>
      </c>
    </row>
    <row r="1146">
      <c r="A1146">
        <f>Data!E1200</f>
        <v/>
      </c>
      <c r="B1146">
        <f>Data!G1200</f>
        <v/>
      </c>
      <c r="C1146">
        <f>Data!H1200</f>
        <v/>
      </c>
      <c r="D1146">
        <f>Data!I1200</f>
        <v/>
      </c>
      <c r="E1146">
        <f>Data!M1200</f>
        <v/>
      </c>
      <c r="F1146">
        <f>Data!O1200</f>
        <v/>
      </c>
      <c r="G1146">
        <f>E1146-F1146</f>
        <v/>
      </c>
      <c r="H1146">
        <f>Data!P1200</f>
        <v/>
      </c>
      <c r="I1146">
        <f>G1146+H1146</f>
        <v/>
      </c>
      <c r="J1146">
        <f>F1146+G1146+H1146</f>
        <v/>
      </c>
      <c r="K1146">
        <f>Data!R1200</f>
        <v/>
      </c>
      <c r="L1146">
        <f>Data!T1200</f>
        <v/>
      </c>
      <c r="M1146">
        <f>AND(E1146=0,F1146=0,G1146=0,H1146=0,I1146=0,J1146=0,K1146=0,L1146=0)</f>
        <v/>
      </c>
      <c r="N1146">
        <f>G1146&lt;=$T$6</f>
        <v/>
      </c>
      <c r="O1146">
        <f>G1146&lt;=$T$12</f>
        <v/>
      </c>
      <c r="P1146">
        <f>OR(AND(H1146&gt;=$T$4,K1146&lt;=$T$5,N1146),M1146)</f>
        <v/>
      </c>
      <c r="Q1146">
        <f>OR(AND(I1146&gt;=$T$10,K1146&lt;=$T$11,O1146),M1146)</f>
        <v/>
      </c>
    </row>
    <row r="1147">
      <c r="A1147">
        <f>Data!E1201</f>
        <v/>
      </c>
      <c r="B1147">
        <f>Data!G1201</f>
        <v/>
      </c>
      <c r="C1147">
        <f>Data!H1201</f>
        <v/>
      </c>
      <c r="D1147">
        <f>Data!I1201</f>
        <v/>
      </c>
      <c r="E1147">
        <f>Data!M1201</f>
        <v/>
      </c>
      <c r="F1147">
        <f>Data!O1201</f>
        <v/>
      </c>
      <c r="G1147">
        <f>E1147-F1147</f>
        <v/>
      </c>
      <c r="H1147">
        <f>Data!P1201</f>
        <v/>
      </c>
      <c r="I1147">
        <f>G1147+H1147</f>
        <v/>
      </c>
      <c r="J1147">
        <f>F1147+G1147+H1147</f>
        <v/>
      </c>
      <c r="K1147">
        <f>Data!R1201</f>
        <v/>
      </c>
      <c r="L1147">
        <f>Data!T1201</f>
        <v/>
      </c>
      <c r="M1147">
        <f>AND(E1147=0,F1147=0,G1147=0,H1147=0,I1147=0,J1147=0,K1147=0,L1147=0)</f>
        <v/>
      </c>
      <c r="N1147">
        <f>G1147&lt;=$T$6</f>
        <v/>
      </c>
      <c r="O1147">
        <f>G1147&lt;=$T$12</f>
        <v/>
      </c>
      <c r="P1147">
        <f>OR(AND(H1147&gt;=$T$4,K1147&lt;=$T$5,N1147),M1147)</f>
        <v/>
      </c>
      <c r="Q1147">
        <f>OR(AND(I1147&gt;=$T$10,K1147&lt;=$T$11,O1147),M1147)</f>
        <v/>
      </c>
    </row>
    <row r="1148">
      <c r="A1148">
        <f>Data!E1202</f>
        <v/>
      </c>
      <c r="B1148">
        <f>Data!G1202</f>
        <v/>
      </c>
      <c r="C1148">
        <f>Data!H1202</f>
        <v/>
      </c>
      <c r="D1148">
        <f>Data!I1202</f>
        <v/>
      </c>
      <c r="E1148">
        <f>Data!M1202</f>
        <v/>
      </c>
      <c r="F1148">
        <f>Data!O1202</f>
        <v/>
      </c>
      <c r="G1148">
        <f>E1148-F1148</f>
        <v/>
      </c>
      <c r="H1148">
        <f>Data!P1202</f>
        <v/>
      </c>
      <c r="I1148">
        <f>G1148+H1148</f>
        <v/>
      </c>
      <c r="J1148">
        <f>F1148+G1148+H1148</f>
        <v/>
      </c>
      <c r="K1148">
        <f>Data!R1202</f>
        <v/>
      </c>
      <c r="L1148">
        <f>Data!T1202</f>
        <v/>
      </c>
      <c r="M1148">
        <f>AND(E1148=0,F1148=0,G1148=0,H1148=0,I1148=0,J1148=0,K1148=0,L1148=0)</f>
        <v/>
      </c>
      <c r="N1148">
        <f>G1148&lt;=$T$6</f>
        <v/>
      </c>
      <c r="O1148">
        <f>G1148&lt;=$T$12</f>
        <v/>
      </c>
      <c r="P1148">
        <f>OR(AND(H1148&gt;=$T$4,K1148&lt;=$T$5,N1148),M1148)</f>
        <v/>
      </c>
      <c r="Q1148">
        <f>OR(AND(I1148&gt;=$T$10,K1148&lt;=$T$11,O1148),M1148)</f>
        <v/>
      </c>
    </row>
    <row r="1149">
      <c r="A1149">
        <f>Data!E1204</f>
        <v/>
      </c>
      <c r="B1149">
        <f>Data!G1204</f>
        <v/>
      </c>
      <c r="C1149">
        <f>Data!H1204</f>
        <v/>
      </c>
      <c r="D1149">
        <f>Data!I1204</f>
        <v/>
      </c>
      <c r="E1149">
        <f>Data!M1204</f>
        <v/>
      </c>
      <c r="F1149">
        <f>Data!O1204</f>
        <v/>
      </c>
      <c r="G1149">
        <f>E1149-F1149</f>
        <v/>
      </c>
      <c r="H1149">
        <f>Data!P1204</f>
        <v/>
      </c>
      <c r="I1149">
        <f>G1149+H1149</f>
        <v/>
      </c>
      <c r="J1149">
        <f>F1149+G1149+H1149</f>
        <v/>
      </c>
      <c r="K1149">
        <f>Data!R1204</f>
        <v/>
      </c>
      <c r="L1149">
        <f>Data!T1204</f>
        <v/>
      </c>
      <c r="M1149">
        <f>AND(E1149=0,F1149=0,G1149=0,H1149=0,I1149=0,J1149=0,K1149=0,L1149=0)</f>
        <v/>
      </c>
      <c r="N1149">
        <f>G1149&lt;=$T$6</f>
        <v/>
      </c>
      <c r="O1149">
        <f>G1149&lt;=$T$12</f>
        <v/>
      </c>
      <c r="P1149">
        <f>OR(AND(H1149&gt;=$T$4,K1149&lt;=$T$5,N1149),M1149)</f>
        <v/>
      </c>
      <c r="Q1149">
        <f>OR(AND(I1149&gt;=$T$10,K1149&lt;=$T$11,O1149),M1149)</f>
        <v/>
      </c>
    </row>
    <row r="1150">
      <c r="A1150">
        <f>Data!E1205</f>
        <v/>
      </c>
      <c r="B1150">
        <f>Data!G1205</f>
        <v/>
      </c>
      <c r="C1150">
        <f>Data!H1205</f>
        <v/>
      </c>
      <c r="D1150">
        <f>Data!I1205</f>
        <v/>
      </c>
      <c r="E1150">
        <f>Data!M1205</f>
        <v/>
      </c>
      <c r="F1150">
        <f>Data!O1205</f>
        <v/>
      </c>
      <c r="G1150">
        <f>E1150-F1150</f>
        <v/>
      </c>
      <c r="H1150">
        <f>Data!P1205</f>
        <v/>
      </c>
      <c r="I1150">
        <f>G1150+H1150</f>
        <v/>
      </c>
      <c r="J1150">
        <f>F1150+G1150+H1150</f>
        <v/>
      </c>
      <c r="K1150">
        <f>Data!R1205</f>
        <v/>
      </c>
      <c r="L1150">
        <f>Data!T1205</f>
        <v/>
      </c>
      <c r="M1150">
        <f>AND(E1150=0,F1150=0,G1150=0,H1150=0,I1150=0,J1150=0,K1150=0,L1150=0)</f>
        <v/>
      </c>
      <c r="N1150">
        <f>G1150&lt;=$T$6</f>
        <v/>
      </c>
      <c r="O1150">
        <f>G1150&lt;=$T$12</f>
        <v/>
      </c>
      <c r="P1150">
        <f>OR(AND(H1150&gt;=$T$4,K1150&lt;=$T$5,N1150),M1150)</f>
        <v/>
      </c>
      <c r="Q1150">
        <f>OR(AND(I1150&gt;=$T$10,K1150&lt;=$T$11,O1150),M1150)</f>
        <v/>
      </c>
    </row>
    <row r="1151">
      <c r="A1151">
        <f>Data!E1206</f>
        <v/>
      </c>
      <c r="B1151">
        <f>Data!G1206</f>
        <v/>
      </c>
      <c r="C1151">
        <f>Data!H1206</f>
        <v/>
      </c>
      <c r="D1151">
        <f>Data!I1206</f>
        <v/>
      </c>
      <c r="E1151">
        <f>Data!M1206</f>
        <v/>
      </c>
      <c r="F1151">
        <f>Data!O1206</f>
        <v/>
      </c>
      <c r="G1151">
        <f>E1151-F1151</f>
        <v/>
      </c>
      <c r="H1151">
        <f>Data!P1206</f>
        <v/>
      </c>
      <c r="I1151">
        <f>G1151+H1151</f>
        <v/>
      </c>
      <c r="J1151">
        <f>F1151+G1151+H1151</f>
        <v/>
      </c>
      <c r="K1151">
        <f>Data!R1206</f>
        <v/>
      </c>
      <c r="L1151">
        <f>Data!T1206</f>
        <v/>
      </c>
      <c r="M1151">
        <f>AND(E1151=0,F1151=0,G1151=0,H1151=0,I1151=0,J1151=0,K1151=0,L1151=0)</f>
        <v/>
      </c>
      <c r="N1151">
        <f>G1151&lt;=$T$6</f>
        <v/>
      </c>
      <c r="O1151">
        <f>G1151&lt;=$T$12</f>
        <v/>
      </c>
      <c r="P1151">
        <f>OR(AND(H1151&gt;=$T$4,K1151&lt;=$T$5,N1151),M1151)</f>
        <v/>
      </c>
      <c r="Q1151">
        <f>OR(AND(I1151&gt;=$T$10,K1151&lt;=$T$11,O1151),M1151)</f>
        <v/>
      </c>
    </row>
    <row r="1152">
      <c r="A1152">
        <f>Data!E1207</f>
        <v/>
      </c>
      <c r="B1152">
        <f>Data!G1207</f>
        <v/>
      </c>
      <c r="C1152">
        <f>Data!H1207</f>
        <v/>
      </c>
      <c r="D1152">
        <f>Data!I1207</f>
        <v/>
      </c>
      <c r="E1152">
        <f>Data!M1207</f>
        <v/>
      </c>
      <c r="F1152">
        <f>Data!O1207</f>
        <v/>
      </c>
      <c r="G1152">
        <f>E1152-F1152</f>
        <v/>
      </c>
      <c r="H1152">
        <f>Data!P1207</f>
        <v/>
      </c>
      <c r="I1152">
        <f>G1152+H1152</f>
        <v/>
      </c>
      <c r="J1152">
        <f>F1152+G1152+H1152</f>
        <v/>
      </c>
      <c r="K1152">
        <f>Data!R1207</f>
        <v/>
      </c>
      <c r="L1152">
        <f>Data!T1207</f>
        <v/>
      </c>
      <c r="M1152">
        <f>AND(E1152=0,F1152=0,G1152=0,H1152=0,I1152=0,J1152=0,K1152=0,L1152=0)</f>
        <v/>
      </c>
      <c r="N1152">
        <f>G1152&lt;=$T$6</f>
        <v/>
      </c>
      <c r="O1152">
        <f>G1152&lt;=$T$12</f>
        <v/>
      </c>
      <c r="P1152">
        <f>OR(AND(H1152&gt;=$T$4,K1152&lt;=$T$5,N1152),M1152)</f>
        <v/>
      </c>
      <c r="Q1152">
        <f>OR(AND(I1152&gt;=$T$10,K1152&lt;=$T$11,O1152),M1152)</f>
        <v/>
      </c>
    </row>
    <row r="1153">
      <c r="A1153">
        <f>Data!E1208</f>
        <v/>
      </c>
      <c r="B1153">
        <f>Data!G1208</f>
        <v/>
      </c>
      <c r="C1153">
        <f>Data!H1208</f>
        <v/>
      </c>
      <c r="D1153">
        <f>Data!I1208</f>
        <v/>
      </c>
      <c r="E1153">
        <f>Data!M1208</f>
        <v/>
      </c>
      <c r="F1153">
        <f>Data!O1208</f>
        <v/>
      </c>
      <c r="G1153">
        <f>E1153-F1153</f>
        <v/>
      </c>
      <c r="H1153">
        <f>Data!P1208</f>
        <v/>
      </c>
      <c r="I1153">
        <f>G1153+H1153</f>
        <v/>
      </c>
      <c r="J1153">
        <f>F1153+G1153+H1153</f>
        <v/>
      </c>
      <c r="K1153">
        <f>Data!R1208</f>
        <v/>
      </c>
      <c r="L1153">
        <f>Data!T1208</f>
        <v/>
      </c>
      <c r="M1153">
        <f>AND(E1153=0,F1153=0,G1153=0,H1153=0,I1153=0,J1153=0,K1153=0,L1153=0)</f>
        <v/>
      </c>
      <c r="N1153">
        <f>G1153&lt;=$T$6</f>
        <v/>
      </c>
      <c r="O1153">
        <f>G1153&lt;=$T$12</f>
        <v/>
      </c>
      <c r="P1153">
        <f>OR(AND(H1153&gt;=$T$4,K1153&lt;=$T$5,N1153),M1153)</f>
        <v/>
      </c>
      <c r="Q1153">
        <f>OR(AND(I1153&gt;=$T$10,K1153&lt;=$T$11,O1153),M1153)</f>
        <v/>
      </c>
    </row>
    <row r="1154">
      <c r="A1154">
        <f>Data!E1209</f>
        <v/>
      </c>
      <c r="B1154">
        <f>Data!G1209</f>
        <v/>
      </c>
      <c r="C1154">
        <f>Data!H1209</f>
        <v/>
      </c>
      <c r="D1154">
        <f>Data!I1209</f>
        <v/>
      </c>
      <c r="E1154">
        <f>Data!M1209</f>
        <v/>
      </c>
      <c r="F1154">
        <f>Data!O1209</f>
        <v/>
      </c>
      <c r="G1154">
        <f>E1154-F1154</f>
        <v/>
      </c>
      <c r="H1154">
        <f>Data!P1209</f>
        <v/>
      </c>
      <c r="I1154">
        <f>G1154+H1154</f>
        <v/>
      </c>
      <c r="J1154">
        <f>F1154+G1154+H1154</f>
        <v/>
      </c>
      <c r="K1154">
        <f>Data!R1209</f>
        <v/>
      </c>
      <c r="L1154">
        <f>Data!T1209</f>
        <v/>
      </c>
      <c r="M1154">
        <f>AND(E1154=0,F1154=0,G1154=0,H1154=0,I1154=0,J1154=0,K1154=0,L1154=0)</f>
        <v/>
      </c>
      <c r="N1154">
        <f>G1154&lt;=$T$6</f>
        <v/>
      </c>
      <c r="O1154">
        <f>G1154&lt;=$T$12</f>
        <v/>
      </c>
      <c r="P1154">
        <f>OR(AND(H1154&gt;=$T$4,K1154&lt;=$T$5,N1154),M1154)</f>
        <v/>
      </c>
      <c r="Q1154">
        <f>OR(AND(I1154&gt;=$T$10,K1154&lt;=$T$11,O1154),M1154)</f>
        <v/>
      </c>
    </row>
    <row r="1155">
      <c r="A1155">
        <f>Data!E1210</f>
        <v/>
      </c>
      <c r="B1155">
        <f>Data!G1210</f>
        <v/>
      </c>
      <c r="C1155">
        <f>Data!H1210</f>
        <v/>
      </c>
      <c r="D1155">
        <f>Data!I1210</f>
        <v/>
      </c>
      <c r="E1155">
        <f>Data!M1210</f>
        <v/>
      </c>
      <c r="F1155">
        <f>Data!O1210</f>
        <v/>
      </c>
      <c r="G1155">
        <f>E1155-F1155</f>
        <v/>
      </c>
      <c r="H1155">
        <f>Data!P1210</f>
        <v/>
      </c>
      <c r="I1155">
        <f>G1155+H1155</f>
        <v/>
      </c>
      <c r="J1155">
        <f>F1155+G1155+H1155</f>
        <v/>
      </c>
      <c r="K1155">
        <f>Data!R1210</f>
        <v/>
      </c>
      <c r="L1155">
        <f>Data!T1210</f>
        <v/>
      </c>
      <c r="M1155">
        <f>AND(E1155=0,F1155=0,G1155=0,H1155=0,I1155=0,J1155=0,K1155=0,L1155=0)</f>
        <v/>
      </c>
      <c r="N1155">
        <f>G1155&lt;=$T$6</f>
        <v/>
      </c>
      <c r="O1155">
        <f>G1155&lt;=$T$12</f>
        <v/>
      </c>
      <c r="P1155">
        <f>OR(AND(H1155&gt;=$T$4,K1155&lt;=$T$5,N1155),M1155)</f>
        <v/>
      </c>
      <c r="Q1155">
        <f>OR(AND(I1155&gt;=$T$10,K1155&lt;=$T$11,O1155),M1155)</f>
        <v/>
      </c>
    </row>
    <row r="1156">
      <c r="A1156">
        <f>Data!E1211</f>
        <v/>
      </c>
      <c r="B1156">
        <f>Data!G1211</f>
        <v/>
      </c>
      <c r="C1156">
        <f>Data!H1211</f>
        <v/>
      </c>
      <c r="D1156">
        <f>Data!I1211</f>
        <v/>
      </c>
      <c r="E1156">
        <f>Data!M1211</f>
        <v/>
      </c>
      <c r="F1156">
        <f>Data!O1211</f>
        <v/>
      </c>
      <c r="G1156">
        <f>E1156-F1156</f>
        <v/>
      </c>
      <c r="H1156">
        <f>Data!P1211</f>
        <v/>
      </c>
      <c r="I1156">
        <f>G1156+H1156</f>
        <v/>
      </c>
      <c r="J1156">
        <f>F1156+G1156+H1156</f>
        <v/>
      </c>
      <c r="K1156">
        <f>Data!R1211</f>
        <v/>
      </c>
      <c r="L1156">
        <f>Data!T1211</f>
        <v/>
      </c>
      <c r="M1156">
        <f>AND(E1156=0,F1156=0,G1156=0,H1156=0,I1156=0,J1156=0,K1156=0,L1156=0)</f>
        <v/>
      </c>
      <c r="N1156">
        <f>G1156&lt;=$T$6</f>
        <v/>
      </c>
      <c r="O1156">
        <f>G1156&lt;=$T$12</f>
        <v/>
      </c>
      <c r="P1156">
        <f>OR(AND(H1156&gt;=$T$4,K1156&lt;=$T$5,N1156),M1156)</f>
        <v/>
      </c>
      <c r="Q1156">
        <f>OR(AND(I1156&gt;=$T$10,K1156&lt;=$T$11,O1156),M1156)</f>
        <v/>
      </c>
    </row>
    <row r="1157">
      <c r="A1157">
        <f>Data!E1212</f>
        <v/>
      </c>
      <c r="B1157">
        <f>Data!G1212</f>
        <v/>
      </c>
      <c r="C1157">
        <f>Data!H1212</f>
        <v/>
      </c>
      <c r="D1157">
        <f>Data!I1212</f>
        <v/>
      </c>
      <c r="E1157">
        <f>Data!M1212</f>
        <v/>
      </c>
      <c r="F1157">
        <f>Data!O1212</f>
        <v/>
      </c>
      <c r="G1157">
        <f>E1157-F1157</f>
        <v/>
      </c>
      <c r="H1157">
        <f>Data!P1212</f>
        <v/>
      </c>
      <c r="I1157">
        <f>G1157+H1157</f>
        <v/>
      </c>
      <c r="J1157">
        <f>F1157+G1157+H1157</f>
        <v/>
      </c>
      <c r="K1157">
        <f>Data!R1212</f>
        <v/>
      </c>
      <c r="L1157">
        <f>Data!T1212</f>
        <v/>
      </c>
      <c r="M1157">
        <f>AND(E1157=0,F1157=0,G1157=0,H1157=0,I1157=0,J1157=0,K1157=0,L1157=0)</f>
        <v/>
      </c>
      <c r="N1157">
        <f>G1157&lt;=$T$6</f>
        <v/>
      </c>
      <c r="O1157">
        <f>G1157&lt;=$T$12</f>
        <v/>
      </c>
      <c r="P1157">
        <f>OR(AND(H1157&gt;=$T$4,K1157&lt;=$T$5,N1157),M1157)</f>
        <v/>
      </c>
      <c r="Q1157">
        <f>OR(AND(I1157&gt;=$T$10,K1157&lt;=$T$11,O1157),M1157)</f>
        <v/>
      </c>
    </row>
    <row r="1158">
      <c r="A1158">
        <f>Data!E1213</f>
        <v/>
      </c>
      <c r="B1158">
        <f>Data!G1213</f>
        <v/>
      </c>
      <c r="C1158">
        <f>Data!H1213</f>
        <v/>
      </c>
      <c r="D1158">
        <f>Data!I1213</f>
        <v/>
      </c>
      <c r="E1158">
        <f>Data!M1213</f>
        <v/>
      </c>
      <c r="F1158">
        <f>Data!O1213</f>
        <v/>
      </c>
      <c r="G1158">
        <f>E1158-F1158</f>
        <v/>
      </c>
      <c r="H1158">
        <f>Data!P1213</f>
        <v/>
      </c>
      <c r="I1158">
        <f>G1158+H1158</f>
        <v/>
      </c>
      <c r="J1158">
        <f>F1158+G1158+H1158</f>
        <v/>
      </c>
      <c r="K1158">
        <f>Data!R1213</f>
        <v/>
      </c>
      <c r="L1158">
        <f>Data!T1213</f>
        <v/>
      </c>
      <c r="M1158">
        <f>AND(E1158=0,F1158=0,G1158=0,H1158=0,I1158=0,J1158=0,K1158=0,L1158=0)</f>
        <v/>
      </c>
      <c r="N1158">
        <f>G1158&lt;=$T$6</f>
        <v/>
      </c>
      <c r="O1158">
        <f>G1158&lt;=$T$12</f>
        <v/>
      </c>
      <c r="P1158">
        <f>OR(AND(H1158&gt;=$T$4,K1158&lt;=$T$5,N1158),M1158)</f>
        <v/>
      </c>
      <c r="Q1158">
        <f>OR(AND(I1158&gt;=$T$10,K1158&lt;=$T$11,O1158),M1158)</f>
        <v/>
      </c>
    </row>
    <row r="1159">
      <c r="A1159">
        <f>Data!E1214</f>
        <v/>
      </c>
      <c r="B1159">
        <f>Data!G1214</f>
        <v/>
      </c>
      <c r="C1159">
        <f>Data!H1214</f>
        <v/>
      </c>
      <c r="D1159">
        <f>Data!I1214</f>
        <v/>
      </c>
      <c r="E1159">
        <f>Data!M1214</f>
        <v/>
      </c>
      <c r="F1159">
        <f>Data!O1214</f>
        <v/>
      </c>
      <c r="G1159">
        <f>E1159-F1159</f>
        <v/>
      </c>
      <c r="H1159">
        <f>Data!P1214</f>
        <v/>
      </c>
      <c r="I1159">
        <f>G1159+H1159</f>
        <v/>
      </c>
      <c r="J1159">
        <f>F1159+G1159+H1159</f>
        <v/>
      </c>
      <c r="K1159">
        <f>Data!R1214</f>
        <v/>
      </c>
      <c r="L1159">
        <f>Data!T1214</f>
        <v/>
      </c>
      <c r="M1159">
        <f>AND(E1159=0,F1159=0,G1159=0,H1159=0,I1159=0,J1159=0,K1159=0,L1159=0)</f>
        <v/>
      </c>
      <c r="N1159">
        <f>G1159&lt;=$T$6</f>
        <v/>
      </c>
      <c r="O1159">
        <f>G1159&lt;=$T$12</f>
        <v/>
      </c>
      <c r="P1159">
        <f>OR(AND(H1159&gt;=$T$4,K1159&lt;=$T$5,N1159),M1159)</f>
        <v/>
      </c>
      <c r="Q1159">
        <f>OR(AND(I1159&gt;=$T$10,K1159&lt;=$T$11,O1159),M1159)</f>
        <v/>
      </c>
    </row>
    <row r="1160">
      <c r="A1160">
        <f>Data!E1215</f>
        <v/>
      </c>
      <c r="B1160">
        <f>Data!G1215</f>
        <v/>
      </c>
      <c r="C1160">
        <f>Data!H1215</f>
        <v/>
      </c>
      <c r="D1160">
        <f>Data!I1215</f>
        <v/>
      </c>
      <c r="E1160">
        <f>Data!M1215</f>
        <v/>
      </c>
      <c r="F1160">
        <f>Data!O1215</f>
        <v/>
      </c>
      <c r="G1160">
        <f>E1160-F1160</f>
        <v/>
      </c>
      <c r="H1160">
        <f>Data!P1215</f>
        <v/>
      </c>
      <c r="I1160">
        <f>G1160+H1160</f>
        <v/>
      </c>
      <c r="J1160">
        <f>F1160+G1160+H1160</f>
        <v/>
      </c>
      <c r="K1160">
        <f>Data!R1215</f>
        <v/>
      </c>
      <c r="L1160">
        <f>Data!T1215</f>
        <v/>
      </c>
      <c r="M1160">
        <f>AND(E1160=0,F1160=0,G1160=0,H1160=0,I1160=0,J1160=0,K1160=0,L1160=0)</f>
        <v/>
      </c>
      <c r="N1160">
        <f>G1160&lt;=$T$6</f>
        <v/>
      </c>
      <c r="O1160">
        <f>G1160&lt;=$T$12</f>
        <v/>
      </c>
      <c r="P1160">
        <f>OR(AND(H1160&gt;=$T$4,K1160&lt;=$T$5,N1160),M1160)</f>
        <v/>
      </c>
      <c r="Q1160">
        <f>OR(AND(I1160&gt;=$T$10,K1160&lt;=$T$11,O1160),M1160)</f>
        <v/>
      </c>
    </row>
    <row r="1161">
      <c r="A1161">
        <f>Data!E1216</f>
        <v/>
      </c>
      <c r="B1161">
        <f>Data!G1216</f>
        <v/>
      </c>
      <c r="C1161">
        <f>Data!H1216</f>
        <v/>
      </c>
      <c r="D1161">
        <f>Data!I1216</f>
        <v/>
      </c>
      <c r="E1161">
        <f>Data!M1216</f>
        <v/>
      </c>
      <c r="F1161">
        <f>Data!O1216</f>
        <v/>
      </c>
      <c r="G1161">
        <f>E1161-F1161</f>
        <v/>
      </c>
      <c r="H1161">
        <f>Data!P1216</f>
        <v/>
      </c>
      <c r="I1161">
        <f>G1161+H1161</f>
        <v/>
      </c>
      <c r="J1161">
        <f>F1161+G1161+H1161</f>
        <v/>
      </c>
      <c r="K1161">
        <f>Data!R1216</f>
        <v/>
      </c>
      <c r="L1161">
        <f>Data!T1216</f>
        <v/>
      </c>
      <c r="M1161">
        <f>AND(E1161=0,F1161=0,G1161=0,H1161=0,I1161=0,J1161=0,K1161=0,L1161=0)</f>
        <v/>
      </c>
      <c r="N1161">
        <f>G1161&lt;=$T$6</f>
        <v/>
      </c>
      <c r="O1161">
        <f>G1161&lt;=$T$12</f>
        <v/>
      </c>
      <c r="P1161">
        <f>OR(AND(H1161&gt;=$T$4,K1161&lt;=$T$5,N1161),M1161)</f>
        <v/>
      </c>
      <c r="Q1161">
        <f>OR(AND(I1161&gt;=$T$10,K1161&lt;=$T$11,O1161),M1161)</f>
        <v/>
      </c>
    </row>
    <row r="1162">
      <c r="A1162">
        <f>Data!E1218</f>
        <v/>
      </c>
      <c r="B1162">
        <f>Data!G1218</f>
        <v/>
      </c>
      <c r="C1162">
        <f>Data!H1218</f>
        <v/>
      </c>
      <c r="D1162">
        <f>Data!I1218</f>
        <v/>
      </c>
      <c r="E1162">
        <f>Data!M1218</f>
        <v/>
      </c>
      <c r="F1162">
        <f>Data!O1218</f>
        <v/>
      </c>
      <c r="G1162">
        <f>E1162-F1162</f>
        <v/>
      </c>
      <c r="H1162">
        <f>Data!P1218</f>
        <v/>
      </c>
      <c r="I1162">
        <f>G1162+H1162</f>
        <v/>
      </c>
      <c r="J1162">
        <f>F1162+G1162+H1162</f>
        <v/>
      </c>
      <c r="K1162">
        <f>Data!R1218</f>
        <v/>
      </c>
      <c r="L1162">
        <f>Data!T1218</f>
        <v/>
      </c>
      <c r="M1162">
        <f>AND(E1162=0,F1162=0,G1162=0,H1162=0,I1162=0,J1162=0,K1162=0,L1162=0)</f>
        <v/>
      </c>
      <c r="N1162">
        <f>G1162&lt;=$T$6</f>
        <v/>
      </c>
      <c r="O1162">
        <f>G1162&lt;=$T$12</f>
        <v/>
      </c>
      <c r="P1162">
        <f>OR(AND(H1162&gt;=$T$4,K1162&lt;=$T$5,N1162),M1162)</f>
        <v/>
      </c>
      <c r="Q1162">
        <f>OR(AND(I1162&gt;=$T$10,K1162&lt;=$T$11,O1162),M1162)</f>
        <v/>
      </c>
    </row>
    <row r="1163">
      <c r="A1163">
        <f>Data!E1219</f>
        <v/>
      </c>
      <c r="B1163">
        <f>Data!G1219</f>
        <v/>
      </c>
      <c r="C1163">
        <f>Data!H1219</f>
        <v/>
      </c>
      <c r="D1163">
        <f>Data!I1219</f>
        <v/>
      </c>
      <c r="E1163">
        <f>Data!M1219</f>
        <v/>
      </c>
      <c r="F1163">
        <f>Data!O1219</f>
        <v/>
      </c>
      <c r="G1163">
        <f>E1163-F1163</f>
        <v/>
      </c>
      <c r="H1163">
        <f>Data!P1219</f>
        <v/>
      </c>
      <c r="I1163">
        <f>G1163+H1163</f>
        <v/>
      </c>
      <c r="J1163">
        <f>F1163+G1163+H1163</f>
        <v/>
      </c>
      <c r="K1163">
        <f>Data!R1219</f>
        <v/>
      </c>
      <c r="L1163">
        <f>Data!T1219</f>
        <v/>
      </c>
      <c r="M1163">
        <f>AND(E1163=0,F1163=0,G1163=0,H1163=0,I1163=0,J1163=0,K1163=0,L1163=0)</f>
        <v/>
      </c>
      <c r="N1163">
        <f>G1163&lt;=$T$6</f>
        <v/>
      </c>
      <c r="O1163">
        <f>G1163&lt;=$T$12</f>
        <v/>
      </c>
      <c r="P1163">
        <f>OR(AND(H1163&gt;=$T$4,K1163&lt;=$T$5,N1163),M1163)</f>
        <v/>
      </c>
      <c r="Q1163">
        <f>OR(AND(I1163&gt;=$T$10,K1163&lt;=$T$11,O1163),M1163)</f>
        <v/>
      </c>
    </row>
    <row r="1164">
      <c r="A1164">
        <f>Data!E1220</f>
        <v/>
      </c>
      <c r="B1164">
        <f>Data!G1220</f>
        <v/>
      </c>
      <c r="C1164">
        <f>Data!H1220</f>
        <v/>
      </c>
      <c r="D1164">
        <f>Data!I1220</f>
        <v/>
      </c>
      <c r="E1164">
        <f>Data!M1220</f>
        <v/>
      </c>
      <c r="F1164">
        <f>Data!O1220</f>
        <v/>
      </c>
      <c r="G1164">
        <f>E1164-F1164</f>
        <v/>
      </c>
      <c r="H1164">
        <f>Data!P1220</f>
        <v/>
      </c>
      <c r="I1164">
        <f>G1164+H1164</f>
        <v/>
      </c>
      <c r="J1164">
        <f>F1164+G1164+H1164</f>
        <v/>
      </c>
      <c r="K1164">
        <f>Data!R1220</f>
        <v/>
      </c>
      <c r="L1164">
        <f>Data!T1220</f>
        <v/>
      </c>
      <c r="M1164">
        <f>AND(E1164=0,F1164=0,G1164=0,H1164=0,I1164=0,J1164=0,K1164=0,L1164=0)</f>
        <v/>
      </c>
      <c r="N1164">
        <f>G1164&lt;=$T$6</f>
        <v/>
      </c>
      <c r="O1164">
        <f>G1164&lt;=$T$12</f>
        <v/>
      </c>
      <c r="P1164">
        <f>OR(AND(H1164&gt;=$T$4,K1164&lt;=$T$5,N1164),M1164)</f>
        <v/>
      </c>
      <c r="Q1164">
        <f>OR(AND(I1164&gt;=$T$10,K1164&lt;=$T$11,O1164),M1164)</f>
        <v/>
      </c>
    </row>
    <row r="1165">
      <c r="A1165">
        <f>Data!E1221</f>
        <v/>
      </c>
      <c r="B1165">
        <f>Data!G1221</f>
        <v/>
      </c>
      <c r="C1165">
        <f>Data!H1221</f>
        <v/>
      </c>
      <c r="D1165">
        <f>Data!I1221</f>
        <v/>
      </c>
      <c r="E1165">
        <f>Data!M1221</f>
        <v/>
      </c>
      <c r="F1165">
        <f>Data!O1221</f>
        <v/>
      </c>
      <c r="G1165">
        <f>E1165-F1165</f>
        <v/>
      </c>
      <c r="H1165">
        <f>Data!P1221</f>
        <v/>
      </c>
      <c r="I1165">
        <f>G1165+H1165</f>
        <v/>
      </c>
      <c r="J1165">
        <f>F1165+G1165+H1165</f>
        <v/>
      </c>
      <c r="K1165">
        <f>Data!R1221</f>
        <v/>
      </c>
      <c r="L1165">
        <f>Data!T1221</f>
        <v/>
      </c>
      <c r="M1165">
        <f>AND(E1165=0,F1165=0,G1165=0,H1165=0,I1165=0,J1165=0,K1165=0,L1165=0)</f>
        <v/>
      </c>
      <c r="N1165">
        <f>G1165&lt;=$T$6</f>
        <v/>
      </c>
      <c r="O1165">
        <f>G1165&lt;=$T$12</f>
        <v/>
      </c>
      <c r="P1165">
        <f>OR(AND(H1165&gt;=$T$4,K1165&lt;=$T$5,N1165),M1165)</f>
        <v/>
      </c>
      <c r="Q1165">
        <f>OR(AND(I1165&gt;=$T$10,K1165&lt;=$T$11,O1165),M1165)</f>
        <v/>
      </c>
    </row>
    <row r="1166">
      <c r="A1166">
        <f>Data!E1222</f>
        <v/>
      </c>
      <c r="B1166">
        <f>Data!G1222</f>
        <v/>
      </c>
      <c r="C1166">
        <f>Data!H1222</f>
        <v/>
      </c>
      <c r="D1166">
        <f>Data!I1222</f>
        <v/>
      </c>
      <c r="E1166">
        <f>Data!M1222</f>
        <v/>
      </c>
      <c r="F1166">
        <f>Data!O1222</f>
        <v/>
      </c>
      <c r="G1166">
        <f>E1166-F1166</f>
        <v/>
      </c>
      <c r="H1166">
        <f>Data!P1222</f>
        <v/>
      </c>
      <c r="I1166">
        <f>G1166+H1166</f>
        <v/>
      </c>
      <c r="J1166">
        <f>F1166+G1166+H1166</f>
        <v/>
      </c>
      <c r="K1166">
        <f>Data!R1222</f>
        <v/>
      </c>
      <c r="L1166">
        <f>Data!T1222</f>
        <v/>
      </c>
      <c r="M1166">
        <f>AND(E1166=0,F1166=0,G1166=0,H1166=0,I1166=0,J1166=0,K1166=0,L1166=0)</f>
        <v/>
      </c>
      <c r="N1166">
        <f>G1166&lt;=$T$6</f>
        <v/>
      </c>
      <c r="O1166">
        <f>G1166&lt;=$T$12</f>
        <v/>
      </c>
      <c r="P1166">
        <f>OR(AND(H1166&gt;=$T$4,K1166&lt;=$T$5,N1166),M1166)</f>
        <v/>
      </c>
      <c r="Q1166">
        <f>OR(AND(I1166&gt;=$T$10,K1166&lt;=$T$11,O1166),M1166)</f>
        <v/>
      </c>
    </row>
    <row r="1167">
      <c r="A1167">
        <f>Data!E1223</f>
        <v/>
      </c>
      <c r="B1167">
        <f>Data!G1223</f>
        <v/>
      </c>
      <c r="C1167">
        <f>Data!H1223</f>
        <v/>
      </c>
      <c r="D1167">
        <f>Data!I1223</f>
        <v/>
      </c>
      <c r="E1167">
        <f>Data!M1223</f>
        <v/>
      </c>
      <c r="F1167">
        <f>Data!O1223</f>
        <v/>
      </c>
      <c r="G1167">
        <f>E1167-F1167</f>
        <v/>
      </c>
      <c r="H1167">
        <f>Data!P1223</f>
        <v/>
      </c>
      <c r="I1167">
        <f>G1167+H1167</f>
        <v/>
      </c>
      <c r="J1167">
        <f>F1167+G1167+H1167</f>
        <v/>
      </c>
      <c r="K1167">
        <f>Data!R1223</f>
        <v/>
      </c>
      <c r="L1167">
        <f>Data!T1223</f>
        <v/>
      </c>
      <c r="M1167">
        <f>AND(E1167=0,F1167=0,G1167=0,H1167=0,I1167=0,J1167=0,K1167=0,L1167=0)</f>
        <v/>
      </c>
      <c r="N1167">
        <f>G1167&lt;=$T$6</f>
        <v/>
      </c>
      <c r="O1167">
        <f>G1167&lt;=$T$12</f>
        <v/>
      </c>
      <c r="P1167">
        <f>OR(AND(H1167&gt;=$T$4,K1167&lt;=$T$5,N1167),M1167)</f>
        <v/>
      </c>
      <c r="Q1167">
        <f>OR(AND(I1167&gt;=$T$10,K1167&lt;=$T$11,O1167),M1167)</f>
        <v/>
      </c>
    </row>
    <row r="1168">
      <c r="A1168">
        <f>Data!E1224</f>
        <v/>
      </c>
      <c r="B1168">
        <f>Data!G1224</f>
        <v/>
      </c>
      <c r="C1168">
        <f>Data!H1224</f>
        <v/>
      </c>
      <c r="D1168">
        <f>Data!I1224</f>
        <v/>
      </c>
      <c r="E1168">
        <f>Data!M1224</f>
        <v/>
      </c>
      <c r="F1168">
        <f>Data!O1224</f>
        <v/>
      </c>
      <c r="G1168">
        <f>E1168-F1168</f>
        <v/>
      </c>
      <c r="H1168">
        <f>Data!P1224</f>
        <v/>
      </c>
      <c r="I1168">
        <f>G1168+H1168</f>
        <v/>
      </c>
      <c r="J1168">
        <f>F1168+G1168+H1168</f>
        <v/>
      </c>
      <c r="K1168">
        <f>Data!R1224</f>
        <v/>
      </c>
      <c r="L1168">
        <f>Data!T1224</f>
        <v/>
      </c>
      <c r="M1168">
        <f>AND(E1168=0,F1168=0,G1168=0,H1168=0,I1168=0,J1168=0,K1168=0,L1168=0)</f>
        <v/>
      </c>
      <c r="N1168">
        <f>G1168&lt;=$T$6</f>
        <v/>
      </c>
      <c r="O1168">
        <f>G1168&lt;=$T$12</f>
        <v/>
      </c>
      <c r="P1168">
        <f>OR(AND(H1168&gt;=$T$4,K1168&lt;=$T$5,N1168),M1168)</f>
        <v/>
      </c>
      <c r="Q1168">
        <f>OR(AND(I1168&gt;=$T$10,K1168&lt;=$T$11,O1168),M1168)</f>
        <v/>
      </c>
    </row>
    <row r="1169">
      <c r="A1169">
        <f>Data!E1225</f>
        <v/>
      </c>
      <c r="B1169">
        <f>Data!G1225</f>
        <v/>
      </c>
      <c r="C1169">
        <f>Data!H1225</f>
        <v/>
      </c>
      <c r="D1169">
        <f>Data!I1225</f>
        <v/>
      </c>
      <c r="E1169">
        <f>Data!M1225</f>
        <v/>
      </c>
      <c r="F1169">
        <f>Data!O1225</f>
        <v/>
      </c>
      <c r="G1169">
        <f>E1169-F1169</f>
        <v/>
      </c>
      <c r="H1169">
        <f>Data!P1225</f>
        <v/>
      </c>
      <c r="I1169">
        <f>G1169+H1169</f>
        <v/>
      </c>
      <c r="J1169">
        <f>F1169+G1169+H1169</f>
        <v/>
      </c>
      <c r="K1169">
        <f>Data!R1225</f>
        <v/>
      </c>
      <c r="L1169">
        <f>Data!T1225</f>
        <v/>
      </c>
      <c r="M1169">
        <f>AND(E1169=0,F1169=0,G1169=0,H1169=0,I1169=0,J1169=0,K1169=0,L1169=0)</f>
        <v/>
      </c>
      <c r="N1169">
        <f>G1169&lt;=$T$6</f>
        <v/>
      </c>
      <c r="O1169">
        <f>G1169&lt;=$T$12</f>
        <v/>
      </c>
      <c r="P1169">
        <f>OR(AND(H1169&gt;=$T$4,K1169&lt;=$T$5,N1169),M1169)</f>
        <v/>
      </c>
      <c r="Q1169">
        <f>OR(AND(I1169&gt;=$T$10,K1169&lt;=$T$11,O1169),M1169)</f>
        <v/>
      </c>
    </row>
    <row r="1170">
      <c r="A1170">
        <f>Data!E1226</f>
        <v/>
      </c>
      <c r="B1170">
        <f>Data!G1226</f>
        <v/>
      </c>
      <c r="C1170">
        <f>Data!H1226</f>
        <v/>
      </c>
      <c r="D1170">
        <f>Data!I1226</f>
        <v/>
      </c>
      <c r="E1170">
        <f>Data!M1226</f>
        <v/>
      </c>
      <c r="F1170">
        <f>Data!O1226</f>
        <v/>
      </c>
      <c r="G1170">
        <f>E1170-F1170</f>
        <v/>
      </c>
      <c r="H1170">
        <f>Data!P1226</f>
        <v/>
      </c>
      <c r="I1170">
        <f>G1170+H1170</f>
        <v/>
      </c>
      <c r="J1170">
        <f>F1170+G1170+H1170</f>
        <v/>
      </c>
      <c r="K1170">
        <f>Data!R1226</f>
        <v/>
      </c>
      <c r="L1170">
        <f>Data!T1226</f>
        <v/>
      </c>
      <c r="M1170">
        <f>AND(E1170=0,F1170=0,G1170=0,H1170=0,I1170=0,J1170=0,K1170=0,L1170=0)</f>
        <v/>
      </c>
      <c r="N1170">
        <f>G1170&lt;=$T$6</f>
        <v/>
      </c>
      <c r="O1170">
        <f>G1170&lt;=$T$12</f>
        <v/>
      </c>
      <c r="P1170">
        <f>OR(AND(H1170&gt;=$T$4,K1170&lt;=$T$5,N1170),M1170)</f>
        <v/>
      </c>
      <c r="Q1170">
        <f>OR(AND(I1170&gt;=$T$10,K1170&lt;=$T$11,O1170),M1170)</f>
        <v/>
      </c>
    </row>
    <row r="1171">
      <c r="A1171">
        <f>Data!E1227</f>
        <v/>
      </c>
      <c r="B1171">
        <f>Data!G1227</f>
        <v/>
      </c>
      <c r="C1171">
        <f>Data!H1227</f>
        <v/>
      </c>
      <c r="D1171">
        <f>Data!I1227</f>
        <v/>
      </c>
      <c r="E1171">
        <f>Data!M1227</f>
        <v/>
      </c>
      <c r="F1171">
        <f>Data!O1227</f>
        <v/>
      </c>
      <c r="G1171">
        <f>E1171-F1171</f>
        <v/>
      </c>
      <c r="H1171">
        <f>Data!P1227</f>
        <v/>
      </c>
      <c r="I1171">
        <f>G1171+H1171</f>
        <v/>
      </c>
      <c r="J1171">
        <f>F1171+G1171+H1171</f>
        <v/>
      </c>
      <c r="K1171">
        <f>Data!R1227</f>
        <v/>
      </c>
      <c r="L1171">
        <f>Data!T1227</f>
        <v/>
      </c>
      <c r="M1171">
        <f>AND(E1171=0,F1171=0,G1171=0,H1171=0,I1171=0,J1171=0,K1171=0,L1171=0)</f>
        <v/>
      </c>
      <c r="N1171">
        <f>G1171&lt;=$T$6</f>
        <v/>
      </c>
      <c r="O1171">
        <f>G1171&lt;=$T$12</f>
        <v/>
      </c>
      <c r="P1171">
        <f>OR(AND(H1171&gt;=$T$4,K1171&lt;=$T$5,N1171),M1171)</f>
        <v/>
      </c>
      <c r="Q1171">
        <f>OR(AND(I1171&gt;=$T$10,K1171&lt;=$T$11,O1171),M1171)</f>
        <v/>
      </c>
    </row>
    <row r="1172">
      <c r="A1172">
        <f>Data!E1228</f>
        <v/>
      </c>
      <c r="B1172">
        <f>Data!G1228</f>
        <v/>
      </c>
      <c r="C1172">
        <f>Data!H1228</f>
        <v/>
      </c>
      <c r="D1172">
        <f>Data!I1228</f>
        <v/>
      </c>
      <c r="E1172">
        <f>Data!M1228</f>
        <v/>
      </c>
      <c r="F1172">
        <f>Data!O1228</f>
        <v/>
      </c>
      <c r="G1172">
        <f>E1172-F1172</f>
        <v/>
      </c>
      <c r="H1172">
        <f>Data!P1228</f>
        <v/>
      </c>
      <c r="I1172">
        <f>G1172+H1172</f>
        <v/>
      </c>
      <c r="J1172">
        <f>F1172+G1172+H1172</f>
        <v/>
      </c>
      <c r="K1172">
        <f>Data!R1228</f>
        <v/>
      </c>
      <c r="L1172">
        <f>Data!T1228</f>
        <v/>
      </c>
      <c r="M1172">
        <f>AND(E1172=0,F1172=0,G1172=0,H1172=0,I1172=0,J1172=0,K1172=0,L1172=0)</f>
        <v/>
      </c>
      <c r="N1172">
        <f>G1172&lt;=$T$6</f>
        <v/>
      </c>
      <c r="O1172">
        <f>G1172&lt;=$T$12</f>
        <v/>
      </c>
      <c r="P1172">
        <f>OR(AND(H1172&gt;=$T$4,K1172&lt;=$T$5,N1172),M1172)</f>
        <v/>
      </c>
      <c r="Q1172">
        <f>OR(AND(I1172&gt;=$T$10,K1172&lt;=$T$11,O1172),M1172)</f>
        <v/>
      </c>
    </row>
    <row r="1173">
      <c r="A1173">
        <f>Data!E1229</f>
        <v/>
      </c>
      <c r="B1173">
        <f>Data!G1229</f>
        <v/>
      </c>
      <c r="C1173">
        <f>Data!H1229</f>
        <v/>
      </c>
      <c r="D1173">
        <f>Data!I1229</f>
        <v/>
      </c>
      <c r="E1173">
        <f>Data!M1229</f>
        <v/>
      </c>
      <c r="F1173">
        <f>Data!O1229</f>
        <v/>
      </c>
      <c r="G1173">
        <f>E1173-F1173</f>
        <v/>
      </c>
      <c r="H1173">
        <f>Data!P1229</f>
        <v/>
      </c>
      <c r="I1173">
        <f>G1173+H1173</f>
        <v/>
      </c>
      <c r="J1173">
        <f>F1173+G1173+H1173</f>
        <v/>
      </c>
      <c r="K1173">
        <f>Data!R1229</f>
        <v/>
      </c>
      <c r="L1173">
        <f>Data!T1229</f>
        <v/>
      </c>
      <c r="M1173">
        <f>AND(E1173=0,F1173=0,G1173=0,H1173=0,I1173=0,J1173=0,K1173=0,L1173=0)</f>
        <v/>
      </c>
      <c r="N1173">
        <f>G1173&lt;=$T$6</f>
        <v/>
      </c>
      <c r="O1173">
        <f>G1173&lt;=$T$12</f>
        <v/>
      </c>
      <c r="P1173">
        <f>OR(AND(H1173&gt;=$T$4,K1173&lt;=$T$5,N1173),M1173)</f>
        <v/>
      </c>
      <c r="Q1173">
        <f>OR(AND(I1173&gt;=$T$10,K1173&lt;=$T$11,O1173),M1173)</f>
        <v/>
      </c>
    </row>
    <row r="1174">
      <c r="A1174">
        <f>Data!E1230</f>
        <v/>
      </c>
      <c r="B1174">
        <f>Data!G1230</f>
        <v/>
      </c>
      <c r="C1174">
        <f>Data!H1230</f>
        <v/>
      </c>
      <c r="D1174">
        <f>Data!I1230</f>
        <v/>
      </c>
      <c r="E1174">
        <f>Data!M1230</f>
        <v/>
      </c>
      <c r="F1174">
        <f>Data!O1230</f>
        <v/>
      </c>
      <c r="G1174">
        <f>E1174-F1174</f>
        <v/>
      </c>
      <c r="H1174">
        <f>Data!P1230</f>
        <v/>
      </c>
      <c r="I1174">
        <f>G1174+H1174</f>
        <v/>
      </c>
      <c r="J1174">
        <f>F1174+G1174+H1174</f>
        <v/>
      </c>
      <c r="K1174">
        <f>Data!R1230</f>
        <v/>
      </c>
      <c r="L1174">
        <f>Data!T1230</f>
        <v/>
      </c>
      <c r="M1174">
        <f>AND(E1174=0,F1174=0,G1174=0,H1174=0,I1174=0,J1174=0,K1174=0,L1174=0)</f>
        <v/>
      </c>
      <c r="N1174">
        <f>G1174&lt;=$T$6</f>
        <v/>
      </c>
      <c r="O1174">
        <f>G1174&lt;=$T$12</f>
        <v/>
      </c>
      <c r="P1174">
        <f>OR(AND(H1174&gt;=$T$4,K1174&lt;=$T$5,N1174),M1174)</f>
        <v/>
      </c>
      <c r="Q1174">
        <f>OR(AND(I1174&gt;=$T$10,K1174&lt;=$T$11,O1174),M1174)</f>
        <v/>
      </c>
    </row>
    <row r="1175">
      <c r="A1175">
        <f>Data!E1231</f>
        <v/>
      </c>
      <c r="B1175">
        <f>Data!G1231</f>
        <v/>
      </c>
      <c r="C1175">
        <f>Data!H1231</f>
        <v/>
      </c>
      <c r="D1175">
        <f>Data!I1231</f>
        <v/>
      </c>
      <c r="E1175">
        <f>Data!M1231</f>
        <v/>
      </c>
      <c r="F1175">
        <f>Data!O1231</f>
        <v/>
      </c>
      <c r="G1175">
        <f>E1175-F1175</f>
        <v/>
      </c>
      <c r="H1175">
        <f>Data!P1231</f>
        <v/>
      </c>
      <c r="I1175">
        <f>G1175+H1175</f>
        <v/>
      </c>
      <c r="J1175">
        <f>F1175+G1175+H1175</f>
        <v/>
      </c>
      <c r="K1175">
        <f>Data!R1231</f>
        <v/>
      </c>
      <c r="L1175">
        <f>Data!T1231</f>
        <v/>
      </c>
      <c r="M1175">
        <f>AND(E1175=0,F1175=0,G1175=0,H1175=0,I1175=0,J1175=0,K1175=0,L1175=0)</f>
        <v/>
      </c>
      <c r="N1175">
        <f>G1175&lt;=$T$6</f>
        <v/>
      </c>
      <c r="O1175">
        <f>G1175&lt;=$T$12</f>
        <v/>
      </c>
      <c r="P1175">
        <f>OR(AND(H1175&gt;=$T$4,K1175&lt;=$T$5,N1175),M1175)</f>
        <v/>
      </c>
      <c r="Q1175">
        <f>OR(AND(I1175&gt;=$T$10,K1175&lt;=$T$11,O1175),M1175)</f>
        <v/>
      </c>
    </row>
    <row r="1176">
      <c r="A1176">
        <f>Data!E1232</f>
        <v/>
      </c>
      <c r="B1176">
        <f>Data!G1232</f>
        <v/>
      </c>
      <c r="C1176">
        <f>Data!H1232</f>
        <v/>
      </c>
      <c r="D1176">
        <f>Data!I1232</f>
        <v/>
      </c>
      <c r="E1176">
        <f>Data!M1232</f>
        <v/>
      </c>
      <c r="F1176">
        <f>Data!O1232</f>
        <v/>
      </c>
      <c r="G1176">
        <f>E1176-F1176</f>
        <v/>
      </c>
      <c r="H1176">
        <f>Data!P1232</f>
        <v/>
      </c>
      <c r="I1176">
        <f>G1176+H1176</f>
        <v/>
      </c>
      <c r="J1176">
        <f>F1176+G1176+H1176</f>
        <v/>
      </c>
      <c r="K1176">
        <f>Data!R1232</f>
        <v/>
      </c>
      <c r="L1176">
        <f>Data!T1232</f>
        <v/>
      </c>
      <c r="M1176">
        <f>AND(E1176=0,F1176=0,G1176=0,H1176=0,I1176=0,J1176=0,K1176=0,L1176=0)</f>
        <v/>
      </c>
      <c r="N1176">
        <f>G1176&lt;=$T$6</f>
        <v/>
      </c>
      <c r="O1176">
        <f>G1176&lt;=$T$12</f>
        <v/>
      </c>
      <c r="P1176">
        <f>OR(AND(H1176&gt;=$T$4,K1176&lt;=$T$5,N1176),M1176)</f>
        <v/>
      </c>
      <c r="Q1176">
        <f>OR(AND(I1176&gt;=$T$10,K1176&lt;=$T$11,O1176),M1176)</f>
        <v/>
      </c>
    </row>
    <row r="1177">
      <c r="A1177">
        <f>Data!E1233</f>
        <v/>
      </c>
      <c r="B1177">
        <f>Data!G1233</f>
        <v/>
      </c>
      <c r="C1177">
        <f>Data!H1233</f>
        <v/>
      </c>
      <c r="D1177">
        <f>Data!I1233</f>
        <v/>
      </c>
      <c r="E1177">
        <f>Data!M1233</f>
        <v/>
      </c>
      <c r="F1177">
        <f>Data!O1233</f>
        <v/>
      </c>
      <c r="G1177">
        <f>E1177-F1177</f>
        <v/>
      </c>
      <c r="H1177">
        <f>Data!P1233</f>
        <v/>
      </c>
      <c r="I1177">
        <f>G1177+H1177</f>
        <v/>
      </c>
      <c r="J1177">
        <f>F1177+G1177+H1177</f>
        <v/>
      </c>
      <c r="K1177">
        <f>Data!R1233</f>
        <v/>
      </c>
      <c r="L1177">
        <f>Data!T1233</f>
        <v/>
      </c>
      <c r="M1177">
        <f>AND(E1177=0,F1177=0,G1177=0,H1177=0,I1177=0,J1177=0,K1177=0,L1177=0)</f>
        <v/>
      </c>
      <c r="N1177">
        <f>G1177&lt;=$T$6</f>
        <v/>
      </c>
      <c r="O1177">
        <f>G1177&lt;=$T$12</f>
        <v/>
      </c>
      <c r="P1177">
        <f>OR(AND(H1177&gt;=$T$4,K1177&lt;=$T$5,N1177),M1177)</f>
        <v/>
      </c>
      <c r="Q1177">
        <f>OR(AND(I1177&gt;=$T$10,K1177&lt;=$T$11,O1177),M1177)</f>
        <v/>
      </c>
    </row>
    <row r="1178">
      <c r="A1178">
        <f>Data!E1234</f>
        <v/>
      </c>
      <c r="B1178">
        <f>Data!G1234</f>
        <v/>
      </c>
      <c r="C1178">
        <f>Data!H1234</f>
        <v/>
      </c>
      <c r="D1178">
        <f>Data!I1234</f>
        <v/>
      </c>
      <c r="E1178">
        <f>Data!M1234</f>
        <v/>
      </c>
      <c r="F1178">
        <f>Data!O1234</f>
        <v/>
      </c>
      <c r="G1178">
        <f>E1178-F1178</f>
        <v/>
      </c>
      <c r="H1178">
        <f>Data!P1234</f>
        <v/>
      </c>
      <c r="I1178">
        <f>G1178+H1178</f>
        <v/>
      </c>
      <c r="J1178">
        <f>F1178+G1178+H1178</f>
        <v/>
      </c>
      <c r="K1178">
        <f>Data!R1234</f>
        <v/>
      </c>
      <c r="L1178">
        <f>Data!T1234</f>
        <v/>
      </c>
      <c r="M1178">
        <f>AND(E1178=0,F1178=0,G1178=0,H1178=0,I1178=0,J1178=0,K1178=0,L1178=0)</f>
        <v/>
      </c>
      <c r="N1178">
        <f>G1178&lt;=$T$6</f>
        <v/>
      </c>
      <c r="O1178">
        <f>G1178&lt;=$T$12</f>
        <v/>
      </c>
      <c r="P1178">
        <f>OR(AND(H1178&gt;=$T$4,K1178&lt;=$T$5,N1178),M1178)</f>
        <v/>
      </c>
      <c r="Q1178">
        <f>OR(AND(I1178&gt;=$T$10,K1178&lt;=$T$11,O1178),M1178)</f>
        <v/>
      </c>
    </row>
    <row r="1179">
      <c r="A1179">
        <f>Data!E1235</f>
        <v/>
      </c>
      <c r="B1179">
        <f>Data!G1235</f>
        <v/>
      </c>
      <c r="C1179">
        <f>Data!H1235</f>
        <v/>
      </c>
      <c r="D1179">
        <f>Data!I1235</f>
        <v/>
      </c>
      <c r="E1179">
        <f>Data!M1235</f>
        <v/>
      </c>
      <c r="F1179">
        <f>Data!O1235</f>
        <v/>
      </c>
      <c r="G1179">
        <f>E1179-F1179</f>
        <v/>
      </c>
      <c r="H1179">
        <f>Data!P1235</f>
        <v/>
      </c>
      <c r="I1179">
        <f>G1179+H1179</f>
        <v/>
      </c>
      <c r="J1179">
        <f>F1179+G1179+H1179</f>
        <v/>
      </c>
      <c r="K1179">
        <f>Data!R1235</f>
        <v/>
      </c>
      <c r="L1179">
        <f>Data!T1235</f>
        <v/>
      </c>
      <c r="M1179">
        <f>AND(E1179=0,F1179=0,G1179=0,H1179=0,I1179=0,J1179=0,K1179=0,L1179=0)</f>
        <v/>
      </c>
      <c r="N1179">
        <f>G1179&lt;=$T$6</f>
        <v/>
      </c>
      <c r="O1179">
        <f>G1179&lt;=$T$12</f>
        <v/>
      </c>
      <c r="P1179">
        <f>OR(AND(H1179&gt;=$T$4,K1179&lt;=$T$5,N1179),M1179)</f>
        <v/>
      </c>
      <c r="Q1179">
        <f>OR(AND(I1179&gt;=$T$10,K1179&lt;=$T$11,O1179),M1179)</f>
        <v/>
      </c>
    </row>
    <row r="1180">
      <c r="A1180">
        <f>Data!E1236</f>
        <v/>
      </c>
      <c r="B1180">
        <f>Data!G1236</f>
        <v/>
      </c>
      <c r="C1180">
        <f>Data!H1236</f>
        <v/>
      </c>
      <c r="D1180">
        <f>Data!I1236</f>
        <v/>
      </c>
      <c r="E1180">
        <f>Data!M1236</f>
        <v/>
      </c>
      <c r="F1180">
        <f>Data!O1236</f>
        <v/>
      </c>
      <c r="G1180">
        <f>E1180-F1180</f>
        <v/>
      </c>
      <c r="H1180">
        <f>Data!P1236</f>
        <v/>
      </c>
      <c r="I1180">
        <f>G1180+H1180</f>
        <v/>
      </c>
      <c r="J1180">
        <f>F1180+G1180+H1180</f>
        <v/>
      </c>
      <c r="K1180">
        <f>Data!R1236</f>
        <v/>
      </c>
      <c r="L1180">
        <f>Data!T1236</f>
        <v/>
      </c>
      <c r="M1180">
        <f>AND(E1180=0,F1180=0,G1180=0,H1180=0,I1180=0,J1180=0,K1180=0,L1180=0)</f>
        <v/>
      </c>
      <c r="N1180">
        <f>G1180&lt;=$T$6</f>
        <v/>
      </c>
      <c r="O1180">
        <f>G1180&lt;=$T$12</f>
        <v/>
      </c>
      <c r="P1180">
        <f>OR(AND(H1180&gt;=$T$4,K1180&lt;=$T$5,N1180),M1180)</f>
        <v/>
      </c>
      <c r="Q1180">
        <f>OR(AND(I1180&gt;=$T$10,K1180&lt;=$T$11,O1180),M1180)</f>
        <v/>
      </c>
    </row>
    <row r="1181">
      <c r="A1181">
        <f>Data!E1238</f>
        <v/>
      </c>
      <c r="B1181">
        <f>Data!G1238</f>
        <v/>
      </c>
      <c r="C1181">
        <f>Data!H1238</f>
        <v/>
      </c>
      <c r="D1181">
        <f>Data!I1238</f>
        <v/>
      </c>
      <c r="E1181">
        <f>Data!M1238</f>
        <v/>
      </c>
      <c r="F1181">
        <f>Data!O1238</f>
        <v/>
      </c>
      <c r="G1181">
        <f>E1181-F1181</f>
        <v/>
      </c>
      <c r="H1181">
        <f>Data!P1238</f>
        <v/>
      </c>
      <c r="I1181">
        <f>G1181+H1181</f>
        <v/>
      </c>
      <c r="J1181">
        <f>F1181+G1181+H1181</f>
        <v/>
      </c>
      <c r="K1181">
        <f>Data!R1238</f>
        <v/>
      </c>
      <c r="L1181">
        <f>Data!T1238</f>
        <v/>
      </c>
      <c r="M1181">
        <f>AND(E1181=0,F1181=0,G1181=0,H1181=0,I1181=0,J1181=0,K1181=0,L1181=0)</f>
        <v/>
      </c>
      <c r="N1181">
        <f>G1181&lt;=$T$6</f>
        <v/>
      </c>
      <c r="O1181">
        <f>G1181&lt;=$T$12</f>
        <v/>
      </c>
      <c r="P1181">
        <f>OR(AND(H1181&gt;=$T$4,K1181&lt;=$T$5,N1181),M1181)</f>
        <v/>
      </c>
      <c r="Q1181">
        <f>OR(AND(I1181&gt;=$T$10,K1181&lt;=$T$11,O1181),M1181)</f>
        <v/>
      </c>
    </row>
    <row r="1182">
      <c r="A1182">
        <f>Data!E1239</f>
        <v/>
      </c>
      <c r="B1182">
        <f>Data!G1239</f>
        <v/>
      </c>
      <c r="C1182">
        <f>Data!H1239</f>
        <v/>
      </c>
      <c r="D1182">
        <f>Data!I1239</f>
        <v/>
      </c>
      <c r="E1182">
        <f>Data!M1239</f>
        <v/>
      </c>
      <c r="F1182">
        <f>Data!O1239</f>
        <v/>
      </c>
      <c r="G1182">
        <f>E1182-F1182</f>
        <v/>
      </c>
      <c r="H1182">
        <f>Data!P1239</f>
        <v/>
      </c>
      <c r="I1182">
        <f>G1182+H1182</f>
        <v/>
      </c>
      <c r="J1182">
        <f>F1182+G1182+H1182</f>
        <v/>
      </c>
      <c r="K1182">
        <f>Data!R1239</f>
        <v/>
      </c>
      <c r="L1182">
        <f>Data!T1239</f>
        <v/>
      </c>
      <c r="M1182">
        <f>AND(E1182=0,F1182=0,G1182=0,H1182=0,I1182=0,J1182=0,K1182=0,L1182=0)</f>
        <v/>
      </c>
      <c r="N1182">
        <f>G1182&lt;=$T$6</f>
        <v/>
      </c>
      <c r="O1182">
        <f>G1182&lt;=$T$12</f>
        <v/>
      </c>
      <c r="P1182">
        <f>OR(AND(H1182&gt;=$T$4,K1182&lt;=$T$5,N1182),M1182)</f>
        <v/>
      </c>
      <c r="Q1182">
        <f>OR(AND(I1182&gt;=$T$10,K1182&lt;=$T$11,O1182),M1182)</f>
        <v/>
      </c>
    </row>
    <row r="1183">
      <c r="A1183">
        <f>Data!E1240</f>
        <v/>
      </c>
      <c r="B1183">
        <f>Data!G1240</f>
        <v/>
      </c>
      <c r="C1183">
        <f>Data!H1240</f>
        <v/>
      </c>
      <c r="D1183">
        <f>Data!I1240</f>
        <v/>
      </c>
      <c r="E1183">
        <f>Data!M1240</f>
        <v/>
      </c>
      <c r="F1183">
        <f>Data!O1240</f>
        <v/>
      </c>
      <c r="G1183">
        <f>E1183-F1183</f>
        <v/>
      </c>
      <c r="H1183">
        <f>Data!P1240</f>
        <v/>
      </c>
      <c r="I1183">
        <f>G1183+H1183</f>
        <v/>
      </c>
      <c r="J1183">
        <f>F1183+G1183+H1183</f>
        <v/>
      </c>
      <c r="K1183">
        <f>Data!R1240</f>
        <v/>
      </c>
      <c r="L1183">
        <f>Data!T1240</f>
        <v/>
      </c>
      <c r="M1183">
        <f>AND(E1183=0,F1183=0,G1183=0,H1183=0,I1183=0,J1183=0,K1183=0,L1183=0)</f>
        <v/>
      </c>
      <c r="N1183">
        <f>G1183&lt;=$T$6</f>
        <v/>
      </c>
      <c r="O1183">
        <f>G1183&lt;=$T$12</f>
        <v/>
      </c>
      <c r="P1183">
        <f>OR(AND(H1183&gt;=$T$4,K1183&lt;=$T$5,N1183),M1183)</f>
        <v/>
      </c>
      <c r="Q1183">
        <f>OR(AND(I1183&gt;=$T$10,K1183&lt;=$T$11,O1183),M1183)</f>
        <v/>
      </c>
    </row>
    <row r="1184">
      <c r="A1184">
        <f>Data!E1241</f>
        <v/>
      </c>
      <c r="B1184">
        <f>Data!G1241</f>
        <v/>
      </c>
      <c r="C1184">
        <f>Data!H1241</f>
        <v/>
      </c>
      <c r="D1184">
        <f>Data!I1241</f>
        <v/>
      </c>
      <c r="E1184">
        <f>Data!M1241</f>
        <v/>
      </c>
      <c r="F1184">
        <f>Data!O1241</f>
        <v/>
      </c>
      <c r="G1184">
        <f>E1184-F1184</f>
        <v/>
      </c>
      <c r="H1184">
        <f>Data!P1241</f>
        <v/>
      </c>
      <c r="I1184">
        <f>G1184+H1184</f>
        <v/>
      </c>
      <c r="J1184">
        <f>F1184+G1184+H1184</f>
        <v/>
      </c>
      <c r="K1184">
        <f>Data!R1241</f>
        <v/>
      </c>
      <c r="L1184">
        <f>Data!T1241</f>
        <v/>
      </c>
      <c r="M1184">
        <f>AND(E1184=0,F1184=0,G1184=0,H1184=0,I1184=0,J1184=0,K1184=0,L1184=0)</f>
        <v/>
      </c>
      <c r="N1184">
        <f>G1184&lt;=$T$6</f>
        <v/>
      </c>
      <c r="O1184">
        <f>G1184&lt;=$T$12</f>
        <v/>
      </c>
      <c r="P1184">
        <f>OR(AND(H1184&gt;=$T$4,K1184&lt;=$T$5,N1184),M1184)</f>
        <v/>
      </c>
      <c r="Q1184">
        <f>OR(AND(I1184&gt;=$T$10,K1184&lt;=$T$11,O1184),M1184)</f>
        <v/>
      </c>
    </row>
    <row r="1185">
      <c r="A1185">
        <f>Data!E1242</f>
        <v/>
      </c>
      <c r="B1185">
        <f>Data!G1242</f>
        <v/>
      </c>
      <c r="C1185">
        <f>Data!H1242</f>
        <v/>
      </c>
      <c r="D1185">
        <f>Data!I1242</f>
        <v/>
      </c>
      <c r="E1185">
        <f>Data!M1242</f>
        <v/>
      </c>
      <c r="F1185">
        <f>Data!O1242</f>
        <v/>
      </c>
      <c r="G1185">
        <f>E1185-F1185</f>
        <v/>
      </c>
      <c r="H1185">
        <f>Data!P1242</f>
        <v/>
      </c>
      <c r="I1185">
        <f>G1185+H1185</f>
        <v/>
      </c>
      <c r="J1185">
        <f>F1185+G1185+H1185</f>
        <v/>
      </c>
      <c r="K1185">
        <f>Data!R1242</f>
        <v/>
      </c>
      <c r="L1185">
        <f>Data!T1242</f>
        <v/>
      </c>
      <c r="M1185">
        <f>AND(E1185=0,F1185=0,G1185=0,H1185=0,I1185=0,J1185=0,K1185=0,L1185=0)</f>
        <v/>
      </c>
      <c r="N1185">
        <f>G1185&lt;=$T$6</f>
        <v/>
      </c>
      <c r="O1185">
        <f>G1185&lt;=$T$12</f>
        <v/>
      </c>
      <c r="P1185">
        <f>OR(AND(H1185&gt;=$T$4,K1185&lt;=$T$5,N1185),M1185)</f>
        <v/>
      </c>
      <c r="Q1185">
        <f>OR(AND(I1185&gt;=$T$10,K1185&lt;=$T$11,O1185),M1185)</f>
        <v/>
      </c>
    </row>
    <row r="1186">
      <c r="A1186">
        <f>Data!E1243</f>
        <v/>
      </c>
      <c r="B1186">
        <f>Data!G1243</f>
        <v/>
      </c>
      <c r="C1186">
        <f>Data!H1243</f>
        <v/>
      </c>
      <c r="D1186">
        <f>Data!I1243</f>
        <v/>
      </c>
      <c r="E1186">
        <f>Data!M1243</f>
        <v/>
      </c>
      <c r="F1186">
        <f>Data!O1243</f>
        <v/>
      </c>
      <c r="G1186">
        <f>E1186-F1186</f>
        <v/>
      </c>
      <c r="H1186">
        <f>Data!P1243</f>
        <v/>
      </c>
      <c r="I1186">
        <f>G1186+H1186</f>
        <v/>
      </c>
      <c r="J1186">
        <f>F1186+G1186+H1186</f>
        <v/>
      </c>
      <c r="K1186">
        <f>Data!R1243</f>
        <v/>
      </c>
      <c r="L1186">
        <f>Data!T1243</f>
        <v/>
      </c>
      <c r="M1186">
        <f>AND(E1186=0,F1186=0,G1186=0,H1186=0,I1186=0,J1186=0,K1186=0,L1186=0)</f>
        <v/>
      </c>
      <c r="N1186">
        <f>G1186&lt;=$T$6</f>
        <v/>
      </c>
      <c r="O1186">
        <f>G1186&lt;=$T$12</f>
        <v/>
      </c>
      <c r="P1186">
        <f>OR(AND(H1186&gt;=$T$4,K1186&lt;=$T$5,N1186),M1186)</f>
        <v/>
      </c>
      <c r="Q1186">
        <f>OR(AND(I1186&gt;=$T$10,K1186&lt;=$T$11,O1186),M1186)</f>
        <v/>
      </c>
    </row>
    <row r="1187">
      <c r="A1187">
        <f>Data!E1244</f>
        <v/>
      </c>
      <c r="B1187">
        <f>Data!G1244</f>
        <v/>
      </c>
      <c r="C1187">
        <f>Data!H1244</f>
        <v/>
      </c>
      <c r="D1187">
        <f>Data!I1244</f>
        <v/>
      </c>
      <c r="E1187">
        <f>Data!M1244</f>
        <v/>
      </c>
      <c r="F1187">
        <f>Data!O1244</f>
        <v/>
      </c>
      <c r="G1187">
        <f>E1187-F1187</f>
        <v/>
      </c>
      <c r="H1187">
        <f>Data!P1244</f>
        <v/>
      </c>
      <c r="I1187">
        <f>G1187+H1187</f>
        <v/>
      </c>
      <c r="J1187">
        <f>F1187+G1187+H1187</f>
        <v/>
      </c>
      <c r="K1187">
        <f>Data!R1244</f>
        <v/>
      </c>
      <c r="L1187">
        <f>Data!T1244</f>
        <v/>
      </c>
      <c r="M1187">
        <f>AND(E1187=0,F1187=0,G1187=0,H1187=0,I1187=0,J1187=0,K1187=0,L1187=0)</f>
        <v/>
      </c>
      <c r="N1187">
        <f>G1187&lt;=$T$6</f>
        <v/>
      </c>
      <c r="O1187">
        <f>G1187&lt;=$T$12</f>
        <v/>
      </c>
      <c r="P1187">
        <f>OR(AND(H1187&gt;=$T$4,K1187&lt;=$T$5,N1187),M1187)</f>
        <v/>
      </c>
      <c r="Q1187">
        <f>OR(AND(I1187&gt;=$T$10,K1187&lt;=$T$11,O1187),M1187)</f>
        <v/>
      </c>
    </row>
    <row r="1188">
      <c r="A1188">
        <f>Data!E1245</f>
        <v/>
      </c>
      <c r="B1188">
        <f>Data!G1245</f>
        <v/>
      </c>
      <c r="C1188">
        <f>Data!H1245</f>
        <v/>
      </c>
      <c r="D1188">
        <f>Data!I1245</f>
        <v/>
      </c>
      <c r="E1188">
        <f>Data!M1245</f>
        <v/>
      </c>
      <c r="F1188">
        <f>Data!O1245</f>
        <v/>
      </c>
      <c r="G1188">
        <f>E1188-F1188</f>
        <v/>
      </c>
      <c r="H1188">
        <f>Data!P1245</f>
        <v/>
      </c>
      <c r="I1188">
        <f>G1188+H1188</f>
        <v/>
      </c>
      <c r="J1188">
        <f>F1188+G1188+H1188</f>
        <v/>
      </c>
      <c r="K1188">
        <f>Data!R1245</f>
        <v/>
      </c>
      <c r="L1188">
        <f>Data!T1245</f>
        <v/>
      </c>
      <c r="M1188">
        <f>AND(E1188=0,F1188=0,G1188=0,H1188=0,I1188=0,J1188=0,K1188=0,L1188=0)</f>
        <v/>
      </c>
      <c r="N1188">
        <f>G1188&lt;=$T$6</f>
        <v/>
      </c>
      <c r="O1188">
        <f>G1188&lt;=$T$12</f>
        <v/>
      </c>
      <c r="P1188">
        <f>OR(AND(H1188&gt;=$T$4,K1188&lt;=$T$5,N1188),M1188)</f>
        <v/>
      </c>
      <c r="Q1188">
        <f>OR(AND(I1188&gt;=$T$10,K1188&lt;=$T$11,O1188),M1188)</f>
        <v/>
      </c>
    </row>
    <row r="1189">
      <c r="A1189">
        <f>Data!E1246</f>
        <v/>
      </c>
      <c r="B1189">
        <f>Data!G1246</f>
        <v/>
      </c>
      <c r="C1189">
        <f>Data!H1246</f>
        <v/>
      </c>
      <c r="D1189">
        <f>Data!I1246</f>
        <v/>
      </c>
      <c r="E1189">
        <f>Data!M1246</f>
        <v/>
      </c>
      <c r="F1189">
        <f>Data!O1246</f>
        <v/>
      </c>
      <c r="G1189">
        <f>E1189-F1189</f>
        <v/>
      </c>
      <c r="H1189">
        <f>Data!P1246</f>
        <v/>
      </c>
      <c r="I1189">
        <f>G1189+H1189</f>
        <v/>
      </c>
      <c r="J1189">
        <f>F1189+G1189+H1189</f>
        <v/>
      </c>
      <c r="K1189">
        <f>Data!R1246</f>
        <v/>
      </c>
      <c r="L1189">
        <f>Data!T1246</f>
        <v/>
      </c>
      <c r="M1189">
        <f>AND(E1189=0,F1189=0,G1189=0,H1189=0,I1189=0,J1189=0,K1189=0,L1189=0)</f>
        <v/>
      </c>
      <c r="N1189">
        <f>G1189&lt;=$T$6</f>
        <v/>
      </c>
      <c r="O1189">
        <f>G1189&lt;=$T$12</f>
        <v/>
      </c>
      <c r="P1189">
        <f>OR(AND(H1189&gt;=$T$4,K1189&lt;=$T$5,N1189),M1189)</f>
        <v/>
      </c>
      <c r="Q1189">
        <f>OR(AND(I1189&gt;=$T$10,K1189&lt;=$T$11,O1189),M1189)</f>
        <v/>
      </c>
    </row>
    <row r="1190">
      <c r="A1190">
        <f>Data!E1247</f>
        <v/>
      </c>
      <c r="B1190">
        <f>Data!G1247</f>
        <v/>
      </c>
      <c r="C1190">
        <f>Data!H1247</f>
        <v/>
      </c>
      <c r="D1190">
        <f>Data!I1247</f>
        <v/>
      </c>
      <c r="E1190">
        <f>Data!M1247</f>
        <v/>
      </c>
      <c r="F1190">
        <f>Data!O1247</f>
        <v/>
      </c>
      <c r="G1190">
        <f>E1190-F1190</f>
        <v/>
      </c>
      <c r="H1190">
        <f>Data!P1247</f>
        <v/>
      </c>
      <c r="I1190">
        <f>G1190+H1190</f>
        <v/>
      </c>
      <c r="J1190">
        <f>F1190+G1190+H1190</f>
        <v/>
      </c>
      <c r="K1190">
        <f>Data!R1247</f>
        <v/>
      </c>
      <c r="L1190">
        <f>Data!T1247</f>
        <v/>
      </c>
      <c r="M1190">
        <f>AND(E1190=0,F1190=0,G1190=0,H1190=0,I1190=0,J1190=0,K1190=0,L1190=0)</f>
        <v/>
      </c>
      <c r="N1190">
        <f>G1190&lt;=$T$6</f>
        <v/>
      </c>
      <c r="O1190">
        <f>G1190&lt;=$T$12</f>
        <v/>
      </c>
      <c r="P1190">
        <f>OR(AND(H1190&gt;=$T$4,K1190&lt;=$T$5,N1190),M1190)</f>
        <v/>
      </c>
      <c r="Q1190">
        <f>OR(AND(I1190&gt;=$T$10,K1190&lt;=$T$11,O1190),M1190)</f>
        <v/>
      </c>
    </row>
    <row r="1191">
      <c r="A1191">
        <f>Data!E1248</f>
        <v/>
      </c>
      <c r="B1191">
        <f>Data!G1248</f>
        <v/>
      </c>
      <c r="C1191">
        <f>Data!H1248</f>
        <v/>
      </c>
      <c r="D1191">
        <f>Data!I1248</f>
        <v/>
      </c>
      <c r="E1191">
        <f>Data!M1248</f>
        <v/>
      </c>
      <c r="F1191">
        <f>Data!O1248</f>
        <v/>
      </c>
      <c r="G1191">
        <f>E1191-F1191</f>
        <v/>
      </c>
      <c r="H1191">
        <f>Data!P1248</f>
        <v/>
      </c>
      <c r="I1191">
        <f>G1191+H1191</f>
        <v/>
      </c>
      <c r="J1191">
        <f>F1191+G1191+H1191</f>
        <v/>
      </c>
      <c r="K1191">
        <f>Data!R1248</f>
        <v/>
      </c>
      <c r="L1191">
        <f>Data!T1248</f>
        <v/>
      </c>
      <c r="M1191">
        <f>AND(E1191=0,F1191=0,G1191=0,H1191=0,I1191=0,J1191=0,K1191=0,L1191=0)</f>
        <v/>
      </c>
      <c r="N1191">
        <f>G1191&lt;=$T$6</f>
        <v/>
      </c>
      <c r="O1191">
        <f>G1191&lt;=$T$12</f>
        <v/>
      </c>
      <c r="P1191">
        <f>OR(AND(H1191&gt;=$T$4,K1191&lt;=$T$5,N1191),M1191)</f>
        <v/>
      </c>
      <c r="Q1191">
        <f>OR(AND(I1191&gt;=$T$10,K1191&lt;=$T$11,O1191),M1191)</f>
        <v/>
      </c>
    </row>
    <row r="1192">
      <c r="A1192">
        <f>Data!E1249</f>
        <v/>
      </c>
      <c r="B1192">
        <f>Data!G1249</f>
        <v/>
      </c>
      <c r="C1192">
        <f>Data!H1249</f>
        <v/>
      </c>
      <c r="D1192">
        <f>Data!I1249</f>
        <v/>
      </c>
      <c r="E1192">
        <f>Data!M1249</f>
        <v/>
      </c>
      <c r="F1192">
        <f>Data!O1249</f>
        <v/>
      </c>
      <c r="G1192">
        <f>E1192-F1192</f>
        <v/>
      </c>
      <c r="H1192">
        <f>Data!P1249</f>
        <v/>
      </c>
      <c r="I1192">
        <f>G1192+H1192</f>
        <v/>
      </c>
      <c r="J1192">
        <f>F1192+G1192+H1192</f>
        <v/>
      </c>
      <c r="K1192">
        <f>Data!R1249</f>
        <v/>
      </c>
      <c r="L1192">
        <f>Data!T1249</f>
        <v/>
      </c>
      <c r="M1192">
        <f>AND(E1192=0,F1192=0,G1192=0,H1192=0,I1192=0,J1192=0,K1192=0,L1192=0)</f>
        <v/>
      </c>
      <c r="N1192">
        <f>G1192&lt;=$T$6</f>
        <v/>
      </c>
      <c r="O1192">
        <f>G1192&lt;=$T$12</f>
        <v/>
      </c>
      <c r="P1192">
        <f>OR(AND(H1192&gt;=$T$4,K1192&lt;=$T$5,N1192),M1192)</f>
        <v/>
      </c>
      <c r="Q1192">
        <f>OR(AND(I1192&gt;=$T$10,K1192&lt;=$T$11,O1192),M1192)</f>
        <v/>
      </c>
    </row>
    <row r="1193">
      <c r="A1193">
        <f>Data!E1250</f>
        <v/>
      </c>
      <c r="B1193">
        <f>Data!G1250</f>
        <v/>
      </c>
      <c r="C1193">
        <f>Data!H1250</f>
        <v/>
      </c>
      <c r="D1193">
        <f>Data!I1250</f>
        <v/>
      </c>
      <c r="E1193">
        <f>Data!M1250</f>
        <v/>
      </c>
      <c r="F1193">
        <f>Data!O1250</f>
        <v/>
      </c>
      <c r="G1193">
        <f>E1193-F1193</f>
        <v/>
      </c>
      <c r="H1193">
        <f>Data!P1250</f>
        <v/>
      </c>
      <c r="I1193">
        <f>G1193+H1193</f>
        <v/>
      </c>
      <c r="J1193">
        <f>F1193+G1193+H1193</f>
        <v/>
      </c>
      <c r="K1193">
        <f>Data!R1250</f>
        <v/>
      </c>
      <c r="L1193">
        <f>Data!T1250</f>
        <v/>
      </c>
      <c r="M1193">
        <f>AND(E1193=0,F1193=0,G1193=0,H1193=0,I1193=0,J1193=0,K1193=0,L1193=0)</f>
        <v/>
      </c>
      <c r="N1193">
        <f>G1193&lt;=$T$6</f>
        <v/>
      </c>
      <c r="O1193">
        <f>G1193&lt;=$T$12</f>
        <v/>
      </c>
      <c r="P1193">
        <f>OR(AND(H1193&gt;=$T$4,K1193&lt;=$T$5,N1193),M1193)</f>
        <v/>
      </c>
      <c r="Q1193">
        <f>OR(AND(I1193&gt;=$T$10,K1193&lt;=$T$11,O1193),M1193)</f>
        <v/>
      </c>
    </row>
    <row r="1194">
      <c r="A1194">
        <f>Data!E1251</f>
        <v/>
      </c>
      <c r="B1194">
        <f>Data!G1251</f>
        <v/>
      </c>
      <c r="C1194">
        <f>Data!H1251</f>
        <v/>
      </c>
      <c r="D1194">
        <f>Data!I1251</f>
        <v/>
      </c>
      <c r="E1194">
        <f>Data!M1251</f>
        <v/>
      </c>
      <c r="F1194">
        <f>Data!O1251</f>
        <v/>
      </c>
      <c r="G1194">
        <f>E1194-F1194</f>
        <v/>
      </c>
      <c r="H1194">
        <f>Data!P1251</f>
        <v/>
      </c>
      <c r="I1194">
        <f>G1194+H1194</f>
        <v/>
      </c>
      <c r="J1194">
        <f>F1194+G1194+H1194</f>
        <v/>
      </c>
      <c r="K1194">
        <f>Data!R1251</f>
        <v/>
      </c>
      <c r="L1194">
        <f>Data!T1251</f>
        <v/>
      </c>
      <c r="M1194">
        <f>AND(E1194=0,F1194=0,G1194=0,H1194=0,I1194=0,J1194=0,K1194=0,L1194=0)</f>
        <v/>
      </c>
      <c r="N1194">
        <f>G1194&lt;=$T$6</f>
        <v/>
      </c>
      <c r="O1194">
        <f>G1194&lt;=$T$12</f>
        <v/>
      </c>
      <c r="P1194">
        <f>OR(AND(H1194&gt;=$T$4,K1194&lt;=$T$5,N1194),M1194)</f>
        <v/>
      </c>
      <c r="Q1194">
        <f>OR(AND(I1194&gt;=$T$10,K1194&lt;=$T$11,O1194),M1194)</f>
        <v/>
      </c>
    </row>
    <row r="1195">
      <c r="A1195">
        <f>Data!E1252</f>
        <v/>
      </c>
      <c r="B1195">
        <f>Data!G1252</f>
        <v/>
      </c>
      <c r="C1195">
        <f>Data!H1252</f>
        <v/>
      </c>
      <c r="D1195">
        <f>Data!I1252</f>
        <v/>
      </c>
      <c r="E1195">
        <f>Data!M1252</f>
        <v/>
      </c>
      <c r="F1195">
        <f>Data!O1252</f>
        <v/>
      </c>
      <c r="G1195">
        <f>E1195-F1195</f>
        <v/>
      </c>
      <c r="H1195">
        <f>Data!P1252</f>
        <v/>
      </c>
      <c r="I1195">
        <f>G1195+H1195</f>
        <v/>
      </c>
      <c r="J1195">
        <f>F1195+G1195+H1195</f>
        <v/>
      </c>
      <c r="K1195">
        <f>Data!R1252</f>
        <v/>
      </c>
      <c r="L1195">
        <f>Data!T1252</f>
        <v/>
      </c>
      <c r="M1195">
        <f>AND(E1195=0,F1195=0,G1195=0,H1195=0,I1195=0,J1195=0,K1195=0,L1195=0)</f>
        <v/>
      </c>
      <c r="N1195">
        <f>G1195&lt;=$T$6</f>
        <v/>
      </c>
      <c r="O1195">
        <f>G1195&lt;=$T$12</f>
        <v/>
      </c>
      <c r="P1195">
        <f>OR(AND(H1195&gt;=$T$4,K1195&lt;=$T$5,N1195),M1195)</f>
        <v/>
      </c>
      <c r="Q1195">
        <f>OR(AND(I1195&gt;=$T$10,K1195&lt;=$T$11,O1195),M1195)</f>
        <v/>
      </c>
    </row>
    <row r="1196">
      <c r="A1196">
        <f>Data!E1254</f>
        <v/>
      </c>
      <c r="B1196">
        <f>Data!G1254</f>
        <v/>
      </c>
      <c r="C1196">
        <f>Data!H1254</f>
        <v/>
      </c>
      <c r="D1196">
        <f>Data!I1254</f>
        <v/>
      </c>
      <c r="E1196">
        <f>Data!M1254</f>
        <v/>
      </c>
      <c r="F1196">
        <f>Data!O1254</f>
        <v/>
      </c>
      <c r="G1196">
        <f>E1196-F1196</f>
        <v/>
      </c>
      <c r="H1196">
        <f>Data!P1254</f>
        <v/>
      </c>
      <c r="I1196">
        <f>G1196+H1196</f>
        <v/>
      </c>
      <c r="J1196">
        <f>F1196+G1196+H1196</f>
        <v/>
      </c>
      <c r="K1196">
        <f>Data!R1254</f>
        <v/>
      </c>
      <c r="L1196">
        <f>Data!T1254</f>
        <v/>
      </c>
      <c r="M1196">
        <f>AND(E1196=0,F1196=0,G1196=0,H1196=0,I1196=0,J1196=0,K1196=0,L1196=0)</f>
        <v/>
      </c>
      <c r="N1196">
        <f>G1196&lt;=$T$6</f>
        <v/>
      </c>
      <c r="O1196">
        <f>G1196&lt;=$T$12</f>
        <v/>
      </c>
      <c r="P1196">
        <f>OR(AND(H1196&gt;=$T$4,K1196&lt;=$T$5,N1196),M1196)</f>
        <v/>
      </c>
      <c r="Q1196">
        <f>OR(AND(I1196&gt;=$T$10,K1196&lt;=$T$11,O1196),M1196)</f>
        <v/>
      </c>
    </row>
    <row r="1197">
      <c r="A1197">
        <f>Data!E1255</f>
        <v/>
      </c>
      <c r="B1197">
        <f>Data!G1255</f>
        <v/>
      </c>
      <c r="C1197">
        <f>Data!H1255</f>
        <v/>
      </c>
      <c r="D1197">
        <f>Data!I1255</f>
        <v/>
      </c>
      <c r="E1197">
        <f>Data!M1255</f>
        <v/>
      </c>
      <c r="F1197">
        <f>Data!O1255</f>
        <v/>
      </c>
      <c r="G1197">
        <f>E1197-F1197</f>
        <v/>
      </c>
      <c r="H1197">
        <f>Data!P1255</f>
        <v/>
      </c>
      <c r="I1197">
        <f>G1197+H1197</f>
        <v/>
      </c>
      <c r="J1197">
        <f>F1197+G1197+H1197</f>
        <v/>
      </c>
      <c r="K1197">
        <f>Data!R1255</f>
        <v/>
      </c>
      <c r="L1197">
        <f>Data!T1255</f>
        <v/>
      </c>
      <c r="M1197">
        <f>AND(E1197=0,F1197=0,G1197=0,H1197=0,I1197=0,J1197=0,K1197=0,L1197=0)</f>
        <v/>
      </c>
      <c r="N1197">
        <f>G1197&lt;=$T$6</f>
        <v/>
      </c>
      <c r="O1197">
        <f>G1197&lt;=$T$12</f>
        <v/>
      </c>
      <c r="P1197">
        <f>OR(AND(H1197&gt;=$T$4,K1197&lt;=$T$5,N1197),M1197)</f>
        <v/>
      </c>
      <c r="Q1197">
        <f>OR(AND(I1197&gt;=$T$10,K1197&lt;=$T$11,O1197),M1197)</f>
        <v/>
      </c>
    </row>
    <row r="1198">
      <c r="A1198">
        <f>Data!E1256</f>
        <v/>
      </c>
      <c r="B1198">
        <f>Data!G1256</f>
        <v/>
      </c>
      <c r="C1198">
        <f>Data!H1256</f>
        <v/>
      </c>
      <c r="D1198">
        <f>Data!I1256</f>
        <v/>
      </c>
      <c r="E1198">
        <f>Data!M1256</f>
        <v/>
      </c>
      <c r="F1198">
        <f>Data!O1256</f>
        <v/>
      </c>
      <c r="G1198">
        <f>E1198-F1198</f>
        <v/>
      </c>
      <c r="H1198">
        <f>Data!P1256</f>
        <v/>
      </c>
      <c r="I1198">
        <f>G1198+H1198</f>
        <v/>
      </c>
      <c r="J1198">
        <f>F1198+G1198+H1198</f>
        <v/>
      </c>
      <c r="K1198">
        <f>Data!R1256</f>
        <v/>
      </c>
      <c r="L1198">
        <f>Data!T1256</f>
        <v/>
      </c>
      <c r="M1198">
        <f>AND(E1198=0,F1198=0,G1198=0,H1198=0,I1198=0,J1198=0,K1198=0,L1198=0)</f>
        <v/>
      </c>
      <c r="N1198">
        <f>G1198&lt;=$T$6</f>
        <v/>
      </c>
      <c r="O1198">
        <f>G1198&lt;=$T$12</f>
        <v/>
      </c>
      <c r="P1198">
        <f>OR(AND(H1198&gt;=$T$4,K1198&lt;=$T$5,N1198),M1198)</f>
        <v/>
      </c>
      <c r="Q1198">
        <f>OR(AND(I1198&gt;=$T$10,K1198&lt;=$T$11,O1198),M1198)</f>
        <v/>
      </c>
    </row>
    <row r="1199">
      <c r="A1199">
        <f>Data!E1257</f>
        <v/>
      </c>
      <c r="B1199">
        <f>Data!G1257</f>
        <v/>
      </c>
      <c r="C1199">
        <f>Data!H1257</f>
        <v/>
      </c>
      <c r="D1199">
        <f>Data!I1257</f>
        <v/>
      </c>
      <c r="E1199">
        <f>Data!M1257</f>
        <v/>
      </c>
      <c r="F1199">
        <f>Data!O1257</f>
        <v/>
      </c>
      <c r="G1199">
        <f>E1199-F1199</f>
        <v/>
      </c>
      <c r="H1199">
        <f>Data!P1257</f>
        <v/>
      </c>
      <c r="I1199">
        <f>G1199+H1199</f>
        <v/>
      </c>
      <c r="J1199">
        <f>F1199+G1199+H1199</f>
        <v/>
      </c>
      <c r="K1199">
        <f>Data!R1257</f>
        <v/>
      </c>
      <c r="L1199">
        <f>Data!T1257</f>
        <v/>
      </c>
      <c r="M1199">
        <f>AND(E1199=0,F1199=0,G1199=0,H1199=0,I1199=0,J1199=0,K1199=0,L1199=0)</f>
        <v/>
      </c>
      <c r="N1199">
        <f>G1199&lt;=$T$6</f>
        <v/>
      </c>
      <c r="O1199">
        <f>G1199&lt;=$T$12</f>
        <v/>
      </c>
      <c r="P1199">
        <f>OR(AND(H1199&gt;=$T$4,K1199&lt;=$T$5,N1199),M1199)</f>
        <v/>
      </c>
      <c r="Q1199">
        <f>OR(AND(I1199&gt;=$T$10,K1199&lt;=$T$11,O1199),M1199)</f>
        <v/>
      </c>
    </row>
    <row r="1200">
      <c r="A1200">
        <f>Data!E1258</f>
        <v/>
      </c>
      <c r="B1200">
        <f>Data!G1258</f>
        <v/>
      </c>
      <c r="C1200">
        <f>Data!H1258</f>
        <v/>
      </c>
      <c r="D1200">
        <f>Data!I1258</f>
        <v/>
      </c>
      <c r="E1200">
        <f>Data!M1258</f>
        <v/>
      </c>
      <c r="F1200">
        <f>Data!O1258</f>
        <v/>
      </c>
      <c r="G1200">
        <f>E1200-F1200</f>
        <v/>
      </c>
      <c r="H1200">
        <f>Data!P1258</f>
        <v/>
      </c>
      <c r="I1200">
        <f>G1200+H1200</f>
        <v/>
      </c>
      <c r="J1200">
        <f>F1200+G1200+H1200</f>
        <v/>
      </c>
      <c r="K1200">
        <f>Data!R1258</f>
        <v/>
      </c>
      <c r="L1200">
        <f>Data!T1258</f>
        <v/>
      </c>
      <c r="M1200">
        <f>AND(E1200=0,F1200=0,G1200=0,H1200=0,I1200=0,J1200=0,K1200=0,L1200=0)</f>
        <v/>
      </c>
      <c r="N1200">
        <f>G1200&lt;=$T$6</f>
        <v/>
      </c>
      <c r="O1200">
        <f>G1200&lt;=$T$12</f>
        <v/>
      </c>
      <c r="P1200">
        <f>OR(AND(H1200&gt;=$T$4,K1200&lt;=$T$5,N1200),M1200)</f>
        <v/>
      </c>
      <c r="Q1200">
        <f>OR(AND(I1200&gt;=$T$10,K1200&lt;=$T$11,O1200),M1200)</f>
        <v/>
      </c>
    </row>
    <row r="1201">
      <c r="A1201">
        <f>Data!E1259</f>
        <v/>
      </c>
      <c r="B1201">
        <f>Data!G1259</f>
        <v/>
      </c>
      <c r="C1201">
        <f>Data!H1259</f>
        <v/>
      </c>
      <c r="D1201">
        <f>Data!I1259</f>
        <v/>
      </c>
      <c r="E1201">
        <f>Data!M1259</f>
        <v/>
      </c>
      <c r="F1201">
        <f>Data!O1259</f>
        <v/>
      </c>
      <c r="G1201">
        <f>E1201-F1201</f>
        <v/>
      </c>
      <c r="H1201">
        <f>Data!P1259</f>
        <v/>
      </c>
      <c r="I1201">
        <f>G1201+H1201</f>
        <v/>
      </c>
      <c r="J1201">
        <f>F1201+G1201+H1201</f>
        <v/>
      </c>
      <c r="K1201">
        <f>Data!R1259</f>
        <v/>
      </c>
      <c r="L1201">
        <f>Data!T1259</f>
        <v/>
      </c>
      <c r="M1201">
        <f>AND(E1201=0,F1201=0,G1201=0,H1201=0,I1201=0,J1201=0,K1201=0,L1201=0)</f>
        <v/>
      </c>
      <c r="N1201">
        <f>G1201&lt;=$T$6</f>
        <v/>
      </c>
      <c r="O1201">
        <f>G1201&lt;=$T$12</f>
        <v/>
      </c>
      <c r="P1201">
        <f>OR(AND(H1201&gt;=$T$4,K1201&lt;=$T$5,N1201),M1201)</f>
        <v/>
      </c>
      <c r="Q1201">
        <f>OR(AND(I1201&gt;=$T$10,K1201&lt;=$T$11,O1201),M1201)</f>
        <v/>
      </c>
    </row>
    <row r="1202">
      <c r="A1202">
        <f>Data!E1260</f>
        <v/>
      </c>
      <c r="B1202">
        <f>Data!G1260</f>
        <v/>
      </c>
      <c r="C1202">
        <f>Data!H1260</f>
        <v/>
      </c>
      <c r="D1202">
        <f>Data!I1260</f>
        <v/>
      </c>
      <c r="E1202">
        <f>Data!M1260</f>
        <v/>
      </c>
      <c r="F1202">
        <f>Data!O1260</f>
        <v/>
      </c>
      <c r="G1202">
        <f>E1202-F1202</f>
        <v/>
      </c>
      <c r="H1202">
        <f>Data!P1260</f>
        <v/>
      </c>
      <c r="I1202">
        <f>G1202+H1202</f>
        <v/>
      </c>
      <c r="J1202">
        <f>F1202+G1202+H1202</f>
        <v/>
      </c>
      <c r="K1202">
        <f>Data!R1260</f>
        <v/>
      </c>
      <c r="L1202">
        <f>Data!T1260</f>
        <v/>
      </c>
      <c r="M1202">
        <f>AND(E1202=0,F1202=0,G1202=0,H1202=0,I1202=0,J1202=0,K1202=0,L1202=0)</f>
        <v/>
      </c>
      <c r="N1202">
        <f>G1202&lt;=$T$6</f>
        <v/>
      </c>
      <c r="O1202">
        <f>G1202&lt;=$T$12</f>
        <v/>
      </c>
      <c r="P1202">
        <f>OR(AND(H1202&gt;=$T$4,K1202&lt;=$T$5,N1202),M1202)</f>
        <v/>
      </c>
      <c r="Q1202">
        <f>OR(AND(I1202&gt;=$T$10,K1202&lt;=$T$11,O1202),M1202)</f>
        <v/>
      </c>
    </row>
    <row r="1203">
      <c r="A1203">
        <f>Data!E1261</f>
        <v/>
      </c>
      <c r="B1203">
        <f>Data!G1261</f>
        <v/>
      </c>
      <c r="C1203">
        <f>Data!H1261</f>
        <v/>
      </c>
      <c r="D1203">
        <f>Data!I1261</f>
        <v/>
      </c>
      <c r="E1203">
        <f>Data!M1261</f>
        <v/>
      </c>
      <c r="F1203">
        <f>Data!O1261</f>
        <v/>
      </c>
      <c r="G1203">
        <f>E1203-F1203</f>
        <v/>
      </c>
      <c r="H1203">
        <f>Data!P1261</f>
        <v/>
      </c>
      <c r="I1203">
        <f>G1203+H1203</f>
        <v/>
      </c>
      <c r="J1203">
        <f>F1203+G1203+H1203</f>
        <v/>
      </c>
      <c r="K1203">
        <f>Data!R1261</f>
        <v/>
      </c>
      <c r="L1203">
        <f>Data!T1261</f>
        <v/>
      </c>
      <c r="M1203">
        <f>AND(E1203=0,F1203=0,G1203=0,H1203=0,I1203=0,J1203=0,K1203=0,L1203=0)</f>
        <v/>
      </c>
      <c r="N1203">
        <f>G1203&lt;=$T$6</f>
        <v/>
      </c>
      <c r="O1203">
        <f>G1203&lt;=$T$12</f>
        <v/>
      </c>
      <c r="P1203">
        <f>OR(AND(H1203&gt;=$T$4,K1203&lt;=$T$5,N1203),M1203)</f>
        <v/>
      </c>
      <c r="Q1203">
        <f>OR(AND(I1203&gt;=$T$10,K1203&lt;=$T$11,O1203),M1203)</f>
        <v/>
      </c>
    </row>
    <row r="1204">
      <c r="A1204">
        <f>Data!E1262</f>
        <v/>
      </c>
      <c r="B1204">
        <f>Data!G1262</f>
        <v/>
      </c>
      <c r="C1204">
        <f>Data!H1262</f>
        <v/>
      </c>
      <c r="D1204">
        <f>Data!I1262</f>
        <v/>
      </c>
      <c r="E1204">
        <f>Data!M1262</f>
        <v/>
      </c>
      <c r="F1204">
        <f>Data!O1262</f>
        <v/>
      </c>
      <c r="G1204">
        <f>E1204-F1204</f>
        <v/>
      </c>
      <c r="H1204">
        <f>Data!P1262</f>
        <v/>
      </c>
      <c r="I1204">
        <f>G1204+H1204</f>
        <v/>
      </c>
      <c r="J1204">
        <f>F1204+G1204+H1204</f>
        <v/>
      </c>
      <c r="K1204">
        <f>Data!R1262</f>
        <v/>
      </c>
      <c r="L1204">
        <f>Data!T1262</f>
        <v/>
      </c>
      <c r="M1204">
        <f>AND(E1204=0,F1204=0,G1204=0,H1204=0,I1204=0,J1204=0,K1204=0,L1204=0)</f>
        <v/>
      </c>
      <c r="N1204">
        <f>G1204&lt;=$T$6</f>
        <v/>
      </c>
      <c r="O1204">
        <f>G1204&lt;=$T$12</f>
        <v/>
      </c>
      <c r="P1204">
        <f>OR(AND(H1204&gt;=$T$4,K1204&lt;=$T$5,N1204),M1204)</f>
        <v/>
      </c>
      <c r="Q1204">
        <f>OR(AND(I1204&gt;=$T$10,K1204&lt;=$T$11,O1204),M1204)</f>
        <v/>
      </c>
    </row>
    <row r="1205">
      <c r="A1205">
        <f>Data!E1263</f>
        <v/>
      </c>
      <c r="B1205">
        <f>Data!G1263</f>
        <v/>
      </c>
      <c r="C1205">
        <f>Data!H1263</f>
        <v/>
      </c>
      <c r="D1205">
        <f>Data!I1263</f>
        <v/>
      </c>
      <c r="E1205">
        <f>Data!M1263</f>
        <v/>
      </c>
      <c r="F1205">
        <f>Data!O1263</f>
        <v/>
      </c>
      <c r="G1205">
        <f>E1205-F1205</f>
        <v/>
      </c>
      <c r="H1205">
        <f>Data!P1263</f>
        <v/>
      </c>
      <c r="I1205">
        <f>G1205+H1205</f>
        <v/>
      </c>
      <c r="J1205">
        <f>F1205+G1205+H1205</f>
        <v/>
      </c>
      <c r="K1205">
        <f>Data!R1263</f>
        <v/>
      </c>
      <c r="L1205">
        <f>Data!T1263</f>
        <v/>
      </c>
      <c r="M1205">
        <f>AND(E1205=0,F1205=0,G1205=0,H1205=0,I1205=0,J1205=0,K1205=0,L1205=0)</f>
        <v/>
      </c>
      <c r="N1205">
        <f>G1205&lt;=$T$6</f>
        <v/>
      </c>
      <c r="O1205">
        <f>G1205&lt;=$T$12</f>
        <v/>
      </c>
      <c r="P1205">
        <f>OR(AND(H1205&gt;=$T$4,K1205&lt;=$T$5,N1205),M1205)</f>
        <v/>
      </c>
      <c r="Q1205">
        <f>OR(AND(I1205&gt;=$T$10,K1205&lt;=$T$11,O1205),M1205)</f>
        <v/>
      </c>
    </row>
    <row r="1206">
      <c r="A1206">
        <f>Data!E1264</f>
        <v/>
      </c>
      <c r="B1206">
        <f>Data!G1264</f>
        <v/>
      </c>
      <c r="C1206">
        <f>Data!H1264</f>
        <v/>
      </c>
      <c r="D1206">
        <f>Data!I1264</f>
        <v/>
      </c>
      <c r="E1206">
        <f>Data!M1264</f>
        <v/>
      </c>
      <c r="F1206">
        <f>Data!O1264</f>
        <v/>
      </c>
      <c r="G1206">
        <f>E1206-F1206</f>
        <v/>
      </c>
      <c r="H1206">
        <f>Data!P1264</f>
        <v/>
      </c>
      <c r="I1206">
        <f>G1206+H1206</f>
        <v/>
      </c>
      <c r="J1206">
        <f>F1206+G1206+H1206</f>
        <v/>
      </c>
      <c r="K1206">
        <f>Data!R1264</f>
        <v/>
      </c>
      <c r="L1206">
        <f>Data!T1264</f>
        <v/>
      </c>
      <c r="M1206">
        <f>AND(E1206=0,F1206=0,G1206=0,H1206=0,I1206=0,J1206=0,K1206=0,L1206=0)</f>
        <v/>
      </c>
      <c r="N1206">
        <f>G1206&lt;=$T$6</f>
        <v/>
      </c>
      <c r="O1206">
        <f>G1206&lt;=$T$12</f>
        <v/>
      </c>
      <c r="P1206">
        <f>OR(AND(H1206&gt;=$T$4,K1206&lt;=$T$5,N1206),M1206)</f>
        <v/>
      </c>
      <c r="Q1206">
        <f>OR(AND(I1206&gt;=$T$10,K1206&lt;=$T$11,O1206),M1206)</f>
        <v/>
      </c>
    </row>
    <row r="1207">
      <c r="A1207">
        <f>Data!E1265</f>
        <v/>
      </c>
      <c r="B1207">
        <f>Data!G1265</f>
        <v/>
      </c>
      <c r="C1207">
        <f>Data!H1265</f>
        <v/>
      </c>
      <c r="D1207">
        <f>Data!I1265</f>
        <v/>
      </c>
      <c r="E1207">
        <f>Data!M1265</f>
        <v/>
      </c>
      <c r="F1207">
        <f>Data!O1265</f>
        <v/>
      </c>
      <c r="G1207">
        <f>E1207-F1207</f>
        <v/>
      </c>
      <c r="H1207">
        <f>Data!P1265</f>
        <v/>
      </c>
      <c r="I1207">
        <f>G1207+H1207</f>
        <v/>
      </c>
      <c r="J1207">
        <f>F1207+G1207+H1207</f>
        <v/>
      </c>
      <c r="K1207">
        <f>Data!R1265</f>
        <v/>
      </c>
      <c r="L1207">
        <f>Data!T1265</f>
        <v/>
      </c>
      <c r="M1207">
        <f>AND(E1207=0,F1207=0,G1207=0,H1207=0,I1207=0,J1207=0,K1207=0,L1207=0)</f>
        <v/>
      </c>
      <c r="N1207">
        <f>G1207&lt;=$T$6</f>
        <v/>
      </c>
      <c r="O1207">
        <f>G1207&lt;=$T$12</f>
        <v/>
      </c>
      <c r="P1207">
        <f>OR(AND(H1207&gt;=$T$4,K1207&lt;=$T$5,N1207),M1207)</f>
        <v/>
      </c>
      <c r="Q1207">
        <f>OR(AND(I1207&gt;=$T$10,K1207&lt;=$T$11,O1207),M1207)</f>
        <v/>
      </c>
    </row>
    <row r="1208">
      <c r="A1208">
        <f>Data!E1266</f>
        <v/>
      </c>
      <c r="B1208">
        <f>Data!G1266</f>
        <v/>
      </c>
      <c r="C1208">
        <f>Data!H1266</f>
        <v/>
      </c>
      <c r="D1208">
        <f>Data!I1266</f>
        <v/>
      </c>
      <c r="E1208">
        <f>Data!M1266</f>
        <v/>
      </c>
      <c r="F1208">
        <f>Data!O1266</f>
        <v/>
      </c>
      <c r="G1208">
        <f>E1208-F1208</f>
        <v/>
      </c>
      <c r="H1208">
        <f>Data!P1266</f>
        <v/>
      </c>
      <c r="I1208">
        <f>G1208+H1208</f>
        <v/>
      </c>
      <c r="J1208">
        <f>F1208+G1208+H1208</f>
        <v/>
      </c>
      <c r="K1208">
        <f>Data!R1266</f>
        <v/>
      </c>
      <c r="L1208">
        <f>Data!T1266</f>
        <v/>
      </c>
      <c r="M1208">
        <f>AND(E1208=0,F1208=0,G1208=0,H1208=0,I1208=0,J1208=0,K1208=0,L1208=0)</f>
        <v/>
      </c>
      <c r="N1208">
        <f>G1208&lt;=$T$6</f>
        <v/>
      </c>
      <c r="O1208">
        <f>G1208&lt;=$T$12</f>
        <v/>
      </c>
      <c r="P1208">
        <f>OR(AND(H1208&gt;=$T$4,K1208&lt;=$T$5,N1208),M1208)</f>
        <v/>
      </c>
      <c r="Q1208">
        <f>OR(AND(I1208&gt;=$T$10,K1208&lt;=$T$11,O1208),M1208)</f>
        <v/>
      </c>
    </row>
    <row r="1209">
      <c r="A1209">
        <f>Data!E1268</f>
        <v/>
      </c>
      <c r="B1209">
        <f>Data!G1268</f>
        <v/>
      </c>
      <c r="C1209">
        <f>Data!H1268</f>
        <v/>
      </c>
      <c r="D1209">
        <f>Data!I1268</f>
        <v/>
      </c>
      <c r="E1209">
        <f>Data!M1268</f>
        <v/>
      </c>
      <c r="F1209">
        <f>Data!O1268</f>
        <v/>
      </c>
      <c r="G1209">
        <f>E1209-F1209</f>
        <v/>
      </c>
      <c r="H1209">
        <f>Data!P1268</f>
        <v/>
      </c>
      <c r="I1209">
        <f>G1209+H1209</f>
        <v/>
      </c>
      <c r="J1209">
        <f>F1209+G1209+H1209</f>
        <v/>
      </c>
      <c r="K1209">
        <f>Data!R1268</f>
        <v/>
      </c>
      <c r="L1209">
        <f>Data!T1268</f>
        <v/>
      </c>
      <c r="M1209">
        <f>AND(E1209=0,F1209=0,G1209=0,H1209=0,I1209=0,J1209=0,K1209=0,L1209=0)</f>
        <v/>
      </c>
      <c r="N1209">
        <f>G1209&lt;=$T$6</f>
        <v/>
      </c>
      <c r="O1209">
        <f>G1209&lt;=$T$12</f>
        <v/>
      </c>
      <c r="P1209">
        <f>OR(AND(H1209&gt;=$T$4,K1209&lt;=$T$5,N1209),M1209)</f>
        <v/>
      </c>
      <c r="Q1209">
        <f>OR(AND(I1209&gt;=$T$10,K1209&lt;=$T$11,O1209),M1209)</f>
        <v/>
      </c>
    </row>
    <row r="1210">
      <c r="A1210">
        <f>Data!E1269</f>
        <v/>
      </c>
      <c r="B1210">
        <f>Data!G1269</f>
        <v/>
      </c>
      <c r="C1210">
        <f>Data!H1269</f>
        <v/>
      </c>
      <c r="D1210">
        <f>Data!I1269</f>
        <v/>
      </c>
      <c r="E1210">
        <f>Data!M1269</f>
        <v/>
      </c>
      <c r="F1210">
        <f>Data!O1269</f>
        <v/>
      </c>
      <c r="G1210">
        <f>E1210-F1210</f>
        <v/>
      </c>
      <c r="H1210">
        <f>Data!P1269</f>
        <v/>
      </c>
      <c r="I1210">
        <f>G1210+H1210</f>
        <v/>
      </c>
      <c r="J1210">
        <f>F1210+G1210+H1210</f>
        <v/>
      </c>
      <c r="K1210">
        <f>Data!R1269</f>
        <v/>
      </c>
      <c r="L1210">
        <f>Data!T1269</f>
        <v/>
      </c>
      <c r="M1210">
        <f>AND(E1210=0,F1210=0,G1210=0,H1210=0,I1210=0,J1210=0,K1210=0,L1210=0)</f>
        <v/>
      </c>
      <c r="N1210">
        <f>G1210&lt;=$T$6</f>
        <v/>
      </c>
      <c r="O1210">
        <f>G1210&lt;=$T$12</f>
        <v/>
      </c>
      <c r="P1210">
        <f>OR(AND(H1210&gt;=$T$4,K1210&lt;=$T$5,N1210),M1210)</f>
        <v/>
      </c>
      <c r="Q1210">
        <f>OR(AND(I1210&gt;=$T$10,K1210&lt;=$T$11,O1210),M1210)</f>
        <v/>
      </c>
    </row>
    <row r="1211">
      <c r="A1211">
        <f>Data!E1270</f>
        <v/>
      </c>
      <c r="B1211">
        <f>Data!G1270</f>
        <v/>
      </c>
      <c r="C1211">
        <f>Data!H1270</f>
        <v/>
      </c>
      <c r="D1211">
        <f>Data!I1270</f>
        <v/>
      </c>
      <c r="E1211">
        <f>Data!M1270</f>
        <v/>
      </c>
      <c r="F1211">
        <f>Data!O1270</f>
        <v/>
      </c>
      <c r="G1211">
        <f>E1211-F1211</f>
        <v/>
      </c>
      <c r="H1211">
        <f>Data!P1270</f>
        <v/>
      </c>
      <c r="I1211">
        <f>G1211+H1211</f>
        <v/>
      </c>
      <c r="J1211">
        <f>F1211+G1211+H1211</f>
        <v/>
      </c>
      <c r="K1211">
        <f>Data!R1270</f>
        <v/>
      </c>
      <c r="L1211">
        <f>Data!T1270</f>
        <v/>
      </c>
      <c r="M1211">
        <f>AND(E1211=0,F1211=0,G1211=0,H1211=0,I1211=0,J1211=0,K1211=0,L1211=0)</f>
        <v/>
      </c>
      <c r="N1211">
        <f>G1211&lt;=$T$6</f>
        <v/>
      </c>
      <c r="O1211">
        <f>G1211&lt;=$T$12</f>
        <v/>
      </c>
      <c r="P1211">
        <f>OR(AND(H1211&gt;=$T$4,K1211&lt;=$T$5,N1211),M1211)</f>
        <v/>
      </c>
      <c r="Q1211">
        <f>OR(AND(I1211&gt;=$T$10,K1211&lt;=$T$11,O1211),M1211)</f>
        <v/>
      </c>
    </row>
    <row r="1212">
      <c r="A1212">
        <f>Data!E1271</f>
        <v/>
      </c>
      <c r="B1212">
        <f>Data!G1271</f>
        <v/>
      </c>
      <c r="C1212">
        <f>Data!H1271</f>
        <v/>
      </c>
      <c r="D1212">
        <f>Data!I1271</f>
        <v/>
      </c>
      <c r="E1212">
        <f>Data!M1271</f>
        <v/>
      </c>
      <c r="F1212">
        <f>Data!O1271</f>
        <v/>
      </c>
      <c r="G1212">
        <f>E1212-F1212</f>
        <v/>
      </c>
      <c r="H1212">
        <f>Data!P1271</f>
        <v/>
      </c>
      <c r="I1212">
        <f>G1212+H1212</f>
        <v/>
      </c>
      <c r="J1212">
        <f>F1212+G1212+H1212</f>
        <v/>
      </c>
      <c r="K1212">
        <f>Data!R1271</f>
        <v/>
      </c>
      <c r="L1212">
        <f>Data!T1271</f>
        <v/>
      </c>
      <c r="M1212">
        <f>AND(E1212=0,F1212=0,G1212=0,H1212=0,I1212=0,J1212=0,K1212=0,L1212=0)</f>
        <v/>
      </c>
      <c r="N1212">
        <f>G1212&lt;=$T$6</f>
        <v/>
      </c>
      <c r="O1212">
        <f>G1212&lt;=$T$12</f>
        <v/>
      </c>
      <c r="P1212">
        <f>OR(AND(H1212&gt;=$T$4,K1212&lt;=$T$5,N1212),M1212)</f>
        <v/>
      </c>
      <c r="Q1212">
        <f>OR(AND(I1212&gt;=$T$10,K1212&lt;=$T$11,O1212),M1212)</f>
        <v/>
      </c>
    </row>
    <row r="1213">
      <c r="A1213">
        <f>Data!E1272</f>
        <v/>
      </c>
      <c r="B1213">
        <f>Data!G1272</f>
        <v/>
      </c>
      <c r="C1213">
        <f>Data!H1272</f>
        <v/>
      </c>
      <c r="D1213">
        <f>Data!I1272</f>
        <v/>
      </c>
      <c r="E1213">
        <f>Data!M1272</f>
        <v/>
      </c>
      <c r="F1213">
        <f>Data!O1272</f>
        <v/>
      </c>
      <c r="G1213">
        <f>E1213-F1213</f>
        <v/>
      </c>
      <c r="H1213">
        <f>Data!P1272</f>
        <v/>
      </c>
      <c r="I1213">
        <f>G1213+H1213</f>
        <v/>
      </c>
      <c r="J1213">
        <f>F1213+G1213+H1213</f>
        <v/>
      </c>
      <c r="K1213">
        <f>Data!R1272</f>
        <v/>
      </c>
      <c r="L1213">
        <f>Data!T1272</f>
        <v/>
      </c>
      <c r="M1213">
        <f>AND(E1213=0,F1213=0,G1213=0,H1213=0,I1213=0,J1213=0,K1213=0,L1213=0)</f>
        <v/>
      </c>
      <c r="N1213">
        <f>G1213&lt;=$T$6</f>
        <v/>
      </c>
      <c r="O1213">
        <f>G1213&lt;=$T$12</f>
        <v/>
      </c>
      <c r="P1213">
        <f>OR(AND(H1213&gt;=$T$4,K1213&lt;=$T$5,N1213),M1213)</f>
        <v/>
      </c>
      <c r="Q1213">
        <f>OR(AND(I1213&gt;=$T$10,K1213&lt;=$T$11,O1213),M1213)</f>
        <v/>
      </c>
    </row>
    <row r="1214">
      <c r="A1214">
        <f>Data!E1273</f>
        <v/>
      </c>
      <c r="B1214">
        <f>Data!G1273</f>
        <v/>
      </c>
      <c r="C1214">
        <f>Data!H1273</f>
        <v/>
      </c>
      <c r="D1214">
        <f>Data!I1273</f>
        <v/>
      </c>
      <c r="E1214">
        <f>Data!M1273</f>
        <v/>
      </c>
      <c r="F1214">
        <f>Data!O1273</f>
        <v/>
      </c>
      <c r="G1214">
        <f>E1214-F1214</f>
        <v/>
      </c>
      <c r="H1214">
        <f>Data!P1273</f>
        <v/>
      </c>
      <c r="I1214">
        <f>G1214+H1214</f>
        <v/>
      </c>
      <c r="J1214">
        <f>F1214+G1214+H1214</f>
        <v/>
      </c>
      <c r="K1214">
        <f>Data!R1273</f>
        <v/>
      </c>
      <c r="L1214">
        <f>Data!T1273</f>
        <v/>
      </c>
      <c r="M1214">
        <f>AND(E1214=0,F1214=0,G1214=0,H1214=0,I1214=0,J1214=0,K1214=0,L1214=0)</f>
        <v/>
      </c>
      <c r="N1214">
        <f>G1214&lt;=$T$6</f>
        <v/>
      </c>
      <c r="O1214">
        <f>G1214&lt;=$T$12</f>
        <v/>
      </c>
      <c r="P1214">
        <f>OR(AND(H1214&gt;=$T$4,K1214&lt;=$T$5,N1214),M1214)</f>
        <v/>
      </c>
      <c r="Q1214">
        <f>OR(AND(I1214&gt;=$T$10,K1214&lt;=$T$11,O1214),M1214)</f>
        <v/>
      </c>
    </row>
    <row r="1215">
      <c r="A1215">
        <f>Data!E1274</f>
        <v/>
      </c>
      <c r="B1215">
        <f>Data!G1274</f>
        <v/>
      </c>
      <c r="C1215">
        <f>Data!H1274</f>
        <v/>
      </c>
      <c r="D1215">
        <f>Data!I1274</f>
        <v/>
      </c>
      <c r="E1215">
        <f>Data!M1274</f>
        <v/>
      </c>
      <c r="F1215">
        <f>Data!O1274</f>
        <v/>
      </c>
      <c r="G1215">
        <f>E1215-F1215</f>
        <v/>
      </c>
      <c r="H1215">
        <f>Data!P1274</f>
        <v/>
      </c>
      <c r="I1215">
        <f>G1215+H1215</f>
        <v/>
      </c>
      <c r="J1215">
        <f>F1215+G1215+H1215</f>
        <v/>
      </c>
      <c r="K1215">
        <f>Data!R1274</f>
        <v/>
      </c>
      <c r="L1215">
        <f>Data!T1274</f>
        <v/>
      </c>
      <c r="M1215">
        <f>AND(E1215=0,F1215=0,G1215=0,H1215=0,I1215=0,J1215=0,K1215=0,L1215=0)</f>
        <v/>
      </c>
      <c r="N1215">
        <f>G1215&lt;=$T$6</f>
        <v/>
      </c>
      <c r="O1215">
        <f>G1215&lt;=$T$12</f>
        <v/>
      </c>
      <c r="P1215">
        <f>OR(AND(H1215&gt;=$T$4,K1215&lt;=$T$5,N1215),M1215)</f>
        <v/>
      </c>
      <c r="Q1215">
        <f>OR(AND(I1215&gt;=$T$10,K1215&lt;=$T$11,O1215),M1215)</f>
        <v/>
      </c>
    </row>
    <row r="1216">
      <c r="A1216">
        <f>Data!E1275</f>
        <v/>
      </c>
      <c r="B1216">
        <f>Data!G1275</f>
        <v/>
      </c>
      <c r="C1216">
        <f>Data!H1275</f>
        <v/>
      </c>
      <c r="D1216">
        <f>Data!I1275</f>
        <v/>
      </c>
      <c r="E1216">
        <f>Data!M1275</f>
        <v/>
      </c>
      <c r="F1216">
        <f>Data!O1275</f>
        <v/>
      </c>
      <c r="G1216">
        <f>E1216-F1216</f>
        <v/>
      </c>
      <c r="H1216">
        <f>Data!P1275</f>
        <v/>
      </c>
      <c r="I1216">
        <f>G1216+H1216</f>
        <v/>
      </c>
      <c r="J1216">
        <f>F1216+G1216+H1216</f>
        <v/>
      </c>
      <c r="K1216">
        <f>Data!R1275</f>
        <v/>
      </c>
      <c r="L1216">
        <f>Data!T1275</f>
        <v/>
      </c>
      <c r="M1216">
        <f>AND(E1216=0,F1216=0,G1216=0,H1216=0,I1216=0,J1216=0,K1216=0,L1216=0)</f>
        <v/>
      </c>
      <c r="N1216">
        <f>G1216&lt;=$T$6</f>
        <v/>
      </c>
      <c r="O1216">
        <f>G1216&lt;=$T$12</f>
        <v/>
      </c>
      <c r="P1216">
        <f>OR(AND(H1216&gt;=$T$4,K1216&lt;=$T$5,N1216),M1216)</f>
        <v/>
      </c>
      <c r="Q1216">
        <f>OR(AND(I1216&gt;=$T$10,K1216&lt;=$T$11,O1216),M1216)</f>
        <v/>
      </c>
    </row>
    <row r="1217">
      <c r="A1217">
        <f>Data!E1276</f>
        <v/>
      </c>
      <c r="B1217">
        <f>Data!G1276</f>
        <v/>
      </c>
      <c r="C1217">
        <f>Data!H1276</f>
        <v/>
      </c>
      <c r="D1217">
        <f>Data!I1276</f>
        <v/>
      </c>
      <c r="E1217">
        <f>Data!M1276</f>
        <v/>
      </c>
      <c r="F1217">
        <f>Data!O1276</f>
        <v/>
      </c>
      <c r="G1217">
        <f>E1217-F1217</f>
        <v/>
      </c>
      <c r="H1217">
        <f>Data!P1276</f>
        <v/>
      </c>
      <c r="I1217">
        <f>G1217+H1217</f>
        <v/>
      </c>
      <c r="J1217">
        <f>F1217+G1217+H1217</f>
        <v/>
      </c>
      <c r="K1217">
        <f>Data!R1276</f>
        <v/>
      </c>
      <c r="L1217">
        <f>Data!T1276</f>
        <v/>
      </c>
      <c r="M1217">
        <f>AND(E1217=0,F1217=0,G1217=0,H1217=0,I1217=0,J1217=0,K1217=0,L1217=0)</f>
        <v/>
      </c>
      <c r="N1217">
        <f>G1217&lt;=$T$6</f>
        <v/>
      </c>
      <c r="O1217">
        <f>G1217&lt;=$T$12</f>
        <v/>
      </c>
      <c r="P1217">
        <f>OR(AND(H1217&gt;=$T$4,K1217&lt;=$T$5,N1217),M1217)</f>
        <v/>
      </c>
      <c r="Q1217">
        <f>OR(AND(I1217&gt;=$T$10,K1217&lt;=$T$11,O1217),M1217)</f>
        <v/>
      </c>
    </row>
    <row r="1218">
      <c r="A1218">
        <f>Data!E1277</f>
        <v/>
      </c>
      <c r="B1218">
        <f>Data!G1277</f>
        <v/>
      </c>
      <c r="C1218">
        <f>Data!H1277</f>
        <v/>
      </c>
      <c r="D1218">
        <f>Data!I1277</f>
        <v/>
      </c>
      <c r="E1218">
        <f>Data!M1277</f>
        <v/>
      </c>
      <c r="F1218">
        <f>Data!O1277</f>
        <v/>
      </c>
      <c r="G1218">
        <f>E1218-F1218</f>
        <v/>
      </c>
      <c r="H1218">
        <f>Data!P1277</f>
        <v/>
      </c>
      <c r="I1218">
        <f>G1218+H1218</f>
        <v/>
      </c>
      <c r="J1218">
        <f>F1218+G1218+H1218</f>
        <v/>
      </c>
      <c r="K1218">
        <f>Data!R1277</f>
        <v/>
      </c>
      <c r="L1218">
        <f>Data!T1277</f>
        <v/>
      </c>
      <c r="M1218">
        <f>AND(E1218=0,F1218=0,G1218=0,H1218=0,I1218=0,J1218=0,K1218=0,L1218=0)</f>
        <v/>
      </c>
      <c r="N1218">
        <f>G1218&lt;=$T$6</f>
        <v/>
      </c>
      <c r="O1218">
        <f>G1218&lt;=$T$12</f>
        <v/>
      </c>
      <c r="P1218">
        <f>OR(AND(H1218&gt;=$T$4,K1218&lt;=$T$5,N1218),M1218)</f>
        <v/>
      </c>
      <c r="Q1218">
        <f>OR(AND(I1218&gt;=$T$10,K1218&lt;=$T$11,O1218),M1218)</f>
        <v/>
      </c>
    </row>
    <row r="1219">
      <c r="A1219">
        <f>Data!E1278</f>
        <v/>
      </c>
      <c r="B1219">
        <f>Data!G1278</f>
        <v/>
      </c>
      <c r="C1219">
        <f>Data!H1278</f>
        <v/>
      </c>
      <c r="D1219">
        <f>Data!I1278</f>
        <v/>
      </c>
      <c r="E1219">
        <f>Data!M1278</f>
        <v/>
      </c>
      <c r="F1219">
        <f>Data!O1278</f>
        <v/>
      </c>
      <c r="G1219">
        <f>E1219-F1219</f>
        <v/>
      </c>
      <c r="H1219">
        <f>Data!P1278</f>
        <v/>
      </c>
      <c r="I1219">
        <f>G1219+H1219</f>
        <v/>
      </c>
      <c r="J1219">
        <f>F1219+G1219+H1219</f>
        <v/>
      </c>
      <c r="K1219">
        <f>Data!R1278</f>
        <v/>
      </c>
      <c r="L1219">
        <f>Data!T1278</f>
        <v/>
      </c>
      <c r="M1219">
        <f>AND(E1219=0,F1219=0,G1219=0,H1219=0,I1219=0,J1219=0,K1219=0,L1219=0)</f>
        <v/>
      </c>
      <c r="N1219">
        <f>G1219&lt;=$T$6</f>
        <v/>
      </c>
      <c r="O1219">
        <f>G1219&lt;=$T$12</f>
        <v/>
      </c>
      <c r="P1219">
        <f>OR(AND(H1219&gt;=$T$4,K1219&lt;=$T$5,N1219),M1219)</f>
        <v/>
      </c>
      <c r="Q1219">
        <f>OR(AND(I1219&gt;=$T$10,K1219&lt;=$T$11,O1219),M1219)</f>
        <v/>
      </c>
    </row>
    <row r="1220">
      <c r="A1220">
        <f>Data!E1279</f>
        <v/>
      </c>
      <c r="B1220">
        <f>Data!G1279</f>
        <v/>
      </c>
      <c r="C1220">
        <f>Data!H1279</f>
        <v/>
      </c>
      <c r="D1220">
        <f>Data!I1279</f>
        <v/>
      </c>
      <c r="E1220">
        <f>Data!M1279</f>
        <v/>
      </c>
      <c r="F1220">
        <f>Data!O1279</f>
        <v/>
      </c>
      <c r="G1220">
        <f>E1220-F1220</f>
        <v/>
      </c>
      <c r="H1220">
        <f>Data!P1279</f>
        <v/>
      </c>
      <c r="I1220">
        <f>G1220+H1220</f>
        <v/>
      </c>
      <c r="J1220">
        <f>F1220+G1220+H1220</f>
        <v/>
      </c>
      <c r="K1220">
        <f>Data!R1279</f>
        <v/>
      </c>
      <c r="L1220">
        <f>Data!T1279</f>
        <v/>
      </c>
      <c r="M1220">
        <f>AND(E1220=0,F1220=0,G1220=0,H1220=0,I1220=0,J1220=0,K1220=0,L1220=0)</f>
        <v/>
      </c>
      <c r="N1220">
        <f>G1220&lt;=$T$6</f>
        <v/>
      </c>
      <c r="O1220">
        <f>G1220&lt;=$T$12</f>
        <v/>
      </c>
      <c r="P1220">
        <f>OR(AND(H1220&gt;=$T$4,K1220&lt;=$T$5,N1220),M1220)</f>
        <v/>
      </c>
      <c r="Q1220">
        <f>OR(AND(I1220&gt;=$T$10,K1220&lt;=$T$11,O1220),M1220)</f>
        <v/>
      </c>
    </row>
    <row r="1221">
      <c r="A1221">
        <f>Data!E1280</f>
        <v/>
      </c>
      <c r="B1221">
        <f>Data!G1280</f>
        <v/>
      </c>
      <c r="C1221">
        <f>Data!H1280</f>
        <v/>
      </c>
      <c r="D1221">
        <f>Data!I1280</f>
        <v/>
      </c>
      <c r="E1221">
        <f>Data!M1280</f>
        <v/>
      </c>
      <c r="F1221">
        <f>Data!O1280</f>
        <v/>
      </c>
      <c r="G1221">
        <f>E1221-F1221</f>
        <v/>
      </c>
      <c r="H1221">
        <f>Data!P1280</f>
        <v/>
      </c>
      <c r="I1221">
        <f>G1221+H1221</f>
        <v/>
      </c>
      <c r="J1221">
        <f>F1221+G1221+H1221</f>
        <v/>
      </c>
      <c r="K1221">
        <f>Data!R1280</f>
        <v/>
      </c>
      <c r="L1221">
        <f>Data!T1280</f>
        <v/>
      </c>
      <c r="M1221">
        <f>AND(E1221=0,F1221=0,G1221=0,H1221=0,I1221=0,J1221=0,K1221=0,L1221=0)</f>
        <v/>
      </c>
      <c r="N1221">
        <f>G1221&lt;=$T$6</f>
        <v/>
      </c>
      <c r="O1221">
        <f>G1221&lt;=$T$12</f>
        <v/>
      </c>
      <c r="P1221">
        <f>OR(AND(H1221&gt;=$T$4,K1221&lt;=$T$5,N1221),M1221)</f>
        <v/>
      </c>
      <c r="Q1221">
        <f>OR(AND(I1221&gt;=$T$10,K1221&lt;=$T$11,O1221),M1221)</f>
        <v/>
      </c>
    </row>
    <row r="1222">
      <c r="A1222">
        <f>Data!E1281</f>
        <v/>
      </c>
      <c r="B1222">
        <f>Data!G1281</f>
        <v/>
      </c>
      <c r="C1222">
        <f>Data!H1281</f>
        <v/>
      </c>
      <c r="D1222">
        <f>Data!I1281</f>
        <v/>
      </c>
      <c r="E1222">
        <f>Data!M1281</f>
        <v/>
      </c>
      <c r="F1222">
        <f>Data!O1281</f>
        <v/>
      </c>
      <c r="G1222">
        <f>E1222-F1222</f>
        <v/>
      </c>
      <c r="H1222">
        <f>Data!P1281</f>
        <v/>
      </c>
      <c r="I1222">
        <f>G1222+H1222</f>
        <v/>
      </c>
      <c r="J1222">
        <f>F1222+G1222+H1222</f>
        <v/>
      </c>
      <c r="K1222">
        <f>Data!R1281</f>
        <v/>
      </c>
      <c r="L1222">
        <f>Data!T1281</f>
        <v/>
      </c>
      <c r="M1222">
        <f>AND(E1222=0,F1222=0,G1222=0,H1222=0,I1222=0,J1222=0,K1222=0,L1222=0)</f>
        <v/>
      </c>
      <c r="N1222">
        <f>G1222&lt;=$T$6</f>
        <v/>
      </c>
      <c r="O1222">
        <f>G1222&lt;=$T$12</f>
        <v/>
      </c>
      <c r="P1222">
        <f>OR(AND(H1222&gt;=$T$4,K1222&lt;=$T$5,N1222),M1222)</f>
        <v/>
      </c>
      <c r="Q1222">
        <f>OR(AND(I1222&gt;=$T$10,K1222&lt;=$T$11,O1222),M1222)</f>
        <v/>
      </c>
    </row>
    <row r="1223">
      <c r="A1223">
        <f>Data!E1282</f>
        <v/>
      </c>
      <c r="B1223">
        <f>Data!G1282</f>
        <v/>
      </c>
      <c r="C1223">
        <f>Data!H1282</f>
        <v/>
      </c>
      <c r="D1223">
        <f>Data!I1282</f>
        <v/>
      </c>
      <c r="E1223">
        <f>Data!M1282</f>
        <v/>
      </c>
      <c r="F1223">
        <f>Data!O1282</f>
        <v/>
      </c>
      <c r="G1223">
        <f>E1223-F1223</f>
        <v/>
      </c>
      <c r="H1223">
        <f>Data!P1282</f>
        <v/>
      </c>
      <c r="I1223">
        <f>G1223+H1223</f>
        <v/>
      </c>
      <c r="J1223">
        <f>F1223+G1223+H1223</f>
        <v/>
      </c>
      <c r="K1223">
        <f>Data!R1282</f>
        <v/>
      </c>
      <c r="L1223">
        <f>Data!T1282</f>
        <v/>
      </c>
      <c r="M1223">
        <f>AND(E1223=0,F1223=0,G1223=0,H1223=0,I1223=0,J1223=0,K1223=0,L1223=0)</f>
        <v/>
      </c>
      <c r="N1223">
        <f>G1223&lt;=$T$6</f>
        <v/>
      </c>
      <c r="O1223">
        <f>G1223&lt;=$T$12</f>
        <v/>
      </c>
      <c r="P1223">
        <f>OR(AND(H1223&gt;=$T$4,K1223&lt;=$T$5,N1223),M1223)</f>
        <v/>
      </c>
      <c r="Q1223">
        <f>OR(AND(I1223&gt;=$T$10,K1223&lt;=$T$11,O1223),M1223)</f>
        <v/>
      </c>
    </row>
    <row r="1224">
      <c r="A1224">
        <f>Data!E1283</f>
        <v/>
      </c>
      <c r="B1224">
        <f>Data!G1283</f>
        <v/>
      </c>
      <c r="C1224">
        <f>Data!H1283</f>
        <v/>
      </c>
      <c r="D1224">
        <f>Data!I1283</f>
        <v/>
      </c>
      <c r="E1224">
        <f>Data!M1283</f>
        <v/>
      </c>
      <c r="F1224">
        <f>Data!O1283</f>
        <v/>
      </c>
      <c r="G1224">
        <f>E1224-F1224</f>
        <v/>
      </c>
      <c r="H1224">
        <f>Data!P1283</f>
        <v/>
      </c>
      <c r="I1224">
        <f>G1224+H1224</f>
        <v/>
      </c>
      <c r="J1224">
        <f>F1224+G1224+H1224</f>
        <v/>
      </c>
      <c r="K1224">
        <f>Data!R1283</f>
        <v/>
      </c>
      <c r="L1224">
        <f>Data!T1283</f>
        <v/>
      </c>
      <c r="M1224">
        <f>AND(E1224=0,F1224=0,G1224=0,H1224=0,I1224=0,J1224=0,K1224=0,L1224=0)</f>
        <v/>
      </c>
      <c r="N1224">
        <f>G1224&lt;=$T$6</f>
        <v/>
      </c>
      <c r="O1224">
        <f>G1224&lt;=$T$12</f>
        <v/>
      </c>
      <c r="P1224">
        <f>OR(AND(H1224&gt;=$T$4,K1224&lt;=$T$5,N1224),M1224)</f>
        <v/>
      </c>
      <c r="Q1224">
        <f>OR(AND(I1224&gt;=$T$10,K1224&lt;=$T$11,O1224),M1224)</f>
        <v/>
      </c>
    </row>
    <row r="1225">
      <c r="A1225">
        <f>Data!E1284</f>
        <v/>
      </c>
      <c r="B1225">
        <f>Data!G1284</f>
        <v/>
      </c>
      <c r="C1225">
        <f>Data!H1284</f>
        <v/>
      </c>
      <c r="D1225">
        <f>Data!I1284</f>
        <v/>
      </c>
      <c r="E1225">
        <f>Data!M1284</f>
        <v/>
      </c>
      <c r="F1225">
        <f>Data!O1284</f>
        <v/>
      </c>
      <c r="G1225">
        <f>E1225-F1225</f>
        <v/>
      </c>
      <c r="H1225">
        <f>Data!P1284</f>
        <v/>
      </c>
      <c r="I1225">
        <f>G1225+H1225</f>
        <v/>
      </c>
      <c r="J1225">
        <f>F1225+G1225+H1225</f>
        <v/>
      </c>
      <c r="K1225">
        <f>Data!R1284</f>
        <v/>
      </c>
      <c r="L1225">
        <f>Data!T1284</f>
        <v/>
      </c>
      <c r="M1225">
        <f>AND(E1225=0,F1225=0,G1225=0,H1225=0,I1225=0,J1225=0,K1225=0,L1225=0)</f>
        <v/>
      </c>
      <c r="N1225">
        <f>G1225&lt;=$T$6</f>
        <v/>
      </c>
      <c r="O1225">
        <f>G1225&lt;=$T$12</f>
        <v/>
      </c>
      <c r="P1225">
        <f>OR(AND(H1225&gt;=$T$4,K1225&lt;=$T$5,N1225),M1225)</f>
        <v/>
      </c>
      <c r="Q1225">
        <f>OR(AND(I1225&gt;=$T$10,K1225&lt;=$T$11,O1225),M1225)</f>
        <v/>
      </c>
    </row>
    <row r="1226">
      <c r="A1226">
        <f>Data!E1285</f>
        <v/>
      </c>
      <c r="B1226">
        <f>Data!G1285</f>
        <v/>
      </c>
      <c r="C1226">
        <f>Data!H1285</f>
        <v/>
      </c>
      <c r="D1226">
        <f>Data!I1285</f>
        <v/>
      </c>
      <c r="E1226">
        <f>Data!M1285</f>
        <v/>
      </c>
      <c r="F1226">
        <f>Data!O1285</f>
        <v/>
      </c>
      <c r="G1226">
        <f>E1226-F1226</f>
        <v/>
      </c>
      <c r="H1226">
        <f>Data!P1285</f>
        <v/>
      </c>
      <c r="I1226">
        <f>G1226+H1226</f>
        <v/>
      </c>
      <c r="J1226">
        <f>F1226+G1226+H1226</f>
        <v/>
      </c>
      <c r="K1226">
        <f>Data!R1285</f>
        <v/>
      </c>
      <c r="L1226">
        <f>Data!T1285</f>
        <v/>
      </c>
      <c r="M1226">
        <f>AND(E1226=0,F1226=0,G1226=0,H1226=0,I1226=0,J1226=0,K1226=0,L1226=0)</f>
        <v/>
      </c>
      <c r="N1226">
        <f>G1226&lt;=$T$6</f>
        <v/>
      </c>
      <c r="O1226">
        <f>G1226&lt;=$T$12</f>
        <v/>
      </c>
      <c r="P1226">
        <f>OR(AND(H1226&gt;=$T$4,K1226&lt;=$T$5,N1226),M1226)</f>
        <v/>
      </c>
      <c r="Q1226">
        <f>OR(AND(I1226&gt;=$T$10,K1226&lt;=$T$11,O1226),M1226)</f>
        <v/>
      </c>
    </row>
    <row r="1227">
      <c r="A1227">
        <f>Data!E1286</f>
        <v/>
      </c>
      <c r="B1227">
        <f>Data!G1286</f>
        <v/>
      </c>
      <c r="C1227">
        <f>Data!H1286</f>
        <v/>
      </c>
      <c r="D1227">
        <f>Data!I1286</f>
        <v/>
      </c>
      <c r="E1227">
        <f>Data!M1286</f>
        <v/>
      </c>
      <c r="F1227">
        <f>Data!O1286</f>
        <v/>
      </c>
      <c r="G1227">
        <f>E1227-F1227</f>
        <v/>
      </c>
      <c r="H1227">
        <f>Data!P1286</f>
        <v/>
      </c>
      <c r="I1227">
        <f>G1227+H1227</f>
        <v/>
      </c>
      <c r="J1227">
        <f>F1227+G1227+H1227</f>
        <v/>
      </c>
      <c r="K1227">
        <f>Data!R1286</f>
        <v/>
      </c>
      <c r="L1227">
        <f>Data!T1286</f>
        <v/>
      </c>
      <c r="M1227">
        <f>AND(E1227=0,F1227=0,G1227=0,H1227=0,I1227=0,J1227=0,K1227=0,L1227=0)</f>
        <v/>
      </c>
      <c r="N1227">
        <f>G1227&lt;=$T$6</f>
        <v/>
      </c>
      <c r="O1227">
        <f>G1227&lt;=$T$12</f>
        <v/>
      </c>
      <c r="P1227">
        <f>OR(AND(H1227&gt;=$T$4,K1227&lt;=$T$5,N1227),M1227)</f>
        <v/>
      </c>
      <c r="Q1227">
        <f>OR(AND(I1227&gt;=$T$10,K1227&lt;=$T$11,O1227),M1227)</f>
        <v/>
      </c>
    </row>
    <row r="1228">
      <c r="A1228">
        <f>Data!E1288</f>
        <v/>
      </c>
      <c r="B1228">
        <f>Data!G1288</f>
        <v/>
      </c>
      <c r="C1228">
        <f>Data!H1288</f>
        <v/>
      </c>
      <c r="D1228">
        <f>Data!I1288</f>
        <v/>
      </c>
      <c r="E1228">
        <f>Data!M1288</f>
        <v/>
      </c>
      <c r="F1228">
        <f>Data!O1288</f>
        <v/>
      </c>
      <c r="G1228">
        <f>E1228-F1228</f>
        <v/>
      </c>
      <c r="H1228">
        <f>Data!P1288</f>
        <v/>
      </c>
      <c r="I1228">
        <f>G1228+H1228</f>
        <v/>
      </c>
      <c r="J1228">
        <f>F1228+G1228+H1228</f>
        <v/>
      </c>
      <c r="K1228">
        <f>Data!R1288</f>
        <v/>
      </c>
      <c r="L1228">
        <f>Data!T1288</f>
        <v/>
      </c>
      <c r="M1228">
        <f>AND(E1228=0,F1228=0,G1228=0,H1228=0,I1228=0,J1228=0,K1228=0,L1228=0)</f>
        <v/>
      </c>
      <c r="N1228">
        <f>G1228&lt;=$T$6</f>
        <v/>
      </c>
      <c r="O1228">
        <f>G1228&lt;=$T$12</f>
        <v/>
      </c>
      <c r="P1228">
        <f>OR(AND(H1228&gt;=$T$4,K1228&lt;=$T$5,N1228),M1228)</f>
        <v/>
      </c>
      <c r="Q1228">
        <f>OR(AND(I1228&gt;=$T$10,K1228&lt;=$T$11,O1228),M1228)</f>
        <v/>
      </c>
    </row>
    <row r="1229">
      <c r="A1229">
        <f>Data!E1289</f>
        <v/>
      </c>
      <c r="B1229">
        <f>Data!G1289</f>
        <v/>
      </c>
      <c r="C1229">
        <f>Data!H1289</f>
        <v/>
      </c>
      <c r="D1229">
        <f>Data!I1289</f>
        <v/>
      </c>
      <c r="E1229">
        <f>Data!M1289</f>
        <v/>
      </c>
      <c r="F1229">
        <f>Data!O1289</f>
        <v/>
      </c>
      <c r="G1229">
        <f>E1229-F1229</f>
        <v/>
      </c>
      <c r="H1229">
        <f>Data!P1289</f>
        <v/>
      </c>
      <c r="I1229">
        <f>G1229+H1229</f>
        <v/>
      </c>
      <c r="J1229">
        <f>F1229+G1229+H1229</f>
        <v/>
      </c>
      <c r="K1229">
        <f>Data!R1289</f>
        <v/>
      </c>
      <c r="L1229">
        <f>Data!T1289</f>
        <v/>
      </c>
      <c r="M1229">
        <f>AND(E1229=0,F1229=0,G1229=0,H1229=0,I1229=0,J1229=0,K1229=0,L1229=0)</f>
        <v/>
      </c>
      <c r="N1229">
        <f>G1229&lt;=$T$6</f>
        <v/>
      </c>
      <c r="O1229">
        <f>G1229&lt;=$T$12</f>
        <v/>
      </c>
      <c r="P1229">
        <f>OR(AND(H1229&gt;=$T$4,K1229&lt;=$T$5,N1229),M1229)</f>
        <v/>
      </c>
      <c r="Q1229">
        <f>OR(AND(I1229&gt;=$T$10,K1229&lt;=$T$11,O1229),M1229)</f>
        <v/>
      </c>
    </row>
    <row r="1230">
      <c r="A1230">
        <f>Data!E1290</f>
        <v/>
      </c>
      <c r="B1230">
        <f>Data!G1290</f>
        <v/>
      </c>
      <c r="C1230">
        <f>Data!H1290</f>
        <v/>
      </c>
      <c r="D1230">
        <f>Data!I1290</f>
        <v/>
      </c>
      <c r="E1230">
        <f>Data!M1290</f>
        <v/>
      </c>
      <c r="F1230">
        <f>Data!O1290</f>
        <v/>
      </c>
      <c r="G1230">
        <f>E1230-F1230</f>
        <v/>
      </c>
      <c r="H1230">
        <f>Data!P1290</f>
        <v/>
      </c>
      <c r="I1230">
        <f>G1230+H1230</f>
        <v/>
      </c>
      <c r="J1230">
        <f>F1230+G1230+H1230</f>
        <v/>
      </c>
      <c r="K1230">
        <f>Data!R1290</f>
        <v/>
      </c>
      <c r="L1230">
        <f>Data!T1290</f>
        <v/>
      </c>
      <c r="M1230">
        <f>AND(E1230=0,F1230=0,G1230=0,H1230=0,I1230=0,J1230=0,K1230=0,L1230=0)</f>
        <v/>
      </c>
      <c r="N1230">
        <f>G1230&lt;=$T$6</f>
        <v/>
      </c>
      <c r="O1230">
        <f>G1230&lt;=$T$12</f>
        <v/>
      </c>
      <c r="P1230">
        <f>OR(AND(H1230&gt;=$T$4,K1230&lt;=$T$5,N1230),M1230)</f>
        <v/>
      </c>
      <c r="Q1230">
        <f>OR(AND(I1230&gt;=$T$10,K1230&lt;=$T$11,O1230),M1230)</f>
        <v/>
      </c>
    </row>
    <row r="1231">
      <c r="A1231">
        <f>Data!E1291</f>
        <v/>
      </c>
      <c r="B1231">
        <f>Data!G1291</f>
        <v/>
      </c>
      <c r="C1231">
        <f>Data!H1291</f>
        <v/>
      </c>
      <c r="D1231">
        <f>Data!I1291</f>
        <v/>
      </c>
      <c r="E1231">
        <f>Data!M1291</f>
        <v/>
      </c>
      <c r="F1231">
        <f>Data!O1291</f>
        <v/>
      </c>
      <c r="G1231">
        <f>E1231-F1231</f>
        <v/>
      </c>
      <c r="H1231">
        <f>Data!P1291</f>
        <v/>
      </c>
      <c r="I1231">
        <f>G1231+H1231</f>
        <v/>
      </c>
      <c r="J1231">
        <f>F1231+G1231+H1231</f>
        <v/>
      </c>
      <c r="K1231">
        <f>Data!R1291</f>
        <v/>
      </c>
      <c r="L1231">
        <f>Data!T1291</f>
        <v/>
      </c>
      <c r="M1231">
        <f>AND(E1231=0,F1231=0,G1231=0,H1231=0,I1231=0,J1231=0,K1231=0,L1231=0)</f>
        <v/>
      </c>
      <c r="N1231">
        <f>G1231&lt;=$T$6</f>
        <v/>
      </c>
      <c r="O1231">
        <f>G1231&lt;=$T$12</f>
        <v/>
      </c>
      <c r="P1231">
        <f>OR(AND(H1231&gt;=$T$4,K1231&lt;=$T$5,N1231),M1231)</f>
        <v/>
      </c>
      <c r="Q1231">
        <f>OR(AND(I1231&gt;=$T$10,K1231&lt;=$T$11,O1231),M1231)</f>
        <v/>
      </c>
    </row>
    <row r="1232">
      <c r="A1232">
        <f>Data!E1292</f>
        <v/>
      </c>
      <c r="B1232">
        <f>Data!G1292</f>
        <v/>
      </c>
      <c r="C1232">
        <f>Data!H1292</f>
        <v/>
      </c>
      <c r="D1232">
        <f>Data!I1292</f>
        <v/>
      </c>
      <c r="E1232">
        <f>Data!M1292</f>
        <v/>
      </c>
      <c r="F1232">
        <f>Data!O1292</f>
        <v/>
      </c>
      <c r="G1232">
        <f>E1232-F1232</f>
        <v/>
      </c>
      <c r="H1232">
        <f>Data!P1292</f>
        <v/>
      </c>
      <c r="I1232">
        <f>G1232+H1232</f>
        <v/>
      </c>
      <c r="J1232">
        <f>F1232+G1232+H1232</f>
        <v/>
      </c>
      <c r="K1232">
        <f>Data!R1292</f>
        <v/>
      </c>
      <c r="L1232">
        <f>Data!T1292</f>
        <v/>
      </c>
      <c r="M1232">
        <f>AND(E1232=0,F1232=0,G1232=0,H1232=0,I1232=0,J1232=0,K1232=0,L1232=0)</f>
        <v/>
      </c>
      <c r="N1232">
        <f>G1232&lt;=$T$6</f>
        <v/>
      </c>
      <c r="O1232">
        <f>G1232&lt;=$T$12</f>
        <v/>
      </c>
      <c r="P1232">
        <f>OR(AND(H1232&gt;=$T$4,K1232&lt;=$T$5,N1232),M1232)</f>
        <v/>
      </c>
      <c r="Q1232">
        <f>OR(AND(I1232&gt;=$T$10,K1232&lt;=$T$11,O1232),M1232)</f>
        <v/>
      </c>
    </row>
    <row r="1233">
      <c r="A1233">
        <f>Data!E1293</f>
        <v/>
      </c>
      <c r="B1233">
        <f>Data!G1293</f>
        <v/>
      </c>
      <c r="C1233">
        <f>Data!H1293</f>
        <v/>
      </c>
      <c r="D1233">
        <f>Data!I1293</f>
        <v/>
      </c>
      <c r="E1233">
        <f>Data!M1293</f>
        <v/>
      </c>
      <c r="F1233">
        <f>Data!O1293</f>
        <v/>
      </c>
      <c r="G1233">
        <f>E1233-F1233</f>
        <v/>
      </c>
      <c r="H1233">
        <f>Data!P1293</f>
        <v/>
      </c>
      <c r="I1233">
        <f>G1233+H1233</f>
        <v/>
      </c>
      <c r="J1233">
        <f>F1233+G1233+H1233</f>
        <v/>
      </c>
      <c r="K1233">
        <f>Data!R1293</f>
        <v/>
      </c>
      <c r="L1233">
        <f>Data!T1293</f>
        <v/>
      </c>
      <c r="M1233">
        <f>AND(E1233=0,F1233=0,G1233=0,H1233=0,I1233=0,J1233=0,K1233=0,L1233=0)</f>
        <v/>
      </c>
      <c r="N1233">
        <f>G1233&lt;=$T$6</f>
        <v/>
      </c>
      <c r="O1233">
        <f>G1233&lt;=$T$12</f>
        <v/>
      </c>
      <c r="P1233">
        <f>OR(AND(H1233&gt;=$T$4,K1233&lt;=$T$5,N1233),M1233)</f>
        <v/>
      </c>
      <c r="Q1233">
        <f>OR(AND(I1233&gt;=$T$10,K1233&lt;=$T$11,O1233),M1233)</f>
        <v/>
      </c>
    </row>
    <row r="1234">
      <c r="A1234">
        <f>Data!E1294</f>
        <v/>
      </c>
      <c r="B1234">
        <f>Data!G1294</f>
        <v/>
      </c>
      <c r="C1234">
        <f>Data!H1294</f>
        <v/>
      </c>
      <c r="D1234">
        <f>Data!I1294</f>
        <v/>
      </c>
      <c r="E1234">
        <f>Data!M1294</f>
        <v/>
      </c>
      <c r="F1234">
        <f>Data!O1294</f>
        <v/>
      </c>
      <c r="G1234">
        <f>E1234-F1234</f>
        <v/>
      </c>
      <c r="H1234">
        <f>Data!P1294</f>
        <v/>
      </c>
      <c r="I1234">
        <f>G1234+H1234</f>
        <v/>
      </c>
      <c r="J1234">
        <f>F1234+G1234+H1234</f>
        <v/>
      </c>
      <c r="K1234">
        <f>Data!R1294</f>
        <v/>
      </c>
      <c r="L1234">
        <f>Data!T1294</f>
        <v/>
      </c>
      <c r="M1234">
        <f>AND(E1234=0,F1234=0,G1234=0,H1234=0,I1234=0,J1234=0,K1234=0,L1234=0)</f>
        <v/>
      </c>
      <c r="N1234">
        <f>G1234&lt;=$T$6</f>
        <v/>
      </c>
      <c r="O1234">
        <f>G1234&lt;=$T$12</f>
        <v/>
      </c>
      <c r="P1234">
        <f>OR(AND(H1234&gt;=$T$4,K1234&lt;=$T$5,N1234),M1234)</f>
        <v/>
      </c>
      <c r="Q1234">
        <f>OR(AND(I1234&gt;=$T$10,K1234&lt;=$T$11,O1234),M1234)</f>
        <v/>
      </c>
    </row>
    <row r="1235">
      <c r="A1235">
        <f>Data!E1295</f>
        <v/>
      </c>
      <c r="B1235">
        <f>Data!G1295</f>
        <v/>
      </c>
      <c r="C1235">
        <f>Data!H1295</f>
        <v/>
      </c>
      <c r="D1235">
        <f>Data!I1295</f>
        <v/>
      </c>
      <c r="E1235">
        <f>Data!M1295</f>
        <v/>
      </c>
      <c r="F1235">
        <f>Data!O1295</f>
        <v/>
      </c>
      <c r="G1235">
        <f>E1235-F1235</f>
        <v/>
      </c>
      <c r="H1235">
        <f>Data!P1295</f>
        <v/>
      </c>
      <c r="I1235">
        <f>G1235+H1235</f>
        <v/>
      </c>
      <c r="J1235">
        <f>F1235+G1235+H1235</f>
        <v/>
      </c>
      <c r="K1235">
        <f>Data!R1295</f>
        <v/>
      </c>
      <c r="L1235">
        <f>Data!T1295</f>
        <v/>
      </c>
      <c r="M1235">
        <f>AND(E1235=0,F1235=0,G1235=0,H1235=0,I1235=0,J1235=0,K1235=0,L1235=0)</f>
        <v/>
      </c>
      <c r="N1235">
        <f>G1235&lt;=$T$6</f>
        <v/>
      </c>
      <c r="O1235">
        <f>G1235&lt;=$T$12</f>
        <v/>
      </c>
      <c r="P1235">
        <f>OR(AND(H1235&gt;=$T$4,K1235&lt;=$T$5,N1235),M1235)</f>
        <v/>
      </c>
      <c r="Q1235">
        <f>OR(AND(I1235&gt;=$T$10,K1235&lt;=$T$11,O1235),M1235)</f>
        <v/>
      </c>
    </row>
    <row r="1236">
      <c r="A1236">
        <f>Data!E1296</f>
        <v/>
      </c>
      <c r="B1236">
        <f>Data!G1296</f>
        <v/>
      </c>
      <c r="C1236">
        <f>Data!H1296</f>
        <v/>
      </c>
      <c r="D1236">
        <f>Data!I1296</f>
        <v/>
      </c>
      <c r="E1236">
        <f>Data!M1296</f>
        <v/>
      </c>
      <c r="F1236">
        <f>Data!O1296</f>
        <v/>
      </c>
      <c r="G1236">
        <f>E1236-F1236</f>
        <v/>
      </c>
      <c r="H1236">
        <f>Data!P1296</f>
        <v/>
      </c>
      <c r="I1236">
        <f>G1236+H1236</f>
        <v/>
      </c>
      <c r="J1236">
        <f>F1236+G1236+H1236</f>
        <v/>
      </c>
      <c r="K1236">
        <f>Data!R1296</f>
        <v/>
      </c>
      <c r="L1236">
        <f>Data!T1296</f>
        <v/>
      </c>
      <c r="M1236">
        <f>AND(E1236=0,F1236=0,G1236=0,H1236=0,I1236=0,J1236=0,K1236=0,L1236=0)</f>
        <v/>
      </c>
      <c r="N1236">
        <f>G1236&lt;=$T$6</f>
        <v/>
      </c>
      <c r="O1236">
        <f>G1236&lt;=$T$12</f>
        <v/>
      </c>
      <c r="P1236">
        <f>OR(AND(H1236&gt;=$T$4,K1236&lt;=$T$5,N1236),M1236)</f>
        <v/>
      </c>
      <c r="Q1236">
        <f>OR(AND(I1236&gt;=$T$10,K1236&lt;=$T$11,O1236),M1236)</f>
        <v/>
      </c>
    </row>
    <row r="1237">
      <c r="A1237">
        <f>Data!E1297</f>
        <v/>
      </c>
      <c r="B1237">
        <f>Data!G1297</f>
        <v/>
      </c>
      <c r="C1237">
        <f>Data!H1297</f>
        <v/>
      </c>
      <c r="D1237">
        <f>Data!I1297</f>
        <v/>
      </c>
      <c r="E1237">
        <f>Data!M1297</f>
        <v/>
      </c>
      <c r="F1237">
        <f>Data!O1297</f>
        <v/>
      </c>
      <c r="G1237">
        <f>E1237-F1237</f>
        <v/>
      </c>
      <c r="H1237">
        <f>Data!P1297</f>
        <v/>
      </c>
      <c r="I1237">
        <f>G1237+H1237</f>
        <v/>
      </c>
      <c r="J1237">
        <f>F1237+G1237+H1237</f>
        <v/>
      </c>
      <c r="K1237">
        <f>Data!R1297</f>
        <v/>
      </c>
      <c r="L1237">
        <f>Data!T1297</f>
        <v/>
      </c>
      <c r="M1237">
        <f>AND(E1237=0,F1237=0,G1237=0,H1237=0,I1237=0,J1237=0,K1237=0,L1237=0)</f>
        <v/>
      </c>
      <c r="N1237">
        <f>G1237&lt;=$T$6</f>
        <v/>
      </c>
      <c r="O1237">
        <f>G1237&lt;=$T$12</f>
        <v/>
      </c>
      <c r="P1237">
        <f>OR(AND(H1237&gt;=$T$4,K1237&lt;=$T$5,N1237),M1237)</f>
        <v/>
      </c>
      <c r="Q1237">
        <f>OR(AND(I1237&gt;=$T$10,K1237&lt;=$T$11,O1237),M1237)</f>
        <v/>
      </c>
    </row>
    <row r="1238">
      <c r="A1238">
        <f>Data!E1298</f>
        <v/>
      </c>
      <c r="B1238">
        <f>Data!G1298</f>
        <v/>
      </c>
      <c r="C1238">
        <f>Data!H1298</f>
        <v/>
      </c>
      <c r="D1238">
        <f>Data!I1298</f>
        <v/>
      </c>
      <c r="E1238">
        <f>Data!M1298</f>
        <v/>
      </c>
      <c r="F1238">
        <f>Data!O1298</f>
        <v/>
      </c>
      <c r="G1238">
        <f>E1238-F1238</f>
        <v/>
      </c>
      <c r="H1238">
        <f>Data!P1298</f>
        <v/>
      </c>
      <c r="I1238">
        <f>G1238+H1238</f>
        <v/>
      </c>
      <c r="J1238">
        <f>F1238+G1238+H1238</f>
        <v/>
      </c>
      <c r="K1238">
        <f>Data!R1298</f>
        <v/>
      </c>
      <c r="L1238">
        <f>Data!T1298</f>
        <v/>
      </c>
      <c r="M1238">
        <f>AND(E1238=0,F1238=0,G1238=0,H1238=0,I1238=0,J1238=0,K1238=0,L1238=0)</f>
        <v/>
      </c>
      <c r="N1238">
        <f>G1238&lt;=$T$6</f>
        <v/>
      </c>
      <c r="O1238">
        <f>G1238&lt;=$T$12</f>
        <v/>
      </c>
      <c r="P1238">
        <f>OR(AND(H1238&gt;=$T$4,K1238&lt;=$T$5,N1238),M1238)</f>
        <v/>
      </c>
      <c r="Q1238">
        <f>OR(AND(I1238&gt;=$T$10,K1238&lt;=$T$11,O1238),M1238)</f>
        <v/>
      </c>
    </row>
    <row r="1239">
      <c r="A1239">
        <f>Data!E1299</f>
        <v/>
      </c>
      <c r="B1239">
        <f>Data!G1299</f>
        <v/>
      </c>
      <c r="C1239">
        <f>Data!H1299</f>
        <v/>
      </c>
      <c r="D1239">
        <f>Data!I1299</f>
        <v/>
      </c>
      <c r="E1239">
        <f>Data!M1299</f>
        <v/>
      </c>
      <c r="F1239">
        <f>Data!O1299</f>
        <v/>
      </c>
      <c r="G1239">
        <f>E1239-F1239</f>
        <v/>
      </c>
      <c r="H1239">
        <f>Data!P1299</f>
        <v/>
      </c>
      <c r="I1239">
        <f>G1239+H1239</f>
        <v/>
      </c>
      <c r="J1239">
        <f>F1239+G1239+H1239</f>
        <v/>
      </c>
      <c r="K1239">
        <f>Data!R1299</f>
        <v/>
      </c>
      <c r="L1239">
        <f>Data!T1299</f>
        <v/>
      </c>
      <c r="M1239">
        <f>AND(E1239=0,F1239=0,G1239=0,H1239=0,I1239=0,J1239=0,K1239=0,L1239=0)</f>
        <v/>
      </c>
      <c r="N1239">
        <f>G1239&lt;=$T$6</f>
        <v/>
      </c>
      <c r="O1239">
        <f>G1239&lt;=$T$12</f>
        <v/>
      </c>
      <c r="P1239">
        <f>OR(AND(H1239&gt;=$T$4,K1239&lt;=$T$5,N1239),M1239)</f>
        <v/>
      </c>
      <c r="Q1239">
        <f>OR(AND(I1239&gt;=$T$10,K1239&lt;=$T$11,O1239),M1239)</f>
        <v/>
      </c>
    </row>
    <row r="1240">
      <c r="A1240">
        <f>Data!E1300</f>
        <v/>
      </c>
      <c r="B1240">
        <f>Data!G1300</f>
        <v/>
      </c>
      <c r="C1240">
        <f>Data!H1300</f>
        <v/>
      </c>
      <c r="D1240">
        <f>Data!I1300</f>
        <v/>
      </c>
      <c r="E1240">
        <f>Data!M1300</f>
        <v/>
      </c>
      <c r="F1240">
        <f>Data!O1300</f>
        <v/>
      </c>
      <c r="G1240">
        <f>E1240-F1240</f>
        <v/>
      </c>
      <c r="H1240">
        <f>Data!P1300</f>
        <v/>
      </c>
      <c r="I1240">
        <f>G1240+H1240</f>
        <v/>
      </c>
      <c r="J1240">
        <f>F1240+G1240+H1240</f>
        <v/>
      </c>
      <c r="K1240">
        <f>Data!R1300</f>
        <v/>
      </c>
      <c r="L1240">
        <f>Data!T1300</f>
        <v/>
      </c>
      <c r="M1240">
        <f>AND(E1240=0,F1240=0,G1240=0,H1240=0,I1240=0,J1240=0,K1240=0,L1240=0)</f>
        <v/>
      </c>
      <c r="N1240">
        <f>G1240&lt;=$T$6</f>
        <v/>
      </c>
      <c r="O1240">
        <f>G1240&lt;=$T$12</f>
        <v/>
      </c>
      <c r="P1240">
        <f>OR(AND(H1240&gt;=$T$4,K1240&lt;=$T$5,N1240),M1240)</f>
        <v/>
      </c>
      <c r="Q1240">
        <f>OR(AND(I1240&gt;=$T$10,K1240&lt;=$T$11,O1240),M1240)</f>
        <v/>
      </c>
    </row>
    <row r="1241">
      <c r="A1241">
        <f>Data!E1301</f>
        <v/>
      </c>
      <c r="B1241">
        <f>Data!G1301</f>
        <v/>
      </c>
      <c r="C1241">
        <f>Data!H1301</f>
        <v/>
      </c>
      <c r="D1241">
        <f>Data!I1301</f>
        <v/>
      </c>
      <c r="E1241">
        <f>Data!M1301</f>
        <v/>
      </c>
      <c r="F1241">
        <f>Data!O1301</f>
        <v/>
      </c>
      <c r="G1241">
        <f>E1241-F1241</f>
        <v/>
      </c>
      <c r="H1241">
        <f>Data!P1301</f>
        <v/>
      </c>
      <c r="I1241">
        <f>G1241+H1241</f>
        <v/>
      </c>
      <c r="J1241">
        <f>F1241+G1241+H1241</f>
        <v/>
      </c>
      <c r="K1241">
        <f>Data!R1301</f>
        <v/>
      </c>
      <c r="L1241">
        <f>Data!T1301</f>
        <v/>
      </c>
      <c r="M1241">
        <f>AND(E1241=0,F1241=0,G1241=0,H1241=0,I1241=0,J1241=0,K1241=0,L1241=0)</f>
        <v/>
      </c>
      <c r="N1241">
        <f>G1241&lt;=$T$6</f>
        <v/>
      </c>
      <c r="O1241">
        <f>G1241&lt;=$T$12</f>
        <v/>
      </c>
      <c r="P1241">
        <f>OR(AND(H1241&gt;=$T$4,K1241&lt;=$T$5,N1241),M1241)</f>
        <v/>
      </c>
      <c r="Q1241">
        <f>OR(AND(I1241&gt;=$T$10,K1241&lt;=$T$11,O1241),M1241)</f>
        <v/>
      </c>
    </row>
    <row r="1242">
      <c r="A1242">
        <f>Data!E1302</f>
        <v/>
      </c>
      <c r="B1242">
        <f>Data!G1302</f>
        <v/>
      </c>
      <c r="C1242">
        <f>Data!H1302</f>
        <v/>
      </c>
      <c r="D1242">
        <f>Data!I1302</f>
        <v/>
      </c>
      <c r="E1242">
        <f>Data!M1302</f>
        <v/>
      </c>
      <c r="F1242">
        <f>Data!O1302</f>
        <v/>
      </c>
      <c r="G1242">
        <f>E1242-F1242</f>
        <v/>
      </c>
      <c r="H1242">
        <f>Data!P1302</f>
        <v/>
      </c>
      <c r="I1242">
        <f>G1242+H1242</f>
        <v/>
      </c>
      <c r="J1242">
        <f>F1242+G1242+H1242</f>
        <v/>
      </c>
      <c r="K1242">
        <f>Data!R1302</f>
        <v/>
      </c>
      <c r="L1242">
        <f>Data!T1302</f>
        <v/>
      </c>
      <c r="M1242">
        <f>AND(E1242=0,F1242=0,G1242=0,H1242=0,I1242=0,J1242=0,K1242=0,L1242=0)</f>
        <v/>
      </c>
      <c r="N1242">
        <f>G1242&lt;=$T$6</f>
        <v/>
      </c>
      <c r="O1242">
        <f>G1242&lt;=$T$12</f>
        <v/>
      </c>
      <c r="P1242">
        <f>OR(AND(H1242&gt;=$T$4,K1242&lt;=$T$5,N1242),M1242)</f>
        <v/>
      </c>
      <c r="Q1242">
        <f>OR(AND(I1242&gt;=$T$10,K1242&lt;=$T$11,O1242),M1242)</f>
        <v/>
      </c>
    </row>
    <row r="1243">
      <c r="A1243">
        <f>Data!E1304</f>
        <v/>
      </c>
      <c r="B1243">
        <f>Data!G1304</f>
        <v/>
      </c>
      <c r="C1243">
        <f>Data!H1304</f>
        <v/>
      </c>
      <c r="D1243">
        <f>Data!I1304</f>
        <v/>
      </c>
      <c r="E1243">
        <f>Data!M1304</f>
        <v/>
      </c>
      <c r="F1243">
        <f>Data!O1304</f>
        <v/>
      </c>
      <c r="G1243">
        <f>E1243-F1243</f>
        <v/>
      </c>
      <c r="H1243">
        <f>Data!P1304</f>
        <v/>
      </c>
      <c r="I1243">
        <f>G1243+H1243</f>
        <v/>
      </c>
      <c r="J1243">
        <f>F1243+G1243+H1243</f>
        <v/>
      </c>
      <c r="K1243">
        <f>Data!R1304</f>
        <v/>
      </c>
      <c r="L1243">
        <f>Data!T1304</f>
        <v/>
      </c>
      <c r="M1243">
        <f>AND(E1243=0,F1243=0,G1243=0,H1243=0,I1243=0,J1243=0,K1243=0,L1243=0)</f>
        <v/>
      </c>
      <c r="N1243">
        <f>G1243&lt;=$T$6</f>
        <v/>
      </c>
      <c r="O1243">
        <f>G1243&lt;=$T$12</f>
        <v/>
      </c>
      <c r="P1243">
        <f>OR(AND(H1243&gt;=$T$4,K1243&lt;=$T$5,N1243),M1243)</f>
        <v/>
      </c>
      <c r="Q1243">
        <f>OR(AND(I1243&gt;=$T$10,K1243&lt;=$T$11,O1243),M1243)</f>
        <v/>
      </c>
    </row>
    <row r="1244">
      <c r="A1244">
        <f>Data!E1305</f>
        <v/>
      </c>
      <c r="B1244">
        <f>Data!G1305</f>
        <v/>
      </c>
      <c r="C1244">
        <f>Data!H1305</f>
        <v/>
      </c>
      <c r="D1244">
        <f>Data!I1305</f>
        <v/>
      </c>
      <c r="E1244">
        <f>Data!M1305</f>
        <v/>
      </c>
      <c r="F1244">
        <f>Data!O1305</f>
        <v/>
      </c>
      <c r="G1244">
        <f>E1244-F1244</f>
        <v/>
      </c>
      <c r="H1244">
        <f>Data!P1305</f>
        <v/>
      </c>
      <c r="I1244">
        <f>G1244+H1244</f>
        <v/>
      </c>
      <c r="J1244">
        <f>F1244+G1244+H1244</f>
        <v/>
      </c>
      <c r="K1244">
        <f>Data!R1305</f>
        <v/>
      </c>
      <c r="L1244">
        <f>Data!T1305</f>
        <v/>
      </c>
      <c r="M1244">
        <f>AND(E1244=0,F1244=0,G1244=0,H1244=0,I1244=0,J1244=0,K1244=0,L1244=0)</f>
        <v/>
      </c>
      <c r="N1244">
        <f>G1244&lt;=$T$6</f>
        <v/>
      </c>
      <c r="O1244">
        <f>G1244&lt;=$T$12</f>
        <v/>
      </c>
      <c r="P1244">
        <f>OR(AND(H1244&gt;=$T$4,K1244&lt;=$T$5,N1244),M1244)</f>
        <v/>
      </c>
      <c r="Q1244">
        <f>OR(AND(I1244&gt;=$T$10,K1244&lt;=$T$11,O1244),M1244)</f>
        <v/>
      </c>
    </row>
    <row r="1245">
      <c r="A1245">
        <f>Data!E1306</f>
        <v/>
      </c>
      <c r="B1245">
        <f>Data!G1306</f>
        <v/>
      </c>
      <c r="C1245">
        <f>Data!H1306</f>
        <v/>
      </c>
      <c r="D1245">
        <f>Data!I1306</f>
        <v/>
      </c>
      <c r="E1245">
        <f>Data!M1306</f>
        <v/>
      </c>
      <c r="F1245">
        <f>Data!O1306</f>
        <v/>
      </c>
      <c r="G1245">
        <f>E1245-F1245</f>
        <v/>
      </c>
      <c r="H1245">
        <f>Data!P1306</f>
        <v/>
      </c>
      <c r="I1245">
        <f>G1245+H1245</f>
        <v/>
      </c>
      <c r="J1245">
        <f>F1245+G1245+H1245</f>
        <v/>
      </c>
      <c r="K1245">
        <f>Data!R1306</f>
        <v/>
      </c>
      <c r="L1245">
        <f>Data!T1306</f>
        <v/>
      </c>
      <c r="M1245">
        <f>AND(E1245=0,F1245=0,G1245=0,H1245=0,I1245=0,J1245=0,K1245=0,L1245=0)</f>
        <v/>
      </c>
      <c r="N1245">
        <f>G1245&lt;=$T$6</f>
        <v/>
      </c>
      <c r="O1245">
        <f>G1245&lt;=$T$12</f>
        <v/>
      </c>
      <c r="P1245">
        <f>OR(AND(H1245&gt;=$T$4,K1245&lt;=$T$5,N1245),M1245)</f>
        <v/>
      </c>
      <c r="Q1245">
        <f>OR(AND(I1245&gt;=$T$10,K1245&lt;=$T$11,O1245),M1245)</f>
        <v/>
      </c>
    </row>
    <row r="1246">
      <c r="A1246">
        <f>Data!E1307</f>
        <v/>
      </c>
      <c r="B1246">
        <f>Data!G1307</f>
        <v/>
      </c>
      <c r="C1246">
        <f>Data!H1307</f>
        <v/>
      </c>
      <c r="D1246">
        <f>Data!I1307</f>
        <v/>
      </c>
      <c r="E1246">
        <f>Data!M1307</f>
        <v/>
      </c>
      <c r="F1246">
        <f>Data!O1307</f>
        <v/>
      </c>
      <c r="G1246">
        <f>E1246-F1246</f>
        <v/>
      </c>
      <c r="H1246">
        <f>Data!P1307</f>
        <v/>
      </c>
      <c r="I1246">
        <f>G1246+H1246</f>
        <v/>
      </c>
      <c r="J1246">
        <f>F1246+G1246+H1246</f>
        <v/>
      </c>
      <c r="K1246">
        <f>Data!R1307</f>
        <v/>
      </c>
      <c r="L1246">
        <f>Data!T1307</f>
        <v/>
      </c>
      <c r="M1246">
        <f>AND(E1246=0,F1246=0,G1246=0,H1246=0,I1246=0,J1246=0,K1246=0,L1246=0)</f>
        <v/>
      </c>
      <c r="N1246">
        <f>G1246&lt;=$T$6</f>
        <v/>
      </c>
      <c r="O1246">
        <f>G1246&lt;=$T$12</f>
        <v/>
      </c>
      <c r="P1246">
        <f>OR(AND(H1246&gt;=$T$4,K1246&lt;=$T$5,N1246),M1246)</f>
        <v/>
      </c>
      <c r="Q1246">
        <f>OR(AND(I1246&gt;=$T$10,K1246&lt;=$T$11,O1246),M1246)</f>
        <v/>
      </c>
    </row>
    <row r="1247">
      <c r="A1247">
        <f>Data!E1308</f>
        <v/>
      </c>
      <c r="B1247">
        <f>Data!G1308</f>
        <v/>
      </c>
      <c r="C1247">
        <f>Data!H1308</f>
        <v/>
      </c>
      <c r="D1247">
        <f>Data!I1308</f>
        <v/>
      </c>
      <c r="E1247">
        <f>Data!M1308</f>
        <v/>
      </c>
      <c r="F1247">
        <f>Data!O1308</f>
        <v/>
      </c>
      <c r="G1247">
        <f>E1247-F1247</f>
        <v/>
      </c>
      <c r="H1247">
        <f>Data!P1308</f>
        <v/>
      </c>
      <c r="I1247">
        <f>G1247+H1247</f>
        <v/>
      </c>
      <c r="J1247">
        <f>F1247+G1247+H1247</f>
        <v/>
      </c>
      <c r="K1247">
        <f>Data!R1308</f>
        <v/>
      </c>
      <c r="L1247">
        <f>Data!T1308</f>
        <v/>
      </c>
      <c r="M1247">
        <f>AND(E1247=0,F1247=0,G1247=0,H1247=0,I1247=0,J1247=0,K1247=0,L1247=0)</f>
        <v/>
      </c>
      <c r="N1247">
        <f>G1247&lt;=$T$6</f>
        <v/>
      </c>
      <c r="O1247">
        <f>G1247&lt;=$T$12</f>
        <v/>
      </c>
      <c r="P1247">
        <f>OR(AND(H1247&gt;=$T$4,K1247&lt;=$T$5,N1247),M1247)</f>
        <v/>
      </c>
      <c r="Q1247">
        <f>OR(AND(I1247&gt;=$T$10,K1247&lt;=$T$11,O1247),M1247)</f>
        <v/>
      </c>
    </row>
    <row r="1248">
      <c r="A1248">
        <f>Data!E1309</f>
        <v/>
      </c>
      <c r="B1248">
        <f>Data!G1309</f>
        <v/>
      </c>
      <c r="C1248">
        <f>Data!H1309</f>
        <v/>
      </c>
      <c r="D1248">
        <f>Data!I1309</f>
        <v/>
      </c>
      <c r="E1248">
        <f>Data!M1309</f>
        <v/>
      </c>
      <c r="F1248">
        <f>Data!O1309</f>
        <v/>
      </c>
      <c r="G1248">
        <f>E1248-F1248</f>
        <v/>
      </c>
      <c r="H1248">
        <f>Data!P1309</f>
        <v/>
      </c>
      <c r="I1248">
        <f>G1248+H1248</f>
        <v/>
      </c>
      <c r="J1248">
        <f>F1248+G1248+H1248</f>
        <v/>
      </c>
      <c r="K1248">
        <f>Data!R1309</f>
        <v/>
      </c>
      <c r="L1248">
        <f>Data!T1309</f>
        <v/>
      </c>
      <c r="M1248">
        <f>AND(E1248=0,F1248=0,G1248=0,H1248=0,I1248=0,J1248=0,K1248=0,L1248=0)</f>
        <v/>
      </c>
      <c r="N1248">
        <f>G1248&lt;=$T$6</f>
        <v/>
      </c>
      <c r="O1248">
        <f>G1248&lt;=$T$12</f>
        <v/>
      </c>
      <c r="P1248">
        <f>OR(AND(H1248&gt;=$T$4,K1248&lt;=$T$5,N1248),M1248)</f>
        <v/>
      </c>
      <c r="Q1248">
        <f>OR(AND(I1248&gt;=$T$10,K1248&lt;=$T$11,O1248),M1248)</f>
        <v/>
      </c>
    </row>
    <row r="1249">
      <c r="A1249">
        <f>Data!E1310</f>
        <v/>
      </c>
      <c r="B1249">
        <f>Data!G1310</f>
        <v/>
      </c>
      <c r="C1249">
        <f>Data!H1310</f>
        <v/>
      </c>
      <c r="D1249">
        <f>Data!I1310</f>
        <v/>
      </c>
      <c r="E1249">
        <f>Data!M1310</f>
        <v/>
      </c>
      <c r="F1249">
        <f>Data!O1310</f>
        <v/>
      </c>
      <c r="G1249">
        <f>E1249-F1249</f>
        <v/>
      </c>
      <c r="H1249">
        <f>Data!P1310</f>
        <v/>
      </c>
      <c r="I1249">
        <f>G1249+H1249</f>
        <v/>
      </c>
      <c r="J1249">
        <f>F1249+G1249+H1249</f>
        <v/>
      </c>
      <c r="K1249">
        <f>Data!R1310</f>
        <v/>
      </c>
      <c r="L1249">
        <f>Data!T1310</f>
        <v/>
      </c>
      <c r="M1249">
        <f>AND(E1249=0,F1249=0,G1249=0,H1249=0,I1249=0,J1249=0,K1249=0,L1249=0)</f>
        <v/>
      </c>
      <c r="N1249">
        <f>G1249&lt;=$T$6</f>
        <v/>
      </c>
      <c r="O1249">
        <f>G1249&lt;=$T$12</f>
        <v/>
      </c>
      <c r="P1249">
        <f>OR(AND(H1249&gt;=$T$4,K1249&lt;=$T$5,N1249),M1249)</f>
        <v/>
      </c>
      <c r="Q1249">
        <f>OR(AND(I1249&gt;=$T$10,K1249&lt;=$T$11,O1249),M1249)</f>
        <v/>
      </c>
    </row>
    <row r="1250">
      <c r="A1250">
        <f>Data!E1311</f>
        <v/>
      </c>
      <c r="B1250">
        <f>Data!G1311</f>
        <v/>
      </c>
      <c r="C1250">
        <f>Data!H1311</f>
        <v/>
      </c>
      <c r="D1250">
        <f>Data!I1311</f>
        <v/>
      </c>
      <c r="E1250">
        <f>Data!M1311</f>
        <v/>
      </c>
      <c r="F1250">
        <f>Data!O1311</f>
        <v/>
      </c>
      <c r="G1250">
        <f>E1250-F1250</f>
        <v/>
      </c>
      <c r="H1250">
        <f>Data!P1311</f>
        <v/>
      </c>
      <c r="I1250">
        <f>G1250+H1250</f>
        <v/>
      </c>
      <c r="J1250">
        <f>F1250+G1250+H1250</f>
        <v/>
      </c>
      <c r="K1250">
        <f>Data!R1311</f>
        <v/>
      </c>
      <c r="L1250">
        <f>Data!T1311</f>
        <v/>
      </c>
      <c r="M1250">
        <f>AND(E1250=0,F1250=0,G1250=0,H1250=0,I1250=0,J1250=0,K1250=0,L1250=0)</f>
        <v/>
      </c>
      <c r="N1250">
        <f>G1250&lt;=$T$6</f>
        <v/>
      </c>
      <c r="O1250">
        <f>G1250&lt;=$T$12</f>
        <v/>
      </c>
      <c r="P1250">
        <f>OR(AND(H1250&gt;=$T$4,K1250&lt;=$T$5,N1250),M1250)</f>
        <v/>
      </c>
      <c r="Q1250">
        <f>OR(AND(I1250&gt;=$T$10,K1250&lt;=$T$11,O1250),M1250)</f>
        <v/>
      </c>
    </row>
    <row r="1251">
      <c r="A1251">
        <f>Data!E1312</f>
        <v/>
      </c>
      <c r="B1251">
        <f>Data!G1312</f>
        <v/>
      </c>
      <c r="C1251">
        <f>Data!H1312</f>
        <v/>
      </c>
      <c r="D1251">
        <f>Data!I1312</f>
        <v/>
      </c>
      <c r="E1251">
        <f>Data!M1312</f>
        <v/>
      </c>
      <c r="F1251">
        <f>Data!O1312</f>
        <v/>
      </c>
      <c r="G1251">
        <f>E1251-F1251</f>
        <v/>
      </c>
      <c r="H1251">
        <f>Data!P1312</f>
        <v/>
      </c>
      <c r="I1251">
        <f>G1251+H1251</f>
        <v/>
      </c>
      <c r="J1251">
        <f>F1251+G1251+H1251</f>
        <v/>
      </c>
      <c r="K1251">
        <f>Data!R1312</f>
        <v/>
      </c>
      <c r="L1251">
        <f>Data!T1312</f>
        <v/>
      </c>
      <c r="M1251">
        <f>AND(E1251=0,F1251=0,G1251=0,H1251=0,I1251=0,J1251=0,K1251=0,L1251=0)</f>
        <v/>
      </c>
      <c r="N1251">
        <f>G1251&lt;=$T$6</f>
        <v/>
      </c>
      <c r="O1251">
        <f>G1251&lt;=$T$12</f>
        <v/>
      </c>
      <c r="P1251">
        <f>OR(AND(H1251&gt;=$T$4,K1251&lt;=$T$5,N1251),M1251)</f>
        <v/>
      </c>
      <c r="Q1251">
        <f>OR(AND(I1251&gt;=$T$10,K1251&lt;=$T$11,O1251),M1251)</f>
        <v/>
      </c>
    </row>
    <row r="1252">
      <c r="A1252">
        <f>Data!E1313</f>
        <v/>
      </c>
      <c r="B1252">
        <f>Data!G1313</f>
        <v/>
      </c>
      <c r="C1252">
        <f>Data!H1313</f>
        <v/>
      </c>
      <c r="D1252">
        <f>Data!I1313</f>
        <v/>
      </c>
      <c r="E1252">
        <f>Data!M1313</f>
        <v/>
      </c>
      <c r="F1252">
        <f>Data!O1313</f>
        <v/>
      </c>
      <c r="G1252">
        <f>E1252-F1252</f>
        <v/>
      </c>
      <c r="H1252">
        <f>Data!P1313</f>
        <v/>
      </c>
      <c r="I1252">
        <f>G1252+H1252</f>
        <v/>
      </c>
      <c r="J1252">
        <f>F1252+G1252+H1252</f>
        <v/>
      </c>
      <c r="K1252">
        <f>Data!R1313</f>
        <v/>
      </c>
      <c r="L1252">
        <f>Data!T1313</f>
        <v/>
      </c>
      <c r="M1252">
        <f>AND(E1252=0,F1252=0,G1252=0,H1252=0,I1252=0,J1252=0,K1252=0,L1252=0)</f>
        <v/>
      </c>
      <c r="N1252">
        <f>G1252&lt;=$T$6</f>
        <v/>
      </c>
      <c r="O1252">
        <f>G1252&lt;=$T$12</f>
        <v/>
      </c>
      <c r="P1252">
        <f>OR(AND(H1252&gt;=$T$4,K1252&lt;=$T$5,N1252),M1252)</f>
        <v/>
      </c>
      <c r="Q1252">
        <f>OR(AND(I1252&gt;=$T$10,K1252&lt;=$T$11,O1252),M1252)</f>
        <v/>
      </c>
    </row>
    <row r="1253">
      <c r="A1253">
        <f>Data!E1314</f>
        <v/>
      </c>
      <c r="B1253">
        <f>Data!G1314</f>
        <v/>
      </c>
      <c r="C1253">
        <f>Data!H1314</f>
        <v/>
      </c>
      <c r="D1253">
        <f>Data!I1314</f>
        <v/>
      </c>
      <c r="E1253">
        <f>Data!M1314</f>
        <v/>
      </c>
      <c r="F1253">
        <f>Data!O1314</f>
        <v/>
      </c>
      <c r="G1253">
        <f>E1253-F1253</f>
        <v/>
      </c>
      <c r="H1253">
        <f>Data!P1314</f>
        <v/>
      </c>
      <c r="I1253">
        <f>G1253+H1253</f>
        <v/>
      </c>
      <c r="J1253">
        <f>F1253+G1253+H1253</f>
        <v/>
      </c>
      <c r="K1253">
        <f>Data!R1314</f>
        <v/>
      </c>
      <c r="L1253">
        <f>Data!T1314</f>
        <v/>
      </c>
      <c r="M1253">
        <f>AND(E1253=0,F1253=0,G1253=0,H1253=0,I1253=0,J1253=0,K1253=0,L1253=0)</f>
        <v/>
      </c>
      <c r="N1253">
        <f>G1253&lt;=$T$6</f>
        <v/>
      </c>
      <c r="O1253">
        <f>G1253&lt;=$T$12</f>
        <v/>
      </c>
      <c r="P1253">
        <f>OR(AND(H1253&gt;=$T$4,K1253&lt;=$T$5,N1253),M1253)</f>
        <v/>
      </c>
      <c r="Q1253">
        <f>OR(AND(I1253&gt;=$T$10,K1253&lt;=$T$11,O1253),M1253)</f>
        <v/>
      </c>
    </row>
    <row r="1254">
      <c r="A1254">
        <f>Data!E1315</f>
        <v/>
      </c>
      <c r="B1254">
        <f>Data!G1315</f>
        <v/>
      </c>
      <c r="C1254">
        <f>Data!H1315</f>
        <v/>
      </c>
      <c r="D1254">
        <f>Data!I1315</f>
        <v/>
      </c>
      <c r="E1254">
        <f>Data!M1315</f>
        <v/>
      </c>
      <c r="F1254">
        <f>Data!O1315</f>
        <v/>
      </c>
      <c r="G1254">
        <f>E1254-F1254</f>
        <v/>
      </c>
      <c r="H1254">
        <f>Data!P1315</f>
        <v/>
      </c>
      <c r="I1254">
        <f>G1254+H1254</f>
        <v/>
      </c>
      <c r="J1254">
        <f>F1254+G1254+H1254</f>
        <v/>
      </c>
      <c r="K1254">
        <f>Data!R1315</f>
        <v/>
      </c>
      <c r="L1254">
        <f>Data!T1315</f>
        <v/>
      </c>
      <c r="M1254">
        <f>AND(E1254=0,F1254=0,G1254=0,H1254=0,I1254=0,J1254=0,K1254=0,L1254=0)</f>
        <v/>
      </c>
      <c r="N1254">
        <f>G1254&lt;=$T$6</f>
        <v/>
      </c>
      <c r="O1254">
        <f>G1254&lt;=$T$12</f>
        <v/>
      </c>
      <c r="P1254">
        <f>OR(AND(H1254&gt;=$T$4,K1254&lt;=$T$5,N1254),M1254)</f>
        <v/>
      </c>
      <c r="Q1254">
        <f>OR(AND(I1254&gt;=$T$10,K1254&lt;=$T$11,O1254),M1254)</f>
        <v/>
      </c>
    </row>
    <row r="1255">
      <c r="A1255">
        <f>Data!E1316</f>
        <v/>
      </c>
      <c r="B1255">
        <f>Data!G1316</f>
        <v/>
      </c>
      <c r="C1255">
        <f>Data!H1316</f>
        <v/>
      </c>
      <c r="D1255">
        <f>Data!I1316</f>
        <v/>
      </c>
      <c r="E1255">
        <f>Data!M1316</f>
        <v/>
      </c>
      <c r="F1255">
        <f>Data!O1316</f>
        <v/>
      </c>
      <c r="G1255">
        <f>E1255-F1255</f>
        <v/>
      </c>
      <c r="H1255">
        <f>Data!P1316</f>
        <v/>
      </c>
      <c r="I1255">
        <f>G1255+H1255</f>
        <v/>
      </c>
      <c r="J1255">
        <f>F1255+G1255+H1255</f>
        <v/>
      </c>
      <c r="K1255">
        <f>Data!R1316</f>
        <v/>
      </c>
      <c r="L1255">
        <f>Data!T1316</f>
        <v/>
      </c>
      <c r="M1255">
        <f>AND(E1255=0,F1255=0,G1255=0,H1255=0,I1255=0,J1255=0,K1255=0,L1255=0)</f>
        <v/>
      </c>
      <c r="N1255">
        <f>G1255&lt;=$T$6</f>
        <v/>
      </c>
      <c r="O1255">
        <f>G1255&lt;=$T$12</f>
        <v/>
      </c>
      <c r="P1255">
        <f>OR(AND(H1255&gt;=$T$4,K1255&lt;=$T$5,N1255),M1255)</f>
        <v/>
      </c>
      <c r="Q1255">
        <f>OR(AND(I1255&gt;=$T$10,K1255&lt;=$T$11,O1255),M1255)</f>
        <v/>
      </c>
    </row>
    <row r="1256">
      <c r="A1256">
        <f>Data!E1318</f>
        <v/>
      </c>
      <c r="B1256">
        <f>Data!G1318</f>
        <v/>
      </c>
      <c r="C1256">
        <f>Data!H1318</f>
        <v/>
      </c>
      <c r="D1256">
        <f>Data!I1318</f>
        <v/>
      </c>
      <c r="E1256">
        <f>Data!M1318</f>
        <v/>
      </c>
      <c r="F1256">
        <f>Data!O1318</f>
        <v/>
      </c>
      <c r="G1256">
        <f>E1256-F1256</f>
        <v/>
      </c>
      <c r="H1256">
        <f>Data!P1318</f>
        <v/>
      </c>
      <c r="I1256">
        <f>G1256+H1256</f>
        <v/>
      </c>
      <c r="J1256">
        <f>F1256+G1256+H1256</f>
        <v/>
      </c>
      <c r="K1256">
        <f>Data!R1318</f>
        <v/>
      </c>
      <c r="L1256">
        <f>Data!T1318</f>
        <v/>
      </c>
      <c r="M1256">
        <f>AND(E1256=0,F1256=0,G1256=0,H1256=0,I1256=0,J1256=0,K1256=0,L1256=0)</f>
        <v/>
      </c>
      <c r="N1256">
        <f>G1256&lt;=$T$6</f>
        <v/>
      </c>
      <c r="O1256">
        <f>G1256&lt;=$T$12</f>
        <v/>
      </c>
      <c r="P1256">
        <f>OR(AND(H1256&gt;=$T$4,K1256&lt;=$T$5,N1256),M1256)</f>
        <v/>
      </c>
      <c r="Q1256">
        <f>OR(AND(I1256&gt;=$T$10,K1256&lt;=$T$11,O1256),M1256)</f>
        <v/>
      </c>
    </row>
    <row r="1257">
      <c r="A1257">
        <f>Data!E1319</f>
        <v/>
      </c>
      <c r="B1257">
        <f>Data!G1319</f>
        <v/>
      </c>
      <c r="C1257">
        <f>Data!H1319</f>
        <v/>
      </c>
      <c r="D1257">
        <f>Data!I1319</f>
        <v/>
      </c>
      <c r="E1257">
        <f>Data!M1319</f>
        <v/>
      </c>
      <c r="F1257">
        <f>Data!O1319</f>
        <v/>
      </c>
      <c r="G1257">
        <f>E1257-F1257</f>
        <v/>
      </c>
      <c r="H1257">
        <f>Data!P1319</f>
        <v/>
      </c>
      <c r="I1257">
        <f>G1257+H1257</f>
        <v/>
      </c>
      <c r="J1257">
        <f>F1257+G1257+H1257</f>
        <v/>
      </c>
      <c r="K1257">
        <f>Data!R1319</f>
        <v/>
      </c>
      <c r="L1257">
        <f>Data!T1319</f>
        <v/>
      </c>
      <c r="M1257">
        <f>AND(E1257=0,F1257=0,G1257=0,H1257=0,I1257=0,J1257=0,K1257=0,L1257=0)</f>
        <v/>
      </c>
      <c r="N1257">
        <f>G1257&lt;=$T$6</f>
        <v/>
      </c>
      <c r="O1257">
        <f>G1257&lt;=$T$12</f>
        <v/>
      </c>
      <c r="P1257">
        <f>OR(AND(H1257&gt;=$T$4,K1257&lt;=$T$5,N1257),M1257)</f>
        <v/>
      </c>
      <c r="Q1257">
        <f>OR(AND(I1257&gt;=$T$10,K1257&lt;=$T$11,O1257),M1257)</f>
        <v/>
      </c>
    </row>
    <row r="1258">
      <c r="A1258">
        <f>Data!E1320</f>
        <v/>
      </c>
      <c r="B1258">
        <f>Data!G1320</f>
        <v/>
      </c>
      <c r="C1258">
        <f>Data!H1320</f>
        <v/>
      </c>
      <c r="D1258">
        <f>Data!I1320</f>
        <v/>
      </c>
      <c r="E1258">
        <f>Data!M1320</f>
        <v/>
      </c>
      <c r="F1258">
        <f>Data!O1320</f>
        <v/>
      </c>
      <c r="G1258">
        <f>E1258-F1258</f>
        <v/>
      </c>
      <c r="H1258">
        <f>Data!P1320</f>
        <v/>
      </c>
      <c r="I1258">
        <f>G1258+H1258</f>
        <v/>
      </c>
      <c r="J1258">
        <f>F1258+G1258+H1258</f>
        <v/>
      </c>
      <c r="K1258">
        <f>Data!R1320</f>
        <v/>
      </c>
      <c r="L1258">
        <f>Data!T1320</f>
        <v/>
      </c>
      <c r="M1258">
        <f>AND(E1258=0,F1258=0,G1258=0,H1258=0,I1258=0,J1258=0,K1258=0,L1258=0)</f>
        <v/>
      </c>
      <c r="N1258">
        <f>G1258&lt;=$T$6</f>
        <v/>
      </c>
      <c r="O1258">
        <f>G1258&lt;=$T$12</f>
        <v/>
      </c>
      <c r="P1258">
        <f>OR(AND(H1258&gt;=$T$4,K1258&lt;=$T$5,N1258),M1258)</f>
        <v/>
      </c>
      <c r="Q1258">
        <f>OR(AND(I1258&gt;=$T$10,K1258&lt;=$T$11,O1258),M1258)</f>
        <v/>
      </c>
    </row>
    <row r="1259">
      <c r="A1259">
        <f>Data!E1321</f>
        <v/>
      </c>
      <c r="B1259">
        <f>Data!G1321</f>
        <v/>
      </c>
      <c r="C1259">
        <f>Data!H1321</f>
        <v/>
      </c>
      <c r="D1259">
        <f>Data!I1321</f>
        <v/>
      </c>
      <c r="E1259">
        <f>Data!M1321</f>
        <v/>
      </c>
      <c r="F1259">
        <f>Data!O1321</f>
        <v/>
      </c>
      <c r="G1259">
        <f>E1259-F1259</f>
        <v/>
      </c>
      <c r="H1259">
        <f>Data!P1321</f>
        <v/>
      </c>
      <c r="I1259">
        <f>G1259+H1259</f>
        <v/>
      </c>
      <c r="J1259">
        <f>F1259+G1259+H1259</f>
        <v/>
      </c>
      <c r="K1259">
        <f>Data!R1321</f>
        <v/>
      </c>
      <c r="L1259">
        <f>Data!T1321</f>
        <v/>
      </c>
      <c r="M1259">
        <f>AND(E1259=0,F1259=0,G1259=0,H1259=0,I1259=0,J1259=0,K1259=0,L1259=0)</f>
        <v/>
      </c>
      <c r="N1259">
        <f>G1259&lt;=$T$6</f>
        <v/>
      </c>
      <c r="O1259">
        <f>G1259&lt;=$T$12</f>
        <v/>
      </c>
      <c r="P1259">
        <f>OR(AND(H1259&gt;=$T$4,K1259&lt;=$T$5,N1259),M1259)</f>
        <v/>
      </c>
      <c r="Q1259">
        <f>OR(AND(I1259&gt;=$T$10,K1259&lt;=$T$11,O1259),M1259)</f>
        <v/>
      </c>
    </row>
    <row r="1260">
      <c r="A1260">
        <f>Data!E1322</f>
        <v/>
      </c>
      <c r="B1260">
        <f>Data!G1322</f>
        <v/>
      </c>
      <c r="C1260">
        <f>Data!H1322</f>
        <v/>
      </c>
      <c r="D1260">
        <f>Data!I1322</f>
        <v/>
      </c>
      <c r="E1260">
        <f>Data!M1322</f>
        <v/>
      </c>
      <c r="F1260">
        <f>Data!O1322</f>
        <v/>
      </c>
      <c r="G1260">
        <f>E1260-F1260</f>
        <v/>
      </c>
      <c r="H1260">
        <f>Data!P1322</f>
        <v/>
      </c>
      <c r="I1260">
        <f>G1260+H1260</f>
        <v/>
      </c>
      <c r="J1260">
        <f>F1260+G1260+H1260</f>
        <v/>
      </c>
      <c r="K1260">
        <f>Data!R1322</f>
        <v/>
      </c>
      <c r="L1260">
        <f>Data!T1322</f>
        <v/>
      </c>
      <c r="M1260">
        <f>AND(E1260=0,F1260=0,G1260=0,H1260=0,I1260=0,J1260=0,K1260=0,L1260=0)</f>
        <v/>
      </c>
      <c r="N1260">
        <f>G1260&lt;=$T$6</f>
        <v/>
      </c>
      <c r="O1260">
        <f>G1260&lt;=$T$12</f>
        <v/>
      </c>
      <c r="P1260">
        <f>OR(AND(H1260&gt;=$T$4,K1260&lt;=$T$5,N1260),M1260)</f>
        <v/>
      </c>
      <c r="Q1260">
        <f>OR(AND(I1260&gt;=$T$10,K1260&lt;=$T$11,O1260),M1260)</f>
        <v/>
      </c>
    </row>
    <row r="1261">
      <c r="A1261">
        <f>Data!E1323</f>
        <v/>
      </c>
      <c r="B1261">
        <f>Data!G1323</f>
        <v/>
      </c>
      <c r="C1261">
        <f>Data!H1323</f>
        <v/>
      </c>
      <c r="D1261">
        <f>Data!I1323</f>
        <v/>
      </c>
      <c r="E1261">
        <f>Data!M1323</f>
        <v/>
      </c>
      <c r="F1261">
        <f>Data!O1323</f>
        <v/>
      </c>
      <c r="G1261">
        <f>E1261-F1261</f>
        <v/>
      </c>
      <c r="H1261">
        <f>Data!P1323</f>
        <v/>
      </c>
      <c r="I1261">
        <f>G1261+H1261</f>
        <v/>
      </c>
      <c r="J1261">
        <f>F1261+G1261+H1261</f>
        <v/>
      </c>
      <c r="K1261">
        <f>Data!R1323</f>
        <v/>
      </c>
      <c r="L1261">
        <f>Data!T1323</f>
        <v/>
      </c>
      <c r="M1261">
        <f>AND(E1261=0,F1261=0,G1261=0,H1261=0,I1261=0,J1261=0,K1261=0,L1261=0)</f>
        <v/>
      </c>
      <c r="N1261">
        <f>G1261&lt;=$T$6</f>
        <v/>
      </c>
      <c r="O1261">
        <f>G1261&lt;=$T$12</f>
        <v/>
      </c>
      <c r="P1261">
        <f>OR(AND(H1261&gt;=$T$4,K1261&lt;=$T$5,N1261),M1261)</f>
        <v/>
      </c>
      <c r="Q1261">
        <f>OR(AND(I1261&gt;=$T$10,K1261&lt;=$T$11,O1261),M1261)</f>
        <v/>
      </c>
    </row>
    <row r="1262">
      <c r="A1262">
        <f>Data!E1324</f>
        <v/>
      </c>
      <c r="B1262">
        <f>Data!G1324</f>
        <v/>
      </c>
      <c r="C1262">
        <f>Data!H1324</f>
        <v/>
      </c>
      <c r="D1262">
        <f>Data!I1324</f>
        <v/>
      </c>
      <c r="E1262">
        <f>Data!M1324</f>
        <v/>
      </c>
      <c r="F1262">
        <f>Data!O1324</f>
        <v/>
      </c>
      <c r="G1262">
        <f>E1262-F1262</f>
        <v/>
      </c>
      <c r="H1262">
        <f>Data!P1324</f>
        <v/>
      </c>
      <c r="I1262">
        <f>G1262+H1262</f>
        <v/>
      </c>
      <c r="J1262">
        <f>F1262+G1262+H1262</f>
        <v/>
      </c>
      <c r="K1262">
        <f>Data!R1324</f>
        <v/>
      </c>
      <c r="L1262">
        <f>Data!T1324</f>
        <v/>
      </c>
      <c r="M1262">
        <f>AND(E1262=0,F1262=0,G1262=0,H1262=0,I1262=0,J1262=0,K1262=0,L1262=0)</f>
        <v/>
      </c>
      <c r="N1262">
        <f>G1262&lt;=$T$6</f>
        <v/>
      </c>
      <c r="O1262">
        <f>G1262&lt;=$T$12</f>
        <v/>
      </c>
      <c r="P1262">
        <f>OR(AND(H1262&gt;=$T$4,K1262&lt;=$T$5,N1262),M1262)</f>
        <v/>
      </c>
      <c r="Q1262">
        <f>OR(AND(I1262&gt;=$T$10,K1262&lt;=$T$11,O1262),M1262)</f>
        <v/>
      </c>
    </row>
    <row r="1263">
      <c r="A1263">
        <f>Data!E1325</f>
        <v/>
      </c>
      <c r="B1263">
        <f>Data!G1325</f>
        <v/>
      </c>
      <c r="C1263">
        <f>Data!H1325</f>
        <v/>
      </c>
      <c r="D1263">
        <f>Data!I1325</f>
        <v/>
      </c>
      <c r="E1263">
        <f>Data!M1325</f>
        <v/>
      </c>
      <c r="F1263">
        <f>Data!O1325</f>
        <v/>
      </c>
      <c r="G1263">
        <f>E1263-F1263</f>
        <v/>
      </c>
      <c r="H1263">
        <f>Data!P1325</f>
        <v/>
      </c>
      <c r="I1263">
        <f>G1263+H1263</f>
        <v/>
      </c>
      <c r="J1263">
        <f>F1263+G1263+H1263</f>
        <v/>
      </c>
      <c r="K1263">
        <f>Data!R1325</f>
        <v/>
      </c>
      <c r="L1263">
        <f>Data!T1325</f>
        <v/>
      </c>
      <c r="M1263">
        <f>AND(E1263=0,F1263=0,G1263=0,H1263=0,I1263=0,J1263=0,K1263=0,L1263=0)</f>
        <v/>
      </c>
      <c r="N1263">
        <f>G1263&lt;=$T$6</f>
        <v/>
      </c>
      <c r="O1263">
        <f>G1263&lt;=$T$12</f>
        <v/>
      </c>
      <c r="P1263">
        <f>OR(AND(H1263&gt;=$T$4,K1263&lt;=$T$5,N1263),M1263)</f>
        <v/>
      </c>
      <c r="Q1263">
        <f>OR(AND(I1263&gt;=$T$10,K1263&lt;=$T$11,O1263),M1263)</f>
        <v/>
      </c>
    </row>
    <row r="1264">
      <c r="A1264">
        <f>Data!E1326</f>
        <v/>
      </c>
      <c r="B1264">
        <f>Data!G1326</f>
        <v/>
      </c>
      <c r="C1264">
        <f>Data!H1326</f>
        <v/>
      </c>
      <c r="D1264">
        <f>Data!I1326</f>
        <v/>
      </c>
      <c r="E1264">
        <f>Data!M1326</f>
        <v/>
      </c>
      <c r="F1264">
        <f>Data!O1326</f>
        <v/>
      </c>
      <c r="G1264">
        <f>E1264-F1264</f>
        <v/>
      </c>
      <c r="H1264">
        <f>Data!P1326</f>
        <v/>
      </c>
      <c r="I1264">
        <f>G1264+H1264</f>
        <v/>
      </c>
      <c r="J1264">
        <f>F1264+G1264+H1264</f>
        <v/>
      </c>
      <c r="K1264">
        <f>Data!R1326</f>
        <v/>
      </c>
      <c r="L1264">
        <f>Data!T1326</f>
        <v/>
      </c>
      <c r="M1264">
        <f>AND(E1264=0,F1264=0,G1264=0,H1264=0,I1264=0,J1264=0,K1264=0,L1264=0)</f>
        <v/>
      </c>
      <c r="N1264">
        <f>G1264&lt;=$T$6</f>
        <v/>
      </c>
      <c r="O1264">
        <f>G1264&lt;=$T$12</f>
        <v/>
      </c>
      <c r="P1264">
        <f>OR(AND(H1264&gt;=$T$4,K1264&lt;=$T$5,N1264),M1264)</f>
        <v/>
      </c>
      <c r="Q1264">
        <f>OR(AND(I1264&gt;=$T$10,K1264&lt;=$T$11,O1264),M1264)</f>
        <v/>
      </c>
    </row>
    <row r="1265">
      <c r="A1265">
        <f>Data!E1327</f>
        <v/>
      </c>
      <c r="B1265">
        <f>Data!G1327</f>
        <v/>
      </c>
      <c r="C1265">
        <f>Data!H1327</f>
        <v/>
      </c>
      <c r="D1265">
        <f>Data!I1327</f>
        <v/>
      </c>
      <c r="E1265">
        <f>Data!M1327</f>
        <v/>
      </c>
      <c r="F1265">
        <f>Data!O1327</f>
        <v/>
      </c>
      <c r="G1265">
        <f>E1265-F1265</f>
        <v/>
      </c>
      <c r="H1265">
        <f>Data!P1327</f>
        <v/>
      </c>
      <c r="I1265">
        <f>G1265+H1265</f>
        <v/>
      </c>
      <c r="J1265">
        <f>F1265+G1265+H1265</f>
        <v/>
      </c>
      <c r="K1265">
        <f>Data!R1327</f>
        <v/>
      </c>
      <c r="L1265">
        <f>Data!T1327</f>
        <v/>
      </c>
      <c r="M1265">
        <f>AND(E1265=0,F1265=0,G1265=0,H1265=0,I1265=0,J1265=0,K1265=0,L1265=0)</f>
        <v/>
      </c>
      <c r="N1265">
        <f>G1265&lt;=$T$6</f>
        <v/>
      </c>
      <c r="O1265">
        <f>G1265&lt;=$T$12</f>
        <v/>
      </c>
      <c r="P1265">
        <f>OR(AND(H1265&gt;=$T$4,K1265&lt;=$T$5,N1265),M1265)</f>
        <v/>
      </c>
      <c r="Q1265">
        <f>OR(AND(I1265&gt;=$T$10,K1265&lt;=$T$11,O1265),M1265)</f>
        <v/>
      </c>
    </row>
    <row r="1266">
      <c r="A1266">
        <f>Data!E1328</f>
        <v/>
      </c>
      <c r="B1266">
        <f>Data!G1328</f>
        <v/>
      </c>
      <c r="C1266">
        <f>Data!H1328</f>
        <v/>
      </c>
      <c r="D1266">
        <f>Data!I1328</f>
        <v/>
      </c>
      <c r="E1266">
        <f>Data!M1328</f>
        <v/>
      </c>
      <c r="F1266">
        <f>Data!O1328</f>
        <v/>
      </c>
      <c r="G1266">
        <f>E1266-F1266</f>
        <v/>
      </c>
      <c r="H1266">
        <f>Data!P1328</f>
        <v/>
      </c>
      <c r="I1266">
        <f>G1266+H1266</f>
        <v/>
      </c>
      <c r="J1266">
        <f>F1266+G1266+H1266</f>
        <v/>
      </c>
      <c r="K1266">
        <f>Data!R1328</f>
        <v/>
      </c>
      <c r="L1266">
        <f>Data!T1328</f>
        <v/>
      </c>
      <c r="M1266">
        <f>AND(E1266=0,F1266=0,G1266=0,H1266=0,I1266=0,J1266=0,K1266=0,L1266=0)</f>
        <v/>
      </c>
      <c r="N1266">
        <f>G1266&lt;=$T$6</f>
        <v/>
      </c>
      <c r="O1266">
        <f>G1266&lt;=$T$12</f>
        <v/>
      </c>
      <c r="P1266">
        <f>OR(AND(H1266&gt;=$T$4,K1266&lt;=$T$5,N1266),M1266)</f>
        <v/>
      </c>
      <c r="Q1266">
        <f>OR(AND(I1266&gt;=$T$10,K1266&lt;=$T$11,O1266),M1266)</f>
        <v/>
      </c>
    </row>
    <row r="1267">
      <c r="A1267">
        <f>Data!E1329</f>
        <v/>
      </c>
      <c r="B1267">
        <f>Data!G1329</f>
        <v/>
      </c>
      <c r="C1267">
        <f>Data!H1329</f>
        <v/>
      </c>
      <c r="D1267">
        <f>Data!I1329</f>
        <v/>
      </c>
      <c r="E1267">
        <f>Data!M1329</f>
        <v/>
      </c>
      <c r="F1267">
        <f>Data!O1329</f>
        <v/>
      </c>
      <c r="G1267">
        <f>E1267-F1267</f>
        <v/>
      </c>
      <c r="H1267">
        <f>Data!P1329</f>
        <v/>
      </c>
      <c r="I1267">
        <f>G1267+H1267</f>
        <v/>
      </c>
      <c r="J1267">
        <f>F1267+G1267+H1267</f>
        <v/>
      </c>
      <c r="K1267">
        <f>Data!R1329</f>
        <v/>
      </c>
      <c r="L1267">
        <f>Data!T1329</f>
        <v/>
      </c>
      <c r="M1267">
        <f>AND(E1267=0,F1267=0,G1267=0,H1267=0,I1267=0,J1267=0,K1267=0,L1267=0)</f>
        <v/>
      </c>
      <c r="N1267">
        <f>G1267&lt;=$T$6</f>
        <v/>
      </c>
      <c r="O1267">
        <f>G1267&lt;=$T$12</f>
        <v/>
      </c>
      <c r="P1267">
        <f>OR(AND(H1267&gt;=$T$4,K1267&lt;=$T$5,N1267),M1267)</f>
        <v/>
      </c>
      <c r="Q1267">
        <f>OR(AND(I1267&gt;=$T$10,K1267&lt;=$T$11,O1267),M1267)</f>
        <v/>
      </c>
    </row>
    <row r="1268">
      <c r="A1268">
        <f>Data!E1330</f>
        <v/>
      </c>
      <c r="B1268">
        <f>Data!G1330</f>
        <v/>
      </c>
      <c r="C1268">
        <f>Data!H1330</f>
        <v/>
      </c>
      <c r="D1268">
        <f>Data!I1330</f>
        <v/>
      </c>
      <c r="E1268">
        <f>Data!M1330</f>
        <v/>
      </c>
      <c r="F1268">
        <f>Data!O1330</f>
        <v/>
      </c>
      <c r="G1268">
        <f>E1268-F1268</f>
        <v/>
      </c>
      <c r="H1268">
        <f>Data!P1330</f>
        <v/>
      </c>
      <c r="I1268">
        <f>G1268+H1268</f>
        <v/>
      </c>
      <c r="J1268">
        <f>F1268+G1268+H1268</f>
        <v/>
      </c>
      <c r="K1268">
        <f>Data!R1330</f>
        <v/>
      </c>
      <c r="L1268">
        <f>Data!T1330</f>
        <v/>
      </c>
      <c r="M1268">
        <f>AND(E1268=0,F1268=0,G1268=0,H1268=0,I1268=0,J1268=0,K1268=0,L1268=0)</f>
        <v/>
      </c>
      <c r="N1268">
        <f>G1268&lt;=$T$6</f>
        <v/>
      </c>
      <c r="O1268">
        <f>G1268&lt;=$T$12</f>
        <v/>
      </c>
      <c r="P1268">
        <f>OR(AND(H1268&gt;=$T$4,K1268&lt;=$T$5,N1268),M1268)</f>
        <v/>
      </c>
      <c r="Q1268">
        <f>OR(AND(I1268&gt;=$T$10,K1268&lt;=$T$11,O1268),M1268)</f>
        <v/>
      </c>
    </row>
    <row r="1269">
      <c r="A1269">
        <f>Data!E1331</f>
        <v/>
      </c>
      <c r="B1269">
        <f>Data!G1331</f>
        <v/>
      </c>
      <c r="C1269">
        <f>Data!H1331</f>
        <v/>
      </c>
      <c r="D1269">
        <f>Data!I1331</f>
        <v/>
      </c>
      <c r="E1269">
        <f>Data!M1331</f>
        <v/>
      </c>
      <c r="F1269">
        <f>Data!O1331</f>
        <v/>
      </c>
      <c r="G1269">
        <f>E1269-F1269</f>
        <v/>
      </c>
      <c r="H1269">
        <f>Data!P1331</f>
        <v/>
      </c>
      <c r="I1269">
        <f>G1269+H1269</f>
        <v/>
      </c>
      <c r="J1269">
        <f>F1269+G1269+H1269</f>
        <v/>
      </c>
      <c r="K1269">
        <f>Data!R1331</f>
        <v/>
      </c>
      <c r="L1269">
        <f>Data!T1331</f>
        <v/>
      </c>
      <c r="M1269">
        <f>AND(E1269=0,F1269=0,G1269=0,H1269=0,I1269=0,J1269=0,K1269=0,L1269=0)</f>
        <v/>
      </c>
      <c r="N1269">
        <f>G1269&lt;=$T$6</f>
        <v/>
      </c>
      <c r="O1269">
        <f>G1269&lt;=$T$12</f>
        <v/>
      </c>
      <c r="P1269">
        <f>OR(AND(H1269&gt;=$T$4,K1269&lt;=$T$5,N1269),M1269)</f>
        <v/>
      </c>
      <c r="Q1269">
        <f>OR(AND(I1269&gt;=$T$10,K1269&lt;=$T$11,O1269),M1269)</f>
        <v/>
      </c>
    </row>
    <row r="1270">
      <c r="A1270">
        <f>Data!E1332</f>
        <v/>
      </c>
      <c r="B1270">
        <f>Data!G1332</f>
        <v/>
      </c>
      <c r="C1270">
        <f>Data!H1332</f>
        <v/>
      </c>
      <c r="D1270">
        <f>Data!I1332</f>
        <v/>
      </c>
      <c r="E1270">
        <f>Data!M1332</f>
        <v/>
      </c>
      <c r="F1270">
        <f>Data!O1332</f>
        <v/>
      </c>
      <c r="G1270">
        <f>E1270-F1270</f>
        <v/>
      </c>
      <c r="H1270">
        <f>Data!P1332</f>
        <v/>
      </c>
      <c r="I1270">
        <f>G1270+H1270</f>
        <v/>
      </c>
      <c r="J1270">
        <f>F1270+G1270+H1270</f>
        <v/>
      </c>
      <c r="K1270">
        <f>Data!R1332</f>
        <v/>
      </c>
      <c r="L1270">
        <f>Data!T1332</f>
        <v/>
      </c>
      <c r="M1270">
        <f>AND(E1270=0,F1270=0,G1270=0,H1270=0,I1270=0,J1270=0,K1270=0,L1270=0)</f>
        <v/>
      </c>
      <c r="N1270">
        <f>G1270&lt;=$T$6</f>
        <v/>
      </c>
      <c r="O1270">
        <f>G1270&lt;=$T$12</f>
        <v/>
      </c>
      <c r="P1270">
        <f>OR(AND(H1270&gt;=$T$4,K1270&lt;=$T$5,N1270),M1270)</f>
        <v/>
      </c>
      <c r="Q1270">
        <f>OR(AND(I1270&gt;=$T$10,K1270&lt;=$T$11,O1270),M1270)</f>
        <v/>
      </c>
    </row>
    <row r="1271">
      <c r="A1271">
        <f>Data!E1333</f>
        <v/>
      </c>
      <c r="B1271">
        <f>Data!G1333</f>
        <v/>
      </c>
      <c r="C1271">
        <f>Data!H1333</f>
        <v/>
      </c>
      <c r="D1271">
        <f>Data!I1333</f>
        <v/>
      </c>
      <c r="E1271">
        <f>Data!M1333</f>
        <v/>
      </c>
      <c r="F1271">
        <f>Data!O1333</f>
        <v/>
      </c>
      <c r="G1271">
        <f>E1271-F1271</f>
        <v/>
      </c>
      <c r="H1271">
        <f>Data!P1333</f>
        <v/>
      </c>
      <c r="I1271">
        <f>G1271+H1271</f>
        <v/>
      </c>
      <c r="J1271">
        <f>F1271+G1271+H1271</f>
        <v/>
      </c>
      <c r="K1271">
        <f>Data!R1333</f>
        <v/>
      </c>
      <c r="L1271">
        <f>Data!T1333</f>
        <v/>
      </c>
      <c r="M1271">
        <f>AND(E1271=0,F1271=0,G1271=0,H1271=0,I1271=0,J1271=0,K1271=0,L1271=0)</f>
        <v/>
      </c>
      <c r="N1271">
        <f>G1271&lt;=$T$6</f>
        <v/>
      </c>
      <c r="O1271">
        <f>G1271&lt;=$T$12</f>
        <v/>
      </c>
      <c r="P1271">
        <f>OR(AND(H1271&gt;=$T$4,K1271&lt;=$T$5,N1271),M1271)</f>
        <v/>
      </c>
      <c r="Q1271">
        <f>OR(AND(I1271&gt;=$T$10,K1271&lt;=$T$11,O1271),M1271)</f>
        <v/>
      </c>
    </row>
    <row r="1272">
      <c r="A1272">
        <f>Data!E1334</f>
        <v/>
      </c>
      <c r="B1272">
        <f>Data!G1334</f>
        <v/>
      </c>
      <c r="C1272">
        <f>Data!H1334</f>
        <v/>
      </c>
      <c r="D1272">
        <f>Data!I1334</f>
        <v/>
      </c>
      <c r="E1272">
        <f>Data!M1334</f>
        <v/>
      </c>
      <c r="F1272">
        <f>Data!O1334</f>
        <v/>
      </c>
      <c r="G1272">
        <f>E1272-F1272</f>
        <v/>
      </c>
      <c r="H1272">
        <f>Data!P1334</f>
        <v/>
      </c>
      <c r="I1272">
        <f>G1272+H1272</f>
        <v/>
      </c>
      <c r="J1272">
        <f>F1272+G1272+H1272</f>
        <v/>
      </c>
      <c r="K1272">
        <f>Data!R1334</f>
        <v/>
      </c>
      <c r="L1272">
        <f>Data!T1334</f>
        <v/>
      </c>
      <c r="M1272">
        <f>AND(E1272=0,F1272=0,G1272=0,H1272=0,I1272=0,J1272=0,K1272=0,L1272=0)</f>
        <v/>
      </c>
      <c r="N1272">
        <f>G1272&lt;=$T$6</f>
        <v/>
      </c>
      <c r="O1272">
        <f>G1272&lt;=$T$12</f>
        <v/>
      </c>
      <c r="P1272">
        <f>OR(AND(H1272&gt;=$T$4,K1272&lt;=$T$5,N1272),M1272)</f>
        <v/>
      </c>
      <c r="Q1272">
        <f>OR(AND(I1272&gt;=$T$10,K1272&lt;=$T$11,O1272),M1272)</f>
        <v/>
      </c>
    </row>
    <row r="1273">
      <c r="A1273">
        <f>Data!E1335</f>
        <v/>
      </c>
      <c r="B1273">
        <f>Data!G1335</f>
        <v/>
      </c>
      <c r="C1273">
        <f>Data!H1335</f>
        <v/>
      </c>
      <c r="D1273">
        <f>Data!I1335</f>
        <v/>
      </c>
      <c r="E1273">
        <f>Data!M1335</f>
        <v/>
      </c>
      <c r="F1273">
        <f>Data!O1335</f>
        <v/>
      </c>
      <c r="G1273">
        <f>E1273-F1273</f>
        <v/>
      </c>
      <c r="H1273">
        <f>Data!P1335</f>
        <v/>
      </c>
      <c r="I1273">
        <f>G1273+H1273</f>
        <v/>
      </c>
      <c r="J1273">
        <f>F1273+G1273+H1273</f>
        <v/>
      </c>
      <c r="K1273">
        <f>Data!R1335</f>
        <v/>
      </c>
      <c r="L1273">
        <f>Data!T1335</f>
        <v/>
      </c>
      <c r="M1273">
        <f>AND(E1273=0,F1273=0,G1273=0,H1273=0,I1273=0,J1273=0,K1273=0,L1273=0)</f>
        <v/>
      </c>
      <c r="N1273">
        <f>G1273&lt;=$T$6</f>
        <v/>
      </c>
      <c r="O1273">
        <f>G1273&lt;=$T$12</f>
        <v/>
      </c>
      <c r="P1273">
        <f>OR(AND(H1273&gt;=$T$4,K1273&lt;=$T$5,N1273),M1273)</f>
        <v/>
      </c>
      <c r="Q1273">
        <f>OR(AND(I1273&gt;=$T$10,K1273&lt;=$T$11,O1273),M1273)</f>
        <v/>
      </c>
    </row>
    <row r="1274">
      <c r="A1274">
        <f>Data!E1336</f>
        <v/>
      </c>
      <c r="B1274">
        <f>Data!G1336</f>
        <v/>
      </c>
      <c r="C1274">
        <f>Data!H1336</f>
        <v/>
      </c>
      <c r="D1274">
        <f>Data!I1336</f>
        <v/>
      </c>
      <c r="E1274">
        <f>Data!M1336</f>
        <v/>
      </c>
      <c r="F1274">
        <f>Data!O1336</f>
        <v/>
      </c>
      <c r="G1274">
        <f>E1274-F1274</f>
        <v/>
      </c>
      <c r="H1274">
        <f>Data!P1336</f>
        <v/>
      </c>
      <c r="I1274">
        <f>G1274+H1274</f>
        <v/>
      </c>
      <c r="J1274">
        <f>F1274+G1274+H1274</f>
        <v/>
      </c>
      <c r="K1274">
        <f>Data!R1336</f>
        <v/>
      </c>
      <c r="L1274">
        <f>Data!T1336</f>
        <v/>
      </c>
      <c r="M1274">
        <f>AND(E1274=0,F1274=0,G1274=0,H1274=0,I1274=0,J1274=0,K1274=0,L1274=0)</f>
        <v/>
      </c>
      <c r="N1274">
        <f>G1274&lt;=$T$6</f>
        <v/>
      </c>
      <c r="O1274">
        <f>G1274&lt;=$T$12</f>
        <v/>
      </c>
      <c r="P1274">
        <f>OR(AND(H1274&gt;=$T$4,K1274&lt;=$T$5,N1274),M1274)</f>
        <v/>
      </c>
      <c r="Q1274">
        <f>OR(AND(I1274&gt;=$T$10,K1274&lt;=$T$11,O1274),M1274)</f>
        <v/>
      </c>
    </row>
    <row r="1275">
      <c r="A1275">
        <f>Data!E1338</f>
        <v/>
      </c>
      <c r="B1275">
        <f>Data!G1338</f>
        <v/>
      </c>
      <c r="C1275">
        <f>Data!H1338</f>
        <v/>
      </c>
      <c r="D1275">
        <f>Data!I1338</f>
        <v/>
      </c>
      <c r="E1275">
        <f>Data!M1338</f>
        <v/>
      </c>
      <c r="F1275">
        <f>Data!O1338</f>
        <v/>
      </c>
      <c r="G1275">
        <f>E1275-F1275</f>
        <v/>
      </c>
      <c r="H1275">
        <f>Data!P1338</f>
        <v/>
      </c>
      <c r="I1275">
        <f>G1275+H1275</f>
        <v/>
      </c>
      <c r="J1275">
        <f>F1275+G1275+H1275</f>
        <v/>
      </c>
      <c r="K1275">
        <f>Data!R1338</f>
        <v/>
      </c>
      <c r="L1275">
        <f>Data!T1338</f>
        <v/>
      </c>
      <c r="M1275">
        <f>AND(E1275=0,F1275=0,G1275=0,H1275=0,I1275=0,J1275=0,K1275=0,L1275=0)</f>
        <v/>
      </c>
      <c r="N1275">
        <f>G1275&lt;=$T$6</f>
        <v/>
      </c>
      <c r="O1275">
        <f>G1275&lt;=$T$12</f>
        <v/>
      </c>
      <c r="P1275">
        <f>OR(AND(H1275&gt;=$T$4,K1275&lt;=$T$5,N1275),M1275)</f>
        <v/>
      </c>
      <c r="Q1275">
        <f>OR(AND(I1275&gt;=$T$10,K1275&lt;=$T$11,O1275),M1275)</f>
        <v/>
      </c>
    </row>
    <row r="1276">
      <c r="A1276">
        <f>Data!E1339</f>
        <v/>
      </c>
      <c r="B1276">
        <f>Data!G1339</f>
        <v/>
      </c>
      <c r="C1276">
        <f>Data!H1339</f>
        <v/>
      </c>
      <c r="D1276">
        <f>Data!I1339</f>
        <v/>
      </c>
      <c r="E1276">
        <f>Data!M1339</f>
        <v/>
      </c>
      <c r="F1276">
        <f>Data!O1339</f>
        <v/>
      </c>
      <c r="G1276">
        <f>E1276-F1276</f>
        <v/>
      </c>
      <c r="H1276">
        <f>Data!P1339</f>
        <v/>
      </c>
      <c r="I1276">
        <f>G1276+H1276</f>
        <v/>
      </c>
      <c r="J1276">
        <f>F1276+G1276+H1276</f>
        <v/>
      </c>
      <c r="K1276">
        <f>Data!R1339</f>
        <v/>
      </c>
      <c r="L1276">
        <f>Data!T1339</f>
        <v/>
      </c>
      <c r="M1276">
        <f>AND(E1276=0,F1276=0,G1276=0,H1276=0,I1276=0,J1276=0,K1276=0,L1276=0)</f>
        <v/>
      </c>
      <c r="N1276">
        <f>G1276&lt;=$T$6</f>
        <v/>
      </c>
      <c r="O1276">
        <f>G1276&lt;=$T$12</f>
        <v/>
      </c>
      <c r="P1276">
        <f>OR(AND(H1276&gt;=$T$4,K1276&lt;=$T$5,N1276),M1276)</f>
        <v/>
      </c>
      <c r="Q1276">
        <f>OR(AND(I1276&gt;=$T$10,K1276&lt;=$T$11,O1276),M1276)</f>
        <v/>
      </c>
    </row>
    <row r="1277">
      <c r="A1277">
        <f>Data!E1340</f>
        <v/>
      </c>
      <c r="B1277">
        <f>Data!G1340</f>
        <v/>
      </c>
      <c r="C1277">
        <f>Data!H1340</f>
        <v/>
      </c>
      <c r="D1277">
        <f>Data!I1340</f>
        <v/>
      </c>
      <c r="E1277">
        <f>Data!M1340</f>
        <v/>
      </c>
      <c r="F1277">
        <f>Data!O1340</f>
        <v/>
      </c>
      <c r="G1277">
        <f>E1277-F1277</f>
        <v/>
      </c>
      <c r="H1277">
        <f>Data!P1340</f>
        <v/>
      </c>
      <c r="I1277">
        <f>G1277+H1277</f>
        <v/>
      </c>
      <c r="J1277">
        <f>F1277+G1277+H1277</f>
        <v/>
      </c>
      <c r="K1277">
        <f>Data!R1340</f>
        <v/>
      </c>
      <c r="L1277">
        <f>Data!T1340</f>
        <v/>
      </c>
      <c r="M1277">
        <f>AND(E1277=0,F1277=0,G1277=0,H1277=0,I1277=0,J1277=0,K1277=0,L1277=0)</f>
        <v/>
      </c>
      <c r="N1277">
        <f>G1277&lt;=$T$6</f>
        <v/>
      </c>
      <c r="O1277">
        <f>G1277&lt;=$T$12</f>
        <v/>
      </c>
      <c r="P1277">
        <f>OR(AND(H1277&gt;=$T$4,K1277&lt;=$T$5,N1277),M1277)</f>
        <v/>
      </c>
      <c r="Q1277">
        <f>OR(AND(I1277&gt;=$T$10,K1277&lt;=$T$11,O1277),M1277)</f>
        <v/>
      </c>
    </row>
    <row r="1278">
      <c r="A1278">
        <f>Data!E1341</f>
        <v/>
      </c>
      <c r="B1278">
        <f>Data!G1341</f>
        <v/>
      </c>
      <c r="C1278">
        <f>Data!H1341</f>
        <v/>
      </c>
      <c r="D1278">
        <f>Data!I1341</f>
        <v/>
      </c>
      <c r="E1278">
        <f>Data!M1341</f>
        <v/>
      </c>
      <c r="F1278">
        <f>Data!O1341</f>
        <v/>
      </c>
      <c r="G1278">
        <f>E1278-F1278</f>
        <v/>
      </c>
      <c r="H1278">
        <f>Data!P1341</f>
        <v/>
      </c>
      <c r="I1278">
        <f>G1278+H1278</f>
        <v/>
      </c>
      <c r="J1278">
        <f>F1278+G1278+H1278</f>
        <v/>
      </c>
      <c r="K1278">
        <f>Data!R1341</f>
        <v/>
      </c>
      <c r="L1278">
        <f>Data!T1341</f>
        <v/>
      </c>
      <c r="M1278">
        <f>AND(E1278=0,F1278=0,G1278=0,H1278=0,I1278=0,J1278=0,K1278=0,L1278=0)</f>
        <v/>
      </c>
      <c r="N1278">
        <f>G1278&lt;=$T$6</f>
        <v/>
      </c>
      <c r="O1278">
        <f>G1278&lt;=$T$12</f>
        <v/>
      </c>
      <c r="P1278">
        <f>OR(AND(H1278&gt;=$T$4,K1278&lt;=$T$5,N1278),M1278)</f>
        <v/>
      </c>
      <c r="Q1278">
        <f>OR(AND(I1278&gt;=$T$10,K1278&lt;=$T$11,O1278),M1278)</f>
        <v/>
      </c>
    </row>
    <row r="1279">
      <c r="A1279">
        <f>Data!E1342</f>
        <v/>
      </c>
      <c r="B1279">
        <f>Data!G1342</f>
        <v/>
      </c>
      <c r="C1279">
        <f>Data!H1342</f>
        <v/>
      </c>
      <c r="D1279">
        <f>Data!I1342</f>
        <v/>
      </c>
      <c r="E1279">
        <f>Data!M1342</f>
        <v/>
      </c>
      <c r="F1279">
        <f>Data!O1342</f>
        <v/>
      </c>
      <c r="G1279">
        <f>E1279-F1279</f>
        <v/>
      </c>
      <c r="H1279">
        <f>Data!P1342</f>
        <v/>
      </c>
      <c r="I1279">
        <f>G1279+H1279</f>
        <v/>
      </c>
      <c r="J1279">
        <f>F1279+G1279+H1279</f>
        <v/>
      </c>
      <c r="K1279">
        <f>Data!R1342</f>
        <v/>
      </c>
      <c r="L1279">
        <f>Data!T1342</f>
        <v/>
      </c>
      <c r="M1279">
        <f>AND(E1279=0,F1279=0,G1279=0,H1279=0,I1279=0,J1279=0,K1279=0,L1279=0)</f>
        <v/>
      </c>
      <c r="N1279">
        <f>G1279&lt;=$T$6</f>
        <v/>
      </c>
      <c r="O1279">
        <f>G1279&lt;=$T$12</f>
        <v/>
      </c>
      <c r="P1279">
        <f>OR(AND(H1279&gt;=$T$4,K1279&lt;=$T$5,N1279),M1279)</f>
        <v/>
      </c>
      <c r="Q1279">
        <f>OR(AND(I1279&gt;=$T$10,K1279&lt;=$T$11,O1279),M1279)</f>
        <v/>
      </c>
    </row>
    <row r="1280">
      <c r="A1280">
        <f>Data!E1343</f>
        <v/>
      </c>
      <c r="B1280">
        <f>Data!G1343</f>
        <v/>
      </c>
      <c r="C1280">
        <f>Data!H1343</f>
        <v/>
      </c>
      <c r="D1280">
        <f>Data!I1343</f>
        <v/>
      </c>
      <c r="E1280">
        <f>Data!M1343</f>
        <v/>
      </c>
      <c r="F1280">
        <f>Data!O1343</f>
        <v/>
      </c>
      <c r="G1280">
        <f>E1280-F1280</f>
        <v/>
      </c>
      <c r="H1280">
        <f>Data!P1343</f>
        <v/>
      </c>
      <c r="I1280">
        <f>G1280+H1280</f>
        <v/>
      </c>
      <c r="J1280">
        <f>F1280+G1280+H1280</f>
        <v/>
      </c>
      <c r="K1280">
        <f>Data!R1343</f>
        <v/>
      </c>
      <c r="L1280">
        <f>Data!T1343</f>
        <v/>
      </c>
      <c r="M1280">
        <f>AND(E1280=0,F1280=0,G1280=0,H1280=0,I1280=0,J1280=0,K1280=0,L1280=0)</f>
        <v/>
      </c>
      <c r="N1280">
        <f>G1280&lt;=$T$6</f>
        <v/>
      </c>
      <c r="O1280">
        <f>G1280&lt;=$T$12</f>
        <v/>
      </c>
      <c r="P1280">
        <f>OR(AND(H1280&gt;=$T$4,K1280&lt;=$T$5,N1280),M1280)</f>
        <v/>
      </c>
      <c r="Q1280">
        <f>OR(AND(I1280&gt;=$T$10,K1280&lt;=$T$11,O1280),M1280)</f>
        <v/>
      </c>
    </row>
    <row r="1281">
      <c r="A1281">
        <f>Data!E1344</f>
        <v/>
      </c>
      <c r="B1281">
        <f>Data!G1344</f>
        <v/>
      </c>
      <c r="C1281">
        <f>Data!H1344</f>
        <v/>
      </c>
      <c r="D1281">
        <f>Data!I1344</f>
        <v/>
      </c>
      <c r="E1281">
        <f>Data!M1344</f>
        <v/>
      </c>
      <c r="F1281">
        <f>Data!O1344</f>
        <v/>
      </c>
      <c r="G1281">
        <f>E1281-F1281</f>
        <v/>
      </c>
      <c r="H1281">
        <f>Data!P1344</f>
        <v/>
      </c>
      <c r="I1281">
        <f>G1281+H1281</f>
        <v/>
      </c>
      <c r="J1281">
        <f>F1281+G1281+H1281</f>
        <v/>
      </c>
      <c r="K1281">
        <f>Data!R1344</f>
        <v/>
      </c>
      <c r="L1281">
        <f>Data!T1344</f>
        <v/>
      </c>
      <c r="M1281">
        <f>AND(E1281=0,F1281=0,G1281=0,H1281=0,I1281=0,J1281=0,K1281=0,L1281=0)</f>
        <v/>
      </c>
      <c r="N1281">
        <f>G1281&lt;=$T$6</f>
        <v/>
      </c>
      <c r="O1281">
        <f>G1281&lt;=$T$12</f>
        <v/>
      </c>
      <c r="P1281">
        <f>OR(AND(H1281&gt;=$T$4,K1281&lt;=$T$5,N1281),M1281)</f>
        <v/>
      </c>
      <c r="Q1281">
        <f>OR(AND(I1281&gt;=$T$10,K1281&lt;=$T$11,O1281),M1281)</f>
        <v/>
      </c>
    </row>
    <row r="1282">
      <c r="A1282">
        <f>Data!E1345</f>
        <v/>
      </c>
      <c r="B1282">
        <f>Data!G1345</f>
        <v/>
      </c>
      <c r="C1282">
        <f>Data!H1345</f>
        <v/>
      </c>
      <c r="D1282">
        <f>Data!I1345</f>
        <v/>
      </c>
      <c r="E1282">
        <f>Data!M1345</f>
        <v/>
      </c>
      <c r="F1282">
        <f>Data!O1345</f>
        <v/>
      </c>
      <c r="G1282">
        <f>E1282-F1282</f>
        <v/>
      </c>
      <c r="H1282">
        <f>Data!P1345</f>
        <v/>
      </c>
      <c r="I1282">
        <f>G1282+H1282</f>
        <v/>
      </c>
      <c r="J1282">
        <f>F1282+G1282+H1282</f>
        <v/>
      </c>
      <c r="K1282">
        <f>Data!R1345</f>
        <v/>
      </c>
      <c r="L1282">
        <f>Data!T1345</f>
        <v/>
      </c>
      <c r="M1282">
        <f>AND(E1282=0,F1282=0,G1282=0,H1282=0,I1282=0,J1282=0,K1282=0,L1282=0)</f>
        <v/>
      </c>
      <c r="N1282">
        <f>G1282&lt;=$T$6</f>
        <v/>
      </c>
      <c r="O1282">
        <f>G1282&lt;=$T$12</f>
        <v/>
      </c>
      <c r="P1282">
        <f>OR(AND(H1282&gt;=$T$4,K1282&lt;=$T$5,N1282),M1282)</f>
        <v/>
      </c>
      <c r="Q1282">
        <f>OR(AND(I1282&gt;=$T$10,K1282&lt;=$T$11,O1282),M1282)</f>
        <v/>
      </c>
    </row>
    <row r="1283">
      <c r="A1283">
        <f>Data!E1346</f>
        <v/>
      </c>
      <c r="B1283">
        <f>Data!G1346</f>
        <v/>
      </c>
      <c r="C1283">
        <f>Data!H1346</f>
        <v/>
      </c>
      <c r="D1283">
        <f>Data!I1346</f>
        <v/>
      </c>
      <c r="E1283">
        <f>Data!M1346</f>
        <v/>
      </c>
      <c r="F1283">
        <f>Data!O1346</f>
        <v/>
      </c>
      <c r="G1283">
        <f>E1283-F1283</f>
        <v/>
      </c>
      <c r="H1283">
        <f>Data!P1346</f>
        <v/>
      </c>
      <c r="I1283">
        <f>G1283+H1283</f>
        <v/>
      </c>
      <c r="J1283">
        <f>F1283+G1283+H1283</f>
        <v/>
      </c>
      <c r="K1283">
        <f>Data!R1346</f>
        <v/>
      </c>
      <c r="L1283">
        <f>Data!T1346</f>
        <v/>
      </c>
      <c r="M1283">
        <f>AND(E1283=0,F1283=0,G1283=0,H1283=0,I1283=0,J1283=0,K1283=0,L1283=0)</f>
        <v/>
      </c>
      <c r="N1283">
        <f>G1283&lt;=$T$6</f>
        <v/>
      </c>
      <c r="O1283">
        <f>G1283&lt;=$T$12</f>
        <v/>
      </c>
      <c r="P1283">
        <f>OR(AND(H1283&gt;=$T$4,K1283&lt;=$T$5,N1283),M1283)</f>
        <v/>
      </c>
      <c r="Q1283">
        <f>OR(AND(I1283&gt;=$T$10,K1283&lt;=$T$11,O1283),M1283)</f>
        <v/>
      </c>
    </row>
    <row r="1284">
      <c r="A1284">
        <f>Data!E1347</f>
        <v/>
      </c>
      <c r="B1284">
        <f>Data!G1347</f>
        <v/>
      </c>
      <c r="C1284">
        <f>Data!H1347</f>
        <v/>
      </c>
      <c r="D1284">
        <f>Data!I1347</f>
        <v/>
      </c>
      <c r="E1284">
        <f>Data!M1347</f>
        <v/>
      </c>
      <c r="F1284">
        <f>Data!O1347</f>
        <v/>
      </c>
      <c r="G1284">
        <f>E1284-F1284</f>
        <v/>
      </c>
      <c r="H1284">
        <f>Data!P1347</f>
        <v/>
      </c>
      <c r="I1284">
        <f>G1284+H1284</f>
        <v/>
      </c>
      <c r="J1284">
        <f>F1284+G1284+H1284</f>
        <v/>
      </c>
      <c r="K1284">
        <f>Data!R1347</f>
        <v/>
      </c>
      <c r="L1284">
        <f>Data!T1347</f>
        <v/>
      </c>
      <c r="M1284">
        <f>AND(E1284=0,F1284=0,G1284=0,H1284=0,I1284=0,J1284=0,K1284=0,L1284=0)</f>
        <v/>
      </c>
      <c r="N1284">
        <f>G1284&lt;=$T$6</f>
        <v/>
      </c>
      <c r="O1284">
        <f>G1284&lt;=$T$12</f>
        <v/>
      </c>
      <c r="P1284">
        <f>OR(AND(H1284&gt;=$T$4,K1284&lt;=$T$5,N1284),M1284)</f>
        <v/>
      </c>
      <c r="Q1284">
        <f>OR(AND(I1284&gt;=$T$10,K1284&lt;=$T$11,O1284),M1284)</f>
        <v/>
      </c>
    </row>
    <row r="1285">
      <c r="A1285">
        <f>Data!E1348</f>
        <v/>
      </c>
      <c r="B1285">
        <f>Data!G1348</f>
        <v/>
      </c>
      <c r="C1285">
        <f>Data!H1348</f>
        <v/>
      </c>
      <c r="D1285">
        <f>Data!I1348</f>
        <v/>
      </c>
      <c r="E1285">
        <f>Data!M1348</f>
        <v/>
      </c>
      <c r="F1285">
        <f>Data!O1348</f>
        <v/>
      </c>
      <c r="G1285">
        <f>E1285-F1285</f>
        <v/>
      </c>
      <c r="H1285">
        <f>Data!P1348</f>
        <v/>
      </c>
      <c r="I1285">
        <f>G1285+H1285</f>
        <v/>
      </c>
      <c r="J1285">
        <f>F1285+G1285+H1285</f>
        <v/>
      </c>
      <c r="K1285">
        <f>Data!R1348</f>
        <v/>
      </c>
      <c r="L1285">
        <f>Data!T1348</f>
        <v/>
      </c>
      <c r="M1285">
        <f>AND(E1285=0,F1285=0,G1285=0,H1285=0,I1285=0,J1285=0,K1285=0,L1285=0)</f>
        <v/>
      </c>
      <c r="N1285">
        <f>G1285&lt;=$T$6</f>
        <v/>
      </c>
      <c r="O1285">
        <f>G1285&lt;=$T$12</f>
        <v/>
      </c>
      <c r="P1285">
        <f>OR(AND(H1285&gt;=$T$4,K1285&lt;=$T$5,N1285),M1285)</f>
        <v/>
      </c>
      <c r="Q1285">
        <f>OR(AND(I1285&gt;=$T$10,K1285&lt;=$T$11,O1285),M1285)</f>
        <v/>
      </c>
    </row>
    <row r="1286">
      <c r="A1286">
        <f>Data!E1349</f>
        <v/>
      </c>
      <c r="B1286">
        <f>Data!G1349</f>
        <v/>
      </c>
      <c r="C1286">
        <f>Data!H1349</f>
        <v/>
      </c>
      <c r="D1286">
        <f>Data!I1349</f>
        <v/>
      </c>
      <c r="E1286">
        <f>Data!M1349</f>
        <v/>
      </c>
      <c r="F1286">
        <f>Data!O1349</f>
        <v/>
      </c>
      <c r="G1286">
        <f>E1286-F1286</f>
        <v/>
      </c>
      <c r="H1286">
        <f>Data!P1349</f>
        <v/>
      </c>
      <c r="I1286">
        <f>G1286+H1286</f>
        <v/>
      </c>
      <c r="J1286">
        <f>F1286+G1286+H1286</f>
        <v/>
      </c>
      <c r="K1286">
        <f>Data!R1349</f>
        <v/>
      </c>
      <c r="L1286">
        <f>Data!T1349</f>
        <v/>
      </c>
      <c r="M1286">
        <f>AND(E1286=0,F1286=0,G1286=0,H1286=0,I1286=0,J1286=0,K1286=0,L1286=0)</f>
        <v/>
      </c>
      <c r="N1286">
        <f>G1286&lt;=$T$6</f>
        <v/>
      </c>
      <c r="O1286">
        <f>G1286&lt;=$T$12</f>
        <v/>
      </c>
      <c r="P1286">
        <f>OR(AND(H1286&gt;=$T$4,K1286&lt;=$T$5,N1286),M1286)</f>
        <v/>
      </c>
      <c r="Q1286">
        <f>OR(AND(I1286&gt;=$T$10,K1286&lt;=$T$11,O1286),M1286)</f>
        <v/>
      </c>
    </row>
    <row r="1287">
      <c r="A1287">
        <f>Data!E1350</f>
        <v/>
      </c>
      <c r="B1287">
        <f>Data!G1350</f>
        <v/>
      </c>
      <c r="C1287">
        <f>Data!H1350</f>
        <v/>
      </c>
      <c r="D1287">
        <f>Data!I1350</f>
        <v/>
      </c>
      <c r="E1287">
        <f>Data!M1350</f>
        <v/>
      </c>
      <c r="F1287">
        <f>Data!O1350</f>
        <v/>
      </c>
      <c r="G1287">
        <f>E1287-F1287</f>
        <v/>
      </c>
      <c r="H1287">
        <f>Data!P1350</f>
        <v/>
      </c>
      <c r="I1287">
        <f>G1287+H1287</f>
        <v/>
      </c>
      <c r="J1287">
        <f>F1287+G1287+H1287</f>
        <v/>
      </c>
      <c r="K1287">
        <f>Data!R1350</f>
        <v/>
      </c>
      <c r="L1287">
        <f>Data!T1350</f>
        <v/>
      </c>
      <c r="M1287">
        <f>AND(E1287=0,F1287=0,G1287=0,H1287=0,I1287=0,J1287=0,K1287=0,L1287=0)</f>
        <v/>
      </c>
      <c r="N1287">
        <f>G1287&lt;=$T$6</f>
        <v/>
      </c>
      <c r="O1287">
        <f>G1287&lt;=$T$12</f>
        <v/>
      </c>
      <c r="P1287">
        <f>OR(AND(H1287&gt;=$T$4,K1287&lt;=$T$5,N1287),M1287)</f>
        <v/>
      </c>
      <c r="Q1287">
        <f>OR(AND(I1287&gt;=$T$10,K1287&lt;=$T$11,O1287),M1287)</f>
        <v/>
      </c>
    </row>
    <row r="1288">
      <c r="A1288">
        <f>Data!E1351</f>
        <v/>
      </c>
      <c r="B1288">
        <f>Data!G1351</f>
        <v/>
      </c>
      <c r="C1288">
        <f>Data!H1351</f>
        <v/>
      </c>
      <c r="D1288">
        <f>Data!I1351</f>
        <v/>
      </c>
      <c r="E1288">
        <f>Data!M1351</f>
        <v/>
      </c>
      <c r="F1288">
        <f>Data!O1351</f>
        <v/>
      </c>
      <c r="G1288">
        <f>E1288-F1288</f>
        <v/>
      </c>
      <c r="H1288">
        <f>Data!P1351</f>
        <v/>
      </c>
      <c r="I1288">
        <f>G1288+H1288</f>
        <v/>
      </c>
      <c r="J1288">
        <f>F1288+G1288+H1288</f>
        <v/>
      </c>
      <c r="K1288">
        <f>Data!R1351</f>
        <v/>
      </c>
      <c r="L1288">
        <f>Data!T1351</f>
        <v/>
      </c>
      <c r="M1288">
        <f>AND(E1288=0,F1288=0,G1288=0,H1288=0,I1288=0,J1288=0,K1288=0,L1288=0)</f>
        <v/>
      </c>
      <c r="N1288">
        <f>G1288&lt;=$T$6</f>
        <v/>
      </c>
      <c r="O1288">
        <f>G1288&lt;=$T$12</f>
        <v/>
      </c>
      <c r="P1288">
        <f>OR(AND(H1288&gt;=$T$4,K1288&lt;=$T$5,N1288),M1288)</f>
        <v/>
      </c>
      <c r="Q1288">
        <f>OR(AND(I1288&gt;=$T$10,K1288&lt;=$T$11,O1288),M1288)</f>
        <v/>
      </c>
    </row>
    <row r="1289">
      <c r="A1289">
        <f>Data!E1352</f>
        <v/>
      </c>
      <c r="B1289">
        <f>Data!G1352</f>
        <v/>
      </c>
      <c r="C1289">
        <f>Data!H1352</f>
        <v/>
      </c>
      <c r="D1289">
        <f>Data!I1352</f>
        <v/>
      </c>
      <c r="E1289">
        <f>Data!M1352</f>
        <v/>
      </c>
      <c r="F1289">
        <f>Data!O1352</f>
        <v/>
      </c>
      <c r="G1289">
        <f>E1289-F1289</f>
        <v/>
      </c>
      <c r="H1289">
        <f>Data!P1352</f>
        <v/>
      </c>
      <c r="I1289">
        <f>G1289+H1289</f>
        <v/>
      </c>
      <c r="J1289">
        <f>F1289+G1289+H1289</f>
        <v/>
      </c>
      <c r="K1289">
        <f>Data!R1352</f>
        <v/>
      </c>
      <c r="L1289">
        <f>Data!T1352</f>
        <v/>
      </c>
      <c r="M1289">
        <f>AND(E1289=0,F1289=0,G1289=0,H1289=0,I1289=0,J1289=0,K1289=0,L1289=0)</f>
        <v/>
      </c>
      <c r="N1289">
        <f>G1289&lt;=$T$6</f>
        <v/>
      </c>
      <c r="O1289">
        <f>G1289&lt;=$T$12</f>
        <v/>
      </c>
      <c r="P1289">
        <f>OR(AND(H1289&gt;=$T$4,K1289&lt;=$T$5,N1289),M1289)</f>
        <v/>
      </c>
      <c r="Q1289">
        <f>OR(AND(I1289&gt;=$T$10,K1289&lt;=$T$11,O1289),M1289)</f>
        <v/>
      </c>
    </row>
    <row r="1290">
      <c r="A1290">
        <f>Data!E1354</f>
        <v/>
      </c>
      <c r="B1290">
        <f>Data!G1354</f>
        <v/>
      </c>
      <c r="C1290">
        <f>Data!H1354</f>
        <v/>
      </c>
      <c r="D1290">
        <f>Data!I1354</f>
        <v/>
      </c>
      <c r="E1290">
        <f>Data!M1354</f>
        <v/>
      </c>
      <c r="F1290">
        <f>Data!O1354</f>
        <v/>
      </c>
      <c r="G1290">
        <f>E1290-F1290</f>
        <v/>
      </c>
      <c r="H1290">
        <f>Data!P1354</f>
        <v/>
      </c>
      <c r="I1290">
        <f>G1290+H1290</f>
        <v/>
      </c>
      <c r="J1290">
        <f>F1290+G1290+H1290</f>
        <v/>
      </c>
      <c r="K1290">
        <f>Data!R1354</f>
        <v/>
      </c>
      <c r="L1290">
        <f>Data!T1354</f>
        <v/>
      </c>
      <c r="M1290">
        <f>AND(E1290=0,F1290=0,G1290=0,H1290=0,I1290=0,J1290=0,K1290=0,L1290=0)</f>
        <v/>
      </c>
      <c r="N1290">
        <f>G1290&lt;=$T$6</f>
        <v/>
      </c>
      <c r="O1290">
        <f>G1290&lt;=$T$12</f>
        <v/>
      </c>
      <c r="P1290">
        <f>OR(AND(H1290&gt;=$T$4,K1290&lt;=$T$5,N1290),M1290)</f>
        <v/>
      </c>
      <c r="Q1290">
        <f>OR(AND(I1290&gt;=$T$10,K1290&lt;=$T$11,O1290),M1290)</f>
        <v/>
      </c>
    </row>
    <row r="1291">
      <c r="A1291">
        <f>Data!E1355</f>
        <v/>
      </c>
      <c r="B1291">
        <f>Data!G1355</f>
        <v/>
      </c>
      <c r="C1291">
        <f>Data!H1355</f>
        <v/>
      </c>
      <c r="D1291">
        <f>Data!I1355</f>
        <v/>
      </c>
      <c r="E1291">
        <f>Data!M1355</f>
        <v/>
      </c>
      <c r="F1291">
        <f>Data!O1355</f>
        <v/>
      </c>
      <c r="G1291">
        <f>E1291-F1291</f>
        <v/>
      </c>
      <c r="H1291">
        <f>Data!P1355</f>
        <v/>
      </c>
      <c r="I1291">
        <f>G1291+H1291</f>
        <v/>
      </c>
      <c r="J1291">
        <f>F1291+G1291+H1291</f>
        <v/>
      </c>
      <c r="K1291">
        <f>Data!R1355</f>
        <v/>
      </c>
      <c r="L1291">
        <f>Data!T1355</f>
        <v/>
      </c>
      <c r="M1291">
        <f>AND(E1291=0,F1291=0,G1291=0,H1291=0,I1291=0,J1291=0,K1291=0,L1291=0)</f>
        <v/>
      </c>
      <c r="N1291">
        <f>G1291&lt;=$T$6</f>
        <v/>
      </c>
      <c r="O1291">
        <f>G1291&lt;=$T$12</f>
        <v/>
      </c>
      <c r="P1291">
        <f>OR(AND(H1291&gt;=$T$4,K1291&lt;=$T$5,N1291),M1291)</f>
        <v/>
      </c>
      <c r="Q1291">
        <f>OR(AND(I1291&gt;=$T$10,K1291&lt;=$T$11,O1291),M1291)</f>
        <v/>
      </c>
    </row>
    <row r="1292">
      <c r="A1292">
        <f>Data!E1356</f>
        <v/>
      </c>
      <c r="B1292">
        <f>Data!G1356</f>
        <v/>
      </c>
      <c r="C1292">
        <f>Data!H1356</f>
        <v/>
      </c>
      <c r="D1292">
        <f>Data!I1356</f>
        <v/>
      </c>
      <c r="E1292">
        <f>Data!M1356</f>
        <v/>
      </c>
      <c r="F1292">
        <f>Data!O1356</f>
        <v/>
      </c>
      <c r="G1292">
        <f>E1292-F1292</f>
        <v/>
      </c>
      <c r="H1292">
        <f>Data!P1356</f>
        <v/>
      </c>
      <c r="I1292">
        <f>G1292+H1292</f>
        <v/>
      </c>
      <c r="J1292">
        <f>F1292+G1292+H1292</f>
        <v/>
      </c>
      <c r="K1292">
        <f>Data!R1356</f>
        <v/>
      </c>
      <c r="L1292">
        <f>Data!T1356</f>
        <v/>
      </c>
      <c r="M1292">
        <f>AND(E1292=0,F1292=0,G1292=0,H1292=0,I1292=0,J1292=0,K1292=0,L1292=0)</f>
        <v/>
      </c>
      <c r="N1292">
        <f>G1292&lt;=$T$6</f>
        <v/>
      </c>
      <c r="O1292">
        <f>G1292&lt;=$T$12</f>
        <v/>
      </c>
      <c r="P1292">
        <f>OR(AND(H1292&gt;=$T$4,K1292&lt;=$T$5,N1292),M1292)</f>
        <v/>
      </c>
      <c r="Q1292">
        <f>OR(AND(I1292&gt;=$T$10,K1292&lt;=$T$11,O1292),M1292)</f>
        <v/>
      </c>
    </row>
    <row r="1293">
      <c r="A1293">
        <f>Data!E1357</f>
        <v/>
      </c>
      <c r="B1293">
        <f>Data!G1357</f>
        <v/>
      </c>
      <c r="C1293">
        <f>Data!H1357</f>
        <v/>
      </c>
      <c r="D1293">
        <f>Data!I1357</f>
        <v/>
      </c>
      <c r="E1293">
        <f>Data!M1357</f>
        <v/>
      </c>
      <c r="F1293">
        <f>Data!O1357</f>
        <v/>
      </c>
      <c r="G1293">
        <f>E1293-F1293</f>
        <v/>
      </c>
      <c r="H1293">
        <f>Data!P1357</f>
        <v/>
      </c>
      <c r="I1293">
        <f>G1293+H1293</f>
        <v/>
      </c>
      <c r="J1293">
        <f>F1293+G1293+H1293</f>
        <v/>
      </c>
      <c r="K1293">
        <f>Data!R1357</f>
        <v/>
      </c>
      <c r="L1293">
        <f>Data!T1357</f>
        <v/>
      </c>
      <c r="M1293">
        <f>AND(E1293=0,F1293=0,G1293=0,H1293=0,I1293=0,J1293=0,K1293=0,L1293=0)</f>
        <v/>
      </c>
      <c r="N1293">
        <f>G1293&lt;=$T$6</f>
        <v/>
      </c>
      <c r="O1293">
        <f>G1293&lt;=$T$12</f>
        <v/>
      </c>
      <c r="P1293">
        <f>OR(AND(H1293&gt;=$T$4,K1293&lt;=$T$5,N1293),M1293)</f>
        <v/>
      </c>
      <c r="Q1293">
        <f>OR(AND(I1293&gt;=$T$10,K1293&lt;=$T$11,O1293),M1293)</f>
        <v/>
      </c>
    </row>
    <row r="1294">
      <c r="A1294">
        <f>Data!E1358</f>
        <v/>
      </c>
      <c r="B1294">
        <f>Data!G1358</f>
        <v/>
      </c>
      <c r="C1294">
        <f>Data!H1358</f>
        <v/>
      </c>
      <c r="D1294">
        <f>Data!I1358</f>
        <v/>
      </c>
      <c r="E1294">
        <f>Data!M1358</f>
        <v/>
      </c>
      <c r="F1294">
        <f>Data!O1358</f>
        <v/>
      </c>
      <c r="G1294">
        <f>E1294-F1294</f>
        <v/>
      </c>
      <c r="H1294">
        <f>Data!P1358</f>
        <v/>
      </c>
      <c r="I1294">
        <f>G1294+H1294</f>
        <v/>
      </c>
      <c r="J1294">
        <f>F1294+G1294+H1294</f>
        <v/>
      </c>
      <c r="K1294">
        <f>Data!R1358</f>
        <v/>
      </c>
      <c r="L1294">
        <f>Data!T1358</f>
        <v/>
      </c>
      <c r="M1294">
        <f>AND(E1294=0,F1294=0,G1294=0,H1294=0,I1294=0,J1294=0,K1294=0,L1294=0)</f>
        <v/>
      </c>
      <c r="N1294">
        <f>G1294&lt;=$T$6</f>
        <v/>
      </c>
      <c r="O1294">
        <f>G1294&lt;=$T$12</f>
        <v/>
      </c>
      <c r="P1294">
        <f>OR(AND(H1294&gt;=$T$4,K1294&lt;=$T$5,N1294),M1294)</f>
        <v/>
      </c>
      <c r="Q1294">
        <f>OR(AND(I1294&gt;=$T$10,K1294&lt;=$T$11,O1294),M1294)</f>
        <v/>
      </c>
    </row>
    <row r="1295">
      <c r="A1295">
        <f>Data!E1359</f>
        <v/>
      </c>
      <c r="B1295">
        <f>Data!G1359</f>
        <v/>
      </c>
      <c r="C1295">
        <f>Data!H1359</f>
        <v/>
      </c>
      <c r="D1295">
        <f>Data!I1359</f>
        <v/>
      </c>
      <c r="E1295">
        <f>Data!M1359</f>
        <v/>
      </c>
      <c r="F1295">
        <f>Data!O1359</f>
        <v/>
      </c>
      <c r="G1295">
        <f>E1295-F1295</f>
        <v/>
      </c>
      <c r="H1295">
        <f>Data!P1359</f>
        <v/>
      </c>
      <c r="I1295">
        <f>G1295+H1295</f>
        <v/>
      </c>
      <c r="J1295">
        <f>F1295+G1295+H1295</f>
        <v/>
      </c>
      <c r="K1295">
        <f>Data!R1359</f>
        <v/>
      </c>
      <c r="L1295">
        <f>Data!T1359</f>
        <v/>
      </c>
      <c r="M1295">
        <f>AND(E1295=0,F1295=0,G1295=0,H1295=0,I1295=0,J1295=0,K1295=0,L1295=0)</f>
        <v/>
      </c>
      <c r="N1295">
        <f>G1295&lt;=$T$6</f>
        <v/>
      </c>
      <c r="O1295">
        <f>G1295&lt;=$T$12</f>
        <v/>
      </c>
      <c r="P1295">
        <f>OR(AND(H1295&gt;=$T$4,K1295&lt;=$T$5,N1295),M1295)</f>
        <v/>
      </c>
      <c r="Q1295">
        <f>OR(AND(I1295&gt;=$T$10,K1295&lt;=$T$11,O1295),M1295)</f>
        <v/>
      </c>
    </row>
    <row r="1296">
      <c r="A1296">
        <f>Data!E1360</f>
        <v/>
      </c>
      <c r="B1296">
        <f>Data!G1360</f>
        <v/>
      </c>
      <c r="C1296">
        <f>Data!H1360</f>
        <v/>
      </c>
      <c r="D1296">
        <f>Data!I1360</f>
        <v/>
      </c>
      <c r="E1296">
        <f>Data!M1360</f>
        <v/>
      </c>
      <c r="F1296">
        <f>Data!O1360</f>
        <v/>
      </c>
      <c r="G1296">
        <f>E1296-F1296</f>
        <v/>
      </c>
      <c r="H1296">
        <f>Data!P1360</f>
        <v/>
      </c>
      <c r="I1296">
        <f>G1296+H1296</f>
        <v/>
      </c>
      <c r="J1296">
        <f>F1296+G1296+H1296</f>
        <v/>
      </c>
      <c r="K1296">
        <f>Data!R1360</f>
        <v/>
      </c>
      <c r="L1296">
        <f>Data!T1360</f>
        <v/>
      </c>
      <c r="M1296">
        <f>AND(E1296=0,F1296=0,G1296=0,H1296=0,I1296=0,J1296=0,K1296=0,L1296=0)</f>
        <v/>
      </c>
      <c r="N1296">
        <f>G1296&lt;=$T$6</f>
        <v/>
      </c>
      <c r="O1296">
        <f>G1296&lt;=$T$12</f>
        <v/>
      </c>
      <c r="P1296">
        <f>OR(AND(H1296&gt;=$T$4,K1296&lt;=$T$5,N1296),M1296)</f>
        <v/>
      </c>
      <c r="Q1296">
        <f>OR(AND(I1296&gt;=$T$10,K1296&lt;=$T$11,O1296),M1296)</f>
        <v/>
      </c>
    </row>
    <row r="1297">
      <c r="A1297">
        <f>Data!E1361</f>
        <v/>
      </c>
      <c r="B1297">
        <f>Data!G1361</f>
        <v/>
      </c>
      <c r="C1297">
        <f>Data!H1361</f>
        <v/>
      </c>
      <c r="D1297">
        <f>Data!I1361</f>
        <v/>
      </c>
      <c r="E1297">
        <f>Data!M1361</f>
        <v/>
      </c>
      <c r="F1297">
        <f>Data!O1361</f>
        <v/>
      </c>
      <c r="G1297">
        <f>E1297-F1297</f>
        <v/>
      </c>
      <c r="H1297">
        <f>Data!P1361</f>
        <v/>
      </c>
      <c r="I1297">
        <f>G1297+H1297</f>
        <v/>
      </c>
      <c r="J1297">
        <f>F1297+G1297+H1297</f>
        <v/>
      </c>
      <c r="K1297">
        <f>Data!R1361</f>
        <v/>
      </c>
      <c r="L1297">
        <f>Data!T1361</f>
        <v/>
      </c>
      <c r="M1297">
        <f>AND(E1297=0,F1297=0,G1297=0,H1297=0,I1297=0,J1297=0,K1297=0,L1297=0)</f>
        <v/>
      </c>
      <c r="N1297">
        <f>G1297&lt;=$T$6</f>
        <v/>
      </c>
      <c r="O1297">
        <f>G1297&lt;=$T$12</f>
        <v/>
      </c>
      <c r="P1297">
        <f>OR(AND(H1297&gt;=$T$4,K1297&lt;=$T$5,N1297),M1297)</f>
        <v/>
      </c>
      <c r="Q1297">
        <f>OR(AND(I1297&gt;=$T$10,K1297&lt;=$T$11,O1297),M1297)</f>
        <v/>
      </c>
    </row>
    <row r="1298">
      <c r="A1298">
        <f>Data!E1362</f>
        <v/>
      </c>
      <c r="B1298">
        <f>Data!G1362</f>
        <v/>
      </c>
      <c r="C1298">
        <f>Data!H1362</f>
        <v/>
      </c>
      <c r="D1298">
        <f>Data!I1362</f>
        <v/>
      </c>
      <c r="E1298">
        <f>Data!M1362</f>
        <v/>
      </c>
      <c r="F1298">
        <f>Data!O1362</f>
        <v/>
      </c>
      <c r="G1298">
        <f>E1298-F1298</f>
        <v/>
      </c>
      <c r="H1298">
        <f>Data!P1362</f>
        <v/>
      </c>
      <c r="I1298">
        <f>G1298+H1298</f>
        <v/>
      </c>
      <c r="J1298">
        <f>F1298+G1298+H1298</f>
        <v/>
      </c>
      <c r="K1298">
        <f>Data!R1362</f>
        <v/>
      </c>
      <c r="L1298">
        <f>Data!T1362</f>
        <v/>
      </c>
      <c r="M1298">
        <f>AND(E1298=0,F1298=0,G1298=0,H1298=0,I1298=0,J1298=0,K1298=0,L1298=0)</f>
        <v/>
      </c>
      <c r="N1298">
        <f>G1298&lt;=$T$6</f>
        <v/>
      </c>
      <c r="O1298">
        <f>G1298&lt;=$T$12</f>
        <v/>
      </c>
      <c r="P1298">
        <f>OR(AND(H1298&gt;=$T$4,K1298&lt;=$T$5,N1298),M1298)</f>
        <v/>
      </c>
      <c r="Q1298">
        <f>OR(AND(I1298&gt;=$T$10,K1298&lt;=$T$11,O1298),M1298)</f>
        <v/>
      </c>
    </row>
    <row r="1299">
      <c r="A1299">
        <f>Data!E1363</f>
        <v/>
      </c>
      <c r="B1299">
        <f>Data!G1363</f>
        <v/>
      </c>
      <c r="C1299">
        <f>Data!H1363</f>
        <v/>
      </c>
      <c r="D1299">
        <f>Data!I1363</f>
        <v/>
      </c>
      <c r="E1299">
        <f>Data!M1363</f>
        <v/>
      </c>
      <c r="F1299">
        <f>Data!O1363</f>
        <v/>
      </c>
      <c r="G1299">
        <f>E1299-F1299</f>
        <v/>
      </c>
      <c r="H1299">
        <f>Data!P1363</f>
        <v/>
      </c>
      <c r="I1299">
        <f>G1299+H1299</f>
        <v/>
      </c>
      <c r="J1299">
        <f>F1299+G1299+H1299</f>
        <v/>
      </c>
      <c r="K1299">
        <f>Data!R1363</f>
        <v/>
      </c>
      <c r="L1299">
        <f>Data!T1363</f>
        <v/>
      </c>
      <c r="M1299">
        <f>AND(E1299=0,F1299=0,G1299=0,H1299=0,I1299=0,J1299=0,K1299=0,L1299=0)</f>
        <v/>
      </c>
      <c r="N1299">
        <f>G1299&lt;=$T$6</f>
        <v/>
      </c>
      <c r="O1299">
        <f>G1299&lt;=$T$12</f>
        <v/>
      </c>
      <c r="P1299">
        <f>OR(AND(H1299&gt;=$T$4,K1299&lt;=$T$5,N1299),M1299)</f>
        <v/>
      </c>
      <c r="Q1299">
        <f>OR(AND(I1299&gt;=$T$10,K1299&lt;=$T$11,O1299),M1299)</f>
        <v/>
      </c>
    </row>
    <row r="1300">
      <c r="A1300">
        <f>Data!E1364</f>
        <v/>
      </c>
      <c r="B1300">
        <f>Data!G1364</f>
        <v/>
      </c>
      <c r="C1300">
        <f>Data!H1364</f>
        <v/>
      </c>
      <c r="D1300">
        <f>Data!I1364</f>
        <v/>
      </c>
      <c r="E1300">
        <f>Data!M1364</f>
        <v/>
      </c>
      <c r="F1300">
        <f>Data!O1364</f>
        <v/>
      </c>
      <c r="G1300">
        <f>E1300-F1300</f>
        <v/>
      </c>
      <c r="H1300">
        <f>Data!P1364</f>
        <v/>
      </c>
      <c r="I1300">
        <f>G1300+H1300</f>
        <v/>
      </c>
      <c r="J1300">
        <f>F1300+G1300+H1300</f>
        <v/>
      </c>
      <c r="K1300">
        <f>Data!R1364</f>
        <v/>
      </c>
      <c r="L1300">
        <f>Data!T1364</f>
        <v/>
      </c>
      <c r="M1300">
        <f>AND(E1300=0,F1300=0,G1300=0,H1300=0,I1300=0,J1300=0,K1300=0,L1300=0)</f>
        <v/>
      </c>
      <c r="N1300">
        <f>G1300&lt;=$T$6</f>
        <v/>
      </c>
      <c r="O1300">
        <f>G1300&lt;=$T$12</f>
        <v/>
      </c>
      <c r="P1300">
        <f>OR(AND(H1300&gt;=$T$4,K1300&lt;=$T$5,N1300),M1300)</f>
        <v/>
      </c>
      <c r="Q1300">
        <f>OR(AND(I1300&gt;=$T$10,K1300&lt;=$T$11,O1300),M1300)</f>
        <v/>
      </c>
    </row>
    <row r="1301">
      <c r="A1301">
        <f>Data!E1365</f>
        <v/>
      </c>
      <c r="B1301">
        <f>Data!G1365</f>
        <v/>
      </c>
      <c r="C1301">
        <f>Data!H1365</f>
        <v/>
      </c>
      <c r="D1301">
        <f>Data!I1365</f>
        <v/>
      </c>
      <c r="E1301">
        <f>Data!M1365</f>
        <v/>
      </c>
      <c r="F1301">
        <f>Data!O1365</f>
        <v/>
      </c>
      <c r="G1301">
        <f>E1301-F1301</f>
        <v/>
      </c>
      <c r="H1301">
        <f>Data!P1365</f>
        <v/>
      </c>
      <c r="I1301">
        <f>G1301+H1301</f>
        <v/>
      </c>
      <c r="J1301">
        <f>F1301+G1301+H1301</f>
        <v/>
      </c>
      <c r="K1301">
        <f>Data!R1365</f>
        <v/>
      </c>
      <c r="L1301">
        <f>Data!T1365</f>
        <v/>
      </c>
      <c r="M1301">
        <f>AND(E1301=0,F1301=0,G1301=0,H1301=0,I1301=0,J1301=0,K1301=0,L1301=0)</f>
        <v/>
      </c>
      <c r="N1301">
        <f>G1301&lt;=$T$6</f>
        <v/>
      </c>
      <c r="O1301">
        <f>G1301&lt;=$T$12</f>
        <v/>
      </c>
      <c r="P1301">
        <f>OR(AND(H1301&gt;=$T$4,K1301&lt;=$T$5,N1301),M1301)</f>
        <v/>
      </c>
      <c r="Q1301">
        <f>OR(AND(I1301&gt;=$T$10,K1301&lt;=$T$11,O1301),M1301)</f>
        <v/>
      </c>
    </row>
    <row r="1302">
      <c r="A1302">
        <f>Data!E1366</f>
        <v/>
      </c>
      <c r="B1302">
        <f>Data!G1366</f>
        <v/>
      </c>
      <c r="C1302">
        <f>Data!H1366</f>
        <v/>
      </c>
      <c r="D1302">
        <f>Data!I1366</f>
        <v/>
      </c>
      <c r="E1302">
        <f>Data!M1366</f>
        <v/>
      </c>
      <c r="F1302">
        <f>Data!O1366</f>
        <v/>
      </c>
      <c r="G1302">
        <f>E1302-F1302</f>
        <v/>
      </c>
      <c r="H1302">
        <f>Data!P1366</f>
        <v/>
      </c>
      <c r="I1302">
        <f>G1302+H1302</f>
        <v/>
      </c>
      <c r="J1302">
        <f>F1302+G1302+H1302</f>
        <v/>
      </c>
      <c r="K1302">
        <f>Data!R1366</f>
        <v/>
      </c>
      <c r="L1302">
        <f>Data!T1366</f>
        <v/>
      </c>
      <c r="M1302">
        <f>AND(E1302=0,F1302=0,G1302=0,H1302=0,I1302=0,J1302=0,K1302=0,L1302=0)</f>
        <v/>
      </c>
      <c r="N1302">
        <f>G1302&lt;=$T$6</f>
        <v/>
      </c>
      <c r="O1302">
        <f>G1302&lt;=$T$12</f>
        <v/>
      </c>
      <c r="P1302">
        <f>OR(AND(H1302&gt;=$T$4,K1302&lt;=$T$5,N1302),M1302)</f>
        <v/>
      </c>
      <c r="Q1302">
        <f>OR(AND(I1302&gt;=$T$10,K1302&lt;=$T$11,O1302),M1302)</f>
        <v/>
      </c>
    </row>
    <row r="1303">
      <c r="A1303">
        <f>Data!E1367</f>
        <v/>
      </c>
      <c r="B1303">
        <f>Data!G1367</f>
        <v/>
      </c>
      <c r="C1303">
        <f>Data!H1367</f>
        <v/>
      </c>
      <c r="D1303">
        <f>Data!I1367</f>
        <v/>
      </c>
      <c r="E1303">
        <f>Data!M1367</f>
        <v/>
      </c>
      <c r="F1303">
        <f>Data!O1367</f>
        <v/>
      </c>
      <c r="G1303">
        <f>E1303-F1303</f>
        <v/>
      </c>
      <c r="H1303">
        <f>Data!P1367</f>
        <v/>
      </c>
      <c r="I1303">
        <f>G1303+H1303</f>
        <v/>
      </c>
      <c r="J1303">
        <f>F1303+G1303+H1303</f>
        <v/>
      </c>
      <c r="K1303">
        <f>Data!R1367</f>
        <v/>
      </c>
      <c r="L1303">
        <f>Data!T1367</f>
        <v/>
      </c>
      <c r="M1303">
        <f>AND(E1303=0,F1303=0,G1303=0,H1303=0,I1303=0,J1303=0,K1303=0,L1303=0)</f>
        <v/>
      </c>
      <c r="N1303">
        <f>G1303&lt;=$T$6</f>
        <v/>
      </c>
      <c r="O1303">
        <f>G1303&lt;=$T$12</f>
        <v/>
      </c>
      <c r="P1303">
        <f>OR(AND(H1303&gt;=$T$4,K1303&lt;=$T$5,N1303),M1303)</f>
        <v/>
      </c>
      <c r="Q1303">
        <f>OR(AND(I1303&gt;=$T$10,K1303&lt;=$T$11,O1303),M1303)</f>
        <v/>
      </c>
    </row>
    <row r="1304">
      <c r="A1304">
        <f>Data!E1368</f>
        <v/>
      </c>
      <c r="B1304">
        <f>Data!G1368</f>
        <v/>
      </c>
      <c r="C1304">
        <f>Data!H1368</f>
        <v/>
      </c>
      <c r="D1304">
        <f>Data!I1368</f>
        <v/>
      </c>
      <c r="E1304">
        <f>Data!M1368</f>
        <v/>
      </c>
      <c r="F1304">
        <f>Data!O1368</f>
        <v/>
      </c>
      <c r="G1304">
        <f>E1304-F1304</f>
        <v/>
      </c>
      <c r="H1304">
        <f>Data!P1368</f>
        <v/>
      </c>
      <c r="I1304">
        <f>G1304+H1304</f>
        <v/>
      </c>
      <c r="J1304">
        <f>F1304+G1304+H1304</f>
        <v/>
      </c>
      <c r="K1304">
        <f>Data!R1368</f>
        <v/>
      </c>
      <c r="L1304">
        <f>Data!T1368</f>
        <v/>
      </c>
      <c r="M1304">
        <f>AND(E1304=0,F1304=0,G1304=0,H1304=0,I1304=0,J1304=0,K1304=0,L1304=0)</f>
        <v/>
      </c>
      <c r="N1304">
        <f>G1304&lt;=$T$6</f>
        <v/>
      </c>
      <c r="O1304">
        <f>G1304&lt;=$T$12</f>
        <v/>
      </c>
      <c r="P1304">
        <f>OR(AND(H1304&gt;=$T$4,K1304&lt;=$T$5,N1304),M1304)</f>
        <v/>
      </c>
      <c r="Q1304">
        <f>OR(AND(I1304&gt;=$T$10,K1304&lt;=$T$11,O1304),M1304)</f>
        <v/>
      </c>
    </row>
    <row r="1305">
      <c r="A1305">
        <f>Data!E1369</f>
        <v/>
      </c>
      <c r="B1305">
        <f>Data!G1369</f>
        <v/>
      </c>
      <c r="C1305">
        <f>Data!H1369</f>
        <v/>
      </c>
      <c r="D1305">
        <f>Data!I1369</f>
        <v/>
      </c>
      <c r="E1305">
        <f>Data!M1369</f>
        <v/>
      </c>
      <c r="F1305">
        <f>Data!O1369</f>
        <v/>
      </c>
      <c r="G1305">
        <f>E1305-F1305</f>
        <v/>
      </c>
      <c r="H1305">
        <f>Data!P1369</f>
        <v/>
      </c>
      <c r="I1305">
        <f>G1305+H1305</f>
        <v/>
      </c>
      <c r="J1305">
        <f>F1305+G1305+H1305</f>
        <v/>
      </c>
      <c r="K1305">
        <f>Data!R1369</f>
        <v/>
      </c>
      <c r="L1305">
        <f>Data!T1369</f>
        <v/>
      </c>
      <c r="M1305">
        <f>AND(E1305=0,F1305=0,G1305=0,H1305=0,I1305=0,J1305=0,K1305=0,L1305=0)</f>
        <v/>
      </c>
      <c r="N1305">
        <f>G1305&lt;=$T$6</f>
        <v/>
      </c>
      <c r="O1305">
        <f>G1305&lt;=$T$12</f>
        <v/>
      </c>
      <c r="P1305">
        <f>OR(AND(H1305&gt;=$T$4,K1305&lt;=$T$5,N1305),M1305)</f>
        <v/>
      </c>
      <c r="Q1305">
        <f>OR(AND(I1305&gt;=$T$10,K1305&lt;=$T$11,O1305),M1305)</f>
        <v/>
      </c>
    </row>
    <row r="1306">
      <c r="A1306">
        <f>Data!E1370</f>
        <v/>
      </c>
      <c r="B1306">
        <f>Data!G1370</f>
        <v/>
      </c>
      <c r="C1306">
        <f>Data!H1370</f>
        <v/>
      </c>
      <c r="D1306">
        <f>Data!I1370</f>
        <v/>
      </c>
      <c r="E1306">
        <f>Data!M1370</f>
        <v/>
      </c>
      <c r="F1306">
        <f>Data!O1370</f>
        <v/>
      </c>
      <c r="G1306">
        <f>E1306-F1306</f>
        <v/>
      </c>
      <c r="H1306">
        <f>Data!P1370</f>
        <v/>
      </c>
      <c r="I1306">
        <f>G1306+H1306</f>
        <v/>
      </c>
      <c r="J1306">
        <f>F1306+G1306+H1306</f>
        <v/>
      </c>
      <c r="K1306">
        <f>Data!R1370</f>
        <v/>
      </c>
      <c r="L1306">
        <f>Data!T1370</f>
        <v/>
      </c>
      <c r="M1306">
        <f>AND(E1306=0,F1306=0,G1306=0,H1306=0,I1306=0,J1306=0,K1306=0,L1306=0)</f>
        <v/>
      </c>
      <c r="N1306">
        <f>G1306&lt;=$T$6</f>
        <v/>
      </c>
      <c r="O1306">
        <f>G1306&lt;=$T$12</f>
        <v/>
      </c>
      <c r="P1306">
        <f>OR(AND(H1306&gt;=$T$4,K1306&lt;=$T$5,N1306),M1306)</f>
        <v/>
      </c>
      <c r="Q1306">
        <f>OR(AND(I1306&gt;=$T$10,K1306&lt;=$T$11,O1306),M1306)</f>
        <v/>
      </c>
    </row>
    <row r="1307">
      <c r="A1307">
        <f>Data!E1372</f>
        <v/>
      </c>
      <c r="B1307">
        <f>Data!G1372</f>
        <v/>
      </c>
      <c r="C1307">
        <f>Data!H1372</f>
        <v/>
      </c>
      <c r="D1307">
        <f>Data!I1372</f>
        <v/>
      </c>
      <c r="E1307">
        <f>Data!M1372</f>
        <v/>
      </c>
      <c r="F1307">
        <f>Data!O1372</f>
        <v/>
      </c>
      <c r="G1307">
        <f>E1307-F1307</f>
        <v/>
      </c>
      <c r="H1307">
        <f>Data!P1372</f>
        <v/>
      </c>
      <c r="I1307">
        <f>G1307+H1307</f>
        <v/>
      </c>
      <c r="J1307">
        <f>F1307+G1307+H1307</f>
        <v/>
      </c>
      <c r="K1307">
        <f>Data!R1372</f>
        <v/>
      </c>
      <c r="L1307">
        <f>Data!T1372</f>
        <v/>
      </c>
      <c r="M1307">
        <f>AND(E1307=0,F1307=0,G1307=0,H1307=0,I1307=0,J1307=0,K1307=0,L1307=0)</f>
        <v/>
      </c>
      <c r="N1307">
        <f>G1307&lt;=$T$6</f>
        <v/>
      </c>
      <c r="O1307">
        <f>G1307&lt;=$T$12</f>
        <v/>
      </c>
      <c r="P1307">
        <f>OR(AND(H1307&gt;=$T$4,K1307&lt;=$T$5,N1307),M1307)</f>
        <v/>
      </c>
      <c r="Q1307">
        <f>OR(AND(I1307&gt;=$T$10,K1307&lt;=$T$11,O1307),M1307)</f>
        <v/>
      </c>
    </row>
    <row r="1308">
      <c r="A1308">
        <f>Data!E1373</f>
        <v/>
      </c>
      <c r="B1308">
        <f>Data!G1373</f>
        <v/>
      </c>
      <c r="C1308">
        <f>Data!H1373</f>
        <v/>
      </c>
      <c r="D1308">
        <f>Data!I1373</f>
        <v/>
      </c>
      <c r="E1308">
        <f>Data!M1373</f>
        <v/>
      </c>
      <c r="F1308">
        <f>Data!O1373</f>
        <v/>
      </c>
      <c r="G1308">
        <f>E1308-F1308</f>
        <v/>
      </c>
      <c r="H1308">
        <f>Data!P1373</f>
        <v/>
      </c>
      <c r="I1308">
        <f>G1308+H1308</f>
        <v/>
      </c>
      <c r="J1308">
        <f>F1308+G1308+H1308</f>
        <v/>
      </c>
      <c r="K1308">
        <f>Data!R1373</f>
        <v/>
      </c>
      <c r="L1308">
        <f>Data!T1373</f>
        <v/>
      </c>
      <c r="M1308">
        <f>AND(E1308=0,F1308=0,G1308=0,H1308=0,I1308=0,J1308=0,K1308=0,L1308=0)</f>
        <v/>
      </c>
      <c r="N1308">
        <f>G1308&lt;=$T$6</f>
        <v/>
      </c>
      <c r="O1308">
        <f>G1308&lt;=$T$12</f>
        <v/>
      </c>
      <c r="P1308">
        <f>OR(AND(H1308&gt;=$T$4,K1308&lt;=$T$5,N1308),M1308)</f>
        <v/>
      </c>
      <c r="Q1308">
        <f>OR(AND(I1308&gt;=$T$10,K1308&lt;=$T$11,O1308),M1308)</f>
        <v/>
      </c>
    </row>
    <row r="1309">
      <c r="A1309">
        <f>Data!E1374</f>
        <v/>
      </c>
      <c r="B1309">
        <f>Data!G1374</f>
        <v/>
      </c>
      <c r="C1309">
        <f>Data!H1374</f>
        <v/>
      </c>
      <c r="D1309">
        <f>Data!I1374</f>
        <v/>
      </c>
      <c r="E1309">
        <f>Data!M1374</f>
        <v/>
      </c>
      <c r="F1309">
        <f>Data!O1374</f>
        <v/>
      </c>
      <c r="G1309">
        <f>E1309-F1309</f>
        <v/>
      </c>
      <c r="H1309">
        <f>Data!P1374</f>
        <v/>
      </c>
      <c r="I1309">
        <f>G1309+H1309</f>
        <v/>
      </c>
      <c r="J1309">
        <f>F1309+G1309+H1309</f>
        <v/>
      </c>
      <c r="K1309">
        <f>Data!R1374</f>
        <v/>
      </c>
      <c r="L1309">
        <f>Data!T1374</f>
        <v/>
      </c>
      <c r="M1309">
        <f>AND(E1309=0,F1309=0,G1309=0,H1309=0,I1309=0,J1309=0,K1309=0,L1309=0)</f>
        <v/>
      </c>
      <c r="N1309">
        <f>G1309&lt;=$T$6</f>
        <v/>
      </c>
      <c r="O1309">
        <f>G1309&lt;=$T$12</f>
        <v/>
      </c>
      <c r="P1309">
        <f>OR(AND(H1309&gt;=$T$4,K1309&lt;=$T$5,N1309),M1309)</f>
        <v/>
      </c>
      <c r="Q1309">
        <f>OR(AND(I1309&gt;=$T$10,K1309&lt;=$T$11,O1309),M1309)</f>
        <v/>
      </c>
    </row>
    <row r="1310">
      <c r="A1310">
        <f>Data!E1375</f>
        <v/>
      </c>
      <c r="B1310">
        <f>Data!G1375</f>
        <v/>
      </c>
      <c r="C1310">
        <f>Data!H1375</f>
        <v/>
      </c>
      <c r="D1310">
        <f>Data!I1375</f>
        <v/>
      </c>
      <c r="E1310">
        <f>Data!M1375</f>
        <v/>
      </c>
      <c r="F1310">
        <f>Data!O1375</f>
        <v/>
      </c>
      <c r="G1310">
        <f>E1310-F1310</f>
        <v/>
      </c>
      <c r="H1310">
        <f>Data!P1375</f>
        <v/>
      </c>
      <c r="I1310">
        <f>G1310+H1310</f>
        <v/>
      </c>
      <c r="J1310">
        <f>F1310+G1310+H1310</f>
        <v/>
      </c>
      <c r="K1310">
        <f>Data!R1375</f>
        <v/>
      </c>
      <c r="L1310">
        <f>Data!T1375</f>
        <v/>
      </c>
      <c r="M1310">
        <f>AND(E1310=0,F1310=0,G1310=0,H1310=0,I1310=0,J1310=0,K1310=0,L1310=0)</f>
        <v/>
      </c>
      <c r="N1310">
        <f>G1310&lt;=$T$6</f>
        <v/>
      </c>
      <c r="O1310">
        <f>G1310&lt;=$T$12</f>
        <v/>
      </c>
      <c r="P1310">
        <f>OR(AND(H1310&gt;=$T$4,K1310&lt;=$T$5,N1310),M1310)</f>
        <v/>
      </c>
      <c r="Q1310">
        <f>OR(AND(I1310&gt;=$T$10,K1310&lt;=$T$11,O1310),M1310)</f>
        <v/>
      </c>
    </row>
    <row r="1311">
      <c r="A1311">
        <f>Data!E1376</f>
        <v/>
      </c>
      <c r="B1311">
        <f>Data!G1376</f>
        <v/>
      </c>
      <c r="C1311">
        <f>Data!H1376</f>
        <v/>
      </c>
      <c r="D1311">
        <f>Data!I1376</f>
        <v/>
      </c>
      <c r="E1311">
        <f>Data!M1376</f>
        <v/>
      </c>
      <c r="F1311">
        <f>Data!O1376</f>
        <v/>
      </c>
      <c r="G1311">
        <f>E1311-F1311</f>
        <v/>
      </c>
      <c r="H1311">
        <f>Data!P1376</f>
        <v/>
      </c>
      <c r="I1311">
        <f>G1311+H1311</f>
        <v/>
      </c>
      <c r="J1311">
        <f>F1311+G1311+H1311</f>
        <v/>
      </c>
      <c r="K1311">
        <f>Data!R1376</f>
        <v/>
      </c>
      <c r="L1311">
        <f>Data!T1376</f>
        <v/>
      </c>
      <c r="M1311">
        <f>AND(E1311=0,F1311=0,G1311=0,H1311=0,I1311=0,J1311=0,K1311=0,L1311=0)</f>
        <v/>
      </c>
      <c r="N1311">
        <f>G1311&lt;=$T$6</f>
        <v/>
      </c>
      <c r="O1311">
        <f>G1311&lt;=$T$12</f>
        <v/>
      </c>
      <c r="P1311">
        <f>OR(AND(H1311&gt;=$T$4,K1311&lt;=$T$5,N1311),M1311)</f>
        <v/>
      </c>
      <c r="Q1311">
        <f>OR(AND(I1311&gt;=$T$10,K1311&lt;=$T$11,O1311),M1311)</f>
        <v/>
      </c>
    </row>
    <row r="1312">
      <c r="A1312">
        <f>Data!E1377</f>
        <v/>
      </c>
      <c r="B1312">
        <f>Data!G1377</f>
        <v/>
      </c>
      <c r="C1312">
        <f>Data!H1377</f>
        <v/>
      </c>
      <c r="D1312">
        <f>Data!I1377</f>
        <v/>
      </c>
      <c r="E1312">
        <f>Data!M1377</f>
        <v/>
      </c>
      <c r="F1312">
        <f>Data!O1377</f>
        <v/>
      </c>
      <c r="G1312">
        <f>E1312-F1312</f>
        <v/>
      </c>
      <c r="H1312">
        <f>Data!P1377</f>
        <v/>
      </c>
      <c r="I1312">
        <f>G1312+H1312</f>
        <v/>
      </c>
      <c r="J1312">
        <f>F1312+G1312+H1312</f>
        <v/>
      </c>
      <c r="K1312">
        <f>Data!R1377</f>
        <v/>
      </c>
      <c r="L1312">
        <f>Data!T1377</f>
        <v/>
      </c>
      <c r="M1312">
        <f>AND(E1312=0,F1312=0,G1312=0,H1312=0,I1312=0,J1312=0,K1312=0,L1312=0)</f>
        <v/>
      </c>
      <c r="N1312">
        <f>G1312&lt;=$T$6</f>
        <v/>
      </c>
      <c r="O1312">
        <f>G1312&lt;=$T$12</f>
        <v/>
      </c>
      <c r="P1312">
        <f>OR(AND(H1312&gt;=$T$4,K1312&lt;=$T$5,N1312),M1312)</f>
        <v/>
      </c>
      <c r="Q1312">
        <f>OR(AND(I1312&gt;=$T$10,K1312&lt;=$T$11,O1312),M1312)</f>
        <v/>
      </c>
    </row>
    <row r="1313">
      <c r="A1313">
        <f>Data!E1378</f>
        <v/>
      </c>
      <c r="B1313">
        <f>Data!G1378</f>
        <v/>
      </c>
      <c r="C1313">
        <f>Data!H1378</f>
        <v/>
      </c>
      <c r="D1313">
        <f>Data!I1378</f>
        <v/>
      </c>
      <c r="E1313">
        <f>Data!M1378</f>
        <v/>
      </c>
      <c r="F1313">
        <f>Data!O1378</f>
        <v/>
      </c>
      <c r="G1313">
        <f>E1313-F1313</f>
        <v/>
      </c>
      <c r="H1313">
        <f>Data!P1378</f>
        <v/>
      </c>
      <c r="I1313">
        <f>G1313+H1313</f>
        <v/>
      </c>
      <c r="J1313">
        <f>F1313+G1313+H1313</f>
        <v/>
      </c>
      <c r="K1313">
        <f>Data!R1378</f>
        <v/>
      </c>
      <c r="L1313">
        <f>Data!T1378</f>
        <v/>
      </c>
      <c r="M1313">
        <f>AND(E1313=0,F1313=0,G1313=0,H1313=0,I1313=0,J1313=0,K1313=0,L1313=0)</f>
        <v/>
      </c>
      <c r="N1313">
        <f>G1313&lt;=$T$6</f>
        <v/>
      </c>
      <c r="O1313">
        <f>G1313&lt;=$T$12</f>
        <v/>
      </c>
      <c r="P1313">
        <f>OR(AND(H1313&gt;=$T$4,K1313&lt;=$T$5,N1313),M1313)</f>
        <v/>
      </c>
      <c r="Q1313">
        <f>OR(AND(I1313&gt;=$T$10,K1313&lt;=$T$11,O1313),M1313)</f>
        <v/>
      </c>
    </row>
    <row r="1314">
      <c r="A1314">
        <f>Data!E1379</f>
        <v/>
      </c>
      <c r="B1314">
        <f>Data!G1379</f>
        <v/>
      </c>
      <c r="C1314">
        <f>Data!H1379</f>
        <v/>
      </c>
      <c r="D1314">
        <f>Data!I1379</f>
        <v/>
      </c>
      <c r="E1314">
        <f>Data!M1379</f>
        <v/>
      </c>
      <c r="F1314">
        <f>Data!O1379</f>
        <v/>
      </c>
      <c r="G1314">
        <f>E1314-F1314</f>
        <v/>
      </c>
      <c r="H1314">
        <f>Data!P1379</f>
        <v/>
      </c>
      <c r="I1314">
        <f>G1314+H1314</f>
        <v/>
      </c>
      <c r="J1314">
        <f>F1314+G1314+H1314</f>
        <v/>
      </c>
      <c r="K1314">
        <f>Data!R1379</f>
        <v/>
      </c>
      <c r="L1314">
        <f>Data!T1379</f>
        <v/>
      </c>
      <c r="M1314">
        <f>AND(E1314=0,F1314=0,G1314=0,H1314=0,I1314=0,J1314=0,K1314=0,L1314=0)</f>
        <v/>
      </c>
      <c r="N1314">
        <f>G1314&lt;=$T$6</f>
        <v/>
      </c>
      <c r="O1314">
        <f>G1314&lt;=$T$12</f>
        <v/>
      </c>
      <c r="P1314">
        <f>OR(AND(H1314&gt;=$T$4,K1314&lt;=$T$5,N1314),M1314)</f>
        <v/>
      </c>
      <c r="Q1314">
        <f>OR(AND(I1314&gt;=$T$10,K1314&lt;=$T$11,O1314),M1314)</f>
        <v/>
      </c>
    </row>
    <row r="1315">
      <c r="A1315">
        <f>Data!E1380</f>
        <v/>
      </c>
      <c r="B1315">
        <f>Data!G1380</f>
        <v/>
      </c>
      <c r="C1315">
        <f>Data!H1380</f>
        <v/>
      </c>
      <c r="D1315">
        <f>Data!I1380</f>
        <v/>
      </c>
      <c r="E1315">
        <f>Data!M1380</f>
        <v/>
      </c>
      <c r="F1315">
        <f>Data!O1380</f>
        <v/>
      </c>
      <c r="G1315">
        <f>E1315-F1315</f>
        <v/>
      </c>
      <c r="H1315">
        <f>Data!P1380</f>
        <v/>
      </c>
      <c r="I1315">
        <f>G1315+H1315</f>
        <v/>
      </c>
      <c r="J1315">
        <f>F1315+G1315+H1315</f>
        <v/>
      </c>
      <c r="K1315">
        <f>Data!R1380</f>
        <v/>
      </c>
      <c r="L1315">
        <f>Data!T1380</f>
        <v/>
      </c>
      <c r="M1315">
        <f>AND(E1315=0,F1315=0,G1315=0,H1315=0,I1315=0,J1315=0,K1315=0,L1315=0)</f>
        <v/>
      </c>
      <c r="N1315">
        <f>G1315&lt;=$T$6</f>
        <v/>
      </c>
      <c r="O1315">
        <f>G1315&lt;=$T$12</f>
        <v/>
      </c>
      <c r="P1315">
        <f>OR(AND(H1315&gt;=$T$4,K1315&lt;=$T$5,N1315),M1315)</f>
        <v/>
      </c>
      <c r="Q1315">
        <f>OR(AND(I1315&gt;=$T$10,K1315&lt;=$T$11,O1315),M1315)</f>
        <v/>
      </c>
    </row>
    <row r="1316">
      <c r="A1316">
        <f>Data!E1381</f>
        <v/>
      </c>
      <c r="B1316">
        <f>Data!G1381</f>
        <v/>
      </c>
      <c r="C1316">
        <f>Data!H1381</f>
        <v/>
      </c>
      <c r="D1316">
        <f>Data!I1381</f>
        <v/>
      </c>
      <c r="E1316">
        <f>Data!M1381</f>
        <v/>
      </c>
      <c r="F1316">
        <f>Data!O1381</f>
        <v/>
      </c>
      <c r="G1316">
        <f>E1316-F1316</f>
        <v/>
      </c>
      <c r="H1316">
        <f>Data!P1381</f>
        <v/>
      </c>
      <c r="I1316">
        <f>G1316+H1316</f>
        <v/>
      </c>
      <c r="J1316">
        <f>F1316+G1316+H1316</f>
        <v/>
      </c>
      <c r="K1316">
        <f>Data!R1381</f>
        <v/>
      </c>
      <c r="L1316">
        <f>Data!T1381</f>
        <v/>
      </c>
      <c r="M1316">
        <f>AND(E1316=0,F1316=0,G1316=0,H1316=0,I1316=0,J1316=0,K1316=0,L1316=0)</f>
        <v/>
      </c>
      <c r="N1316">
        <f>G1316&lt;=$T$6</f>
        <v/>
      </c>
      <c r="O1316">
        <f>G1316&lt;=$T$12</f>
        <v/>
      </c>
      <c r="P1316">
        <f>OR(AND(H1316&gt;=$T$4,K1316&lt;=$T$5,N1316),M1316)</f>
        <v/>
      </c>
      <c r="Q1316">
        <f>OR(AND(I1316&gt;=$T$10,K1316&lt;=$T$11,O1316),M1316)</f>
        <v/>
      </c>
    </row>
    <row r="1317">
      <c r="A1317">
        <f>Data!E1382</f>
        <v/>
      </c>
      <c r="B1317">
        <f>Data!G1382</f>
        <v/>
      </c>
      <c r="C1317">
        <f>Data!H1382</f>
        <v/>
      </c>
      <c r="D1317">
        <f>Data!I1382</f>
        <v/>
      </c>
      <c r="E1317">
        <f>Data!M1382</f>
        <v/>
      </c>
      <c r="F1317">
        <f>Data!O1382</f>
        <v/>
      </c>
      <c r="G1317">
        <f>E1317-F1317</f>
        <v/>
      </c>
      <c r="H1317">
        <f>Data!P1382</f>
        <v/>
      </c>
      <c r="I1317">
        <f>G1317+H1317</f>
        <v/>
      </c>
      <c r="J1317">
        <f>F1317+G1317+H1317</f>
        <v/>
      </c>
      <c r="K1317">
        <f>Data!R1382</f>
        <v/>
      </c>
      <c r="L1317">
        <f>Data!T1382</f>
        <v/>
      </c>
      <c r="M1317">
        <f>AND(E1317=0,F1317=0,G1317=0,H1317=0,I1317=0,J1317=0,K1317=0,L1317=0)</f>
        <v/>
      </c>
      <c r="N1317">
        <f>G1317&lt;=$T$6</f>
        <v/>
      </c>
      <c r="O1317">
        <f>G1317&lt;=$T$12</f>
        <v/>
      </c>
      <c r="P1317">
        <f>OR(AND(H1317&gt;=$T$4,K1317&lt;=$T$5,N1317),M1317)</f>
        <v/>
      </c>
      <c r="Q1317">
        <f>OR(AND(I1317&gt;=$T$10,K1317&lt;=$T$11,O1317),M1317)</f>
        <v/>
      </c>
    </row>
    <row r="1318">
      <c r="A1318">
        <f>Data!E1383</f>
        <v/>
      </c>
      <c r="B1318">
        <f>Data!G1383</f>
        <v/>
      </c>
      <c r="C1318">
        <f>Data!H1383</f>
        <v/>
      </c>
      <c r="D1318">
        <f>Data!I1383</f>
        <v/>
      </c>
      <c r="E1318">
        <f>Data!M1383</f>
        <v/>
      </c>
      <c r="F1318">
        <f>Data!O1383</f>
        <v/>
      </c>
      <c r="G1318">
        <f>E1318-F1318</f>
        <v/>
      </c>
      <c r="H1318">
        <f>Data!P1383</f>
        <v/>
      </c>
      <c r="I1318">
        <f>G1318+H1318</f>
        <v/>
      </c>
      <c r="J1318">
        <f>F1318+G1318+H1318</f>
        <v/>
      </c>
      <c r="K1318">
        <f>Data!R1383</f>
        <v/>
      </c>
      <c r="L1318">
        <f>Data!T1383</f>
        <v/>
      </c>
      <c r="M1318">
        <f>AND(E1318=0,F1318=0,G1318=0,H1318=0,I1318=0,J1318=0,K1318=0,L1318=0)</f>
        <v/>
      </c>
      <c r="N1318">
        <f>G1318&lt;=$T$6</f>
        <v/>
      </c>
      <c r="O1318">
        <f>G1318&lt;=$T$12</f>
        <v/>
      </c>
      <c r="P1318">
        <f>OR(AND(H1318&gt;=$T$4,K1318&lt;=$T$5,N1318),M1318)</f>
        <v/>
      </c>
      <c r="Q1318">
        <f>OR(AND(I1318&gt;=$T$10,K1318&lt;=$T$11,O1318),M1318)</f>
        <v/>
      </c>
    </row>
    <row r="1319">
      <c r="A1319">
        <f>Data!E1384</f>
        <v/>
      </c>
      <c r="B1319">
        <f>Data!G1384</f>
        <v/>
      </c>
      <c r="C1319">
        <f>Data!H1384</f>
        <v/>
      </c>
      <c r="D1319">
        <f>Data!I1384</f>
        <v/>
      </c>
      <c r="E1319">
        <f>Data!M1384</f>
        <v/>
      </c>
      <c r="F1319">
        <f>Data!O1384</f>
        <v/>
      </c>
      <c r="G1319">
        <f>E1319-F1319</f>
        <v/>
      </c>
      <c r="H1319">
        <f>Data!P1384</f>
        <v/>
      </c>
      <c r="I1319">
        <f>G1319+H1319</f>
        <v/>
      </c>
      <c r="J1319">
        <f>F1319+G1319+H1319</f>
        <v/>
      </c>
      <c r="K1319">
        <f>Data!R1384</f>
        <v/>
      </c>
      <c r="L1319">
        <f>Data!T1384</f>
        <v/>
      </c>
      <c r="M1319">
        <f>AND(E1319=0,F1319=0,G1319=0,H1319=0,I1319=0,J1319=0,K1319=0,L1319=0)</f>
        <v/>
      </c>
      <c r="N1319">
        <f>G1319&lt;=$T$6</f>
        <v/>
      </c>
      <c r="O1319">
        <f>G1319&lt;=$T$12</f>
        <v/>
      </c>
      <c r="P1319">
        <f>OR(AND(H1319&gt;=$T$4,K1319&lt;=$T$5,N1319),M1319)</f>
        <v/>
      </c>
      <c r="Q1319">
        <f>OR(AND(I1319&gt;=$T$10,K1319&lt;=$T$11,O1319),M1319)</f>
        <v/>
      </c>
    </row>
    <row r="1320">
      <c r="A1320">
        <f>Data!E1385</f>
        <v/>
      </c>
      <c r="B1320">
        <f>Data!G1385</f>
        <v/>
      </c>
      <c r="C1320">
        <f>Data!H1385</f>
        <v/>
      </c>
      <c r="D1320">
        <f>Data!I1385</f>
        <v/>
      </c>
      <c r="E1320">
        <f>Data!M1385</f>
        <v/>
      </c>
      <c r="F1320">
        <f>Data!O1385</f>
        <v/>
      </c>
      <c r="G1320">
        <f>E1320-F1320</f>
        <v/>
      </c>
      <c r="H1320">
        <f>Data!P1385</f>
        <v/>
      </c>
      <c r="I1320">
        <f>G1320+H1320</f>
        <v/>
      </c>
      <c r="J1320">
        <f>F1320+G1320+H1320</f>
        <v/>
      </c>
      <c r="K1320">
        <f>Data!R1385</f>
        <v/>
      </c>
      <c r="L1320">
        <f>Data!T1385</f>
        <v/>
      </c>
      <c r="M1320">
        <f>AND(E1320=0,F1320=0,G1320=0,H1320=0,I1320=0,J1320=0,K1320=0,L1320=0)</f>
        <v/>
      </c>
      <c r="N1320">
        <f>G1320&lt;=$T$6</f>
        <v/>
      </c>
      <c r="O1320">
        <f>G1320&lt;=$T$12</f>
        <v/>
      </c>
      <c r="P1320">
        <f>OR(AND(H1320&gt;=$T$4,K1320&lt;=$T$5,N1320),M1320)</f>
        <v/>
      </c>
      <c r="Q1320">
        <f>OR(AND(I1320&gt;=$T$10,K1320&lt;=$T$11,O1320),M1320)</f>
        <v/>
      </c>
    </row>
    <row r="1321">
      <c r="A1321">
        <f>Data!E1386</f>
        <v/>
      </c>
      <c r="B1321">
        <f>Data!G1386</f>
        <v/>
      </c>
      <c r="C1321">
        <f>Data!H1386</f>
        <v/>
      </c>
      <c r="D1321">
        <f>Data!I1386</f>
        <v/>
      </c>
      <c r="E1321">
        <f>Data!M1386</f>
        <v/>
      </c>
      <c r="F1321">
        <f>Data!O1386</f>
        <v/>
      </c>
      <c r="G1321">
        <f>E1321-F1321</f>
        <v/>
      </c>
      <c r="H1321">
        <f>Data!P1386</f>
        <v/>
      </c>
      <c r="I1321">
        <f>G1321+H1321</f>
        <v/>
      </c>
      <c r="J1321">
        <f>F1321+G1321+H1321</f>
        <v/>
      </c>
      <c r="K1321">
        <f>Data!R1386</f>
        <v/>
      </c>
      <c r="L1321">
        <f>Data!T1386</f>
        <v/>
      </c>
      <c r="M1321">
        <f>AND(E1321=0,F1321=0,G1321=0,H1321=0,I1321=0,J1321=0,K1321=0,L1321=0)</f>
        <v/>
      </c>
      <c r="N1321">
        <f>G1321&lt;=$T$6</f>
        <v/>
      </c>
      <c r="O1321">
        <f>G1321&lt;=$T$12</f>
        <v/>
      </c>
      <c r="P1321">
        <f>OR(AND(H1321&gt;=$T$4,K1321&lt;=$T$5,N1321),M1321)</f>
        <v/>
      </c>
      <c r="Q1321">
        <f>OR(AND(I1321&gt;=$T$10,K1321&lt;=$T$11,O1321),M1321)</f>
        <v/>
      </c>
    </row>
    <row r="1322">
      <c r="A1322">
        <f>Data!E1387</f>
        <v/>
      </c>
      <c r="B1322">
        <f>Data!G1387</f>
        <v/>
      </c>
      <c r="C1322">
        <f>Data!H1387</f>
        <v/>
      </c>
      <c r="D1322">
        <f>Data!I1387</f>
        <v/>
      </c>
      <c r="E1322">
        <f>Data!M1387</f>
        <v/>
      </c>
      <c r="F1322">
        <f>Data!O1387</f>
        <v/>
      </c>
      <c r="G1322">
        <f>E1322-F1322</f>
        <v/>
      </c>
      <c r="H1322">
        <f>Data!P1387</f>
        <v/>
      </c>
      <c r="I1322">
        <f>G1322+H1322</f>
        <v/>
      </c>
      <c r="J1322">
        <f>F1322+G1322+H1322</f>
        <v/>
      </c>
      <c r="K1322">
        <f>Data!R1387</f>
        <v/>
      </c>
      <c r="L1322">
        <f>Data!T1387</f>
        <v/>
      </c>
      <c r="M1322">
        <f>AND(E1322=0,F1322=0,G1322=0,H1322=0,I1322=0,J1322=0,K1322=0,L1322=0)</f>
        <v/>
      </c>
      <c r="N1322">
        <f>G1322&lt;=$T$6</f>
        <v/>
      </c>
      <c r="O1322">
        <f>G1322&lt;=$T$12</f>
        <v/>
      </c>
      <c r="P1322">
        <f>OR(AND(H1322&gt;=$T$4,K1322&lt;=$T$5,N1322),M1322)</f>
        <v/>
      </c>
      <c r="Q1322">
        <f>OR(AND(I1322&gt;=$T$10,K1322&lt;=$T$11,O1322),M1322)</f>
        <v/>
      </c>
    </row>
    <row r="1323">
      <c r="A1323">
        <f>Data!E1388</f>
        <v/>
      </c>
      <c r="B1323">
        <f>Data!G1388</f>
        <v/>
      </c>
      <c r="C1323">
        <f>Data!H1388</f>
        <v/>
      </c>
      <c r="D1323">
        <f>Data!I1388</f>
        <v/>
      </c>
      <c r="E1323">
        <f>Data!M1388</f>
        <v/>
      </c>
      <c r="F1323">
        <f>Data!O1388</f>
        <v/>
      </c>
      <c r="G1323">
        <f>E1323-F1323</f>
        <v/>
      </c>
      <c r="H1323">
        <f>Data!P1388</f>
        <v/>
      </c>
      <c r="I1323">
        <f>G1323+H1323</f>
        <v/>
      </c>
      <c r="J1323">
        <f>F1323+G1323+H1323</f>
        <v/>
      </c>
      <c r="K1323">
        <f>Data!R1388</f>
        <v/>
      </c>
      <c r="L1323">
        <f>Data!T1388</f>
        <v/>
      </c>
      <c r="M1323">
        <f>AND(E1323=0,F1323=0,G1323=0,H1323=0,I1323=0,J1323=0,K1323=0,L1323=0)</f>
        <v/>
      </c>
      <c r="N1323">
        <f>G1323&lt;=$T$6</f>
        <v/>
      </c>
      <c r="O1323">
        <f>G1323&lt;=$T$12</f>
        <v/>
      </c>
      <c r="P1323">
        <f>OR(AND(H1323&gt;=$T$4,K1323&lt;=$T$5,N1323),M1323)</f>
        <v/>
      </c>
      <c r="Q1323">
        <f>OR(AND(I1323&gt;=$T$10,K1323&lt;=$T$11,O1323),M1323)</f>
        <v/>
      </c>
    </row>
    <row r="1324">
      <c r="A1324">
        <f>Data!E1389</f>
        <v/>
      </c>
      <c r="B1324">
        <f>Data!G1389</f>
        <v/>
      </c>
      <c r="C1324">
        <f>Data!H1389</f>
        <v/>
      </c>
      <c r="D1324">
        <f>Data!I1389</f>
        <v/>
      </c>
      <c r="E1324">
        <f>Data!M1389</f>
        <v/>
      </c>
      <c r="F1324">
        <f>Data!O1389</f>
        <v/>
      </c>
      <c r="G1324">
        <f>E1324-F1324</f>
        <v/>
      </c>
      <c r="H1324">
        <f>Data!P1389</f>
        <v/>
      </c>
      <c r="I1324">
        <f>G1324+H1324</f>
        <v/>
      </c>
      <c r="J1324">
        <f>F1324+G1324+H1324</f>
        <v/>
      </c>
      <c r="K1324">
        <f>Data!R1389</f>
        <v/>
      </c>
      <c r="L1324">
        <f>Data!T1389</f>
        <v/>
      </c>
      <c r="M1324">
        <f>AND(E1324=0,F1324=0,G1324=0,H1324=0,I1324=0,J1324=0,K1324=0,L1324=0)</f>
        <v/>
      </c>
      <c r="N1324">
        <f>G1324&lt;=$T$6</f>
        <v/>
      </c>
      <c r="O1324">
        <f>G1324&lt;=$T$12</f>
        <v/>
      </c>
      <c r="P1324">
        <f>OR(AND(H1324&gt;=$T$4,K1324&lt;=$T$5,N1324),M1324)</f>
        <v/>
      </c>
      <c r="Q1324">
        <f>OR(AND(I1324&gt;=$T$10,K1324&lt;=$T$11,O1324),M1324)</f>
        <v/>
      </c>
    </row>
    <row r="1325">
      <c r="A1325">
        <f>Data!E1390</f>
        <v/>
      </c>
      <c r="B1325">
        <f>Data!G1390</f>
        <v/>
      </c>
      <c r="C1325">
        <f>Data!H1390</f>
        <v/>
      </c>
      <c r="D1325">
        <f>Data!I1390</f>
        <v/>
      </c>
      <c r="E1325">
        <f>Data!M1390</f>
        <v/>
      </c>
      <c r="F1325">
        <f>Data!O1390</f>
        <v/>
      </c>
      <c r="G1325">
        <f>E1325-F1325</f>
        <v/>
      </c>
      <c r="H1325">
        <f>Data!P1390</f>
        <v/>
      </c>
      <c r="I1325">
        <f>G1325+H1325</f>
        <v/>
      </c>
      <c r="J1325">
        <f>F1325+G1325+H1325</f>
        <v/>
      </c>
      <c r="K1325">
        <f>Data!R1390</f>
        <v/>
      </c>
      <c r="L1325">
        <f>Data!T1390</f>
        <v/>
      </c>
      <c r="M1325">
        <f>AND(E1325=0,F1325=0,G1325=0,H1325=0,I1325=0,J1325=0,K1325=0,L1325=0)</f>
        <v/>
      </c>
      <c r="N1325">
        <f>G1325&lt;=$T$6</f>
        <v/>
      </c>
      <c r="O1325">
        <f>G1325&lt;=$T$12</f>
        <v/>
      </c>
      <c r="P1325">
        <f>OR(AND(H1325&gt;=$T$4,K1325&lt;=$T$5,N1325),M1325)</f>
        <v/>
      </c>
      <c r="Q1325">
        <f>OR(AND(I1325&gt;=$T$10,K1325&lt;=$T$11,O1325),M1325)</f>
        <v/>
      </c>
    </row>
    <row r="1326">
      <c r="A1326">
        <f>Data!E1391</f>
        <v/>
      </c>
      <c r="B1326">
        <f>Data!G1391</f>
        <v/>
      </c>
      <c r="C1326">
        <f>Data!H1391</f>
        <v/>
      </c>
      <c r="D1326">
        <f>Data!I1391</f>
        <v/>
      </c>
      <c r="E1326">
        <f>Data!M1391</f>
        <v/>
      </c>
      <c r="F1326">
        <f>Data!O1391</f>
        <v/>
      </c>
      <c r="G1326">
        <f>E1326-F1326</f>
        <v/>
      </c>
      <c r="H1326">
        <f>Data!P1391</f>
        <v/>
      </c>
      <c r="I1326">
        <f>G1326+H1326</f>
        <v/>
      </c>
      <c r="J1326">
        <f>F1326+G1326+H1326</f>
        <v/>
      </c>
      <c r="K1326">
        <f>Data!R1391</f>
        <v/>
      </c>
      <c r="L1326">
        <f>Data!T1391</f>
        <v/>
      </c>
      <c r="M1326">
        <f>AND(E1326=0,F1326=0,G1326=0,H1326=0,I1326=0,J1326=0,K1326=0,L1326=0)</f>
        <v/>
      </c>
      <c r="N1326">
        <f>G1326&lt;=$T$6</f>
        <v/>
      </c>
      <c r="O1326">
        <f>G1326&lt;=$T$12</f>
        <v/>
      </c>
      <c r="P1326">
        <f>OR(AND(H1326&gt;=$T$4,K1326&lt;=$T$5,N1326),M1326)</f>
        <v/>
      </c>
      <c r="Q1326">
        <f>OR(AND(I1326&gt;=$T$10,K1326&lt;=$T$11,O1326),M1326)</f>
        <v/>
      </c>
    </row>
    <row r="1327">
      <c r="A1327">
        <f>Data!E1393</f>
        <v/>
      </c>
      <c r="B1327">
        <f>Data!G1393</f>
        <v/>
      </c>
      <c r="C1327">
        <f>Data!H1393</f>
        <v/>
      </c>
      <c r="D1327">
        <f>Data!I1393</f>
        <v/>
      </c>
      <c r="E1327">
        <f>Data!M1393</f>
        <v/>
      </c>
      <c r="F1327">
        <f>Data!O1393</f>
        <v/>
      </c>
      <c r="G1327">
        <f>E1327-F1327</f>
        <v/>
      </c>
      <c r="H1327">
        <f>Data!P1393</f>
        <v/>
      </c>
      <c r="I1327">
        <f>G1327+H1327</f>
        <v/>
      </c>
      <c r="J1327">
        <f>F1327+G1327+H1327</f>
        <v/>
      </c>
      <c r="K1327">
        <f>Data!R1393</f>
        <v/>
      </c>
      <c r="L1327">
        <f>Data!T1393</f>
        <v/>
      </c>
      <c r="M1327">
        <f>AND(E1327=0,F1327=0,G1327=0,H1327=0,I1327=0,J1327=0,K1327=0,L1327=0)</f>
        <v/>
      </c>
      <c r="N1327">
        <f>G1327&lt;=$T$6</f>
        <v/>
      </c>
      <c r="O1327">
        <f>G1327&lt;=$T$12</f>
        <v/>
      </c>
      <c r="P1327">
        <f>OR(AND(H1327&gt;=$T$4,K1327&lt;=$T$5,N1327),M1327)</f>
        <v/>
      </c>
      <c r="Q1327">
        <f>OR(AND(I1327&gt;=$T$10,K1327&lt;=$T$11,O1327),M1327)</f>
        <v/>
      </c>
    </row>
    <row r="1328">
      <c r="A1328">
        <f>Data!E1394</f>
        <v/>
      </c>
      <c r="B1328">
        <f>Data!G1394</f>
        <v/>
      </c>
      <c r="C1328">
        <f>Data!H1394</f>
        <v/>
      </c>
      <c r="D1328">
        <f>Data!I1394</f>
        <v/>
      </c>
      <c r="E1328">
        <f>Data!M1394</f>
        <v/>
      </c>
      <c r="F1328">
        <f>Data!O1394</f>
        <v/>
      </c>
      <c r="G1328">
        <f>E1328-F1328</f>
        <v/>
      </c>
      <c r="H1328">
        <f>Data!P1394</f>
        <v/>
      </c>
      <c r="I1328">
        <f>G1328+H1328</f>
        <v/>
      </c>
      <c r="J1328">
        <f>F1328+G1328+H1328</f>
        <v/>
      </c>
      <c r="K1328">
        <f>Data!R1394</f>
        <v/>
      </c>
      <c r="L1328">
        <f>Data!T1394</f>
        <v/>
      </c>
      <c r="M1328">
        <f>AND(E1328=0,F1328=0,G1328=0,H1328=0,I1328=0,J1328=0,K1328=0,L1328=0)</f>
        <v/>
      </c>
      <c r="N1328">
        <f>G1328&lt;=$T$6</f>
        <v/>
      </c>
      <c r="O1328">
        <f>G1328&lt;=$T$12</f>
        <v/>
      </c>
      <c r="P1328">
        <f>OR(AND(H1328&gt;=$T$4,K1328&lt;=$T$5,N1328),M1328)</f>
        <v/>
      </c>
      <c r="Q1328">
        <f>OR(AND(I1328&gt;=$T$10,K1328&lt;=$T$11,O1328),M1328)</f>
        <v/>
      </c>
    </row>
    <row r="1329">
      <c r="A1329">
        <f>Data!E1395</f>
        <v/>
      </c>
      <c r="B1329">
        <f>Data!G1395</f>
        <v/>
      </c>
      <c r="C1329">
        <f>Data!H1395</f>
        <v/>
      </c>
      <c r="D1329">
        <f>Data!I1395</f>
        <v/>
      </c>
      <c r="E1329">
        <f>Data!M1395</f>
        <v/>
      </c>
      <c r="F1329">
        <f>Data!O1395</f>
        <v/>
      </c>
      <c r="G1329">
        <f>E1329-F1329</f>
        <v/>
      </c>
      <c r="H1329">
        <f>Data!P1395</f>
        <v/>
      </c>
      <c r="I1329">
        <f>G1329+H1329</f>
        <v/>
      </c>
      <c r="J1329">
        <f>F1329+G1329+H1329</f>
        <v/>
      </c>
      <c r="K1329">
        <f>Data!R1395</f>
        <v/>
      </c>
      <c r="L1329">
        <f>Data!T1395</f>
        <v/>
      </c>
      <c r="M1329">
        <f>AND(E1329=0,F1329=0,G1329=0,H1329=0,I1329=0,J1329=0,K1329=0,L1329=0)</f>
        <v/>
      </c>
      <c r="N1329">
        <f>G1329&lt;=$T$6</f>
        <v/>
      </c>
      <c r="O1329">
        <f>G1329&lt;=$T$12</f>
        <v/>
      </c>
      <c r="P1329">
        <f>OR(AND(H1329&gt;=$T$4,K1329&lt;=$T$5,N1329),M1329)</f>
        <v/>
      </c>
      <c r="Q1329">
        <f>OR(AND(I1329&gt;=$T$10,K1329&lt;=$T$11,O1329),M1329)</f>
        <v/>
      </c>
    </row>
    <row r="1330">
      <c r="A1330">
        <f>Data!E1396</f>
        <v/>
      </c>
      <c r="B1330">
        <f>Data!G1396</f>
        <v/>
      </c>
      <c r="C1330">
        <f>Data!H1396</f>
        <v/>
      </c>
      <c r="D1330">
        <f>Data!I1396</f>
        <v/>
      </c>
      <c r="E1330">
        <f>Data!M1396</f>
        <v/>
      </c>
      <c r="F1330">
        <f>Data!O1396</f>
        <v/>
      </c>
      <c r="G1330">
        <f>E1330-F1330</f>
        <v/>
      </c>
      <c r="H1330">
        <f>Data!P1396</f>
        <v/>
      </c>
      <c r="I1330">
        <f>G1330+H1330</f>
        <v/>
      </c>
      <c r="J1330">
        <f>F1330+G1330+H1330</f>
        <v/>
      </c>
      <c r="K1330">
        <f>Data!R1396</f>
        <v/>
      </c>
      <c r="L1330">
        <f>Data!T1396</f>
        <v/>
      </c>
      <c r="M1330">
        <f>AND(E1330=0,F1330=0,G1330=0,H1330=0,I1330=0,J1330=0,K1330=0,L1330=0)</f>
        <v/>
      </c>
      <c r="N1330">
        <f>G1330&lt;=$T$6</f>
        <v/>
      </c>
      <c r="O1330">
        <f>G1330&lt;=$T$12</f>
        <v/>
      </c>
      <c r="P1330">
        <f>OR(AND(H1330&gt;=$T$4,K1330&lt;=$T$5,N1330),M1330)</f>
        <v/>
      </c>
      <c r="Q1330">
        <f>OR(AND(I1330&gt;=$T$10,K1330&lt;=$T$11,O1330),M1330)</f>
        <v/>
      </c>
    </row>
    <row r="1331">
      <c r="A1331">
        <f>Data!E1397</f>
        <v/>
      </c>
      <c r="B1331">
        <f>Data!G1397</f>
        <v/>
      </c>
      <c r="C1331">
        <f>Data!H1397</f>
        <v/>
      </c>
      <c r="D1331">
        <f>Data!I1397</f>
        <v/>
      </c>
      <c r="E1331">
        <f>Data!M1397</f>
        <v/>
      </c>
      <c r="F1331">
        <f>Data!O1397</f>
        <v/>
      </c>
      <c r="G1331">
        <f>E1331-F1331</f>
        <v/>
      </c>
      <c r="H1331">
        <f>Data!P1397</f>
        <v/>
      </c>
      <c r="I1331">
        <f>G1331+H1331</f>
        <v/>
      </c>
      <c r="J1331">
        <f>F1331+G1331+H1331</f>
        <v/>
      </c>
      <c r="K1331">
        <f>Data!R1397</f>
        <v/>
      </c>
      <c r="L1331">
        <f>Data!T1397</f>
        <v/>
      </c>
      <c r="M1331">
        <f>AND(E1331=0,F1331=0,G1331=0,H1331=0,I1331=0,J1331=0,K1331=0,L1331=0)</f>
        <v/>
      </c>
      <c r="N1331">
        <f>G1331&lt;=$T$6</f>
        <v/>
      </c>
      <c r="O1331">
        <f>G1331&lt;=$T$12</f>
        <v/>
      </c>
      <c r="P1331">
        <f>OR(AND(H1331&gt;=$T$4,K1331&lt;=$T$5,N1331),M1331)</f>
        <v/>
      </c>
      <c r="Q1331">
        <f>OR(AND(I1331&gt;=$T$10,K1331&lt;=$T$11,O1331),M1331)</f>
        <v/>
      </c>
    </row>
    <row r="1332">
      <c r="A1332">
        <f>Data!E1398</f>
        <v/>
      </c>
      <c r="B1332">
        <f>Data!G1398</f>
        <v/>
      </c>
      <c r="C1332">
        <f>Data!H1398</f>
        <v/>
      </c>
      <c r="D1332">
        <f>Data!I1398</f>
        <v/>
      </c>
      <c r="E1332">
        <f>Data!M1398</f>
        <v/>
      </c>
      <c r="F1332">
        <f>Data!O1398</f>
        <v/>
      </c>
      <c r="G1332">
        <f>E1332-F1332</f>
        <v/>
      </c>
      <c r="H1332">
        <f>Data!P1398</f>
        <v/>
      </c>
      <c r="I1332">
        <f>G1332+H1332</f>
        <v/>
      </c>
      <c r="J1332">
        <f>F1332+G1332+H1332</f>
        <v/>
      </c>
      <c r="K1332">
        <f>Data!R1398</f>
        <v/>
      </c>
      <c r="L1332">
        <f>Data!T1398</f>
        <v/>
      </c>
      <c r="M1332">
        <f>AND(E1332=0,F1332=0,G1332=0,H1332=0,I1332=0,J1332=0,K1332=0,L1332=0)</f>
        <v/>
      </c>
      <c r="N1332">
        <f>G1332&lt;=$T$6</f>
        <v/>
      </c>
      <c r="O1332">
        <f>G1332&lt;=$T$12</f>
        <v/>
      </c>
      <c r="P1332">
        <f>OR(AND(H1332&gt;=$T$4,K1332&lt;=$T$5,N1332),M1332)</f>
        <v/>
      </c>
      <c r="Q1332">
        <f>OR(AND(I1332&gt;=$T$10,K1332&lt;=$T$11,O1332),M1332)</f>
        <v/>
      </c>
    </row>
    <row r="1333">
      <c r="A1333">
        <f>Data!E1399</f>
        <v/>
      </c>
      <c r="B1333">
        <f>Data!G1399</f>
        <v/>
      </c>
      <c r="C1333">
        <f>Data!H1399</f>
        <v/>
      </c>
      <c r="D1333">
        <f>Data!I1399</f>
        <v/>
      </c>
      <c r="E1333">
        <f>Data!M1399</f>
        <v/>
      </c>
      <c r="F1333">
        <f>Data!O1399</f>
        <v/>
      </c>
      <c r="G1333">
        <f>E1333-F1333</f>
        <v/>
      </c>
      <c r="H1333">
        <f>Data!P1399</f>
        <v/>
      </c>
      <c r="I1333">
        <f>G1333+H1333</f>
        <v/>
      </c>
      <c r="J1333">
        <f>F1333+G1333+H1333</f>
        <v/>
      </c>
      <c r="K1333">
        <f>Data!R1399</f>
        <v/>
      </c>
      <c r="L1333">
        <f>Data!T1399</f>
        <v/>
      </c>
      <c r="M1333">
        <f>AND(E1333=0,F1333=0,G1333=0,H1333=0,I1333=0,J1333=0,K1333=0,L1333=0)</f>
        <v/>
      </c>
      <c r="N1333">
        <f>G1333&lt;=$T$6</f>
        <v/>
      </c>
      <c r="O1333">
        <f>G1333&lt;=$T$12</f>
        <v/>
      </c>
      <c r="P1333">
        <f>OR(AND(H1333&gt;=$T$4,K1333&lt;=$T$5,N1333),M1333)</f>
        <v/>
      </c>
      <c r="Q1333">
        <f>OR(AND(I1333&gt;=$T$10,K1333&lt;=$T$11,O1333),M1333)</f>
        <v/>
      </c>
    </row>
    <row r="1334">
      <c r="A1334">
        <f>Data!E1400</f>
        <v/>
      </c>
      <c r="B1334">
        <f>Data!G1400</f>
        <v/>
      </c>
      <c r="C1334">
        <f>Data!H1400</f>
        <v/>
      </c>
      <c r="D1334">
        <f>Data!I1400</f>
        <v/>
      </c>
      <c r="E1334">
        <f>Data!M1400</f>
        <v/>
      </c>
      <c r="F1334">
        <f>Data!O1400</f>
        <v/>
      </c>
      <c r="G1334">
        <f>E1334-F1334</f>
        <v/>
      </c>
      <c r="H1334">
        <f>Data!P1400</f>
        <v/>
      </c>
      <c r="I1334">
        <f>G1334+H1334</f>
        <v/>
      </c>
      <c r="J1334">
        <f>F1334+G1334+H1334</f>
        <v/>
      </c>
      <c r="K1334">
        <f>Data!R1400</f>
        <v/>
      </c>
      <c r="L1334">
        <f>Data!T1400</f>
        <v/>
      </c>
      <c r="M1334">
        <f>AND(E1334=0,F1334=0,G1334=0,H1334=0,I1334=0,J1334=0,K1334=0,L1334=0)</f>
        <v/>
      </c>
      <c r="N1334">
        <f>G1334&lt;=$T$6</f>
        <v/>
      </c>
      <c r="O1334">
        <f>G1334&lt;=$T$12</f>
        <v/>
      </c>
      <c r="P1334">
        <f>OR(AND(H1334&gt;=$T$4,K1334&lt;=$T$5,N1334),M1334)</f>
        <v/>
      </c>
      <c r="Q1334">
        <f>OR(AND(I1334&gt;=$T$10,K1334&lt;=$T$11,O1334),M1334)</f>
        <v/>
      </c>
    </row>
    <row r="1335">
      <c r="A1335">
        <f>Data!E1401</f>
        <v/>
      </c>
      <c r="B1335">
        <f>Data!G1401</f>
        <v/>
      </c>
      <c r="C1335">
        <f>Data!H1401</f>
        <v/>
      </c>
      <c r="D1335">
        <f>Data!I1401</f>
        <v/>
      </c>
      <c r="E1335">
        <f>Data!M1401</f>
        <v/>
      </c>
      <c r="F1335">
        <f>Data!O1401</f>
        <v/>
      </c>
      <c r="G1335">
        <f>E1335-F1335</f>
        <v/>
      </c>
      <c r="H1335">
        <f>Data!P1401</f>
        <v/>
      </c>
      <c r="I1335">
        <f>G1335+H1335</f>
        <v/>
      </c>
      <c r="J1335">
        <f>F1335+G1335+H1335</f>
        <v/>
      </c>
      <c r="K1335">
        <f>Data!R1401</f>
        <v/>
      </c>
      <c r="L1335">
        <f>Data!T1401</f>
        <v/>
      </c>
      <c r="M1335">
        <f>AND(E1335=0,F1335=0,G1335=0,H1335=0,I1335=0,J1335=0,K1335=0,L1335=0)</f>
        <v/>
      </c>
      <c r="N1335">
        <f>G1335&lt;=$T$6</f>
        <v/>
      </c>
      <c r="O1335">
        <f>G1335&lt;=$T$12</f>
        <v/>
      </c>
      <c r="P1335">
        <f>OR(AND(H1335&gt;=$T$4,K1335&lt;=$T$5,N1335),M1335)</f>
        <v/>
      </c>
      <c r="Q1335">
        <f>OR(AND(I1335&gt;=$T$10,K1335&lt;=$T$11,O1335),M1335)</f>
        <v/>
      </c>
    </row>
    <row r="1336">
      <c r="A1336">
        <f>Data!E1402</f>
        <v/>
      </c>
      <c r="B1336">
        <f>Data!G1402</f>
        <v/>
      </c>
      <c r="C1336">
        <f>Data!H1402</f>
        <v/>
      </c>
      <c r="D1336">
        <f>Data!I1402</f>
        <v/>
      </c>
      <c r="E1336">
        <f>Data!M1402</f>
        <v/>
      </c>
      <c r="F1336">
        <f>Data!O1402</f>
        <v/>
      </c>
      <c r="G1336">
        <f>E1336-F1336</f>
        <v/>
      </c>
      <c r="H1336">
        <f>Data!P1402</f>
        <v/>
      </c>
      <c r="I1336">
        <f>G1336+H1336</f>
        <v/>
      </c>
      <c r="J1336">
        <f>F1336+G1336+H1336</f>
        <v/>
      </c>
      <c r="K1336">
        <f>Data!R1402</f>
        <v/>
      </c>
      <c r="L1336">
        <f>Data!T1402</f>
        <v/>
      </c>
      <c r="M1336">
        <f>AND(E1336=0,F1336=0,G1336=0,H1336=0,I1336=0,J1336=0,K1336=0,L1336=0)</f>
        <v/>
      </c>
      <c r="N1336">
        <f>G1336&lt;=$T$6</f>
        <v/>
      </c>
      <c r="O1336">
        <f>G1336&lt;=$T$12</f>
        <v/>
      </c>
      <c r="P1336">
        <f>OR(AND(H1336&gt;=$T$4,K1336&lt;=$T$5,N1336),M1336)</f>
        <v/>
      </c>
      <c r="Q1336">
        <f>OR(AND(I1336&gt;=$T$10,K1336&lt;=$T$11,O1336),M1336)</f>
        <v/>
      </c>
    </row>
    <row r="1337">
      <c r="A1337">
        <f>Data!E1403</f>
        <v/>
      </c>
      <c r="B1337">
        <f>Data!G1403</f>
        <v/>
      </c>
      <c r="C1337">
        <f>Data!H1403</f>
        <v/>
      </c>
      <c r="D1337">
        <f>Data!I1403</f>
        <v/>
      </c>
      <c r="E1337">
        <f>Data!M1403</f>
        <v/>
      </c>
      <c r="F1337">
        <f>Data!O1403</f>
        <v/>
      </c>
      <c r="G1337">
        <f>E1337-F1337</f>
        <v/>
      </c>
      <c r="H1337">
        <f>Data!P1403</f>
        <v/>
      </c>
      <c r="I1337">
        <f>G1337+H1337</f>
        <v/>
      </c>
      <c r="J1337">
        <f>F1337+G1337+H1337</f>
        <v/>
      </c>
      <c r="K1337">
        <f>Data!R1403</f>
        <v/>
      </c>
      <c r="L1337">
        <f>Data!T1403</f>
        <v/>
      </c>
      <c r="M1337">
        <f>AND(E1337=0,F1337=0,G1337=0,H1337=0,I1337=0,J1337=0,K1337=0,L1337=0)</f>
        <v/>
      </c>
      <c r="N1337">
        <f>G1337&lt;=$T$6</f>
        <v/>
      </c>
      <c r="O1337">
        <f>G1337&lt;=$T$12</f>
        <v/>
      </c>
      <c r="P1337">
        <f>OR(AND(H1337&gt;=$T$4,K1337&lt;=$T$5,N1337),M1337)</f>
        <v/>
      </c>
      <c r="Q1337">
        <f>OR(AND(I1337&gt;=$T$10,K1337&lt;=$T$11,O1337),M1337)</f>
        <v/>
      </c>
    </row>
    <row r="1338">
      <c r="A1338">
        <f>Data!E1404</f>
        <v/>
      </c>
      <c r="B1338">
        <f>Data!G1404</f>
        <v/>
      </c>
      <c r="C1338">
        <f>Data!H1404</f>
        <v/>
      </c>
      <c r="D1338">
        <f>Data!I1404</f>
        <v/>
      </c>
      <c r="E1338">
        <f>Data!M1404</f>
        <v/>
      </c>
      <c r="F1338">
        <f>Data!O1404</f>
        <v/>
      </c>
      <c r="G1338">
        <f>E1338-F1338</f>
        <v/>
      </c>
      <c r="H1338">
        <f>Data!P1404</f>
        <v/>
      </c>
      <c r="I1338">
        <f>G1338+H1338</f>
        <v/>
      </c>
      <c r="J1338">
        <f>F1338+G1338+H1338</f>
        <v/>
      </c>
      <c r="K1338">
        <f>Data!R1404</f>
        <v/>
      </c>
      <c r="L1338">
        <f>Data!T1404</f>
        <v/>
      </c>
      <c r="M1338">
        <f>AND(E1338=0,F1338=0,G1338=0,H1338=0,I1338=0,J1338=0,K1338=0,L1338=0)</f>
        <v/>
      </c>
      <c r="N1338">
        <f>G1338&lt;=$T$6</f>
        <v/>
      </c>
      <c r="O1338">
        <f>G1338&lt;=$T$12</f>
        <v/>
      </c>
      <c r="P1338">
        <f>OR(AND(H1338&gt;=$T$4,K1338&lt;=$T$5,N1338),M1338)</f>
        <v/>
      </c>
      <c r="Q1338">
        <f>OR(AND(I1338&gt;=$T$10,K1338&lt;=$T$11,O1338),M1338)</f>
        <v/>
      </c>
    </row>
    <row r="1339">
      <c r="A1339">
        <f>Data!E1405</f>
        <v/>
      </c>
      <c r="B1339">
        <f>Data!G1405</f>
        <v/>
      </c>
      <c r="C1339">
        <f>Data!H1405</f>
        <v/>
      </c>
      <c r="D1339">
        <f>Data!I1405</f>
        <v/>
      </c>
      <c r="E1339">
        <f>Data!M1405</f>
        <v/>
      </c>
      <c r="F1339">
        <f>Data!O1405</f>
        <v/>
      </c>
      <c r="G1339">
        <f>E1339-F1339</f>
        <v/>
      </c>
      <c r="H1339">
        <f>Data!P1405</f>
        <v/>
      </c>
      <c r="I1339">
        <f>G1339+H1339</f>
        <v/>
      </c>
      <c r="J1339">
        <f>F1339+G1339+H1339</f>
        <v/>
      </c>
      <c r="K1339">
        <f>Data!R1405</f>
        <v/>
      </c>
      <c r="L1339">
        <f>Data!T1405</f>
        <v/>
      </c>
      <c r="M1339">
        <f>AND(E1339=0,F1339=0,G1339=0,H1339=0,I1339=0,J1339=0,K1339=0,L1339=0)</f>
        <v/>
      </c>
      <c r="N1339">
        <f>G1339&lt;=$T$6</f>
        <v/>
      </c>
      <c r="O1339">
        <f>G1339&lt;=$T$12</f>
        <v/>
      </c>
      <c r="P1339">
        <f>OR(AND(H1339&gt;=$T$4,K1339&lt;=$T$5,N1339),M1339)</f>
        <v/>
      </c>
      <c r="Q1339">
        <f>OR(AND(I1339&gt;=$T$10,K1339&lt;=$T$11,O1339),M1339)</f>
        <v/>
      </c>
    </row>
    <row r="1340">
      <c r="A1340">
        <f>Data!E1406</f>
        <v/>
      </c>
      <c r="B1340">
        <f>Data!G1406</f>
        <v/>
      </c>
      <c r="C1340">
        <f>Data!H1406</f>
        <v/>
      </c>
      <c r="D1340">
        <f>Data!I1406</f>
        <v/>
      </c>
      <c r="E1340">
        <f>Data!M1406</f>
        <v/>
      </c>
      <c r="F1340">
        <f>Data!O1406</f>
        <v/>
      </c>
      <c r="G1340">
        <f>E1340-F1340</f>
        <v/>
      </c>
      <c r="H1340">
        <f>Data!P1406</f>
        <v/>
      </c>
      <c r="I1340">
        <f>G1340+H1340</f>
        <v/>
      </c>
      <c r="J1340">
        <f>F1340+G1340+H1340</f>
        <v/>
      </c>
      <c r="K1340">
        <f>Data!R1406</f>
        <v/>
      </c>
      <c r="L1340">
        <f>Data!T1406</f>
        <v/>
      </c>
      <c r="M1340">
        <f>AND(E1340=0,F1340=0,G1340=0,H1340=0,I1340=0,J1340=0,K1340=0,L1340=0)</f>
        <v/>
      </c>
      <c r="N1340">
        <f>G1340&lt;=$T$6</f>
        <v/>
      </c>
      <c r="O1340">
        <f>G1340&lt;=$T$12</f>
        <v/>
      </c>
      <c r="P1340">
        <f>OR(AND(H1340&gt;=$T$4,K1340&lt;=$T$5,N1340),M1340)</f>
        <v/>
      </c>
      <c r="Q1340">
        <f>OR(AND(I1340&gt;=$T$10,K1340&lt;=$T$11,O1340),M1340)</f>
        <v/>
      </c>
    </row>
    <row r="1341">
      <c r="A1341">
        <f>Data!E1407</f>
        <v/>
      </c>
      <c r="B1341">
        <f>Data!G1407</f>
        <v/>
      </c>
      <c r="C1341">
        <f>Data!H1407</f>
        <v/>
      </c>
      <c r="D1341">
        <f>Data!I1407</f>
        <v/>
      </c>
      <c r="E1341">
        <f>Data!M1407</f>
        <v/>
      </c>
      <c r="F1341">
        <f>Data!O1407</f>
        <v/>
      </c>
      <c r="G1341">
        <f>E1341-F1341</f>
        <v/>
      </c>
      <c r="H1341">
        <f>Data!P1407</f>
        <v/>
      </c>
      <c r="I1341">
        <f>G1341+H1341</f>
        <v/>
      </c>
      <c r="J1341">
        <f>F1341+G1341+H1341</f>
        <v/>
      </c>
      <c r="K1341">
        <f>Data!R1407</f>
        <v/>
      </c>
      <c r="L1341">
        <f>Data!T1407</f>
        <v/>
      </c>
      <c r="M1341">
        <f>AND(E1341=0,F1341=0,G1341=0,H1341=0,I1341=0,J1341=0,K1341=0,L1341=0)</f>
        <v/>
      </c>
      <c r="N1341">
        <f>G1341&lt;=$T$6</f>
        <v/>
      </c>
      <c r="O1341">
        <f>G1341&lt;=$T$12</f>
        <v/>
      </c>
      <c r="P1341">
        <f>OR(AND(H1341&gt;=$T$4,K1341&lt;=$T$5,N1341),M1341)</f>
        <v/>
      </c>
      <c r="Q1341">
        <f>OR(AND(I1341&gt;=$T$10,K1341&lt;=$T$11,O1341),M1341)</f>
        <v/>
      </c>
    </row>
    <row r="1342">
      <c r="A1342">
        <f>Data!E1408</f>
        <v/>
      </c>
      <c r="B1342">
        <f>Data!G1408</f>
        <v/>
      </c>
      <c r="C1342">
        <f>Data!H1408</f>
        <v/>
      </c>
      <c r="D1342">
        <f>Data!I1408</f>
        <v/>
      </c>
      <c r="E1342">
        <f>Data!M1408</f>
        <v/>
      </c>
      <c r="F1342">
        <f>Data!O1408</f>
        <v/>
      </c>
      <c r="G1342">
        <f>E1342-F1342</f>
        <v/>
      </c>
      <c r="H1342">
        <f>Data!P1408</f>
        <v/>
      </c>
      <c r="I1342">
        <f>G1342+H1342</f>
        <v/>
      </c>
      <c r="J1342">
        <f>F1342+G1342+H1342</f>
        <v/>
      </c>
      <c r="K1342">
        <f>Data!R1408</f>
        <v/>
      </c>
      <c r="L1342">
        <f>Data!T1408</f>
        <v/>
      </c>
      <c r="M1342">
        <f>AND(E1342=0,F1342=0,G1342=0,H1342=0,I1342=0,J1342=0,K1342=0,L1342=0)</f>
        <v/>
      </c>
      <c r="N1342">
        <f>G1342&lt;=$T$6</f>
        <v/>
      </c>
      <c r="O1342">
        <f>G1342&lt;=$T$12</f>
        <v/>
      </c>
      <c r="P1342">
        <f>OR(AND(H1342&gt;=$T$4,K1342&lt;=$T$5,N1342),M1342)</f>
        <v/>
      </c>
      <c r="Q1342">
        <f>OR(AND(I1342&gt;=$T$10,K1342&lt;=$T$11,O1342),M1342)</f>
        <v/>
      </c>
    </row>
    <row r="1343">
      <c r="A1343">
        <f>Data!E1410</f>
        <v/>
      </c>
      <c r="B1343">
        <f>Data!G1410</f>
        <v/>
      </c>
      <c r="C1343">
        <f>Data!H1410</f>
        <v/>
      </c>
      <c r="D1343">
        <f>Data!I1410</f>
        <v/>
      </c>
      <c r="E1343">
        <f>Data!M1410</f>
        <v/>
      </c>
      <c r="F1343">
        <f>Data!O1410</f>
        <v/>
      </c>
      <c r="G1343">
        <f>E1343-F1343</f>
        <v/>
      </c>
      <c r="H1343">
        <f>Data!P1410</f>
        <v/>
      </c>
      <c r="I1343">
        <f>G1343+H1343</f>
        <v/>
      </c>
      <c r="J1343">
        <f>F1343+G1343+H1343</f>
        <v/>
      </c>
      <c r="K1343">
        <f>Data!R1410</f>
        <v/>
      </c>
      <c r="L1343">
        <f>Data!T1410</f>
        <v/>
      </c>
      <c r="M1343">
        <f>AND(E1343=0,F1343=0,G1343=0,H1343=0,I1343=0,J1343=0,K1343=0,L1343=0)</f>
        <v/>
      </c>
      <c r="N1343">
        <f>G1343&lt;=$T$6</f>
        <v/>
      </c>
      <c r="O1343">
        <f>G1343&lt;=$T$12</f>
        <v/>
      </c>
      <c r="P1343">
        <f>OR(AND(H1343&gt;=$T$4,K1343&lt;=$T$5,N1343),M1343)</f>
        <v/>
      </c>
      <c r="Q1343">
        <f>OR(AND(I1343&gt;=$T$10,K1343&lt;=$T$11,O1343),M1343)</f>
        <v/>
      </c>
    </row>
    <row r="1344">
      <c r="A1344">
        <f>Data!E1411</f>
        <v/>
      </c>
      <c r="B1344">
        <f>Data!G1411</f>
        <v/>
      </c>
      <c r="C1344">
        <f>Data!H1411</f>
        <v/>
      </c>
      <c r="D1344">
        <f>Data!I1411</f>
        <v/>
      </c>
      <c r="E1344">
        <f>Data!M1411</f>
        <v/>
      </c>
      <c r="F1344">
        <f>Data!O1411</f>
        <v/>
      </c>
      <c r="G1344">
        <f>E1344-F1344</f>
        <v/>
      </c>
      <c r="H1344">
        <f>Data!P1411</f>
        <v/>
      </c>
      <c r="I1344">
        <f>G1344+H1344</f>
        <v/>
      </c>
      <c r="J1344">
        <f>F1344+G1344+H1344</f>
        <v/>
      </c>
      <c r="K1344">
        <f>Data!R1411</f>
        <v/>
      </c>
      <c r="L1344">
        <f>Data!T1411</f>
        <v/>
      </c>
      <c r="M1344">
        <f>AND(E1344=0,F1344=0,G1344=0,H1344=0,I1344=0,J1344=0,K1344=0,L1344=0)</f>
        <v/>
      </c>
      <c r="N1344">
        <f>G1344&lt;=$T$6</f>
        <v/>
      </c>
      <c r="O1344">
        <f>G1344&lt;=$T$12</f>
        <v/>
      </c>
      <c r="P1344">
        <f>OR(AND(H1344&gt;=$T$4,K1344&lt;=$T$5,N1344),M1344)</f>
        <v/>
      </c>
      <c r="Q1344">
        <f>OR(AND(I1344&gt;=$T$10,K1344&lt;=$T$11,O1344),M1344)</f>
        <v/>
      </c>
    </row>
    <row r="1345">
      <c r="A1345">
        <f>Data!E1412</f>
        <v/>
      </c>
      <c r="B1345">
        <f>Data!G1412</f>
        <v/>
      </c>
      <c r="C1345">
        <f>Data!H1412</f>
        <v/>
      </c>
      <c r="D1345">
        <f>Data!I1412</f>
        <v/>
      </c>
      <c r="E1345">
        <f>Data!M1412</f>
        <v/>
      </c>
      <c r="F1345">
        <f>Data!O1412</f>
        <v/>
      </c>
      <c r="G1345">
        <f>E1345-F1345</f>
        <v/>
      </c>
      <c r="H1345">
        <f>Data!P1412</f>
        <v/>
      </c>
      <c r="I1345">
        <f>G1345+H1345</f>
        <v/>
      </c>
      <c r="J1345">
        <f>F1345+G1345+H1345</f>
        <v/>
      </c>
      <c r="K1345">
        <f>Data!R1412</f>
        <v/>
      </c>
      <c r="L1345">
        <f>Data!T1412</f>
        <v/>
      </c>
      <c r="M1345">
        <f>AND(E1345=0,F1345=0,G1345=0,H1345=0,I1345=0,J1345=0,K1345=0,L1345=0)</f>
        <v/>
      </c>
      <c r="N1345">
        <f>G1345&lt;=$T$6</f>
        <v/>
      </c>
      <c r="O1345">
        <f>G1345&lt;=$T$12</f>
        <v/>
      </c>
      <c r="P1345">
        <f>OR(AND(H1345&gt;=$T$4,K1345&lt;=$T$5,N1345),M1345)</f>
        <v/>
      </c>
      <c r="Q1345">
        <f>OR(AND(I1345&gt;=$T$10,K1345&lt;=$T$11,O1345),M1345)</f>
        <v/>
      </c>
    </row>
    <row r="1346">
      <c r="A1346">
        <f>Data!E1413</f>
        <v/>
      </c>
      <c r="B1346">
        <f>Data!G1413</f>
        <v/>
      </c>
      <c r="C1346">
        <f>Data!H1413</f>
        <v/>
      </c>
      <c r="D1346">
        <f>Data!I1413</f>
        <v/>
      </c>
      <c r="E1346">
        <f>Data!M1413</f>
        <v/>
      </c>
      <c r="F1346">
        <f>Data!O1413</f>
        <v/>
      </c>
      <c r="G1346">
        <f>E1346-F1346</f>
        <v/>
      </c>
      <c r="H1346">
        <f>Data!P1413</f>
        <v/>
      </c>
      <c r="I1346">
        <f>G1346+H1346</f>
        <v/>
      </c>
      <c r="J1346">
        <f>F1346+G1346+H1346</f>
        <v/>
      </c>
      <c r="K1346">
        <f>Data!R1413</f>
        <v/>
      </c>
      <c r="L1346">
        <f>Data!T1413</f>
        <v/>
      </c>
      <c r="M1346">
        <f>AND(E1346=0,F1346=0,G1346=0,H1346=0,I1346=0,J1346=0,K1346=0,L1346=0)</f>
        <v/>
      </c>
      <c r="N1346">
        <f>G1346&lt;=$T$6</f>
        <v/>
      </c>
      <c r="O1346">
        <f>G1346&lt;=$T$12</f>
        <v/>
      </c>
      <c r="P1346">
        <f>OR(AND(H1346&gt;=$T$4,K1346&lt;=$T$5,N1346),M1346)</f>
        <v/>
      </c>
      <c r="Q1346">
        <f>OR(AND(I1346&gt;=$T$10,K1346&lt;=$T$11,O1346),M1346)</f>
        <v/>
      </c>
    </row>
    <row r="1347">
      <c r="A1347">
        <f>Data!E1414</f>
        <v/>
      </c>
      <c r="B1347">
        <f>Data!G1414</f>
        <v/>
      </c>
      <c r="C1347">
        <f>Data!H1414</f>
        <v/>
      </c>
      <c r="D1347">
        <f>Data!I1414</f>
        <v/>
      </c>
      <c r="E1347">
        <f>Data!M1414</f>
        <v/>
      </c>
      <c r="F1347">
        <f>Data!O1414</f>
        <v/>
      </c>
      <c r="G1347">
        <f>E1347-F1347</f>
        <v/>
      </c>
      <c r="H1347">
        <f>Data!P1414</f>
        <v/>
      </c>
      <c r="I1347">
        <f>G1347+H1347</f>
        <v/>
      </c>
      <c r="J1347">
        <f>F1347+G1347+H1347</f>
        <v/>
      </c>
      <c r="K1347">
        <f>Data!R1414</f>
        <v/>
      </c>
      <c r="L1347">
        <f>Data!T1414</f>
        <v/>
      </c>
      <c r="M1347">
        <f>AND(E1347=0,F1347=0,G1347=0,H1347=0,I1347=0,J1347=0,K1347=0,L1347=0)</f>
        <v/>
      </c>
      <c r="N1347">
        <f>G1347&lt;=$T$6</f>
        <v/>
      </c>
      <c r="O1347">
        <f>G1347&lt;=$T$12</f>
        <v/>
      </c>
      <c r="P1347">
        <f>OR(AND(H1347&gt;=$T$4,K1347&lt;=$T$5,N1347),M1347)</f>
        <v/>
      </c>
      <c r="Q1347">
        <f>OR(AND(I1347&gt;=$T$10,K1347&lt;=$T$11,O1347),M1347)</f>
        <v/>
      </c>
    </row>
    <row r="1348">
      <c r="A1348">
        <f>Data!E1415</f>
        <v/>
      </c>
      <c r="B1348">
        <f>Data!G1415</f>
        <v/>
      </c>
      <c r="C1348">
        <f>Data!H1415</f>
        <v/>
      </c>
      <c r="D1348">
        <f>Data!I1415</f>
        <v/>
      </c>
      <c r="E1348">
        <f>Data!M1415</f>
        <v/>
      </c>
      <c r="F1348">
        <f>Data!O1415</f>
        <v/>
      </c>
      <c r="G1348">
        <f>E1348-F1348</f>
        <v/>
      </c>
      <c r="H1348">
        <f>Data!P1415</f>
        <v/>
      </c>
      <c r="I1348">
        <f>G1348+H1348</f>
        <v/>
      </c>
      <c r="J1348">
        <f>F1348+G1348+H1348</f>
        <v/>
      </c>
      <c r="K1348">
        <f>Data!R1415</f>
        <v/>
      </c>
      <c r="L1348">
        <f>Data!T1415</f>
        <v/>
      </c>
      <c r="M1348">
        <f>AND(E1348=0,F1348=0,G1348=0,H1348=0,I1348=0,J1348=0,K1348=0,L1348=0)</f>
        <v/>
      </c>
      <c r="N1348">
        <f>G1348&lt;=$T$6</f>
        <v/>
      </c>
      <c r="O1348">
        <f>G1348&lt;=$T$12</f>
        <v/>
      </c>
      <c r="P1348">
        <f>OR(AND(H1348&gt;=$T$4,K1348&lt;=$T$5,N1348),M1348)</f>
        <v/>
      </c>
      <c r="Q1348">
        <f>OR(AND(I1348&gt;=$T$10,K1348&lt;=$T$11,O1348),M1348)</f>
        <v/>
      </c>
    </row>
    <row r="1349">
      <c r="A1349">
        <f>Data!E1416</f>
        <v/>
      </c>
      <c r="B1349">
        <f>Data!G1416</f>
        <v/>
      </c>
      <c r="C1349">
        <f>Data!H1416</f>
        <v/>
      </c>
      <c r="D1349">
        <f>Data!I1416</f>
        <v/>
      </c>
      <c r="E1349">
        <f>Data!M1416</f>
        <v/>
      </c>
      <c r="F1349">
        <f>Data!O1416</f>
        <v/>
      </c>
      <c r="G1349">
        <f>E1349-F1349</f>
        <v/>
      </c>
      <c r="H1349">
        <f>Data!P1416</f>
        <v/>
      </c>
      <c r="I1349">
        <f>G1349+H1349</f>
        <v/>
      </c>
      <c r="J1349">
        <f>F1349+G1349+H1349</f>
        <v/>
      </c>
      <c r="K1349">
        <f>Data!R1416</f>
        <v/>
      </c>
      <c r="L1349">
        <f>Data!T1416</f>
        <v/>
      </c>
      <c r="M1349">
        <f>AND(E1349=0,F1349=0,G1349=0,H1349=0,I1349=0,J1349=0,K1349=0,L1349=0)</f>
        <v/>
      </c>
      <c r="N1349">
        <f>G1349&lt;=$T$6</f>
        <v/>
      </c>
      <c r="O1349">
        <f>G1349&lt;=$T$12</f>
        <v/>
      </c>
      <c r="P1349">
        <f>OR(AND(H1349&gt;=$T$4,K1349&lt;=$T$5,N1349),M1349)</f>
        <v/>
      </c>
      <c r="Q1349">
        <f>OR(AND(I1349&gt;=$T$10,K1349&lt;=$T$11,O1349),M1349)</f>
        <v/>
      </c>
    </row>
    <row r="1350">
      <c r="A1350">
        <f>Data!E1417</f>
        <v/>
      </c>
      <c r="B1350">
        <f>Data!G1417</f>
        <v/>
      </c>
      <c r="C1350">
        <f>Data!H1417</f>
        <v/>
      </c>
      <c r="D1350">
        <f>Data!I1417</f>
        <v/>
      </c>
      <c r="E1350">
        <f>Data!M1417</f>
        <v/>
      </c>
      <c r="F1350">
        <f>Data!O1417</f>
        <v/>
      </c>
      <c r="G1350">
        <f>E1350-F1350</f>
        <v/>
      </c>
      <c r="H1350">
        <f>Data!P1417</f>
        <v/>
      </c>
      <c r="I1350">
        <f>G1350+H1350</f>
        <v/>
      </c>
      <c r="J1350">
        <f>F1350+G1350+H1350</f>
        <v/>
      </c>
      <c r="K1350">
        <f>Data!R1417</f>
        <v/>
      </c>
      <c r="L1350">
        <f>Data!T1417</f>
        <v/>
      </c>
      <c r="M1350">
        <f>AND(E1350=0,F1350=0,G1350=0,H1350=0,I1350=0,J1350=0,K1350=0,L1350=0)</f>
        <v/>
      </c>
      <c r="N1350">
        <f>G1350&lt;=$T$6</f>
        <v/>
      </c>
      <c r="O1350">
        <f>G1350&lt;=$T$12</f>
        <v/>
      </c>
      <c r="P1350">
        <f>OR(AND(H1350&gt;=$T$4,K1350&lt;=$T$5,N1350),M1350)</f>
        <v/>
      </c>
      <c r="Q1350">
        <f>OR(AND(I1350&gt;=$T$10,K1350&lt;=$T$11,O1350),M1350)</f>
        <v/>
      </c>
    </row>
    <row r="1351">
      <c r="A1351">
        <f>Data!E1418</f>
        <v/>
      </c>
      <c r="B1351">
        <f>Data!G1418</f>
        <v/>
      </c>
      <c r="C1351">
        <f>Data!H1418</f>
        <v/>
      </c>
      <c r="D1351">
        <f>Data!I1418</f>
        <v/>
      </c>
      <c r="E1351">
        <f>Data!M1418</f>
        <v/>
      </c>
      <c r="F1351">
        <f>Data!O1418</f>
        <v/>
      </c>
      <c r="G1351">
        <f>E1351-F1351</f>
        <v/>
      </c>
      <c r="H1351">
        <f>Data!P1418</f>
        <v/>
      </c>
      <c r="I1351">
        <f>G1351+H1351</f>
        <v/>
      </c>
      <c r="J1351">
        <f>F1351+G1351+H1351</f>
        <v/>
      </c>
      <c r="K1351">
        <f>Data!R1418</f>
        <v/>
      </c>
      <c r="L1351">
        <f>Data!T1418</f>
        <v/>
      </c>
      <c r="M1351">
        <f>AND(E1351=0,F1351=0,G1351=0,H1351=0,I1351=0,J1351=0,K1351=0,L1351=0)</f>
        <v/>
      </c>
      <c r="N1351">
        <f>G1351&lt;=$T$6</f>
        <v/>
      </c>
      <c r="O1351">
        <f>G1351&lt;=$T$12</f>
        <v/>
      </c>
      <c r="P1351">
        <f>OR(AND(H1351&gt;=$T$4,K1351&lt;=$T$5,N1351),M1351)</f>
        <v/>
      </c>
      <c r="Q1351">
        <f>OR(AND(I1351&gt;=$T$10,K1351&lt;=$T$11,O1351),M1351)</f>
        <v/>
      </c>
    </row>
    <row r="1352">
      <c r="A1352">
        <f>Data!E1419</f>
        <v/>
      </c>
      <c r="B1352">
        <f>Data!G1419</f>
        <v/>
      </c>
      <c r="C1352">
        <f>Data!H1419</f>
        <v/>
      </c>
      <c r="D1352">
        <f>Data!I1419</f>
        <v/>
      </c>
      <c r="E1352">
        <f>Data!M1419</f>
        <v/>
      </c>
      <c r="F1352">
        <f>Data!O1419</f>
        <v/>
      </c>
      <c r="G1352">
        <f>E1352-F1352</f>
        <v/>
      </c>
      <c r="H1352">
        <f>Data!P1419</f>
        <v/>
      </c>
      <c r="I1352">
        <f>G1352+H1352</f>
        <v/>
      </c>
      <c r="J1352">
        <f>F1352+G1352+H1352</f>
        <v/>
      </c>
      <c r="K1352">
        <f>Data!R1419</f>
        <v/>
      </c>
      <c r="L1352">
        <f>Data!T1419</f>
        <v/>
      </c>
      <c r="M1352">
        <f>AND(E1352=0,F1352=0,G1352=0,H1352=0,I1352=0,J1352=0,K1352=0,L1352=0)</f>
        <v/>
      </c>
      <c r="N1352">
        <f>G1352&lt;=$T$6</f>
        <v/>
      </c>
      <c r="O1352">
        <f>G1352&lt;=$T$12</f>
        <v/>
      </c>
      <c r="P1352">
        <f>OR(AND(H1352&gt;=$T$4,K1352&lt;=$T$5,N1352),M1352)</f>
        <v/>
      </c>
      <c r="Q1352">
        <f>OR(AND(I1352&gt;=$T$10,K1352&lt;=$T$11,O1352),M1352)</f>
        <v/>
      </c>
    </row>
    <row r="1353">
      <c r="A1353">
        <f>Data!E1420</f>
        <v/>
      </c>
      <c r="B1353">
        <f>Data!G1420</f>
        <v/>
      </c>
      <c r="C1353">
        <f>Data!H1420</f>
        <v/>
      </c>
      <c r="D1353">
        <f>Data!I1420</f>
        <v/>
      </c>
      <c r="E1353">
        <f>Data!M1420</f>
        <v/>
      </c>
      <c r="F1353">
        <f>Data!O1420</f>
        <v/>
      </c>
      <c r="G1353">
        <f>E1353-F1353</f>
        <v/>
      </c>
      <c r="H1353">
        <f>Data!P1420</f>
        <v/>
      </c>
      <c r="I1353">
        <f>G1353+H1353</f>
        <v/>
      </c>
      <c r="J1353">
        <f>F1353+G1353+H1353</f>
        <v/>
      </c>
      <c r="K1353">
        <f>Data!R1420</f>
        <v/>
      </c>
      <c r="L1353">
        <f>Data!T1420</f>
        <v/>
      </c>
      <c r="M1353">
        <f>AND(E1353=0,F1353=0,G1353=0,H1353=0,I1353=0,J1353=0,K1353=0,L1353=0)</f>
        <v/>
      </c>
      <c r="N1353">
        <f>G1353&lt;=$T$6</f>
        <v/>
      </c>
      <c r="O1353">
        <f>G1353&lt;=$T$12</f>
        <v/>
      </c>
      <c r="P1353">
        <f>OR(AND(H1353&gt;=$T$4,K1353&lt;=$T$5,N1353),M1353)</f>
        <v/>
      </c>
      <c r="Q1353">
        <f>OR(AND(I1353&gt;=$T$10,K1353&lt;=$T$11,O1353),M1353)</f>
        <v/>
      </c>
    </row>
    <row r="1354">
      <c r="A1354">
        <f>Data!E1421</f>
        <v/>
      </c>
      <c r="B1354">
        <f>Data!G1421</f>
        <v/>
      </c>
      <c r="C1354">
        <f>Data!H1421</f>
        <v/>
      </c>
      <c r="D1354">
        <f>Data!I1421</f>
        <v/>
      </c>
      <c r="E1354">
        <f>Data!M1421</f>
        <v/>
      </c>
      <c r="F1354">
        <f>Data!O1421</f>
        <v/>
      </c>
      <c r="G1354">
        <f>E1354-F1354</f>
        <v/>
      </c>
      <c r="H1354">
        <f>Data!P1421</f>
        <v/>
      </c>
      <c r="I1354">
        <f>G1354+H1354</f>
        <v/>
      </c>
      <c r="J1354">
        <f>F1354+G1354+H1354</f>
        <v/>
      </c>
      <c r="K1354">
        <f>Data!R1421</f>
        <v/>
      </c>
      <c r="L1354">
        <f>Data!T1421</f>
        <v/>
      </c>
      <c r="M1354">
        <f>AND(E1354=0,F1354=0,G1354=0,H1354=0,I1354=0,J1354=0,K1354=0,L1354=0)</f>
        <v/>
      </c>
      <c r="N1354">
        <f>G1354&lt;=$T$6</f>
        <v/>
      </c>
      <c r="O1354">
        <f>G1354&lt;=$T$12</f>
        <v/>
      </c>
      <c r="P1354">
        <f>OR(AND(H1354&gt;=$T$4,K1354&lt;=$T$5,N1354),M1354)</f>
        <v/>
      </c>
      <c r="Q1354">
        <f>OR(AND(I1354&gt;=$T$10,K1354&lt;=$T$11,O1354),M1354)</f>
        <v/>
      </c>
    </row>
    <row r="1355">
      <c r="A1355">
        <f>Data!E1422</f>
        <v/>
      </c>
      <c r="B1355">
        <f>Data!G1422</f>
        <v/>
      </c>
      <c r="C1355">
        <f>Data!H1422</f>
        <v/>
      </c>
      <c r="D1355">
        <f>Data!I1422</f>
        <v/>
      </c>
      <c r="E1355">
        <f>Data!M1422</f>
        <v/>
      </c>
      <c r="F1355">
        <f>Data!O1422</f>
        <v/>
      </c>
      <c r="G1355">
        <f>E1355-F1355</f>
        <v/>
      </c>
      <c r="H1355">
        <f>Data!P1422</f>
        <v/>
      </c>
      <c r="I1355">
        <f>G1355+H1355</f>
        <v/>
      </c>
      <c r="J1355">
        <f>F1355+G1355+H1355</f>
        <v/>
      </c>
      <c r="K1355">
        <f>Data!R1422</f>
        <v/>
      </c>
      <c r="L1355">
        <f>Data!T1422</f>
        <v/>
      </c>
      <c r="M1355">
        <f>AND(E1355=0,F1355=0,G1355=0,H1355=0,I1355=0,J1355=0,K1355=0,L1355=0)</f>
        <v/>
      </c>
      <c r="N1355">
        <f>G1355&lt;=$T$6</f>
        <v/>
      </c>
      <c r="O1355">
        <f>G1355&lt;=$T$12</f>
        <v/>
      </c>
      <c r="P1355">
        <f>OR(AND(H1355&gt;=$T$4,K1355&lt;=$T$5,N1355),M1355)</f>
        <v/>
      </c>
      <c r="Q1355">
        <f>OR(AND(I1355&gt;=$T$10,K1355&lt;=$T$11,O1355),M1355)</f>
        <v/>
      </c>
    </row>
    <row r="1356">
      <c r="A1356">
        <f>Data!E1423</f>
        <v/>
      </c>
      <c r="B1356">
        <f>Data!G1423</f>
        <v/>
      </c>
      <c r="C1356">
        <f>Data!H1423</f>
        <v/>
      </c>
      <c r="D1356">
        <f>Data!I1423</f>
        <v/>
      </c>
      <c r="E1356">
        <f>Data!M1423</f>
        <v/>
      </c>
      <c r="F1356">
        <f>Data!O1423</f>
        <v/>
      </c>
      <c r="G1356">
        <f>E1356-F1356</f>
        <v/>
      </c>
      <c r="H1356">
        <f>Data!P1423</f>
        <v/>
      </c>
      <c r="I1356">
        <f>G1356+H1356</f>
        <v/>
      </c>
      <c r="J1356">
        <f>F1356+G1356+H1356</f>
        <v/>
      </c>
      <c r="K1356">
        <f>Data!R1423</f>
        <v/>
      </c>
      <c r="L1356">
        <f>Data!T1423</f>
        <v/>
      </c>
      <c r="M1356">
        <f>AND(E1356=0,F1356=0,G1356=0,H1356=0,I1356=0,J1356=0,K1356=0,L1356=0)</f>
        <v/>
      </c>
      <c r="N1356">
        <f>G1356&lt;=$T$6</f>
        <v/>
      </c>
      <c r="O1356">
        <f>G1356&lt;=$T$12</f>
        <v/>
      </c>
      <c r="P1356">
        <f>OR(AND(H1356&gt;=$T$4,K1356&lt;=$T$5,N1356),M1356)</f>
        <v/>
      </c>
      <c r="Q1356">
        <f>OR(AND(I1356&gt;=$T$10,K1356&lt;=$T$11,O1356),M1356)</f>
        <v/>
      </c>
    </row>
    <row r="1357">
      <c r="A1357">
        <f>Data!E1424</f>
        <v/>
      </c>
      <c r="B1357">
        <f>Data!G1424</f>
        <v/>
      </c>
      <c r="C1357">
        <f>Data!H1424</f>
        <v/>
      </c>
      <c r="D1357">
        <f>Data!I1424</f>
        <v/>
      </c>
      <c r="E1357">
        <f>Data!M1424</f>
        <v/>
      </c>
      <c r="F1357">
        <f>Data!O1424</f>
        <v/>
      </c>
      <c r="G1357">
        <f>E1357-F1357</f>
        <v/>
      </c>
      <c r="H1357">
        <f>Data!P1424</f>
        <v/>
      </c>
      <c r="I1357">
        <f>G1357+H1357</f>
        <v/>
      </c>
      <c r="J1357">
        <f>F1357+G1357+H1357</f>
        <v/>
      </c>
      <c r="K1357">
        <f>Data!R1424</f>
        <v/>
      </c>
      <c r="L1357">
        <f>Data!T1424</f>
        <v/>
      </c>
      <c r="M1357">
        <f>AND(E1357=0,F1357=0,G1357=0,H1357=0,I1357=0,J1357=0,K1357=0,L1357=0)</f>
        <v/>
      </c>
      <c r="N1357">
        <f>G1357&lt;=$T$6</f>
        <v/>
      </c>
      <c r="O1357">
        <f>G1357&lt;=$T$12</f>
        <v/>
      </c>
      <c r="P1357">
        <f>OR(AND(H1357&gt;=$T$4,K1357&lt;=$T$5,N1357),M1357)</f>
        <v/>
      </c>
      <c r="Q1357">
        <f>OR(AND(I1357&gt;=$T$10,K1357&lt;=$T$11,O1357),M1357)</f>
        <v/>
      </c>
    </row>
    <row r="1358">
      <c r="A1358">
        <f>Data!E1425</f>
        <v/>
      </c>
      <c r="B1358">
        <f>Data!G1425</f>
        <v/>
      </c>
      <c r="C1358">
        <f>Data!H1425</f>
        <v/>
      </c>
      <c r="D1358">
        <f>Data!I1425</f>
        <v/>
      </c>
      <c r="E1358">
        <f>Data!M1425</f>
        <v/>
      </c>
      <c r="F1358">
        <f>Data!O1425</f>
        <v/>
      </c>
      <c r="G1358">
        <f>E1358-F1358</f>
        <v/>
      </c>
      <c r="H1358">
        <f>Data!P1425</f>
        <v/>
      </c>
      <c r="I1358">
        <f>G1358+H1358</f>
        <v/>
      </c>
      <c r="J1358">
        <f>F1358+G1358+H1358</f>
        <v/>
      </c>
      <c r="K1358">
        <f>Data!R1425</f>
        <v/>
      </c>
      <c r="L1358">
        <f>Data!T1425</f>
        <v/>
      </c>
      <c r="M1358">
        <f>AND(E1358=0,F1358=0,G1358=0,H1358=0,I1358=0,J1358=0,K1358=0,L1358=0)</f>
        <v/>
      </c>
      <c r="N1358">
        <f>G1358&lt;=$T$6</f>
        <v/>
      </c>
      <c r="O1358">
        <f>G1358&lt;=$T$12</f>
        <v/>
      </c>
      <c r="P1358">
        <f>OR(AND(H1358&gt;=$T$4,K1358&lt;=$T$5,N1358),M1358)</f>
        <v/>
      </c>
      <c r="Q1358">
        <f>OR(AND(I1358&gt;=$T$10,K1358&lt;=$T$11,O1358),M1358)</f>
        <v/>
      </c>
    </row>
    <row r="1359">
      <c r="A1359">
        <f>Data!E1426</f>
        <v/>
      </c>
      <c r="B1359">
        <f>Data!G1426</f>
        <v/>
      </c>
      <c r="C1359">
        <f>Data!H1426</f>
        <v/>
      </c>
      <c r="D1359">
        <f>Data!I1426</f>
        <v/>
      </c>
      <c r="E1359">
        <f>Data!M1426</f>
        <v/>
      </c>
      <c r="F1359">
        <f>Data!O1426</f>
        <v/>
      </c>
      <c r="G1359">
        <f>E1359-F1359</f>
        <v/>
      </c>
      <c r="H1359">
        <f>Data!P1426</f>
        <v/>
      </c>
      <c r="I1359">
        <f>G1359+H1359</f>
        <v/>
      </c>
      <c r="J1359">
        <f>F1359+G1359+H1359</f>
        <v/>
      </c>
      <c r="K1359">
        <f>Data!R1426</f>
        <v/>
      </c>
      <c r="L1359">
        <f>Data!T1426</f>
        <v/>
      </c>
      <c r="M1359">
        <f>AND(E1359=0,F1359=0,G1359=0,H1359=0,I1359=0,J1359=0,K1359=0,L1359=0)</f>
        <v/>
      </c>
      <c r="N1359">
        <f>G1359&lt;=$T$6</f>
        <v/>
      </c>
      <c r="O1359">
        <f>G1359&lt;=$T$12</f>
        <v/>
      </c>
      <c r="P1359">
        <f>OR(AND(H1359&gt;=$T$4,K1359&lt;=$T$5,N1359),M1359)</f>
        <v/>
      </c>
      <c r="Q1359">
        <f>OR(AND(I1359&gt;=$T$10,K1359&lt;=$T$11,O1359),M1359)</f>
        <v/>
      </c>
    </row>
    <row r="1360">
      <c r="A1360">
        <f>Data!E1428</f>
        <v/>
      </c>
      <c r="B1360">
        <f>Data!G1428</f>
        <v/>
      </c>
      <c r="C1360">
        <f>Data!H1428</f>
        <v/>
      </c>
      <c r="D1360">
        <f>Data!I1428</f>
        <v/>
      </c>
      <c r="E1360">
        <f>Data!M1428</f>
        <v/>
      </c>
      <c r="F1360">
        <f>Data!O1428</f>
        <v/>
      </c>
      <c r="G1360">
        <f>E1360-F1360</f>
        <v/>
      </c>
      <c r="H1360">
        <f>Data!P1428</f>
        <v/>
      </c>
      <c r="I1360">
        <f>G1360+H1360</f>
        <v/>
      </c>
      <c r="J1360">
        <f>F1360+G1360+H1360</f>
        <v/>
      </c>
      <c r="K1360">
        <f>Data!R1428</f>
        <v/>
      </c>
      <c r="L1360">
        <f>Data!T1428</f>
        <v/>
      </c>
      <c r="M1360">
        <f>AND(E1360=0,F1360=0,G1360=0,H1360=0,I1360=0,J1360=0,K1360=0,L1360=0)</f>
        <v/>
      </c>
      <c r="N1360">
        <f>G1360&lt;=$T$6</f>
        <v/>
      </c>
      <c r="O1360">
        <f>G1360&lt;=$T$12</f>
        <v/>
      </c>
      <c r="P1360">
        <f>OR(AND(H1360&gt;=$T$4,K1360&lt;=$T$5,N1360),M1360)</f>
        <v/>
      </c>
      <c r="Q1360">
        <f>OR(AND(I1360&gt;=$T$10,K1360&lt;=$T$11,O1360),M1360)</f>
        <v/>
      </c>
    </row>
    <row r="1361">
      <c r="A1361">
        <f>Data!E1429</f>
        <v/>
      </c>
      <c r="B1361">
        <f>Data!G1429</f>
        <v/>
      </c>
      <c r="C1361">
        <f>Data!H1429</f>
        <v/>
      </c>
      <c r="D1361">
        <f>Data!I1429</f>
        <v/>
      </c>
      <c r="E1361">
        <f>Data!M1429</f>
        <v/>
      </c>
      <c r="F1361">
        <f>Data!O1429</f>
        <v/>
      </c>
      <c r="G1361">
        <f>E1361-F1361</f>
        <v/>
      </c>
      <c r="H1361">
        <f>Data!P1429</f>
        <v/>
      </c>
      <c r="I1361">
        <f>G1361+H1361</f>
        <v/>
      </c>
      <c r="J1361">
        <f>F1361+G1361+H1361</f>
        <v/>
      </c>
      <c r="K1361">
        <f>Data!R1429</f>
        <v/>
      </c>
      <c r="L1361">
        <f>Data!T1429</f>
        <v/>
      </c>
      <c r="M1361">
        <f>AND(E1361=0,F1361=0,G1361=0,H1361=0,I1361=0,J1361=0,K1361=0,L1361=0)</f>
        <v/>
      </c>
      <c r="N1361">
        <f>G1361&lt;=$T$6</f>
        <v/>
      </c>
      <c r="O1361">
        <f>G1361&lt;=$T$12</f>
        <v/>
      </c>
      <c r="P1361">
        <f>OR(AND(H1361&gt;=$T$4,K1361&lt;=$T$5,N1361),M1361)</f>
        <v/>
      </c>
      <c r="Q1361">
        <f>OR(AND(I1361&gt;=$T$10,K1361&lt;=$T$11,O1361),M1361)</f>
        <v/>
      </c>
    </row>
    <row r="1362">
      <c r="A1362">
        <f>Data!E1430</f>
        <v/>
      </c>
      <c r="B1362">
        <f>Data!G1430</f>
        <v/>
      </c>
      <c r="C1362">
        <f>Data!H1430</f>
        <v/>
      </c>
      <c r="D1362">
        <f>Data!I1430</f>
        <v/>
      </c>
      <c r="E1362">
        <f>Data!M1430</f>
        <v/>
      </c>
      <c r="F1362">
        <f>Data!O1430</f>
        <v/>
      </c>
      <c r="G1362">
        <f>E1362-F1362</f>
        <v/>
      </c>
      <c r="H1362">
        <f>Data!P1430</f>
        <v/>
      </c>
      <c r="I1362">
        <f>G1362+H1362</f>
        <v/>
      </c>
      <c r="J1362">
        <f>F1362+G1362+H1362</f>
        <v/>
      </c>
      <c r="K1362">
        <f>Data!R1430</f>
        <v/>
      </c>
      <c r="L1362">
        <f>Data!T1430</f>
        <v/>
      </c>
      <c r="M1362">
        <f>AND(E1362=0,F1362=0,G1362=0,H1362=0,I1362=0,J1362=0,K1362=0,L1362=0)</f>
        <v/>
      </c>
      <c r="N1362">
        <f>G1362&lt;=$T$6</f>
        <v/>
      </c>
      <c r="O1362">
        <f>G1362&lt;=$T$12</f>
        <v/>
      </c>
      <c r="P1362">
        <f>OR(AND(H1362&gt;=$T$4,K1362&lt;=$T$5,N1362),M1362)</f>
        <v/>
      </c>
      <c r="Q1362">
        <f>OR(AND(I1362&gt;=$T$10,K1362&lt;=$T$11,O1362),M1362)</f>
        <v/>
      </c>
    </row>
    <row r="1363">
      <c r="A1363">
        <f>Data!E1431</f>
        <v/>
      </c>
      <c r="B1363">
        <f>Data!G1431</f>
        <v/>
      </c>
      <c r="C1363">
        <f>Data!H1431</f>
        <v/>
      </c>
      <c r="D1363">
        <f>Data!I1431</f>
        <v/>
      </c>
      <c r="E1363">
        <f>Data!M1431</f>
        <v/>
      </c>
      <c r="F1363">
        <f>Data!O1431</f>
        <v/>
      </c>
      <c r="G1363">
        <f>E1363-F1363</f>
        <v/>
      </c>
      <c r="H1363">
        <f>Data!P1431</f>
        <v/>
      </c>
      <c r="I1363">
        <f>G1363+H1363</f>
        <v/>
      </c>
      <c r="J1363">
        <f>F1363+G1363+H1363</f>
        <v/>
      </c>
      <c r="K1363">
        <f>Data!R1431</f>
        <v/>
      </c>
      <c r="L1363">
        <f>Data!T1431</f>
        <v/>
      </c>
      <c r="M1363">
        <f>AND(E1363=0,F1363=0,G1363=0,H1363=0,I1363=0,J1363=0,K1363=0,L1363=0)</f>
        <v/>
      </c>
      <c r="N1363">
        <f>G1363&lt;=$T$6</f>
        <v/>
      </c>
      <c r="O1363">
        <f>G1363&lt;=$T$12</f>
        <v/>
      </c>
      <c r="P1363">
        <f>OR(AND(H1363&gt;=$T$4,K1363&lt;=$T$5,N1363),M1363)</f>
        <v/>
      </c>
      <c r="Q1363">
        <f>OR(AND(I1363&gt;=$T$10,K1363&lt;=$T$11,O1363),M1363)</f>
        <v/>
      </c>
    </row>
    <row r="1364">
      <c r="A1364">
        <f>Data!E1432</f>
        <v/>
      </c>
      <c r="B1364">
        <f>Data!G1432</f>
        <v/>
      </c>
      <c r="C1364">
        <f>Data!H1432</f>
        <v/>
      </c>
      <c r="D1364">
        <f>Data!I1432</f>
        <v/>
      </c>
      <c r="E1364">
        <f>Data!M1432</f>
        <v/>
      </c>
      <c r="F1364">
        <f>Data!O1432</f>
        <v/>
      </c>
      <c r="G1364">
        <f>E1364-F1364</f>
        <v/>
      </c>
      <c r="H1364">
        <f>Data!P1432</f>
        <v/>
      </c>
      <c r="I1364">
        <f>G1364+H1364</f>
        <v/>
      </c>
      <c r="J1364">
        <f>F1364+G1364+H1364</f>
        <v/>
      </c>
      <c r="K1364">
        <f>Data!R1432</f>
        <v/>
      </c>
      <c r="L1364">
        <f>Data!T1432</f>
        <v/>
      </c>
      <c r="M1364">
        <f>AND(E1364=0,F1364=0,G1364=0,H1364=0,I1364=0,J1364=0,K1364=0,L1364=0)</f>
        <v/>
      </c>
      <c r="N1364">
        <f>G1364&lt;=$T$6</f>
        <v/>
      </c>
      <c r="O1364">
        <f>G1364&lt;=$T$12</f>
        <v/>
      </c>
      <c r="P1364">
        <f>OR(AND(H1364&gt;=$T$4,K1364&lt;=$T$5,N1364),M1364)</f>
        <v/>
      </c>
      <c r="Q1364">
        <f>OR(AND(I1364&gt;=$T$10,K1364&lt;=$T$11,O1364),M1364)</f>
        <v/>
      </c>
    </row>
    <row r="1365">
      <c r="A1365">
        <f>Data!E1433</f>
        <v/>
      </c>
      <c r="B1365">
        <f>Data!G1433</f>
        <v/>
      </c>
      <c r="C1365">
        <f>Data!H1433</f>
        <v/>
      </c>
      <c r="D1365">
        <f>Data!I1433</f>
        <v/>
      </c>
      <c r="E1365">
        <f>Data!M1433</f>
        <v/>
      </c>
      <c r="F1365">
        <f>Data!O1433</f>
        <v/>
      </c>
      <c r="G1365">
        <f>E1365-F1365</f>
        <v/>
      </c>
      <c r="H1365">
        <f>Data!P1433</f>
        <v/>
      </c>
      <c r="I1365">
        <f>G1365+H1365</f>
        <v/>
      </c>
      <c r="J1365">
        <f>F1365+G1365+H1365</f>
        <v/>
      </c>
      <c r="K1365">
        <f>Data!R1433</f>
        <v/>
      </c>
      <c r="L1365">
        <f>Data!T1433</f>
        <v/>
      </c>
      <c r="M1365">
        <f>AND(E1365=0,F1365=0,G1365=0,H1365=0,I1365=0,J1365=0,K1365=0,L1365=0)</f>
        <v/>
      </c>
      <c r="N1365">
        <f>G1365&lt;=$T$6</f>
        <v/>
      </c>
      <c r="O1365">
        <f>G1365&lt;=$T$12</f>
        <v/>
      </c>
      <c r="P1365">
        <f>OR(AND(H1365&gt;=$T$4,K1365&lt;=$T$5,N1365),M1365)</f>
        <v/>
      </c>
      <c r="Q1365">
        <f>OR(AND(I1365&gt;=$T$10,K1365&lt;=$T$11,O1365),M1365)</f>
        <v/>
      </c>
    </row>
    <row r="1366">
      <c r="A1366">
        <f>Data!E1434</f>
        <v/>
      </c>
      <c r="B1366">
        <f>Data!G1434</f>
        <v/>
      </c>
      <c r="C1366">
        <f>Data!H1434</f>
        <v/>
      </c>
      <c r="D1366">
        <f>Data!I1434</f>
        <v/>
      </c>
      <c r="E1366">
        <f>Data!M1434</f>
        <v/>
      </c>
      <c r="F1366">
        <f>Data!O1434</f>
        <v/>
      </c>
      <c r="G1366">
        <f>E1366-F1366</f>
        <v/>
      </c>
      <c r="H1366">
        <f>Data!P1434</f>
        <v/>
      </c>
      <c r="I1366">
        <f>G1366+H1366</f>
        <v/>
      </c>
      <c r="J1366">
        <f>F1366+G1366+H1366</f>
        <v/>
      </c>
      <c r="K1366">
        <f>Data!R1434</f>
        <v/>
      </c>
      <c r="L1366">
        <f>Data!T1434</f>
        <v/>
      </c>
      <c r="M1366">
        <f>AND(E1366=0,F1366=0,G1366=0,H1366=0,I1366=0,J1366=0,K1366=0,L1366=0)</f>
        <v/>
      </c>
      <c r="N1366">
        <f>G1366&lt;=$T$6</f>
        <v/>
      </c>
      <c r="O1366">
        <f>G1366&lt;=$T$12</f>
        <v/>
      </c>
      <c r="P1366">
        <f>OR(AND(H1366&gt;=$T$4,K1366&lt;=$T$5,N1366),M1366)</f>
        <v/>
      </c>
      <c r="Q1366">
        <f>OR(AND(I1366&gt;=$T$10,K1366&lt;=$T$11,O1366),M1366)</f>
        <v/>
      </c>
    </row>
    <row r="1367">
      <c r="A1367">
        <f>Data!E1435</f>
        <v/>
      </c>
      <c r="B1367">
        <f>Data!G1435</f>
        <v/>
      </c>
      <c r="C1367">
        <f>Data!H1435</f>
        <v/>
      </c>
      <c r="D1367">
        <f>Data!I1435</f>
        <v/>
      </c>
      <c r="E1367">
        <f>Data!M1435</f>
        <v/>
      </c>
      <c r="F1367">
        <f>Data!O1435</f>
        <v/>
      </c>
      <c r="G1367">
        <f>E1367-F1367</f>
        <v/>
      </c>
      <c r="H1367">
        <f>Data!P1435</f>
        <v/>
      </c>
      <c r="I1367">
        <f>G1367+H1367</f>
        <v/>
      </c>
      <c r="J1367">
        <f>F1367+G1367+H1367</f>
        <v/>
      </c>
      <c r="K1367">
        <f>Data!R1435</f>
        <v/>
      </c>
      <c r="L1367">
        <f>Data!T1435</f>
        <v/>
      </c>
      <c r="M1367">
        <f>AND(E1367=0,F1367=0,G1367=0,H1367=0,I1367=0,J1367=0,K1367=0,L1367=0)</f>
        <v/>
      </c>
      <c r="N1367">
        <f>G1367&lt;=$T$6</f>
        <v/>
      </c>
      <c r="O1367">
        <f>G1367&lt;=$T$12</f>
        <v/>
      </c>
      <c r="P1367">
        <f>OR(AND(H1367&gt;=$T$4,K1367&lt;=$T$5,N1367),M1367)</f>
        <v/>
      </c>
      <c r="Q1367">
        <f>OR(AND(I1367&gt;=$T$10,K1367&lt;=$T$11,O1367),M1367)</f>
        <v/>
      </c>
    </row>
    <row r="1368">
      <c r="A1368">
        <f>Data!E1436</f>
        <v/>
      </c>
      <c r="B1368">
        <f>Data!G1436</f>
        <v/>
      </c>
      <c r="C1368">
        <f>Data!H1436</f>
        <v/>
      </c>
      <c r="D1368">
        <f>Data!I1436</f>
        <v/>
      </c>
      <c r="E1368">
        <f>Data!M1436</f>
        <v/>
      </c>
      <c r="F1368">
        <f>Data!O1436</f>
        <v/>
      </c>
      <c r="G1368">
        <f>E1368-F1368</f>
        <v/>
      </c>
      <c r="H1368">
        <f>Data!P1436</f>
        <v/>
      </c>
      <c r="I1368">
        <f>G1368+H1368</f>
        <v/>
      </c>
      <c r="J1368">
        <f>F1368+G1368+H1368</f>
        <v/>
      </c>
      <c r="K1368">
        <f>Data!R1436</f>
        <v/>
      </c>
      <c r="L1368">
        <f>Data!T1436</f>
        <v/>
      </c>
      <c r="M1368">
        <f>AND(E1368=0,F1368=0,G1368=0,H1368=0,I1368=0,J1368=0,K1368=0,L1368=0)</f>
        <v/>
      </c>
      <c r="N1368">
        <f>G1368&lt;=$T$6</f>
        <v/>
      </c>
      <c r="O1368">
        <f>G1368&lt;=$T$12</f>
        <v/>
      </c>
      <c r="P1368">
        <f>OR(AND(H1368&gt;=$T$4,K1368&lt;=$T$5,N1368),M1368)</f>
        <v/>
      </c>
      <c r="Q1368">
        <f>OR(AND(I1368&gt;=$T$10,K1368&lt;=$T$11,O1368),M1368)</f>
        <v/>
      </c>
    </row>
    <row r="1369">
      <c r="A1369">
        <f>Data!E1437</f>
        <v/>
      </c>
      <c r="B1369">
        <f>Data!G1437</f>
        <v/>
      </c>
      <c r="C1369">
        <f>Data!H1437</f>
        <v/>
      </c>
      <c r="D1369">
        <f>Data!I1437</f>
        <v/>
      </c>
      <c r="E1369">
        <f>Data!M1437</f>
        <v/>
      </c>
      <c r="F1369">
        <f>Data!O1437</f>
        <v/>
      </c>
      <c r="G1369">
        <f>E1369-F1369</f>
        <v/>
      </c>
      <c r="H1369">
        <f>Data!P1437</f>
        <v/>
      </c>
      <c r="I1369">
        <f>G1369+H1369</f>
        <v/>
      </c>
      <c r="J1369">
        <f>F1369+G1369+H1369</f>
        <v/>
      </c>
      <c r="K1369">
        <f>Data!R1437</f>
        <v/>
      </c>
      <c r="L1369">
        <f>Data!T1437</f>
        <v/>
      </c>
      <c r="M1369">
        <f>AND(E1369=0,F1369=0,G1369=0,H1369=0,I1369=0,J1369=0,K1369=0,L1369=0)</f>
        <v/>
      </c>
      <c r="N1369">
        <f>G1369&lt;=$T$6</f>
        <v/>
      </c>
      <c r="O1369">
        <f>G1369&lt;=$T$12</f>
        <v/>
      </c>
      <c r="P1369">
        <f>OR(AND(H1369&gt;=$T$4,K1369&lt;=$T$5,N1369),M1369)</f>
        <v/>
      </c>
      <c r="Q1369">
        <f>OR(AND(I1369&gt;=$T$10,K1369&lt;=$T$11,O1369),M1369)</f>
        <v/>
      </c>
    </row>
    <row r="1370">
      <c r="A1370">
        <f>Data!E1438</f>
        <v/>
      </c>
      <c r="B1370">
        <f>Data!G1438</f>
        <v/>
      </c>
      <c r="C1370">
        <f>Data!H1438</f>
        <v/>
      </c>
      <c r="D1370">
        <f>Data!I1438</f>
        <v/>
      </c>
      <c r="E1370">
        <f>Data!M1438</f>
        <v/>
      </c>
      <c r="F1370">
        <f>Data!O1438</f>
        <v/>
      </c>
      <c r="G1370">
        <f>E1370-F1370</f>
        <v/>
      </c>
      <c r="H1370">
        <f>Data!P1438</f>
        <v/>
      </c>
      <c r="I1370">
        <f>G1370+H1370</f>
        <v/>
      </c>
      <c r="J1370">
        <f>F1370+G1370+H1370</f>
        <v/>
      </c>
      <c r="K1370">
        <f>Data!R1438</f>
        <v/>
      </c>
      <c r="L1370">
        <f>Data!T1438</f>
        <v/>
      </c>
      <c r="M1370">
        <f>AND(E1370=0,F1370=0,G1370=0,H1370=0,I1370=0,J1370=0,K1370=0,L1370=0)</f>
        <v/>
      </c>
      <c r="N1370">
        <f>G1370&lt;=$T$6</f>
        <v/>
      </c>
      <c r="O1370">
        <f>G1370&lt;=$T$12</f>
        <v/>
      </c>
      <c r="P1370">
        <f>OR(AND(H1370&gt;=$T$4,K1370&lt;=$T$5,N1370),M1370)</f>
        <v/>
      </c>
      <c r="Q1370">
        <f>OR(AND(I1370&gt;=$T$10,K1370&lt;=$T$11,O1370),M1370)</f>
        <v/>
      </c>
    </row>
    <row r="1371">
      <c r="A1371">
        <f>Data!E1439</f>
        <v/>
      </c>
      <c r="B1371">
        <f>Data!G1439</f>
        <v/>
      </c>
      <c r="C1371">
        <f>Data!H1439</f>
        <v/>
      </c>
      <c r="D1371">
        <f>Data!I1439</f>
        <v/>
      </c>
      <c r="E1371">
        <f>Data!M1439</f>
        <v/>
      </c>
      <c r="F1371">
        <f>Data!O1439</f>
        <v/>
      </c>
      <c r="G1371">
        <f>E1371-F1371</f>
        <v/>
      </c>
      <c r="H1371">
        <f>Data!P1439</f>
        <v/>
      </c>
      <c r="I1371">
        <f>G1371+H1371</f>
        <v/>
      </c>
      <c r="J1371">
        <f>F1371+G1371+H1371</f>
        <v/>
      </c>
      <c r="K1371">
        <f>Data!R1439</f>
        <v/>
      </c>
      <c r="L1371">
        <f>Data!T1439</f>
        <v/>
      </c>
      <c r="M1371">
        <f>AND(E1371=0,F1371=0,G1371=0,H1371=0,I1371=0,J1371=0,K1371=0,L1371=0)</f>
        <v/>
      </c>
      <c r="N1371">
        <f>G1371&lt;=$T$6</f>
        <v/>
      </c>
      <c r="O1371">
        <f>G1371&lt;=$T$12</f>
        <v/>
      </c>
      <c r="P1371">
        <f>OR(AND(H1371&gt;=$T$4,K1371&lt;=$T$5,N1371),M1371)</f>
        <v/>
      </c>
      <c r="Q1371">
        <f>OR(AND(I1371&gt;=$T$10,K1371&lt;=$T$11,O1371),M1371)</f>
        <v/>
      </c>
    </row>
    <row r="1372">
      <c r="A1372">
        <f>Data!E1440</f>
        <v/>
      </c>
      <c r="B1372">
        <f>Data!G1440</f>
        <v/>
      </c>
      <c r="C1372">
        <f>Data!H1440</f>
        <v/>
      </c>
      <c r="D1372">
        <f>Data!I1440</f>
        <v/>
      </c>
      <c r="E1372">
        <f>Data!M1440</f>
        <v/>
      </c>
      <c r="F1372">
        <f>Data!O1440</f>
        <v/>
      </c>
      <c r="G1372">
        <f>E1372-F1372</f>
        <v/>
      </c>
      <c r="H1372">
        <f>Data!P1440</f>
        <v/>
      </c>
      <c r="I1372">
        <f>G1372+H1372</f>
        <v/>
      </c>
      <c r="J1372">
        <f>F1372+G1372+H1372</f>
        <v/>
      </c>
      <c r="K1372">
        <f>Data!R1440</f>
        <v/>
      </c>
      <c r="L1372">
        <f>Data!T1440</f>
        <v/>
      </c>
      <c r="M1372">
        <f>AND(E1372=0,F1372=0,G1372=0,H1372=0,I1372=0,J1372=0,K1372=0,L1372=0)</f>
        <v/>
      </c>
      <c r="N1372">
        <f>G1372&lt;=$T$6</f>
        <v/>
      </c>
      <c r="O1372">
        <f>G1372&lt;=$T$12</f>
        <v/>
      </c>
      <c r="P1372">
        <f>OR(AND(H1372&gt;=$T$4,K1372&lt;=$T$5,N1372),M1372)</f>
        <v/>
      </c>
      <c r="Q1372">
        <f>OR(AND(I1372&gt;=$T$10,K1372&lt;=$T$11,O1372),M1372)</f>
        <v/>
      </c>
    </row>
    <row r="1373">
      <c r="A1373">
        <f>Data!E1441</f>
        <v/>
      </c>
      <c r="B1373">
        <f>Data!G1441</f>
        <v/>
      </c>
      <c r="C1373">
        <f>Data!H1441</f>
        <v/>
      </c>
      <c r="D1373">
        <f>Data!I1441</f>
        <v/>
      </c>
      <c r="E1373">
        <f>Data!M1441</f>
        <v/>
      </c>
      <c r="F1373">
        <f>Data!O1441</f>
        <v/>
      </c>
      <c r="G1373">
        <f>E1373-F1373</f>
        <v/>
      </c>
      <c r="H1373">
        <f>Data!P1441</f>
        <v/>
      </c>
      <c r="I1373">
        <f>G1373+H1373</f>
        <v/>
      </c>
      <c r="J1373">
        <f>F1373+G1373+H1373</f>
        <v/>
      </c>
      <c r="K1373">
        <f>Data!R1441</f>
        <v/>
      </c>
      <c r="L1373">
        <f>Data!T1441</f>
        <v/>
      </c>
      <c r="M1373">
        <f>AND(E1373=0,F1373=0,G1373=0,H1373=0,I1373=0,J1373=0,K1373=0,L1373=0)</f>
        <v/>
      </c>
      <c r="N1373">
        <f>G1373&lt;=$T$6</f>
        <v/>
      </c>
      <c r="O1373">
        <f>G1373&lt;=$T$12</f>
        <v/>
      </c>
      <c r="P1373">
        <f>OR(AND(H1373&gt;=$T$4,K1373&lt;=$T$5,N1373),M1373)</f>
        <v/>
      </c>
      <c r="Q1373">
        <f>OR(AND(I1373&gt;=$T$10,K1373&lt;=$T$11,O1373),M1373)</f>
        <v/>
      </c>
    </row>
    <row r="1374">
      <c r="A1374">
        <f>Data!E1442</f>
        <v/>
      </c>
      <c r="B1374">
        <f>Data!G1442</f>
        <v/>
      </c>
      <c r="C1374">
        <f>Data!H1442</f>
        <v/>
      </c>
      <c r="D1374">
        <f>Data!I1442</f>
        <v/>
      </c>
      <c r="E1374">
        <f>Data!M1442</f>
        <v/>
      </c>
      <c r="F1374">
        <f>Data!O1442</f>
        <v/>
      </c>
      <c r="G1374">
        <f>E1374-F1374</f>
        <v/>
      </c>
      <c r="H1374">
        <f>Data!P1442</f>
        <v/>
      </c>
      <c r="I1374">
        <f>G1374+H1374</f>
        <v/>
      </c>
      <c r="J1374">
        <f>F1374+G1374+H1374</f>
        <v/>
      </c>
      <c r="K1374">
        <f>Data!R1442</f>
        <v/>
      </c>
      <c r="L1374">
        <f>Data!T1442</f>
        <v/>
      </c>
      <c r="M1374">
        <f>AND(E1374=0,F1374=0,G1374=0,H1374=0,I1374=0,J1374=0,K1374=0,L1374=0)</f>
        <v/>
      </c>
      <c r="N1374">
        <f>G1374&lt;=$T$6</f>
        <v/>
      </c>
      <c r="O1374">
        <f>G1374&lt;=$T$12</f>
        <v/>
      </c>
      <c r="P1374">
        <f>OR(AND(H1374&gt;=$T$4,K1374&lt;=$T$5,N1374),M1374)</f>
        <v/>
      </c>
      <c r="Q1374">
        <f>OR(AND(I1374&gt;=$T$10,K1374&lt;=$T$11,O1374),M1374)</f>
        <v/>
      </c>
    </row>
    <row r="1375">
      <c r="A1375">
        <f>Data!E1443</f>
        <v/>
      </c>
      <c r="B1375">
        <f>Data!G1443</f>
        <v/>
      </c>
      <c r="C1375">
        <f>Data!H1443</f>
        <v/>
      </c>
      <c r="D1375">
        <f>Data!I1443</f>
        <v/>
      </c>
      <c r="E1375">
        <f>Data!M1443</f>
        <v/>
      </c>
      <c r="F1375">
        <f>Data!O1443</f>
        <v/>
      </c>
      <c r="G1375">
        <f>E1375-F1375</f>
        <v/>
      </c>
      <c r="H1375">
        <f>Data!P1443</f>
        <v/>
      </c>
      <c r="I1375">
        <f>G1375+H1375</f>
        <v/>
      </c>
      <c r="J1375">
        <f>F1375+G1375+H1375</f>
        <v/>
      </c>
      <c r="K1375">
        <f>Data!R1443</f>
        <v/>
      </c>
      <c r="L1375">
        <f>Data!T1443</f>
        <v/>
      </c>
      <c r="M1375">
        <f>AND(E1375=0,F1375=0,G1375=0,H1375=0,I1375=0,J1375=0,K1375=0,L1375=0)</f>
        <v/>
      </c>
      <c r="N1375">
        <f>G1375&lt;=$T$6</f>
        <v/>
      </c>
      <c r="O1375">
        <f>G1375&lt;=$T$12</f>
        <v/>
      </c>
      <c r="P1375">
        <f>OR(AND(H1375&gt;=$T$4,K1375&lt;=$T$5,N1375),M1375)</f>
        <v/>
      </c>
      <c r="Q1375">
        <f>OR(AND(I1375&gt;=$T$10,K1375&lt;=$T$11,O1375),M1375)</f>
        <v/>
      </c>
    </row>
    <row r="1376">
      <c r="A1376">
        <f>Data!E1444</f>
        <v/>
      </c>
      <c r="B1376">
        <f>Data!G1444</f>
        <v/>
      </c>
      <c r="C1376">
        <f>Data!H1444</f>
        <v/>
      </c>
      <c r="D1376">
        <f>Data!I1444</f>
        <v/>
      </c>
      <c r="E1376">
        <f>Data!M1444</f>
        <v/>
      </c>
      <c r="F1376">
        <f>Data!O1444</f>
        <v/>
      </c>
      <c r="G1376">
        <f>E1376-F1376</f>
        <v/>
      </c>
      <c r="H1376">
        <f>Data!P1444</f>
        <v/>
      </c>
      <c r="I1376">
        <f>G1376+H1376</f>
        <v/>
      </c>
      <c r="J1376">
        <f>F1376+G1376+H1376</f>
        <v/>
      </c>
      <c r="K1376">
        <f>Data!R1444</f>
        <v/>
      </c>
      <c r="L1376">
        <f>Data!T1444</f>
        <v/>
      </c>
      <c r="M1376">
        <f>AND(E1376=0,F1376=0,G1376=0,H1376=0,I1376=0,J1376=0,K1376=0,L1376=0)</f>
        <v/>
      </c>
      <c r="N1376">
        <f>G1376&lt;=$T$6</f>
        <v/>
      </c>
      <c r="O1376">
        <f>G1376&lt;=$T$12</f>
        <v/>
      </c>
      <c r="P1376">
        <f>OR(AND(H1376&gt;=$T$4,K1376&lt;=$T$5,N1376),M1376)</f>
        <v/>
      </c>
      <c r="Q1376">
        <f>OR(AND(I1376&gt;=$T$10,K1376&lt;=$T$11,O1376),M1376)</f>
        <v/>
      </c>
    </row>
    <row r="1377">
      <c r="A1377">
        <f>Data!E1445</f>
        <v/>
      </c>
      <c r="B1377">
        <f>Data!G1445</f>
        <v/>
      </c>
      <c r="C1377">
        <f>Data!H1445</f>
        <v/>
      </c>
      <c r="D1377">
        <f>Data!I1445</f>
        <v/>
      </c>
      <c r="E1377">
        <f>Data!M1445</f>
        <v/>
      </c>
      <c r="F1377">
        <f>Data!O1445</f>
        <v/>
      </c>
      <c r="G1377">
        <f>E1377-F1377</f>
        <v/>
      </c>
      <c r="H1377">
        <f>Data!P1445</f>
        <v/>
      </c>
      <c r="I1377">
        <f>G1377+H1377</f>
        <v/>
      </c>
      <c r="J1377">
        <f>F1377+G1377+H1377</f>
        <v/>
      </c>
      <c r="K1377">
        <f>Data!R1445</f>
        <v/>
      </c>
      <c r="L1377">
        <f>Data!T1445</f>
        <v/>
      </c>
      <c r="M1377">
        <f>AND(E1377=0,F1377=0,G1377=0,H1377=0,I1377=0,J1377=0,K1377=0,L1377=0)</f>
        <v/>
      </c>
      <c r="N1377">
        <f>G1377&lt;=$T$6</f>
        <v/>
      </c>
      <c r="O1377">
        <f>G1377&lt;=$T$12</f>
        <v/>
      </c>
      <c r="P1377">
        <f>OR(AND(H1377&gt;=$T$4,K1377&lt;=$T$5,N1377),M1377)</f>
        <v/>
      </c>
      <c r="Q1377">
        <f>OR(AND(I1377&gt;=$T$10,K1377&lt;=$T$11,O1377),M1377)</f>
        <v/>
      </c>
    </row>
    <row r="1378">
      <c r="A1378">
        <f>Data!E1446</f>
        <v/>
      </c>
      <c r="B1378">
        <f>Data!G1446</f>
        <v/>
      </c>
      <c r="C1378">
        <f>Data!H1446</f>
        <v/>
      </c>
      <c r="D1378">
        <f>Data!I1446</f>
        <v/>
      </c>
      <c r="E1378">
        <f>Data!M1446</f>
        <v/>
      </c>
      <c r="F1378">
        <f>Data!O1446</f>
        <v/>
      </c>
      <c r="G1378">
        <f>E1378-F1378</f>
        <v/>
      </c>
      <c r="H1378">
        <f>Data!P1446</f>
        <v/>
      </c>
      <c r="I1378">
        <f>G1378+H1378</f>
        <v/>
      </c>
      <c r="J1378">
        <f>F1378+G1378+H1378</f>
        <v/>
      </c>
      <c r="K1378">
        <f>Data!R1446</f>
        <v/>
      </c>
      <c r="L1378">
        <f>Data!T1446</f>
        <v/>
      </c>
      <c r="M1378">
        <f>AND(E1378=0,F1378=0,G1378=0,H1378=0,I1378=0,J1378=0,K1378=0,L1378=0)</f>
        <v/>
      </c>
      <c r="N1378">
        <f>G1378&lt;=$T$6</f>
        <v/>
      </c>
      <c r="O1378">
        <f>G1378&lt;=$T$12</f>
        <v/>
      </c>
      <c r="P1378">
        <f>OR(AND(H1378&gt;=$T$4,K1378&lt;=$T$5,N1378),M1378)</f>
        <v/>
      </c>
      <c r="Q1378">
        <f>OR(AND(I1378&gt;=$T$10,K1378&lt;=$T$11,O1378),M1378)</f>
        <v/>
      </c>
    </row>
    <row r="1379">
      <c r="A1379">
        <f>Data!E1447</f>
        <v/>
      </c>
      <c r="B1379">
        <f>Data!G1447</f>
        <v/>
      </c>
      <c r="C1379">
        <f>Data!H1447</f>
        <v/>
      </c>
      <c r="D1379">
        <f>Data!I1447</f>
        <v/>
      </c>
      <c r="E1379">
        <f>Data!M1447</f>
        <v/>
      </c>
      <c r="F1379">
        <f>Data!O1447</f>
        <v/>
      </c>
      <c r="G1379">
        <f>E1379-F1379</f>
        <v/>
      </c>
      <c r="H1379">
        <f>Data!P1447</f>
        <v/>
      </c>
      <c r="I1379">
        <f>G1379+H1379</f>
        <v/>
      </c>
      <c r="J1379">
        <f>F1379+G1379+H1379</f>
        <v/>
      </c>
      <c r="K1379">
        <f>Data!R1447</f>
        <v/>
      </c>
      <c r="L1379">
        <f>Data!T1447</f>
        <v/>
      </c>
      <c r="M1379">
        <f>AND(E1379=0,F1379=0,G1379=0,H1379=0,I1379=0,J1379=0,K1379=0,L1379=0)</f>
        <v/>
      </c>
      <c r="N1379">
        <f>G1379&lt;=$T$6</f>
        <v/>
      </c>
      <c r="O1379">
        <f>G1379&lt;=$T$12</f>
        <v/>
      </c>
      <c r="P1379">
        <f>OR(AND(H1379&gt;=$T$4,K1379&lt;=$T$5,N1379),M1379)</f>
        <v/>
      </c>
      <c r="Q1379">
        <f>OR(AND(I1379&gt;=$T$10,K1379&lt;=$T$11,O1379),M1379)</f>
        <v/>
      </c>
    </row>
    <row r="1380">
      <c r="A1380">
        <f>Data!E1448</f>
        <v/>
      </c>
      <c r="B1380">
        <f>Data!G1448</f>
        <v/>
      </c>
      <c r="C1380">
        <f>Data!H1448</f>
        <v/>
      </c>
      <c r="D1380">
        <f>Data!I1448</f>
        <v/>
      </c>
      <c r="E1380">
        <f>Data!M1448</f>
        <v/>
      </c>
      <c r="F1380">
        <f>Data!O1448</f>
        <v/>
      </c>
      <c r="G1380">
        <f>E1380-F1380</f>
        <v/>
      </c>
      <c r="H1380">
        <f>Data!P1448</f>
        <v/>
      </c>
      <c r="I1380">
        <f>G1380+H1380</f>
        <v/>
      </c>
      <c r="J1380">
        <f>F1380+G1380+H1380</f>
        <v/>
      </c>
      <c r="K1380">
        <f>Data!R1448</f>
        <v/>
      </c>
      <c r="L1380">
        <f>Data!T1448</f>
        <v/>
      </c>
      <c r="M1380">
        <f>AND(E1380=0,F1380=0,G1380=0,H1380=0,I1380=0,J1380=0,K1380=0,L1380=0)</f>
        <v/>
      </c>
      <c r="N1380">
        <f>G1380&lt;=$T$6</f>
        <v/>
      </c>
      <c r="O1380">
        <f>G1380&lt;=$T$12</f>
        <v/>
      </c>
      <c r="P1380">
        <f>OR(AND(H1380&gt;=$T$4,K1380&lt;=$T$5,N1380),M1380)</f>
        <v/>
      </c>
      <c r="Q1380">
        <f>OR(AND(I1380&gt;=$T$10,K1380&lt;=$T$11,O1380),M1380)</f>
        <v/>
      </c>
    </row>
    <row r="1381">
      <c r="A1381">
        <f>Data!E1449</f>
        <v/>
      </c>
      <c r="B1381">
        <f>Data!G1449</f>
        <v/>
      </c>
      <c r="C1381">
        <f>Data!H1449</f>
        <v/>
      </c>
      <c r="D1381">
        <f>Data!I1449</f>
        <v/>
      </c>
      <c r="E1381">
        <f>Data!M1449</f>
        <v/>
      </c>
      <c r="F1381">
        <f>Data!O1449</f>
        <v/>
      </c>
      <c r="G1381">
        <f>E1381-F1381</f>
        <v/>
      </c>
      <c r="H1381">
        <f>Data!P1449</f>
        <v/>
      </c>
      <c r="I1381">
        <f>G1381+H1381</f>
        <v/>
      </c>
      <c r="J1381">
        <f>F1381+G1381+H1381</f>
        <v/>
      </c>
      <c r="K1381">
        <f>Data!R1449</f>
        <v/>
      </c>
      <c r="L1381">
        <f>Data!T1449</f>
        <v/>
      </c>
      <c r="M1381">
        <f>AND(E1381=0,F1381=0,G1381=0,H1381=0,I1381=0,J1381=0,K1381=0,L1381=0)</f>
        <v/>
      </c>
      <c r="N1381">
        <f>G1381&lt;=$T$6</f>
        <v/>
      </c>
      <c r="O1381">
        <f>G1381&lt;=$T$12</f>
        <v/>
      </c>
      <c r="P1381">
        <f>OR(AND(H1381&gt;=$T$4,K1381&lt;=$T$5,N1381),M1381)</f>
        <v/>
      </c>
      <c r="Q1381">
        <f>OR(AND(I1381&gt;=$T$10,K1381&lt;=$T$11,O1381),M1381)</f>
        <v/>
      </c>
    </row>
    <row r="1382">
      <c r="A1382">
        <f>Data!E1450</f>
        <v/>
      </c>
      <c r="B1382">
        <f>Data!G1450</f>
        <v/>
      </c>
      <c r="C1382">
        <f>Data!H1450</f>
        <v/>
      </c>
      <c r="D1382">
        <f>Data!I1450</f>
        <v/>
      </c>
      <c r="E1382">
        <f>Data!M1450</f>
        <v/>
      </c>
      <c r="F1382">
        <f>Data!O1450</f>
        <v/>
      </c>
      <c r="G1382">
        <f>E1382-F1382</f>
        <v/>
      </c>
      <c r="H1382">
        <f>Data!P1450</f>
        <v/>
      </c>
      <c r="I1382">
        <f>G1382+H1382</f>
        <v/>
      </c>
      <c r="J1382">
        <f>F1382+G1382+H1382</f>
        <v/>
      </c>
      <c r="K1382">
        <f>Data!R1450</f>
        <v/>
      </c>
      <c r="L1382">
        <f>Data!T1450</f>
        <v/>
      </c>
      <c r="M1382">
        <f>AND(E1382=0,F1382=0,G1382=0,H1382=0,I1382=0,J1382=0,K1382=0,L1382=0)</f>
        <v/>
      </c>
      <c r="N1382">
        <f>G1382&lt;=$T$6</f>
        <v/>
      </c>
      <c r="O1382">
        <f>G1382&lt;=$T$12</f>
        <v/>
      </c>
      <c r="P1382">
        <f>OR(AND(H1382&gt;=$T$4,K1382&lt;=$T$5,N1382),M1382)</f>
        <v/>
      </c>
      <c r="Q1382">
        <f>OR(AND(I1382&gt;=$T$10,K1382&lt;=$T$11,O1382),M1382)</f>
        <v/>
      </c>
    </row>
    <row r="1383">
      <c r="A1383">
        <f>Data!E1452</f>
        <v/>
      </c>
      <c r="B1383">
        <f>Data!G1452</f>
        <v/>
      </c>
      <c r="C1383">
        <f>Data!H1452</f>
        <v/>
      </c>
      <c r="D1383">
        <f>Data!I1452</f>
        <v/>
      </c>
      <c r="E1383">
        <f>Data!M1452</f>
        <v/>
      </c>
      <c r="F1383">
        <f>Data!O1452</f>
        <v/>
      </c>
      <c r="G1383">
        <f>E1383-F1383</f>
        <v/>
      </c>
      <c r="H1383">
        <f>Data!P1452</f>
        <v/>
      </c>
      <c r="I1383">
        <f>G1383+H1383</f>
        <v/>
      </c>
      <c r="J1383">
        <f>F1383+G1383+H1383</f>
        <v/>
      </c>
      <c r="K1383">
        <f>Data!R1452</f>
        <v/>
      </c>
      <c r="L1383">
        <f>Data!T1452</f>
        <v/>
      </c>
      <c r="M1383">
        <f>AND(E1383=0,F1383=0,G1383=0,H1383=0,I1383=0,J1383=0,K1383=0,L1383=0)</f>
        <v/>
      </c>
      <c r="N1383">
        <f>G1383&lt;=$T$6</f>
        <v/>
      </c>
      <c r="O1383">
        <f>G1383&lt;=$T$12</f>
        <v/>
      </c>
      <c r="P1383">
        <f>OR(AND(H1383&gt;=$T$4,K1383&lt;=$T$5,N1383),M1383)</f>
        <v/>
      </c>
      <c r="Q1383">
        <f>OR(AND(I1383&gt;=$T$10,K1383&lt;=$T$11,O1383),M1383)</f>
        <v/>
      </c>
    </row>
    <row r="1384">
      <c r="A1384">
        <f>Data!E1453</f>
        <v/>
      </c>
      <c r="B1384">
        <f>Data!G1453</f>
        <v/>
      </c>
      <c r="C1384">
        <f>Data!H1453</f>
        <v/>
      </c>
      <c r="D1384">
        <f>Data!I1453</f>
        <v/>
      </c>
      <c r="E1384">
        <f>Data!M1453</f>
        <v/>
      </c>
      <c r="F1384">
        <f>Data!O1453</f>
        <v/>
      </c>
      <c r="G1384">
        <f>E1384-F1384</f>
        <v/>
      </c>
      <c r="H1384">
        <f>Data!P1453</f>
        <v/>
      </c>
      <c r="I1384">
        <f>G1384+H1384</f>
        <v/>
      </c>
      <c r="J1384">
        <f>F1384+G1384+H1384</f>
        <v/>
      </c>
      <c r="K1384">
        <f>Data!R1453</f>
        <v/>
      </c>
      <c r="L1384">
        <f>Data!T1453</f>
        <v/>
      </c>
      <c r="M1384">
        <f>AND(E1384=0,F1384=0,G1384=0,H1384=0,I1384=0,J1384=0,K1384=0,L1384=0)</f>
        <v/>
      </c>
      <c r="N1384">
        <f>G1384&lt;=$T$6</f>
        <v/>
      </c>
      <c r="O1384">
        <f>G1384&lt;=$T$12</f>
        <v/>
      </c>
      <c r="P1384">
        <f>OR(AND(H1384&gt;=$T$4,K1384&lt;=$T$5,N1384),M1384)</f>
        <v/>
      </c>
      <c r="Q1384">
        <f>OR(AND(I1384&gt;=$T$10,K1384&lt;=$T$11,O1384),M1384)</f>
        <v/>
      </c>
    </row>
    <row r="1385">
      <c r="A1385">
        <f>Data!E1454</f>
        <v/>
      </c>
      <c r="B1385">
        <f>Data!G1454</f>
        <v/>
      </c>
      <c r="C1385">
        <f>Data!H1454</f>
        <v/>
      </c>
      <c r="D1385">
        <f>Data!I1454</f>
        <v/>
      </c>
      <c r="E1385">
        <f>Data!M1454</f>
        <v/>
      </c>
      <c r="F1385">
        <f>Data!O1454</f>
        <v/>
      </c>
      <c r="G1385">
        <f>E1385-F1385</f>
        <v/>
      </c>
      <c r="H1385">
        <f>Data!P1454</f>
        <v/>
      </c>
      <c r="I1385">
        <f>G1385+H1385</f>
        <v/>
      </c>
      <c r="J1385">
        <f>F1385+G1385+H1385</f>
        <v/>
      </c>
      <c r="K1385">
        <f>Data!R1454</f>
        <v/>
      </c>
      <c r="L1385">
        <f>Data!T1454</f>
        <v/>
      </c>
      <c r="M1385">
        <f>AND(E1385=0,F1385=0,G1385=0,H1385=0,I1385=0,J1385=0,K1385=0,L1385=0)</f>
        <v/>
      </c>
      <c r="N1385">
        <f>G1385&lt;=$T$6</f>
        <v/>
      </c>
      <c r="O1385">
        <f>G1385&lt;=$T$12</f>
        <v/>
      </c>
      <c r="P1385">
        <f>OR(AND(H1385&gt;=$T$4,K1385&lt;=$T$5,N1385),M1385)</f>
        <v/>
      </c>
      <c r="Q1385">
        <f>OR(AND(I1385&gt;=$T$10,K1385&lt;=$T$11,O1385),M1385)</f>
        <v/>
      </c>
    </row>
    <row r="1386">
      <c r="A1386">
        <f>Data!E1455</f>
        <v/>
      </c>
      <c r="B1386">
        <f>Data!G1455</f>
        <v/>
      </c>
      <c r="C1386">
        <f>Data!H1455</f>
        <v/>
      </c>
      <c r="D1386">
        <f>Data!I1455</f>
        <v/>
      </c>
      <c r="E1386">
        <f>Data!M1455</f>
        <v/>
      </c>
      <c r="F1386">
        <f>Data!O1455</f>
        <v/>
      </c>
      <c r="G1386">
        <f>E1386-F1386</f>
        <v/>
      </c>
      <c r="H1386">
        <f>Data!P1455</f>
        <v/>
      </c>
      <c r="I1386">
        <f>G1386+H1386</f>
        <v/>
      </c>
      <c r="J1386">
        <f>F1386+G1386+H1386</f>
        <v/>
      </c>
      <c r="K1386">
        <f>Data!R1455</f>
        <v/>
      </c>
      <c r="L1386">
        <f>Data!T1455</f>
        <v/>
      </c>
      <c r="M1386">
        <f>AND(E1386=0,F1386=0,G1386=0,H1386=0,I1386=0,J1386=0,K1386=0,L1386=0)</f>
        <v/>
      </c>
      <c r="N1386">
        <f>G1386&lt;=$T$6</f>
        <v/>
      </c>
      <c r="O1386">
        <f>G1386&lt;=$T$12</f>
        <v/>
      </c>
      <c r="P1386">
        <f>OR(AND(H1386&gt;=$T$4,K1386&lt;=$T$5,N1386),M1386)</f>
        <v/>
      </c>
      <c r="Q1386">
        <f>OR(AND(I1386&gt;=$T$10,K1386&lt;=$T$11,O1386),M1386)</f>
        <v/>
      </c>
    </row>
    <row r="1387">
      <c r="A1387">
        <f>Data!E1456</f>
        <v/>
      </c>
      <c r="B1387">
        <f>Data!G1456</f>
        <v/>
      </c>
      <c r="C1387">
        <f>Data!H1456</f>
        <v/>
      </c>
      <c r="D1387">
        <f>Data!I1456</f>
        <v/>
      </c>
      <c r="E1387">
        <f>Data!M1456</f>
        <v/>
      </c>
      <c r="F1387">
        <f>Data!O1456</f>
        <v/>
      </c>
      <c r="G1387">
        <f>E1387-F1387</f>
        <v/>
      </c>
      <c r="H1387">
        <f>Data!P1456</f>
        <v/>
      </c>
      <c r="I1387">
        <f>G1387+H1387</f>
        <v/>
      </c>
      <c r="J1387">
        <f>F1387+G1387+H1387</f>
        <v/>
      </c>
      <c r="K1387">
        <f>Data!R1456</f>
        <v/>
      </c>
      <c r="L1387">
        <f>Data!T1456</f>
        <v/>
      </c>
      <c r="M1387">
        <f>AND(E1387=0,F1387=0,G1387=0,H1387=0,I1387=0,J1387=0,K1387=0,L1387=0)</f>
        <v/>
      </c>
      <c r="N1387">
        <f>G1387&lt;=$T$6</f>
        <v/>
      </c>
      <c r="O1387">
        <f>G1387&lt;=$T$12</f>
        <v/>
      </c>
      <c r="P1387">
        <f>OR(AND(H1387&gt;=$T$4,K1387&lt;=$T$5,N1387),M1387)</f>
        <v/>
      </c>
      <c r="Q1387">
        <f>OR(AND(I1387&gt;=$T$10,K1387&lt;=$T$11,O1387),M1387)</f>
        <v/>
      </c>
    </row>
    <row r="1388">
      <c r="A1388">
        <f>Data!E1457</f>
        <v/>
      </c>
      <c r="B1388">
        <f>Data!G1457</f>
        <v/>
      </c>
      <c r="C1388">
        <f>Data!H1457</f>
        <v/>
      </c>
      <c r="D1388">
        <f>Data!I1457</f>
        <v/>
      </c>
      <c r="E1388">
        <f>Data!M1457</f>
        <v/>
      </c>
      <c r="F1388">
        <f>Data!O1457</f>
        <v/>
      </c>
      <c r="G1388">
        <f>E1388-F1388</f>
        <v/>
      </c>
      <c r="H1388">
        <f>Data!P1457</f>
        <v/>
      </c>
      <c r="I1388">
        <f>G1388+H1388</f>
        <v/>
      </c>
      <c r="J1388">
        <f>F1388+G1388+H1388</f>
        <v/>
      </c>
      <c r="K1388">
        <f>Data!R1457</f>
        <v/>
      </c>
      <c r="L1388">
        <f>Data!T1457</f>
        <v/>
      </c>
      <c r="M1388">
        <f>AND(E1388=0,F1388=0,G1388=0,H1388=0,I1388=0,J1388=0,K1388=0,L1388=0)</f>
        <v/>
      </c>
      <c r="N1388">
        <f>G1388&lt;=$T$6</f>
        <v/>
      </c>
      <c r="O1388">
        <f>G1388&lt;=$T$12</f>
        <v/>
      </c>
      <c r="P1388">
        <f>OR(AND(H1388&gt;=$T$4,K1388&lt;=$T$5,N1388),M1388)</f>
        <v/>
      </c>
      <c r="Q1388">
        <f>OR(AND(I1388&gt;=$T$10,K1388&lt;=$T$11,O1388),M1388)</f>
        <v/>
      </c>
    </row>
    <row r="1389">
      <c r="A1389">
        <f>Data!E1458</f>
        <v/>
      </c>
      <c r="B1389">
        <f>Data!G1458</f>
        <v/>
      </c>
      <c r="C1389">
        <f>Data!H1458</f>
        <v/>
      </c>
      <c r="D1389">
        <f>Data!I1458</f>
        <v/>
      </c>
      <c r="E1389">
        <f>Data!M1458</f>
        <v/>
      </c>
      <c r="F1389">
        <f>Data!O1458</f>
        <v/>
      </c>
      <c r="G1389">
        <f>E1389-F1389</f>
        <v/>
      </c>
      <c r="H1389">
        <f>Data!P1458</f>
        <v/>
      </c>
      <c r="I1389">
        <f>G1389+H1389</f>
        <v/>
      </c>
      <c r="J1389">
        <f>F1389+G1389+H1389</f>
        <v/>
      </c>
      <c r="K1389">
        <f>Data!R1458</f>
        <v/>
      </c>
      <c r="L1389">
        <f>Data!T1458</f>
        <v/>
      </c>
      <c r="M1389">
        <f>AND(E1389=0,F1389=0,G1389=0,H1389=0,I1389=0,J1389=0,K1389=0,L1389=0)</f>
        <v/>
      </c>
      <c r="N1389">
        <f>G1389&lt;=$T$6</f>
        <v/>
      </c>
      <c r="O1389">
        <f>G1389&lt;=$T$12</f>
        <v/>
      </c>
      <c r="P1389">
        <f>OR(AND(H1389&gt;=$T$4,K1389&lt;=$T$5,N1389),M1389)</f>
        <v/>
      </c>
      <c r="Q1389">
        <f>OR(AND(I1389&gt;=$T$10,K1389&lt;=$T$11,O1389),M1389)</f>
        <v/>
      </c>
    </row>
    <row r="1390">
      <c r="A1390">
        <f>Data!E1459</f>
        <v/>
      </c>
      <c r="B1390">
        <f>Data!G1459</f>
        <v/>
      </c>
      <c r="C1390">
        <f>Data!H1459</f>
        <v/>
      </c>
      <c r="D1390">
        <f>Data!I1459</f>
        <v/>
      </c>
      <c r="E1390">
        <f>Data!M1459</f>
        <v/>
      </c>
      <c r="F1390">
        <f>Data!O1459</f>
        <v/>
      </c>
      <c r="G1390">
        <f>E1390-F1390</f>
        <v/>
      </c>
      <c r="H1390">
        <f>Data!P1459</f>
        <v/>
      </c>
      <c r="I1390">
        <f>G1390+H1390</f>
        <v/>
      </c>
      <c r="J1390">
        <f>F1390+G1390+H1390</f>
        <v/>
      </c>
      <c r="K1390">
        <f>Data!R1459</f>
        <v/>
      </c>
      <c r="L1390">
        <f>Data!T1459</f>
        <v/>
      </c>
      <c r="M1390">
        <f>AND(E1390=0,F1390=0,G1390=0,H1390=0,I1390=0,J1390=0,K1390=0,L1390=0)</f>
        <v/>
      </c>
      <c r="N1390">
        <f>G1390&lt;=$T$6</f>
        <v/>
      </c>
      <c r="O1390">
        <f>G1390&lt;=$T$12</f>
        <v/>
      </c>
      <c r="P1390">
        <f>OR(AND(H1390&gt;=$T$4,K1390&lt;=$T$5,N1390),M1390)</f>
        <v/>
      </c>
      <c r="Q1390">
        <f>OR(AND(I1390&gt;=$T$10,K1390&lt;=$T$11,O1390),M1390)</f>
        <v/>
      </c>
    </row>
    <row r="1391">
      <c r="A1391">
        <f>Data!E1460</f>
        <v/>
      </c>
      <c r="B1391">
        <f>Data!G1460</f>
        <v/>
      </c>
      <c r="C1391">
        <f>Data!H1460</f>
        <v/>
      </c>
      <c r="D1391">
        <f>Data!I1460</f>
        <v/>
      </c>
      <c r="E1391">
        <f>Data!M1460</f>
        <v/>
      </c>
      <c r="F1391">
        <f>Data!O1460</f>
        <v/>
      </c>
      <c r="G1391">
        <f>E1391-F1391</f>
        <v/>
      </c>
      <c r="H1391">
        <f>Data!P1460</f>
        <v/>
      </c>
      <c r="I1391">
        <f>G1391+H1391</f>
        <v/>
      </c>
      <c r="J1391">
        <f>F1391+G1391+H1391</f>
        <v/>
      </c>
      <c r="K1391">
        <f>Data!R1460</f>
        <v/>
      </c>
      <c r="L1391">
        <f>Data!T1460</f>
        <v/>
      </c>
      <c r="M1391">
        <f>AND(E1391=0,F1391=0,G1391=0,H1391=0,I1391=0,J1391=0,K1391=0,L1391=0)</f>
        <v/>
      </c>
      <c r="N1391">
        <f>G1391&lt;=$T$6</f>
        <v/>
      </c>
      <c r="O1391">
        <f>G1391&lt;=$T$12</f>
        <v/>
      </c>
      <c r="P1391">
        <f>OR(AND(H1391&gt;=$T$4,K1391&lt;=$T$5,N1391),M1391)</f>
        <v/>
      </c>
      <c r="Q1391">
        <f>OR(AND(I1391&gt;=$T$10,K1391&lt;=$T$11,O1391),M1391)</f>
        <v/>
      </c>
    </row>
    <row r="1392">
      <c r="A1392">
        <f>Data!E1461</f>
        <v/>
      </c>
      <c r="B1392">
        <f>Data!G1461</f>
        <v/>
      </c>
      <c r="C1392">
        <f>Data!H1461</f>
        <v/>
      </c>
      <c r="D1392">
        <f>Data!I1461</f>
        <v/>
      </c>
      <c r="E1392">
        <f>Data!M1461</f>
        <v/>
      </c>
      <c r="F1392">
        <f>Data!O1461</f>
        <v/>
      </c>
      <c r="G1392">
        <f>E1392-F1392</f>
        <v/>
      </c>
      <c r="H1392">
        <f>Data!P1461</f>
        <v/>
      </c>
      <c r="I1392">
        <f>G1392+H1392</f>
        <v/>
      </c>
      <c r="J1392">
        <f>F1392+G1392+H1392</f>
        <v/>
      </c>
      <c r="K1392">
        <f>Data!R1461</f>
        <v/>
      </c>
      <c r="L1392">
        <f>Data!T1461</f>
        <v/>
      </c>
      <c r="M1392">
        <f>AND(E1392=0,F1392=0,G1392=0,H1392=0,I1392=0,J1392=0,K1392=0,L1392=0)</f>
        <v/>
      </c>
      <c r="N1392">
        <f>G1392&lt;=$T$6</f>
        <v/>
      </c>
      <c r="O1392">
        <f>G1392&lt;=$T$12</f>
        <v/>
      </c>
      <c r="P1392">
        <f>OR(AND(H1392&gt;=$T$4,K1392&lt;=$T$5,N1392),M1392)</f>
        <v/>
      </c>
      <c r="Q1392">
        <f>OR(AND(I1392&gt;=$T$10,K1392&lt;=$T$11,O1392),M1392)</f>
        <v/>
      </c>
    </row>
    <row r="1393">
      <c r="A1393">
        <f>Data!E1462</f>
        <v/>
      </c>
      <c r="B1393">
        <f>Data!G1462</f>
        <v/>
      </c>
      <c r="C1393">
        <f>Data!H1462</f>
        <v/>
      </c>
      <c r="D1393">
        <f>Data!I1462</f>
        <v/>
      </c>
      <c r="E1393">
        <f>Data!M1462</f>
        <v/>
      </c>
      <c r="F1393">
        <f>Data!O1462</f>
        <v/>
      </c>
      <c r="G1393">
        <f>E1393-F1393</f>
        <v/>
      </c>
      <c r="H1393">
        <f>Data!P1462</f>
        <v/>
      </c>
      <c r="I1393">
        <f>G1393+H1393</f>
        <v/>
      </c>
      <c r="J1393">
        <f>F1393+G1393+H1393</f>
        <v/>
      </c>
      <c r="K1393">
        <f>Data!R1462</f>
        <v/>
      </c>
      <c r="L1393">
        <f>Data!T1462</f>
        <v/>
      </c>
      <c r="M1393">
        <f>AND(E1393=0,F1393=0,G1393=0,H1393=0,I1393=0,J1393=0,K1393=0,L1393=0)</f>
        <v/>
      </c>
      <c r="N1393">
        <f>G1393&lt;=$T$6</f>
        <v/>
      </c>
      <c r="O1393">
        <f>G1393&lt;=$T$12</f>
        <v/>
      </c>
      <c r="P1393">
        <f>OR(AND(H1393&gt;=$T$4,K1393&lt;=$T$5,N1393),M1393)</f>
        <v/>
      </c>
      <c r="Q1393">
        <f>OR(AND(I1393&gt;=$T$10,K1393&lt;=$T$11,O1393),M1393)</f>
        <v/>
      </c>
    </row>
    <row r="1394">
      <c r="A1394">
        <f>Data!E1463</f>
        <v/>
      </c>
      <c r="B1394">
        <f>Data!G1463</f>
        <v/>
      </c>
      <c r="C1394">
        <f>Data!H1463</f>
        <v/>
      </c>
      <c r="D1394">
        <f>Data!I1463</f>
        <v/>
      </c>
      <c r="E1394">
        <f>Data!M1463</f>
        <v/>
      </c>
      <c r="F1394">
        <f>Data!O1463</f>
        <v/>
      </c>
      <c r="G1394">
        <f>E1394-F1394</f>
        <v/>
      </c>
      <c r="H1394">
        <f>Data!P1463</f>
        <v/>
      </c>
      <c r="I1394">
        <f>G1394+H1394</f>
        <v/>
      </c>
      <c r="J1394">
        <f>F1394+G1394+H1394</f>
        <v/>
      </c>
      <c r="K1394">
        <f>Data!R1463</f>
        <v/>
      </c>
      <c r="L1394">
        <f>Data!T1463</f>
        <v/>
      </c>
      <c r="M1394">
        <f>AND(E1394=0,F1394=0,G1394=0,H1394=0,I1394=0,J1394=0,K1394=0,L1394=0)</f>
        <v/>
      </c>
      <c r="N1394">
        <f>G1394&lt;=$T$6</f>
        <v/>
      </c>
      <c r="O1394">
        <f>G1394&lt;=$T$12</f>
        <v/>
      </c>
      <c r="P1394">
        <f>OR(AND(H1394&gt;=$T$4,K1394&lt;=$T$5,N1394),M1394)</f>
        <v/>
      </c>
      <c r="Q1394">
        <f>OR(AND(I1394&gt;=$T$10,K1394&lt;=$T$11,O1394),M1394)</f>
        <v/>
      </c>
    </row>
    <row r="1395">
      <c r="A1395">
        <f>Data!E1464</f>
        <v/>
      </c>
      <c r="B1395">
        <f>Data!G1464</f>
        <v/>
      </c>
      <c r="C1395">
        <f>Data!H1464</f>
        <v/>
      </c>
      <c r="D1395">
        <f>Data!I1464</f>
        <v/>
      </c>
      <c r="E1395">
        <f>Data!M1464</f>
        <v/>
      </c>
      <c r="F1395">
        <f>Data!O1464</f>
        <v/>
      </c>
      <c r="G1395">
        <f>E1395-F1395</f>
        <v/>
      </c>
      <c r="H1395">
        <f>Data!P1464</f>
        <v/>
      </c>
      <c r="I1395">
        <f>G1395+H1395</f>
        <v/>
      </c>
      <c r="J1395">
        <f>F1395+G1395+H1395</f>
        <v/>
      </c>
      <c r="K1395">
        <f>Data!R1464</f>
        <v/>
      </c>
      <c r="L1395">
        <f>Data!T1464</f>
        <v/>
      </c>
      <c r="M1395">
        <f>AND(E1395=0,F1395=0,G1395=0,H1395=0,I1395=0,J1395=0,K1395=0,L1395=0)</f>
        <v/>
      </c>
      <c r="N1395">
        <f>G1395&lt;=$T$6</f>
        <v/>
      </c>
      <c r="O1395">
        <f>G1395&lt;=$T$12</f>
        <v/>
      </c>
      <c r="P1395">
        <f>OR(AND(H1395&gt;=$T$4,K1395&lt;=$T$5,N1395),M1395)</f>
        <v/>
      </c>
      <c r="Q1395">
        <f>OR(AND(I1395&gt;=$T$10,K1395&lt;=$T$11,O1395),M1395)</f>
        <v/>
      </c>
    </row>
    <row r="1396">
      <c r="A1396">
        <f>Data!E1465</f>
        <v/>
      </c>
      <c r="B1396">
        <f>Data!G1465</f>
        <v/>
      </c>
      <c r="C1396">
        <f>Data!H1465</f>
        <v/>
      </c>
      <c r="D1396">
        <f>Data!I1465</f>
        <v/>
      </c>
      <c r="E1396">
        <f>Data!M1465</f>
        <v/>
      </c>
      <c r="F1396">
        <f>Data!O1465</f>
        <v/>
      </c>
      <c r="G1396">
        <f>E1396-F1396</f>
        <v/>
      </c>
      <c r="H1396">
        <f>Data!P1465</f>
        <v/>
      </c>
      <c r="I1396">
        <f>G1396+H1396</f>
        <v/>
      </c>
      <c r="J1396">
        <f>F1396+G1396+H1396</f>
        <v/>
      </c>
      <c r="K1396">
        <f>Data!R1465</f>
        <v/>
      </c>
      <c r="L1396">
        <f>Data!T1465</f>
        <v/>
      </c>
      <c r="M1396">
        <f>AND(E1396=0,F1396=0,G1396=0,H1396=0,I1396=0,J1396=0,K1396=0,L1396=0)</f>
        <v/>
      </c>
      <c r="N1396">
        <f>G1396&lt;=$T$6</f>
        <v/>
      </c>
      <c r="O1396">
        <f>G1396&lt;=$T$12</f>
        <v/>
      </c>
      <c r="P1396">
        <f>OR(AND(H1396&gt;=$T$4,K1396&lt;=$T$5,N1396),M1396)</f>
        <v/>
      </c>
      <c r="Q1396">
        <f>OR(AND(I1396&gt;=$T$10,K1396&lt;=$T$11,O1396),M1396)</f>
        <v/>
      </c>
    </row>
    <row r="1397">
      <c r="A1397">
        <f>Data!E1466</f>
        <v/>
      </c>
      <c r="B1397">
        <f>Data!G1466</f>
        <v/>
      </c>
      <c r="C1397">
        <f>Data!H1466</f>
        <v/>
      </c>
      <c r="D1397">
        <f>Data!I1466</f>
        <v/>
      </c>
      <c r="E1397">
        <f>Data!M1466</f>
        <v/>
      </c>
      <c r="F1397">
        <f>Data!O1466</f>
        <v/>
      </c>
      <c r="G1397">
        <f>E1397-F1397</f>
        <v/>
      </c>
      <c r="H1397">
        <f>Data!P1466</f>
        <v/>
      </c>
      <c r="I1397">
        <f>G1397+H1397</f>
        <v/>
      </c>
      <c r="J1397">
        <f>F1397+G1397+H1397</f>
        <v/>
      </c>
      <c r="K1397">
        <f>Data!R1466</f>
        <v/>
      </c>
      <c r="L1397">
        <f>Data!T1466</f>
        <v/>
      </c>
      <c r="M1397">
        <f>AND(E1397=0,F1397=0,G1397=0,H1397=0,I1397=0,J1397=0,K1397=0,L1397=0)</f>
        <v/>
      </c>
      <c r="N1397">
        <f>G1397&lt;=$T$6</f>
        <v/>
      </c>
      <c r="O1397">
        <f>G1397&lt;=$T$12</f>
        <v/>
      </c>
      <c r="P1397">
        <f>OR(AND(H1397&gt;=$T$4,K1397&lt;=$T$5,N1397),M1397)</f>
        <v/>
      </c>
      <c r="Q1397">
        <f>OR(AND(I1397&gt;=$T$10,K1397&lt;=$T$11,O1397),M1397)</f>
        <v/>
      </c>
    </row>
    <row r="1398">
      <c r="A1398">
        <f>Data!E1467</f>
        <v/>
      </c>
      <c r="B1398">
        <f>Data!G1467</f>
        <v/>
      </c>
      <c r="C1398">
        <f>Data!H1467</f>
        <v/>
      </c>
      <c r="D1398">
        <f>Data!I1467</f>
        <v/>
      </c>
      <c r="E1398">
        <f>Data!M1467</f>
        <v/>
      </c>
      <c r="F1398">
        <f>Data!O1467</f>
        <v/>
      </c>
      <c r="G1398">
        <f>E1398-F1398</f>
        <v/>
      </c>
      <c r="H1398">
        <f>Data!P1467</f>
        <v/>
      </c>
      <c r="I1398">
        <f>G1398+H1398</f>
        <v/>
      </c>
      <c r="J1398">
        <f>F1398+G1398+H1398</f>
        <v/>
      </c>
      <c r="K1398">
        <f>Data!R1467</f>
        <v/>
      </c>
      <c r="L1398">
        <f>Data!T1467</f>
        <v/>
      </c>
      <c r="M1398">
        <f>AND(E1398=0,F1398=0,G1398=0,H1398=0,I1398=0,J1398=0,K1398=0,L1398=0)</f>
        <v/>
      </c>
      <c r="N1398">
        <f>G1398&lt;=$T$6</f>
        <v/>
      </c>
      <c r="O1398">
        <f>G1398&lt;=$T$12</f>
        <v/>
      </c>
      <c r="P1398">
        <f>OR(AND(H1398&gt;=$T$4,K1398&lt;=$T$5,N1398),M1398)</f>
        <v/>
      </c>
      <c r="Q1398">
        <f>OR(AND(I1398&gt;=$T$10,K1398&lt;=$T$11,O1398),M1398)</f>
        <v/>
      </c>
    </row>
    <row r="1399">
      <c r="A1399">
        <f>Data!E1468</f>
        <v/>
      </c>
      <c r="B1399">
        <f>Data!G1468</f>
        <v/>
      </c>
      <c r="C1399">
        <f>Data!H1468</f>
        <v/>
      </c>
      <c r="D1399">
        <f>Data!I1468</f>
        <v/>
      </c>
      <c r="E1399">
        <f>Data!M1468</f>
        <v/>
      </c>
      <c r="F1399">
        <f>Data!O1468</f>
        <v/>
      </c>
      <c r="G1399">
        <f>E1399-F1399</f>
        <v/>
      </c>
      <c r="H1399">
        <f>Data!P1468</f>
        <v/>
      </c>
      <c r="I1399">
        <f>G1399+H1399</f>
        <v/>
      </c>
      <c r="J1399">
        <f>F1399+G1399+H1399</f>
        <v/>
      </c>
      <c r="K1399">
        <f>Data!R1468</f>
        <v/>
      </c>
      <c r="L1399">
        <f>Data!T1468</f>
        <v/>
      </c>
      <c r="M1399">
        <f>AND(E1399=0,F1399=0,G1399=0,H1399=0,I1399=0,J1399=0,K1399=0,L1399=0)</f>
        <v/>
      </c>
      <c r="N1399">
        <f>G1399&lt;=$T$6</f>
        <v/>
      </c>
      <c r="O1399">
        <f>G1399&lt;=$T$12</f>
        <v/>
      </c>
      <c r="P1399">
        <f>OR(AND(H1399&gt;=$T$4,K1399&lt;=$T$5,N1399),M1399)</f>
        <v/>
      </c>
      <c r="Q1399">
        <f>OR(AND(I1399&gt;=$T$10,K1399&lt;=$T$11,O1399),M1399)</f>
        <v/>
      </c>
    </row>
    <row r="1400">
      <c r="A1400">
        <f>Data!E1469</f>
        <v/>
      </c>
      <c r="B1400">
        <f>Data!G1469</f>
        <v/>
      </c>
      <c r="C1400">
        <f>Data!H1469</f>
        <v/>
      </c>
      <c r="D1400">
        <f>Data!I1469</f>
        <v/>
      </c>
      <c r="E1400">
        <f>Data!M1469</f>
        <v/>
      </c>
      <c r="F1400">
        <f>Data!O1469</f>
        <v/>
      </c>
      <c r="G1400">
        <f>E1400-F1400</f>
        <v/>
      </c>
      <c r="H1400">
        <f>Data!P1469</f>
        <v/>
      </c>
      <c r="I1400">
        <f>G1400+H1400</f>
        <v/>
      </c>
      <c r="J1400">
        <f>F1400+G1400+H1400</f>
        <v/>
      </c>
      <c r="K1400">
        <f>Data!R1469</f>
        <v/>
      </c>
      <c r="L1400">
        <f>Data!T1469</f>
        <v/>
      </c>
      <c r="M1400">
        <f>AND(E1400=0,F1400=0,G1400=0,H1400=0,I1400=0,J1400=0,K1400=0,L1400=0)</f>
        <v/>
      </c>
      <c r="N1400">
        <f>G1400&lt;=$T$6</f>
        <v/>
      </c>
      <c r="O1400">
        <f>G1400&lt;=$T$12</f>
        <v/>
      </c>
      <c r="P1400">
        <f>OR(AND(H1400&gt;=$T$4,K1400&lt;=$T$5,N1400),M1400)</f>
        <v/>
      </c>
      <c r="Q1400">
        <f>OR(AND(I1400&gt;=$T$10,K1400&lt;=$T$11,O1400),M1400)</f>
        <v/>
      </c>
    </row>
    <row r="1401">
      <c r="A1401">
        <f>Data!E1470</f>
        <v/>
      </c>
      <c r="B1401">
        <f>Data!G1470</f>
        <v/>
      </c>
      <c r="C1401">
        <f>Data!H1470</f>
        <v/>
      </c>
      <c r="D1401">
        <f>Data!I1470</f>
        <v/>
      </c>
      <c r="E1401">
        <f>Data!M1470</f>
        <v/>
      </c>
      <c r="F1401">
        <f>Data!O1470</f>
        <v/>
      </c>
      <c r="G1401">
        <f>E1401-F1401</f>
        <v/>
      </c>
      <c r="H1401">
        <f>Data!P1470</f>
        <v/>
      </c>
      <c r="I1401">
        <f>G1401+H1401</f>
        <v/>
      </c>
      <c r="J1401">
        <f>F1401+G1401+H1401</f>
        <v/>
      </c>
      <c r="K1401">
        <f>Data!R1470</f>
        <v/>
      </c>
      <c r="L1401">
        <f>Data!T1470</f>
        <v/>
      </c>
      <c r="M1401">
        <f>AND(E1401=0,F1401=0,G1401=0,H1401=0,I1401=0,J1401=0,K1401=0,L1401=0)</f>
        <v/>
      </c>
      <c r="N1401">
        <f>G1401&lt;=$T$6</f>
        <v/>
      </c>
      <c r="O1401">
        <f>G1401&lt;=$T$12</f>
        <v/>
      </c>
      <c r="P1401">
        <f>OR(AND(H1401&gt;=$T$4,K1401&lt;=$T$5,N1401),M1401)</f>
        <v/>
      </c>
      <c r="Q1401">
        <f>OR(AND(I1401&gt;=$T$10,K1401&lt;=$T$11,O1401),M1401)</f>
        <v/>
      </c>
    </row>
    <row r="1402">
      <c r="A1402">
        <f>Data!E1471</f>
        <v/>
      </c>
      <c r="B1402">
        <f>Data!G1471</f>
        <v/>
      </c>
      <c r="C1402">
        <f>Data!H1471</f>
        <v/>
      </c>
      <c r="D1402">
        <f>Data!I1471</f>
        <v/>
      </c>
      <c r="E1402">
        <f>Data!M1471</f>
        <v/>
      </c>
      <c r="F1402">
        <f>Data!O1471</f>
        <v/>
      </c>
      <c r="G1402">
        <f>E1402-F1402</f>
        <v/>
      </c>
      <c r="H1402">
        <f>Data!P1471</f>
        <v/>
      </c>
      <c r="I1402">
        <f>G1402+H1402</f>
        <v/>
      </c>
      <c r="J1402">
        <f>F1402+G1402+H1402</f>
        <v/>
      </c>
      <c r="K1402">
        <f>Data!R1471</f>
        <v/>
      </c>
      <c r="L1402">
        <f>Data!T1471</f>
        <v/>
      </c>
      <c r="M1402">
        <f>AND(E1402=0,F1402=0,G1402=0,H1402=0,I1402=0,J1402=0,K1402=0,L1402=0)</f>
        <v/>
      </c>
      <c r="N1402">
        <f>G1402&lt;=$T$6</f>
        <v/>
      </c>
      <c r="O1402">
        <f>G1402&lt;=$T$12</f>
        <v/>
      </c>
      <c r="P1402">
        <f>OR(AND(H1402&gt;=$T$4,K1402&lt;=$T$5,N1402),M1402)</f>
        <v/>
      </c>
      <c r="Q1402">
        <f>OR(AND(I1402&gt;=$T$10,K1402&lt;=$T$11,O1402),M1402)</f>
        <v/>
      </c>
    </row>
    <row r="1403">
      <c r="A1403">
        <f>Data!E1472</f>
        <v/>
      </c>
      <c r="B1403">
        <f>Data!G1472</f>
        <v/>
      </c>
      <c r="C1403">
        <f>Data!H1472</f>
        <v/>
      </c>
      <c r="D1403">
        <f>Data!I1472</f>
        <v/>
      </c>
      <c r="E1403">
        <f>Data!M1472</f>
        <v/>
      </c>
      <c r="F1403">
        <f>Data!O1472</f>
        <v/>
      </c>
      <c r="G1403">
        <f>E1403-F1403</f>
        <v/>
      </c>
      <c r="H1403">
        <f>Data!P1472</f>
        <v/>
      </c>
      <c r="I1403">
        <f>G1403+H1403</f>
        <v/>
      </c>
      <c r="J1403">
        <f>F1403+G1403+H1403</f>
        <v/>
      </c>
      <c r="K1403">
        <f>Data!R1472</f>
        <v/>
      </c>
      <c r="L1403">
        <f>Data!T1472</f>
        <v/>
      </c>
      <c r="M1403">
        <f>AND(E1403=0,F1403=0,G1403=0,H1403=0,I1403=0,J1403=0,K1403=0,L1403=0)</f>
        <v/>
      </c>
      <c r="N1403">
        <f>G1403&lt;=$T$6</f>
        <v/>
      </c>
      <c r="O1403">
        <f>G1403&lt;=$T$12</f>
        <v/>
      </c>
      <c r="P1403">
        <f>OR(AND(H1403&gt;=$T$4,K1403&lt;=$T$5,N1403),M1403)</f>
        <v/>
      </c>
      <c r="Q1403">
        <f>OR(AND(I1403&gt;=$T$10,K1403&lt;=$T$11,O1403),M1403)</f>
        <v/>
      </c>
    </row>
    <row r="1404">
      <c r="A1404">
        <f>Data!E1473</f>
        <v/>
      </c>
      <c r="B1404">
        <f>Data!G1473</f>
        <v/>
      </c>
      <c r="C1404">
        <f>Data!H1473</f>
        <v/>
      </c>
      <c r="D1404">
        <f>Data!I1473</f>
        <v/>
      </c>
      <c r="E1404">
        <f>Data!M1473</f>
        <v/>
      </c>
      <c r="F1404">
        <f>Data!O1473</f>
        <v/>
      </c>
      <c r="G1404">
        <f>E1404-F1404</f>
        <v/>
      </c>
      <c r="H1404">
        <f>Data!P1473</f>
        <v/>
      </c>
      <c r="I1404">
        <f>G1404+H1404</f>
        <v/>
      </c>
      <c r="J1404">
        <f>F1404+G1404+H1404</f>
        <v/>
      </c>
      <c r="K1404">
        <f>Data!R1473</f>
        <v/>
      </c>
      <c r="L1404">
        <f>Data!T1473</f>
        <v/>
      </c>
      <c r="M1404">
        <f>AND(E1404=0,F1404=0,G1404=0,H1404=0,I1404=0,J1404=0,K1404=0,L1404=0)</f>
        <v/>
      </c>
      <c r="N1404">
        <f>G1404&lt;=$T$6</f>
        <v/>
      </c>
      <c r="O1404">
        <f>G1404&lt;=$T$12</f>
        <v/>
      </c>
      <c r="P1404">
        <f>OR(AND(H1404&gt;=$T$4,K1404&lt;=$T$5,N1404),M1404)</f>
        <v/>
      </c>
      <c r="Q1404">
        <f>OR(AND(I1404&gt;=$T$10,K1404&lt;=$T$11,O1404),M1404)</f>
        <v/>
      </c>
    </row>
    <row r="1405">
      <c r="A1405">
        <f>Data!E1474</f>
        <v/>
      </c>
      <c r="B1405">
        <f>Data!G1474</f>
        <v/>
      </c>
      <c r="C1405">
        <f>Data!H1474</f>
        <v/>
      </c>
      <c r="D1405">
        <f>Data!I1474</f>
        <v/>
      </c>
      <c r="E1405">
        <f>Data!M1474</f>
        <v/>
      </c>
      <c r="F1405">
        <f>Data!O1474</f>
        <v/>
      </c>
      <c r="G1405">
        <f>E1405-F1405</f>
        <v/>
      </c>
      <c r="H1405">
        <f>Data!P1474</f>
        <v/>
      </c>
      <c r="I1405">
        <f>G1405+H1405</f>
        <v/>
      </c>
      <c r="J1405">
        <f>F1405+G1405+H1405</f>
        <v/>
      </c>
      <c r="K1405">
        <f>Data!R1474</f>
        <v/>
      </c>
      <c r="L1405">
        <f>Data!T1474</f>
        <v/>
      </c>
      <c r="M1405">
        <f>AND(E1405=0,F1405=0,G1405=0,H1405=0,I1405=0,J1405=0,K1405=0,L1405=0)</f>
        <v/>
      </c>
      <c r="N1405">
        <f>G1405&lt;=$T$6</f>
        <v/>
      </c>
      <c r="O1405">
        <f>G1405&lt;=$T$12</f>
        <v/>
      </c>
      <c r="P1405">
        <f>OR(AND(H1405&gt;=$T$4,K1405&lt;=$T$5,N1405),M1405)</f>
        <v/>
      </c>
      <c r="Q1405">
        <f>OR(AND(I1405&gt;=$T$10,K1405&lt;=$T$11,O1405),M1405)</f>
        <v/>
      </c>
    </row>
    <row r="1406">
      <c r="A1406">
        <f>Data!E1475</f>
        <v/>
      </c>
      <c r="B1406">
        <f>Data!G1475</f>
        <v/>
      </c>
      <c r="C1406">
        <f>Data!H1475</f>
        <v/>
      </c>
      <c r="D1406">
        <f>Data!I1475</f>
        <v/>
      </c>
      <c r="E1406">
        <f>Data!M1475</f>
        <v/>
      </c>
      <c r="F1406">
        <f>Data!O1475</f>
        <v/>
      </c>
      <c r="G1406">
        <f>E1406-F1406</f>
        <v/>
      </c>
      <c r="H1406">
        <f>Data!P1475</f>
        <v/>
      </c>
      <c r="I1406">
        <f>G1406+H1406</f>
        <v/>
      </c>
      <c r="J1406">
        <f>F1406+G1406+H1406</f>
        <v/>
      </c>
      <c r="K1406">
        <f>Data!R1475</f>
        <v/>
      </c>
      <c r="L1406">
        <f>Data!T1475</f>
        <v/>
      </c>
      <c r="M1406">
        <f>AND(E1406=0,F1406=0,G1406=0,H1406=0,I1406=0,J1406=0,K1406=0,L1406=0)</f>
        <v/>
      </c>
      <c r="N1406">
        <f>G1406&lt;=$T$6</f>
        <v/>
      </c>
      <c r="O1406">
        <f>G1406&lt;=$T$12</f>
        <v/>
      </c>
      <c r="P1406">
        <f>OR(AND(H1406&gt;=$T$4,K1406&lt;=$T$5,N1406),M1406)</f>
        <v/>
      </c>
      <c r="Q1406">
        <f>OR(AND(I1406&gt;=$T$10,K1406&lt;=$T$11,O1406),M1406)</f>
        <v/>
      </c>
    </row>
    <row r="1407">
      <c r="A1407">
        <f>Data!E1476</f>
        <v/>
      </c>
      <c r="B1407">
        <f>Data!G1476</f>
        <v/>
      </c>
      <c r="C1407">
        <f>Data!H1476</f>
        <v/>
      </c>
      <c r="D1407">
        <f>Data!I1476</f>
        <v/>
      </c>
      <c r="E1407">
        <f>Data!M1476</f>
        <v/>
      </c>
      <c r="F1407">
        <f>Data!O1476</f>
        <v/>
      </c>
      <c r="G1407">
        <f>E1407-F1407</f>
        <v/>
      </c>
      <c r="H1407">
        <f>Data!P1476</f>
        <v/>
      </c>
      <c r="I1407">
        <f>G1407+H1407</f>
        <v/>
      </c>
      <c r="J1407">
        <f>F1407+G1407+H1407</f>
        <v/>
      </c>
      <c r="K1407">
        <f>Data!R1476</f>
        <v/>
      </c>
      <c r="L1407">
        <f>Data!T1476</f>
        <v/>
      </c>
      <c r="M1407">
        <f>AND(E1407=0,F1407=0,G1407=0,H1407=0,I1407=0,J1407=0,K1407=0,L1407=0)</f>
        <v/>
      </c>
      <c r="N1407">
        <f>G1407&lt;=$T$6</f>
        <v/>
      </c>
      <c r="O1407">
        <f>G1407&lt;=$T$12</f>
        <v/>
      </c>
      <c r="P1407">
        <f>OR(AND(H1407&gt;=$T$4,K1407&lt;=$T$5,N1407),M1407)</f>
        <v/>
      </c>
      <c r="Q1407">
        <f>OR(AND(I1407&gt;=$T$10,K1407&lt;=$T$11,O1407),M1407)</f>
        <v/>
      </c>
    </row>
    <row r="1408">
      <c r="A1408">
        <f>Data!E1477</f>
        <v/>
      </c>
      <c r="B1408">
        <f>Data!G1477</f>
        <v/>
      </c>
      <c r="C1408">
        <f>Data!H1477</f>
        <v/>
      </c>
      <c r="D1408">
        <f>Data!I1477</f>
        <v/>
      </c>
      <c r="E1408">
        <f>Data!M1477</f>
        <v/>
      </c>
      <c r="F1408">
        <f>Data!O1477</f>
        <v/>
      </c>
      <c r="G1408">
        <f>E1408-F1408</f>
        <v/>
      </c>
      <c r="H1408">
        <f>Data!P1477</f>
        <v/>
      </c>
      <c r="I1408">
        <f>G1408+H1408</f>
        <v/>
      </c>
      <c r="J1408">
        <f>F1408+G1408+H1408</f>
        <v/>
      </c>
      <c r="K1408">
        <f>Data!R1477</f>
        <v/>
      </c>
      <c r="L1408">
        <f>Data!T1477</f>
        <v/>
      </c>
      <c r="M1408">
        <f>AND(E1408=0,F1408=0,G1408=0,H1408=0,I1408=0,J1408=0,K1408=0,L1408=0)</f>
        <v/>
      </c>
      <c r="N1408">
        <f>G1408&lt;=$T$6</f>
        <v/>
      </c>
      <c r="O1408">
        <f>G1408&lt;=$T$12</f>
        <v/>
      </c>
      <c r="P1408">
        <f>OR(AND(H1408&gt;=$T$4,K1408&lt;=$T$5,N1408),M1408)</f>
        <v/>
      </c>
      <c r="Q1408">
        <f>OR(AND(I1408&gt;=$T$10,K1408&lt;=$T$11,O1408),M1408)</f>
        <v/>
      </c>
    </row>
    <row r="1409">
      <c r="A1409">
        <f>Data!E1478</f>
        <v/>
      </c>
      <c r="B1409">
        <f>Data!G1478</f>
        <v/>
      </c>
      <c r="C1409">
        <f>Data!H1478</f>
        <v/>
      </c>
      <c r="D1409">
        <f>Data!I1478</f>
        <v/>
      </c>
      <c r="E1409">
        <f>Data!M1478</f>
        <v/>
      </c>
      <c r="F1409">
        <f>Data!O1478</f>
        <v/>
      </c>
      <c r="G1409">
        <f>E1409-F1409</f>
        <v/>
      </c>
      <c r="H1409">
        <f>Data!P1478</f>
        <v/>
      </c>
      <c r="I1409">
        <f>G1409+H1409</f>
        <v/>
      </c>
      <c r="J1409">
        <f>F1409+G1409+H1409</f>
        <v/>
      </c>
      <c r="K1409">
        <f>Data!R1478</f>
        <v/>
      </c>
      <c r="L1409">
        <f>Data!T1478</f>
        <v/>
      </c>
      <c r="M1409">
        <f>AND(E1409=0,F1409=0,G1409=0,H1409=0,I1409=0,J1409=0,K1409=0,L1409=0)</f>
        <v/>
      </c>
      <c r="N1409">
        <f>G1409&lt;=$T$6</f>
        <v/>
      </c>
      <c r="O1409">
        <f>G1409&lt;=$T$12</f>
        <v/>
      </c>
      <c r="P1409">
        <f>OR(AND(H1409&gt;=$T$4,K1409&lt;=$T$5,N1409),M1409)</f>
        <v/>
      </c>
      <c r="Q1409">
        <f>OR(AND(I1409&gt;=$T$10,K1409&lt;=$T$11,O1409),M1409)</f>
        <v/>
      </c>
    </row>
    <row r="1410">
      <c r="A1410">
        <f>Data!E1479</f>
        <v/>
      </c>
      <c r="B1410">
        <f>Data!G1479</f>
        <v/>
      </c>
      <c r="C1410">
        <f>Data!H1479</f>
        <v/>
      </c>
      <c r="D1410">
        <f>Data!I1479</f>
        <v/>
      </c>
      <c r="E1410">
        <f>Data!M1479</f>
        <v/>
      </c>
      <c r="F1410">
        <f>Data!O1479</f>
        <v/>
      </c>
      <c r="G1410">
        <f>E1410-F1410</f>
        <v/>
      </c>
      <c r="H1410">
        <f>Data!P1479</f>
        <v/>
      </c>
      <c r="I1410">
        <f>G1410+H1410</f>
        <v/>
      </c>
      <c r="J1410">
        <f>F1410+G1410+H1410</f>
        <v/>
      </c>
      <c r="K1410">
        <f>Data!R1479</f>
        <v/>
      </c>
      <c r="L1410">
        <f>Data!T1479</f>
        <v/>
      </c>
      <c r="M1410">
        <f>AND(E1410=0,F1410=0,G1410=0,H1410=0,I1410=0,J1410=0,K1410=0,L1410=0)</f>
        <v/>
      </c>
      <c r="N1410">
        <f>G1410&lt;=$T$6</f>
        <v/>
      </c>
      <c r="O1410">
        <f>G1410&lt;=$T$12</f>
        <v/>
      </c>
      <c r="P1410">
        <f>OR(AND(H1410&gt;=$T$4,K1410&lt;=$T$5,N1410),M1410)</f>
        <v/>
      </c>
      <c r="Q1410">
        <f>OR(AND(I1410&gt;=$T$10,K1410&lt;=$T$11,O1410),M1410)</f>
        <v/>
      </c>
    </row>
    <row r="1411">
      <c r="A1411">
        <f>Data!E1480</f>
        <v/>
      </c>
      <c r="B1411">
        <f>Data!G1480</f>
        <v/>
      </c>
      <c r="C1411">
        <f>Data!H1480</f>
        <v/>
      </c>
      <c r="D1411">
        <f>Data!I1480</f>
        <v/>
      </c>
      <c r="E1411">
        <f>Data!M1480</f>
        <v/>
      </c>
      <c r="F1411">
        <f>Data!O1480</f>
        <v/>
      </c>
      <c r="G1411">
        <f>E1411-F1411</f>
        <v/>
      </c>
      <c r="H1411">
        <f>Data!P1480</f>
        <v/>
      </c>
      <c r="I1411">
        <f>G1411+H1411</f>
        <v/>
      </c>
      <c r="J1411">
        <f>F1411+G1411+H1411</f>
        <v/>
      </c>
      <c r="K1411">
        <f>Data!R1480</f>
        <v/>
      </c>
      <c r="L1411">
        <f>Data!T1480</f>
        <v/>
      </c>
      <c r="M1411">
        <f>AND(E1411=0,F1411=0,G1411=0,H1411=0,I1411=0,J1411=0,K1411=0,L1411=0)</f>
        <v/>
      </c>
      <c r="N1411">
        <f>G1411&lt;=$T$6</f>
        <v/>
      </c>
      <c r="O1411">
        <f>G1411&lt;=$T$12</f>
        <v/>
      </c>
      <c r="P1411">
        <f>OR(AND(H1411&gt;=$T$4,K1411&lt;=$T$5,N1411),M1411)</f>
        <v/>
      </c>
      <c r="Q1411">
        <f>OR(AND(I1411&gt;=$T$10,K1411&lt;=$T$11,O1411),M1411)</f>
        <v/>
      </c>
    </row>
    <row r="1412">
      <c r="A1412">
        <f>Data!E1481</f>
        <v/>
      </c>
      <c r="B1412">
        <f>Data!G1481</f>
        <v/>
      </c>
      <c r="C1412">
        <f>Data!H1481</f>
        <v/>
      </c>
      <c r="D1412">
        <f>Data!I1481</f>
        <v/>
      </c>
      <c r="E1412">
        <f>Data!M1481</f>
        <v/>
      </c>
      <c r="F1412">
        <f>Data!O1481</f>
        <v/>
      </c>
      <c r="G1412">
        <f>E1412-F1412</f>
        <v/>
      </c>
      <c r="H1412">
        <f>Data!P1481</f>
        <v/>
      </c>
      <c r="I1412">
        <f>G1412+H1412</f>
        <v/>
      </c>
      <c r="J1412">
        <f>F1412+G1412+H1412</f>
        <v/>
      </c>
      <c r="K1412">
        <f>Data!R1481</f>
        <v/>
      </c>
      <c r="L1412">
        <f>Data!T1481</f>
        <v/>
      </c>
      <c r="M1412">
        <f>AND(E1412=0,F1412=0,G1412=0,H1412=0,I1412=0,J1412=0,K1412=0,L1412=0)</f>
        <v/>
      </c>
      <c r="N1412">
        <f>G1412&lt;=$T$6</f>
        <v/>
      </c>
      <c r="O1412">
        <f>G1412&lt;=$T$12</f>
        <v/>
      </c>
      <c r="P1412">
        <f>OR(AND(H1412&gt;=$T$4,K1412&lt;=$T$5,N1412),M1412)</f>
        <v/>
      </c>
      <c r="Q1412">
        <f>OR(AND(I1412&gt;=$T$10,K1412&lt;=$T$11,O1412),M1412)</f>
        <v/>
      </c>
    </row>
    <row r="1413">
      <c r="A1413">
        <f>Data!E1482</f>
        <v/>
      </c>
      <c r="B1413">
        <f>Data!G1482</f>
        <v/>
      </c>
      <c r="C1413">
        <f>Data!H1482</f>
        <v/>
      </c>
      <c r="D1413">
        <f>Data!I1482</f>
        <v/>
      </c>
      <c r="E1413">
        <f>Data!M1482</f>
        <v/>
      </c>
      <c r="F1413">
        <f>Data!O1482</f>
        <v/>
      </c>
      <c r="G1413">
        <f>E1413-F1413</f>
        <v/>
      </c>
      <c r="H1413">
        <f>Data!P1482</f>
        <v/>
      </c>
      <c r="I1413">
        <f>G1413+H1413</f>
        <v/>
      </c>
      <c r="J1413">
        <f>F1413+G1413+H1413</f>
        <v/>
      </c>
      <c r="K1413">
        <f>Data!R1482</f>
        <v/>
      </c>
      <c r="L1413">
        <f>Data!T1482</f>
        <v/>
      </c>
      <c r="M1413">
        <f>AND(E1413=0,F1413=0,G1413=0,H1413=0,I1413=0,J1413=0,K1413=0,L1413=0)</f>
        <v/>
      </c>
      <c r="N1413">
        <f>G1413&lt;=$T$6</f>
        <v/>
      </c>
      <c r="O1413">
        <f>G1413&lt;=$T$12</f>
        <v/>
      </c>
      <c r="P1413">
        <f>OR(AND(H1413&gt;=$T$4,K1413&lt;=$T$5,N1413),M1413)</f>
        <v/>
      </c>
      <c r="Q1413">
        <f>OR(AND(I1413&gt;=$T$10,K1413&lt;=$T$11,O1413),M1413)</f>
        <v/>
      </c>
    </row>
    <row r="1414">
      <c r="A1414">
        <f>Data!E1483</f>
        <v/>
      </c>
      <c r="B1414">
        <f>Data!G1483</f>
        <v/>
      </c>
      <c r="C1414">
        <f>Data!H1483</f>
        <v/>
      </c>
      <c r="D1414">
        <f>Data!I1483</f>
        <v/>
      </c>
      <c r="E1414">
        <f>Data!M1483</f>
        <v/>
      </c>
      <c r="F1414">
        <f>Data!O1483</f>
        <v/>
      </c>
      <c r="G1414">
        <f>E1414-F1414</f>
        <v/>
      </c>
      <c r="H1414">
        <f>Data!P1483</f>
        <v/>
      </c>
      <c r="I1414">
        <f>G1414+H1414</f>
        <v/>
      </c>
      <c r="J1414">
        <f>F1414+G1414+H1414</f>
        <v/>
      </c>
      <c r="K1414">
        <f>Data!R1483</f>
        <v/>
      </c>
      <c r="L1414">
        <f>Data!T1483</f>
        <v/>
      </c>
      <c r="M1414">
        <f>AND(E1414=0,F1414=0,G1414=0,H1414=0,I1414=0,J1414=0,K1414=0,L1414=0)</f>
        <v/>
      </c>
      <c r="N1414">
        <f>G1414&lt;=$T$6</f>
        <v/>
      </c>
      <c r="O1414">
        <f>G1414&lt;=$T$12</f>
        <v/>
      </c>
      <c r="P1414">
        <f>OR(AND(H1414&gt;=$T$4,K1414&lt;=$T$5,N1414),M1414)</f>
        <v/>
      </c>
      <c r="Q1414">
        <f>OR(AND(I1414&gt;=$T$10,K1414&lt;=$T$11,O1414),M1414)</f>
        <v/>
      </c>
    </row>
    <row r="1415">
      <c r="A1415">
        <f>Data!E1484</f>
        <v/>
      </c>
      <c r="B1415">
        <f>Data!G1484</f>
        <v/>
      </c>
      <c r="C1415">
        <f>Data!H1484</f>
        <v/>
      </c>
      <c r="D1415">
        <f>Data!I1484</f>
        <v/>
      </c>
      <c r="E1415">
        <f>Data!M1484</f>
        <v/>
      </c>
      <c r="F1415">
        <f>Data!O1484</f>
        <v/>
      </c>
      <c r="G1415">
        <f>E1415-F1415</f>
        <v/>
      </c>
      <c r="H1415">
        <f>Data!P1484</f>
        <v/>
      </c>
      <c r="I1415">
        <f>G1415+H1415</f>
        <v/>
      </c>
      <c r="J1415">
        <f>F1415+G1415+H1415</f>
        <v/>
      </c>
      <c r="K1415">
        <f>Data!R1484</f>
        <v/>
      </c>
      <c r="L1415">
        <f>Data!T1484</f>
        <v/>
      </c>
      <c r="M1415">
        <f>AND(E1415=0,F1415=0,G1415=0,H1415=0,I1415=0,J1415=0,K1415=0,L1415=0)</f>
        <v/>
      </c>
      <c r="N1415">
        <f>G1415&lt;=$T$6</f>
        <v/>
      </c>
      <c r="O1415">
        <f>G1415&lt;=$T$12</f>
        <v/>
      </c>
      <c r="P1415">
        <f>OR(AND(H1415&gt;=$T$4,K1415&lt;=$T$5,N1415),M1415)</f>
        <v/>
      </c>
      <c r="Q1415">
        <f>OR(AND(I1415&gt;=$T$10,K1415&lt;=$T$11,O1415),M1415)</f>
        <v/>
      </c>
    </row>
    <row r="1416">
      <c r="A1416">
        <f>Data!E1485</f>
        <v/>
      </c>
      <c r="B1416">
        <f>Data!G1485</f>
        <v/>
      </c>
      <c r="C1416">
        <f>Data!H1485</f>
        <v/>
      </c>
      <c r="D1416">
        <f>Data!I1485</f>
        <v/>
      </c>
      <c r="E1416">
        <f>Data!M1485</f>
        <v/>
      </c>
      <c r="F1416">
        <f>Data!O1485</f>
        <v/>
      </c>
      <c r="G1416">
        <f>E1416-F1416</f>
        <v/>
      </c>
      <c r="H1416">
        <f>Data!P1485</f>
        <v/>
      </c>
      <c r="I1416">
        <f>G1416+H1416</f>
        <v/>
      </c>
      <c r="J1416">
        <f>F1416+G1416+H1416</f>
        <v/>
      </c>
      <c r="K1416">
        <f>Data!R1485</f>
        <v/>
      </c>
      <c r="L1416">
        <f>Data!T1485</f>
        <v/>
      </c>
      <c r="M1416">
        <f>AND(E1416=0,F1416=0,G1416=0,H1416=0,I1416=0,J1416=0,K1416=0,L1416=0)</f>
        <v/>
      </c>
      <c r="N1416">
        <f>G1416&lt;=$T$6</f>
        <v/>
      </c>
      <c r="O1416">
        <f>G1416&lt;=$T$12</f>
        <v/>
      </c>
      <c r="P1416">
        <f>OR(AND(H1416&gt;=$T$4,K1416&lt;=$T$5,N1416),M1416)</f>
        <v/>
      </c>
      <c r="Q1416">
        <f>OR(AND(I1416&gt;=$T$10,K1416&lt;=$T$11,O1416),M1416)</f>
        <v/>
      </c>
    </row>
    <row r="1417">
      <c r="A1417">
        <f>Data!E1486</f>
        <v/>
      </c>
      <c r="B1417">
        <f>Data!G1486</f>
        <v/>
      </c>
      <c r="C1417">
        <f>Data!H1486</f>
        <v/>
      </c>
      <c r="D1417">
        <f>Data!I1486</f>
        <v/>
      </c>
      <c r="E1417">
        <f>Data!M1486</f>
        <v/>
      </c>
      <c r="F1417">
        <f>Data!O1486</f>
        <v/>
      </c>
      <c r="G1417">
        <f>E1417-F1417</f>
        <v/>
      </c>
      <c r="H1417">
        <f>Data!P1486</f>
        <v/>
      </c>
      <c r="I1417">
        <f>G1417+H1417</f>
        <v/>
      </c>
      <c r="J1417">
        <f>F1417+G1417+H1417</f>
        <v/>
      </c>
      <c r="K1417">
        <f>Data!R1486</f>
        <v/>
      </c>
      <c r="L1417">
        <f>Data!T1486</f>
        <v/>
      </c>
      <c r="M1417">
        <f>AND(E1417=0,F1417=0,G1417=0,H1417=0,I1417=0,J1417=0,K1417=0,L1417=0)</f>
        <v/>
      </c>
      <c r="N1417">
        <f>G1417&lt;=$T$6</f>
        <v/>
      </c>
      <c r="O1417">
        <f>G1417&lt;=$T$12</f>
        <v/>
      </c>
      <c r="P1417">
        <f>OR(AND(H1417&gt;=$T$4,K1417&lt;=$T$5,N1417),M1417)</f>
        <v/>
      </c>
      <c r="Q1417">
        <f>OR(AND(I1417&gt;=$T$10,K1417&lt;=$T$11,O1417),M1417)</f>
        <v/>
      </c>
    </row>
    <row r="1418">
      <c r="A1418">
        <f>Data!E1487</f>
        <v/>
      </c>
      <c r="B1418">
        <f>Data!G1487</f>
        <v/>
      </c>
      <c r="C1418">
        <f>Data!H1487</f>
        <v/>
      </c>
      <c r="D1418">
        <f>Data!I1487</f>
        <v/>
      </c>
      <c r="E1418">
        <f>Data!M1487</f>
        <v/>
      </c>
      <c r="F1418">
        <f>Data!O1487</f>
        <v/>
      </c>
      <c r="G1418">
        <f>E1418-F1418</f>
        <v/>
      </c>
      <c r="H1418">
        <f>Data!P1487</f>
        <v/>
      </c>
      <c r="I1418">
        <f>G1418+H1418</f>
        <v/>
      </c>
      <c r="J1418">
        <f>F1418+G1418+H1418</f>
        <v/>
      </c>
      <c r="K1418">
        <f>Data!R1487</f>
        <v/>
      </c>
      <c r="L1418">
        <f>Data!T1487</f>
        <v/>
      </c>
      <c r="M1418">
        <f>AND(E1418=0,F1418=0,G1418=0,H1418=0,I1418=0,J1418=0,K1418=0,L1418=0)</f>
        <v/>
      </c>
      <c r="N1418">
        <f>G1418&lt;=$T$6</f>
        <v/>
      </c>
      <c r="O1418">
        <f>G1418&lt;=$T$12</f>
        <v/>
      </c>
      <c r="P1418">
        <f>OR(AND(H1418&gt;=$T$4,K1418&lt;=$T$5,N1418),M1418)</f>
        <v/>
      </c>
      <c r="Q1418">
        <f>OR(AND(I1418&gt;=$T$10,K1418&lt;=$T$11,O1418),M1418)</f>
        <v/>
      </c>
    </row>
    <row r="1419">
      <c r="A1419">
        <f>Data!E1488</f>
        <v/>
      </c>
      <c r="B1419">
        <f>Data!G1488</f>
        <v/>
      </c>
      <c r="C1419">
        <f>Data!H1488</f>
        <v/>
      </c>
      <c r="D1419">
        <f>Data!I1488</f>
        <v/>
      </c>
      <c r="E1419">
        <f>Data!M1488</f>
        <v/>
      </c>
      <c r="F1419">
        <f>Data!O1488</f>
        <v/>
      </c>
      <c r="G1419">
        <f>E1419-F1419</f>
        <v/>
      </c>
      <c r="H1419">
        <f>Data!P1488</f>
        <v/>
      </c>
      <c r="I1419">
        <f>G1419+H1419</f>
        <v/>
      </c>
      <c r="J1419">
        <f>F1419+G1419+H1419</f>
        <v/>
      </c>
      <c r="K1419">
        <f>Data!R1488</f>
        <v/>
      </c>
      <c r="L1419">
        <f>Data!T1488</f>
        <v/>
      </c>
      <c r="M1419">
        <f>AND(E1419=0,F1419=0,G1419=0,H1419=0,I1419=0,J1419=0,K1419=0,L1419=0)</f>
        <v/>
      </c>
      <c r="N1419">
        <f>G1419&lt;=$T$6</f>
        <v/>
      </c>
      <c r="O1419">
        <f>G1419&lt;=$T$12</f>
        <v/>
      </c>
      <c r="P1419">
        <f>OR(AND(H1419&gt;=$T$4,K1419&lt;=$T$5,N1419),M1419)</f>
        <v/>
      </c>
      <c r="Q1419">
        <f>OR(AND(I1419&gt;=$T$10,K1419&lt;=$T$11,O1419),M1419)</f>
        <v/>
      </c>
    </row>
    <row r="1420">
      <c r="A1420">
        <f>Data!E1489</f>
        <v/>
      </c>
      <c r="B1420">
        <f>Data!G1489</f>
        <v/>
      </c>
      <c r="C1420">
        <f>Data!H1489</f>
        <v/>
      </c>
      <c r="D1420">
        <f>Data!I1489</f>
        <v/>
      </c>
      <c r="E1420">
        <f>Data!M1489</f>
        <v/>
      </c>
      <c r="F1420">
        <f>Data!O1489</f>
        <v/>
      </c>
      <c r="G1420">
        <f>E1420-F1420</f>
        <v/>
      </c>
      <c r="H1420">
        <f>Data!P1489</f>
        <v/>
      </c>
      <c r="I1420">
        <f>G1420+H1420</f>
        <v/>
      </c>
      <c r="J1420">
        <f>F1420+G1420+H1420</f>
        <v/>
      </c>
      <c r="K1420">
        <f>Data!R1489</f>
        <v/>
      </c>
      <c r="L1420">
        <f>Data!T1489</f>
        <v/>
      </c>
      <c r="M1420">
        <f>AND(E1420=0,F1420=0,G1420=0,H1420=0,I1420=0,J1420=0,K1420=0,L1420=0)</f>
        <v/>
      </c>
      <c r="N1420">
        <f>G1420&lt;=$T$6</f>
        <v/>
      </c>
      <c r="O1420">
        <f>G1420&lt;=$T$12</f>
        <v/>
      </c>
      <c r="P1420">
        <f>OR(AND(H1420&gt;=$T$4,K1420&lt;=$T$5,N1420),M1420)</f>
        <v/>
      </c>
      <c r="Q1420">
        <f>OR(AND(I1420&gt;=$T$10,K1420&lt;=$T$11,O1420),M1420)</f>
        <v/>
      </c>
    </row>
    <row r="1421">
      <c r="A1421">
        <f>Data!E1490</f>
        <v/>
      </c>
      <c r="B1421">
        <f>Data!G1490</f>
        <v/>
      </c>
      <c r="C1421">
        <f>Data!H1490</f>
        <v/>
      </c>
      <c r="D1421">
        <f>Data!I1490</f>
        <v/>
      </c>
      <c r="E1421">
        <f>Data!M1490</f>
        <v/>
      </c>
      <c r="F1421">
        <f>Data!O1490</f>
        <v/>
      </c>
      <c r="G1421">
        <f>E1421-F1421</f>
        <v/>
      </c>
      <c r="H1421">
        <f>Data!P1490</f>
        <v/>
      </c>
      <c r="I1421">
        <f>G1421+H1421</f>
        <v/>
      </c>
      <c r="J1421">
        <f>F1421+G1421+H1421</f>
        <v/>
      </c>
      <c r="K1421">
        <f>Data!R1490</f>
        <v/>
      </c>
      <c r="L1421">
        <f>Data!T1490</f>
        <v/>
      </c>
      <c r="M1421">
        <f>AND(E1421=0,F1421=0,G1421=0,H1421=0,I1421=0,J1421=0,K1421=0,L1421=0)</f>
        <v/>
      </c>
      <c r="N1421">
        <f>G1421&lt;=$T$6</f>
        <v/>
      </c>
      <c r="O1421">
        <f>G1421&lt;=$T$12</f>
        <v/>
      </c>
      <c r="P1421">
        <f>OR(AND(H1421&gt;=$T$4,K1421&lt;=$T$5,N1421),M1421)</f>
        <v/>
      </c>
      <c r="Q1421">
        <f>OR(AND(I1421&gt;=$T$10,K1421&lt;=$T$11,O1421),M1421)</f>
        <v/>
      </c>
    </row>
    <row r="1422">
      <c r="A1422">
        <f>Data!E1491</f>
        <v/>
      </c>
      <c r="B1422">
        <f>Data!G1491</f>
        <v/>
      </c>
      <c r="C1422">
        <f>Data!H1491</f>
        <v/>
      </c>
      <c r="D1422">
        <f>Data!I1491</f>
        <v/>
      </c>
      <c r="E1422">
        <f>Data!M1491</f>
        <v/>
      </c>
      <c r="F1422">
        <f>Data!O1491</f>
        <v/>
      </c>
      <c r="G1422">
        <f>E1422-F1422</f>
        <v/>
      </c>
      <c r="H1422">
        <f>Data!P1491</f>
        <v/>
      </c>
      <c r="I1422">
        <f>G1422+H1422</f>
        <v/>
      </c>
      <c r="J1422">
        <f>F1422+G1422+H1422</f>
        <v/>
      </c>
      <c r="K1422">
        <f>Data!R1491</f>
        <v/>
      </c>
      <c r="L1422">
        <f>Data!T1491</f>
        <v/>
      </c>
      <c r="M1422">
        <f>AND(E1422=0,F1422=0,G1422=0,H1422=0,I1422=0,J1422=0,K1422=0,L1422=0)</f>
        <v/>
      </c>
      <c r="N1422">
        <f>G1422&lt;=$T$6</f>
        <v/>
      </c>
      <c r="O1422">
        <f>G1422&lt;=$T$12</f>
        <v/>
      </c>
      <c r="P1422">
        <f>OR(AND(H1422&gt;=$T$4,K1422&lt;=$T$5,N1422),M1422)</f>
        <v/>
      </c>
      <c r="Q1422">
        <f>OR(AND(I1422&gt;=$T$10,K1422&lt;=$T$11,O1422),M1422)</f>
        <v/>
      </c>
    </row>
    <row r="1423">
      <c r="A1423">
        <f>Data!E1492</f>
        <v/>
      </c>
      <c r="B1423">
        <f>Data!G1492</f>
        <v/>
      </c>
      <c r="C1423">
        <f>Data!H1492</f>
        <v/>
      </c>
      <c r="D1423">
        <f>Data!I1492</f>
        <v/>
      </c>
      <c r="E1423">
        <f>Data!M1492</f>
        <v/>
      </c>
      <c r="F1423">
        <f>Data!O1492</f>
        <v/>
      </c>
      <c r="G1423">
        <f>E1423-F1423</f>
        <v/>
      </c>
      <c r="H1423">
        <f>Data!P1492</f>
        <v/>
      </c>
      <c r="I1423">
        <f>G1423+H1423</f>
        <v/>
      </c>
      <c r="J1423">
        <f>F1423+G1423+H1423</f>
        <v/>
      </c>
      <c r="K1423">
        <f>Data!R1492</f>
        <v/>
      </c>
      <c r="L1423">
        <f>Data!T1492</f>
        <v/>
      </c>
      <c r="M1423">
        <f>AND(E1423=0,F1423=0,G1423=0,H1423=0,I1423=0,J1423=0,K1423=0,L1423=0)</f>
        <v/>
      </c>
      <c r="N1423">
        <f>G1423&lt;=$T$6</f>
        <v/>
      </c>
      <c r="O1423">
        <f>G1423&lt;=$T$12</f>
        <v/>
      </c>
      <c r="P1423">
        <f>OR(AND(H1423&gt;=$T$4,K1423&lt;=$T$5,N1423),M1423)</f>
        <v/>
      </c>
      <c r="Q1423">
        <f>OR(AND(I1423&gt;=$T$10,K1423&lt;=$T$11,O1423),M1423)</f>
        <v/>
      </c>
    </row>
    <row r="1424">
      <c r="A1424">
        <f>Data!E1493</f>
        <v/>
      </c>
      <c r="B1424">
        <f>Data!G1493</f>
        <v/>
      </c>
      <c r="C1424">
        <f>Data!H1493</f>
        <v/>
      </c>
      <c r="D1424">
        <f>Data!I1493</f>
        <v/>
      </c>
      <c r="E1424">
        <f>Data!M1493</f>
        <v/>
      </c>
      <c r="F1424">
        <f>Data!O1493</f>
        <v/>
      </c>
      <c r="G1424">
        <f>E1424-F1424</f>
        <v/>
      </c>
      <c r="H1424">
        <f>Data!P1493</f>
        <v/>
      </c>
      <c r="I1424">
        <f>G1424+H1424</f>
        <v/>
      </c>
      <c r="J1424">
        <f>F1424+G1424+H1424</f>
        <v/>
      </c>
      <c r="K1424">
        <f>Data!R1493</f>
        <v/>
      </c>
      <c r="L1424">
        <f>Data!T1493</f>
        <v/>
      </c>
      <c r="M1424">
        <f>AND(E1424=0,F1424=0,G1424=0,H1424=0,I1424=0,J1424=0,K1424=0,L1424=0)</f>
        <v/>
      </c>
      <c r="N1424">
        <f>G1424&lt;=$T$6</f>
        <v/>
      </c>
      <c r="O1424">
        <f>G1424&lt;=$T$12</f>
        <v/>
      </c>
      <c r="P1424">
        <f>OR(AND(H1424&gt;=$T$4,K1424&lt;=$T$5,N1424),M1424)</f>
        <v/>
      </c>
      <c r="Q1424">
        <f>OR(AND(I1424&gt;=$T$10,K1424&lt;=$T$11,O1424),M1424)</f>
        <v/>
      </c>
    </row>
    <row r="1425">
      <c r="A1425">
        <f>Data!E1494</f>
        <v/>
      </c>
      <c r="B1425">
        <f>Data!G1494</f>
        <v/>
      </c>
      <c r="C1425">
        <f>Data!H1494</f>
        <v/>
      </c>
      <c r="D1425">
        <f>Data!I1494</f>
        <v/>
      </c>
      <c r="E1425">
        <f>Data!M1494</f>
        <v/>
      </c>
      <c r="F1425">
        <f>Data!O1494</f>
        <v/>
      </c>
      <c r="G1425">
        <f>E1425-F1425</f>
        <v/>
      </c>
      <c r="H1425">
        <f>Data!P1494</f>
        <v/>
      </c>
      <c r="I1425">
        <f>G1425+H1425</f>
        <v/>
      </c>
      <c r="J1425">
        <f>F1425+G1425+H1425</f>
        <v/>
      </c>
      <c r="K1425">
        <f>Data!R1494</f>
        <v/>
      </c>
      <c r="L1425">
        <f>Data!T1494</f>
        <v/>
      </c>
      <c r="M1425">
        <f>AND(E1425=0,F1425=0,G1425=0,H1425=0,I1425=0,J1425=0,K1425=0,L1425=0)</f>
        <v/>
      </c>
      <c r="N1425">
        <f>G1425&lt;=$T$6</f>
        <v/>
      </c>
      <c r="O1425">
        <f>G1425&lt;=$T$12</f>
        <v/>
      </c>
      <c r="P1425">
        <f>OR(AND(H1425&gt;=$T$4,K1425&lt;=$T$5,N1425),M1425)</f>
        <v/>
      </c>
      <c r="Q1425">
        <f>OR(AND(I1425&gt;=$T$10,K1425&lt;=$T$11,O1425),M1425)</f>
        <v/>
      </c>
    </row>
    <row r="1426">
      <c r="A1426">
        <f>Data!E1495</f>
        <v/>
      </c>
      <c r="B1426">
        <f>Data!G1495</f>
        <v/>
      </c>
      <c r="C1426">
        <f>Data!H1495</f>
        <v/>
      </c>
      <c r="D1426">
        <f>Data!I1495</f>
        <v/>
      </c>
      <c r="E1426">
        <f>Data!M1495</f>
        <v/>
      </c>
      <c r="F1426">
        <f>Data!O1495</f>
        <v/>
      </c>
      <c r="G1426">
        <f>E1426-F1426</f>
        <v/>
      </c>
      <c r="H1426">
        <f>Data!P1495</f>
        <v/>
      </c>
      <c r="I1426">
        <f>G1426+H1426</f>
        <v/>
      </c>
      <c r="J1426">
        <f>F1426+G1426+H1426</f>
        <v/>
      </c>
      <c r="K1426">
        <f>Data!R1495</f>
        <v/>
      </c>
      <c r="L1426">
        <f>Data!T1495</f>
        <v/>
      </c>
      <c r="M1426">
        <f>AND(E1426=0,F1426=0,G1426=0,H1426=0,I1426=0,J1426=0,K1426=0,L1426=0)</f>
        <v/>
      </c>
      <c r="N1426">
        <f>G1426&lt;=$T$6</f>
        <v/>
      </c>
      <c r="O1426">
        <f>G1426&lt;=$T$12</f>
        <v/>
      </c>
      <c r="P1426">
        <f>OR(AND(H1426&gt;=$T$4,K1426&lt;=$T$5,N1426),M1426)</f>
        <v/>
      </c>
      <c r="Q1426">
        <f>OR(AND(I1426&gt;=$T$10,K1426&lt;=$T$11,O1426),M1426)</f>
        <v/>
      </c>
    </row>
    <row r="1427">
      <c r="A1427">
        <f>Data!E1496</f>
        <v/>
      </c>
      <c r="B1427">
        <f>Data!G1496</f>
        <v/>
      </c>
      <c r="C1427">
        <f>Data!H1496</f>
        <v/>
      </c>
      <c r="D1427">
        <f>Data!I1496</f>
        <v/>
      </c>
      <c r="E1427">
        <f>Data!M1496</f>
        <v/>
      </c>
      <c r="F1427">
        <f>Data!O1496</f>
        <v/>
      </c>
      <c r="G1427">
        <f>E1427-F1427</f>
        <v/>
      </c>
      <c r="H1427">
        <f>Data!P1496</f>
        <v/>
      </c>
      <c r="I1427">
        <f>G1427+H1427</f>
        <v/>
      </c>
      <c r="J1427">
        <f>F1427+G1427+H1427</f>
        <v/>
      </c>
      <c r="K1427">
        <f>Data!R1496</f>
        <v/>
      </c>
      <c r="L1427">
        <f>Data!T1496</f>
        <v/>
      </c>
      <c r="M1427">
        <f>AND(E1427=0,F1427=0,G1427=0,H1427=0,I1427=0,J1427=0,K1427=0,L1427=0)</f>
        <v/>
      </c>
      <c r="N1427">
        <f>G1427&lt;=$T$6</f>
        <v/>
      </c>
      <c r="O1427">
        <f>G1427&lt;=$T$12</f>
        <v/>
      </c>
      <c r="P1427">
        <f>OR(AND(H1427&gt;=$T$4,K1427&lt;=$T$5,N1427),M1427)</f>
        <v/>
      </c>
      <c r="Q1427">
        <f>OR(AND(I1427&gt;=$T$10,K1427&lt;=$T$11,O1427),M1427)</f>
        <v/>
      </c>
    </row>
    <row r="1428">
      <c r="A1428">
        <f>Data!E1497</f>
        <v/>
      </c>
      <c r="B1428">
        <f>Data!G1497</f>
        <v/>
      </c>
      <c r="C1428">
        <f>Data!H1497</f>
        <v/>
      </c>
      <c r="D1428">
        <f>Data!I1497</f>
        <v/>
      </c>
      <c r="E1428">
        <f>Data!M1497</f>
        <v/>
      </c>
      <c r="F1428">
        <f>Data!O1497</f>
        <v/>
      </c>
      <c r="G1428">
        <f>E1428-F1428</f>
        <v/>
      </c>
      <c r="H1428">
        <f>Data!P1497</f>
        <v/>
      </c>
      <c r="I1428">
        <f>G1428+H1428</f>
        <v/>
      </c>
      <c r="J1428">
        <f>F1428+G1428+H1428</f>
        <v/>
      </c>
      <c r="K1428">
        <f>Data!R1497</f>
        <v/>
      </c>
      <c r="L1428">
        <f>Data!T1497</f>
        <v/>
      </c>
      <c r="M1428">
        <f>AND(E1428=0,F1428=0,G1428=0,H1428=0,I1428=0,J1428=0,K1428=0,L1428=0)</f>
        <v/>
      </c>
      <c r="N1428">
        <f>G1428&lt;=$T$6</f>
        <v/>
      </c>
      <c r="O1428">
        <f>G1428&lt;=$T$12</f>
        <v/>
      </c>
      <c r="P1428">
        <f>OR(AND(H1428&gt;=$T$4,K1428&lt;=$T$5,N1428),M1428)</f>
        <v/>
      </c>
      <c r="Q1428">
        <f>OR(AND(I1428&gt;=$T$10,K1428&lt;=$T$11,O1428),M1428)</f>
        <v/>
      </c>
    </row>
    <row r="1429">
      <c r="A1429">
        <f>Data!E1498</f>
        <v/>
      </c>
      <c r="B1429">
        <f>Data!G1498</f>
        <v/>
      </c>
      <c r="C1429">
        <f>Data!H1498</f>
        <v/>
      </c>
      <c r="D1429">
        <f>Data!I1498</f>
        <v/>
      </c>
      <c r="E1429">
        <f>Data!M1498</f>
        <v/>
      </c>
      <c r="F1429">
        <f>Data!O1498</f>
        <v/>
      </c>
      <c r="G1429">
        <f>E1429-F1429</f>
        <v/>
      </c>
      <c r="H1429">
        <f>Data!P1498</f>
        <v/>
      </c>
      <c r="I1429">
        <f>G1429+H1429</f>
        <v/>
      </c>
      <c r="J1429">
        <f>F1429+G1429+H1429</f>
        <v/>
      </c>
      <c r="K1429">
        <f>Data!R1498</f>
        <v/>
      </c>
      <c r="L1429">
        <f>Data!T1498</f>
        <v/>
      </c>
      <c r="M1429">
        <f>AND(E1429=0,F1429=0,G1429=0,H1429=0,I1429=0,J1429=0,K1429=0,L1429=0)</f>
        <v/>
      </c>
      <c r="N1429">
        <f>G1429&lt;=$T$6</f>
        <v/>
      </c>
      <c r="O1429">
        <f>G1429&lt;=$T$12</f>
        <v/>
      </c>
      <c r="P1429">
        <f>OR(AND(H1429&gt;=$T$4,K1429&lt;=$T$5,N1429),M1429)</f>
        <v/>
      </c>
      <c r="Q1429">
        <f>OR(AND(I1429&gt;=$T$10,K1429&lt;=$T$11,O1429),M1429)</f>
        <v/>
      </c>
    </row>
    <row r="1430">
      <c r="A1430">
        <f>Data!E1500</f>
        <v/>
      </c>
      <c r="B1430">
        <f>Data!G1500</f>
        <v/>
      </c>
      <c r="C1430">
        <f>Data!H1500</f>
        <v/>
      </c>
      <c r="D1430">
        <f>Data!I1500</f>
        <v/>
      </c>
      <c r="E1430">
        <f>Data!M1500</f>
        <v/>
      </c>
      <c r="F1430">
        <f>Data!O1500</f>
        <v/>
      </c>
      <c r="G1430">
        <f>E1430-F1430</f>
        <v/>
      </c>
      <c r="H1430">
        <f>Data!P1500</f>
        <v/>
      </c>
      <c r="I1430">
        <f>G1430+H1430</f>
        <v/>
      </c>
      <c r="J1430">
        <f>F1430+G1430+H1430</f>
        <v/>
      </c>
      <c r="K1430">
        <f>Data!R1500</f>
        <v/>
      </c>
      <c r="L1430">
        <f>Data!T1500</f>
        <v/>
      </c>
      <c r="M1430">
        <f>AND(E1430=0,F1430=0,G1430=0,H1430=0,I1430=0,J1430=0,K1430=0,L1430=0)</f>
        <v/>
      </c>
      <c r="N1430">
        <f>G1430&lt;=$T$6</f>
        <v/>
      </c>
      <c r="O1430">
        <f>G1430&lt;=$T$12</f>
        <v/>
      </c>
      <c r="P1430">
        <f>OR(AND(H1430&gt;=$T$4,K1430&lt;=$T$5,N1430),M1430)</f>
        <v/>
      </c>
      <c r="Q1430">
        <f>OR(AND(I1430&gt;=$T$10,K1430&lt;=$T$11,O1430),M1430)</f>
        <v/>
      </c>
    </row>
    <row r="1431">
      <c r="A1431">
        <f>Data!E1501</f>
        <v/>
      </c>
      <c r="B1431">
        <f>Data!G1501</f>
        <v/>
      </c>
      <c r="C1431">
        <f>Data!H1501</f>
        <v/>
      </c>
      <c r="D1431">
        <f>Data!I1501</f>
        <v/>
      </c>
      <c r="E1431">
        <f>Data!M1501</f>
        <v/>
      </c>
      <c r="F1431">
        <f>Data!O1501</f>
        <v/>
      </c>
      <c r="G1431">
        <f>E1431-F1431</f>
        <v/>
      </c>
      <c r="H1431">
        <f>Data!P1501</f>
        <v/>
      </c>
      <c r="I1431">
        <f>G1431+H1431</f>
        <v/>
      </c>
      <c r="J1431">
        <f>F1431+G1431+H1431</f>
        <v/>
      </c>
      <c r="K1431">
        <f>Data!R1501</f>
        <v/>
      </c>
      <c r="L1431">
        <f>Data!T1501</f>
        <v/>
      </c>
      <c r="M1431">
        <f>AND(E1431=0,F1431=0,G1431=0,H1431=0,I1431=0,J1431=0,K1431=0,L1431=0)</f>
        <v/>
      </c>
      <c r="N1431">
        <f>G1431&lt;=$T$6</f>
        <v/>
      </c>
      <c r="O1431">
        <f>G1431&lt;=$T$12</f>
        <v/>
      </c>
      <c r="P1431">
        <f>OR(AND(H1431&gt;=$T$4,K1431&lt;=$T$5,N1431),M1431)</f>
        <v/>
      </c>
      <c r="Q1431">
        <f>OR(AND(I1431&gt;=$T$10,K1431&lt;=$T$11,O1431),M1431)</f>
        <v/>
      </c>
    </row>
    <row r="1432">
      <c r="A1432">
        <f>Data!E1502</f>
        <v/>
      </c>
      <c r="B1432">
        <f>Data!G1502</f>
        <v/>
      </c>
      <c r="C1432">
        <f>Data!H1502</f>
        <v/>
      </c>
      <c r="D1432">
        <f>Data!I1502</f>
        <v/>
      </c>
      <c r="E1432">
        <f>Data!M1502</f>
        <v/>
      </c>
      <c r="F1432">
        <f>Data!O1502</f>
        <v/>
      </c>
      <c r="G1432">
        <f>E1432-F1432</f>
        <v/>
      </c>
      <c r="H1432">
        <f>Data!P1502</f>
        <v/>
      </c>
      <c r="I1432">
        <f>G1432+H1432</f>
        <v/>
      </c>
      <c r="J1432">
        <f>F1432+G1432+H1432</f>
        <v/>
      </c>
      <c r="K1432">
        <f>Data!R1502</f>
        <v/>
      </c>
      <c r="L1432">
        <f>Data!T1502</f>
        <v/>
      </c>
      <c r="M1432">
        <f>AND(E1432=0,F1432=0,G1432=0,H1432=0,I1432=0,J1432=0,K1432=0,L1432=0)</f>
        <v/>
      </c>
      <c r="N1432">
        <f>G1432&lt;=$T$6</f>
        <v/>
      </c>
      <c r="O1432">
        <f>G1432&lt;=$T$12</f>
        <v/>
      </c>
      <c r="P1432">
        <f>OR(AND(H1432&gt;=$T$4,K1432&lt;=$T$5,N1432),M1432)</f>
        <v/>
      </c>
      <c r="Q1432">
        <f>OR(AND(I1432&gt;=$T$10,K1432&lt;=$T$11,O1432),M1432)</f>
        <v/>
      </c>
    </row>
    <row r="1433">
      <c r="A1433">
        <f>Data!E1503</f>
        <v/>
      </c>
      <c r="B1433">
        <f>Data!G1503</f>
        <v/>
      </c>
      <c r="C1433">
        <f>Data!H1503</f>
        <v/>
      </c>
      <c r="D1433">
        <f>Data!I1503</f>
        <v/>
      </c>
      <c r="E1433">
        <f>Data!M1503</f>
        <v/>
      </c>
      <c r="F1433">
        <f>Data!O1503</f>
        <v/>
      </c>
      <c r="G1433">
        <f>E1433-F1433</f>
        <v/>
      </c>
      <c r="H1433">
        <f>Data!P1503</f>
        <v/>
      </c>
      <c r="I1433">
        <f>G1433+H1433</f>
        <v/>
      </c>
      <c r="J1433">
        <f>F1433+G1433+H1433</f>
        <v/>
      </c>
      <c r="K1433">
        <f>Data!R1503</f>
        <v/>
      </c>
      <c r="L1433">
        <f>Data!T1503</f>
        <v/>
      </c>
      <c r="M1433">
        <f>AND(E1433=0,F1433=0,G1433=0,H1433=0,I1433=0,J1433=0,K1433=0,L1433=0)</f>
        <v/>
      </c>
      <c r="N1433">
        <f>G1433&lt;=$T$6</f>
        <v/>
      </c>
      <c r="O1433">
        <f>G1433&lt;=$T$12</f>
        <v/>
      </c>
      <c r="P1433">
        <f>OR(AND(H1433&gt;=$T$4,K1433&lt;=$T$5,N1433),M1433)</f>
        <v/>
      </c>
      <c r="Q1433">
        <f>OR(AND(I1433&gt;=$T$10,K1433&lt;=$T$11,O1433),M1433)</f>
        <v/>
      </c>
    </row>
    <row r="1434">
      <c r="A1434">
        <f>Data!E1504</f>
        <v/>
      </c>
      <c r="B1434">
        <f>Data!G1504</f>
        <v/>
      </c>
      <c r="C1434">
        <f>Data!H1504</f>
        <v/>
      </c>
      <c r="D1434">
        <f>Data!I1504</f>
        <v/>
      </c>
      <c r="E1434">
        <f>Data!M1504</f>
        <v/>
      </c>
      <c r="F1434">
        <f>Data!O1504</f>
        <v/>
      </c>
      <c r="G1434">
        <f>E1434-F1434</f>
        <v/>
      </c>
      <c r="H1434">
        <f>Data!P1504</f>
        <v/>
      </c>
      <c r="I1434">
        <f>G1434+H1434</f>
        <v/>
      </c>
      <c r="J1434">
        <f>F1434+G1434+H1434</f>
        <v/>
      </c>
      <c r="K1434">
        <f>Data!R1504</f>
        <v/>
      </c>
      <c r="L1434">
        <f>Data!T1504</f>
        <v/>
      </c>
      <c r="M1434">
        <f>AND(E1434=0,F1434=0,G1434=0,H1434=0,I1434=0,J1434=0,K1434=0,L1434=0)</f>
        <v/>
      </c>
      <c r="N1434">
        <f>G1434&lt;=$T$6</f>
        <v/>
      </c>
      <c r="O1434">
        <f>G1434&lt;=$T$12</f>
        <v/>
      </c>
      <c r="P1434">
        <f>OR(AND(H1434&gt;=$T$4,K1434&lt;=$T$5,N1434),M1434)</f>
        <v/>
      </c>
      <c r="Q1434">
        <f>OR(AND(I1434&gt;=$T$10,K1434&lt;=$T$11,O1434),M1434)</f>
        <v/>
      </c>
    </row>
    <row r="1435">
      <c r="A1435">
        <f>Data!E1505</f>
        <v/>
      </c>
      <c r="B1435">
        <f>Data!G1505</f>
        <v/>
      </c>
      <c r="C1435">
        <f>Data!H1505</f>
        <v/>
      </c>
      <c r="D1435">
        <f>Data!I1505</f>
        <v/>
      </c>
      <c r="E1435">
        <f>Data!M1505</f>
        <v/>
      </c>
      <c r="F1435">
        <f>Data!O1505</f>
        <v/>
      </c>
      <c r="G1435">
        <f>E1435-F1435</f>
        <v/>
      </c>
      <c r="H1435">
        <f>Data!P1505</f>
        <v/>
      </c>
      <c r="I1435">
        <f>G1435+H1435</f>
        <v/>
      </c>
      <c r="J1435">
        <f>F1435+G1435+H1435</f>
        <v/>
      </c>
      <c r="K1435">
        <f>Data!R1505</f>
        <v/>
      </c>
      <c r="L1435">
        <f>Data!T1505</f>
        <v/>
      </c>
      <c r="M1435">
        <f>AND(E1435=0,F1435=0,G1435=0,H1435=0,I1435=0,J1435=0,K1435=0,L1435=0)</f>
        <v/>
      </c>
      <c r="N1435">
        <f>G1435&lt;=$T$6</f>
        <v/>
      </c>
      <c r="O1435">
        <f>G1435&lt;=$T$12</f>
        <v/>
      </c>
      <c r="P1435">
        <f>OR(AND(H1435&gt;=$T$4,K1435&lt;=$T$5,N1435),M1435)</f>
        <v/>
      </c>
      <c r="Q1435">
        <f>OR(AND(I1435&gt;=$T$10,K1435&lt;=$T$11,O1435),M1435)</f>
        <v/>
      </c>
    </row>
    <row r="1436">
      <c r="A1436">
        <f>Data!E1506</f>
        <v/>
      </c>
      <c r="B1436">
        <f>Data!G1506</f>
        <v/>
      </c>
      <c r="C1436">
        <f>Data!H1506</f>
        <v/>
      </c>
      <c r="D1436">
        <f>Data!I1506</f>
        <v/>
      </c>
      <c r="E1436">
        <f>Data!M1506</f>
        <v/>
      </c>
      <c r="F1436">
        <f>Data!O1506</f>
        <v/>
      </c>
      <c r="G1436">
        <f>E1436-F1436</f>
        <v/>
      </c>
      <c r="H1436">
        <f>Data!P1506</f>
        <v/>
      </c>
      <c r="I1436">
        <f>G1436+H1436</f>
        <v/>
      </c>
      <c r="J1436">
        <f>F1436+G1436+H1436</f>
        <v/>
      </c>
      <c r="K1436">
        <f>Data!R1506</f>
        <v/>
      </c>
      <c r="L1436">
        <f>Data!T1506</f>
        <v/>
      </c>
      <c r="M1436">
        <f>AND(E1436=0,F1436=0,G1436=0,H1436=0,I1436=0,J1436=0,K1436=0,L1436=0)</f>
        <v/>
      </c>
      <c r="N1436">
        <f>G1436&lt;=$T$6</f>
        <v/>
      </c>
      <c r="O1436">
        <f>G1436&lt;=$T$12</f>
        <v/>
      </c>
      <c r="P1436">
        <f>OR(AND(H1436&gt;=$T$4,K1436&lt;=$T$5,N1436),M1436)</f>
        <v/>
      </c>
      <c r="Q1436">
        <f>OR(AND(I1436&gt;=$T$10,K1436&lt;=$T$11,O1436),M1436)</f>
        <v/>
      </c>
    </row>
    <row r="1437">
      <c r="A1437">
        <f>Data!E1507</f>
        <v/>
      </c>
      <c r="B1437">
        <f>Data!G1507</f>
        <v/>
      </c>
      <c r="C1437">
        <f>Data!H1507</f>
        <v/>
      </c>
      <c r="D1437">
        <f>Data!I1507</f>
        <v/>
      </c>
      <c r="E1437">
        <f>Data!M1507</f>
        <v/>
      </c>
      <c r="F1437">
        <f>Data!O1507</f>
        <v/>
      </c>
      <c r="G1437">
        <f>E1437-F1437</f>
        <v/>
      </c>
      <c r="H1437">
        <f>Data!P1507</f>
        <v/>
      </c>
      <c r="I1437">
        <f>G1437+H1437</f>
        <v/>
      </c>
      <c r="J1437">
        <f>F1437+G1437+H1437</f>
        <v/>
      </c>
      <c r="K1437">
        <f>Data!R1507</f>
        <v/>
      </c>
      <c r="L1437">
        <f>Data!T1507</f>
        <v/>
      </c>
      <c r="M1437">
        <f>AND(E1437=0,F1437=0,G1437=0,H1437=0,I1437=0,J1437=0,K1437=0,L1437=0)</f>
        <v/>
      </c>
      <c r="N1437">
        <f>G1437&lt;=$T$6</f>
        <v/>
      </c>
      <c r="O1437">
        <f>G1437&lt;=$T$12</f>
        <v/>
      </c>
      <c r="P1437">
        <f>OR(AND(H1437&gt;=$T$4,K1437&lt;=$T$5,N1437),M1437)</f>
        <v/>
      </c>
      <c r="Q1437">
        <f>OR(AND(I1437&gt;=$T$10,K1437&lt;=$T$11,O1437),M1437)</f>
        <v/>
      </c>
    </row>
    <row r="1438">
      <c r="A1438">
        <f>Data!E1508</f>
        <v/>
      </c>
      <c r="B1438">
        <f>Data!G1508</f>
        <v/>
      </c>
      <c r="C1438">
        <f>Data!H1508</f>
        <v/>
      </c>
      <c r="D1438">
        <f>Data!I1508</f>
        <v/>
      </c>
      <c r="E1438">
        <f>Data!M1508</f>
        <v/>
      </c>
      <c r="F1438">
        <f>Data!O1508</f>
        <v/>
      </c>
      <c r="G1438">
        <f>E1438-F1438</f>
        <v/>
      </c>
      <c r="H1438">
        <f>Data!P1508</f>
        <v/>
      </c>
      <c r="I1438">
        <f>G1438+H1438</f>
        <v/>
      </c>
      <c r="J1438">
        <f>F1438+G1438+H1438</f>
        <v/>
      </c>
      <c r="K1438">
        <f>Data!R1508</f>
        <v/>
      </c>
      <c r="L1438">
        <f>Data!T1508</f>
        <v/>
      </c>
      <c r="M1438">
        <f>AND(E1438=0,F1438=0,G1438=0,H1438=0,I1438=0,J1438=0,K1438=0,L1438=0)</f>
        <v/>
      </c>
      <c r="N1438">
        <f>G1438&lt;=$T$6</f>
        <v/>
      </c>
      <c r="O1438">
        <f>G1438&lt;=$T$12</f>
        <v/>
      </c>
      <c r="P1438">
        <f>OR(AND(H1438&gt;=$T$4,K1438&lt;=$T$5,N1438),M1438)</f>
        <v/>
      </c>
      <c r="Q1438">
        <f>OR(AND(I1438&gt;=$T$10,K1438&lt;=$T$11,O1438),M1438)</f>
        <v/>
      </c>
    </row>
    <row r="1439">
      <c r="A1439">
        <f>Data!E1509</f>
        <v/>
      </c>
      <c r="B1439">
        <f>Data!G1509</f>
        <v/>
      </c>
      <c r="C1439">
        <f>Data!H1509</f>
        <v/>
      </c>
      <c r="D1439">
        <f>Data!I1509</f>
        <v/>
      </c>
      <c r="E1439">
        <f>Data!M1509</f>
        <v/>
      </c>
      <c r="F1439">
        <f>Data!O1509</f>
        <v/>
      </c>
      <c r="G1439">
        <f>E1439-F1439</f>
        <v/>
      </c>
      <c r="H1439">
        <f>Data!P1509</f>
        <v/>
      </c>
      <c r="I1439">
        <f>G1439+H1439</f>
        <v/>
      </c>
      <c r="J1439">
        <f>F1439+G1439+H1439</f>
        <v/>
      </c>
      <c r="K1439">
        <f>Data!R1509</f>
        <v/>
      </c>
      <c r="L1439">
        <f>Data!T1509</f>
        <v/>
      </c>
      <c r="M1439">
        <f>AND(E1439=0,F1439=0,G1439=0,H1439=0,I1439=0,J1439=0,K1439=0,L1439=0)</f>
        <v/>
      </c>
      <c r="N1439">
        <f>G1439&lt;=$T$6</f>
        <v/>
      </c>
      <c r="O1439">
        <f>G1439&lt;=$T$12</f>
        <v/>
      </c>
      <c r="P1439">
        <f>OR(AND(H1439&gt;=$T$4,K1439&lt;=$T$5,N1439),M1439)</f>
        <v/>
      </c>
      <c r="Q1439">
        <f>OR(AND(I1439&gt;=$T$10,K1439&lt;=$T$11,O1439),M1439)</f>
        <v/>
      </c>
    </row>
    <row r="1440">
      <c r="A1440">
        <f>Data!E1510</f>
        <v/>
      </c>
      <c r="B1440">
        <f>Data!G1510</f>
        <v/>
      </c>
      <c r="C1440">
        <f>Data!H1510</f>
        <v/>
      </c>
      <c r="D1440">
        <f>Data!I1510</f>
        <v/>
      </c>
      <c r="E1440">
        <f>Data!M1510</f>
        <v/>
      </c>
      <c r="F1440">
        <f>Data!O1510</f>
        <v/>
      </c>
      <c r="G1440">
        <f>E1440-F1440</f>
        <v/>
      </c>
      <c r="H1440">
        <f>Data!P1510</f>
        <v/>
      </c>
      <c r="I1440">
        <f>G1440+H1440</f>
        <v/>
      </c>
      <c r="J1440">
        <f>F1440+G1440+H1440</f>
        <v/>
      </c>
      <c r="K1440">
        <f>Data!R1510</f>
        <v/>
      </c>
      <c r="L1440">
        <f>Data!T1510</f>
        <v/>
      </c>
      <c r="M1440">
        <f>AND(E1440=0,F1440=0,G1440=0,H1440=0,I1440=0,J1440=0,K1440=0,L1440=0)</f>
        <v/>
      </c>
      <c r="N1440">
        <f>G1440&lt;=$T$6</f>
        <v/>
      </c>
      <c r="O1440">
        <f>G1440&lt;=$T$12</f>
        <v/>
      </c>
      <c r="P1440">
        <f>OR(AND(H1440&gt;=$T$4,K1440&lt;=$T$5,N1440),M1440)</f>
        <v/>
      </c>
      <c r="Q1440">
        <f>OR(AND(I1440&gt;=$T$10,K1440&lt;=$T$11,O1440),M1440)</f>
        <v/>
      </c>
    </row>
    <row r="1441">
      <c r="A1441">
        <f>Data!E1511</f>
        <v/>
      </c>
      <c r="B1441">
        <f>Data!G1511</f>
        <v/>
      </c>
      <c r="C1441">
        <f>Data!H1511</f>
        <v/>
      </c>
      <c r="D1441">
        <f>Data!I1511</f>
        <v/>
      </c>
      <c r="E1441">
        <f>Data!M1511</f>
        <v/>
      </c>
      <c r="F1441">
        <f>Data!O1511</f>
        <v/>
      </c>
      <c r="G1441">
        <f>E1441-F1441</f>
        <v/>
      </c>
      <c r="H1441">
        <f>Data!P1511</f>
        <v/>
      </c>
      <c r="I1441">
        <f>G1441+H1441</f>
        <v/>
      </c>
      <c r="J1441">
        <f>F1441+G1441+H1441</f>
        <v/>
      </c>
      <c r="K1441">
        <f>Data!R1511</f>
        <v/>
      </c>
      <c r="L1441">
        <f>Data!T1511</f>
        <v/>
      </c>
      <c r="M1441">
        <f>AND(E1441=0,F1441=0,G1441=0,H1441=0,I1441=0,J1441=0,K1441=0,L1441=0)</f>
        <v/>
      </c>
      <c r="N1441">
        <f>G1441&lt;=$T$6</f>
        <v/>
      </c>
      <c r="O1441">
        <f>G1441&lt;=$T$12</f>
        <v/>
      </c>
      <c r="P1441">
        <f>OR(AND(H1441&gt;=$T$4,K1441&lt;=$T$5,N1441),M1441)</f>
        <v/>
      </c>
      <c r="Q1441">
        <f>OR(AND(I1441&gt;=$T$10,K1441&lt;=$T$11,O1441),M1441)</f>
        <v/>
      </c>
    </row>
    <row r="1442">
      <c r="A1442">
        <f>Data!E1512</f>
        <v/>
      </c>
      <c r="B1442">
        <f>Data!G1512</f>
        <v/>
      </c>
      <c r="C1442">
        <f>Data!H1512</f>
        <v/>
      </c>
      <c r="D1442">
        <f>Data!I1512</f>
        <v/>
      </c>
      <c r="E1442">
        <f>Data!M1512</f>
        <v/>
      </c>
      <c r="F1442">
        <f>Data!O1512</f>
        <v/>
      </c>
      <c r="G1442">
        <f>E1442-F1442</f>
        <v/>
      </c>
      <c r="H1442">
        <f>Data!P1512</f>
        <v/>
      </c>
      <c r="I1442">
        <f>G1442+H1442</f>
        <v/>
      </c>
      <c r="J1442">
        <f>F1442+G1442+H1442</f>
        <v/>
      </c>
      <c r="K1442">
        <f>Data!R1512</f>
        <v/>
      </c>
      <c r="L1442">
        <f>Data!T1512</f>
        <v/>
      </c>
      <c r="M1442">
        <f>AND(E1442=0,F1442=0,G1442=0,H1442=0,I1442=0,J1442=0,K1442=0,L1442=0)</f>
        <v/>
      </c>
      <c r="N1442">
        <f>G1442&lt;=$T$6</f>
        <v/>
      </c>
      <c r="O1442">
        <f>G1442&lt;=$T$12</f>
        <v/>
      </c>
      <c r="P1442">
        <f>OR(AND(H1442&gt;=$T$4,K1442&lt;=$T$5,N1442),M1442)</f>
        <v/>
      </c>
      <c r="Q1442">
        <f>OR(AND(I1442&gt;=$T$10,K1442&lt;=$T$11,O1442),M1442)</f>
        <v/>
      </c>
    </row>
    <row r="1443">
      <c r="A1443">
        <f>Data!E1513</f>
        <v/>
      </c>
      <c r="B1443">
        <f>Data!G1513</f>
        <v/>
      </c>
      <c r="C1443">
        <f>Data!H1513</f>
        <v/>
      </c>
      <c r="D1443">
        <f>Data!I1513</f>
        <v/>
      </c>
      <c r="E1443">
        <f>Data!M1513</f>
        <v/>
      </c>
      <c r="F1443">
        <f>Data!O1513</f>
        <v/>
      </c>
      <c r="G1443">
        <f>E1443-F1443</f>
        <v/>
      </c>
      <c r="H1443">
        <f>Data!P1513</f>
        <v/>
      </c>
      <c r="I1443">
        <f>G1443+H1443</f>
        <v/>
      </c>
      <c r="J1443">
        <f>F1443+G1443+H1443</f>
        <v/>
      </c>
      <c r="K1443">
        <f>Data!R1513</f>
        <v/>
      </c>
      <c r="L1443">
        <f>Data!T1513</f>
        <v/>
      </c>
      <c r="M1443">
        <f>AND(E1443=0,F1443=0,G1443=0,H1443=0,I1443=0,J1443=0,K1443=0,L1443=0)</f>
        <v/>
      </c>
      <c r="N1443">
        <f>G1443&lt;=$T$6</f>
        <v/>
      </c>
      <c r="O1443">
        <f>G1443&lt;=$T$12</f>
        <v/>
      </c>
      <c r="P1443">
        <f>OR(AND(H1443&gt;=$T$4,K1443&lt;=$T$5,N1443),M1443)</f>
        <v/>
      </c>
      <c r="Q1443">
        <f>OR(AND(I1443&gt;=$T$10,K1443&lt;=$T$11,O1443),M1443)</f>
        <v/>
      </c>
    </row>
    <row r="1444">
      <c r="A1444">
        <f>Data!E1514</f>
        <v/>
      </c>
      <c r="B1444">
        <f>Data!G1514</f>
        <v/>
      </c>
      <c r="C1444">
        <f>Data!H1514</f>
        <v/>
      </c>
      <c r="D1444">
        <f>Data!I1514</f>
        <v/>
      </c>
      <c r="E1444">
        <f>Data!M1514</f>
        <v/>
      </c>
      <c r="F1444">
        <f>Data!O1514</f>
        <v/>
      </c>
      <c r="G1444">
        <f>E1444-F1444</f>
        <v/>
      </c>
      <c r="H1444">
        <f>Data!P1514</f>
        <v/>
      </c>
      <c r="I1444">
        <f>G1444+H1444</f>
        <v/>
      </c>
      <c r="J1444">
        <f>F1444+G1444+H1444</f>
        <v/>
      </c>
      <c r="K1444">
        <f>Data!R1514</f>
        <v/>
      </c>
      <c r="L1444">
        <f>Data!T1514</f>
        <v/>
      </c>
      <c r="M1444">
        <f>AND(E1444=0,F1444=0,G1444=0,H1444=0,I1444=0,J1444=0,K1444=0,L1444=0)</f>
        <v/>
      </c>
      <c r="N1444">
        <f>G1444&lt;=$T$6</f>
        <v/>
      </c>
      <c r="O1444">
        <f>G1444&lt;=$T$12</f>
        <v/>
      </c>
      <c r="P1444">
        <f>OR(AND(H1444&gt;=$T$4,K1444&lt;=$T$5,N1444),M1444)</f>
        <v/>
      </c>
      <c r="Q1444">
        <f>OR(AND(I1444&gt;=$T$10,K1444&lt;=$T$11,O1444),M1444)</f>
        <v/>
      </c>
    </row>
    <row r="1445">
      <c r="A1445">
        <f>Data!E1515</f>
        <v/>
      </c>
      <c r="B1445">
        <f>Data!G1515</f>
        <v/>
      </c>
      <c r="C1445">
        <f>Data!H1515</f>
        <v/>
      </c>
      <c r="D1445">
        <f>Data!I1515</f>
        <v/>
      </c>
      <c r="E1445">
        <f>Data!M1515</f>
        <v/>
      </c>
      <c r="F1445">
        <f>Data!O1515</f>
        <v/>
      </c>
      <c r="G1445">
        <f>E1445-F1445</f>
        <v/>
      </c>
      <c r="H1445">
        <f>Data!P1515</f>
        <v/>
      </c>
      <c r="I1445">
        <f>G1445+H1445</f>
        <v/>
      </c>
      <c r="J1445">
        <f>F1445+G1445+H1445</f>
        <v/>
      </c>
      <c r="K1445">
        <f>Data!R1515</f>
        <v/>
      </c>
      <c r="L1445">
        <f>Data!T1515</f>
        <v/>
      </c>
      <c r="M1445">
        <f>AND(E1445=0,F1445=0,G1445=0,H1445=0,I1445=0,J1445=0,K1445=0,L1445=0)</f>
        <v/>
      </c>
      <c r="N1445">
        <f>G1445&lt;=$T$6</f>
        <v/>
      </c>
      <c r="O1445">
        <f>G1445&lt;=$T$12</f>
        <v/>
      </c>
      <c r="P1445">
        <f>OR(AND(H1445&gt;=$T$4,K1445&lt;=$T$5,N1445),M1445)</f>
        <v/>
      </c>
      <c r="Q1445">
        <f>OR(AND(I1445&gt;=$T$10,K1445&lt;=$T$11,O1445),M1445)</f>
        <v/>
      </c>
    </row>
    <row r="1446">
      <c r="A1446">
        <f>Data!E1516</f>
        <v/>
      </c>
      <c r="B1446">
        <f>Data!G1516</f>
        <v/>
      </c>
      <c r="C1446">
        <f>Data!H1516</f>
        <v/>
      </c>
      <c r="D1446">
        <f>Data!I1516</f>
        <v/>
      </c>
      <c r="E1446">
        <f>Data!M1516</f>
        <v/>
      </c>
      <c r="F1446">
        <f>Data!O1516</f>
        <v/>
      </c>
      <c r="G1446">
        <f>E1446-F1446</f>
        <v/>
      </c>
      <c r="H1446">
        <f>Data!P1516</f>
        <v/>
      </c>
      <c r="I1446">
        <f>G1446+H1446</f>
        <v/>
      </c>
      <c r="J1446">
        <f>F1446+G1446+H1446</f>
        <v/>
      </c>
      <c r="K1446">
        <f>Data!R1516</f>
        <v/>
      </c>
      <c r="L1446">
        <f>Data!T1516</f>
        <v/>
      </c>
      <c r="M1446">
        <f>AND(E1446=0,F1446=0,G1446=0,H1446=0,I1446=0,J1446=0,K1446=0,L1446=0)</f>
        <v/>
      </c>
      <c r="N1446">
        <f>G1446&lt;=$T$6</f>
        <v/>
      </c>
      <c r="O1446">
        <f>G1446&lt;=$T$12</f>
        <v/>
      </c>
      <c r="P1446">
        <f>OR(AND(H1446&gt;=$T$4,K1446&lt;=$T$5,N1446),M1446)</f>
        <v/>
      </c>
      <c r="Q1446">
        <f>OR(AND(I1446&gt;=$T$10,K1446&lt;=$T$11,O1446),M1446)</f>
        <v/>
      </c>
    </row>
    <row r="1447">
      <c r="A1447">
        <f>Data!E1517</f>
        <v/>
      </c>
      <c r="B1447">
        <f>Data!G1517</f>
        <v/>
      </c>
      <c r="C1447">
        <f>Data!H1517</f>
        <v/>
      </c>
      <c r="D1447">
        <f>Data!I1517</f>
        <v/>
      </c>
      <c r="E1447">
        <f>Data!M1517</f>
        <v/>
      </c>
      <c r="F1447">
        <f>Data!O1517</f>
        <v/>
      </c>
      <c r="G1447">
        <f>E1447-F1447</f>
        <v/>
      </c>
      <c r="H1447">
        <f>Data!P1517</f>
        <v/>
      </c>
      <c r="I1447">
        <f>G1447+H1447</f>
        <v/>
      </c>
      <c r="J1447">
        <f>F1447+G1447+H1447</f>
        <v/>
      </c>
      <c r="K1447">
        <f>Data!R1517</f>
        <v/>
      </c>
      <c r="L1447">
        <f>Data!T1517</f>
        <v/>
      </c>
      <c r="M1447">
        <f>AND(E1447=0,F1447=0,G1447=0,H1447=0,I1447=0,J1447=0,K1447=0,L1447=0)</f>
        <v/>
      </c>
      <c r="N1447">
        <f>G1447&lt;=$T$6</f>
        <v/>
      </c>
      <c r="O1447">
        <f>G1447&lt;=$T$12</f>
        <v/>
      </c>
      <c r="P1447">
        <f>OR(AND(H1447&gt;=$T$4,K1447&lt;=$T$5,N1447),M1447)</f>
        <v/>
      </c>
      <c r="Q1447">
        <f>OR(AND(I1447&gt;=$T$10,K1447&lt;=$T$11,O1447),M1447)</f>
        <v/>
      </c>
    </row>
    <row r="1448">
      <c r="A1448">
        <f>Data!E1518</f>
        <v/>
      </c>
      <c r="B1448">
        <f>Data!G1518</f>
        <v/>
      </c>
      <c r="C1448">
        <f>Data!H1518</f>
        <v/>
      </c>
      <c r="D1448">
        <f>Data!I1518</f>
        <v/>
      </c>
      <c r="E1448">
        <f>Data!M1518</f>
        <v/>
      </c>
      <c r="F1448">
        <f>Data!O1518</f>
        <v/>
      </c>
      <c r="G1448">
        <f>E1448-F1448</f>
        <v/>
      </c>
      <c r="H1448">
        <f>Data!P1518</f>
        <v/>
      </c>
      <c r="I1448">
        <f>G1448+H1448</f>
        <v/>
      </c>
      <c r="J1448">
        <f>F1448+G1448+H1448</f>
        <v/>
      </c>
      <c r="K1448">
        <f>Data!R1518</f>
        <v/>
      </c>
      <c r="L1448">
        <f>Data!T1518</f>
        <v/>
      </c>
      <c r="M1448">
        <f>AND(E1448=0,F1448=0,G1448=0,H1448=0,I1448=0,J1448=0,K1448=0,L1448=0)</f>
        <v/>
      </c>
      <c r="N1448">
        <f>G1448&lt;=$T$6</f>
        <v/>
      </c>
      <c r="O1448">
        <f>G1448&lt;=$T$12</f>
        <v/>
      </c>
      <c r="P1448">
        <f>OR(AND(H1448&gt;=$T$4,K1448&lt;=$T$5,N1448),M1448)</f>
        <v/>
      </c>
      <c r="Q1448">
        <f>OR(AND(I1448&gt;=$T$10,K1448&lt;=$T$11,O1448),M1448)</f>
        <v/>
      </c>
    </row>
    <row r="1449">
      <c r="A1449">
        <f>Data!E1519</f>
        <v/>
      </c>
      <c r="B1449">
        <f>Data!G1519</f>
        <v/>
      </c>
      <c r="C1449">
        <f>Data!H1519</f>
        <v/>
      </c>
      <c r="D1449">
        <f>Data!I1519</f>
        <v/>
      </c>
      <c r="E1449">
        <f>Data!M1519</f>
        <v/>
      </c>
      <c r="F1449">
        <f>Data!O1519</f>
        <v/>
      </c>
      <c r="G1449">
        <f>E1449-F1449</f>
        <v/>
      </c>
      <c r="H1449">
        <f>Data!P1519</f>
        <v/>
      </c>
      <c r="I1449">
        <f>G1449+H1449</f>
        <v/>
      </c>
      <c r="J1449">
        <f>F1449+G1449+H1449</f>
        <v/>
      </c>
      <c r="K1449">
        <f>Data!R1519</f>
        <v/>
      </c>
      <c r="L1449">
        <f>Data!T1519</f>
        <v/>
      </c>
      <c r="M1449">
        <f>AND(E1449=0,F1449=0,G1449=0,H1449=0,I1449=0,J1449=0,K1449=0,L1449=0)</f>
        <v/>
      </c>
      <c r="N1449">
        <f>G1449&lt;=$T$6</f>
        <v/>
      </c>
      <c r="O1449">
        <f>G1449&lt;=$T$12</f>
        <v/>
      </c>
      <c r="P1449">
        <f>OR(AND(H1449&gt;=$T$4,K1449&lt;=$T$5,N1449),M1449)</f>
        <v/>
      </c>
      <c r="Q1449">
        <f>OR(AND(I1449&gt;=$T$10,K1449&lt;=$T$11,O1449),M1449)</f>
        <v/>
      </c>
    </row>
    <row r="1450">
      <c r="A1450">
        <f>Data!E1520</f>
        <v/>
      </c>
      <c r="B1450">
        <f>Data!G1520</f>
        <v/>
      </c>
      <c r="C1450">
        <f>Data!H1520</f>
        <v/>
      </c>
      <c r="D1450">
        <f>Data!I1520</f>
        <v/>
      </c>
      <c r="E1450">
        <f>Data!M1520</f>
        <v/>
      </c>
      <c r="F1450">
        <f>Data!O1520</f>
        <v/>
      </c>
      <c r="G1450">
        <f>E1450-F1450</f>
        <v/>
      </c>
      <c r="H1450">
        <f>Data!P1520</f>
        <v/>
      </c>
      <c r="I1450">
        <f>G1450+H1450</f>
        <v/>
      </c>
      <c r="J1450">
        <f>F1450+G1450+H1450</f>
        <v/>
      </c>
      <c r="K1450">
        <f>Data!R1520</f>
        <v/>
      </c>
      <c r="L1450">
        <f>Data!T1520</f>
        <v/>
      </c>
      <c r="M1450">
        <f>AND(E1450=0,F1450=0,G1450=0,H1450=0,I1450=0,J1450=0,K1450=0,L1450=0)</f>
        <v/>
      </c>
      <c r="N1450">
        <f>G1450&lt;=$T$6</f>
        <v/>
      </c>
      <c r="O1450">
        <f>G1450&lt;=$T$12</f>
        <v/>
      </c>
      <c r="P1450">
        <f>OR(AND(H1450&gt;=$T$4,K1450&lt;=$T$5,N1450),M1450)</f>
        <v/>
      </c>
      <c r="Q1450">
        <f>OR(AND(I1450&gt;=$T$10,K1450&lt;=$T$11,O1450),M1450)</f>
        <v/>
      </c>
    </row>
    <row r="1451">
      <c r="A1451">
        <f>Data!E1521</f>
        <v/>
      </c>
      <c r="B1451">
        <f>Data!G1521</f>
        <v/>
      </c>
      <c r="C1451">
        <f>Data!H1521</f>
        <v/>
      </c>
      <c r="D1451">
        <f>Data!I1521</f>
        <v/>
      </c>
      <c r="E1451">
        <f>Data!M1521</f>
        <v/>
      </c>
      <c r="F1451">
        <f>Data!O1521</f>
        <v/>
      </c>
      <c r="G1451">
        <f>E1451-F1451</f>
        <v/>
      </c>
      <c r="H1451">
        <f>Data!P1521</f>
        <v/>
      </c>
      <c r="I1451">
        <f>G1451+H1451</f>
        <v/>
      </c>
      <c r="J1451">
        <f>F1451+G1451+H1451</f>
        <v/>
      </c>
      <c r="K1451">
        <f>Data!R1521</f>
        <v/>
      </c>
      <c r="L1451">
        <f>Data!T1521</f>
        <v/>
      </c>
      <c r="M1451">
        <f>AND(E1451=0,F1451=0,G1451=0,H1451=0,I1451=0,J1451=0,K1451=0,L1451=0)</f>
        <v/>
      </c>
      <c r="N1451">
        <f>G1451&lt;=$T$6</f>
        <v/>
      </c>
      <c r="O1451">
        <f>G1451&lt;=$T$12</f>
        <v/>
      </c>
      <c r="P1451">
        <f>OR(AND(H1451&gt;=$T$4,K1451&lt;=$T$5,N1451),M1451)</f>
        <v/>
      </c>
      <c r="Q1451">
        <f>OR(AND(I1451&gt;=$T$10,K1451&lt;=$T$11,O1451),M1451)</f>
        <v/>
      </c>
    </row>
    <row r="1452">
      <c r="A1452">
        <f>Data!E1522</f>
        <v/>
      </c>
      <c r="B1452">
        <f>Data!G1522</f>
        <v/>
      </c>
      <c r="C1452">
        <f>Data!H1522</f>
        <v/>
      </c>
      <c r="D1452">
        <f>Data!I1522</f>
        <v/>
      </c>
      <c r="E1452">
        <f>Data!M1522</f>
        <v/>
      </c>
      <c r="F1452">
        <f>Data!O1522</f>
        <v/>
      </c>
      <c r="G1452">
        <f>E1452-F1452</f>
        <v/>
      </c>
      <c r="H1452">
        <f>Data!P1522</f>
        <v/>
      </c>
      <c r="I1452">
        <f>G1452+H1452</f>
        <v/>
      </c>
      <c r="J1452">
        <f>F1452+G1452+H1452</f>
        <v/>
      </c>
      <c r="K1452">
        <f>Data!R1522</f>
        <v/>
      </c>
      <c r="L1452">
        <f>Data!T1522</f>
        <v/>
      </c>
      <c r="M1452">
        <f>AND(E1452=0,F1452=0,G1452=0,H1452=0,I1452=0,J1452=0,K1452=0,L1452=0)</f>
        <v/>
      </c>
      <c r="N1452">
        <f>G1452&lt;=$T$6</f>
        <v/>
      </c>
      <c r="O1452">
        <f>G1452&lt;=$T$12</f>
        <v/>
      </c>
      <c r="P1452">
        <f>OR(AND(H1452&gt;=$T$4,K1452&lt;=$T$5,N1452),M1452)</f>
        <v/>
      </c>
      <c r="Q1452">
        <f>OR(AND(I1452&gt;=$T$10,K1452&lt;=$T$11,O1452),M1452)</f>
        <v/>
      </c>
    </row>
    <row r="1453">
      <c r="A1453">
        <f>Data!E1523</f>
        <v/>
      </c>
      <c r="B1453">
        <f>Data!G1523</f>
        <v/>
      </c>
      <c r="C1453">
        <f>Data!H1523</f>
        <v/>
      </c>
      <c r="D1453">
        <f>Data!I1523</f>
        <v/>
      </c>
      <c r="E1453">
        <f>Data!M1523</f>
        <v/>
      </c>
      <c r="F1453">
        <f>Data!O1523</f>
        <v/>
      </c>
      <c r="G1453">
        <f>E1453-F1453</f>
        <v/>
      </c>
      <c r="H1453">
        <f>Data!P1523</f>
        <v/>
      </c>
      <c r="I1453">
        <f>G1453+H1453</f>
        <v/>
      </c>
      <c r="J1453">
        <f>F1453+G1453+H1453</f>
        <v/>
      </c>
      <c r="K1453">
        <f>Data!R1523</f>
        <v/>
      </c>
      <c r="L1453">
        <f>Data!T1523</f>
        <v/>
      </c>
      <c r="M1453">
        <f>AND(E1453=0,F1453=0,G1453=0,H1453=0,I1453=0,J1453=0,K1453=0,L1453=0)</f>
        <v/>
      </c>
      <c r="N1453">
        <f>G1453&lt;=$T$6</f>
        <v/>
      </c>
      <c r="O1453">
        <f>G1453&lt;=$T$12</f>
        <v/>
      </c>
      <c r="P1453">
        <f>OR(AND(H1453&gt;=$T$4,K1453&lt;=$T$5,N1453),M1453)</f>
        <v/>
      </c>
      <c r="Q1453">
        <f>OR(AND(I1453&gt;=$T$10,K1453&lt;=$T$11,O1453),M1453)</f>
        <v/>
      </c>
    </row>
    <row r="1454">
      <c r="A1454">
        <f>Data!E1524</f>
        <v/>
      </c>
      <c r="B1454">
        <f>Data!G1524</f>
        <v/>
      </c>
      <c r="C1454">
        <f>Data!H1524</f>
        <v/>
      </c>
      <c r="D1454">
        <f>Data!I1524</f>
        <v/>
      </c>
      <c r="E1454">
        <f>Data!M1524</f>
        <v/>
      </c>
      <c r="F1454">
        <f>Data!O1524</f>
        <v/>
      </c>
      <c r="G1454">
        <f>E1454-F1454</f>
        <v/>
      </c>
      <c r="H1454">
        <f>Data!P1524</f>
        <v/>
      </c>
      <c r="I1454">
        <f>G1454+H1454</f>
        <v/>
      </c>
      <c r="J1454">
        <f>F1454+G1454+H1454</f>
        <v/>
      </c>
      <c r="K1454">
        <f>Data!R1524</f>
        <v/>
      </c>
      <c r="L1454">
        <f>Data!T1524</f>
        <v/>
      </c>
      <c r="M1454">
        <f>AND(E1454=0,F1454=0,G1454=0,H1454=0,I1454=0,J1454=0,K1454=0,L1454=0)</f>
        <v/>
      </c>
      <c r="N1454">
        <f>G1454&lt;=$T$6</f>
        <v/>
      </c>
      <c r="O1454">
        <f>G1454&lt;=$T$12</f>
        <v/>
      </c>
      <c r="P1454">
        <f>OR(AND(H1454&gt;=$T$4,K1454&lt;=$T$5,N1454),M1454)</f>
        <v/>
      </c>
      <c r="Q1454">
        <f>OR(AND(I1454&gt;=$T$10,K1454&lt;=$T$11,O1454),M1454)</f>
        <v/>
      </c>
    </row>
    <row r="1455">
      <c r="A1455">
        <f>Data!E1525</f>
        <v/>
      </c>
      <c r="B1455">
        <f>Data!G1525</f>
        <v/>
      </c>
      <c r="C1455">
        <f>Data!H1525</f>
        <v/>
      </c>
      <c r="D1455">
        <f>Data!I1525</f>
        <v/>
      </c>
      <c r="E1455">
        <f>Data!M1525</f>
        <v/>
      </c>
      <c r="F1455">
        <f>Data!O1525</f>
        <v/>
      </c>
      <c r="G1455">
        <f>E1455-F1455</f>
        <v/>
      </c>
      <c r="H1455">
        <f>Data!P1525</f>
        <v/>
      </c>
      <c r="I1455">
        <f>G1455+H1455</f>
        <v/>
      </c>
      <c r="J1455">
        <f>F1455+G1455+H1455</f>
        <v/>
      </c>
      <c r="K1455">
        <f>Data!R1525</f>
        <v/>
      </c>
      <c r="L1455">
        <f>Data!T1525</f>
        <v/>
      </c>
      <c r="M1455">
        <f>AND(E1455=0,F1455=0,G1455=0,H1455=0,I1455=0,J1455=0,K1455=0,L1455=0)</f>
        <v/>
      </c>
      <c r="N1455">
        <f>G1455&lt;=$T$6</f>
        <v/>
      </c>
      <c r="O1455">
        <f>G1455&lt;=$T$12</f>
        <v/>
      </c>
      <c r="P1455">
        <f>OR(AND(H1455&gt;=$T$4,K1455&lt;=$T$5,N1455),M1455)</f>
        <v/>
      </c>
      <c r="Q1455">
        <f>OR(AND(I1455&gt;=$T$10,K1455&lt;=$T$11,O1455),M1455)</f>
        <v/>
      </c>
    </row>
    <row r="1456">
      <c r="A1456">
        <f>Data!E1526</f>
        <v/>
      </c>
      <c r="B1456">
        <f>Data!G1526</f>
        <v/>
      </c>
      <c r="C1456">
        <f>Data!H1526</f>
        <v/>
      </c>
      <c r="D1456">
        <f>Data!I1526</f>
        <v/>
      </c>
      <c r="E1456">
        <f>Data!M1526</f>
        <v/>
      </c>
      <c r="F1456">
        <f>Data!O1526</f>
        <v/>
      </c>
      <c r="G1456">
        <f>E1456-F1456</f>
        <v/>
      </c>
      <c r="H1456">
        <f>Data!P1526</f>
        <v/>
      </c>
      <c r="I1456">
        <f>G1456+H1456</f>
        <v/>
      </c>
      <c r="J1456">
        <f>F1456+G1456+H1456</f>
        <v/>
      </c>
      <c r="K1456">
        <f>Data!R1526</f>
        <v/>
      </c>
      <c r="L1456">
        <f>Data!T1526</f>
        <v/>
      </c>
      <c r="M1456">
        <f>AND(E1456=0,F1456=0,G1456=0,H1456=0,I1456=0,J1456=0,K1456=0,L1456=0)</f>
        <v/>
      </c>
      <c r="N1456">
        <f>G1456&lt;=$T$6</f>
        <v/>
      </c>
      <c r="O1456">
        <f>G1456&lt;=$T$12</f>
        <v/>
      </c>
      <c r="P1456">
        <f>OR(AND(H1456&gt;=$T$4,K1456&lt;=$T$5,N1456),M1456)</f>
        <v/>
      </c>
      <c r="Q1456">
        <f>OR(AND(I1456&gt;=$T$10,K1456&lt;=$T$11,O1456),M1456)</f>
        <v/>
      </c>
    </row>
    <row r="1457">
      <c r="A1457">
        <f>Data!E1527</f>
        <v/>
      </c>
      <c r="B1457">
        <f>Data!G1527</f>
        <v/>
      </c>
      <c r="C1457">
        <f>Data!H1527</f>
        <v/>
      </c>
      <c r="D1457">
        <f>Data!I1527</f>
        <v/>
      </c>
      <c r="E1457">
        <f>Data!M1527</f>
        <v/>
      </c>
      <c r="F1457">
        <f>Data!O1527</f>
        <v/>
      </c>
      <c r="G1457">
        <f>E1457-F1457</f>
        <v/>
      </c>
      <c r="H1457">
        <f>Data!P1527</f>
        <v/>
      </c>
      <c r="I1457">
        <f>G1457+H1457</f>
        <v/>
      </c>
      <c r="J1457">
        <f>F1457+G1457+H1457</f>
        <v/>
      </c>
      <c r="K1457">
        <f>Data!R1527</f>
        <v/>
      </c>
      <c r="L1457">
        <f>Data!T1527</f>
        <v/>
      </c>
      <c r="M1457">
        <f>AND(E1457=0,F1457=0,G1457=0,H1457=0,I1457=0,J1457=0,K1457=0,L1457=0)</f>
        <v/>
      </c>
      <c r="N1457">
        <f>G1457&lt;=$T$6</f>
        <v/>
      </c>
      <c r="O1457">
        <f>G1457&lt;=$T$12</f>
        <v/>
      </c>
      <c r="P1457">
        <f>OR(AND(H1457&gt;=$T$4,K1457&lt;=$T$5,N1457),M1457)</f>
        <v/>
      </c>
      <c r="Q1457">
        <f>OR(AND(I1457&gt;=$T$10,K1457&lt;=$T$11,O1457),M1457)</f>
        <v/>
      </c>
    </row>
    <row r="1458">
      <c r="A1458">
        <f>Data!E1528</f>
        <v/>
      </c>
      <c r="B1458">
        <f>Data!G1528</f>
        <v/>
      </c>
      <c r="C1458">
        <f>Data!H1528</f>
        <v/>
      </c>
      <c r="D1458">
        <f>Data!I1528</f>
        <v/>
      </c>
      <c r="E1458">
        <f>Data!M1528</f>
        <v/>
      </c>
      <c r="F1458">
        <f>Data!O1528</f>
        <v/>
      </c>
      <c r="G1458">
        <f>E1458-F1458</f>
        <v/>
      </c>
      <c r="H1458">
        <f>Data!P1528</f>
        <v/>
      </c>
      <c r="I1458">
        <f>G1458+H1458</f>
        <v/>
      </c>
      <c r="J1458">
        <f>F1458+G1458+H1458</f>
        <v/>
      </c>
      <c r="K1458">
        <f>Data!R1528</f>
        <v/>
      </c>
      <c r="L1458">
        <f>Data!T1528</f>
        <v/>
      </c>
      <c r="M1458">
        <f>AND(E1458=0,F1458=0,G1458=0,H1458=0,I1458=0,J1458=0,K1458=0,L1458=0)</f>
        <v/>
      </c>
      <c r="N1458">
        <f>G1458&lt;=$T$6</f>
        <v/>
      </c>
      <c r="O1458">
        <f>G1458&lt;=$T$12</f>
        <v/>
      </c>
      <c r="P1458">
        <f>OR(AND(H1458&gt;=$T$4,K1458&lt;=$T$5,N1458),M1458)</f>
        <v/>
      </c>
      <c r="Q1458">
        <f>OR(AND(I1458&gt;=$T$10,K1458&lt;=$T$11,O1458),M1458)</f>
        <v/>
      </c>
    </row>
    <row r="1459">
      <c r="A1459">
        <f>Data!E1529</f>
        <v/>
      </c>
      <c r="B1459">
        <f>Data!G1529</f>
        <v/>
      </c>
      <c r="C1459">
        <f>Data!H1529</f>
        <v/>
      </c>
      <c r="D1459">
        <f>Data!I1529</f>
        <v/>
      </c>
      <c r="E1459">
        <f>Data!M1529</f>
        <v/>
      </c>
      <c r="F1459">
        <f>Data!O1529</f>
        <v/>
      </c>
      <c r="G1459">
        <f>E1459-F1459</f>
        <v/>
      </c>
      <c r="H1459">
        <f>Data!P1529</f>
        <v/>
      </c>
      <c r="I1459">
        <f>G1459+H1459</f>
        <v/>
      </c>
      <c r="J1459">
        <f>F1459+G1459+H1459</f>
        <v/>
      </c>
      <c r="K1459">
        <f>Data!R1529</f>
        <v/>
      </c>
      <c r="L1459">
        <f>Data!T1529</f>
        <v/>
      </c>
      <c r="M1459">
        <f>AND(E1459=0,F1459=0,G1459=0,H1459=0,I1459=0,J1459=0,K1459=0,L1459=0)</f>
        <v/>
      </c>
      <c r="N1459">
        <f>G1459&lt;=$T$6</f>
        <v/>
      </c>
      <c r="O1459">
        <f>G1459&lt;=$T$12</f>
        <v/>
      </c>
      <c r="P1459">
        <f>OR(AND(H1459&gt;=$T$4,K1459&lt;=$T$5,N1459),M1459)</f>
        <v/>
      </c>
      <c r="Q1459">
        <f>OR(AND(I1459&gt;=$T$10,K1459&lt;=$T$11,O1459),M1459)</f>
        <v/>
      </c>
    </row>
    <row r="1460">
      <c r="A1460">
        <f>Data!E1530</f>
        <v/>
      </c>
      <c r="B1460">
        <f>Data!G1530</f>
        <v/>
      </c>
      <c r="C1460">
        <f>Data!H1530</f>
        <v/>
      </c>
      <c r="D1460">
        <f>Data!I1530</f>
        <v/>
      </c>
      <c r="E1460">
        <f>Data!M1530</f>
        <v/>
      </c>
      <c r="F1460">
        <f>Data!O1530</f>
        <v/>
      </c>
      <c r="G1460">
        <f>E1460-F1460</f>
        <v/>
      </c>
      <c r="H1460">
        <f>Data!P1530</f>
        <v/>
      </c>
      <c r="I1460">
        <f>G1460+H1460</f>
        <v/>
      </c>
      <c r="J1460">
        <f>F1460+G1460+H1460</f>
        <v/>
      </c>
      <c r="K1460">
        <f>Data!R1530</f>
        <v/>
      </c>
      <c r="L1460">
        <f>Data!T1530</f>
        <v/>
      </c>
      <c r="M1460">
        <f>AND(E1460=0,F1460=0,G1460=0,H1460=0,I1460=0,J1460=0,K1460=0,L1460=0)</f>
        <v/>
      </c>
      <c r="N1460">
        <f>G1460&lt;=$T$6</f>
        <v/>
      </c>
      <c r="O1460">
        <f>G1460&lt;=$T$12</f>
        <v/>
      </c>
      <c r="P1460">
        <f>OR(AND(H1460&gt;=$T$4,K1460&lt;=$T$5,N1460),M1460)</f>
        <v/>
      </c>
      <c r="Q1460">
        <f>OR(AND(I1460&gt;=$T$10,K1460&lt;=$T$11,O1460),M1460)</f>
        <v/>
      </c>
    </row>
    <row r="1461">
      <c r="A1461">
        <f>Data!E1531</f>
        <v/>
      </c>
      <c r="B1461">
        <f>Data!G1531</f>
        <v/>
      </c>
      <c r="C1461">
        <f>Data!H1531</f>
        <v/>
      </c>
      <c r="D1461">
        <f>Data!I1531</f>
        <v/>
      </c>
      <c r="E1461">
        <f>Data!M1531</f>
        <v/>
      </c>
      <c r="F1461">
        <f>Data!O1531</f>
        <v/>
      </c>
      <c r="G1461">
        <f>E1461-F1461</f>
        <v/>
      </c>
      <c r="H1461">
        <f>Data!P1531</f>
        <v/>
      </c>
      <c r="I1461">
        <f>G1461+H1461</f>
        <v/>
      </c>
      <c r="J1461">
        <f>F1461+G1461+H1461</f>
        <v/>
      </c>
      <c r="K1461">
        <f>Data!R1531</f>
        <v/>
      </c>
      <c r="L1461">
        <f>Data!T1531</f>
        <v/>
      </c>
      <c r="M1461">
        <f>AND(E1461=0,F1461=0,G1461=0,H1461=0,I1461=0,J1461=0,K1461=0,L1461=0)</f>
        <v/>
      </c>
      <c r="N1461">
        <f>G1461&lt;=$T$6</f>
        <v/>
      </c>
      <c r="O1461">
        <f>G1461&lt;=$T$12</f>
        <v/>
      </c>
      <c r="P1461">
        <f>OR(AND(H1461&gt;=$T$4,K1461&lt;=$T$5,N1461),M1461)</f>
        <v/>
      </c>
      <c r="Q1461">
        <f>OR(AND(I1461&gt;=$T$10,K1461&lt;=$T$11,O1461),M1461)</f>
        <v/>
      </c>
    </row>
    <row r="1462">
      <c r="A1462">
        <f>Data!E1532</f>
        <v/>
      </c>
      <c r="B1462">
        <f>Data!G1532</f>
        <v/>
      </c>
      <c r="C1462">
        <f>Data!H1532</f>
        <v/>
      </c>
      <c r="D1462">
        <f>Data!I1532</f>
        <v/>
      </c>
      <c r="E1462">
        <f>Data!M1532</f>
        <v/>
      </c>
      <c r="F1462">
        <f>Data!O1532</f>
        <v/>
      </c>
      <c r="G1462">
        <f>E1462-F1462</f>
        <v/>
      </c>
      <c r="H1462">
        <f>Data!P1532</f>
        <v/>
      </c>
      <c r="I1462">
        <f>G1462+H1462</f>
        <v/>
      </c>
      <c r="J1462">
        <f>F1462+G1462+H1462</f>
        <v/>
      </c>
      <c r="K1462">
        <f>Data!R1532</f>
        <v/>
      </c>
      <c r="L1462">
        <f>Data!T1532</f>
        <v/>
      </c>
      <c r="M1462">
        <f>AND(E1462=0,F1462=0,G1462=0,H1462=0,I1462=0,J1462=0,K1462=0,L1462=0)</f>
        <v/>
      </c>
      <c r="N1462">
        <f>G1462&lt;=$T$6</f>
        <v/>
      </c>
      <c r="O1462">
        <f>G1462&lt;=$T$12</f>
        <v/>
      </c>
      <c r="P1462">
        <f>OR(AND(H1462&gt;=$T$4,K1462&lt;=$T$5,N1462),M1462)</f>
        <v/>
      </c>
      <c r="Q1462">
        <f>OR(AND(I1462&gt;=$T$10,K1462&lt;=$T$11,O1462),M1462)</f>
        <v/>
      </c>
    </row>
    <row r="1463">
      <c r="A1463">
        <f>Data!E1533</f>
        <v/>
      </c>
      <c r="B1463">
        <f>Data!G1533</f>
        <v/>
      </c>
      <c r="C1463">
        <f>Data!H1533</f>
        <v/>
      </c>
      <c r="D1463">
        <f>Data!I1533</f>
        <v/>
      </c>
      <c r="E1463">
        <f>Data!M1533</f>
        <v/>
      </c>
      <c r="F1463">
        <f>Data!O1533</f>
        <v/>
      </c>
      <c r="G1463">
        <f>E1463-F1463</f>
        <v/>
      </c>
      <c r="H1463">
        <f>Data!P1533</f>
        <v/>
      </c>
      <c r="I1463">
        <f>G1463+H1463</f>
        <v/>
      </c>
      <c r="J1463">
        <f>F1463+G1463+H1463</f>
        <v/>
      </c>
      <c r="K1463">
        <f>Data!R1533</f>
        <v/>
      </c>
      <c r="L1463">
        <f>Data!T1533</f>
        <v/>
      </c>
      <c r="M1463">
        <f>AND(E1463=0,F1463=0,G1463=0,H1463=0,I1463=0,J1463=0,K1463=0,L1463=0)</f>
        <v/>
      </c>
      <c r="N1463">
        <f>G1463&lt;=$T$6</f>
        <v/>
      </c>
      <c r="O1463">
        <f>G1463&lt;=$T$12</f>
        <v/>
      </c>
      <c r="P1463">
        <f>OR(AND(H1463&gt;=$T$4,K1463&lt;=$T$5,N1463),M1463)</f>
        <v/>
      </c>
      <c r="Q1463">
        <f>OR(AND(I1463&gt;=$T$10,K1463&lt;=$T$11,O1463),M1463)</f>
        <v/>
      </c>
    </row>
    <row r="1464">
      <c r="A1464">
        <f>Data!E1534</f>
        <v/>
      </c>
      <c r="B1464">
        <f>Data!G1534</f>
        <v/>
      </c>
      <c r="C1464">
        <f>Data!H1534</f>
        <v/>
      </c>
      <c r="D1464">
        <f>Data!I1534</f>
        <v/>
      </c>
      <c r="E1464">
        <f>Data!M1534</f>
        <v/>
      </c>
      <c r="F1464">
        <f>Data!O1534</f>
        <v/>
      </c>
      <c r="G1464">
        <f>E1464-F1464</f>
        <v/>
      </c>
      <c r="H1464">
        <f>Data!P1534</f>
        <v/>
      </c>
      <c r="I1464">
        <f>G1464+H1464</f>
        <v/>
      </c>
      <c r="J1464">
        <f>F1464+G1464+H1464</f>
        <v/>
      </c>
      <c r="K1464">
        <f>Data!R1534</f>
        <v/>
      </c>
      <c r="L1464">
        <f>Data!T1534</f>
        <v/>
      </c>
      <c r="M1464">
        <f>AND(E1464=0,F1464=0,G1464=0,H1464=0,I1464=0,J1464=0,K1464=0,L1464=0)</f>
        <v/>
      </c>
      <c r="N1464">
        <f>G1464&lt;=$T$6</f>
        <v/>
      </c>
      <c r="O1464">
        <f>G1464&lt;=$T$12</f>
        <v/>
      </c>
      <c r="P1464">
        <f>OR(AND(H1464&gt;=$T$4,K1464&lt;=$T$5,N1464),M1464)</f>
        <v/>
      </c>
      <c r="Q1464">
        <f>OR(AND(I1464&gt;=$T$10,K1464&lt;=$T$11,O1464),M1464)</f>
        <v/>
      </c>
    </row>
    <row r="1465">
      <c r="A1465">
        <f>Data!E1535</f>
        <v/>
      </c>
      <c r="B1465">
        <f>Data!G1535</f>
        <v/>
      </c>
      <c r="C1465">
        <f>Data!H1535</f>
        <v/>
      </c>
      <c r="D1465">
        <f>Data!I1535</f>
        <v/>
      </c>
      <c r="E1465">
        <f>Data!M1535</f>
        <v/>
      </c>
      <c r="F1465">
        <f>Data!O1535</f>
        <v/>
      </c>
      <c r="G1465">
        <f>E1465-F1465</f>
        <v/>
      </c>
      <c r="H1465">
        <f>Data!P1535</f>
        <v/>
      </c>
      <c r="I1465">
        <f>G1465+H1465</f>
        <v/>
      </c>
      <c r="J1465">
        <f>F1465+G1465+H1465</f>
        <v/>
      </c>
      <c r="K1465">
        <f>Data!R1535</f>
        <v/>
      </c>
      <c r="L1465">
        <f>Data!T1535</f>
        <v/>
      </c>
      <c r="M1465">
        <f>AND(E1465=0,F1465=0,G1465=0,H1465=0,I1465=0,J1465=0,K1465=0,L1465=0)</f>
        <v/>
      </c>
      <c r="N1465">
        <f>G1465&lt;=$T$6</f>
        <v/>
      </c>
      <c r="O1465">
        <f>G1465&lt;=$T$12</f>
        <v/>
      </c>
      <c r="P1465">
        <f>OR(AND(H1465&gt;=$T$4,K1465&lt;=$T$5,N1465),M1465)</f>
        <v/>
      </c>
      <c r="Q1465">
        <f>OR(AND(I1465&gt;=$T$10,K1465&lt;=$T$11,O1465),M1465)</f>
        <v/>
      </c>
    </row>
    <row r="1466">
      <c r="A1466">
        <f>Data!E1536</f>
        <v/>
      </c>
      <c r="B1466">
        <f>Data!G1536</f>
        <v/>
      </c>
      <c r="C1466">
        <f>Data!H1536</f>
        <v/>
      </c>
      <c r="D1466">
        <f>Data!I1536</f>
        <v/>
      </c>
      <c r="E1466">
        <f>Data!M1536</f>
        <v/>
      </c>
      <c r="F1466">
        <f>Data!O1536</f>
        <v/>
      </c>
      <c r="G1466">
        <f>E1466-F1466</f>
        <v/>
      </c>
      <c r="H1466">
        <f>Data!P1536</f>
        <v/>
      </c>
      <c r="I1466">
        <f>G1466+H1466</f>
        <v/>
      </c>
      <c r="J1466">
        <f>F1466+G1466+H1466</f>
        <v/>
      </c>
      <c r="K1466">
        <f>Data!R1536</f>
        <v/>
      </c>
      <c r="L1466">
        <f>Data!T1536</f>
        <v/>
      </c>
      <c r="M1466">
        <f>AND(E1466=0,F1466=0,G1466=0,H1466=0,I1466=0,J1466=0,K1466=0,L1466=0)</f>
        <v/>
      </c>
      <c r="N1466">
        <f>G1466&lt;=$T$6</f>
        <v/>
      </c>
      <c r="O1466">
        <f>G1466&lt;=$T$12</f>
        <v/>
      </c>
      <c r="P1466">
        <f>OR(AND(H1466&gt;=$T$4,K1466&lt;=$T$5,N1466),M1466)</f>
        <v/>
      </c>
      <c r="Q1466">
        <f>OR(AND(I1466&gt;=$T$10,K1466&lt;=$T$11,O1466),M1466)</f>
        <v/>
      </c>
    </row>
    <row r="1467">
      <c r="A1467">
        <f>Data!E1537</f>
        <v/>
      </c>
      <c r="B1467">
        <f>Data!G1537</f>
        <v/>
      </c>
      <c r="C1467">
        <f>Data!H1537</f>
        <v/>
      </c>
      <c r="D1467">
        <f>Data!I1537</f>
        <v/>
      </c>
      <c r="E1467">
        <f>Data!M1537</f>
        <v/>
      </c>
      <c r="F1467">
        <f>Data!O1537</f>
        <v/>
      </c>
      <c r="G1467">
        <f>E1467-F1467</f>
        <v/>
      </c>
      <c r="H1467">
        <f>Data!P1537</f>
        <v/>
      </c>
      <c r="I1467">
        <f>G1467+H1467</f>
        <v/>
      </c>
      <c r="J1467">
        <f>F1467+G1467+H1467</f>
        <v/>
      </c>
      <c r="K1467">
        <f>Data!R1537</f>
        <v/>
      </c>
      <c r="L1467">
        <f>Data!T1537</f>
        <v/>
      </c>
      <c r="M1467">
        <f>AND(E1467=0,F1467=0,G1467=0,H1467=0,I1467=0,J1467=0,K1467=0,L1467=0)</f>
        <v/>
      </c>
      <c r="N1467">
        <f>G1467&lt;=$T$6</f>
        <v/>
      </c>
      <c r="O1467">
        <f>G1467&lt;=$T$12</f>
        <v/>
      </c>
      <c r="P1467">
        <f>OR(AND(H1467&gt;=$T$4,K1467&lt;=$T$5,N1467),M1467)</f>
        <v/>
      </c>
      <c r="Q1467">
        <f>OR(AND(I1467&gt;=$T$10,K1467&lt;=$T$11,O1467),M1467)</f>
        <v/>
      </c>
    </row>
    <row r="1468">
      <c r="A1468">
        <f>Data!E1538</f>
        <v/>
      </c>
      <c r="B1468">
        <f>Data!G1538</f>
        <v/>
      </c>
      <c r="C1468">
        <f>Data!H1538</f>
        <v/>
      </c>
      <c r="D1468">
        <f>Data!I1538</f>
        <v/>
      </c>
      <c r="E1468">
        <f>Data!M1538</f>
        <v/>
      </c>
      <c r="F1468">
        <f>Data!O1538</f>
        <v/>
      </c>
      <c r="G1468">
        <f>E1468-F1468</f>
        <v/>
      </c>
      <c r="H1468">
        <f>Data!P1538</f>
        <v/>
      </c>
      <c r="I1468">
        <f>G1468+H1468</f>
        <v/>
      </c>
      <c r="J1468">
        <f>F1468+G1468+H1468</f>
        <v/>
      </c>
      <c r="K1468">
        <f>Data!R1538</f>
        <v/>
      </c>
      <c r="L1468">
        <f>Data!T1538</f>
        <v/>
      </c>
      <c r="M1468">
        <f>AND(E1468=0,F1468=0,G1468=0,H1468=0,I1468=0,J1468=0,K1468=0,L1468=0)</f>
        <v/>
      </c>
      <c r="N1468">
        <f>G1468&lt;=$T$6</f>
        <v/>
      </c>
      <c r="O1468">
        <f>G1468&lt;=$T$12</f>
        <v/>
      </c>
      <c r="P1468">
        <f>OR(AND(H1468&gt;=$T$4,K1468&lt;=$T$5,N1468),M1468)</f>
        <v/>
      </c>
      <c r="Q1468">
        <f>OR(AND(I1468&gt;=$T$10,K1468&lt;=$T$11,O1468),M1468)</f>
        <v/>
      </c>
    </row>
    <row r="1469">
      <c r="A1469">
        <f>Data!E1539</f>
        <v/>
      </c>
      <c r="B1469">
        <f>Data!G1539</f>
        <v/>
      </c>
      <c r="C1469">
        <f>Data!H1539</f>
        <v/>
      </c>
      <c r="D1469">
        <f>Data!I1539</f>
        <v/>
      </c>
      <c r="E1469">
        <f>Data!M1539</f>
        <v/>
      </c>
      <c r="F1469">
        <f>Data!O1539</f>
        <v/>
      </c>
      <c r="G1469">
        <f>E1469-F1469</f>
        <v/>
      </c>
      <c r="H1469">
        <f>Data!P1539</f>
        <v/>
      </c>
      <c r="I1469">
        <f>G1469+H1469</f>
        <v/>
      </c>
      <c r="J1469">
        <f>F1469+G1469+H1469</f>
        <v/>
      </c>
      <c r="K1469">
        <f>Data!R1539</f>
        <v/>
      </c>
      <c r="L1469">
        <f>Data!T1539</f>
        <v/>
      </c>
      <c r="M1469">
        <f>AND(E1469=0,F1469=0,G1469=0,H1469=0,I1469=0,J1469=0,K1469=0,L1469=0)</f>
        <v/>
      </c>
      <c r="N1469">
        <f>G1469&lt;=$T$6</f>
        <v/>
      </c>
      <c r="O1469">
        <f>G1469&lt;=$T$12</f>
        <v/>
      </c>
      <c r="P1469">
        <f>OR(AND(H1469&gt;=$T$4,K1469&lt;=$T$5,N1469),M1469)</f>
        <v/>
      </c>
      <c r="Q1469">
        <f>OR(AND(I1469&gt;=$T$10,K1469&lt;=$T$11,O1469),M1469)</f>
        <v/>
      </c>
    </row>
    <row r="1470">
      <c r="A1470">
        <f>Data!E1540</f>
        <v/>
      </c>
      <c r="B1470">
        <f>Data!G1540</f>
        <v/>
      </c>
      <c r="C1470">
        <f>Data!H1540</f>
        <v/>
      </c>
      <c r="D1470">
        <f>Data!I1540</f>
        <v/>
      </c>
      <c r="E1470">
        <f>Data!M1540</f>
        <v/>
      </c>
      <c r="F1470">
        <f>Data!O1540</f>
        <v/>
      </c>
      <c r="G1470">
        <f>E1470-F1470</f>
        <v/>
      </c>
      <c r="H1470">
        <f>Data!P1540</f>
        <v/>
      </c>
      <c r="I1470">
        <f>G1470+H1470</f>
        <v/>
      </c>
      <c r="J1470">
        <f>F1470+G1470+H1470</f>
        <v/>
      </c>
      <c r="K1470">
        <f>Data!R1540</f>
        <v/>
      </c>
      <c r="L1470">
        <f>Data!T1540</f>
        <v/>
      </c>
      <c r="M1470">
        <f>AND(E1470=0,F1470=0,G1470=0,H1470=0,I1470=0,J1470=0,K1470=0,L1470=0)</f>
        <v/>
      </c>
      <c r="N1470">
        <f>G1470&lt;=$T$6</f>
        <v/>
      </c>
      <c r="O1470">
        <f>G1470&lt;=$T$12</f>
        <v/>
      </c>
      <c r="P1470">
        <f>OR(AND(H1470&gt;=$T$4,K1470&lt;=$T$5,N1470),M1470)</f>
        <v/>
      </c>
      <c r="Q1470">
        <f>OR(AND(I1470&gt;=$T$10,K1470&lt;=$T$11,O1470),M1470)</f>
        <v/>
      </c>
    </row>
    <row r="1471">
      <c r="A1471">
        <f>Data!E1541</f>
        <v/>
      </c>
      <c r="B1471">
        <f>Data!G1541</f>
        <v/>
      </c>
      <c r="C1471">
        <f>Data!H1541</f>
        <v/>
      </c>
      <c r="D1471">
        <f>Data!I1541</f>
        <v/>
      </c>
      <c r="E1471">
        <f>Data!M1541</f>
        <v/>
      </c>
      <c r="F1471">
        <f>Data!O1541</f>
        <v/>
      </c>
      <c r="G1471">
        <f>E1471-F1471</f>
        <v/>
      </c>
      <c r="H1471">
        <f>Data!P1541</f>
        <v/>
      </c>
      <c r="I1471">
        <f>G1471+H1471</f>
        <v/>
      </c>
      <c r="J1471">
        <f>F1471+G1471+H1471</f>
        <v/>
      </c>
      <c r="K1471">
        <f>Data!R1541</f>
        <v/>
      </c>
      <c r="L1471">
        <f>Data!T1541</f>
        <v/>
      </c>
      <c r="M1471">
        <f>AND(E1471=0,F1471=0,G1471=0,H1471=0,I1471=0,J1471=0,K1471=0,L1471=0)</f>
        <v/>
      </c>
      <c r="N1471">
        <f>G1471&lt;=$T$6</f>
        <v/>
      </c>
      <c r="O1471">
        <f>G1471&lt;=$T$12</f>
        <v/>
      </c>
      <c r="P1471">
        <f>OR(AND(H1471&gt;=$T$4,K1471&lt;=$T$5,N1471),M1471)</f>
        <v/>
      </c>
      <c r="Q1471">
        <f>OR(AND(I1471&gt;=$T$10,K1471&lt;=$T$11,O1471),M1471)</f>
        <v/>
      </c>
    </row>
    <row r="1472">
      <c r="A1472">
        <f>Data!E1542</f>
        <v/>
      </c>
      <c r="B1472">
        <f>Data!G1542</f>
        <v/>
      </c>
      <c r="C1472">
        <f>Data!H1542</f>
        <v/>
      </c>
      <c r="D1472">
        <f>Data!I1542</f>
        <v/>
      </c>
      <c r="E1472">
        <f>Data!M1542</f>
        <v/>
      </c>
      <c r="F1472">
        <f>Data!O1542</f>
        <v/>
      </c>
      <c r="G1472">
        <f>E1472-F1472</f>
        <v/>
      </c>
      <c r="H1472">
        <f>Data!P1542</f>
        <v/>
      </c>
      <c r="I1472">
        <f>G1472+H1472</f>
        <v/>
      </c>
      <c r="J1472">
        <f>F1472+G1472+H1472</f>
        <v/>
      </c>
      <c r="K1472">
        <f>Data!R1542</f>
        <v/>
      </c>
      <c r="L1472">
        <f>Data!T1542</f>
        <v/>
      </c>
      <c r="M1472">
        <f>AND(E1472=0,F1472=0,G1472=0,H1472=0,I1472=0,J1472=0,K1472=0,L1472=0)</f>
        <v/>
      </c>
      <c r="N1472">
        <f>G1472&lt;=$T$6</f>
        <v/>
      </c>
      <c r="O1472">
        <f>G1472&lt;=$T$12</f>
        <v/>
      </c>
      <c r="P1472">
        <f>OR(AND(H1472&gt;=$T$4,K1472&lt;=$T$5,N1472),M1472)</f>
        <v/>
      </c>
      <c r="Q1472">
        <f>OR(AND(I1472&gt;=$T$10,K1472&lt;=$T$11,O1472),M1472)</f>
        <v/>
      </c>
    </row>
    <row r="1473">
      <c r="A1473">
        <f>Data!E1543</f>
        <v/>
      </c>
      <c r="B1473">
        <f>Data!G1543</f>
        <v/>
      </c>
      <c r="C1473">
        <f>Data!H1543</f>
        <v/>
      </c>
      <c r="D1473">
        <f>Data!I1543</f>
        <v/>
      </c>
      <c r="E1473">
        <f>Data!M1543</f>
        <v/>
      </c>
      <c r="F1473">
        <f>Data!O1543</f>
        <v/>
      </c>
      <c r="G1473">
        <f>E1473-F1473</f>
        <v/>
      </c>
      <c r="H1473">
        <f>Data!P1543</f>
        <v/>
      </c>
      <c r="I1473">
        <f>G1473+H1473</f>
        <v/>
      </c>
      <c r="J1473">
        <f>F1473+G1473+H1473</f>
        <v/>
      </c>
      <c r="K1473">
        <f>Data!R1543</f>
        <v/>
      </c>
      <c r="L1473">
        <f>Data!T1543</f>
        <v/>
      </c>
      <c r="M1473">
        <f>AND(E1473=0,F1473=0,G1473=0,H1473=0,I1473=0,J1473=0,K1473=0,L1473=0)</f>
        <v/>
      </c>
      <c r="N1473">
        <f>G1473&lt;=$T$6</f>
        <v/>
      </c>
      <c r="O1473">
        <f>G1473&lt;=$T$12</f>
        <v/>
      </c>
      <c r="P1473">
        <f>OR(AND(H1473&gt;=$T$4,K1473&lt;=$T$5,N1473),M1473)</f>
        <v/>
      </c>
      <c r="Q1473">
        <f>OR(AND(I1473&gt;=$T$10,K1473&lt;=$T$11,O1473),M1473)</f>
        <v/>
      </c>
    </row>
    <row r="1474">
      <c r="A1474">
        <f>Data!E1544</f>
        <v/>
      </c>
      <c r="B1474">
        <f>Data!G1544</f>
        <v/>
      </c>
      <c r="C1474">
        <f>Data!H1544</f>
        <v/>
      </c>
      <c r="D1474">
        <f>Data!I1544</f>
        <v/>
      </c>
      <c r="E1474">
        <f>Data!M1544</f>
        <v/>
      </c>
      <c r="F1474">
        <f>Data!O1544</f>
        <v/>
      </c>
      <c r="G1474">
        <f>E1474-F1474</f>
        <v/>
      </c>
      <c r="H1474">
        <f>Data!P1544</f>
        <v/>
      </c>
      <c r="I1474">
        <f>G1474+H1474</f>
        <v/>
      </c>
      <c r="J1474">
        <f>F1474+G1474+H1474</f>
        <v/>
      </c>
      <c r="K1474">
        <f>Data!R1544</f>
        <v/>
      </c>
      <c r="L1474">
        <f>Data!T1544</f>
        <v/>
      </c>
      <c r="M1474">
        <f>AND(E1474=0,F1474=0,G1474=0,H1474=0,I1474=0,J1474=0,K1474=0,L1474=0)</f>
        <v/>
      </c>
      <c r="N1474">
        <f>G1474&lt;=$T$6</f>
        <v/>
      </c>
      <c r="O1474">
        <f>G1474&lt;=$T$12</f>
        <v/>
      </c>
      <c r="P1474">
        <f>OR(AND(H1474&gt;=$T$4,K1474&lt;=$T$5,N1474),M1474)</f>
        <v/>
      </c>
      <c r="Q1474">
        <f>OR(AND(I1474&gt;=$T$10,K1474&lt;=$T$11,O1474),M1474)</f>
        <v/>
      </c>
    </row>
    <row r="1475">
      <c r="A1475">
        <f>Data!E1545</f>
        <v/>
      </c>
      <c r="B1475">
        <f>Data!G1545</f>
        <v/>
      </c>
      <c r="C1475">
        <f>Data!H1545</f>
        <v/>
      </c>
      <c r="D1475">
        <f>Data!I1545</f>
        <v/>
      </c>
      <c r="E1475">
        <f>Data!M1545</f>
        <v/>
      </c>
      <c r="F1475">
        <f>Data!O1545</f>
        <v/>
      </c>
      <c r="G1475">
        <f>E1475-F1475</f>
        <v/>
      </c>
      <c r="H1475">
        <f>Data!P1545</f>
        <v/>
      </c>
      <c r="I1475">
        <f>G1475+H1475</f>
        <v/>
      </c>
      <c r="J1475">
        <f>F1475+G1475+H1475</f>
        <v/>
      </c>
      <c r="K1475">
        <f>Data!R1545</f>
        <v/>
      </c>
      <c r="L1475">
        <f>Data!T1545</f>
        <v/>
      </c>
      <c r="M1475">
        <f>AND(E1475=0,F1475=0,G1475=0,H1475=0,I1475=0,J1475=0,K1475=0,L1475=0)</f>
        <v/>
      </c>
      <c r="N1475">
        <f>G1475&lt;=$T$6</f>
        <v/>
      </c>
      <c r="O1475">
        <f>G1475&lt;=$T$12</f>
        <v/>
      </c>
      <c r="P1475">
        <f>OR(AND(H1475&gt;=$T$4,K1475&lt;=$T$5,N1475),M1475)</f>
        <v/>
      </c>
      <c r="Q1475">
        <f>OR(AND(I1475&gt;=$T$10,K1475&lt;=$T$11,O1475),M1475)</f>
        <v/>
      </c>
    </row>
    <row r="1476">
      <c r="A1476">
        <f>Data!E1546</f>
        <v/>
      </c>
      <c r="B1476">
        <f>Data!G1546</f>
        <v/>
      </c>
      <c r="C1476">
        <f>Data!H1546</f>
        <v/>
      </c>
      <c r="D1476">
        <f>Data!I1546</f>
        <v/>
      </c>
      <c r="E1476">
        <f>Data!M1546</f>
        <v/>
      </c>
      <c r="F1476">
        <f>Data!O1546</f>
        <v/>
      </c>
      <c r="G1476">
        <f>E1476-F1476</f>
        <v/>
      </c>
      <c r="H1476">
        <f>Data!P1546</f>
        <v/>
      </c>
      <c r="I1476">
        <f>G1476+H1476</f>
        <v/>
      </c>
      <c r="J1476">
        <f>F1476+G1476+H1476</f>
        <v/>
      </c>
      <c r="K1476">
        <f>Data!R1546</f>
        <v/>
      </c>
      <c r="L1476">
        <f>Data!T1546</f>
        <v/>
      </c>
      <c r="M1476">
        <f>AND(E1476=0,F1476=0,G1476=0,H1476=0,I1476=0,J1476=0,K1476=0,L1476=0)</f>
        <v/>
      </c>
      <c r="N1476">
        <f>G1476&lt;=$T$6</f>
        <v/>
      </c>
      <c r="O1476">
        <f>G1476&lt;=$T$12</f>
        <v/>
      </c>
      <c r="P1476">
        <f>OR(AND(H1476&gt;=$T$4,K1476&lt;=$T$5,N1476),M1476)</f>
        <v/>
      </c>
      <c r="Q1476">
        <f>OR(AND(I1476&gt;=$T$10,K1476&lt;=$T$11,O1476),M1476)</f>
        <v/>
      </c>
    </row>
    <row r="1477">
      <c r="A1477">
        <f>Data!E1548</f>
        <v/>
      </c>
      <c r="B1477">
        <f>Data!G1548</f>
        <v/>
      </c>
      <c r="C1477">
        <f>Data!H1548</f>
        <v/>
      </c>
      <c r="D1477">
        <f>Data!I1548</f>
        <v/>
      </c>
      <c r="E1477">
        <f>Data!M1548</f>
        <v/>
      </c>
      <c r="F1477">
        <f>Data!O1548</f>
        <v/>
      </c>
      <c r="G1477">
        <f>E1477-F1477</f>
        <v/>
      </c>
      <c r="H1477">
        <f>Data!P1548</f>
        <v/>
      </c>
      <c r="I1477">
        <f>G1477+H1477</f>
        <v/>
      </c>
      <c r="J1477">
        <f>F1477+G1477+H1477</f>
        <v/>
      </c>
      <c r="K1477">
        <f>Data!R1548</f>
        <v/>
      </c>
      <c r="L1477">
        <f>Data!T1548</f>
        <v/>
      </c>
      <c r="M1477">
        <f>AND(E1477=0,F1477=0,G1477=0,H1477=0,I1477=0,J1477=0,K1477=0,L1477=0)</f>
        <v/>
      </c>
      <c r="N1477">
        <f>G1477&lt;=$T$6</f>
        <v/>
      </c>
      <c r="O1477">
        <f>G1477&lt;=$T$12</f>
        <v/>
      </c>
      <c r="P1477">
        <f>OR(AND(H1477&gt;=$T$4,K1477&lt;=$T$5,N1477),M1477)</f>
        <v/>
      </c>
      <c r="Q1477">
        <f>OR(AND(I1477&gt;=$T$10,K1477&lt;=$T$11,O1477),M1477)</f>
        <v/>
      </c>
    </row>
    <row r="1478">
      <c r="A1478">
        <f>Data!E1549</f>
        <v/>
      </c>
      <c r="B1478">
        <f>Data!G1549</f>
        <v/>
      </c>
      <c r="C1478">
        <f>Data!H1549</f>
        <v/>
      </c>
      <c r="D1478">
        <f>Data!I1549</f>
        <v/>
      </c>
      <c r="E1478">
        <f>Data!M1549</f>
        <v/>
      </c>
      <c r="F1478">
        <f>Data!O1549</f>
        <v/>
      </c>
      <c r="G1478">
        <f>E1478-F1478</f>
        <v/>
      </c>
      <c r="H1478">
        <f>Data!P1549</f>
        <v/>
      </c>
      <c r="I1478">
        <f>G1478+H1478</f>
        <v/>
      </c>
      <c r="J1478">
        <f>F1478+G1478+H1478</f>
        <v/>
      </c>
      <c r="K1478">
        <f>Data!R1549</f>
        <v/>
      </c>
      <c r="L1478">
        <f>Data!T1549</f>
        <v/>
      </c>
      <c r="M1478">
        <f>AND(E1478=0,F1478=0,G1478=0,H1478=0,I1478=0,J1478=0,K1478=0,L1478=0)</f>
        <v/>
      </c>
      <c r="N1478">
        <f>G1478&lt;=$T$6</f>
        <v/>
      </c>
      <c r="O1478">
        <f>G1478&lt;=$T$12</f>
        <v/>
      </c>
      <c r="P1478">
        <f>OR(AND(H1478&gt;=$T$4,K1478&lt;=$T$5,N1478),M1478)</f>
        <v/>
      </c>
      <c r="Q1478">
        <f>OR(AND(I1478&gt;=$T$10,K1478&lt;=$T$11,O1478),M1478)</f>
        <v/>
      </c>
    </row>
    <row r="1479">
      <c r="A1479">
        <f>Data!E1550</f>
        <v/>
      </c>
      <c r="B1479">
        <f>Data!G1550</f>
        <v/>
      </c>
      <c r="C1479">
        <f>Data!H1550</f>
        <v/>
      </c>
      <c r="D1479">
        <f>Data!I1550</f>
        <v/>
      </c>
      <c r="E1479">
        <f>Data!M1550</f>
        <v/>
      </c>
      <c r="F1479">
        <f>Data!O1550</f>
        <v/>
      </c>
      <c r="G1479">
        <f>E1479-F1479</f>
        <v/>
      </c>
      <c r="H1479">
        <f>Data!P1550</f>
        <v/>
      </c>
      <c r="I1479">
        <f>G1479+H1479</f>
        <v/>
      </c>
      <c r="J1479">
        <f>F1479+G1479+H1479</f>
        <v/>
      </c>
      <c r="K1479">
        <f>Data!R1550</f>
        <v/>
      </c>
      <c r="L1479">
        <f>Data!T1550</f>
        <v/>
      </c>
      <c r="M1479">
        <f>AND(E1479=0,F1479=0,G1479=0,H1479=0,I1479=0,J1479=0,K1479=0,L1479=0)</f>
        <v/>
      </c>
      <c r="N1479">
        <f>G1479&lt;=$T$6</f>
        <v/>
      </c>
      <c r="O1479">
        <f>G1479&lt;=$T$12</f>
        <v/>
      </c>
      <c r="P1479">
        <f>OR(AND(H1479&gt;=$T$4,K1479&lt;=$T$5,N1479),M1479)</f>
        <v/>
      </c>
      <c r="Q1479">
        <f>OR(AND(I1479&gt;=$T$10,K1479&lt;=$T$11,O1479),M1479)</f>
        <v/>
      </c>
    </row>
    <row r="1480">
      <c r="A1480">
        <f>Data!E1551</f>
        <v/>
      </c>
      <c r="B1480">
        <f>Data!G1551</f>
        <v/>
      </c>
      <c r="C1480">
        <f>Data!H1551</f>
        <v/>
      </c>
      <c r="D1480">
        <f>Data!I1551</f>
        <v/>
      </c>
      <c r="E1480">
        <f>Data!M1551</f>
        <v/>
      </c>
      <c r="F1480">
        <f>Data!O1551</f>
        <v/>
      </c>
      <c r="G1480">
        <f>E1480-F1480</f>
        <v/>
      </c>
      <c r="H1480">
        <f>Data!P1551</f>
        <v/>
      </c>
      <c r="I1480">
        <f>G1480+H1480</f>
        <v/>
      </c>
      <c r="J1480">
        <f>F1480+G1480+H1480</f>
        <v/>
      </c>
      <c r="K1480">
        <f>Data!R1551</f>
        <v/>
      </c>
      <c r="L1480">
        <f>Data!T1551</f>
        <v/>
      </c>
      <c r="M1480">
        <f>AND(E1480=0,F1480=0,G1480=0,H1480=0,I1480=0,J1480=0,K1480=0,L1480=0)</f>
        <v/>
      </c>
      <c r="N1480">
        <f>G1480&lt;=$T$6</f>
        <v/>
      </c>
      <c r="O1480">
        <f>G1480&lt;=$T$12</f>
        <v/>
      </c>
      <c r="P1480">
        <f>OR(AND(H1480&gt;=$T$4,K1480&lt;=$T$5,N1480),M1480)</f>
        <v/>
      </c>
      <c r="Q1480">
        <f>OR(AND(I1480&gt;=$T$10,K1480&lt;=$T$11,O1480),M1480)</f>
        <v/>
      </c>
    </row>
    <row r="1481">
      <c r="A1481">
        <f>Data!E1552</f>
        <v/>
      </c>
      <c r="B1481">
        <f>Data!G1552</f>
        <v/>
      </c>
      <c r="C1481">
        <f>Data!H1552</f>
        <v/>
      </c>
      <c r="D1481">
        <f>Data!I1552</f>
        <v/>
      </c>
      <c r="E1481">
        <f>Data!M1552</f>
        <v/>
      </c>
      <c r="F1481">
        <f>Data!O1552</f>
        <v/>
      </c>
      <c r="G1481">
        <f>E1481-F1481</f>
        <v/>
      </c>
      <c r="H1481">
        <f>Data!P1552</f>
        <v/>
      </c>
      <c r="I1481">
        <f>G1481+H1481</f>
        <v/>
      </c>
      <c r="J1481">
        <f>F1481+G1481+H1481</f>
        <v/>
      </c>
      <c r="K1481">
        <f>Data!R1552</f>
        <v/>
      </c>
      <c r="L1481">
        <f>Data!T1552</f>
        <v/>
      </c>
      <c r="M1481">
        <f>AND(E1481=0,F1481=0,G1481=0,H1481=0,I1481=0,J1481=0,K1481=0,L1481=0)</f>
        <v/>
      </c>
      <c r="N1481">
        <f>G1481&lt;=$T$6</f>
        <v/>
      </c>
      <c r="O1481">
        <f>G1481&lt;=$T$12</f>
        <v/>
      </c>
      <c r="P1481">
        <f>OR(AND(H1481&gt;=$T$4,K1481&lt;=$T$5,N1481),M1481)</f>
        <v/>
      </c>
      <c r="Q1481">
        <f>OR(AND(I1481&gt;=$T$10,K1481&lt;=$T$11,O1481),M1481)</f>
        <v/>
      </c>
    </row>
    <row r="1482">
      <c r="A1482">
        <f>Data!E1553</f>
        <v/>
      </c>
      <c r="B1482">
        <f>Data!G1553</f>
        <v/>
      </c>
      <c r="C1482">
        <f>Data!H1553</f>
        <v/>
      </c>
      <c r="D1482">
        <f>Data!I1553</f>
        <v/>
      </c>
      <c r="E1482">
        <f>Data!M1553</f>
        <v/>
      </c>
      <c r="F1482">
        <f>Data!O1553</f>
        <v/>
      </c>
      <c r="G1482">
        <f>E1482-F1482</f>
        <v/>
      </c>
      <c r="H1482">
        <f>Data!P1553</f>
        <v/>
      </c>
      <c r="I1482">
        <f>G1482+H1482</f>
        <v/>
      </c>
      <c r="J1482">
        <f>F1482+G1482+H1482</f>
        <v/>
      </c>
      <c r="K1482">
        <f>Data!R1553</f>
        <v/>
      </c>
      <c r="L1482">
        <f>Data!T1553</f>
        <v/>
      </c>
      <c r="M1482">
        <f>AND(E1482=0,F1482=0,G1482=0,H1482=0,I1482=0,J1482=0,K1482=0,L1482=0)</f>
        <v/>
      </c>
      <c r="N1482">
        <f>G1482&lt;=$T$6</f>
        <v/>
      </c>
      <c r="O1482">
        <f>G1482&lt;=$T$12</f>
        <v/>
      </c>
      <c r="P1482">
        <f>OR(AND(H1482&gt;=$T$4,K1482&lt;=$T$5,N1482),M1482)</f>
        <v/>
      </c>
      <c r="Q1482">
        <f>OR(AND(I1482&gt;=$T$10,K1482&lt;=$T$11,O1482),M1482)</f>
        <v/>
      </c>
    </row>
    <row r="1483">
      <c r="A1483">
        <f>Data!E1554</f>
        <v/>
      </c>
      <c r="B1483">
        <f>Data!G1554</f>
        <v/>
      </c>
      <c r="C1483">
        <f>Data!H1554</f>
        <v/>
      </c>
      <c r="D1483">
        <f>Data!I1554</f>
        <v/>
      </c>
      <c r="E1483">
        <f>Data!M1554</f>
        <v/>
      </c>
      <c r="F1483">
        <f>Data!O1554</f>
        <v/>
      </c>
      <c r="G1483">
        <f>E1483-F1483</f>
        <v/>
      </c>
      <c r="H1483">
        <f>Data!P1554</f>
        <v/>
      </c>
      <c r="I1483">
        <f>G1483+H1483</f>
        <v/>
      </c>
      <c r="J1483">
        <f>F1483+G1483+H1483</f>
        <v/>
      </c>
      <c r="K1483">
        <f>Data!R1554</f>
        <v/>
      </c>
      <c r="L1483">
        <f>Data!T1554</f>
        <v/>
      </c>
      <c r="M1483">
        <f>AND(E1483=0,F1483=0,G1483=0,H1483=0,I1483=0,J1483=0,K1483=0,L1483=0)</f>
        <v/>
      </c>
      <c r="N1483">
        <f>G1483&lt;=$T$6</f>
        <v/>
      </c>
      <c r="O1483">
        <f>G1483&lt;=$T$12</f>
        <v/>
      </c>
      <c r="P1483">
        <f>OR(AND(H1483&gt;=$T$4,K1483&lt;=$T$5,N1483),M1483)</f>
        <v/>
      </c>
      <c r="Q1483">
        <f>OR(AND(I1483&gt;=$T$10,K1483&lt;=$T$11,O1483),M1483)</f>
        <v/>
      </c>
    </row>
    <row r="1484">
      <c r="A1484">
        <f>Data!E1555</f>
        <v/>
      </c>
      <c r="B1484">
        <f>Data!G1555</f>
        <v/>
      </c>
      <c r="C1484">
        <f>Data!H1555</f>
        <v/>
      </c>
      <c r="D1484">
        <f>Data!I1555</f>
        <v/>
      </c>
      <c r="E1484">
        <f>Data!M1555</f>
        <v/>
      </c>
      <c r="F1484">
        <f>Data!O1555</f>
        <v/>
      </c>
      <c r="G1484">
        <f>E1484-F1484</f>
        <v/>
      </c>
      <c r="H1484">
        <f>Data!P1555</f>
        <v/>
      </c>
      <c r="I1484">
        <f>G1484+H1484</f>
        <v/>
      </c>
      <c r="J1484">
        <f>F1484+G1484+H1484</f>
        <v/>
      </c>
      <c r="K1484">
        <f>Data!R1555</f>
        <v/>
      </c>
      <c r="L1484">
        <f>Data!T1555</f>
        <v/>
      </c>
      <c r="M1484">
        <f>AND(E1484=0,F1484=0,G1484=0,H1484=0,I1484=0,J1484=0,K1484=0,L1484=0)</f>
        <v/>
      </c>
      <c r="N1484">
        <f>G1484&lt;=$T$6</f>
        <v/>
      </c>
      <c r="O1484">
        <f>G1484&lt;=$T$12</f>
        <v/>
      </c>
      <c r="P1484">
        <f>OR(AND(H1484&gt;=$T$4,K1484&lt;=$T$5,N1484),M1484)</f>
        <v/>
      </c>
      <c r="Q1484">
        <f>OR(AND(I1484&gt;=$T$10,K1484&lt;=$T$11,O1484),M1484)</f>
        <v/>
      </c>
    </row>
    <row r="1485">
      <c r="A1485">
        <f>Data!E1556</f>
        <v/>
      </c>
      <c r="B1485">
        <f>Data!G1556</f>
        <v/>
      </c>
      <c r="C1485">
        <f>Data!H1556</f>
        <v/>
      </c>
      <c r="D1485">
        <f>Data!I1556</f>
        <v/>
      </c>
      <c r="E1485">
        <f>Data!M1556</f>
        <v/>
      </c>
      <c r="F1485">
        <f>Data!O1556</f>
        <v/>
      </c>
      <c r="G1485">
        <f>E1485-F1485</f>
        <v/>
      </c>
      <c r="H1485">
        <f>Data!P1556</f>
        <v/>
      </c>
      <c r="I1485">
        <f>G1485+H1485</f>
        <v/>
      </c>
      <c r="J1485">
        <f>F1485+G1485+H1485</f>
        <v/>
      </c>
      <c r="K1485">
        <f>Data!R1556</f>
        <v/>
      </c>
      <c r="L1485">
        <f>Data!T1556</f>
        <v/>
      </c>
      <c r="M1485">
        <f>AND(E1485=0,F1485=0,G1485=0,H1485=0,I1485=0,J1485=0,K1485=0,L1485=0)</f>
        <v/>
      </c>
      <c r="N1485">
        <f>G1485&lt;=$T$6</f>
        <v/>
      </c>
      <c r="O1485">
        <f>G1485&lt;=$T$12</f>
        <v/>
      </c>
      <c r="P1485">
        <f>OR(AND(H1485&gt;=$T$4,K1485&lt;=$T$5,N1485),M1485)</f>
        <v/>
      </c>
      <c r="Q1485">
        <f>OR(AND(I1485&gt;=$T$10,K1485&lt;=$T$11,O1485),M1485)</f>
        <v/>
      </c>
    </row>
    <row r="1486">
      <c r="A1486">
        <f>Data!E1557</f>
        <v/>
      </c>
      <c r="B1486">
        <f>Data!G1557</f>
        <v/>
      </c>
      <c r="C1486">
        <f>Data!H1557</f>
        <v/>
      </c>
      <c r="D1486">
        <f>Data!I1557</f>
        <v/>
      </c>
      <c r="E1486">
        <f>Data!M1557</f>
        <v/>
      </c>
      <c r="F1486">
        <f>Data!O1557</f>
        <v/>
      </c>
      <c r="G1486">
        <f>E1486-F1486</f>
        <v/>
      </c>
      <c r="H1486">
        <f>Data!P1557</f>
        <v/>
      </c>
      <c r="I1486">
        <f>G1486+H1486</f>
        <v/>
      </c>
      <c r="J1486">
        <f>F1486+G1486+H1486</f>
        <v/>
      </c>
      <c r="K1486">
        <f>Data!R1557</f>
        <v/>
      </c>
      <c r="L1486">
        <f>Data!T1557</f>
        <v/>
      </c>
      <c r="M1486">
        <f>AND(E1486=0,F1486=0,G1486=0,H1486=0,I1486=0,J1486=0,K1486=0,L1486=0)</f>
        <v/>
      </c>
      <c r="N1486">
        <f>G1486&lt;=$T$6</f>
        <v/>
      </c>
      <c r="O1486">
        <f>G1486&lt;=$T$12</f>
        <v/>
      </c>
      <c r="P1486">
        <f>OR(AND(H1486&gt;=$T$4,K1486&lt;=$T$5,N1486),M1486)</f>
        <v/>
      </c>
      <c r="Q1486">
        <f>OR(AND(I1486&gt;=$T$10,K1486&lt;=$T$11,O1486),M1486)</f>
        <v/>
      </c>
    </row>
    <row r="1487">
      <c r="A1487">
        <f>Data!E1558</f>
        <v/>
      </c>
      <c r="B1487">
        <f>Data!G1558</f>
        <v/>
      </c>
      <c r="C1487">
        <f>Data!H1558</f>
        <v/>
      </c>
      <c r="D1487">
        <f>Data!I1558</f>
        <v/>
      </c>
      <c r="E1487">
        <f>Data!M1558</f>
        <v/>
      </c>
      <c r="F1487">
        <f>Data!O1558</f>
        <v/>
      </c>
      <c r="G1487">
        <f>E1487-F1487</f>
        <v/>
      </c>
      <c r="H1487">
        <f>Data!P1558</f>
        <v/>
      </c>
      <c r="I1487">
        <f>G1487+H1487</f>
        <v/>
      </c>
      <c r="J1487">
        <f>F1487+G1487+H1487</f>
        <v/>
      </c>
      <c r="K1487">
        <f>Data!R1558</f>
        <v/>
      </c>
      <c r="L1487">
        <f>Data!T1558</f>
        <v/>
      </c>
      <c r="M1487">
        <f>AND(E1487=0,F1487=0,G1487=0,H1487=0,I1487=0,J1487=0,K1487=0,L1487=0)</f>
        <v/>
      </c>
      <c r="N1487">
        <f>G1487&lt;=$T$6</f>
        <v/>
      </c>
      <c r="O1487">
        <f>G1487&lt;=$T$12</f>
        <v/>
      </c>
      <c r="P1487">
        <f>OR(AND(H1487&gt;=$T$4,K1487&lt;=$T$5,N1487),M1487)</f>
        <v/>
      </c>
      <c r="Q1487">
        <f>OR(AND(I1487&gt;=$T$10,K1487&lt;=$T$11,O1487),M1487)</f>
        <v/>
      </c>
    </row>
    <row r="1488">
      <c r="A1488">
        <f>Data!E1559</f>
        <v/>
      </c>
      <c r="B1488">
        <f>Data!G1559</f>
        <v/>
      </c>
      <c r="C1488">
        <f>Data!H1559</f>
        <v/>
      </c>
      <c r="D1488">
        <f>Data!I1559</f>
        <v/>
      </c>
      <c r="E1488">
        <f>Data!M1559</f>
        <v/>
      </c>
      <c r="F1488">
        <f>Data!O1559</f>
        <v/>
      </c>
      <c r="G1488">
        <f>E1488-F1488</f>
        <v/>
      </c>
      <c r="H1488">
        <f>Data!P1559</f>
        <v/>
      </c>
      <c r="I1488">
        <f>G1488+H1488</f>
        <v/>
      </c>
      <c r="J1488">
        <f>F1488+G1488+H1488</f>
        <v/>
      </c>
      <c r="K1488">
        <f>Data!R1559</f>
        <v/>
      </c>
      <c r="L1488">
        <f>Data!T1559</f>
        <v/>
      </c>
      <c r="M1488">
        <f>AND(E1488=0,F1488=0,G1488=0,H1488=0,I1488=0,J1488=0,K1488=0,L1488=0)</f>
        <v/>
      </c>
      <c r="N1488">
        <f>G1488&lt;=$T$6</f>
        <v/>
      </c>
      <c r="O1488">
        <f>G1488&lt;=$T$12</f>
        <v/>
      </c>
      <c r="P1488">
        <f>OR(AND(H1488&gt;=$T$4,K1488&lt;=$T$5,N1488),M1488)</f>
        <v/>
      </c>
      <c r="Q1488">
        <f>OR(AND(I1488&gt;=$T$10,K1488&lt;=$T$11,O1488),M1488)</f>
        <v/>
      </c>
    </row>
    <row r="1489">
      <c r="A1489">
        <f>Data!E1560</f>
        <v/>
      </c>
      <c r="B1489">
        <f>Data!G1560</f>
        <v/>
      </c>
      <c r="C1489">
        <f>Data!H1560</f>
        <v/>
      </c>
      <c r="D1489">
        <f>Data!I1560</f>
        <v/>
      </c>
      <c r="E1489">
        <f>Data!M1560</f>
        <v/>
      </c>
      <c r="F1489">
        <f>Data!O1560</f>
        <v/>
      </c>
      <c r="G1489">
        <f>E1489-F1489</f>
        <v/>
      </c>
      <c r="H1489">
        <f>Data!P1560</f>
        <v/>
      </c>
      <c r="I1489">
        <f>G1489+H1489</f>
        <v/>
      </c>
      <c r="J1489">
        <f>F1489+G1489+H1489</f>
        <v/>
      </c>
      <c r="K1489">
        <f>Data!R1560</f>
        <v/>
      </c>
      <c r="L1489">
        <f>Data!T1560</f>
        <v/>
      </c>
      <c r="M1489">
        <f>AND(E1489=0,F1489=0,G1489=0,H1489=0,I1489=0,J1489=0,K1489=0,L1489=0)</f>
        <v/>
      </c>
      <c r="N1489">
        <f>G1489&lt;=$T$6</f>
        <v/>
      </c>
      <c r="O1489">
        <f>G1489&lt;=$T$12</f>
        <v/>
      </c>
      <c r="P1489">
        <f>OR(AND(H1489&gt;=$T$4,K1489&lt;=$T$5,N1489),M1489)</f>
        <v/>
      </c>
      <c r="Q1489">
        <f>OR(AND(I1489&gt;=$T$10,K1489&lt;=$T$11,O1489),M1489)</f>
        <v/>
      </c>
    </row>
    <row r="1490">
      <c r="A1490">
        <f>Data!E1561</f>
        <v/>
      </c>
      <c r="B1490">
        <f>Data!G1561</f>
        <v/>
      </c>
      <c r="C1490">
        <f>Data!H1561</f>
        <v/>
      </c>
      <c r="D1490">
        <f>Data!I1561</f>
        <v/>
      </c>
      <c r="E1490">
        <f>Data!M1561</f>
        <v/>
      </c>
      <c r="F1490">
        <f>Data!O1561</f>
        <v/>
      </c>
      <c r="G1490">
        <f>E1490-F1490</f>
        <v/>
      </c>
      <c r="H1490">
        <f>Data!P1561</f>
        <v/>
      </c>
      <c r="I1490">
        <f>G1490+H1490</f>
        <v/>
      </c>
      <c r="J1490">
        <f>F1490+G1490+H1490</f>
        <v/>
      </c>
      <c r="K1490">
        <f>Data!R1561</f>
        <v/>
      </c>
      <c r="L1490">
        <f>Data!T1561</f>
        <v/>
      </c>
      <c r="M1490">
        <f>AND(E1490=0,F1490=0,G1490=0,H1490=0,I1490=0,J1490=0,K1490=0,L1490=0)</f>
        <v/>
      </c>
      <c r="N1490">
        <f>G1490&lt;=$T$6</f>
        <v/>
      </c>
      <c r="O1490">
        <f>G1490&lt;=$T$12</f>
        <v/>
      </c>
      <c r="P1490">
        <f>OR(AND(H1490&gt;=$T$4,K1490&lt;=$T$5,N1490),M1490)</f>
        <v/>
      </c>
      <c r="Q1490">
        <f>OR(AND(I1490&gt;=$T$10,K1490&lt;=$T$11,O1490),M1490)</f>
        <v/>
      </c>
    </row>
    <row r="1491">
      <c r="A1491">
        <f>Data!E1562</f>
        <v/>
      </c>
      <c r="B1491">
        <f>Data!G1562</f>
        <v/>
      </c>
      <c r="C1491">
        <f>Data!H1562</f>
        <v/>
      </c>
      <c r="D1491">
        <f>Data!I1562</f>
        <v/>
      </c>
      <c r="E1491">
        <f>Data!M1562</f>
        <v/>
      </c>
      <c r="F1491">
        <f>Data!O1562</f>
        <v/>
      </c>
      <c r="G1491">
        <f>E1491-F1491</f>
        <v/>
      </c>
      <c r="H1491">
        <f>Data!P1562</f>
        <v/>
      </c>
      <c r="I1491">
        <f>G1491+H1491</f>
        <v/>
      </c>
      <c r="J1491">
        <f>F1491+G1491+H1491</f>
        <v/>
      </c>
      <c r="K1491">
        <f>Data!R1562</f>
        <v/>
      </c>
      <c r="L1491">
        <f>Data!T1562</f>
        <v/>
      </c>
      <c r="M1491">
        <f>AND(E1491=0,F1491=0,G1491=0,H1491=0,I1491=0,J1491=0,K1491=0,L1491=0)</f>
        <v/>
      </c>
      <c r="N1491">
        <f>G1491&lt;=$T$6</f>
        <v/>
      </c>
      <c r="O1491">
        <f>G1491&lt;=$T$12</f>
        <v/>
      </c>
      <c r="P1491">
        <f>OR(AND(H1491&gt;=$T$4,K1491&lt;=$T$5,N1491),M1491)</f>
        <v/>
      </c>
      <c r="Q1491">
        <f>OR(AND(I1491&gt;=$T$10,K1491&lt;=$T$11,O1491),M1491)</f>
        <v/>
      </c>
    </row>
    <row r="1492">
      <c r="A1492">
        <f>Data!E1563</f>
        <v/>
      </c>
      <c r="B1492">
        <f>Data!G1563</f>
        <v/>
      </c>
      <c r="C1492">
        <f>Data!H1563</f>
        <v/>
      </c>
      <c r="D1492">
        <f>Data!I1563</f>
        <v/>
      </c>
      <c r="E1492">
        <f>Data!M1563</f>
        <v/>
      </c>
      <c r="F1492">
        <f>Data!O1563</f>
        <v/>
      </c>
      <c r="G1492">
        <f>E1492-F1492</f>
        <v/>
      </c>
      <c r="H1492">
        <f>Data!P1563</f>
        <v/>
      </c>
      <c r="I1492">
        <f>G1492+H1492</f>
        <v/>
      </c>
      <c r="J1492">
        <f>F1492+G1492+H1492</f>
        <v/>
      </c>
      <c r="K1492">
        <f>Data!R1563</f>
        <v/>
      </c>
      <c r="L1492">
        <f>Data!T1563</f>
        <v/>
      </c>
      <c r="M1492">
        <f>AND(E1492=0,F1492=0,G1492=0,H1492=0,I1492=0,J1492=0,K1492=0,L1492=0)</f>
        <v/>
      </c>
      <c r="N1492">
        <f>G1492&lt;=$T$6</f>
        <v/>
      </c>
      <c r="O1492">
        <f>G1492&lt;=$T$12</f>
        <v/>
      </c>
      <c r="P1492">
        <f>OR(AND(H1492&gt;=$T$4,K1492&lt;=$T$5,N1492),M1492)</f>
        <v/>
      </c>
      <c r="Q1492">
        <f>OR(AND(I1492&gt;=$T$10,K1492&lt;=$T$11,O1492),M1492)</f>
        <v/>
      </c>
    </row>
    <row r="1493">
      <c r="A1493">
        <f>Data!E1564</f>
        <v/>
      </c>
      <c r="B1493">
        <f>Data!G1564</f>
        <v/>
      </c>
      <c r="C1493">
        <f>Data!H1564</f>
        <v/>
      </c>
      <c r="D1493">
        <f>Data!I1564</f>
        <v/>
      </c>
      <c r="E1493">
        <f>Data!M1564</f>
        <v/>
      </c>
      <c r="F1493">
        <f>Data!O1564</f>
        <v/>
      </c>
      <c r="G1493">
        <f>E1493-F1493</f>
        <v/>
      </c>
      <c r="H1493">
        <f>Data!P1564</f>
        <v/>
      </c>
      <c r="I1493">
        <f>G1493+H1493</f>
        <v/>
      </c>
      <c r="J1493">
        <f>F1493+G1493+H1493</f>
        <v/>
      </c>
      <c r="K1493">
        <f>Data!R1564</f>
        <v/>
      </c>
      <c r="L1493">
        <f>Data!T1564</f>
        <v/>
      </c>
      <c r="M1493">
        <f>AND(E1493=0,F1493=0,G1493=0,H1493=0,I1493=0,J1493=0,K1493=0,L1493=0)</f>
        <v/>
      </c>
      <c r="N1493">
        <f>G1493&lt;=$T$6</f>
        <v/>
      </c>
      <c r="O1493">
        <f>G1493&lt;=$T$12</f>
        <v/>
      </c>
      <c r="P1493">
        <f>OR(AND(H1493&gt;=$T$4,K1493&lt;=$T$5,N1493),M1493)</f>
        <v/>
      </c>
      <c r="Q1493">
        <f>OR(AND(I1493&gt;=$T$10,K1493&lt;=$T$11,O1493),M1493)</f>
        <v/>
      </c>
    </row>
    <row r="1494">
      <c r="A1494">
        <f>Data!E1565</f>
        <v/>
      </c>
      <c r="B1494">
        <f>Data!G1565</f>
        <v/>
      </c>
      <c r="C1494">
        <f>Data!H1565</f>
        <v/>
      </c>
      <c r="D1494">
        <f>Data!I1565</f>
        <v/>
      </c>
      <c r="E1494">
        <f>Data!M1565</f>
        <v/>
      </c>
      <c r="F1494">
        <f>Data!O1565</f>
        <v/>
      </c>
      <c r="G1494">
        <f>E1494-F1494</f>
        <v/>
      </c>
      <c r="H1494">
        <f>Data!P1565</f>
        <v/>
      </c>
      <c r="I1494">
        <f>G1494+H1494</f>
        <v/>
      </c>
      <c r="J1494">
        <f>F1494+G1494+H1494</f>
        <v/>
      </c>
      <c r="K1494">
        <f>Data!R1565</f>
        <v/>
      </c>
      <c r="L1494">
        <f>Data!T1565</f>
        <v/>
      </c>
      <c r="M1494">
        <f>AND(E1494=0,F1494=0,G1494=0,H1494=0,I1494=0,J1494=0,K1494=0,L1494=0)</f>
        <v/>
      </c>
      <c r="N1494">
        <f>G1494&lt;=$T$6</f>
        <v/>
      </c>
      <c r="O1494">
        <f>G1494&lt;=$T$12</f>
        <v/>
      </c>
      <c r="P1494">
        <f>OR(AND(H1494&gt;=$T$4,K1494&lt;=$T$5,N1494),M1494)</f>
        <v/>
      </c>
      <c r="Q1494">
        <f>OR(AND(I1494&gt;=$T$10,K1494&lt;=$T$11,O1494),M1494)</f>
        <v/>
      </c>
    </row>
    <row r="1495">
      <c r="A1495">
        <f>Data!E1566</f>
        <v/>
      </c>
      <c r="B1495">
        <f>Data!G1566</f>
        <v/>
      </c>
      <c r="C1495">
        <f>Data!H1566</f>
        <v/>
      </c>
      <c r="D1495">
        <f>Data!I1566</f>
        <v/>
      </c>
      <c r="E1495">
        <f>Data!M1566</f>
        <v/>
      </c>
      <c r="F1495">
        <f>Data!O1566</f>
        <v/>
      </c>
      <c r="G1495">
        <f>E1495-F1495</f>
        <v/>
      </c>
      <c r="H1495">
        <f>Data!P1566</f>
        <v/>
      </c>
      <c r="I1495">
        <f>G1495+H1495</f>
        <v/>
      </c>
      <c r="J1495">
        <f>F1495+G1495+H1495</f>
        <v/>
      </c>
      <c r="K1495">
        <f>Data!R1566</f>
        <v/>
      </c>
      <c r="L1495">
        <f>Data!T1566</f>
        <v/>
      </c>
      <c r="M1495">
        <f>AND(E1495=0,F1495=0,G1495=0,H1495=0,I1495=0,J1495=0,K1495=0,L1495=0)</f>
        <v/>
      </c>
      <c r="N1495">
        <f>G1495&lt;=$T$6</f>
        <v/>
      </c>
      <c r="O1495">
        <f>G1495&lt;=$T$12</f>
        <v/>
      </c>
      <c r="P1495">
        <f>OR(AND(H1495&gt;=$T$4,K1495&lt;=$T$5,N1495),M1495)</f>
        <v/>
      </c>
      <c r="Q1495">
        <f>OR(AND(I1495&gt;=$T$10,K1495&lt;=$T$11,O1495),M1495)</f>
        <v/>
      </c>
    </row>
    <row r="1496">
      <c r="A1496">
        <f>Data!E1567</f>
        <v/>
      </c>
      <c r="B1496">
        <f>Data!G1567</f>
        <v/>
      </c>
      <c r="C1496">
        <f>Data!H1567</f>
        <v/>
      </c>
      <c r="D1496">
        <f>Data!I1567</f>
        <v/>
      </c>
      <c r="E1496">
        <f>Data!M1567</f>
        <v/>
      </c>
      <c r="F1496">
        <f>Data!O1567</f>
        <v/>
      </c>
      <c r="G1496">
        <f>E1496-F1496</f>
        <v/>
      </c>
      <c r="H1496">
        <f>Data!P1567</f>
        <v/>
      </c>
      <c r="I1496">
        <f>G1496+H1496</f>
        <v/>
      </c>
      <c r="J1496">
        <f>F1496+G1496+H1496</f>
        <v/>
      </c>
      <c r="K1496">
        <f>Data!R1567</f>
        <v/>
      </c>
      <c r="L1496">
        <f>Data!T1567</f>
        <v/>
      </c>
      <c r="M1496">
        <f>AND(E1496=0,F1496=0,G1496=0,H1496=0,I1496=0,J1496=0,K1496=0,L1496=0)</f>
        <v/>
      </c>
      <c r="N1496">
        <f>G1496&lt;=$T$6</f>
        <v/>
      </c>
      <c r="O1496">
        <f>G1496&lt;=$T$12</f>
        <v/>
      </c>
      <c r="P1496">
        <f>OR(AND(H1496&gt;=$T$4,K1496&lt;=$T$5,N1496),M1496)</f>
        <v/>
      </c>
      <c r="Q1496">
        <f>OR(AND(I1496&gt;=$T$10,K1496&lt;=$T$11,O1496),M1496)</f>
        <v/>
      </c>
    </row>
    <row r="1497">
      <c r="A1497">
        <f>Data!E1568</f>
        <v/>
      </c>
      <c r="B1497">
        <f>Data!G1568</f>
        <v/>
      </c>
      <c r="C1497">
        <f>Data!H1568</f>
        <v/>
      </c>
      <c r="D1497">
        <f>Data!I1568</f>
        <v/>
      </c>
      <c r="E1497">
        <f>Data!M1568</f>
        <v/>
      </c>
      <c r="F1497">
        <f>Data!O1568</f>
        <v/>
      </c>
      <c r="G1497">
        <f>E1497-F1497</f>
        <v/>
      </c>
      <c r="H1497">
        <f>Data!P1568</f>
        <v/>
      </c>
      <c r="I1497">
        <f>G1497+H1497</f>
        <v/>
      </c>
      <c r="J1497">
        <f>F1497+G1497+H1497</f>
        <v/>
      </c>
      <c r="K1497">
        <f>Data!R1568</f>
        <v/>
      </c>
      <c r="L1497">
        <f>Data!T1568</f>
        <v/>
      </c>
      <c r="M1497">
        <f>AND(E1497=0,F1497=0,G1497=0,H1497=0,I1497=0,J1497=0,K1497=0,L1497=0)</f>
        <v/>
      </c>
      <c r="N1497">
        <f>G1497&lt;=$T$6</f>
        <v/>
      </c>
      <c r="O1497">
        <f>G1497&lt;=$T$12</f>
        <v/>
      </c>
      <c r="P1497">
        <f>OR(AND(H1497&gt;=$T$4,K1497&lt;=$T$5,N1497),M1497)</f>
        <v/>
      </c>
      <c r="Q1497">
        <f>OR(AND(I1497&gt;=$T$10,K1497&lt;=$T$11,O1497),M1497)</f>
        <v/>
      </c>
    </row>
    <row r="1498">
      <c r="A1498">
        <f>Data!E1569</f>
        <v/>
      </c>
      <c r="B1498">
        <f>Data!G1569</f>
        <v/>
      </c>
      <c r="C1498">
        <f>Data!H1569</f>
        <v/>
      </c>
      <c r="D1498">
        <f>Data!I1569</f>
        <v/>
      </c>
      <c r="E1498">
        <f>Data!M1569</f>
        <v/>
      </c>
      <c r="F1498">
        <f>Data!O1569</f>
        <v/>
      </c>
      <c r="G1498">
        <f>E1498-F1498</f>
        <v/>
      </c>
      <c r="H1498">
        <f>Data!P1569</f>
        <v/>
      </c>
      <c r="I1498">
        <f>G1498+H1498</f>
        <v/>
      </c>
      <c r="J1498">
        <f>F1498+G1498+H1498</f>
        <v/>
      </c>
      <c r="K1498">
        <f>Data!R1569</f>
        <v/>
      </c>
      <c r="L1498">
        <f>Data!T1569</f>
        <v/>
      </c>
      <c r="M1498">
        <f>AND(E1498=0,F1498=0,G1498=0,H1498=0,I1498=0,J1498=0,K1498=0,L1498=0)</f>
        <v/>
      </c>
      <c r="N1498">
        <f>G1498&lt;=$T$6</f>
        <v/>
      </c>
      <c r="O1498">
        <f>G1498&lt;=$T$12</f>
        <v/>
      </c>
      <c r="P1498">
        <f>OR(AND(H1498&gt;=$T$4,K1498&lt;=$T$5,N1498),M1498)</f>
        <v/>
      </c>
      <c r="Q1498">
        <f>OR(AND(I1498&gt;=$T$10,K1498&lt;=$T$11,O1498),M1498)</f>
        <v/>
      </c>
    </row>
    <row r="1499">
      <c r="A1499">
        <f>Data!E1570</f>
        <v/>
      </c>
      <c r="B1499">
        <f>Data!G1570</f>
        <v/>
      </c>
      <c r="C1499">
        <f>Data!H1570</f>
        <v/>
      </c>
      <c r="D1499">
        <f>Data!I1570</f>
        <v/>
      </c>
      <c r="E1499">
        <f>Data!M1570</f>
        <v/>
      </c>
      <c r="F1499">
        <f>Data!O1570</f>
        <v/>
      </c>
      <c r="G1499">
        <f>E1499-F1499</f>
        <v/>
      </c>
      <c r="H1499">
        <f>Data!P1570</f>
        <v/>
      </c>
      <c r="I1499">
        <f>G1499+H1499</f>
        <v/>
      </c>
      <c r="J1499">
        <f>F1499+G1499+H1499</f>
        <v/>
      </c>
      <c r="K1499">
        <f>Data!R1570</f>
        <v/>
      </c>
      <c r="L1499">
        <f>Data!T1570</f>
        <v/>
      </c>
      <c r="M1499">
        <f>AND(E1499=0,F1499=0,G1499=0,H1499=0,I1499=0,J1499=0,K1499=0,L1499=0)</f>
        <v/>
      </c>
      <c r="N1499">
        <f>G1499&lt;=$T$6</f>
        <v/>
      </c>
      <c r="O1499">
        <f>G1499&lt;=$T$12</f>
        <v/>
      </c>
      <c r="P1499">
        <f>OR(AND(H1499&gt;=$T$4,K1499&lt;=$T$5,N1499),M1499)</f>
        <v/>
      </c>
      <c r="Q1499">
        <f>OR(AND(I1499&gt;=$T$10,K1499&lt;=$T$11,O1499),M1499)</f>
        <v/>
      </c>
    </row>
    <row r="1500">
      <c r="A1500">
        <f>Data!E1571</f>
        <v/>
      </c>
      <c r="B1500">
        <f>Data!G1571</f>
        <v/>
      </c>
      <c r="C1500">
        <f>Data!H1571</f>
        <v/>
      </c>
      <c r="D1500">
        <f>Data!I1571</f>
        <v/>
      </c>
      <c r="E1500">
        <f>Data!M1571</f>
        <v/>
      </c>
      <c r="F1500">
        <f>Data!O1571</f>
        <v/>
      </c>
      <c r="G1500">
        <f>E1500-F1500</f>
        <v/>
      </c>
      <c r="H1500">
        <f>Data!P1571</f>
        <v/>
      </c>
      <c r="I1500">
        <f>G1500+H1500</f>
        <v/>
      </c>
      <c r="J1500">
        <f>F1500+G1500+H1500</f>
        <v/>
      </c>
      <c r="K1500">
        <f>Data!R1571</f>
        <v/>
      </c>
      <c r="L1500">
        <f>Data!T1571</f>
        <v/>
      </c>
      <c r="M1500">
        <f>AND(E1500=0,F1500=0,G1500=0,H1500=0,I1500=0,J1500=0,K1500=0,L1500=0)</f>
        <v/>
      </c>
      <c r="N1500">
        <f>G1500&lt;=$T$6</f>
        <v/>
      </c>
      <c r="O1500">
        <f>G1500&lt;=$T$12</f>
        <v/>
      </c>
      <c r="P1500">
        <f>OR(AND(H1500&gt;=$T$4,K1500&lt;=$T$5,N1500),M1500)</f>
        <v/>
      </c>
      <c r="Q1500">
        <f>OR(AND(I1500&gt;=$T$10,K1500&lt;=$T$11,O1500),M1500)</f>
        <v/>
      </c>
    </row>
    <row r="1501">
      <c r="A1501">
        <f>Data!E1572</f>
        <v/>
      </c>
      <c r="B1501">
        <f>Data!G1572</f>
        <v/>
      </c>
      <c r="C1501">
        <f>Data!H1572</f>
        <v/>
      </c>
      <c r="D1501">
        <f>Data!I1572</f>
        <v/>
      </c>
      <c r="E1501">
        <f>Data!M1572</f>
        <v/>
      </c>
      <c r="F1501">
        <f>Data!O1572</f>
        <v/>
      </c>
      <c r="G1501">
        <f>E1501-F1501</f>
        <v/>
      </c>
      <c r="H1501">
        <f>Data!P1572</f>
        <v/>
      </c>
      <c r="I1501">
        <f>G1501+H1501</f>
        <v/>
      </c>
      <c r="J1501">
        <f>F1501+G1501+H1501</f>
        <v/>
      </c>
      <c r="K1501">
        <f>Data!R1572</f>
        <v/>
      </c>
      <c r="L1501">
        <f>Data!T1572</f>
        <v/>
      </c>
      <c r="M1501">
        <f>AND(E1501=0,F1501=0,G1501=0,H1501=0,I1501=0,J1501=0,K1501=0,L1501=0)</f>
        <v/>
      </c>
      <c r="N1501">
        <f>G1501&lt;=$T$6</f>
        <v/>
      </c>
      <c r="O1501">
        <f>G1501&lt;=$T$12</f>
        <v/>
      </c>
      <c r="P1501">
        <f>OR(AND(H1501&gt;=$T$4,K1501&lt;=$T$5,N1501),M1501)</f>
        <v/>
      </c>
      <c r="Q1501">
        <f>OR(AND(I1501&gt;=$T$10,K1501&lt;=$T$11,O1501),M1501)</f>
        <v/>
      </c>
    </row>
    <row r="1502">
      <c r="A1502">
        <f>Data!E1573</f>
        <v/>
      </c>
      <c r="B1502">
        <f>Data!G1573</f>
        <v/>
      </c>
      <c r="C1502">
        <f>Data!H1573</f>
        <v/>
      </c>
      <c r="D1502">
        <f>Data!I1573</f>
        <v/>
      </c>
      <c r="E1502">
        <f>Data!M1573</f>
        <v/>
      </c>
      <c r="F1502">
        <f>Data!O1573</f>
        <v/>
      </c>
      <c r="G1502">
        <f>E1502-F1502</f>
        <v/>
      </c>
      <c r="H1502">
        <f>Data!P1573</f>
        <v/>
      </c>
      <c r="I1502">
        <f>G1502+H1502</f>
        <v/>
      </c>
      <c r="J1502">
        <f>F1502+G1502+H1502</f>
        <v/>
      </c>
      <c r="K1502">
        <f>Data!R1573</f>
        <v/>
      </c>
      <c r="L1502">
        <f>Data!T1573</f>
        <v/>
      </c>
      <c r="M1502">
        <f>AND(E1502=0,F1502=0,G1502=0,H1502=0,I1502=0,J1502=0,K1502=0,L1502=0)</f>
        <v/>
      </c>
      <c r="N1502">
        <f>G1502&lt;=$T$6</f>
        <v/>
      </c>
      <c r="O1502">
        <f>G1502&lt;=$T$12</f>
        <v/>
      </c>
      <c r="P1502">
        <f>OR(AND(H1502&gt;=$T$4,K1502&lt;=$T$5,N1502),M1502)</f>
        <v/>
      </c>
      <c r="Q1502">
        <f>OR(AND(I1502&gt;=$T$10,K1502&lt;=$T$11,O1502),M1502)</f>
        <v/>
      </c>
    </row>
    <row r="1503">
      <c r="A1503">
        <f>Data!E1574</f>
        <v/>
      </c>
      <c r="B1503">
        <f>Data!G1574</f>
        <v/>
      </c>
      <c r="C1503">
        <f>Data!H1574</f>
        <v/>
      </c>
      <c r="D1503">
        <f>Data!I1574</f>
        <v/>
      </c>
      <c r="E1503">
        <f>Data!M1574</f>
        <v/>
      </c>
      <c r="F1503">
        <f>Data!O1574</f>
        <v/>
      </c>
      <c r="G1503">
        <f>E1503-F1503</f>
        <v/>
      </c>
      <c r="H1503">
        <f>Data!P1574</f>
        <v/>
      </c>
      <c r="I1503">
        <f>G1503+H1503</f>
        <v/>
      </c>
      <c r="J1503">
        <f>F1503+G1503+H1503</f>
        <v/>
      </c>
      <c r="K1503">
        <f>Data!R1574</f>
        <v/>
      </c>
      <c r="L1503">
        <f>Data!T1574</f>
        <v/>
      </c>
      <c r="M1503">
        <f>AND(E1503=0,F1503=0,G1503=0,H1503=0,I1503=0,J1503=0,K1503=0,L1503=0)</f>
        <v/>
      </c>
      <c r="N1503">
        <f>G1503&lt;=$T$6</f>
        <v/>
      </c>
      <c r="O1503">
        <f>G1503&lt;=$T$12</f>
        <v/>
      </c>
      <c r="P1503">
        <f>OR(AND(H1503&gt;=$T$4,K1503&lt;=$T$5,N1503),M1503)</f>
        <v/>
      </c>
      <c r="Q1503">
        <f>OR(AND(I1503&gt;=$T$10,K1503&lt;=$T$11,O1503),M1503)</f>
        <v/>
      </c>
    </row>
    <row r="1504">
      <c r="A1504">
        <f>Data!E1575</f>
        <v/>
      </c>
      <c r="B1504">
        <f>Data!G1575</f>
        <v/>
      </c>
      <c r="C1504">
        <f>Data!H1575</f>
        <v/>
      </c>
      <c r="D1504">
        <f>Data!I1575</f>
        <v/>
      </c>
      <c r="E1504">
        <f>Data!M1575</f>
        <v/>
      </c>
      <c r="F1504">
        <f>Data!O1575</f>
        <v/>
      </c>
      <c r="G1504">
        <f>E1504-F1504</f>
        <v/>
      </c>
      <c r="H1504">
        <f>Data!P1575</f>
        <v/>
      </c>
      <c r="I1504">
        <f>G1504+H1504</f>
        <v/>
      </c>
      <c r="J1504">
        <f>F1504+G1504+H1504</f>
        <v/>
      </c>
      <c r="K1504">
        <f>Data!R1575</f>
        <v/>
      </c>
      <c r="L1504">
        <f>Data!T1575</f>
        <v/>
      </c>
      <c r="M1504">
        <f>AND(E1504=0,F1504=0,G1504=0,H1504=0,I1504=0,J1504=0,K1504=0,L1504=0)</f>
        <v/>
      </c>
      <c r="N1504">
        <f>G1504&lt;=$T$6</f>
        <v/>
      </c>
      <c r="O1504">
        <f>G1504&lt;=$T$12</f>
        <v/>
      </c>
      <c r="P1504">
        <f>OR(AND(H1504&gt;=$T$4,K1504&lt;=$T$5,N1504),M1504)</f>
        <v/>
      </c>
      <c r="Q1504">
        <f>OR(AND(I1504&gt;=$T$10,K1504&lt;=$T$11,O1504),M1504)</f>
        <v/>
      </c>
    </row>
    <row r="1505">
      <c r="A1505">
        <f>Data!E1576</f>
        <v/>
      </c>
      <c r="B1505">
        <f>Data!G1576</f>
        <v/>
      </c>
      <c r="C1505">
        <f>Data!H1576</f>
        <v/>
      </c>
      <c r="D1505">
        <f>Data!I1576</f>
        <v/>
      </c>
      <c r="E1505">
        <f>Data!M1576</f>
        <v/>
      </c>
      <c r="F1505">
        <f>Data!O1576</f>
        <v/>
      </c>
      <c r="G1505">
        <f>E1505-F1505</f>
        <v/>
      </c>
      <c r="H1505">
        <f>Data!P1576</f>
        <v/>
      </c>
      <c r="I1505">
        <f>G1505+H1505</f>
        <v/>
      </c>
      <c r="J1505">
        <f>F1505+G1505+H1505</f>
        <v/>
      </c>
      <c r="K1505">
        <f>Data!R1576</f>
        <v/>
      </c>
      <c r="L1505">
        <f>Data!T1576</f>
        <v/>
      </c>
      <c r="M1505">
        <f>AND(E1505=0,F1505=0,G1505=0,H1505=0,I1505=0,J1505=0,K1505=0,L1505=0)</f>
        <v/>
      </c>
      <c r="N1505">
        <f>G1505&lt;=$T$6</f>
        <v/>
      </c>
      <c r="O1505">
        <f>G1505&lt;=$T$12</f>
        <v/>
      </c>
      <c r="P1505">
        <f>OR(AND(H1505&gt;=$T$4,K1505&lt;=$T$5,N1505),M1505)</f>
        <v/>
      </c>
      <c r="Q1505">
        <f>OR(AND(I1505&gt;=$T$10,K1505&lt;=$T$11,O1505),M1505)</f>
        <v/>
      </c>
    </row>
    <row r="1506">
      <c r="A1506">
        <f>Data!E1577</f>
        <v/>
      </c>
      <c r="B1506">
        <f>Data!G1577</f>
        <v/>
      </c>
      <c r="C1506">
        <f>Data!H1577</f>
        <v/>
      </c>
      <c r="D1506">
        <f>Data!I1577</f>
        <v/>
      </c>
      <c r="E1506">
        <f>Data!M1577</f>
        <v/>
      </c>
      <c r="F1506">
        <f>Data!O1577</f>
        <v/>
      </c>
      <c r="G1506">
        <f>E1506-F1506</f>
        <v/>
      </c>
      <c r="H1506">
        <f>Data!P1577</f>
        <v/>
      </c>
      <c r="I1506">
        <f>G1506+H1506</f>
        <v/>
      </c>
      <c r="J1506">
        <f>F1506+G1506+H1506</f>
        <v/>
      </c>
      <c r="K1506">
        <f>Data!R1577</f>
        <v/>
      </c>
      <c r="L1506">
        <f>Data!T1577</f>
        <v/>
      </c>
      <c r="M1506">
        <f>AND(E1506=0,F1506=0,G1506=0,H1506=0,I1506=0,J1506=0,K1506=0,L1506=0)</f>
        <v/>
      </c>
      <c r="N1506">
        <f>G1506&lt;=$T$6</f>
        <v/>
      </c>
      <c r="O1506">
        <f>G1506&lt;=$T$12</f>
        <v/>
      </c>
      <c r="P1506">
        <f>OR(AND(H1506&gt;=$T$4,K1506&lt;=$T$5,N1506),M1506)</f>
        <v/>
      </c>
      <c r="Q1506">
        <f>OR(AND(I1506&gt;=$T$10,K1506&lt;=$T$11,O1506),M1506)</f>
        <v/>
      </c>
    </row>
    <row r="1507">
      <c r="A1507">
        <f>Data!E1578</f>
        <v/>
      </c>
      <c r="B1507">
        <f>Data!G1578</f>
        <v/>
      </c>
      <c r="C1507">
        <f>Data!H1578</f>
        <v/>
      </c>
      <c r="D1507">
        <f>Data!I1578</f>
        <v/>
      </c>
      <c r="E1507">
        <f>Data!M1578</f>
        <v/>
      </c>
      <c r="F1507">
        <f>Data!O1578</f>
        <v/>
      </c>
      <c r="G1507">
        <f>E1507-F1507</f>
        <v/>
      </c>
      <c r="H1507">
        <f>Data!P1578</f>
        <v/>
      </c>
      <c r="I1507">
        <f>G1507+H1507</f>
        <v/>
      </c>
      <c r="J1507">
        <f>F1507+G1507+H1507</f>
        <v/>
      </c>
      <c r="K1507">
        <f>Data!R1578</f>
        <v/>
      </c>
      <c r="L1507">
        <f>Data!T1578</f>
        <v/>
      </c>
      <c r="M1507">
        <f>AND(E1507=0,F1507=0,G1507=0,H1507=0,I1507=0,J1507=0,K1507=0,L1507=0)</f>
        <v/>
      </c>
      <c r="N1507">
        <f>G1507&lt;=$T$6</f>
        <v/>
      </c>
      <c r="O1507">
        <f>G1507&lt;=$T$12</f>
        <v/>
      </c>
      <c r="P1507">
        <f>OR(AND(H1507&gt;=$T$4,K1507&lt;=$T$5,N1507),M1507)</f>
        <v/>
      </c>
      <c r="Q1507">
        <f>OR(AND(I1507&gt;=$T$10,K1507&lt;=$T$11,O1507),M1507)</f>
        <v/>
      </c>
    </row>
    <row r="1508">
      <c r="A1508">
        <f>Data!E1579</f>
        <v/>
      </c>
      <c r="B1508">
        <f>Data!G1579</f>
        <v/>
      </c>
      <c r="C1508">
        <f>Data!H1579</f>
        <v/>
      </c>
      <c r="D1508">
        <f>Data!I1579</f>
        <v/>
      </c>
      <c r="E1508">
        <f>Data!M1579</f>
        <v/>
      </c>
      <c r="F1508">
        <f>Data!O1579</f>
        <v/>
      </c>
      <c r="G1508">
        <f>E1508-F1508</f>
        <v/>
      </c>
      <c r="H1508">
        <f>Data!P1579</f>
        <v/>
      </c>
      <c r="I1508">
        <f>G1508+H1508</f>
        <v/>
      </c>
      <c r="J1508">
        <f>F1508+G1508+H1508</f>
        <v/>
      </c>
      <c r="K1508">
        <f>Data!R1579</f>
        <v/>
      </c>
      <c r="L1508">
        <f>Data!T1579</f>
        <v/>
      </c>
      <c r="M1508">
        <f>AND(E1508=0,F1508=0,G1508=0,H1508=0,I1508=0,J1508=0,K1508=0,L1508=0)</f>
        <v/>
      </c>
      <c r="N1508">
        <f>G1508&lt;=$T$6</f>
        <v/>
      </c>
      <c r="O1508">
        <f>G1508&lt;=$T$12</f>
        <v/>
      </c>
      <c r="P1508">
        <f>OR(AND(H1508&gt;=$T$4,K1508&lt;=$T$5,N1508),M1508)</f>
        <v/>
      </c>
      <c r="Q1508">
        <f>OR(AND(I1508&gt;=$T$10,K1508&lt;=$T$11,O1508),M1508)</f>
        <v/>
      </c>
    </row>
    <row r="1509">
      <c r="A1509">
        <f>Data!E1580</f>
        <v/>
      </c>
      <c r="B1509">
        <f>Data!G1580</f>
        <v/>
      </c>
      <c r="C1509">
        <f>Data!H1580</f>
        <v/>
      </c>
      <c r="D1509">
        <f>Data!I1580</f>
        <v/>
      </c>
      <c r="E1509">
        <f>Data!M1580</f>
        <v/>
      </c>
      <c r="F1509">
        <f>Data!O1580</f>
        <v/>
      </c>
      <c r="G1509">
        <f>E1509-F1509</f>
        <v/>
      </c>
      <c r="H1509">
        <f>Data!P1580</f>
        <v/>
      </c>
      <c r="I1509">
        <f>G1509+H1509</f>
        <v/>
      </c>
      <c r="J1509">
        <f>F1509+G1509+H1509</f>
        <v/>
      </c>
      <c r="K1509">
        <f>Data!R1580</f>
        <v/>
      </c>
      <c r="L1509">
        <f>Data!T1580</f>
        <v/>
      </c>
      <c r="M1509">
        <f>AND(E1509=0,F1509=0,G1509=0,H1509=0,I1509=0,J1509=0,K1509=0,L1509=0)</f>
        <v/>
      </c>
      <c r="N1509">
        <f>G1509&lt;=$T$6</f>
        <v/>
      </c>
      <c r="O1509">
        <f>G1509&lt;=$T$12</f>
        <v/>
      </c>
      <c r="P1509">
        <f>OR(AND(H1509&gt;=$T$4,K1509&lt;=$T$5,N1509),M1509)</f>
        <v/>
      </c>
      <c r="Q1509">
        <f>OR(AND(I1509&gt;=$T$10,K1509&lt;=$T$11,O1509),M1509)</f>
        <v/>
      </c>
    </row>
    <row r="1510">
      <c r="A1510">
        <f>Data!E1581</f>
        <v/>
      </c>
      <c r="B1510">
        <f>Data!G1581</f>
        <v/>
      </c>
      <c r="C1510">
        <f>Data!H1581</f>
        <v/>
      </c>
      <c r="D1510">
        <f>Data!I1581</f>
        <v/>
      </c>
      <c r="E1510">
        <f>Data!M1581</f>
        <v/>
      </c>
      <c r="F1510">
        <f>Data!O1581</f>
        <v/>
      </c>
      <c r="G1510">
        <f>E1510-F1510</f>
        <v/>
      </c>
      <c r="H1510">
        <f>Data!P1581</f>
        <v/>
      </c>
      <c r="I1510">
        <f>G1510+H1510</f>
        <v/>
      </c>
      <c r="J1510">
        <f>F1510+G1510+H1510</f>
        <v/>
      </c>
      <c r="K1510">
        <f>Data!R1581</f>
        <v/>
      </c>
      <c r="L1510">
        <f>Data!T1581</f>
        <v/>
      </c>
      <c r="M1510">
        <f>AND(E1510=0,F1510=0,G1510=0,H1510=0,I1510=0,J1510=0,K1510=0,L1510=0)</f>
        <v/>
      </c>
      <c r="N1510">
        <f>G1510&lt;=$T$6</f>
        <v/>
      </c>
      <c r="O1510">
        <f>G1510&lt;=$T$12</f>
        <v/>
      </c>
      <c r="P1510">
        <f>OR(AND(H1510&gt;=$T$4,K1510&lt;=$T$5,N1510),M1510)</f>
        <v/>
      </c>
      <c r="Q1510">
        <f>OR(AND(I1510&gt;=$T$10,K1510&lt;=$T$11,O1510),M1510)</f>
        <v/>
      </c>
    </row>
    <row r="1511">
      <c r="A1511">
        <f>Data!E1582</f>
        <v/>
      </c>
      <c r="B1511">
        <f>Data!G1582</f>
        <v/>
      </c>
      <c r="C1511">
        <f>Data!H1582</f>
        <v/>
      </c>
      <c r="D1511">
        <f>Data!I1582</f>
        <v/>
      </c>
      <c r="E1511">
        <f>Data!M1582</f>
        <v/>
      </c>
      <c r="F1511">
        <f>Data!O1582</f>
        <v/>
      </c>
      <c r="G1511">
        <f>E1511-F1511</f>
        <v/>
      </c>
      <c r="H1511">
        <f>Data!P1582</f>
        <v/>
      </c>
      <c r="I1511">
        <f>G1511+H1511</f>
        <v/>
      </c>
      <c r="J1511">
        <f>F1511+G1511+H1511</f>
        <v/>
      </c>
      <c r="K1511">
        <f>Data!R1582</f>
        <v/>
      </c>
      <c r="L1511">
        <f>Data!T1582</f>
        <v/>
      </c>
      <c r="M1511">
        <f>AND(E1511=0,F1511=0,G1511=0,H1511=0,I1511=0,J1511=0,K1511=0,L1511=0)</f>
        <v/>
      </c>
      <c r="N1511">
        <f>G1511&lt;=$T$6</f>
        <v/>
      </c>
      <c r="O1511">
        <f>G1511&lt;=$T$12</f>
        <v/>
      </c>
      <c r="P1511">
        <f>OR(AND(H1511&gt;=$T$4,K1511&lt;=$T$5,N1511),M1511)</f>
        <v/>
      </c>
      <c r="Q1511">
        <f>OR(AND(I1511&gt;=$T$10,K1511&lt;=$T$11,O1511),M1511)</f>
        <v/>
      </c>
    </row>
    <row r="1512">
      <c r="A1512">
        <f>Data!E1583</f>
        <v/>
      </c>
      <c r="B1512">
        <f>Data!G1583</f>
        <v/>
      </c>
      <c r="C1512">
        <f>Data!H1583</f>
        <v/>
      </c>
      <c r="D1512">
        <f>Data!I1583</f>
        <v/>
      </c>
      <c r="E1512">
        <f>Data!M1583</f>
        <v/>
      </c>
      <c r="F1512">
        <f>Data!O1583</f>
        <v/>
      </c>
      <c r="G1512">
        <f>E1512-F1512</f>
        <v/>
      </c>
      <c r="H1512">
        <f>Data!P1583</f>
        <v/>
      </c>
      <c r="I1512">
        <f>G1512+H1512</f>
        <v/>
      </c>
      <c r="J1512">
        <f>F1512+G1512+H1512</f>
        <v/>
      </c>
      <c r="K1512">
        <f>Data!R1583</f>
        <v/>
      </c>
      <c r="L1512">
        <f>Data!T1583</f>
        <v/>
      </c>
      <c r="M1512">
        <f>AND(E1512=0,F1512=0,G1512=0,H1512=0,I1512=0,J1512=0,K1512=0,L1512=0)</f>
        <v/>
      </c>
      <c r="N1512">
        <f>G1512&lt;=$T$6</f>
        <v/>
      </c>
      <c r="O1512">
        <f>G1512&lt;=$T$12</f>
        <v/>
      </c>
      <c r="P1512">
        <f>OR(AND(H1512&gt;=$T$4,K1512&lt;=$T$5,N1512),M1512)</f>
        <v/>
      </c>
      <c r="Q1512">
        <f>OR(AND(I1512&gt;=$T$10,K1512&lt;=$T$11,O1512),M1512)</f>
        <v/>
      </c>
    </row>
    <row r="1513">
      <c r="A1513">
        <f>Data!E1584</f>
        <v/>
      </c>
      <c r="B1513">
        <f>Data!G1584</f>
        <v/>
      </c>
      <c r="C1513">
        <f>Data!H1584</f>
        <v/>
      </c>
      <c r="D1513">
        <f>Data!I1584</f>
        <v/>
      </c>
      <c r="E1513">
        <f>Data!M1584</f>
        <v/>
      </c>
      <c r="F1513">
        <f>Data!O1584</f>
        <v/>
      </c>
      <c r="G1513">
        <f>E1513-F1513</f>
        <v/>
      </c>
      <c r="H1513">
        <f>Data!P1584</f>
        <v/>
      </c>
      <c r="I1513">
        <f>G1513+H1513</f>
        <v/>
      </c>
      <c r="J1513">
        <f>F1513+G1513+H1513</f>
        <v/>
      </c>
      <c r="K1513">
        <f>Data!R1584</f>
        <v/>
      </c>
      <c r="L1513">
        <f>Data!T1584</f>
        <v/>
      </c>
      <c r="M1513">
        <f>AND(E1513=0,F1513=0,G1513=0,H1513=0,I1513=0,J1513=0,K1513=0,L1513=0)</f>
        <v/>
      </c>
      <c r="N1513">
        <f>G1513&lt;=$T$6</f>
        <v/>
      </c>
      <c r="O1513">
        <f>G1513&lt;=$T$12</f>
        <v/>
      </c>
      <c r="P1513">
        <f>OR(AND(H1513&gt;=$T$4,K1513&lt;=$T$5,N1513),M1513)</f>
        <v/>
      </c>
      <c r="Q1513">
        <f>OR(AND(I1513&gt;=$T$10,K1513&lt;=$T$11,O1513),M1513)</f>
        <v/>
      </c>
    </row>
    <row r="1514">
      <c r="A1514">
        <f>Data!E1585</f>
        <v/>
      </c>
      <c r="B1514">
        <f>Data!G1585</f>
        <v/>
      </c>
      <c r="C1514">
        <f>Data!H1585</f>
        <v/>
      </c>
      <c r="D1514">
        <f>Data!I1585</f>
        <v/>
      </c>
      <c r="E1514">
        <f>Data!M1585</f>
        <v/>
      </c>
      <c r="F1514">
        <f>Data!O1585</f>
        <v/>
      </c>
      <c r="G1514">
        <f>E1514-F1514</f>
        <v/>
      </c>
      <c r="H1514">
        <f>Data!P1585</f>
        <v/>
      </c>
      <c r="I1514">
        <f>G1514+H1514</f>
        <v/>
      </c>
      <c r="J1514">
        <f>F1514+G1514+H1514</f>
        <v/>
      </c>
      <c r="K1514">
        <f>Data!R1585</f>
        <v/>
      </c>
      <c r="L1514">
        <f>Data!T1585</f>
        <v/>
      </c>
      <c r="M1514">
        <f>AND(E1514=0,F1514=0,G1514=0,H1514=0,I1514=0,J1514=0,K1514=0,L1514=0)</f>
        <v/>
      </c>
      <c r="N1514">
        <f>G1514&lt;=$T$6</f>
        <v/>
      </c>
      <c r="O1514">
        <f>G1514&lt;=$T$12</f>
        <v/>
      </c>
      <c r="P1514">
        <f>OR(AND(H1514&gt;=$T$4,K1514&lt;=$T$5,N1514),M1514)</f>
        <v/>
      </c>
      <c r="Q1514">
        <f>OR(AND(I1514&gt;=$T$10,K1514&lt;=$T$11,O1514),M1514)</f>
        <v/>
      </c>
    </row>
    <row r="1515">
      <c r="A1515">
        <f>Data!E1586</f>
        <v/>
      </c>
      <c r="B1515">
        <f>Data!G1586</f>
        <v/>
      </c>
      <c r="C1515">
        <f>Data!H1586</f>
        <v/>
      </c>
      <c r="D1515">
        <f>Data!I1586</f>
        <v/>
      </c>
      <c r="E1515">
        <f>Data!M1586</f>
        <v/>
      </c>
      <c r="F1515">
        <f>Data!O1586</f>
        <v/>
      </c>
      <c r="G1515">
        <f>E1515-F1515</f>
        <v/>
      </c>
      <c r="H1515">
        <f>Data!P1586</f>
        <v/>
      </c>
      <c r="I1515">
        <f>G1515+H1515</f>
        <v/>
      </c>
      <c r="J1515">
        <f>F1515+G1515+H1515</f>
        <v/>
      </c>
      <c r="K1515">
        <f>Data!R1586</f>
        <v/>
      </c>
      <c r="L1515">
        <f>Data!T1586</f>
        <v/>
      </c>
      <c r="M1515">
        <f>AND(E1515=0,F1515=0,G1515=0,H1515=0,I1515=0,J1515=0,K1515=0,L1515=0)</f>
        <v/>
      </c>
      <c r="N1515">
        <f>G1515&lt;=$T$6</f>
        <v/>
      </c>
      <c r="O1515">
        <f>G1515&lt;=$T$12</f>
        <v/>
      </c>
      <c r="P1515">
        <f>OR(AND(H1515&gt;=$T$4,K1515&lt;=$T$5,N1515),M1515)</f>
        <v/>
      </c>
      <c r="Q1515">
        <f>OR(AND(I1515&gt;=$T$10,K1515&lt;=$T$11,O1515),M1515)</f>
        <v/>
      </c>
    </row>
    <row r="1516">
      <c r="A1516">
        <f>Data!E1587</f>
        <v/>
      </c>
      <c r="B1516">
        <f>Data!G1587</f>
        <v/>
      </c>
      <c r="C1516">
        <f>Data!H1587</f>
        <v/>
      </c>
      <c r="D1516">
        <f>Data!I1587</f>
        <v/>
      </c>
      <c r="E1516">
        <f>Data!M1587</f>
        <v/>
      </c>
      <c r="F1516">
        <f>Data!O1587</f>
        <v/>
      </c>
      <c r="G1516">
        <f>E1516-F1516</f>
        <v/>
      </c>
      <c r="H1516">
        <f>Data!P1587</f>
        <v/>
      </c>
      <c r="I1516">
        <f>G1516+H1516</f>
        <v/>
      </c>
      <c r="J1516">
        <f>F1516+G1516+H1516</f>
        <v/>
      </c>
      <c r="K1516">
        <f>Data!R1587</f>
        <v/>
      </c>
      <c r="L1516">
        <f>Data!T1587</f>
        <v/>
      </c>
      <c r="M1516">
        <f>AND(E1516=0,F1516=0,G1516=0,H1516=0,I1516=0,J1516=0,K1516=0,L1516=0)</f>
        <v/>
      </c>
      <c r="N1516">
        <f>G1516&lt;=$T$6</f>
        <v/>
      </c>
      <c r="O1516">
        <f>G1516&lt;=$T$12</f>
        <v/>
      </c>
      <c r="P1516">
        <f>OR(AND(H1516&gt;=$T$4,K1516&lt;=$T$5,N1516),M1516)</f>
        <v/>
      </c>
      <c r="Q1516">
        <f>OR(AND(I1516&gt;=$T$10,K1516&lt;=$T$11,O1516),M1516)</f>
        <v/>
      </c>
    </row>
    <row r="1517">
      <c r="A1517">
        <f>Data!E1588</f>
        <v/>
      </c>
      <c r="B1517">
        <f>Data!G1588</f>
        <v/>
      </c>
      <c r="C1517">
        <f>Data!H1588</f>
        <v/>
      </c>
      <c r="D1517">
        <f>Data!I1588</f>
        <v/>
      </c>
      <c r="E1517">
        <f>Data!M1588</f>
        <v/>
      </c>
      <c r="F1517">
        <f>Data!O1588</f>
        <v/>
      </c>
      <c r="G1517">
        <f>E1517-F1517</f>
        <v/>
      </c>
      <c r="H1517">
        <f>Data!P1588</f>
        <v/>
      </c>
      <c r="I1517">
        <f>G1517+H1517</f>
        <v/>
      </c>
      <c r="J1517">
        <f>F1517+G1517+H1517</f>
        <v/>
      </c>
      <c r="K1517">
        <f>Data!R1588</f>
        <v/>
      </c>
      <c r="L1517">
        <f>Data!T1588</f>
        <v/>
      </c>
      <c r="M1517">
        <f>AND(E1517=0,F1517=0,G1517=0,H1517=0,I1517=0,J1517=0,K1517=0,L1517=0)</f>
        <v/>
      </c>
      <c r="N1517">
        <f>G1517&lt;=$T$6</f>
        <v/>
      </c>
      <c r="O1517">
        <f>G1517&lt;=$T$12</f>
        <v/>
      </c>
      <c r="P1517">
        <f>OR(AND(H1517&gt;=$T$4,K1517&lt;=$T$5,N1517),M1517)</f>
        <v/>
      </c>
      <c r="Q1517">
        <f>OR(AND(I1517&gt;=$T$10,K1517&lt;=$T$11,O1517),M1517)</f>
        <v/>
      </c>
    </row>
    <row r="1518">
      <c r="A1518">
        <f>Data!E1589</f>
        <v/>
      </c>
      <c r="B1518">
        <f>Data!G1589</f>
        <v/>
      </c>
      <c r="C1518">
        <f>Data!H1589</f>
        <v/>
      </c>
      <c r="D1518">
        <f>Data!I1589</f>
        <v/>
      </c>
      <c r="E1518">
        <f>Data!M1589</f>
        <v/>
      </c>
      <c r="F1518">
        <f>Data!O1589</f>
        <v/>
      </c>
      <c r="G1518">
        <f>E1518-F1518</f>
        <v/>
      </c>
      <c r="H1518">
        <f>Data!P1589</f>
        <v/>
      </c>
      <c r="I1518">
        <f>G1518+H1518</f>
        <v/>
      </c>
      <c r="J1518">
        <f>F1518+G1518+H1518</f>
        <v/>
      </c>
      <c r="K1518">
        <f>Data!R1589</f>
        <v/>
      </c>
      <c r="L1518">
        <f>Data!T1589</f>
        <v/>
      </c>
      <c r="M1518">
        <f>AND(E1518=0,F1518=0,G1518=0,H1518=0,I1518=0,J1518=0,K1518=0,L1518=0)</f>
        <v/>
      </c>
      <c r="N1518">
        <f>G1518&lt;=$T$6</f>
        <v/>
      </c>
      <c r="O1518">
        <f>G1518&lt;=$T$12</f>
        <v/>
      </c>
      <c r="P1518">
        <f>OR(AND(H1518&gt;=$T$4,K1518&lt;=$T$5,N1518),M1518)</f>
        <v/>
      </c>
      <c r="Q1518">
        <f>OR(AND(I1518&gt;=$T$10,K1518&lt;=$T$11,O1518),M1518)</f>
        <v/>
      </c>
    </row>
    <row r="1519">
      <c r="A1519">
        <f>Data!E1590</f>
        <v/>
      </c>
      <c r="B1519">
        <f>Data!G1590</f>
        <v/>
      </c>
      <c r="C1519">
        <f>Data!H1590</f>
        <v/>
      </c>
      <c r="D1519">
        <f>Data!I1590</f>
        <v/>
      </c>
      <c r="E1519">
        <f>Data!M1590</f>
        <v/>
      </c>
      <c r="F1519">
        <f>Data!O1590</f>
        <v/>
      </c>
      <c r="G1519">
        <f>E1519-F1519</f>
        <v/>
      </c>
      <c r="H1519">
        <f>Data!P1590</f>
        <v/>
      </c>
      <c r="I1519">
        <f>G1519+H1519</f>
        <v/>
      </c>
      <c r="J1519">
        <f>F1519+G1519+H1519</f>
        <v/>
      </c>
      <c r="K1519">
        <f>Data!R1590</f>
        <v/>
      </c>
      <c r="L1519">
        <f>Data!T1590</f>
        <v/>
      </c>
      <c r="M1519">
        <f>AND(E1519=0,F1519=0,G1519=0,H1519=0,I1519=0,J1519=0,K1519=0,L1519=0)</f>
        <v/>
      </c>
      <c r="N1519">
        <f>G1519&lt;=$T$6</f>
        <v/>
      </c>
      <c r="O1519">
        <f>G1519&lt;=$T$12</f>
        <v/>
      </c>
      <c r="P1519">
        <f>OR(AND(H1519&gt;=$T$4,K1519&lt;=$T$5,N1519),M1519)</f>
        <v/>
      </c>
      <c r="Q1519">
        <f>OR(AND(I1519&gt;=$T$10,K1519&lt;=$T$11,O1519),M1519)</f>
        <v/>
      </c>
    </row>
    <row r="1520">
      <c r="A1520">
        <f>Data!E1591</f>
        <v/>
      </c>
      <c r="B1520">
        <f>Data!G1591</f>
        <v/>
      </c>
      <c r="C1520">
        <f>Data!H1591</f>
        <v/>
      </c>
      <c r="D1520">
        <f>Data!I1591</f>
        <v/>
      </c>
      <c r="E1520">
        <f>Data!M1591</f>
        <v/>
      </c>
      <c r="F1520">
        <f>Data!O1591</f>
        <v/>
      </c>
      <c r="G1520">
        <f>E1520-F1520</f>
        <v/>
      </c>
      <c r="H1520">
        <f>Data!P1591</f>
        <v/>
      </c>
      <c r="I1520">
        <f>G1520+H1520</f>
        <v/>
      </c>
      <c r="J1520">
        <f>F1520+G1520+H1520</f>
        <v/>
      </c>
      <c r="K1520">
        <f>Data!R1591</f>
        <v/>
      </c>
      <c r="L1520">
        <f>Data!T1591</f>
        <v/>
      </c>
      <c r="M1520">
        <f>AND(E1520=0,F1520=0,G1520=0,H1520=0,I1520=0,J1520=0,K1520=0,L1520=0)</f>
        <v/>
      </c>
      <c r="N1520">
        <f>G1520&lt;=$T$6</f>
        <v/>
      </c>
      <c r="O1520">
        <f>G1520&lt;=$T$12</f>
        <v/>
      </c>
      <c r="P1520">
        <f>OR(AND(H1520&gt;=$T$4,K1520&lt;=$T$5,N1520),M1520)</f>
        <v/>
      </c>
      <c r="Q1520">
        <f>OR(AND(I1520&gt;=$T$10,K1520&lt;=$T$11,O1520),M1520)</f>
        <v/>
      </c>
    </row>
    <row r="1521">
      <c r="A1521">
        <f>Data!E1592</f>
        <v/>
      </c>
      <c r="B1521">
        <f>Data!G1592</f>
        <v/>
      </c>
      <c r="C1521">
        <f>Data!H1592</f>
        <v/>
      </c>
      <c r="D1521">
        <f>Data!I1592</f>
        <v/>
      </c>
      <c r="E1521">
        <f>Data!M1592</f>
        <v/>
      </c>
      <c r="F1521">
        <f>Data!O1592</f>
        <v/>
      </c>
      <c r="G1521">
        <f>E1521-F1521</f>
        <v/>
      </c>
      <c r="H1521">
        <f>Data!P1592</f>
        <v/>
      </c>
      <c r="I1521">
        <f>G1521+H1521</f>
        <v/>
      </c>
      <c r="J1521">
        <f>F1521+G1521+H1521</f>
        <v/>
      </c>
      <c r="K1521">
        <f>Data!R1592</f>
        <v/>
      </c>
      <c r="L1521">
        <f>Data!T1592</f>
        <v/>
      </c>
      <c r="M1521">
        <f>AND(E1521=0,F1521=0,G1521=0,H1521=0,I1521=0,J1521=0,K1521=0,L1521=0)</f>
        <v/>
      </c>
      <c r="N1521">
        <f>G1521&lt;=$T$6</f>
        <v/>
      </c>
      <c r="O1521">
        <f>G1521&lt;=$T$12</f>
        <v/>
      </c>
      <c r="P1521">
        <f>OR(AND(H1521&gt;=$T$4,K1521&lt;=$T$5,N1521),M1521)</f>
        <v/>
      </c>
      <c r="Q1521">
        <f>OR(AND(I1521&gt;=$T$10,K1521&lt;=$T$11,O1521),M1521)</f>
        <v/>
      </c>
    </row>
    <row r="1522">
      <c r="A1522">
        <f>Data!E1593</f>
        <v/>
      </c>
      <c r="B1522">
        <f>Data!G1593</f>
        <v/>
      </c>
      <c r="C1522">
        <f>Data!H1593</f>
        <v/>
      </c>
      <c r="D1522">
        <f>Data!I1593</f>
        <v/>
      </c>
      <c r="E1522">
        <f>Data!M1593</f>
        <v/>
      </c>
      <c r="F1522">
        <f>Data!O1593</f>
        <v/>
      </c>
      <c r="G1522">
        <f>E1522-F1522</f>
        <v/>
      </c>
      <c r="H1522">
        <f>Data!P1593</f>
        <v/>
      </c>
      <c r="I1522">
        <f>G1522+H1522</f>
        <v/>
      </c>
      <c r="J1522">
        <f>F1522+G1522+H1522</f>
        <v/>
      </c>
      <c r="K1522">
        <f>Data!R1593</f>
        <v/>
      </c>
      <c r="L1522">
        <f>Data!T1593</f>
        <v/>
      </c>
      <c r="M1522">
        <f>AND(E1522=0,F1522=0,G1522=0,H1522=0,I1522=0,J1522=0,K1522=0,L1522=0)</f>
        <v/>
      </c>
      <c r="N1522">
        <f>G1522&lt;=$T$6</f>
        <v/>
      </c>
      <c r="O1522">
        <f>G1522&lt;=$T$12</f>
        <v/>
      </c>
      <c r="P1522">
        <f>OR(AND(H1522&gt;=$T$4,K1522&lt;=$T$5,N1522),M1522)</f>
        <v/>
      </c>
      <c r="Q1522">
        <f>OR(AND(I1522&gt;=$T$10,K1522&lt;=$T$11,O1522),M1522)</f>
        <v/>
      </c>
    </row>
    <row r="1523">
      <c r="A1523">
        <f>Data!E1594</f>
        <v/>
      </c>
      <c r="B1523">
        <f>Data!G1594</f>
        <v/>
      </c>
      <c r="C1523">
        <f>Data!H1594</f>
        <v/>
      </c>
      <c r="D1523">
        <f>Data!I1594</f>
        <v/>
      </c>
      <c r="E1523">
        <f>Data!M1594</f>
        <v/>
      </c>
      <c r="F1523">
        <f>Data!O1594</f>
        <v/>
      </c>
      <c r="G1523">
        <f>E1523-F1523</f>
        <v/>
      </c>
      <c r="H1523">
        <f>Data!P1594</f>
        <v/>
      </c>
      <c r="I1523">
        <f>G1523+H1523</f>
        <v/>
      </c>
      <c r="J1523">
        <f>F1523+G1523+H1523</f>
        <v/>
      </c>
      <c r="K1523">
        <f>Data!R1594</f>
        <v/>
      </c>
      <c r="L1523">
        <f>Data!T1594</f>
        <v/>
      </c>
      <c r="M1523">
        <f>AND(E1523=0,F1523=0,G1523=0,H1523=0,I1523=0,J1523=0,K1523=0,L1523=0)</f>
        <v/>
      </c>
      <c r="N1523">
        <f>G1523&lt;=$T$6</f>
        <v/>
      </c>
      <c r="O1523">
        <f>G1523&lt;=$T$12</f>
        <v/>
      </c>
      <c r="P1523">
        <f>OR(AND(H1523&gt;=$T$4,K1523&lt;=$T$5,N1523),M1523)</f>
        <v/>
      </c>
      <c r="Q1523">
        <f>OR(AND(I1523&gt;=$T$10,K1523&lt;=$T$11,O1523),M1523)</f>
        <v/>
      </c>
    </row>
    <row r="1524">
      <c r="A1524">
        <f>Data!E1596</f>
        <v/>
      </c>
      <c r="B1524">
        <f>Data!G1596</f>
        <v/>
      </c>
      <c r="C1524">
        <f>Data!H1596</f>
        <v/>
      </c>
      <c r="D1524">
        <f>Data!I1596</f>
        <v/>
      </c>
      <c r="E1524">
        <f>Data!M1596</f>
        <v/>
      </c>
      <c r="F1524">
        <f>Data!O1596</f>
        <v/>
      </c>
      <c r="G1524">
        <f>E1524-F1524</f>
        <v/>
      </c>
      <c r="H1524">
        <f>Data!P1596</f>
        <v/>
      </c>
      <c r="I1524">
        <f>G1524+H1524</f>
        <v/>
      </c>
      <c r="J1524">
        <f>F1524+G1524+H1524</f>
        <v/>
      </c>
      <c r="K1524">
        <f>Data!R1596</f>
        <v/>
      </c>
      <c r="L1524">
        <f>Data!T1596</f>
        <v/>
      </c>
      <c r="M1524">
        <f>AND(E1524=0,F1524=0,G1524=0,H1524=0,I1524=0,J1524=0,K1524=0,L1524=0)</f>
        <v/>
      </c>
      <c r="N1524">
        <f>G1524&lt;=$T$6</f>
        <v/>
      </c>
      <c r="O1524">
        <f>G1524&lt;=$T$12</f>
        <v/>
      </c>
      <c r="P1524">
        <f>OR(AND(H1524&gt;=$T$4,K1524&lt;=$T$5,N1524),M1524)</f>
        <v/>
      </c>
      <c r="Q1524">
        <f>OR(AND(I1524&gt;=$T$10,K1524&lt;=$T$11,O1524),M1524)</f>
        <v/>
      </c>
    </row>
    <row r="1525">
      <c r="A1525">
        <f>Data!E1597</f>
        <v/>
      </c>
      <c r="B1525">
        <f>Data!G1597</f>
        <v/>
      </c>
      <c r="C1525">
        <f>Data!H1597</f>
        <v/>
      </c>
      <c r="D1525">
        <f>Data!I1597</f>
        <v/>
      </c>
      <c r="E1525">
        <f>Data!M1597</f>
        <v/>
      </c>
      <c r="F1525">
        <f>Data!O1597</f>
        <v/>
      </c>
      <c r="G1525">
        <f>E1525-F1525</f>
        <v/>
      </c>
      <c r="H1525">
        <f>Data!P1597</f>
        <v/>
      </c>
      <c r="I1525">
        <f>G1525+H1525</f>
        <v/>
      </c>
      <c r="J1525">
        <f>F1525+G1525+H1525</f>
        <v/>
      </c>
      <c r="K1525">
        <f>Data!R1597</f>
        <v/>
      </c>
      <c r="L1525">
        <f>Data!T1597</f>
        <v/>
      </c>
      <c r="M1525">
        <f>AND(E1525=0,F1525=0,G1525=0,H1525=0,I1525=0,J1525=0,K1525=0,L1525=0)</f>
        <v/>
      </c>
      <c r="N1525">
        <f>G1525&lt;=$T$6</f>
        <v/>
      </c>
      <c r="O1525">
        <f>G1525&lt;=$T$12</f>
        <v/>
      </c>
      <c r="P1525">
        <f>OR(AND(H1525&gt;=$T$4,K1525&lt;=$T$5,N1525),M1525)</f>
        <v/>
      </c>
      <c r="Q1525">
        <f>OR(AND(I1525&gt;=$T$10,K1525&lt;=$T$11,O1525),M1525)</f>
        <v/>
      </c>
    </row>
    <row r="1526">
      <c r="A1526">
        <f>Data!E1598</f>
        <v/>
      </c>
      <c r="B1526">
        <f>Data!G1598</f>
        <v/>
      </c>
      <c r="C1526">
        <f>Data!H1598</f>
        <v/>
      </c>
      <c r="D1526">
        <f>Data!I1598</f>
        <v/>
      </c>
      <c r="E1526">
        <f>Data!M1598</f>
        <v/>
      </c>
      <c r="F1526">
        <f>Data!O1598</f>
        <v/>
      </c>
      <c r="G1526">
        <f>E1526-F1526</f>
        <v/>
      </c>
      <c r="H1526">
        <f>Data!P1598</f>
        <v/>
      </c>
      <c r="I1526">
        <f>G1526+H1526</f>
        <v/>
      </c>
      <c r="J1526">
        <f>F1526+G1526+H1526</f>
        <v/>
      </c>
      <c r="K1526">
        <f>Data!R1598</f>
        <v/>
      </c>
      <c r="L1526">
        <f>Data!T1598</f>
        <v/>
      </c>
      <c r="M1526">
        <f>AND(E1526=0,F1526=0,G1526=0,H1526=0,I1526=0,J1526=0,K1526=0,L1526=0)</f>
        <v/>
      </c>
      <c r="N1526">
        <f>G1526&lt;=$T$6</f>
        <v/>
      </c>
      <c r="O1526">
        <f>G1526&lt;=$T$12</f>
        <v/>
      </c>
      <c r="P1526">
        <f>OR(AND(H1526&gt;=$T$4,K1526&lt;=$T$5,N1526),M1526)</f>
        <v/>
      </c>
      <c r="Q1526">
        <f>OR(AND(I1526&gt;=$T$10,K1526&lt;=$T$11,O1526),M1526)</f>
        <v/>
      </c>
    </row>
    <row r="1527">
      <c r="A1527">
        <f>Data!E1599</f>
        <v/>
      </c>
      <c r="B1527">
        <f>Data!G1599</f>
        <v/>
      </c>
      <c r="C1527">
        <f>Data!H1599</f>
        <v/>
      </c>
      <c r="D1527">
        <f>Data!I1599</f>
        <v/>
      </c>
      <c r="E1527">
        <f>Data!M1599</f>
        <v/>
      </c>
      <c r="F1527">
        <f>Data!O1599</f>
        <v/>
      </c>
      <c r="G1527">
        <f>E1527-F1527</f>
        <v/>
      </c>
      <c r="H1527">
        <f>Data!P1599</f>
        <v/>
      </c>
      <c r="I1527">
        <f>G1527+H1527</f>
        <v/>
      </c>
      <c r="J1527">
        <f>F1527+G1527+H1527</f>
        <v/>
      </c>
      <c r="K1527">
        <f>Data!R1599</f>
        <v/>
      </c>
      <c r="L1527">
        <f>Data!T1599</f>
        <v/>
      </c>
      <c r="M1527">
        <f>AND(E1527=0,F1527=0,G1527=0,H1527=0,I1527=0,J1527=0,K1527=0,L1527=0)</f>
        <v/>
      </c>
      <c r="N1527">
        <f>G1527&lt;=$T$6</f>
        <v/>
      </c>
      <c r="O1527">
        <f>G1527&lt;=$T$12</f>
        <v/>
      </c>
      <c r="P1527">
        <f>OR(AND(H1527&gt;=$T$4,K1527&lt;=$T$5,N1527),M1527)</f>
        <v/>
      </c>
      <c r="Q1527">
        <f>OR(AND(I1527&gt;=$T$10,K1527&lt;=$T$11,O1527),M1527)</f>
        <v/>
      </c>
    </row>
    <row r="1528">
      <c r="A1528">
        <f>Data!E1600</f>
        <v/>
      </c>
      <c r="B1528">
        <f>Data!G1600</f>
        <v/>
      </c>
      <c r="C1528">
        <f>Data!H1600</f>
        <v/>
      </c>
      <c r="D1528">
        <f>Data!I1600</f>
        <v/>
      </c>
      <c r="E1528">
        <f>Data!M1600</f>
        <v/>
      </c>
      <c r="F1528">
        <f>Data!O1600</f>
        <v/>
      </c>
      <c r="G1528">
        <f>E1528-F1528</f>
        <v/>
      </c>
      <c r="H1528">
        <f>Data!P1600</f>
        <v/>
      </c>
      <c r="I1528">
        <f>G1528+H1528</f>
        <v/>
      </c>
      <c r="J1528">
        <f>F1528+G1528+H1528</f>
        <v/>
      </c>
      <c r="K1528">
        <f>Data!R1600</f>
        <v/>
      </c>
      <c r="L1528">
        <f>Data!T1600</f>
        <v/>
      </c>
      <c r="M1528">
        <f>AND(E1528=0,F1528=0,G1528=0,H1528=0,I1528=0,J1528=0,K1528=0,L1528=0)</f>
        <v/>
      </c>
      <c r="N1528">
        <f>G1528&lt;=$T$6</f>
        <v/>
      </c>
      <c r="O1528">
        <f>G1528&lt;=$T$12</f>
        <v/>
      </c>
      <c r="P1528">
        <f>OR(AND(H1528&gt;=$T$4,K1528&lt;=$T$5,N1528),M1528)</f>
        <v/>
      </c>
      <c r="Q1528">
        <f>OR(AND(I1528&gt;=$T$10,K1528&lt;=$T$11,O1528),M1528)</f>
        <v/>
      </c>
    </row>
    <row r="1529">
      <c r="A1529">
        <f>Data!E1601</f>
        <v/>
      </c>
      <c r="B1529">
        <f>Data!G1601</f>
        <v/>
      </c>
      <c r="C1529">
        <f>Data!H1601</f>
        <v/>
      </c>
      <c r="D1529">
        <f>Data!I1601</f>
        <v/>
      </c>
      <c r="E1529">
        <f>Data!M1601</f>
        <v/>
      </c>
      <c r="F1529">
        <f>Data!O1601</f>
        <v/>
      </c>
      <c r="G1529">
        <f>E1529-F1529</f>
        <v/>
      </c>
      <c r="H1529">
        <f>Data!P1601</f>
        <v/>
      </c>
      <c r="I1529">
        <f>G1529+H1529</f>
        <v/>
      </c>
      <c r="J1529">
        <f>F1529+G1529+H1529</f>
        <v/>
      </c>
      <c r="K1529">
        <f>Data!R1601</f>
        <v/>
      </c>
      <c r="L1529">
        <f>Data!T1601</f>
        <v/>
      </c>
      <c r="M1529">
        <f>AND(E1529=0,F1529=0,G1529=0,H1529=0,I1529=0,J1529=0,K1529=0,L1529=0)</f>
        <v/>
      </c>
      <c r="N1529">
        <f>G1529&lt;=$T$6</f>
        <v/>
      </c>
      <c r="O1529">
        <f>G1529&lt;=$T$12</f>
        <v/>
      </c>
      <c r="P1529">
        <f>OR(AND(H1529&gt;=$T$4,K1529&lt;=$T$5,N1529),M1529)</f>
        <v/>
      </c>
      <c r="Q1529">
        <f>OR(AND(I1529&gt;=$T$10,K1529&lt;=$T$11,O1529),M1529)</f>
        <v/>
      </c>
    </row>
    <row r="1530">
      <c r="A1530">
        <f>Data!E1602</f>
        <v/>
      </c>
      <c r="B1530">
        <f>Data!G1602</f>
        <v/>
      </c>
      <c r="C1530">
        <f>Data!H1602</f>
        <v/>
      </c>
      <c r="D1530">
        <f>Data!I1602</f>
        <v/>
      </c>
      <c r="E1530">
        <f>Data!M1602</f>
        <v/>
      </c>
      <c r="F1530">
        <f>Data!O1602</f>
        <v/>
      </c>
      <c r="G1530">
        <f>E1530-F1530</f>
        <v/>
      </c>
      <c r="H1530">
        <f>Data!P1602</f>
        <v/>
      </c>
      <c r="I1530">
        <f>G1530+H1530</f>
        <v/>
      </c>
      <c r="J1530">
        <f>F1530+G1530+H1530</f>
        <v/>
      </c>
      <c r="K1530">
        <f>Data!R1602</f>
        <v/>
      </c>
      <c r="L1530">
        <f>Data!T1602</f>
        <v/>
      </c>
      <c r="M1530">
        <f>AND(E1530=0,F1530=0,G1530=0,H1530=0,I1530=0,J1530=0,K1530=0,L1530=0)</f>
        <v/>
      </c>
      <c r="N1530">
        <f>G1530&lt;=$T$6</f>
        <v/>
      </c>
      <c r="O1530">
        <f>G1530&lt;=$T$12</f>
        <v/>
      </c>
      <c r="P1530">
        <f>OR(AND(H1530&gt;=$T$4,K1530&lt;=$T$5,N1530),M1530)</f>
        <v/>
      </c>
      <c r="Q1530">
        <f>OR(AND(I1530&gt;=$T$10,K1530&lt;=$T$11,O1530),M1530)</f>
        <v/>
      </c>
    </row>
    <row r="1531">
      <c r="A1531">
        <f>Data!E1603</f>
        <v/>
      </c>
      <c r="B1531">
        <f>Data!G1603</f>
        <v/>
      </c>
      <c r="C1531">
        <f>Data!H1603</f>
        <v/>
      </c>
      <c r="D1531">
        <f>Data!I1603</f>
        <v/>
      </c>
      <c r="E1531">
        <f>Data!M1603</f>
        <v/>
      </c>
      <c r="F1531">
        <f>Data!O1603</f>
        <v/>
      </c>
      <c r="G1531">
        <f>E1531-F1531</f>
        <v/>
      </c>
      <c r="H1531">
        <f>Data!P1603</f>
        <v/>
      </c>
      <c r="I1531">
        <f>G1531+H1531</f>
        <v/>
      </c>
      <c r="J1531">
        <f>F1531+G1531+H1531</f>
        <v/>
      </c>
      <c r="K1531">
        <f>Data!R1603</f>
        <v/>
      </c>
      <c r="L1531">
        <f>Data!T1603</f>
        <v/>
      </c>
      <c r="M1531">
        <f>AND(E1531=0,F1531=0,G1531=0,H1531=0,I1531=0,J1531=0,K1531=0,L1531=0)</f>
        <v/>
      </c>
      <c r="N1531">
        <f>G1531&lt;=$T$6</f>
        <v/>
      </c>
      <c r="O1531">
        <f>G1531&lt;=$T$12</f>
        <v/>
      </c>
      <c r="P1531">
        <f>OR(AND(H1531&gt;=$T$4,K1531&lt;=$T$5,N1531),M1531)</f>
        <v/>
      </c>
      <c r="Q1531">
        <f>OR(AND(I1531&gt;=$T$10,K1531&lt;=$T$11,O1531),M1531)</f>
        <v/>
      </c>
    </row>
    <row r="1532">
      <c r="A1532">
        <f>Data!E1604</f>
        <v/>
      </c>
      <c r="B1532">
        <f>Data!G1604</f>
        <v/>
      </c>
      <c r="C1532">
        <f>Data!H1604</f>
        <v/>
      </c>
      <c r="D1532">
        <f>Data!I1604</f>
        <v/>
      </c>
      <c r="E1532">
        <f>Data!M1604</f>
        <v/>
      </c>
      <c r="F1532">
        <f>Data!O1604</f>
        <v/>
      </c>
      <c r="G1532">
        <f>E1532-F1532</f>
        <v/>
      </c>
      <c r="H1532">
        <f>Data!P1604</f>
        <v/>
      </c>
      <c r="I1532">
        <f>G1532+H1532</f>
        <v/>
      </c>
      <c r="J1532">
        <f>F1532+G1532+H1532</f>
        <v/>
      </c>
      <c r="K1532">
        <f>Data!R1604</f>
        <v/>
      </c>
      <c r="L1532">
        <f>Data!T1604</f>
        <v/>
      </c>
      <c r="M1532">
        <f>AND(E1532=0,F1532=0,G1532=0,H1532=0,I1532=0,J1532=0,K1532=0,L1532=0)</f>
        <v/>
      </c>
      <c r="N1532">
        <f>G1532&lt;=$T$6</f>
        <v/>
      </c>
      <c r="O1532">
        <f>G1532&lt;=$T$12</f>
        <v/>
      </c>
      <c r="P1532">
        <f>OR(AND(H1532&gt;=$T$4,K1532&lt;=$T$5,N1532),M1532)</f>
        <v/>
      </c>
      <c r="Q1532">
        <f>OR(AND(I1532&gt;=$T$10,K1532&lt;=$T$11,O1532),M1532)</f>
        <v/>
      </c>
    </row>
    <row r="1533">
      <c r="A1533">
        <f>Data!E1605</f>
        <v/>
      </c>
      <c r="B1533">
        <f>Data!G1605</f>
        <v/>
      </c>
      <c r="C1533">
        <f>Data!H1605</f>
        <v/>
      </c>
      <c r="D1533">
        <f>Data!I1605</f>
        <v/>
      </c>
      <c r="E1533">
        <f>Data!M1605</f>
        <v/>
      </c>
      <c r="F1533">
        <f>Data!O1605</f>
        <v/>
      </c>
      <c r="G1533">
        <f>E1533-F1533</f>
        <v/>
      </c>
      <c r="H1533">
        <f>Data!P1605</f>
        <v/>
      </c>
      <c r="I1533">
        <f>G1533+H1533</f>
        <v/>
      </c>
      <c r="J1533">
        <f>F1533+G1533+H1533</f>
        <v/>
      </c>
      <c r="K1533">
        <f>Data!R1605</f>
        <v/>
      </c>
      <c r="L1533">
        <f>Data!T1605</f>
        <v/>
      </c>
      <c r="M1533">
        <f>AND(E1533=0,F1533=0,G1533=0,H1533=0,I1533=0,J1533=0,K1533=0,L1533=0)</f>
        <v/>
      </c>
      <c r="N1533">
        <f>G1533&lt;=$T$6</f>
        <v/>
      </c>
      <c r="O1533">
        <f>G1533&lt;=$T$12</f>
        <v/>
      </c>
      <c r="P1533">
        <f>OR(AND(H1533&gt;=$T$4,K1533&lt;=$T$5,N1533),M1533)</f>
        <v/>
      </c>
      <c r="Q1533">
        <f>OR(AND(I1533&gt;=$T$10,K1533&lt;=$T$11,O1533),M1533)</f>
        <v/>
      </c>
    </row>
    <row r="1534">
      <c r="A1534">
        <f>Data!E1606</f>
        <v/>
      </c>
      <c r="B1534">
        <f>Data!G1606</f>
        <v/>
      </c>
      <c r="C1534">
        <f>Data!H1606</f>
        <v/>
      </c>
      <c r="D1534">
        <f>Data!I1606</f>
        <v/>
      </c>
      <c r="E1534">
        <f>Data!M1606</f>
        <v/>
      </c>
      <c r="F1534">
        <f>Data!O1606</f>
        <v/>
      </c>
      <c r="G1534">
        <f>E1534-F1534</f>
        <v/>
      </c>
      <c r="H1534">
        <f>Data!P1606</f>
        <v/>
      </c>
      <c r="I1534">
        <f>G1534+H1534</f>
        <v/>
      </c>
      <c r="J1534">
        <f>F1534+G1534+H1534</f>
        <v/>
      </c>
      <c r="K1534">
        <f>Data!R1606</f>
        <v/>
      </c>
      <c r="L1534">
        <f>Data!T1606</f>
        <v/>
      </c>
      <c r="M1534">
        <f>AND(E1534=0,F1534=0,G1534=0,H1534=0,I1534=0,J1534=0,K1534=0,L1534=0)</f>
        <v/>
      </c>
      <c r="N1534">
        <f>G1534&lt;=$T$6</f>
        <v/>
      </c>
      <c r="O1534">
        <f>G1534&lt;=$T$12</f>
        <v/>
      </c>
      <c r="P1534">
        <f>OR(AND(H1534&gt;=$T$4,K1534&lt;=$T$5,N1534),M1534)</f>
        <v/>
      </c>
      <c r="Q1534">
        <f>OR(AND(I1534&gt;=$T$10,K1534&lt;=$T$11,O1534),M1534)</f>
        <v/>
      </c>
    </row>
    <row r="1535">
      <c r="A1535">
        <f>Data!E1607</f>
        <v/>
      </c>
      <c r="B1535">
        <f>Data!G1607</f>
        <v/>
      </c>
      <c r="C1535">
        <f>Data!H1607</f>
        <v/>
      </c>
      <c r="D1535">
        <f>Data!I1607</f>
        <v/>
      </c>
      <c r="E1535">
        <f>Data!M1607</f>
        <v/>
      </c>
      <c r="F1535">
        <f>Data!O1607</f>
        <v/>
      </c>
      <c r="G1535">
        <f>E1535-F1535</f>
        <v/>
      </c>
      <c r="H1535">
        <f>Data!P1607</f>
        <v/>
      </c>
      <c r="I1535">
        <f>G1535+H1535</f>
        <v/>
      </c>
      <c r="J1535">
        <f>F1535+G1535+H1535</f>
        <v/>
      </c>
      <c r="K1535">
        <f>Data!R1607</f>
        <v/>
      </c>
      <c r="L1535">
        <f>Data!T1607</f>
        <v/>
      </c>
      <c r="M1535">
        <f>AND(E1535=0,F1535=0,G1535=0,H1535=0,I1535=0,J1535=0,K1535=0,L1535=0)</f>
        <v/>
      </c>
      <c r="N1535">
        <f>G1535&lt;=$T$6</f>
        <v/>
      </c>
      <c r="O1535">
        <f>G1535&lt;=$T$12</f>
        <v/>
      </c>
      <c r="P1535">
        <f>OR(AND(H1535&gt;=$T$4,K1535&lt;=$T$5,N1535),M1535)</f>
        <v/>
      </c>
      <c r="Q1535">
        <f>OR(AND(I1535&gt;=$T$10,K1535&lt;=$T$11,O1535),M1535)</f>
        <v/>
      </c>
    </row>
    <row r="1536">
      <c r="A1536">
        <f>Data!E1609</f>
        <v/>
      </c>
      <c r="B1536">
        <f>Data!G1609</f>
        <v/>
      </c>
      <c r="C1536">
        <f>Data!H1609</f>
        <v/>
      </c>
      <c r="D1536">
        <f>Data!I1609</f>
        <v/>
      </c>
      <c r="E1536">
        <f>Data!M1609</f>
        <v/>
      </c>
      <c r="F1536">
        <f>Data!O1609</f>
        <v/>
      </c>
      <c r="G1536">
        <f>E1536-F1536</f>
        <v/>
      </c>
      <c r="H1536">
        <f>Data!P1609</f>
        <v/>
      </c>
      <c r="I1536">
        <f>G1536+H1536</f>
        <v/>
      </c>
      <c r="J1536">
        <f>F1536+G1536+H1536</f>
        <v/>
      </c>
      <c r="K1536">
        <f>Data!R1609</f>
        <v/>
      </c>
      <c r="L1536">
        <f>Data!T1609</f>
        <v/>
      </c>
      <c r="M1536">
        <f>AND(E1536=0,F1536=0,G1536=0,H1536=0,I1536=0,J1536=0,K1536=0,L1536=0)</f>
        <v/>
      </c>
      <c r="N1536">
        <f>G1536&lt;=$T$6</f>
        <v/>
      </c>
      <c r="O1536">
        <f>G1536&lt;=$T$12</f>
        <v/>
      </c>
      <c r="P1536">
        <f>OR(AND(H1536&gt;=$T$4,K1536&lt;=$T$5,N1536),M1536)</f>
        <v/>
      </c>
      <c r="Q1536">
        <f>OR(AND(I1536&gt;=$T$10,K1536&lt;=$T$11,O1536),M1536)</f>
        <v/>
      </c>
    </row>
    <row r="1537">
      <c r="A1537">
        <f>Data!E1610</f>
        <v/>
      </c>
      <c r="B1537">
        <f>Data!G1610</f>
        <v/>
      </c>
      <c r="C1537">
        <f>Data!H1610</f>
        <v/>
      </c>
      <c r="D1537">
        <f>Data!I1610</f>
        <v/>
      </c>
      <c r="E1537">
        <f>Data!M1610</f>
        <v/>
      </c>
      <c r="F1537">
        <f>Data!O1610</f>
        <v/>
      </c>
      <c r="G1537">
        <f>E1537-F1537</f>
        <v/>
      </c>
      <c r="H1537">
        <f>Data!P1610</f>
        <v/>
      </c>
      <c r="I1537">
        <f>G1537+H1537</f>
        <v/>
      </c>
      <c r="J1537">
        <f>F1537+G1537+H1537</f>
        <v/>
      </c>
      <c r="K1537">
        <f>Data!R1610</f>
        <v/>
      </c>
      <c r="L1537">
        <f>Data!T1610</f>
        <v/>
      </c>
      <c r="M1537">
        <f>AND(E1537=0,F1537=0,G1537=0,H1537=0,I1537=0,J1537=0,K1537=0,L1537=0)</f>
        <v/>
      </c>
      <c r="N1537">
        <f>G1537&lt;=$T$6</f>
        <v/>
      </c>
      <c r="O1537">
        <f>G1537&lt;=$T$12</f>
        <v/>
      </c>
      <c r="P1537">
        <f>OR(AND(H1537&gt;=$T$4,K1537&lt;=$T$5,N1537),M1537)</f>
        <v/>
      </c>
      <c r="Q1537">
        <f>OR(AND(I1537&gt;=$T$10,K1537&lt;=$T$11,O1537),M1537)</f>
        <v/>
      </c>
    </row>
    <row r="1538">
      <c r="A1538">
        <f>Data!E1611</f>
        <v/>
      </c>
      <c r="B1538">
        <f>Data!G1611</f>
        <v/>
      </c>
      <c r="C1538">
        <f>Data!H1611</f>
        <v/>
      </c>
      <c r="D1538">
        <f>Data!I1611</f>
        <v/>
      </c>
      <c r="E1538">
        <f>Data!M1611</f>
        <v/>
      </c>
      <c r="F1538">
        <f>Data!O1611</f>
        <v/>
      </c>
      <c r="G1538">
        <f>E1538-F1538</f>
        <v/>
      </c>
      <c r="H1538">
        <f>Data!P1611</f>
        <v/>
      </c>
      <c r="I1538">
        <f>G1538+H1538</f>
        <v/>
      </c>
      <c r="J1538">
        <f>F1538+G1538+H1538</f>
        <v/>
      </c>
      <c r="K1538">
        <f>Data!R1611</f>
        <v/>
      </c>
      <c r="L1538">
        <f>Data!T1611</f>
        <v/>
      </c>
      <c r="M1538">
        <f>AND(E1538=0,F1538=0,G1538=0,H1538=0,I1538=0,J1538=0,K1538=0,L1538=0)</f>
        <v/>
      </c>
      <c r="N1538">
        <f>G1538&lt;=$T$6</f>
        <v/>
      </c>
      <c r="O1538">
        <f>G1538&lt;=$T$12</f>
        <v/>
      </c>
      <c r="P1538">
        <f>OR(AND(H1538&gt;=$T$4,K1538&lt;=$T$5,N1538),M1538)</f>
        <v/>
      </c>
      <c r="Q1538">
        <f>OR(AND(I1538&gt;=$T$10,K1538&lt;=$T$11,O1538),M1538)</f>
        <v/>
      </c>
    </row>
    <row r="1539">
      <c r="A1539">
        <f>Data!E1612</f>
        <v/>
      </c>
      <c r="B1539">
        <f>Data!G1612</f>
        <v/>
      </c>
      <c r="C1539">
        <f>Data!H1612</f>
        <v/>
      </c>
      <c r="D1539">
        <f>Data!I1612</f>
        <v/>
      </c>
      <c r="E1539">
        <f>Data!M1612</f>
        <v/>
      </c>
      <c r="F1539">
        <f>Data!O1612</f>
        <v/>
      </c>
      <c r="G1539">
        <f>E1539-F1539</f>
        <v/>
      </c>
      <c r="H1539">
        <f>Data!P1612</f>
        <v/>
      </c>
      <c r="I1539">
        <f>G1539+H1539</f>
        <v/>
      </c>
      <c r="J1539">
        <f>F1539+G1539+H1539</f>
        <v/>
      </c>
      <c r="K1539">
        <f>Data!R1612</f>
        <v/>
      </c>
      <c r="L1539">
        <f>Data!T1612</f>
        <v/>
      </c>
      <c r="M1539">
        <f>AND(E1539=0,F1539=0,G1539=0,H1539=0,I1539=0,J1539=0,K1539=0,L1539=0)</f>
        <v/>
      </c>
      <c r="N1539">
        <f>G1539&lt;=$T$6</f>
        <v/>
      </c>
      <c r="O1539">
        <f>G1539&lt;=$T$12</f>
        <v/>
      </c>
      <c r="P1539">
        <f>OR(AND(H1539&gt;=$T$4,K1539&lt;=$T$5,N1539),M1539)</f>
        <v/>
      </c>
      <c r="Q1539">
        <f>OR(AND(I1539&gt;=$T$10,K1539&lt;=$T$11,O1539),M1539)</f>
        <v/>
      </c>
    </row>
    <row r="1540">
      <c r="A1540">
        <f>Data!E1613</f>
        <v/>
      </c>
      <c r="B1540">
        <f>Data!G1613</f>
        <v/>
      </c>
      <c r="C1540">
        <f>Data!H1613</f>
        <v/>
      </c>
      <c r="D1540">
        <f>Data!I1613</f>
        <v/>
      </c>
      <c r="E1540">
        <f>Data!M1613</f>
        <v/>
      </c>
      <c r="F1540">
        <f>Data!O1613</f>
        <v/>
      </c>
      <c r="G1540">
        <f>E1540-F1540</f>
        <v/>
      </c>
      <c r="H1540">
        <f>Data!P1613</f>
        <v/>
      </c>
      <c r="I1540">
        <f>G1540+H1540</f>
        <v/>
      </c>
      <c r="J1540">
        <f>F1540+G1540+H1540</f>
        <v/>
      </c>
      <c r="K1540">
        <f>Data!R1613</f>
        <v/>
      </c>
      <c r="L1540">
        <f>Data!T1613</f>
        <v/>
      </c>
      <c r="M1540">
        <f>AND(E1540=0,F1540=0,G1540=0,H1540=0,I1540=0,J1540=0,K1540=0,L1540=0)</f>
        <v/>
      </c>
      <c r="N1540">
        <f>G1540&lt;=$T$6</f>
        <v/>
      </c>
      <c r="O1540">
        <f>G1540&lt;=$T$12</f>
        <v/>
      </c>
      <c r="P1540">
        <f>OR(AND(H1540&gt;=$T$4,K1540&lt;=$T$5,N1540),M1540)</f>
        <v/>
      </c>
      <c r="Q1540">
        <f>OR(AND(I1540&gt;=$T$10,K1540&lt;=$T$11,O1540),M1540)</f>
        <v/>
      </c>
    </row>
    <row r="1541">
      <c r="A1541">
        <f>Data!E1614</f>
        <v/>
      </c>
      <c r="B1541">
        <f>Data!G1614</f>
        <v/>
      </c>
      <c r="C1541">
        <f>Data!H1614</f>
        <v/>
      </c>
      <c r="D1541">
        <f>Data!I1614</f>
        <v/>
      </c>
      <c r="E1541">
        <f>Data!M1614</f>
        <v/>
      </c>
      <c r="F1541">
        <f>Data!O1614</f>
        <v/>
      </c>
      <c r="G1541">
        <f>E1541-F1541</f>
        <v/>
      </c>
      <c r="H1541">
        <f>Data!P1614</f>
        <v/>
      </c>
      <c r="I1541">
        <f>G1541+H1541</f>
        <v/>
      </c>
      <c r="J1541">
        <f>F1541+G1541+H1541</f>
        <v/>
      </c>
      <c r="K1541">
        <f>Data!R1614</f>
        <v/>
      </c>
      <c r="L1541">
        <f>Data!T1614</f>
        <v/>
      </c>
      <c r="M1541">
        <f>AND(E1541=0,F1541=0,G1541=0,H1541=0,I1541=0,J1541=0,K1541=0,L1541=0)</f>
        <v/>
      </c>
      <c r="N1541">
        <f>G1541&lt;=$T$6</f>
        <v/>
      </c>
      <c r="O1541">
        <f>G1541&lt;=$T$12</f>
        <v/>
      </c>
      <c r="P1541">
        <f>OR(AND(H1541&gt;=$T$4,K1541&lt;=$T$5,N1541),M1541)</f>
        <v/>
      </c>
      <c r="Q1541">
        <f>OR(AND(I1541&gt;=$T$10,K1541&lt;=$T$11,O1541),M1541)</f>
        <v/>
      </c>
    </row>
    <row r="1542">
      <c r="A1542">
        <f>Data!E1615</f>
        <v/>
      </c>
      <c r="B1542">
        <f>Data!G1615</f>
        <v/>
      </c>
      <c r="C1542">
        <f>Data!H1615</f>
        <v/>
      </c>
      <c r="D1542">
        <f>Data!I1615</f>
        <v/>
      </c>
      <c r="E1542">
        <f>Data!M1615</f>
        <v/>
      </c>
      <c r="F1542">
        <f>Data!O1615</f>
        <v/>
      </c>
      <c r="G1542">
        <f>E1542-F1542</f>
        <v/>
      </c>
      <c r="H1542">
        <f>Data!P1615</f>
        <v/>
      </c>
      <c r="I1542">
        <f>G1542+H1542</f>
        <v/>
      </c>
      <c r="J1542">
        <f>F1542+G1542+H1542</f>
        <v/>
      </c>
      <c r="K1542">
        <f>Data!R1615</f>
        <v/>
      </c>
      <c r="L1542">
        <f>Data!T1615</f>
        <v/>
      </c>
      <c r="M1542">
        <f>AND(E1542=0,F1542=0,G1542=0,H1542=0,I1542=0,J1542=0,K1542=0,L1542=0)</f>
        <v/>
      </c>
      <c r="N1542">
        <f>G1542&lt;=$T$6</f>
        <v/>
      </c>
      <c r="O1542">
        <f>G1542&lt;=$T$12</f>
        <v/>
      </c>
      <c r="P1542">
        <f>OR(AND(H1542&gt;=$T$4,K1542&lt;=$T$5,N1542),M1542)</f>
        <v/>
      </c>
      <c r="Q1542">
        <f>OR(AND(I1542&gt;=$T$10,K1542&lt;=$T$11,O1542),M1542)</f>
        <v/>
      </c>
    </row>
    <row r="1543">
      <c r="A1543">
        <f>Data!E1616</f>
        <v/>
      </c>
      <c r="B1543">
        <f>Data!G1616</f>
        <v/>
      </c>
      <c r="C1543">
        <f>Data!H1616</f>
        <v/>
      </c>
      <c r="D1543">
        <f>Data!I1616</f>
        <v/>
      </c>
      <c r="E1543">
        <f>Data!M1616</f>
        <v/>
      </c>
      <c r="F1543">
        <f>Data!O1616</f>
        <v/>
      </c>
      <c r="G1543">
        <f>E1543-F1543</f>
        <v/>
      </c>
      <c r="H1543">
        <f>Data!P1616</f>
        <v/>
      </c>
      <c r="I1543">
        <f>G1543+H1543</f>
        <v/>
      </c>
      <c r="J1543">
        <f>F1543+G1543+H1543</f>
        <v/>
      </c>
      <c r="K1543">
        <f>Data!R1616</f>
        <v/>
      </c>
      <c r="L1543">
        <f>Data!T1616</f>
        <v/>
      </c>
      <c r="M1543">
        <f>AND(E1543=0,F1543=0,G1543=0,H1543=0,I1543=0,J1543=0,K1543=0,L1543=0)</f>
        <v/>
      </c>
      <c r="N1543">
        <f>G1543&lt;=$T$6</f>
        <v/>
      </c>
      <c r="O1543">
        <f>G1543&lt;=$T$12</f>
        <v/>
      </c>
      <c r="P1543">
        <f>OR(AND(H1543&gt;=$T$4,K1543&lt;=$T$5,N1543),M1543)</f>
        <v/>
      </c>
      <c r="Q1543">
        <f>OR(AND(I1543&gt;=$T$10,K1543&lt;=$T$11,O1543),M1543)</f>
        <v/>
      </c>
    </row>
    <row r="1544">
      <c r="A1544">
        <f>Data!E1617</f>
        <v/>
      </c>
      <c r="B1544">
        <f>Data!G1617</f>
        <v/>
      </c>
      <c r="C1544">
        <f>Data!H1617</f>
        <v/>
      </c>
      <c r="D1544">
        <f>Data!I1617</f>
        <v/>
      </c>
      <c r="E1544">
        <f>Data!M1617</f>
        <v/>
      </c>
      <c r="F1544">
        <f>Data!O1617</f>
        <v/>
      </c>
      <c r="G1544">
        <f>E1544-F1544</f>
        <v/>
      </c>
      <c r="H1544">
        <f>Data!P1617</f>
        <v/>
      </c>
      <c r="I1544">
        <f>G1544+H1544</f>
        <v/>
      </c>
      <c r="J1544">
        <f>F1544+G1544+H1544</f>
        <v/>
      </c>
      <c r="K1544">
        <f>Data!R1617</f>
        <v/>
      </c>
      <c r="L1544">
        <f>Data!T1617</f>
        <v/>
      </c>
      <c r="M1544">
        <f>AND(E1544=0,F1544=0,G1544=0,H1544=0,I1544=0,J1544=0,K1544=0,L1544=0)</f>
        <v/>
      </c>
      <c r="N1544">
        <f>G1544&lt;=$T$6</f>
        <v/>
      </c>
      <c r="O1544">
        <f>G1544&lt;=$T$12</f>
        <v/>
      </c>
      <c r="P1544">
        <f>OR(AND(H1544&gt;=$T$4,K1544&lt;=$T$5,N1544),M1544)</f>
        <v/>
      </c>
      <c r="Q1544">
        <f>OR(AND(I1544&gt;=$T$10,K1544&lt;=$T$11,O1544),M1544)</f>
        <v/>
      </c>
    </row>
    <row r="1545">
      <c r="A1545">
        <f>Data!E1618</f>
        <v/>
      </c>
      <c r="B1545">
        <f>Data!G1618</f>
        <v/>
      </c>
      <c r="C1545">
        <f>Data!H1618</f>
        <v/>
      </c>
      <c r="D1545">
        <f>Data!I1618</f>
        <v/>
      </c>
      <c r="E1545">
        <f>Data!M1618</f>
        <v/>
      </c>
      <c r="F1545">
        <f>Data!O1618</f>
        <v/>
      </c>
      <c r="G1545">
        <f>E1545-F1545</f>
        <v/>
      </c>
      <c r="H1545">
        <f>Data!P1618</f>
        <v/>
      </c>
      <c r="I1545">
        <f>G1545+H1545</f>
        <v/>
      </c>
      <c r="J1545">
        <f>F1545+G1545+H1545</f>
        <v/>
      </c>
      <c r="K1545">
        <f>Data!R1618</f>
        <v/>
      </c>
      <c r="L1545">
        <f>Data!T1618</f>
        <v/>
      </c>
      <c r="M1545">
        <f>AND(E1545=0,F1545=0,G1545=0,H1545=0,I1545=0,J1545=0,K1545=0,L1545=0)</f>
        <v/>
      </c>
      <c r="N1545">
        <f>G1545&lt;=$T$6</f>
        <v/>
      </c>
      <c r="O1545">
        <f>G1545&lt;=$T$12</f>
        <v/>
      </c>
      <c r="P1545">
        <f>OR(AND(H1545&gt;=$T$4,K1545&lt;=$T$5,N1545),M1545)</f>
        <v/>
      </c>
      <c r="Q1545">
        <f>OR(AND(I1545&gt;=$T$10,K1545&lt;=$T$11,O1545),M1545)</f>
        <v/>
      </c>
    </row>
    <row r="1546">
      <c r="A1546">
        <f>Data!E1619</f>
        <v/>
      </c>
      <c r="B1546">
        <f>Data!G1619</f>
        <v/>
      </c>
      <c r="C1546">
        <f>Data!H1619</f>
        <v/>
      </c>
      <c r="D1546">
        <f>Data!I1619</f>
        <v/>
      </c>
      <c r="E1546">
        <f>Data!M1619</f>
        <v/>
      </c>
      <c r="F1546">
        <f>Data!O1619</f>
        <v/>
      </c>
      <c r="G1546">
        <f>E1546-F1546</f>
        <v/>
      </c>
      <c r="H1546">
        <f>Data!P1619</f>
        <v/>
      </c>
      <c r="I1546">
        <f>G1546+H1546</f>
        <v/>
      </c>
      <c r="J1546">
        <f>F1546+G1546+H1546</f>
        <v/>
      </c>
      <c r="K1546">
        <f>Data!R1619</f>
        <v/>
      </c>
      <c r="L1546">
        <f>Data!T1619</f>
        <v/>
      </c>
      <c r="M1546">
        <f>AND(E1546=0,F1546=0,G1546=0,H1546=0,I1546=0,J1546=0,K1546=0,L1546=0)</f>
        <v/>
      </c>
      <c r="N1546">
        <f>G1546&lt;=$T$6</f>
        <v/>
      </c>
      <c r="O1546">
        <f>G1546&lt;=$T$12</f>
        <v/>
      </c>
      <c r="P1546">
        <f>OR(AND(H1546&gt;=$T$4,K1546&lt;=$T$5,N1546),M1546)</f>
        <v/>
      </c>
      <c r="Q1546">
        <f>OR(AND(I1546&gt;=$T$10,K1546&lt;=$T$11,O1546),M1546)</f>
        <v/>
      </c>
    </row>
    <row r="1547">
      <c r="A1547">
        <f>Data!E1620</f>
        <v/>
      </c>
      <c r="B1547">
        <f>Data!G1620</f>
        <v/>
      </c>
      <c r="C1547">
        <f>Data!H1620</f>
        <v/>
      </c>
      <c r="D1547">
        <f>Data!I1620</f>
        <v/>
      </c>
      <c r="E1547">
        <f>Data!M1620</f>
        <v/>
      </c>
      <c r="F1547">
        <f>Data!O1620</f>
        <v/>
      </c>
      <c r="G1547">
        <f>E1547-F1547</f>
        <v/>
      </c>
      <c r="H1547">
        <f>Data!P1620</f>
        <v/>
      </c>
      <c r="I1547">
        <f>G1547+H1547</f>
        <v/>
      </c>
      <c r="J1547">
        <f>F1547+G1547+H1547</f>
        <v/>
      </c>
      <c r="K1547">
        <f>Data!R1620</f>
        <v/>
      </c>
      <c r="L1547">
        <f>Data!T1620</f>
        <v/>
      </c>
      <c r="M1547">
        <f>AND(E1547=0,F1547=0,G1547=0,H1547=0,I1547=0,J1547=0,K1547=0,L1547=0)</f>
        <v/>
      </c>
      <c r="N1547">
        <f>G1547&lt;=$T$6</f>
        <v/>
      </c>
      <c r="O1547">
        <f>G1547&lt;=$T$12</f>
        <v/>
      </c>
      <c r="P1547">
        <f>OR(AND(H1547&gt;=$T$4,K1547&lt;=$T$5,N1547),M1547)</f>
        <v/>
      </c>
      <c r="Q1547">
        <f>OR(AND(I1547&gt;=$T$10,K1547&lt;=$T$11,O1547),M1547)</f>
        <v/>
      </c>
    </row>
    <row r="1548">
      <c r="A1548">
        <f>Data!E1621</f>
        <v/>
      </c>
      <c r="B1548">
        <f>Data!G1621</f>
        <v/>
      </c>
      <c r="C1548">
        <f>Data!H1621</f>
        <v/>
      </c>
      <c r="D1548">
        <f>Data!I1621</f>
        <v/>
      </c>
      <c r="E1548">
        <f>Data!M1621</f>
        <v/>
      </c>
      <c r="F1548">
        <f>Data!O1621</f>
        <v/>
      </c>
      <c r="G1548">
        <f>E1548-F1548</f>
        <v/>
      </c>
      <c r="H1548">
        <f>Data!P1621</f>
        <v/>
      </c>
      <c r="I1548">
        <f>G1548+H1548</f>
        <v/>
      </c>
      <c r="J1548">
        <f>F1548+G1548+H1548</f>
        <v/>
      </c>
      <c r="K1548">
        <f>Data!R1621</f>
        <v/>
      </c>
      <c r="L1548">
        <f>Data!T1621</f>
        <v/>
      </c>
      <c r="M1548">
        <f>AND(E1548=0,F1548=0,G1548=0,H1548=0,I1548=0,J1548=0,K1548=0,L1548=0)</f>
        <v/>
      </c>
      <c r="N1548">
        <f>G1548&lt;=$T$6</f>
        <v/>
      </c>
      <c r="O1548">
        <f>G1548&lt;=$T$12</f>
        <v/>
      </c>
      <c r="P1548">
        <f>OR(AND(H1548&gt;=$T$4,K1548&lt;=$T$5,N1548),M1548)</f>
        <v/>
      </c>
      <c r="Q1548">
        <f>OR(AND(I1548&gt;=$T$10,K1548&lt;=$T$11,O1548),M1548)</f>
        <v/>
      </c>
    </row>
    <row r="1549">
      <c r="A1549">
        <f>Data!E1623</f>
        <v/>
      </c>
      <c r="B1549">
        <f>Data!G1623</f>
        <v/>
      </c>
      <c r="C1549">
        <f>Data!H1623</f>
        <v/>
      </c>
      <c r="D1549">
        <f>Data!I1623</f>
        <v/>
      </c>
      <c r="E1549">
        <f>Data!M1623</f>
        <v/>
      </c>
      <c r="F1549">
        <f>Data!O1623</f>
        <v/>
      </c>
      <c r="G1549">
        <f>E1549-F1549</f>
        <v/>
      </c>
      <c r="H1549">
        <f>Data!P1623</f>
        <v/>
      </c>
      <c r="I1549">
        <f>G1549+H1549</f>
        <v/>
      </c>
      <c r="J1549">
        <f>F1549+G1549+H1549</f>
        <v/>
      </c>
      <c r="K1549">
        <f>Data!R1623</f>
        <v/>
      </c>
      <c r="L1549">
        <f>Data!T1623</f>
        <v/>
      </c>
      <c r="M1549">
        <f>AND(E1549=0,F1549=0,G1549=0,H1549=0,I1549=0,J1549=0,K1549=0,L1549=0)</f>
        <v/>
      </c>
      <c r="N1549">
        <f>G1549&lt;=$T$6</f>
        <v/>
      </c>
      <c r="O1549">
        <f>G1549&lt;=$T$12</f>
        <v/>
      </c>
      <c r="P1549">
        <f>OR(AND(H1549&gt;=$T$4,K1549&lt;=$T$5,N1549),M1549)</f>
        <v/>
      </c>
      <c r="Q1549">
        <f>OR(AND(I1549&gt;=$T$10,K1549&lt;=$T$11,O1549),M1549)</f>
        <v/>
      </c>
    </row>
    <row r="1550">
      <c r="A1550">
        <f>Data!E1624</f>
        <v/>
      </c>
      <c r="B1550">
        <f>Data!G1624</f>
        <v/>
      </c>
      <c r="C1550">
        <f>Data!H1624</f>
        <v/>
      </c>
      <c r="D1550">
        <f>Data!I1624</f>
        <v/>
      </c>
      <c r="E1550">
        <f>Data!M1624</f>
        <v/>
      </c>
      <c r="F1550">
        <f>Data!O1624</f>
        <v/>
      </c>
      <c r="G1550">
        <f>E1550-F1550</f>
        <v/>
      </c>
      <c r="H1550">
        <f>Data!P1624</f>
        <v/>
      </c>
      <c r="I1550">
        <f>G1550+H1550</f>
        <v/>
      </c>
      <c r="J1550">
        <f>F1550+G1550+H1550</f>
        <v/>
      </c>
      <c r="K1550">
        <f>Data!R1624</f>
        <v/>
      </c>
      <c r="L1550">
        <f>Data!T1624</f>
        <v/>
      </c>
      <c r="M1550">
        <f>AND(E1550=0,F1550=0,G1550=0,H1550=0,I1550=0,J1550=0,K1550=0,L1550=0)</f>
        <v/>
      </c>
      <c r="N1550">
        <f>G1550&lt;=$T$6</f>
        <v/>
      </c>
      <c r="O1550">
        <f>G1550&lt;=$T$12</f>
        <v/>
      </c>
      <c r="P1550">
        <f>OR(AND(H1550&gt;=$T$4,K1550&lt;=$T$5,N1550),M1550)</f>
        <v/>
      </c>
      <c r="Q1550">
        <f>OR(AND(I1550&gt;=$T$10,K1550&lt;=$T$11,O1550),M1550)</f>
        <v/>
      </c>
    </row>
    <row r="1551">
      <c r="A1551">
        <f>Data!E1625</f>
        <v/>
      </c>
      <c r="B1551">
        <f>Data!G1625</f>
        <v/>
      </c>
      <c r="C1551">
        <f>Data!H1625</f>
        <v/>
      </c>
      <c r="D1551">
        <f>Data!I1625</f>
        <v/>
      </c>
      <c r="E1551">
        <f>Data!M1625</f>
        <v/>
      </c>
      <c r="F1551">
        <f>Data!O1625</f>
        <v/>
      </c>
      <c r="G1551">
        <f>E1551-F1551</f>
        <v/>
      </c>
      <c r="H1551">
        <f>Data!P1625</f>
        <v/>
      </c>
      <c r="I1551">
        <f>G1551+H1551</f>
        <v/>
      </c>
      <c r="J1551">
        <f>F1551+G1551+H1551</f>
        <v/>
      </c>
      <c r="K1551">
        <f>Data!R1625</f>
        <v/>
      </c>
      <c r="L1551">
        <f>Data!T1625</f>
        <v/>
      </c>
      <c r="M1551">
        <f>AND(E1551=0,F1551=0,G1551=0,H1551=0,I1551=0,J1551=0,K1551=0,L1551=0)</f>
        <v/>
      </c>
      <c r="N1551">
        <f>G1551&lt;=$T$6</f>
        <v/>
      </c>
      <c r="O1551">
        <f>G1551&lt;=$T$12</f>
        <v/>
      </c>
      <c r="P1551">
        <f>OR(AND(H1551&gt;=$T$4,K1551&lt;=$T$5,N1551),M1551)</f>
        <v/>
      </c>
      <c r="Q1551">
        <f>OR(AND(I1551&gt;=$T$10,K1551&lt;=$T$11,O1551),M1551)</f>
        <v/>
      </c>
    </row>
    <row r="1552">
      <c r="A1552">
        <f>Data!E1626</f>
        <v/>
      </c>
      <c r="B1552">
        <f>Data!G1626</f>
        <v/>
      </c>
      <c r="C1552">
        <f>Data!H1626</f>
        <v/>
      </c>
      <c r="D1552">
        <f>Data!I1626</f>
        <v/>
      </c>
      <c r="E1552">
        <f>Data!M1626</f>
        <v/>
      </c>
      <c r="F1552">
        <f>Data!O1626</f>
        <v/>
      </c>
      <c r="G1552">
        <f>E1552-F1552</f>
        <v/>
      </c>
      <c r="H1552">
        <f>Data!P1626</f>
        <v/>
      </c>
      <c r="I1552">
        <f>G1552+H1552</f>
        <v/>
      </c>
      <c r="J1552">
        <f>F1552+G1552+H1552</f>
        <v/>
      </c>
      <c r="K1552">
        <f>Data!R1626</f>
        <v/>
      </c>
      <c r="L1552">
        <f>Data!T1626</f>
        <v/>
      </c>
      <c r="M1552">
        <f>AND(E1552=0,F1552=0,G1552=0,H1552=0,I1552=0,J1552=0,K1552=0,L1552=0)</f>
        <v/>
      </c>
      <c r="N1552">
        <f>G1552&lt;=$T$6</f>
        <v/>
      </c>
      <c r="O1552">
        <f>G1552&lt;=$T$12</f>
        <v/>
      </c>
      <c r="P1552">
        <f>OR(AND(H1552&gt;=$T$4,K1552&lt;=$T$5,N1552),M1552)</f>
        <v/>
      </c>
      <c r="Q1552">
        <f>OR(AND(I1552&gt;=$T$10,K1552&lt;=$T$11,O1552),M1552)</f>
        <v/>
      </c>
    </row>
    <row r="1553">
      <c r="A1553">
        <f>Data!E1627</f>
        <v/>
      </c>
      <c r="B1553">
        <f>Data!G1627</f>
        <v/>
      </c>
      <c r="C1553">
        <f>Data!H1627</f>
        <v/>
      </c>
      <c r="D1553">
        <f>Data!I1627</f>
        <v/>
      </c>
      <c r="E1553">
        <f>Data!M1627</f>
        <v/>
      </c>
      <c r="F1553">
        <f>Data!O1627</f>
        <v/>
      </c>
      <c r="G1553">
        <f>E1553-F1553</f>
        <v/>
      </c>
      <c r="H1553">
        <f>Data!P1627</f>
        <v/>
      </c>
      <c r="I1553">
        <f>G1553+H1553</f>
        <v/>
      </c>
      <c r="J1553">
        <f>F1553+G1553+H1553</f>
        <v/>
      </c>
      <c r="K1553">
        <f>Data!R1627</f>
        <v/>
      </c>
      <c r="L1553">
        <f>Data!T1627</f>
        <v/>
      </c>
      <c r="M1553">
        <f>AND(E1553=0,F1553=0,G1553=0,H1553=0,I1553=0,J1553=0,K1553=0,L1553=0)</f>
        <v/>
      </c>
      <c r="N1553">
        <f>G1553&lt;=$T$6</f>
        <v/>
      </c>
      <c r="O1553">
        <f>G1553&lt;=$T$12</f>
        <v/>
      </c>
      <c r="P1553">
        <f>OR(AND(H1553&gt;=$T$4,K1553&lt;=$T$5,N1553),M1553)</f>
        <v/>
      </c>
      <c r="Q1553">
        <f>OR(AND(I1553&gt;=$T$10,K1553&lt;=$T$11,O1553),M1553)</f>
        <v/>
      </c>
    </row>
    <row r="1554">
      <c r="A1554">
        <f>Data!E1628</f>
        <v/>
      </c>
      <c r="B1554">
        <f>Data!G1628</f>
        <v/>
      </c>
      <c r="C1554">
        <f>Data!H1628</f>
        <v/>
      </c>
      <c r="D1554">
        <f>Data!I1628</f>
        <v/>
      </c>
      <c r="E1554">
        <f>Data!M1628</f>
        <v/>
      </c>
      <c r="F1554">
        <f>Data!O1628</f>
        <v/>
      </c>
      <c r="G1554">
        <f>E1554-F1554</f>
        <v/>
      </c>
      <c r="H1554">
        <f>Data!P1628</f>
        <v/>
      </c>
      <c r="I1554">
        <f>G1554+H1554</f>
        <v/>
      </c>
      <c r="J1554">
        <f>F1554+G1554+H1554</f>
        <v/>
      </c>
      <c r="K1554">
        <f>Data!R1628</f>
        <v/>
      </c>
      <c r="L1554">
        <f>Data!T1628</f>
        <v/>
      </c>
      <c r="M1554">
        <f>AND(E1554=0,F1554=0,G1554=0,H1554=0,I1554=0,J1554=0,K1554=0,L1554=0)</f>
        <v/>
      </c>
      <c r="N1554">
        <f>G1554&lt;=$T$6</f>
        <v/>
      </c>
      <c r="O1554">
        <f>G1554&lt;=$T$12</f>
        <v/>
      </c>
      <c r="P1554">
        <f>OR(AND(H1554&gt;=$T$4,K1554&lt;=$T$5,N1554),M1554)</f>
        <v/>
      </c>
      <c r="Q1554">
        <f>OR(AND(I1554&gt;=$T$10,K1554&lt;=$T$11,O1554),M1554)</f>
        <v/>
      </c>
    </row>
    <row r="1555">
      <c r="A1555">
        <f>Data!E1629</f>
        <v/>
      </c>
      <c r="B1555">
        <f>Data!G1629</f>
        <v/>
      </c>
      <c r="C1555">
        <f>Data!H1629</f>
        <v/>
      </c>
      <c r="D1555">
        <f>Data!I1629</f>
        <v/>
      </c>
      <c r="E1555">
        <f>Data!M1629</f>
        <v/>
      </c>
      <c r="F1555">
        <f>Data!O1629</f>
        <v/>
      </c>
      <c r="G1555">
        <f>E1555-F1555</f>
        <v/>
      </c>
      <c r="H1555">
        <f>Data!P1629</f>
        <v/>
      </c>
      <c r="I1555">
        <f>G1555+H1555</f>
        <v/>
      </c>
      <c r="J1555">
        <f>F1555+G1555+H1555</f>
        <v/>
      </c>
      <c r="K1555">
        <f>Data!R1629</f>
        <v/>
      </c>
      <c r="L1555">
        <f>Data!T1629</f>
        <v/>
      </c>
      <c r="M1555">
        <f>AND(E1555=0,F1555=0,G1555=0,H1555=0,I1555=0,J1555=0,K1555=0,L1555=0)</f>
        <v/>
      </c>
      <c r="N1555">
        <f>G1555&lt;=$T$6</f>
        <v/>
      </c>
      <c r="O1555">
        <f>G1555&lt;=$T$12</f>
        <v/>
      </c>
      <c r="P1555">
        <f>OR(AND(H1555&gt;=$T$4,K1555&lt;=$T$5,N1555),M1555)</f>
        <v/>
      </c>
      <c r="Q1555">
        <f>OR(AND(I1555&gt;=$T$10,K1555&lt;=$T$11,O1555),M1555)</f>
        <v/>
      </c>
    </row>
    <row r="1556">
      <c r="A1556">
        <f>Data!E1630</f>
        <v/>
      </c>
      <c r="B1556">
        <f>Data!G1630</f>
        <v/>
      </c>
      <c r="C1556">
        <f>Data!H1630</f>
        <v/>
      </c>
      <c r="D1556">
        <f>Data!I1630</f>
        <v/>
      </c>
      <c r="E1556">
        <f>Data!M1630</f>
        <v/>
      </c>
      <c r="F1556">
        <f>Data!O1630</f>
        <v/>
      </c>
      <c r="G1556">
        <f>E1556-F1556</f>
        <v/>
      </c>
      <c r="H1556">
        <f>Data!P1630</f>
        <v/>
      </c>
      <c r="I1556">
        <f>G1556+H1556</f>
        <v/>
      </c>
      <c r="J1556">
        <f>F1556+G1556+H1556</f>
        <v/>
      </c>
      <c r="K1556">
        <f>Data!R1630</f>
        <v/>
      </c>
      <c r="L1556">
        <f>Data!T1630</f>
        <v/>
      </c>
      <c r="M1556">
        <f>AND(E1556=0,F1556=0,G1556=0,H1556=0,I1556=0,J1556=0,K1556=0,L1556=0)</f>
        <v/>
      </c>
      <c r="N1556">
        <f>G1556&lt;=$T$6</f>
        <v/>
      </c>
      <c r="O1556">
        <f>G1556&lt;=$T$12</f>
        <v/>
      </c>
      <c r="P1556">
        <f>OR(AND(H1556&gt;=$T$4,K1556&lt;=$T$5,N1556),M1556)</f>
        <v/>
      </c>
      <c r="Q1556">
        <f>OR(AND(I1556&gt;=$T$10,K1556&lt;=$T$11,O1556),M1556)</f>
        <v/>
      </c>
    </row>
    <row r="1557">
      <c r="A1557">
        <f>Data!E1631</f>
        <v/>
      </c>
      <c r="B1557">
        <f>Data!G1631</f>
        <v/>
      </c>
      <c r="C1557">
        <f>Data!H1631</f>
        <v/>
      </c>
      <c r="D1557">
        <f>Data!I1631</f>
        <v/>
      </c>
      <c r="E1557">
        <f>Data!M1631</f>
        <v/>
      </c>
      <c r="F1557">
        <f>Data!O1631</f>
        <v/>
      </c>
      <c r="G1557">
        <f>E1557-F1557</f>
        <v/>
      </c>
      <c r="H1557">
        <f>Data!P1631</f>
        <v/>
      </c>
      <c r="I1557">
        <f>G1557+H1557</f>
        <v/>
      </c>
      <c r="J1557">
        <f>F1557+G1557+H1557</f>
        <v/>
      </c>
      <c r="K1557">
        <f>Data!R1631</f>
        <v/>
      </c>
      <c r="L1557">
        <f>Data!T1631</f>
        <v/>
      </c>
      <c r="M1557">
        <f>AND(E1557=0,F1557=0,G1557=0,H1557=0,I1557=0,J1557=0,K1557=0,L1557=0)</f>
        <v/>
      </c>
      <c r="N1557">
        <f>G1557&lt;=$T$6</f>
        <v/>
      </c>
      <c r="O1557">
        <f>G1557&lt;=$T$12</f>
        <v/>
      </c>
      <c r="P1557">
        <f>OR(AND(H1557&gt;=$T$4,K1557&lt;=$T$5,N1557),M1557)</f>
        <v/>
      </c>
      <c r="Q1557">
        <f>OR(AND(I1557&gt;=$T$10,K1557&lt;=$T$11,O1557),M1557)</f>
        <v/>
      </c>
    </row>
    <row r="1558">
      <c r="A1558">
        <f>Data!E1632</f>
        <v/>
      </c>
      <c r="B1558">
        <f>Data!G1632</f>
        <v/>
      </c>
      <c r="C1558">
        <f>Data!H1632</f>
        <v/>
      </c>
      <c r="D1558">
        <f>Data!I1632</f>
        <v/>
      </c>
      <c r="E1558">
        <f>Data!M1632</f>
        <v/>
      </c>
      <c r="F1558">
        <f>Data!O1632</f>
        <v/>
      </c>
      <c r="G1558">
        <f>E1558-F1558</f>
        <v/>
      </c>
      <c r="H1558">
        <f>Data!P1632</f>
        <v/>
      </c>
      <c r="I1558">
        <f>G1558+H1558</f>
        <v/>
      </c>
      <c r="J1558">
        <f>F1558+G1558+H1558</f>
        <v/>
      </c>
      <c r="K1558">
        <f>Data!R1632</f>
        <v/>
      </c>
      <c r="L1558">
        <f>Data!T1632</f>
        <v/>
      </c>
      <c r="M1558">
        <f>AND(E1558=0,F1558=0,G1558=0,H1558=0,I1558=0,J1558=0,K1558=0,L1558=0)</f>
        <v/>
      </c>
      <c r="N1558">
        <f>G1558&lt;=$T$6</f>
        <v/>
      </c>
      <c r="O1558">
        <f>G1558&lt;=$T$12</f>
        <v/>
      </c>
      <c r="P1558">
        <f>OR(AND(H1558&gt;=$T$4,K1558&lt;=$T$5,N1558),M1558)</f>
        <v/>
      </c>
      <c r="Q1558">
        <f>OR(AND(I1558&gt;=$T$10,K1558&lt;=$T$11,O1558),M1558)</f>
        <v/>
      </c>
    </row>
    <row r="1559">
      <c r="A1559">
        <f>Data!E1633</f>
        <v/>
      </c>
      <c r="B1559">
        <f>Data!G1633</f>
        <v/>
      </c>
      <c r="C1559">
        <f>Data!H1633</f>
        <v/>
      </c>
      <c r="D1559">
        <f>Data!I1633</f>
        <v/>
      </c>
      <c r="E1559">
        <f>Data!M1633</f>
        <v/>
      </c>
      <c r="F1559">
        <f>Data!O1633</f>
        <v/>
      </c>
      <c r="G1559">
        <f>E1559-F1559</f>
        <v/>
      </c>
      <c r="H1559">
        <f>Data!P1633</f>
        <v/>
      </c>
      <c r="I1559">
        <f>G1559+H1559</f>
        <v/>
      </c>
      <c r="J1559">
        <f>F1559+G1559+H1559</f>
        <v/>
      </c>
      <c r="K1559">
        <f>Data!R1633</f>
        <v/>
      </c>
      <c r="L1559">
        <f>Data!T1633</f>
        <v/>
      </c>
      <c r="M1559">
        <f>AND(E1559=0,F1559=0,G1559=0,H1559=0,I1559=0,J1559=0,K1559=0,L1559=0)</f>
        <v/>
      </c>
      <c r="N1559">
        <f>G1559&lt;=$T$6</f>
        <v/>
      </c>
      <c r="O1559">
        <f>G1559&lt;=$T$12</f>
        <v/>
      </c>
      <c r="P1559">
        <f>OR(AND(H1559&gt;=$T$4,K1559&lt;=$T$5,N1559),M1559)</f>
        <v/>
      </c>
      <c r="Q1559">
        <f>OR(AND(I1559&gt;=$T$10,K1559&lt;=$T$11,O1559),M1559)</f>
        <v/>
      </c>
    </row>
    <row r="1560">
      <c r="A1560">
        <f>Data!E1634</f>
        <v/>
      </c>
      <c r="B1560">
        <f>Data!G1634</f>
        <v/>
      </c>
      <c r="C1560">
        <f>Data!H1634</f>
        <v/>
      </c>
      <c r="D1560">
        <f>Data!I1634</f>
        <v/>
      </c>
      <c r="E1560">
        <f>Data!M1634</f>
        <v/>
      </c>
      <c r="F1560">
        <f>Data!O1634</f>
        <v/>
      </c>
      <c r="G1560">
        <f>E1560-F1560</f>
        <v/>
      </c>
      <c r="H1560">
        <f>Data!P1634</f>
        <v/>
      </c>
      <c r="I1560">
        <f>G1560+H1560</f>
        <v/>
      </c>
      <c r="J1560">
        <f>F1560+G1560+H1560</f>
        <v/>
      </c>
      <c r="K1560">
        <f>Data!R1634</f>
        <v/>
      </c>
      <c r="L1560">
        <f>Data!T1634</f>
        <v/>
      </c>
      <c r="M1560">
        <f>AND(E1560=0,F1560=0,G1560=0,H1560=0,I1560=0,J1560=0,K1560=0,L1560=0)</f>
        <v/>
      </c>
      <c r="N1560">
        <f>G1560&lt;=$T$6</f>
        <v/>
      </c>
      <c r="O1560">
        <f>G1560&lt;=$T$12</f>
        <v/>
      </c>
      <c r="P1560">
        <f>OR(AND(H1560&gt;=$T$4,K1560&lt;=$T$5,N1560),M1560)</f>
        <v/>
      </c>
      <c r="Q1560">
        <f>OR(AND(I1560&gt;=$T$10,K1560&lt;=$T$11,O1560),M1560)</f>
        <v/>
      </c>
    </row>
    <row r="1561">
      <c r="A1561">
        <f>Data!E1635</f>
        <v/>
      </c>
      <c r="B1561">
        <f>Data!G1635</f>
        <v/>
      </c>
      <c r="C1561">
        <f>Data!H1635</f>
        <v/>
      </c>
      <c r="D1561">
        <f>Data!I1635</f>
        <v/>
      </c>
      <c r="E1561">
        <f>Data!M1635</f>
        <v/>
      </c>
      <c r="F1561">
        <f>Data!O1635</f>
        <v/>
      </c>
      <c r="G1561">
        <f>E1561-F1561</f>
        <v/>
      </c>
      <c r="H1561">
        <f>Data!P1635</f>
        <v/>
      </c>
      <c r="I1561">
        <f>G1561+H1561</f>
        <v/>
      </c>
      <c r="J1561">
        <f>F1561+G1561+H1561</f>
        <v/>
      </c>
      <c r="K1561">
        <f>Data!R1635</f>
        <v/>
      </c>
      <c r="L1561">
        <f>Data!T1635</f>
        <v/>
      </c>
      <c r="M1561">
        <f>AND(E1561=0,F1561=0,G1561=0,H1561=0,I1561=0,J1561=0,K1561=0,L1561=0)</f>
        <v/>
      </c>
      <c r="N1561">
        <f>G1561&lt;=$T$6</f>
        <v/>
      </c>
      <c r="O1561">
        <f>G1561&lt;=$T$12</f>
        <v/>
      </c>
      <c r="P1561">
        <f>OR(AND(H1561&gt;=$T$4,K1561&lt;=$T$5,N1561),M1561)</f>
        <v/>
      </c>
      <c r="Q1561">
        <f>OR(AND(I1561&gt;=$T$10,K1561&lt;=$T$11,O1561),M1561)</f>
        <v/>
      </c>
    </row>
    <row r="1562">
      <c r="A1562">
        <f>Data!E1636</f>
        <v/>
      </c>
      <c r="B1562">
        <f>Data!G1636</f>
        <v/>
      </c>
      <c r="C1562">
        <f>Data!H1636</f>
        <v/>
      </c>
      <c r="D1562">
        <f>Data!I1636</f>
        <v/>
      </c>
      <c r="E1562">
        <f>Data!M1636</f>
        <v/>
      </c>
      <c r="F1562">
        <f>Data!O1636</f>
        <v/>
      </c>
      <c r="G1562">
        <f>E1562-F1562</f>
        <v/>
      </c>
      <c r="H1562">
        <f>Data!P1636</f>
        <v/>
      </c>
      <c r="I1562">
        <f>G1562+H1562</f>
        <v/>
      </c>
      <c r="J1562">
        <f>F1562+G1562+H1562</f>
        <v/>
      </c>
      <c r="K1562">
        <f>Data!R1636</f>
        <v/>
      </c>
      <c r="L1562">
        <f>Data!T1636</f>
        <v/>
      </c>
      <c r="M1562">
        <f>AND(E1562=0,F1562=0,G1562=0,H1562=0,I1562=0,J1562=0,K1562=0,L1562=0)</f>
        <v/>
      </c>
      <c r="N1562">
        <f>G1562&lt;=$T$6</f>
        <v/>
      </c>
      <c r="O1562">
        <f>G1562&lt;=$T$12</f>
        <v/>
      </c>
      <c r="P1562">
        <f>OR(AND(H1562&gt;=$T$4,K1562&lt;=$T$5,N1562),M1562)</f>
        <v/>
      </c>
      <c r="Q1562">
        <f>OR(AND(I1562&gt;=$T$10,K1562&lt;=$T$11,O1562),M1562)</f>
        <v/>
      </c>
    </row>
    <row r="1563">
      <c r="A1563">
        <f>Data!E1637</f>
        <v/>
      </c>
      <c r="B1563">
        <f>Data!G1637</f>
        <v/>
      </c>
      <c r="C1563">
        <f>Data!H1637</f>
        <v/>
      </c>
      <c r="D1563">
        <f>Data!I1637</f>
        <v/>
      </c>
      <c r="E1563">
        <f>Data!M1637</f>
        <v/>
      </c>
      <c r="F1563">
        <f>Data!O1637</f>
        <v/>
      </c>
      <c r="G1563">
        <f>E1563-F1563</f>
        <v/>
      </c>
      <c r="H1563">
        <f>Data!P1637</f>
        <v/>
      </c>
      <c r="I1563">
        <f>G1563+H1563</f>
        <v/>
      </c>
      <c r="J1563">
        <f>F1563+G1563+H1563</f>
        <v/>
      </c>
      <c r="K1563">
        <f>Data!R1637</f>
        <v/>
      </c>
      <c r="L1563">
        <f>Data!T1637</f>
        <v/>
      </c>
      <c r="M1563">
        <f>AND(E1563=0,F1563=0,G1563=0,H1563=0,I1563=0,J1563=0,K1563=0,L1563=0)</f>
        <v/>
      </c>
      <c r="N1563">
        <f>G1563&lt;=$T$6</f>
        <v/>
      </c>
      <c r="O1563">
        <f>G1563&lt;=$T$12</f>
        <v/>
      </c>
      <c r="P1563">
        <f>OR(AND(H1563&gt;=$T$4,K1563&lt;=$T$5,N1563),M1563)</f>
        <v/>
      </c>
      <c r="Q1563">
        <f>OR(AND(I1563&gt;=$T$10,K1563&lt;=$T$11,O1563),M1563)</f>
        <v/>
      </c>
    </row>
    <row r="1564">
      <c r="A1564">
        <f>Data!E1638</f>
        <v/>
      </c>
      <c r="B1564">
        <f>Data!G1638</f>
        <v/>
      </c>
      <c r="C1564">
        <f>Data!H1638</f>
        <v/>
      </c>
      <c r="D1564">
        <f>Data!I1638</f>
        <v/>
      </c>
      <c r="E1564">
        <f>Data!M1638</f>
        <v/>
      </c>
      <c r="F1564">
        <f>Data!O1638</f>
        <v/>
      </c>
      <c r="G1564">
        <f>E1564-F1564</f>
        <v/>
      </c>
      <c r="H1564">
        <f>Data!P1638</f>
        <v/>
      </c>
      <c r="I1564">
        <f>G1564+H1564</f>
        <v/>
      </c>
      <c r="J1564">
        <f>F1564+G1564+H1564</f>
        <v/>
      </c>
      <c r="K1564">
        <f>Data!R1638</f>
        <v/>
      </c>
      <c r="L1564">
        <f>Data!T1638</f>
        <v/>
      </c>
      <c r="M1564">
        <f>AND(E1564=0,F1564=0,G1564=0,H1564=0,I1564=0,J1564=0,K1564=0,L1564=0)</f>
        <v/>
      </c>
      <c r="N1564">
        <f>G1564&lt;=$T$6</f>
        <v/>
      </c>
      <c r="O1564">
        <f>G1564&lt;=$T$12</f>
        <v/>
      </c>
      <c r="P1564">
        <f>OR(AND(H1564&gt;=$T$4,K1564&lt;=$T$5,N1564),M1564)</f>
        <v/>
      </c>
      <c r="Q1564">
        <f>OR(AND(I1564&gt;=$T$10,K1564&lt;=$T$11,O1564),M1564)</f>
        <v/>
      </c>
    </row>
    <row r="1565">
      <c r="A1565">
        <f>Data!E1640</f>
        <v/>
      </c>
      <c r="B1565">
        <f>Data!G1640</f>
        <v/>
      </c>
      <c r="C1565">
        <f>Data!H1640</f>
        <v/>
      </c>
      <c r="D1565">
        <f>Data!I1640</f>
        <v/>
      </c>
      <c r="E1565">
        <f>Data!M1640</f>
        <v/>
      </c>
      <c r="F1565">
        <f>Data!O1640</f>
        <v/>
      </c>
      <c r="G1565">
        <f>E1565-F1565</f>
        <v/>
      </c>
      <c r="H1565">
        <f>Data!P1640</f>
        <v/>
      </c>
      <c r="I1565">
        <f>G1565+H1565</f>
        <v/>
      </c>
      <c r="J1565">
        <f>F1565+G1565+H1565</f>
        <v/>
      </c>
      <c r="K1565">
        <f>Data!R1640</f>
        <v/>
      </c>
      <c r="L1565">
        <f>Data!T1640</f>
        <v/>
      </c>
      <c r="M1565">
        <f>AND(E1565=0,F1565=0,G1565=0,H1565=0,I1565=0,J1565=0,K1565=0,L1565=0)</f>
        <v/>
      </c>
      <c r="N1565">
        <f>G1565&lt;=$T$6</f>
        <v/>
      </c>
      <c r="O1565">
        <f>G1565&lt;=$T$12</f>
        <v/>
      </c>
      <c r="P1565">
        <f>OR(AND(H1565&gt;=$T$4,K1565&lt;=$T$5,N1565),M1565)</f>
        <v/>
      </c>
      <c r="Q1565">
        <f>OR(AND(I1565&gt;=$T$10,K1565&lt;=$T$11,O1565),M1565)</f>
        <v/>
      </c>
    </row>
    <row r="1566">
      <c r="A1566">
        <f>Data!E1641</f>
        <v/>
      </c>
      <c r="B1566">
        <f>Data!G1641</f>
        <v/>
      </c>
      <c r="C1566">
        <f>Data!H1641</f>
        <v/>
      </c>
      <c r="D1566">
        <f>Data!I1641</f>
        <v/>
      </c>
      <c r="E1566">
        <f>Data!M1641</f>
        <v/>
      </c>
      <c r="F1566">
        <f>Data!O1641</f>
        <v/>
      </c>
      <c r="G1566">
        <f>E1566-F1566</f>
        <v/>
      </c>
      <c r="H1566">
        <f>Data!P1641</f>
        <v/>
      </c>
      <c r="I1566">
        <f>G1566+H1566</f>
        <v/>
      </c>
      <c r="J1566">
        <f>F1566+G1566+H1566</f>
        <v/>
      </c>
      <c r="K1566">
        <f>Data!R1641</f>
        <v/>
      </c>
      <c r="L1566">
        <f>Data!T1641</f>
        <v/>
      </c>
      <c r="M1566">
        <f>AND(E1566=0,F1566=0,G1566=0,H1566=0,I1566=0,J1566=0,K1566=0,L1566=0)</f>
        <v/>
      </c>
      <c r="N1566">
        <f>G1566&lt;=$T$6</f>
        <v/>
      </c>
      <c r="O1566">
        <f>G1566&lt;=$T$12</f>
        <v/>
      </c>
      <c r="P1566">
        <f>OR(AND(H1566&gt;=$T$4,K1566&lt;=$T$5,N1566),M1566)</f>
        <v/>
      </c>
      <c r="Q1566">
        <f>OR(AND(I1566&gt;=$T$10,K1566&lt;=$T$11,O1566),M1566)</f>
        <v/>
      </c>
    </row>
    <row r="1567">
      <c r="A1567">
        <f>Data!E1642</f>
        <v/>
      </c>
      <c r="B1567">
        <f>Data!G1642</f>
        <v/>
      </c>
      <c r="C1567">
        <f>Data!H1642</f>
        <v/>
      </c>
      <c r="D1567">
        <f>Data!I1642</f>
        <v/>
      </c>
      <c r="E1567">
        <f>Data!M1642</f>
        <v/>
      </c>
      <c r="F1567">
        <f>Data!O1642</f>
        <v/>
      </c>
      <c r="G1567">
        <f>E1567-F1567</f>
        <v/>
      </c>
      <c r="H1567">
        <f>Data!P1642</f>
        <v/>
      </c>
      <c r="I1567">
        <f>G1567+H1567</f>
        <v/>
      </c>
      <c r="J1567">
        <f>F1567+G1567+H1567</f>
        <v/>
      </c>
      <c r="K1567">
        <f>Data!R1642</f>
        <v/>
      </c>
      <c r="L1567">
        <f>Data!T1642</f>
        <v/>
      </c>
      <c r="M1567">
        <f>AND(E1567=0,F1567=0,G1567=0,H1567=0,I1567=0,J1567=0,K1567=0,L1567=0)</f>
        <v/>
      </c>
      <c r="N1567">
        <f>G1567&lt;=$T$6</f>
        <v/>
      </c>
      <c r="O1567">
        <f>G1567&lt;=$T$12</f>
        <v/>
      </c>
      <c r="P1567">
        <f>OR(AND(H1567&gt;=$T$4,K1567&lt;=$T$5,N1567),M1567)</f>
        <v/>
      </c>
      <c r="Q1567">
        <f>OR(AND(I1567&gt;=$T$10,K1567&lt;=$T$11,O1567),M1567)</f>
        <v/>
      </c>
    </row>
    <row r="1568">
      <c r="A1568">
        <f>Data!E1643</f>
        <v/>
      </c>
      <c r="B1568">
        <f>Data!G1643</f>
        <v/>
      </c>
      <c r="C1568">
        <f>Data!H1643</f>
        <v/>
      </c>
      <c r="D1568">
        <f>Data!I1643</f>
        <v/>
      </c>
      <c r="E1568">
        <f>Data!M1643</f>
        <v/>
      </c>
      <c r="F1568">
        <f>Data!O1643</f>
        <v/>
      </c>
      <c r="G1568">
        <f>E1568-F1568</f>
        <v/>
      </c>
      <c r="H1568">
        <f>Data!P1643</f>
        <v/>
      </c>
      <c r="I1568">
        <f>G1568+H1568</f>
        <v/>
      </c>
      <c r="J1568">
        <f>F1568+G1568+H1568</f>
        <v/>
      </c>
      <c r="K1568">
        <f>Data!R1643</f>
        <v/>
      </c>
      <c r="L1568">
        <f>Data!T1643</f>
        <v/>
      </c>
      <c r="M1568">
        <f>AND(E1568=0,F1568=0,G1568=0,H1568=0,I1568=0,J1568=0,K1568=0,L1568=0)</f>
        <v/>
      </c>
      <c r="N1568">
        <f>G1568&lt;=$T$6</f>
        <v/>
      </c>
      <c r="O1568">
        <f>G1568&lt;=$T$12</f>
        <v/>
      </c>
      <c r="P1568">
        <f>OR(AND(H1568&gt;=$T$4,K1568&lt;=$T$5,N1568),M1568)</f>
        <v/>
      </c>
      <c r="Q1568">
        <f>OR(AND(I1568&gt;=$T$10,K1568&lt;=$T$11,O1568),M1568)</f>
        <v/>
      </c>
    </row>
    <row r="1569">
      <c r="A1569">
        <f>Data!E1644</f>
        <v/>
      </c>
      <c r="B1569">
        <f>Data!G1644</f>
        <v/>
      </c>
      <c r="C1569">
        <f>Data!H1644</f>
        <v/>
      </c>
      <c r="D1569">
        <f>Data!I1644</f>
        <v/>
      </c>
      <c r="E1569">
        <f>Data!M1644</f>
        <v/>
      </c>
      <c r="F1569">
        <f>Data!O1644</f>
        <v/>
      </c>
      <c r="G1569">
        <f>E1569-F1569</f>
        <v/>
      </c>
      <c r="H1569">
        <f>Data!P1644</f>
        <v/>
      </c>
      <c r="I1569">
        <f>G1569+H1569</f>
        <v/>
      </c>
      <c r="J1569">
        <f>F1569+G1569+H1569</f>
        <v/>
      </c>
      <c r="K1569">
        <f>Data!R1644</f>
        <v/>
      </c>
      <c r="L1569">
        <f>Data!T1644</f>
        <v/>
      </c>
      <c r="M1569">
        <f>AND(E1569=0,F1569=0,G1569=0,H1569=0,I1569=0,J1569=0,K1569=0,L1569=0)</f>
        <v/>
      </c>
      <c r="N1569">
        <f>G1569&lt;=$T$6</f>
        <v/>
      </c>
      <c r="O1569">
        <f>G1569&lt;=$T$12</f>
        <v/>
      </c>
      <c r="P1569">
        <f>OR(AND(H1569&gt;=$T$4,K1569&lt;=$T$5,N1569),M1569)</f>
        <v/>
      </c>
      <c r="Q1569">
        <f>OR(AND(I1569&gt;=$T$10,K1569&lt;=$T$11,O1569),M1569)</f>
        <v/>
      </c>
    </row>
    <row r="1570">
      <c r="A1570">
        <f>Data!E1645</f>
        <v/>
      </c>
      <c r="B1570">
        <f>Data!G1645</f>
        <v/>
      </c>
      <c r="C1570">
        <f>Data!H1645</f>
        <v/>
      </c>
      <c r="D1570">
        <f>Data!I1645</f>
        <v/>
      </c>
      <c r="E1570">
        <f>Data!M1645</f>
        <v/>
      </c>
      <c r="F1570">
        <f>Data!O1645</f>
        <v/>
      </c>
      <c r="G1570">
        <f>E1570-F1570</f>
        <v/>
      </c>
      <c r="H1570">
        <f>Data!P1645</f>
        <v/>
      </c>
      <c r="I1570">
        <f>G1570+H1570</f>
        <v/>
      </c>
      <c r="J1570">
        <f>F1570+G1570+H1570</f>
        <v/>
      </c>
      <c r="K1570">
        <f>Data!R1645</f>
        <v/>
      </c>
      <c r="L1570">
        <f>Data!T1645</f>
        <v/>
      </c>
      <c r="M1570">
        <f>AND(E1570=0,F1570=0,G1570=0,H1570=0,I1570=0,J1570=0,K1570=0,L1570=0)</f>
        <v/>
      </c>
      <c r="N1570">
        <f>G1570&lt;=$T$6</f>
        <v/>
      </c>
      <c r="O1570">
        <f>G1570&lt;=$T$12</f>
        <v/>
      </c>
      <c r="P1570">
        <f>OR(AND(H1570&gt;=$T$4,K1570&lt;=$T$5,N1570),M1570)</f>
        <v/>
      </c>
      <c r="Q1570">
        <f>OR(AND(I1570&gt;=$T$10,K1570&lt;=$T$11,O1570),M1570)</f>
        <v/>
      </c>
    </row>
    <row r="1571">
      <c r="A1571">
        <f>Data!E1646</f>
        <v/>
      </c>
      <c r="B1571">
        <f>Data!G1646</f>
        <v/>
      </c>
      <c r="C1571">
        <f>Data!H1646</f>
        <v/>
      </c>
      <c r="D1571">
        <f>Data!I1646</f>
        <v/>
      </c>
      <c r="E1571">
        <f>Data!M1646</f>
        <v/>
      </c>
      <c r="F1571">
        <f>Data!O1646</f>
        <v/>
      </c>
      <c r="G1571">
        <f>E1571-F1571</f>
        <v/>
      </c>
      <c r="H1571">
        <f>Data!P1646</f>
        <v/>
      </c>
      <c r="I1571">
        <f>G1571+H1571</f>
        <v/>
      </c>
      <c r="J1571">
        <f>F1571+G1571+H1571</f>
        <v/>
      </c>
      <c r="K1571">
        <f>Data!R1646</f>
        <v/>
      </c>
      <c r="L1571">
        <f>Data!T1646</f>
        <v/>
      </c>
      <c r="M1571">
        <f>AND(E1571=0,F1571=0,G1571=0,H1571=0,I1571=0,J1571=0,K1571=0,L1571=0)</f>
        <v/>
      </c>
      <c r="N1571">
        <f>G1571&lt;=$T$6</f>
        <v/>
      </c>
      <c r="O1571">
        <f>G1571&lt;=$T$12</f>
        <v/>
      </c>
      <c r="P1571">
        <f>OR(AND(H1571&gt;=$T$4,K1571&lt;=$T$5,N1571),M1571)</f>
        <v/>
      </c>
      <c r="Q1571">
        <f>OR(AND(I1571&gt;=$T$10,K1571&lt;=$T$11,O1571),M1571)</f>
        <v/>
      </c>
    </row>
    <row r="1572">
      <c r="A1572">
        <f>Data!E1647</f>
        <v/>
      </c>
      <c r="B1572">
        <f>Data!G1647</f>
        <v/>
      </c>
      <c r="C1572">
        <f>Data!H1647</f>
        <v/>
      </c>
      <c r="D1572">
        <f>Data!I1647</f>
        <v/>
      </c>
      <c r="E1572">
        <f>Data!M1647</f>
        <v/>
      </c>
      <c r="F1572">
        <f>Data!O1647</f>
        <v/>
      </c>
      <c r="G1572">
        <f>E1572-F1572</f>
        <v/>
      </c>
      <c r="H1572">
        <f>Data!P1647</f>
        <v/>
      </c>
      <c r="I1572">
        <f>G1572+H1572</f>
        <v/>
      </c>
      <c r="J1572">
        <f>F1572+G1572+H1572</f>
        <v/>
      </c>
      <c r="K1572">
        <f>Data!R1647</f>
        <v/>
      </c>
      <c r="L1572">
        <f>Data!T1647</f>
        <v/>
      </c>
      <c r="M1572">
        <f>AND(E1572=0,F1572=0,G1572=0,H1572=0,I1572=0,J1572=0,K1572=0,L1572=0)</f>
        <v/>
      </c>
      <c r="N1572">
        <f>G1572&lt;=$T$6</f>
        <v/>
      </c>
      <c r="O1572">
        <f>G1572&lt;=$T$12</f>
        <v/>
      </c>
      <c r="P1572">
        <f>OR(AND(H1572&gt;=$T$4,K1572&lt;=$T$5,N1572),M1572)</f>
        <v/>
      </c>
      <c r="Q1572">
        <f>OR(AND(I1572&gt;=$T$10,K1572&lt;=$T$11,O1572),M1572)</f>
        <v/>
      </c>
    </row>
    <row r="1573">
      <c r="A1573">
        <f>Data!E1648</f>
        <v/>
      </c>
      <c r="B1573">
        <f>Data!G1648</f>
        <v/>
      </c>
      <c r="C1573">
        <f>Data!H1648</f>
        <v/>
      </c>
      <c r="D1573">
        <f>Data!I1648</f>
        <v/>
      </c>
      <c r="E1573">
        <f>Data!M1648</f>
        <v/>
      </c>
      <c r="F1573">
        <f>Data!O1648</f>
        <v/>
      </c>
      <c r="G1573">
        <f>E1573-F1573</f>
        <v/>
      </c>
      <c r="H1573">
        <f>Data!P1648</f>
        <v/>
      </c>
      <c r="I1573">
        <f>G1573+H1573</f>
        <v/>
      </c>
      <c r="J1573">
        <f>F1573+G1573+H1573</f>
        <v/>
      </c>
      <c r="K1573">
        <f>Data!R1648</f>
        <v/>
      </c>
      <c r="L1573">
        <f>Data!T1648</f>
        <v/>
      </c>
      <c r="M1573">
        <f>AND(E1573=0,F1573=0,G1573=0,H1573=0,I1573=0,J1573=0,K1573=0,L1573=0)</f>
        <v/>
      </c>
      <c r="N1573">
        <f>G1573&lt;=$T$6</f>
        <v/>
      </c>
      <c r="O1573">
        <f>G1573&lt;=$T$12</f>
        <v/>
      </c>
      <c r="P1573">
        <f>OR(AND(H1573&gt;=$T$4,K1573&lt;=$T$5,N1573),M1573)</f>
        <v/>
      </c>
      <c r="Q1573">
        <f>OR(AND(I1573&gt;=$T$10,K1573&lt;=$T$11,O1573),M1573)</f>
        <v/>
      </c>
    </row>
    <row r="1574">
      <c r="A1574">
        <f>Data!E1649</f>
        <v/>
      </c>
      <c r="B1574">
        <f>Data!G1649</f>
        <v/>
      </c>
      <c r="C1574">
        <f>Data!H1649</f>
        <v/>
      </c>
      <c r="D1574">
        <f>Data!I1649</f>
        <v/>
      </c>
      <c r="E1574">
        <f>Data!M1649</f>
        <v/>
      </c>
      <c r="F1574">
        <f>Data!O1649</f>
        <v/>
      </c>
      <c r="G1574">
        <f>E1574-F1574</f>
        <v/>
      </c>
      <c r="H1574">
        <f>Data!P1649</f>
        <v/>
      </c>
      <c r="I1574">
        <f>G1574+H1574</f>
        <v/>
      </c>
      <c r="J1574">
        <f>F1574+G1574+H1574</f>
        <v/>
      </c>
      <c r="K1574">
        <f>Data!R1649</f>
        <v/>
      </c>
      <c r="L1574">
        <f>Data!T1649</f>
        <v/>
      </c>
      <c r="M1574">
        <f>AND(E1574=0,F1574=0,G1574=0,H1574=0,I1574=0,J1574=0,K1574=0,L1574=0)</f>
        <v/>
      </c>
      <c r="N1574">
        <f>G1574&lt;=$T$6</f>
        <v/>
      </c>
      <c r="O1574">
        <f>G1574&lt;=$T$12</f>
        <v/>
      </c>
      <c r="P1574">
        <f>OR(AND(H1574&gt;=$T$4,K1574&lt;=$T$5,N1574),M1574)</f>
        <v/>
      </c>
      <c r="Q1574">
        <f>OR(AND(I1574&gt;=$T$10,K1574&lt;=$T$11,O1574),M1574)</f>
        <v/>
      </c>
    </row>
    <row r="1575">
      <c r="A1575">
        <f>Data!E1650</f>
        <v/>
      </c>
      <c r="B1575">
        <f>Data!G1650</f>
        <v/>
      </c>
      <c r="C1575">
        <f>Data!H1650</f>
        <v/>
      </c>
      <c r="D1575">
        <f>Data!I1650</f>
        <v/>
      </c>
      <c r="E1575">
        <f>Data!M1650</f>
        <v/>
      </c>
      <c r="F1575">
        <f>Data!O1650</f>
        <v/>
      </c>
      <c r="G1575">
        <f>E1575-F1575</f>
        <v/>
      </c>
      <c r="H1575">
        <f>Data!P1650</f>
        <v/>
      </c>
      <c r="I1575">
        <f>G1575+H1575</f>
        <v/>
      </c>
      <c r="J1575">
        <f>F1575+G1575+H1575</f>
        <v/>
      </c>
      <c r="K1575">
        <f>Data!R1650</f>
        <v/>
      </c>
      <c r="L1575">
        <f>Data!T1650</f>
        <v/>
      </c>
      <c r="M1575">
        <f>AND(E1575=0,F1575=0,G1575=0,H1575=0,I1575=0,J1575=0,K1575=0,L1575=0)</f>
        <v/>
      </c>
      <c r="N1575">
        <f>G1575&lt;=$T$6</f>
        <v/>
      </c>
      <c r="O1575">
        <f>G1575&lt;=$T$12</f>
        <v/>
      </c>
      <c r="P1575">
        <f>OR(AND(H1575&gt;=$T$4,K1575&lt;=$T$5,N1575),M1575)</f>
        <v/>
      </c>
      <c r="Q1575">
        <f>OR(AND(I1575&gt;=$T$10,K1575&lt;=$T$11,O1575),M1575)</f>
        <v/>
      </c>
    </row>
    <row r="1576">
      <c r="A1576">
        <f>Data!E1651</f>
        <v/>
      </c>
      <c r="B1576">
        <f>Data!G1651</f>
        <v/>
      </c>
      <c r="C1576">
        <f>Data!H1651</f>
        <v/>
      </c>
      <c r="D1576">
        <f>Data!I1651</f>
        <v/>
      </c>
      <c r="E1576">
        <f>Data!M1651</f>
        <v/>
      </c>
      <c r="F1576">
        <f>Data!O1651</f>
        <v/>
      </c>
      <c r="G1576">
        <f>E1576-F1576</f>
        <v/>
      </c>
      <c r="H1576">
        <f>Data!P1651</f>
        <v/>
      </c>
      <c r="I1576">
        <f>G1576+H1576</f>
        <v/>
      </c>
      <c r="J1576">
        <f>F1576+G1576+H1576</f>
        <v/>
      </c>
      <c r="K1576">
        <f>Data!R1651</f>
        <v/>
      </c>
      <c r="L1576">
        <f>Data!T1651</f>
        <v/>
      </c>
      <c r="M1576">
        <f>AND(E1576=0,F1576=0,G1576=0,H1576=0,I1576=0,J1576=0,K1576=0,L1576=0)</f>
        <v/>
      </c>
      <c r="N1576">
        <f>G1576&lt;=$T$6</f>
        <v/>
      </c>
      <c r="O1576">
        <f>G1576&lt;=$T$12</f>
        <v/>
      </c>
      <c r="P1576">
        <f>OR(AND(H1576&gt;=$T$4,K1576&lt;=$T$5,N1576),M1576)</f>
        <v/>
      </c>
      <c r="Q1576">
        <f>OR(AND(I1576&gt;=$T$10,K1576&lt;=$T$11,O1576),M1576)</f>
        <v/>
      </c>
    </row>
    <row r="1577">
      <c r="A1577">
        <f>Data!E1653</f>
        <v/>
      </c>
      <c r="B1577">
        <f>Data!G1653</f>
        <v/>
      </c>
      <c r="C1577">
        <f>Data!H1653</f>
        <v/>
      </c>
      <c r="D1577">
        <f>Data!I1653</f>
        <v/>
      </c>
      <c r="E1577">
        <f>Data!M1653</f>
        <v/>
      </c>
      <c r="F1577">
        <f>Data!O1653</f>
        <v/>
      </c>
      <c r="G1577">
        <f>E1577-F1577</f>
        <v/>
      </c>
      <c r="H1577">
        <f>Data!P1653</f>
        <v/>
      </c>
      <c r="I1577">
        <f>G1577+H1577</f>
        <v/>
      </c>
      <c r="J1577">
        <f>F1577+G1577+H1577</f>
        <v/>
      </c>
      <c r="K1577">
        <f>Data!R1653</f>
        <v/>
      </c>
      <c r="L1577">
        <f>Data!T1653</f>
        <v/>
      </c>
      <c r="M1577">
        <f>AND(E1577=0,F1577=0,G1577=0,H1577=0,I1577=0,J1577=0,K1577=0,L1577=0)</f>
        <v/>
      </c>
      <c r="N1577">
        <f>G1577&lt;=$T$6</f>
        <v/>
      </c>
      <c r="O1577">
        <f>G1577&lt;=$T$12</f>
        <v/>
      </c>
      <c r="P1577">
        <f>OR(AND(H1577&gt;=$T$4,K1577&lt;=$T$5,N1577),M1577)</f>
        <v/>
      </c>
      <c r="Q1577">
        <f>OR(AND(I1577&gt;=$T$10,K1577&lt;=$T$11,O1577),M1577)</f>
        <v/>
      </c>
    </row>
    <row r="1578">
      <c r="A1578">
        <f>Data!E1654</f>
        <v/>
      </c>
      <c r="B1578">
        <f>Data!G1654</f>
        <v/>
      </c>
      <c r="C1578">
        <f>Data!H1654</f>
        <v/>
      </c>
      <c r="D1578">
        <f>Data!I1654</f>
        <v/>
      </c>
      <c r="E1578">
        <f>Data!M1654</f>
        <v/>
      </c>
      <c r="F1578">
        <f>Data!O1654</f>
        <v/>
      </c>
      <c r="G1578">
        <f>E1578-F1578</f>
        <v/>
      </c>
      <c r="H1578">
        <f>Data!P1654</f>
        <v/>
      </c>
      <c r="I1578">
        <f>G1578+H1578</f>
        <v/>
      </c>
      <c r="J1578">
        <f>F1578+G1578+H1578</f>
        <v/>
      </c>
      <c r="K1578">
        <f>Data!R1654</f>
        <v/>
      </c>
      <c r="L1578">
        <f>Data!T1654</f>
        <v/>
      </c>
      <c r="M1578">
        <f>AND(E1578=0,F1578=0,G1578=0,H1578=0,I1578=0,J1578=0,K1578=0,L1578=0)</f>
        <v/>
      </c>
      <c r="N1578">
        <f>G1578&lt;=$T$6</f>
        <v/>
      </c>
      <c r="O1578">
        <f>G1578&lt;=$T$12</f>
        <v/>
      </c>
      <c r="P1578">
        <f>OR(AND(H1578&gt;=$T$4,K1578&lt;=$T$5,N1578),M1578)</f>
        <v/>
      </c>
      <c r="Q1578">
        <f>OR(AND(I1578&gt;=$T$10,K1578&lt;=$T$11,O1578),M1578)</f>
        <v/>
      </c>
    </row>
    <row r="1579">
      <c r="A1579">
        <f>Data!E1655</f>
        <v/>
      </c>
      <c r="B1579">
        <f>Data!G1655</f>
        <v/>
      </c>
      <c r="C1579">
        <f>Data!H1655</f>
        <v/>
      </c>
      <c r="D1579">
        <f>Data!I1655</f>
        <v/>
      </c>
      <c r="E1579">
        <f>Data!M1655</f>
        <v/>
      </c>
      <c r="F1579">
        <f>Data!O1655</f>
        <v/>
      </c>
      <c r="G1579">
        <f>E1579-F1579</f>
        <v/>
      </c>
      <c r="H1579">
        <f>Data!P1655</f>
        <v/>
      </c>
      <c r="I1579">
        <f>G1579+H1579</f>
        <v/>
      </c>
      <c r="J1579">
        <f>F1579+G1579+H1579</f>
        <v/>
      </c>
      <c r="K1579">
        <f>Data!R1655</f>
        <v/>
      </c>
      <c r="L1579">
        <f>Data!T1655</f>
        <v/>
      </c>
      <c r="M1579">
        <f>AND(E1579=0,F1579=0,G1579=0,H1579=0,I1579=0,J1579=0,K1579=0,L1579=0)</f>
        <v/>
      </c>
      <c r="N1579">
        <f>G1579&lt;=$T$6</f>
        <v/>
      </c>
      <c r="O1579">
        <f>G1579&lt;=$T$12</f>
        <v/>
      </c>
      <c r="P1579">
        <f>OR(AND(H1579&gt;=$T$4,K1579&lt;=$T$5,N1579),M1579)</f>
        <v/>
      </c>
      <c r="Q1579">
        <f>OR(AND(I1579&gt;=$T$10,K1579&lt;=$T$11,O1579),M1579)</f>
        <v/>
      </c>
    </row>
    <row r="1580">
      <c r="A1580">
        <f>Data!E1656</f>
        <v/>
      </c>
      <c r="B1580">
        <f>Data!G1656</f>
        <v/>
      </c>
      <c r="C1580">
        <f>Data!H1656</f>
        <v/>
      </c>
      <c r="D1580">
        <f>Data!I1656</f>
        <v/>
      </c>
      <c r="E1580">
        <f>Data!M1656</f>
        <v/>
      </c>
      <c r="F1580">
        <f>Data!O1656</f>
        <v/>
      </c>
      <c r="G1580">
        <f>E1580-F1580</f>
        <v/>
      </c>
      <c r="H1580">
        <f>Data!P1656</f>
        <v/>
      </c>
      <c r="I1580">
        <f>G1580+H1580</f>
        <v/>
      </c>
      <c r="J1580">
        <f>F1580+G1580+H1580</f>
        <v/>
      </c>
      <c r="K1580">
        <f>Data!R1656</f>
        <v/>
      </c>
      <c r="L1580">
        <f>Data!T1656</f>
        <v/>
      </c>
      <c r="M1580">
        <f>AND(E1580=0,F1580=0,G1580=0,H1580=0,I1580=0,J1580=0,K1580=0,L1580=0)</f>
        <v/>
      </c>
      <c r="N1580">
        <f>G1580&lt;=$T$6</f>
        <v/>
      </c>
      <c r="O1580">
        <f>G1580&lt;=$T$12</f>
        <v/>
      </c>
      <c r="P1580">
        <f>OR(AND(H1580&gt;=$T$4,K1580&lt;=$T$5,N1580),M1580)</f>
        <v/>
      </c>
      <c r="Q1580">
        <f>OR(AND(I1580&gt;=$T$10,K1580&lt;=$T$11,O1580),M1580)</f>
        <v/>
      </c>
    </row>
    <row r="1581">
      <c r="A1581">
        <f>Data!E1657</f>
        <v/>
      </c>
      <c r="B1581">
        <f>Data!G1657</f>
        <v/>
      </c>
      <c r="C1581">
        <f>Data!H1657</f>
        <v/>
      </c>
      <c r="D1581">
        <f>Data!I1657</f>
        <v/>
      </c>
      <c r="E1581">
        <f>Data!M1657</f>
        <v/>
      </c>
      <c r="F1581">
        <f>Data!O1657</f>
        <v/>
      </c>
      <c r="G1581">
        <f>E1581-F1581</f>
        <v/>
      </c>
      <c r="H1581">
        <f>Data!P1657</f>
        <v/>
      </c>
      <c r="I1581">
        <f>G1581+H1581</f>
        <v/>
      </c>
      <c r="J1581">
        <f>F1581+G1581+H1581</f>
        <v/>
      </c>
      <c r="K1581">
        <f>Data!R1657</f>
        <v/>
      </c>
      <c r="L1581">
        <f>Data!T1657</f>
        <v/>
      </c>
      <c r="M1581">
        <f>AND(E1581=0,F1581=0,G1581=0,H1581=0,I1581=0,J1581=0,K1581=0,L1581=0)</f>
        <v/>
      </c>
      <c r="N1581">
        <f>G1581&lt;=$T$6</f>
        <v/>
      </c>
      <c r="O1581">
        <f>G1581&lt;=$T$12</f>
        <v/>
      </c>
      <c r="P1581">
        <f>OR(AND(H1581&gt;=$T$4,K1581&lt;=$T$5,N1581),M1581)</f>
        <v/>
      </c>
      <c r="Q1581">
        <f>OR(AND(I1581&gt;=$T$10,K1581&lt;=$T$11,O1581),M1581)</f>
        <v/>
      </c>
    </row>
    <row r="1582">
      <c r="A1582">
        <f>Data!E1658</f>
        <v/>
      </c>
      <c r="B1582">
        <f>Data!G1658</f>
        <v/>
      </c>
      <c r="C1582">
        <f>Data!H1658</f>
        <v/>
      </c>
      <c r="D1582">
        <f>Data!I1658</f>
        <v/>
      </c>
      <c r="E1582">
        <f>Data!M1658</f>
        <v/>
      </c>
      <c r="F1582">
        <f>Data!O1658</f>
        <v/>
      </c>
      <c r="G1582">
        <f>E1582-F1582</f>
        <v/>
      </c>
      <c r="H1582">
        <f>Data!P1658</f>
        <v/>
      </c>
      <c r="I1582">
        <f>G1582+H1582</f>
        <v/>
      </c>
      <c r="J1582">
        <f>F1582+G1582+H1582</f>
        <v/>
      </c>
      <c r="K1582">
        <f>Data!R1658</f>
        <v/>
      </c>
      <c r="L1582">
        <f>Data!T1658</f>
        <v/>
      </c>
      <c r="M1582">
        <f>AND(E1582=0,F1582=0,G1582=0,H1582=0,I1582=0,J1582=0,K1582=0,L1582=0)</f>
        <v/>
      </c>
      <c r="N1582">
        <f>G1582&lt;=$T$6</f>
        <v/>
      </c>
      <c r="O1582">
        <f>G1582&lt;=$T$12</f>
        <v/>
      </c>
      <c r="P1582">
        <f>OR(AND(H1582&gt;=$T$4,K1582&lt;=$T$5,N1582),M1582)</f>
        <v/>
      </c>
      <c r="Q1582">
        <f>OR(AND(I1582&gt;=$T$10,K1582&lt;=$T$11,O1582),M1582)</f>
        <v/>
      </c>
    </row>
    <row r="1583">
      <c r="A1583">
        <f>Data!E1659</f>
        <v/>
      </c>
      <c r="B1583">
        <f>Data!G1659</f>
        <v/>
      </c>
      <c r="C1583">
        <f>Data!H1659</f>
        <v/>
      </c>
      <c r="D1583">
        <f>Data!I1659</f>
        <v/>
      </c>
      <c r="E1583">
        <f>Data!M1659</f>
        <v/>
      </c>
      <c r="F1583">
        <f>Data!O1659</f>
        <v/>
      </c>
      <c r="G1583">
        <f>E1583-F1583</f>
        <v/>
      </c>
      <c r="H1583">
        <f>Data!P1659</f>
        <v/>
      </c>
      <c r="I1583">
        <f>G1583+H1583</f>
        <v/>
      </c>
      <c r="J1583">
        <f>F1583+G1583+H1583</f>
        <v/>
      </c>
      <c r="K1583">
        <f>Data!R1659</f>
        <v/>
      </c>
      <c r="L1583">
        <f>Data!T1659</f>
        <v/>
      </c>
      <c r="M1583">
        <f>AND(E1583=0,F1583=0,G1583=0,H1583=0,I1583=0,J1583=0,K1583=0,L1583=0)</f>
        <v/>
      </c>
      <c r="N1583">
        <f>G1583&lt;=$T$6</f>
        <v/>
      </c>
      <c r="O1583">
        <f>G1583&lt;=$T$12</f>
        <v/>
      </c>
      <c r="P1583">
        <f>OR(AND(H1583&gt;=$T$4,K1583&lt;=$T$5,N1583),M1583)</f>
        <v/>
      </c>
      <c r="Q1583">
        <f>OR(AND(I1583&gt;=$T$10,K1583&lt;=$T$11,O1583),M1583)</f>
        <v/>
      </c>
    </row>
    <row r="1584">
      <c r="A1584">
        <f>Data!E1660</f>
        <v/>
      </c>
      <c r="B1584">
        <f>Data!G1660</f>
        <v/>
      </c>
      <c r="C1584">
        <f>Data!H1660</f>
        <v/>
      </c>
      <c r="D1584">
        <f>Data!I1660</f>
        <v/>
      </c>
      <c r="E1584">
        <f>Data!M1660</f>
        <v/>
      </c>
      <c r="F1584">
        <f>Data!O1660</f>
        <v/>
      </c>
      <c r="G1584">
        <f>E1584-F1584</f>
        <v/>
      </c>
      <c r="H1584">
        <f>Data!P1660</f>
        <v/>
      </c>
      <c r="I1584">
        <f>G1584+H1584</f>
        <v/>
      </c>
      <c r="J1584">
        <f>F1584+G1584+H1584</f>
        <v/>
      </c>
      <c r="K1584">
        <f>Data!R1660</f>
        <v/>
      </c>
      <c r="L1584">
        <f>Data!T1660</f>
        <v/>
      </c>
      <c r="M1584">
        <f>AND(E1584=0,F1584=0,G1584=0,H1584=0,I1584=0,J1584=0,K1584=0,L1584=0)</f>
        <v/>
      </c>
      <c r="N1584">
        <f>G1584&lt;=$T$6</f>
        <v/>
      </c>
      <c r="O1584">
        <f>G1584&lt;=$T$12</f>
        <v/>
      </c>
      <c r="P1584">
        <f>OR(AND(H1584&gt;=$T$4,K1584&lt;=$T$5,N1584),M1584)</f>
        <v/>
      </c>
      <c r="Q1584">
        <f>OR(AND(I1584&gt;=$T$10,K1584&lt;=$T$11,O1584),M1584)</f>
        <v/>
      </c>
    </row>
    <row r="1585">
      <c r="A1585">
        <f>Data!E1661</f>
        <v/>
      </c>
      <c r="B1585">
        <f>Data!G1661</f>
        <v/>
      </c>
      <c r="C1585">
        <f>Data!H1661</f>
        <v/>
      </c>
      <c r="D1585">
        <f>Data!I1661</f>
        <v/>
      </c>
      <c r="E1585">
        <f>Data!M1661</f>
        <v/>
      </c>
      <c r="F1585">
        <f>Data!O1661</f>
        <v/>
      </c>
      <c r="G1585">
        <f>E1585-F1585</f>
        <v/>
      </c>
      <c r="H1585">
        <f>Data!P1661</f>
        <v/>
      </c>
      <c r="I1585">
        <f>G1585+H1585</f>
        <v/>
      </c>
      <c r="J1585">
        <f>F1585+G1585+H1585</f>
        <v/>
      </c>
      <c r="K1585">
        <f>Data!R1661</f>
        <v/>
      </c>
      <c r="L1585">
        <f>Data!T1661</f>
        <v/>
      </c>
      <c r="M1585">
        <f>AND(E1585=0,F1585=0,G1585=0,H1585=0,I1585=0,J1585=0,K1585=0,L1585=0)</f>
        <v/>
      </c>
      <c r="N1585">
        <f>G1585&lt;=$T$6</f>
        <v/>
      </c>
      <c r="O1585">
        <f>G1585&lt;=$T$12</f>
        <v/>
      </c>
      <c r="P1585">
        <f>OR(AND(H1585&gt;=$T$4,K1585&lt;=$T$5,N1585),M1585)</f>
        <v/>
      </c>
      <c r="Q1585">
        <f>OR(AND(I1585&gt;=$T$10,K1585&lt;=$T$11,O1585),M1585)</f>
        <v/>
      </c>
    </row>
    <row r="1586">
      <c r="A1586">
        <f>Data!E1662</f>
        <v/>
      </c>
      <c r="B1586">
        <f>Data!G1662</f>
        <v/>
      </c>
      <c r="C1586">
        <f>Data!H1662</f>
        <v/>
      </c>
      <c r="D1586">
        <f>Data!I1662</f>
        <v/>
      </c>
      <c r="E1586">
        <f>Data!M1662</f>
        <v/>
      </c>
      <c r="F1586">
        <f>Data!O1662</f>
        <v/>
      </c>
      <c r="G1586">
        <f>E1586-F1586</f>
        <v/>
      </c>
      <c r="H1586">
        <f>Data!P1662</f>
        <v/>
      </c>
      <c r="I1586">
        <f>G1586+H1586</f>
        <v/>
      </c>
      <c r="J1586">
        <f>F1586+G1586+H1586</f>
        <v/>
      </c>
      <c r="K1586">
        <f>Data!R1662</f>
        <v/>
      </c>
      <c r="L1586">
        <f>Data!T1662</f>
        <v/>
      </c>
      <c r="M1586">
        <f>AND(E1586=0,F1586=0,G1586=0,H1586=0,I1586=0,J1586=0,K1586=0,L1586=0)</f>
        <v/>
      </c>
      <c r="N1586">
        <f>G1586&lt;=$T$6</f>
        <v/>
      </c>
      <c r="O1586">
        <f>G1586&lt;=$T$12</f>
        <v/>
      </c>
      <c r="P1586">
        <f>OR(AND(H1586&gt;=$T$4,K1586&lt;=$T$5,N1586),M1586)</f>
        <v/>
      </c>
      <c r="Q1586">
        <f>OR(AND(I1586&gt;=$T$10,K1586&lt;=$T$11,O1586),M1586)</f>
        <v/>
      </c>
    </row>
    <row r="1587">
      <c r="A1587">
        <f>Data!E1663</f>
        <v/>
      </c>
      <c r="B1587">
        <f>Data!G1663</f>
        <v/>
      </c>
      <c r="C1587">
        <f>Data!H1663</f>
        <v/>
      </c>
      <c r="D1587">
        <f>Data!I1663</f>
        <v/>
      </c>
      <c r="E1587">
        <f>Data!M1663</f>
        <v/>
      </c>
      <c r="F1587">
        <f>Data!O1663</f>
        <v/>
      </c>
      <c r="G1587">
        <f>E1587-F1587</f>
        <v/>
      </c>
      <c r="H1587">
        <f>Data!P1663</f>
        <v/>
      </c>
      <c r="I1587">
        <f>G1587+H1587</f>
        <v/>
      </c>
      <c r="J1587">
        <f>F1587+G1587+H1587</f>
        <v/>
      </c>
      <c r="K1587">
        <f>Data!R1663</f>
        <v/>
      </c>
      <c r="L1587">
        <f>Data!T1663</f>
        <v/>
      </c>
      <c r="M1587">
        <f>AND(E1587=0,F1587=0,G1587=0,H1587=0,I1587=0,J1587=0,K1587=0,L1587=0)</f>
        <v/>
      </c>
      <c r="N1587">
        <f>G1587&lt;=$T$6</f>
        <v/>
      </c>
      <c r="O1587">
        <f>G1587&lt;=$T$12</f>
        <v/>
      </c>
      <c r="P1587">
        <f>OR(AND(H1587&gt;=$T$4,K1587&lt;=$T$5,N1587),M1587)</f>
        <v/>
      </c>
      <c r="Q1587">
        <f>OR(AND(I1587&gt;=$T$10,K1587&lt;=$T$11,O1587),M1587)</f>
        <v/>
      </c>
    </row>
    <row r="1588">
      <c r="A1588">
        <f>Data!E1664</f>
        <v/>
      </c>
      <c r="B1588">
        <f>Data!G1664</f>
        <v/>
      </c>
      <c r="C1588">
        <f>Data!H1664</f>
        <v/>
      </c>
      <c r="D1588">
        <f>Data!I1664</f>
        <v/>
      </c>
      <c r="E1588">
        <f>Data!M1664</f>
        <v/>
      </c>
      <c r="F1588">
        <f>Data!O1664</f>
        <v/>
      </c>
      <c r="G1588">
        <f>E1588-F1588</f>
        <v/>
      </c>
      <c r="H1588">
        <f>Data!P1664</f>
        <v/>
      </c>
      <c r="I1588">
        <f>G1588+H1588</f>
        <v/>
      </c>
      <c r="J1588">
        <f>F1588+G1588+H1588</f>
        <v/>
      </c>
      <c r="K1588">
        <f>Data!R1664</f>
        <v/>
      </c>
      <c r="L1588">
        <f>Data!T1664</f>
        <v/>
      </c>
      <c r="M1588">
        <f>AND(E1588=0,F1588=0,G1588=0,H1588=0,I1588=0,J1588=0,K1588=0,L1588=0)</f>
        <v/>
      </c>
      <c r="N1588">
        <f>G1588&lt;=$T$6</f>
        <v/>
      </c>
      <c r="O1588">
        <f>G1588&lt;=$T$12</f>
        <v/>
      </c>
      <c r="P1588">
        <f>OR(AND(H1588&gt;=$T$4,K1588&lt;=$T$5,N1588),M1588)</f>
        <v/>
      </c>
      <c r="Q1588">
        <f>OR(AND(I1588&gt;=$T$10,K1588&lt;=$T$11,O1588),M1588)</f>
        <v/>
      </c>
    </row>
    <row r="1589">
      <c r="A1589">
        <f>Data!E1665</f>
        <v/>
      </c>
      <c r="B1589">
        <f>Data!G1665</f>
        <v/>
      </c>
      <c r="C1589">
        <f>Data!H1665</f>
        <v/>
      </c>
      <c r="D1589">
        <f>Data!I1665</f>
        <v/>
      </c>
      <c r="E1589">
        <f>Data!M1665</f>
        <v/>
      </c>
      <c r="F1589">
        <f>Data!O1665</f>
        <v/>
      </c>
      <c r="G1589">
        <f>E1589-F1589</f>
        <v/>
      </c>
      <c r="H1589">
        <f>Data!P1665</f>
        <v/>
      </c>
      <c r="I1589">
        <f>G1589+H1589</f>
        <v/>
      </c>
      <c r="J1589">
        <f>F1589+G1589+H1589</f>
        <v/>
      </c>
      <c r="K1589">
        <f>Data!R1665</f>
        <v/>
      </c>
      <c r="L1589">
        <f>Data!T1665</f>
        <v/>
      </c>
      <c r="M1589">
        <f>AND(E1589=0,F1589=0,G1589=0,H1589=0,I1589=0,J1589=0,K1589=0,L1589=0)</f>
        <v/>
      </c>
      <c r="N1589">
        <f>G1589&lt;=$T$6</f>
        <v/>
      </c>
      <c r="O1589">
        <f>G1589&lt;=$T$12</f>
        <v/>
      </c>
      <c r="P1589">
        <f>OR(AND(H1589&gt;=$T$4,K1589&lt;=$T$5,N1589),M1589)</f>
        <v/>
      </c>
      <c r="Q1589">
        <f>OR(AND(I1589&gt;=$T$10,K1589&lt;=$T$11,O1589),M1589)</f>
        <v/>
      </c>
    </row>
    <row r="1590">
      <c r="A1590">
        <f>Data!E1667</f>
        <v/>
      </c>
      <c r="B1590">
        <f>Data!G1667</f>
        <v/>
      </c>
      <c r="C1590">
        <f>Data!H1667</f>
        <v/>
      </c>
      <c r="D1590">
        <f>Data!I1667</f>
        <v/>
      </c>
      <c r="E1590">
        <f>Data!M1667</f>
        <v/>
      </c>
      <c r="F1590">
        <f>Data!O1667</f>
        <v/>
      </c>
      <c r="G1590">
        <f>E1590-F1590</f>
        <v/>
      </c>
      <c r="H1590">
        <f>Data!P1667</f>
        <v/>
      </c>
      <c r="I1590">
        <f>G1590+H1590</f>
        <v/>
      </c>
      <c r="J1590">
        <f>F1590+G1590+H1590</f>
        <v/>
      </c>
      <c r="K1590">
        <f>Data!R1667</f>
        <v/>
      </c>
      <c r="L1590">
        <f>Data!T1667</f>
        <v/>
      </c>
      <c r="M1590">
        <f>AND(E1590=0,F1590=0,G1590=0,H1590=0,I1590=0,J1590=0,K1590=0,L1590=0)</f>
        <v/>
      </c>
      <c r="N1590">
        <f>G1590&lt;=$T$6</f>
        <v/>
      </c>
      <c r="O1590">
        <f>G1590&lt;=$T$12</f>
        <v/>
      </c>
      <c r="P1590">
        <f>OR(AND(H1590&gt;=$T$4,K1590&lt;=$T$5,N1590),M1590)</f>
        <v/>
      </c>
      <c r="Q1590">
        <f>OR(AND(I1590&gt;=$T$10,K1590&lt;=$T$11,O1590),M1590)</f>
        <v/>
      </c>
    </row>
    <row r="1591">
      <c r="A1591">
        <f>Data!E1668</f>
        <v/>
      </c>
      <c r="B1591">
        <f>Data!G1668</f>
        <v/>
      </c>
      <c r="C1591">
        <f>Data!H1668</f>
        <v/>
      </c>
      <c r="D1591">
        <f>Data!I1668</f>
        <v/>
      </c>
      <c r="E1591">
        <f>Data!M1668</f>
        <v/>
      </c>
      <c r="F1591">
        <f>Data!O1668</f>
        <v/>
      </c>
      <c r="G1591">
        <f>E1591-F1591</f>
        <v/>
      </c>
      <c r="H1591">
        <f>Data!P1668</f>
        <v/>
      </c>
      <c r="I1591">
        <f>G1591+H1591</f>
        <v/>
      </c>
      <c r="J1591">
        <f>F1591+G1591+H1591</f>
        <v/>
      </c>
      <c r="K1591">
        <f>Data!R1668</f>
        <v/>
      </c>
      <c r="L1591">
        <f>Data!T1668</f>
        <v/>
      </c>
      <c r="M1591">
        <f>AND(E1591=0,F1591=0,G1591=0,H1591=0,I1591=0,J1591=0,K1591=0,L1591=0)</f>
        <v/>
      </c>
      <c r="N1591">
        <f>G1591&lt;=$T$6</f>
        <v/>
      </c>
      <c r="O1591">
        <f>G1591&lt;=$T$12</f>
        <v/>
      </c>
      <c r="P1591">
        <f>OR(AND(H1591&gt;=$T$4,K1591&lt;=$T$5,N1591),M1591)</f>
        <v/>
      </c>
      <c r="Q1591">
        <f>OR(AND(I1591&gt;=$T$10,K1591&lt;=$T$11,O1591),M1591)</f>
        <v/>
      </c>
    </row>
    <row r="1592">
      <c r="A1592">
        <f>Data!E1669</f>
        <v/>
      </c>
      <c r="B1592">
        <f>Data!G1669</f>
        <v/>
      </c>
      <c r="C1592">
        <f>Data!H1669</f>
        <v/>
      </c>
      <c r="D1592">
        <f>Data!I1669</f>
        <v/>
      </c>
      <c r="E1592">
        <f>Data!M1669</f>
        <v/>
      </c>
      <c r="F1592">
        <f>Data!O1669</f>
        <v/>
      </c>
      <c r="G1592">
        <f>E1592-F1592</f>
        <v/>
      </c>
      <c r="H1592">
        <f>Data!P1669</f>
        <v/>
      </c>
      <c r="I1592">
        <f>G1592+H1592</f>
        <v/>
      </c>
      <c r="J1592">
        <f>F1592+G1592+H1592</f>
        <v/>
      </c>
      <c r="K1592">
        <f>Data!R1669</f>
        <v/>
      </c>
      <c r="L1592">
        <f>Data!T1669</f>
        <v/>
      </c>
      <c r="M1592">
        <f>AND(E1592=0,F1592=0,G1592=0,H1592=0,I1592=0,J1592=0,K1592=0,L1592=0)</f>
        <v/>
      </c>
      <c r="N1592">
        <f>G1592&lt;=$T$6</f>
        <v/>
      </c>
      <c r="O1592">
        <f>G1592&lt;=$T$12</f>
        <v/>
      </c>
      <c r="P1592">
        <f>OR(AND(H1592&gt;=$T$4,K1592&lt;=$T$5,N1592),M1592)</f>
        <v/>
      </c>
      <c r="Q1592">
        <f>OR(AND(I1592&gt;=$T$10,K1592&lt;=$T$11,O1592),M1592)</f>
        <v/>
      </c>
    </row>
    <row r="1593">
      <c r="A1593">
        <f>Data!E1670</f>
        <v/>
      </c>
      <c r="B1593">
        <f>Data!G1670</f>
        <v/>
      </c>
      <c r="C1593">
        <f>Data!H1670</f>
        <v/>
      </c>
      <c r="D1593">
        <f>Data!I1670</f>
        <v/>
      </c>
      <c r="E1593">
        <f>Data!M1670</f>
        <v/>
      </c>
      <c r="F1593">
        <f>Data!O1670</f>
        <v/>
      </c>
      <c r="G1593">
        <f>E1593-F1593</f>
        <v/>
      </c>
      <c r="H1593">
        <f>Data!P1670</f>
        <v/>
      </c>
      <c r="I1593">
        <f>G1593+H1593</f>
        <v/>
      </c>
      <c r="J1593">
        <f>F1593+G1593+H1593</f>
        <v/>
      </c>
      <c r="K1593">
        <f>Data!R1670</f>
        <v/>
      </c>
      <c r="L1593">
        <f>Data!T1670</f>
        <v/>
      </c>
      <c r="M1593">
        <f>AND(E1593=0,F1593=0,G1593=0,H1593=0,I1593=0,J1593=0,K1593=0,L1593=0)</f>
        <v/>
      </c>
      <c r="N1593">
        <f>G1593&lt;=$T$6</f>
        <v/>
      </c>
      <c r="O1593">
        <f>G1593&lt;=$T$12</f>
        <v/>
      </c>
      <c r="P1593">
        <f>OR(AND(H1593&gt;=$T$4,K1593&lt;=$T$5,N1593),M1593)</f>
        <v/>
      </c>
      <c r="Q1593">
        <f>OR(AND(I1593&gt;=$T$10,K1593&lt;=$T$11,O1593),M1593)</f>
        <v/>
      </c>
    </row>
    <row r="1594">
      <c r="A1594">
        <f>Data!E1671</f>
        <v/>
      </c>
      <c r="B1594">
        <f>Data!G1671</f>
        <v/>
      </c>
      <c r="C1594">
        <f>Data!H1671</f>
        <v/>
      </c>
      <c r="D1594">
        <f>Data!I1671</f>
        <v/>
      </c>
      <c r="E1594">
        <f>Data!M1671</f>
        <v/>
      </c>
      <c r="F1594">
        <f>Data!O1671</f>
        <v/>
      </c>
      <c r="G1594">
        <f>E1594-F1594</f>
        <v/>
      </c>
      <c r="H1594">
        <f>Data!P1671</f>
        <v/>
      </c>
      <c r="I1594">
        <f>G1594+H1594</f>
        <v/>
      </c>
      <c r="J1594">
        <f>F1594+G1594+H1594</f>
        <v/>
      </c>
      <c r="K1594">
        <f>Data!R1671</f>
        <v/>
      </c>
      <c r="L1594">
        <f>Data!T1671</f>
        <v/>
      </c>
      <c r="M1594">
        <f>AND(E1594=0,F1594=0,G1594=0,H1594=0,I1594=0,J1594=0,K1594=0,L1594=0)</f>
        <v/>
      </c>
      <c r="N1594">
        <f>G1594&lt;=$T$6</f>
        <v/>
      </c>
      <c r="O1594">
        <f>G1594&lt;=$T$12</f>
        <v/>
      </c>
      <c r="P1594">
        <f>OR(AND(H1594&gt;=$T$4,K1594&lt;=$T$5,N1594),M1594)</f>
        <v/>
      </c>
      <c r="Q1594">
        <f>OR(AND(I1594&gt;=$T$10,K1594&lt;=$T$11,O1594),M1594)</f>
        <v/>
      </c>
    </row>
    <row r="1595">
      <c r="A1595">
        <f>Data!E1672</f>
        <v/>
      </c>
      <c r="B1595">
        <f>Data!G1672</f>
        <v/>
      </c>
      <c r="C1595">
        <f>Data!H1672</f>
        <v/>
      </c>
      <c r="D1595">
        <f>Data!I1672</f>
        <v/>
      </c>
      <c r="E1595">
        <f>Data!M1672</f>
        <v/>
      </c>
      <c r="F1595">
        <f>Data!O1672</f>
        <v/>
      </c>
      <c r="G1595">
        <f>E1595-F1595</f>
        <v/>
      </c>
      <c r="H1595">
        <f>Data!P1672</f>
        <v/>
      </c>
      <c r="I1595">
        <f>G1595+H1595</f>
        <v/>
      </c>
      <c r="J1595">
        <f>F1595+G1595+H1595</f>
        <v/>
      </c>
      <c r="K1595">
        <f>Data!R1672</f>
        <v/>
      </c>
      <c r="L1595">
        <f>Data!T1672</f>
        <v/>
      </c>
      <c r="M1595">
        <f>AND(E1595=0,F1595=0,G1595=0,H1595=0,I1595=0,J1595=0,K1595=0,L1595=0)</f>
        <v/>
      </c>
      <c r="N1595">
        <f>G1595&lt;=$T$6</f>
        <v/>
      </c>
      <c r="O1595">
        <f>G1595&lt;=$T$12</f>
        <v/>
      </c>
      <c r="P1595">
        <f>OR(AND(H1595&gt;=$T$4,K1595&lt;=$T$5,N1595),M1595)</f>
        <v/>
      </c>
      <c r="Q1595">
        <f>OR(AND(I1595&gt;=$T$10,K1595&lt;=$T$11,O1595),M1595)</f>
        <v/>
      </c>
    </row>
    <row r="1596">
      <c r="A1596">
        <f>Data!E1673</f>
        <v/>
      </c>
      <c r="B1596">
        <f>Data!G1673</f>
        <v/>
      </c>
      <c r="C1596">
        <f>Data!H1673</f>
        <v/>
      </c>
      <c r="D1596">
        <f>Data!I1673</f>
        <v/>
      </c>
      <c r="E1596">
        <f>Data!M1673</f>
        <v/>
      </c>
      <c r="F1596">
        <f>Data!O1673</f>
        <v/>
      </c>
      <c r="G1596">
        <f>E1596-F1596</f>
        <v/>
      </c>
      <c r="H1596">
        <f>Data!P1673</f>
        <v/>
      </c>
      <c r="I1596">
        <f>G1596+H1596</f>
        <v/>
      </c>
      <c r="J1596">
        <f>F1596+G1596+H1596</f>
        <v/>
      </c>
      <c r="K1596">
        <f>Data!R1673</f>
        <v/>
      </c>
      <c r="L1596">
        <f>Data!T1673</f>
        <v/>
      </c>
      <c r="M1596">
        <f>AND(E1596=0,F1596=0,G1596=0,H1596=0,I1596=0,J1596=0,K1596=0,L1596=0)</f>
        <v/>
      </c>
      <c r="N1596">
        <f>G1596&lt;=$T$6</f>
        <v/>
      </c>
      <c r="O1596">
        <f>G1596&lt;=$T$12</f>
        <v/>
      </c>
      <c r="P1596">
        <f>OR(AND(H1596&gt;=$T$4,K1596&lt;=$T$5,N1596),M1596)</f>
        <v/>
      </c>
      <c r="Q1596">
        <f>OR(AND(I1596&gt;=$T$10,K1596&lt;=$T$11,O1596),M1596)</f>
        <v/>
      </c>
    </row>
    <row r="1597">
      <c r="A1597">
        <f>Data!E1674</f>
        <v/>
      </c>
      <c r="B1597">
        <f>Data!G1674</f>
        <v/>
      </c>
      <c r="C1597">
        <f>Data!H1674</f>
        <v/>
      </c>
      <c r="D1597">
        <f>Data!I1674</f>
        <v/>
      </c>
      <c r="E1597">
        <f>Data!M1674</f>
        <v/>
      </c>
      <c r="F1597">
        <f>Data!O1674</f>
        <v/>
      </c>
      <c r="G1597">
        <f>E1597-F1597</f>
        <v/>
      </c>
      <c r="H1597">
        <f>Data!P1674</f>
        <v/>
      </c>
      <c r="I1597">
        <f>G1597+H1597</f>
        <v/>
      </c>
      <c r="J1597">
        <f>F1597+G1597+H1597</f>
        <v/>
      </c>
      <c r="K1597">
        <f>Data!R1674</f>
        <v/>
      </c>
      <c r="L1597">
        <f>Data!T1674</f>
        <v/>
      </c>
      <c r="M1597">
        <f>AND(E1597=0,F1597=0,G1597=0,H1597=0,I1597=0,J1597=0,K1597=0,L1597=0)</f>
        <v/>
      </c>
      <c r="N1597">
        <f>G1597&lt;=$T$6</f>
        <v/>
      </c>
      <c r="O1597">
        <f>G1597&lt;=$T$12</f>
        <v/>
      </c>
      <c r="P1597">
        <f>OR(AND(H1597&gt;=$T$4,K1597&lt;=$T$5,N1597),M1597)</f>
        <v/>
      </c>
      <c r="Q1597">
        <f>OR(AND(I1597&gt;=$T$10,K1597&lt;=$T$11,O1597),M1597)</f>
        <v/>
      </c>
    </row>
    <row r="1598">
      <c r="A1598">
        <f>Data!E1675</f>
        <v/>
      </c>
      <c r="B1598">
        <f>Data!G1675</f>
        <v/>
      </c>
      <c r="C1598">
        <f>Data!H1675</f>
        <v/>
      </c>
      <c r="D1598">
        <f>Data!I1675</f>
        <v/>
      </c>
      <c r="E1598">
        <f>Data!M1675</f>
        <v/>
      </c>
      <c r="F1598">
        <f>Data!O1675</f>
        <v/>
      </c>
      <c r="G1598">
        <f>E1598-F1598</f>
        <v/>
      </c>
      <c r="H1598">
        <f>Data!P1675</f>
        <v/>
      </c>
      <c r="I1598">
        <f>G1598+H1598</f>
        <v/>
      </c>
      <c r="J1598">
        <f>F1598+G1598+H1598</f>
        <v/>
      </c>
      <c r="K1598">
        <f>Data!R1675</f>
        <v/>
      </c>
      <c r="L1598">
        <f>Data!T1675</f>
        <v/>
      </c>
      <c r="M1598">
        <f>AND(E1598=0,F1598=0,G1598=0,H1598=0,I1598=0,J1598=0,K1598=0,L1598=0)</f>
        <v/>
      </c>
      <c r="N1598">
        <f>G1598&lt;=$T$6</f>
        <v/>
      </c>
      <c r="O1598">
        <f>G1598&lt;=$T$12</f>
        <v/>
      </c>
      <c r="P1598">
        <f>OR(AND(H1598&gt;=$T$4,K1598&lt;=$T$5,N1598),M1598)</f>
        <v/>
      </c>
      <c r="Q1598">
        <f>OR(AND(I1598&gt;=$T$10,K1598&lt;=$T$11,O1598),M1598)</f>
        <v/>
      </c>
    </row>
    <row r="1599">
      <c r="A1599">
        <f>Data!E1676</f>
        <v/>
      </c>
      <c r="B1599">
        <f>Data!G1676</f>
        <v/>
      </c>
      <c r="C1599">
        <f>Data!H1676</f>
        <v/>
      </c>
      <c r="D1599">
        <f>Data!I1676</f>
        <v/>
      </c>
      <c r="E1599">
        <f>Data!M1676</f>
        <v/>
      </c>
      <c r="F1599">
        <f>Data!O1676</f>
        <v/>
      </c>
      <c r="G1599">
        <f>E1599-F1599</f>
        <v/>
      </c>
      <c r="H1599">
        <f>Data!P1676</f>
        <v/>
      </c>
      <c r="I1599">
        <f>G1599+H1599</f>
        <v/>
      </c>
      <c r="J1599">
        <f>F1599+G1599+H1599</f>
        <v/>
      </c>
      <c r="K1599">
        <f>Data!R1676</f>
        <v/>
      </c>
      <c r="L1599">
        <f>Data!T1676</f>
        <v/>
      </c>
      <c r="M1599">
        <f>AND(E1599=0,F1599=0,G1599=0,H1599=0,I1599=0,J1599=0,K1599=0,L1599=0)</f>
        <v/>
      </c>
      <c r="N1599">
        <f>G1599&lt;=$T$6</f>
        <v/>
      </c>
      <c r="O1599">
        <f>G1599&lt;=$T$12</f>
        <v/>
      </c>
      <c r="P1599">
        <f>OR(AND(H1599&gt;=$T$4,K1599&lt;=$T$5,N1599),M1599)</f>
        <v/>
      </c>
      <c r="Q1599">
        <f>OR(AND(I1599&gt;=$T$10,K1599&lt;=$T$11,O1599),M1599)</f>
        <v/>
      </c>
    </row>
    <row r="1600">
      <c r="A1600">
        <f>Data!E1677</f>
        <v/>
      </c>
      <c r="B1600">
        <f>Data!G1677</f>
        <v/>
      </c>
      <c r="C1600">
        <f>Data!H1677</f>
        <v/>
      </c>
      <c r="D1600">
        <f>Data!I1677</f>
        <v/>
      </c>
      <c r="E1600">
        <f>Data!M1677</f>
        <v/>
      </c>
      <c r="F1600">
        <f>Data!O1677</f>
        <v/>
      </c>
      <c r="G1600">
        <f>E1600-F1600</f>
        <v/>
      </c>
      <c r="H1600">
        <f>Data!P1677</f>
        <v/>
      </c>
      <c r="I1600">
        <f>G1600+H1600</f>
        <v/>
      </c>
      <c r="J1600">
        <f>F1600+G1600+H1600</f>
        <v/>
      </c>
      <c r="K1600">
        <f>Data!R1677</f>
        <v/>
      </c>
      <c r="L1600">
        <f>Data!T1677</f>
        <v/>
      </c>
      <c r="M1600">
        <f>AND(E1600=0,F1600=0,G1600=0,H1600=0,I1600=0,J1600=0,K1600=0,L1600=0)</f>
        <v/>
      </c>
      <c r="N1600">
        <f>G1600&lt;=$T$6</f>
        <v/>
      </c>
      <c r="O1600">
        <f>G1600&lt;=$T$12</f>
        <v/>
      </c>
      <c r="P1600">
        <f>OR(AND(H1600&gt;=$T$4,K1600&lt;=$T$5,N1600),M1600)</f>
        <v/>
      </c>
      <c r="Q1600">
        <f>OR(AND(I1600&gt;=$T$10,K1600&lt;=$T$11,O1600),M1600)</f>
        <v/>
      </c>
    </row>
    <row r="1601">
      <c r="A1601">
        <f>Data!E1678</f>
        <v/>
      </c>
      <c r="B1601">
        <f>Data!G1678</f>
        <v/>
      </c>
      <c r="C1601">
        <f>Data!H1678</f>
        <v/>
      </c>
      <c r="D1601">
        <f>Data!I1678</f>
        <v/>
      </c>
      <c r="E1601">
        <f>Data!M1678</f>
        <v/>
      </c>
      <c r="F1601">
        <f>Data!O1678</f>
        <v/>
      </c>
      <c r="G1601">
        <f>E1601-F1601</f>
        <v/>
      </c>
      <c r="H1601">
        <f>Data!P1678</f>
        <v/>
      </c>
      <c r="I1601">
        <f>G1601+H1601</f>
        <v/>
      </c>
      <c r="J1601">
        <f>F1601+G1601+H1601</f>
        <v/>
      </c>
      <c r="K1601">
        <f>Data!R1678</f>
        <v/>
      </c>
      <c r="L1601">
        <f>Data!T1678</f>
        <v/>
      </c>
      <c r="M1601">
        <f>AND(E1601=0,F1601=0,G1601=0,H1601=0,I1601=0,J1601=0,K1601=0,L1601=0)</f>
        <v/>
      </c>
      <c r="N1601">
        <f>G1601&lt;=$T$6</f>
        <v/>
      </c>
      <c r="O1601">
        <f>G1601&lt;=$T$12</f>
        <v/>
      </c>
      <c r="P1601">
        <f>OR(AND(H1601&gt;=$T$4,K1601&lt;=$T$5,N1601),M1601)</f>
        <v/>
      </c>
      <c r="Q1601">
        <f>OR(AND(I1601&gt;=$T$10,K1601&lt;=$T$11,O1601),M1601)</f>
        <v/>
      </c>
    </row>
    <row r="1602">
      <c r="A1602">
        <f>Data!E1679</f>
        <v/>
      </c>
      <c r="B1602">
        <f>Data!G1679</f>
        <v/>
      </c>
      <c r="C1602">
        <f>Data!H1679</f>
        <v/>
      </c>
      <c r="D1602">
        <f>Data!I1679</f>
        <v/>
      </c>
      <c r="E1602">
        <f>Data!M1679</f>
        <v/>
      </c>
      <c r="F1602">
        <f>Data!O1679</f>
        <v/>
      </c>
      <c r="G1602">
        <f>E1602-F1602</f>
        <v/>
      </c>
      <c r="H1602">
        <f>Data!P1679</f>
        <v/>
      </c>
      <c r="I1602">
        <f>G1602+H1602</f>
        <v/>
      </c>
      <c r="J1602">
        <f>F1602+G1602+H1602</f>
        <v/>
      </c>
      <c r="K1602">
        <f>Data!R1679</f>
        <v/>
      </c>
      <c r="L1602">
        <f>Data!T1679</f>
        <v/>
      </c>
      <c r="M1602">
        <f>AND(E1602=0,F1602=0,G1602=0,H1602=0,I1602=0,J1602=0,K1602=0,L1602=0)</f>
        <v/>
      </c>
      <c r="N1602">
        <f>G1602&lt;=$T$6</f>
        <v/>
      </c>
      <c r="O1602">
        <f>G1602&lt;=$T$12</f>
        <v/>
      </c>
      <c r="P1602">
        <f>OR(AND(H1602&gt;=$T$4,K1602&lt;=$T$5,N1602),M1602)</f>
        <v/>
      </c>
      <c r="Q1602">
        <f>OR(AND(I1602&gt;=$T$10,K1602&lt;=$T$11,O1602),M1602)</f>
        <v/>
      </c>
    </row>
    <row r="1603">
      <c r="A1603">
        <f>Data!E1680</f>
        <v/>
      </c>
      <c r="B1603">
        <f>Data!G1680</f>
        <v/>
      </c>
      <c r="C1603">
        <f>Data!H1680</f>
        <v/>
      </c>
      <c r="D1603">
        <f>Data!I1680</f>
        <v/>
      </c>
      <c r="E1603">
        <f>Data!M1680</f>
        <v/>
      </c>
      <c r="F1603">
        <f>Data!O1680</f>
        <v/>
      </c>
      <c r="G1603">
        <f>E1603-F1603</f>
        <v/>
      </c>
      <c r="H1603">
        <f>Data!P1680</f>
        <v/>
      </c>
      <c r="I1603">
        <f>G1603+H1603</f>
        <v/>
      </c>
      <c r="J1603">
        <f>F1603+G1603+H1603</f>
        <v/>
      </c>
      <c r="K1603">
        <f>Data!R1680</f>
        <v/>
      </c>
      <c r="L1603">
        <f>Data!T1680</f>
        <v/>
      </c>
      <c r="M1603">
        <f>AND(E1603=0,F1603=0,G1603=0,H1603=0,I1603=0,J1603=0,K1603=0,L1603=0)</f>
        <v/>
      </c>
      <c r="N1603">
        <f>G1603&lt;=$T$6</f>
        <v/>
      </c>
      <c r="O1603">
        <f>G1603&lt;=$T$12</f>
        <v/>
      </c>
      <c r="P1603">
        <f>OR(AND(H1603&gt;=$T$4,K1603&lt;=$T$5,N1603),M1603)</f>
        <v/>
      </c>
      <c r="Q1603">
        <f>OR(AND(I1603&gt;=$T$10,K1603&lt;=$T$11,O1603),M1603)</f>
        <v/>
      </c>
    </row>
    <row r="1604">
      <c r="A1604">
        <f>Data!E1681</f>
        <v/>
      </c>
      <c r="B1604">
        <f>Data!G1681</f>
        <v/>
      </c>
      <c r="C1604">
        <f>Data!H1681</f>
        <v/>
      </c>
      <c r="D1604">
        <f>Data!I1681</f>
        <v/>
      </c>
      <c r="E1604">
        <f>Data!M1681</f>
        <v/>
      </c>
      <c r="F1604">
        <f>Data!O1681</f>
        <v/>
      </c>
      <c r="G1604">
        <f>E1604-F1604</f>
        <v/>
      </c>
      <c r="H1604">
        <f>Data!P1681</f>
        <v/>
      </c>
      <c r="I1604">
        <f>G1604+H1604</f>
        <v/>
      </c>
      <c r="J1604">
        <f>F1604+G1604+H1604</f>
        <v/>
      </c>
      <c r="K1604">
        <f>Data!R1681</f>
        <v/>
      </c>
      <c r="L1604">
        <f>Data!T1681</f>
        <v/>
      </c>
      <c r="M1604">
        <f>AND(E1604=0,F1604=0,G1604=0,H1604=0,I1604=0,J1604=0,K1604=0,L1604=0)</f>
        <v/>
      </c>
      <c r="N1604">
        <f>G1604&lt;=$T$6</f>
        <v/>
      </c>
      <c r="O1604">
        <f>G1604&lt;=$T$12</f>
        <v/>
      </c>
      <c r="P1604">
        <f>OR(AND(H1604&gt;=$T$4,K1604&lt;=$T$5,N1604),M1604)</f>
        <v/>
      </c>
      <c r="Q1604">
        <f>OR(AND(I1604&gt;=$T$10,K1604&lt;=$T$11,O1604),M1604)</f>
        <v/>
      </c>
    </row>
    <row r="1605">
      <c r="A1605">
        <f>Data!E1682</f>
        <v/>
      </c>
      <c r="B1605">
        <f>Data!G1682</f>
        <v/>
      </c>
      <c r="C1605">
        <f>Data!H1682</f>
        <v/>
      </c>
      <c r="D1605">
        <f>Data!I1682</f>
        <v/>
      </c>
      <c r="E1605">
        <f>Data!M1682</f>
        <v/>
      </c>
      <c r="F1605">
        <f>Data!O1682</f>
        <v/>
      </c>
      <c r="G1605">
        <f>E1605-F1605</f>
        <v/>
      </c>
      <c r="H1605">
        <f>Data!P1682</f>
        <v/>
      </c>
      <c r="I1605">
        <f>G1605+H1605</f>
        <v/>
      </c>
      <c r="J1605">
        <f>F1605+G1605+H1605</f>
        <v/>
      </c>
      <c r="K1605">
        <f>Data!R1682</f>
        <v/>
      </c>
      <c r="L1605">
        <f>Data!T1682</f>
        <v/>
      </c>
      <c r="M1605">
        <f>AND(E1605=0,F1605=0,G1605=0,H1605=0,I1605=0,J1605=0,K1605=0,L1605=0)</f>
        <v/>
      </c>
      <c r="N1605">
        <f>G1605&lt;=$T$6</f>
        <v/>
      </c>
      <c r="O1605">
        <f>G1605&lt;=$T$12</f>
        <v/>
      </c>
      <c r="P1605">
        <f>OR(AND(H1605&gt;=$T$4,K1605&lt;=$T$5,N1605),M1605)</f>
        <v/>
      </c>
      <c r="Q1605">
        <f>OR(AND(I1605&gt;=$T$10,K1605&lt;=$T$11,O1605),M1605)</f>
        <v/>
      </c>
    </row>
    <row r="1606">
      <c r="A1606">
        <f>Data!E1684</f>
        <v/>
      </c>
      <c r="B1606">
        <f>Data!G1684</f>
        <v/>
      </c>
      <c r="C1606">
        <f>Data!H1684</f>
        <v/>
      </c>
      <c r="D1606">
        <f>Data!I1684</f>
        <v/>
      </c>
      <c r="E1606">
        <f>Data!M1684</f>
        <v/>
      </c>
      <c r="F1606">
        <f>Data!O1684</f>
        <v/>
      </c>
      <c r="G1606">
        <f>E1606-F1606</f>
        <v/>
      </c>
      <c r="H1606">
        <f>Data!P1684</f>
        <v/>
      </c>
      <c r="I1606">
        <f>G1606+H1606</f>
        <v/>
      </c>
      <c r="J1606">
        <f>F1606+G1606+H1606</f>
        <v/>
      </c>
      <c r="K1606">
        <f>Data!R1684</f>
        <v/>
      </c>
      <c r="L1606">
        <f>Data!T1684</f>
        <v/>
      </c>
      <c r="M1606">
        <f>AND(E1606=0,F1606=0,G1606=0,H1606=0,I1606=0,J1606=0,K1606=0,L1606=0)</f>
        <v/>
      </c>
      <c r="N1606">
        <f>G1606&lt;=$T$6</f>
        <v/>
      </c>
      <c r="O1606">
        <f>G1606&lt;=$T$12</f>
        <v/>
      </c>
      <c r="P1606">
        <f>OR(AND(H1606&gt;=$T$4,K1606&lt;=$T$5,N1606),M1606)</f>
        <v/>
      </c>
      <c r="Q1606">
        <f>OR(AND(I1606&gt;=$T$10,K1606&lt;=$T$11,O1606),M1606)</f>
        <v/>
      </c>
    </row>
    <row r="1607">
      <c r="A1607">
        <f>Data!E1685</f>
        <v/>
      </c>
      <c r="B1607">
        <f>Data!G1685</f>
        <v/>
      </c>
      <c r="C1607">
        <f>Data!H1685</f>
        <v/>
      </c>
      <c r="D1607">
        <f>Data!I1685</f>
        <v/>
      </c>
      <c r="E1607">
        <f>Data!M1685</f>
        <v/>
      </c>
      <c r="F1607">
        <f>Data!O1685</f>
        <v/>
      </c>
      <c r="G1607">
        <f>E1607-F1607</f>
        <v/>
      </c>
      <c r="H1607">
        <f>Data!P1685</f>
        <v/>
      </c>
      <c r="I1607">
        <f>G1607+H1607</f>
        <v/>
      </c>
      <c r="J1607">
        <f>F1607+G1607+H1607</f>
        <v/>
      </c>
      <c r="K1607">
        <f>Data!R1685</f>
        <v/>
      </c>
      <c r="L1607">
        <f>Data!T1685</f>
        <v/>
      </c>
      <c r="M1607">
        <f>AND(E1607=0,F1607=0,G1607=0,H1607=0,I1607=0,J1607=0,K1607=0,L1607=0)</f>
        <v/>
      </c>
      <c r="N1607">
        <f>G1607&lt;=$T$6</f>
        <v/>
      </c>
      <c r="O1607">
        <f>G1607&lt;=$T$12</f>
        <v/>
      </c>
      <c r="P1607">
        <f>OR(AND(H1607&gt;=$T$4,K1607&lt;=$T$5,N1607),M1607)</f>
        <v/>
      </c>
      <c r="Q1607">
        <f>OR(AND(I1607&gt;=$T$10,K1607&lt;=$T$11,O1607),M1607)</f>
        <v/>
      </c>
    </row>
    <row r="1608">
      <c r="A1608">
        <f>Data!E1686</f>
        <v/>
      </c>
      <c r="B1608">
        <f>Data!G1686</f>
        <v/>
      </c>
      <c r="C1608">
        <f>Data!H1686</f>
        <v/>
      </c>
      <c r="D1608">
        <f>Data!I1686</f>
        <v/>
      </c>
      <c r="E1608">
        <f>Data!M1686</f>
        <v/>
      </c>
      <c r="F1608">
        <f>Data!O1686</f>
        <v/>
      </c>
      <c r="G1608">
        <f>E1608-F1608</f>
        <v/>
      </c>
      <c r="H1608">
        <f>Data!P1686</f>
        <v/>
      </c>
      <c r="I1608">
        <f>G1608+H1608</f>
        <v/>
      </c>
      <c r="J1608">
        <f>F1608+G1608+H1608</f>
        <v/>
      </c>
      <c r="K1608">
        <f>Data!R1686</f>
        <v/>
      </c>
      <c r="L1608">
        <f>Data!T1686</f>
        <v/>
      </c>
      <c r="M1608">
        <f>AND(E1608=0,F1608=0,G1608=0,H1608=0,I1608=0,J1608=0,K1608=0,L1608=0)</f>
        <v/>
      </c>
      <c r="N1608">
        <f>G1608&lt;=$T$6</f>
        <v/>
      </c>
      <c r="O1608">
        <f>G1608&lt;=$T$12</f>
        <v/>
      </c>
      <c r="P1608">
        <f>OR(AND(H1608&gt;=$T$4,K1608&lt;=$T$5,N1608),M1608)</f>
        <v/>
      </c>
      <c r="Q1608">
        <f>OR(AND(I1608&gt;=$T$10,K1608&lt;=$T$11,O1608),M1608)</f>
        <v/>
      </c>
    </row>
    <row r="1609">
      <c r="A1609">
        <f>Data!E1687</f>
        <v/>
      </c>
      <c r="B1609">
        <f>Data!G1687</f>
        <v/>
      </c>
      <c r="C1609">
        <f>Data!H1687</f>
        <v/>
      </c>
      <c r="D1609">
        <f>Data!I1687</f>
        <v/>
      </c>
      <c r="E1609">
        <f>Data!M1687</f>
        <v/>
      </c>
      <c r="F1609">
        <f>Data!O1687</f>
        <v/>
      </c>
      <c r="G1609">
        <f>E1609-F1609</f>
        <v/>
      </c>
      <c r="H1609">
        <f>Data!P1687</f>
        <v/>
      </c>
      <c r="I1609">
        <f>G1609+H1609</f>
        <v/>
      </c>
      <c r="J1609">
        <f>F1609+G1609+H1609</f>
        <v/>
      </c>
      <c r="K1609">
        <f>Data!R1687</f>
        <v/>
      </c>
      <c r="L1609">
        <f>Data!T1687</f>
        <v/>
      </c>
      <c r="M1609">
        <f>AND(E1609=0,F1609=0,G1609=0,H1609=0,I1609=0,J1609=0,K1609=0,L1609=0)</f>
        <v/>
      </c>
      <c r="N1609">
        <f>G1609&lt;=$T$6</f>
        <v/>
      </c>
      <c r="O1609">
        <f>G1609&lt;=$T$12</f>
        <v/>
      </c>
      <c r="P1609">
        <f>OR(AND(H1609&gt;=$T$4,K1609&lt;=$T$5,N1609),M1609)</f>
        <v/>
      </c>
      <c r="Q1609">
        <f>OR(AND(I1609&gt;=$T$10,K1609&lt;=$T$11,O1609),M1609)</f>
        <v/>
      </c>
    </row>
    <row r="1610">
      <c r="A1610">
        <f>Data!E1688</f>
        <v/>
      </c>
      <c r="B1610">
        <f>Data!G1688</f>
        <v/>
      </c>
      <c r="C1610">
        <f>Data!H1688</f>
        <v/>
      </c>
      <c r="D1610">
        <f>Data!I1688</f>
        <v/>
      </c>
      <c r="E1610">
        <f>Data!M1688</f>
        <v/>
      </c>
      <c r="F1610">
        <f>Data!O1688</f>
        <v/>
      </c>
      <c r="G1610">
        <f>E1610-F1610</f>
        <v/>
      </c>
      <c r="H1610">
        <f>Data!P1688</f>
        <v/>
      </c>
      <c r="I1610">
        <f>G1610+H1610</f>
        <v/>
      </c>
      <c r="J1610">
        <f>F1610+G1610+H1610</f>
        <v/>
      </c>
      <c r="K1610">
        <f>Data!R1688</f>
        <v/>
      </c>
      <c r="L1610">
        <f>Data!T1688</f>
        <v/>
      </c>
      <c r="M1610">
        <f>AND(E1610=0,F1610=0,G1610=0,H1610=0,I1610=0,J1610=0,K1610=0,L1610=0)</f>
        <v/>
      </c>
      <c r="N1610">
        <f>G1610&lt;=$T$6</f>
        <v/>
      </c>
      <c r="O1610">
        <f>G1610&lt;=$T$12</f>
        <v/>
      </c>
      <c r="P1610">
        <f>OR(AND(H1610&gt;=$T$4,K1610&lt;=$T$5,N1610),M1610)</f>
        <v/>
      </c>
      <c r="Q1610">
        <f>OR(AND(I1610&gt;=$T$10,K1610&lt;=$T$11,O1610),M1610)</f>
        <v/>
      </c>
    </row>
    <row r="1611">
      <c r="A1611">
        <f>Data!E1689</f>
        <v/>
      </c>
      <c r="B1611">
        <f>Data!G1689</f>
        <v/>
      </c>
      <c r="C1611">
        <f>Data!H1689</f>
        <v/>
      </c>
      <c r="D1611">
        <f>Data!I1689</f>
        <v/>
      </c>
      <c r="E1611">
        <f>Data!M1689</f>
        <v/>
      </c>
      <c r="F1611">
        <f>Data!O1689</f>
        <v/>
      </c>
      <c r="G1611">
        <f>E1611-F1611</f>
        <v/>
      </c>
      <c r="H1611">
        <f>Data!P1689</f>
        <v/>
      </c>
      <c r="I1611">
        <f>G1611+H1611</f>
        <v/>
      </c>
      <c r="J1611">
        <f>F1611+G1611+H1611</f>
        <v/>
      </c>
      <c r="K1611">
        <f>Data!R1689</f>
        <v/>
      </c>
      <c r="L1611">
        <f>Data!T1689</f>
        <v/>
      </c>
      <c r="M1611">
        <f>AND(E1611=0,F1611=0,G1611=0,H1611=0,I1611=0,J1611=0,K1611=0,L1611=0)</f>
        <v/>
      </c>
      <c r="N1611">
        <f>G1611&lt;=$T$6</f>
        <v/>
      </c>
      <c r="O1611">
        <f>G1611&lt;=$T$12</f>
        <v/>
      </c>
      <c r="P1611">
        <f>OR(AND(H1611&gt;=$T$4,K1611&lt;=$T$5,N1611),M1611)</f>
        <v/>
      </c>
      <c r="Q1611">
        <f>OR(AND(I1611&gt;=$T$10,K1611&lt;=$T$11,O1611),M1611)</f>
        <v/>
      </c>
    </row>
    <row r="1612">
      <c r="A1612">
        <f>Data!E1690</f>
        <v/>
      </c>
      <c r="B1612">
        <f>Data!G1690</f>
        <v/>
      </c>
      <c r="C1612">
        <f>Data!H1690</f>
        <v/>
      </c>
      <c r="D1612">
        <f>Data!I1690</f>
        <v/>
      </c>
      <c r="E1612">
        <f>Data!M1690</f>
        <v/>
      </c>
      <c r="F1612">
        <f>Data!O1690</f>
        <v/>
      </c>
      <c r="G1612">
        <f>E1612-F1612</f>
        <v/>
      </c>
      <c r="H1612">
        <f>Data!P1690</f>
        <v/>
      </c>
      <c r="I1612">
        <f>G1612+H1612</f>
        <v/>
      </c>
      <c r="J1612">
        <f>F1612+G1612+H1612</f>
        <v/>
      </c>
      <c r="K1612">
        <f>Data!R1690</f>
        <v/>
      </c>
      <c r="L1612">
        <f>Data!T1690</f>
        <v/>
      </c>
      <c r="M1612">
        <f>AND(E1612=0,F1612=0,G1612=0,H1612=0,I1612=0,J1612=0,K1612=0,L1612=0)</f>
        <v/>
      </c>
      <c r="N1612">
        <f>G1612&lt;=$T$6</f>
        <v/>
      </c>
      <c r="O1612">
        <f>G1612&lt;=$T$12</f>
        <v/>
      </c>
      <c r="P1612">
        <f>OR(AND(H1612&gt;=$T$4,K1612&lt;=$T$5,N1612),M1612)</f>
        <v/>
      </c>
      <c r="Q1612">
        <f>OR(AND(I1612&gt;=$T$10,K1612&lt;=$T$11,O1612),M1612)</f>
        <v/>
      </c>
    </row>
    <row r="1613">
      <c r="A1613">
        <f>Data!E1691</f>
        <v/>
      </c>
      <c r="B1613">
        <f>Data!G1691</f>
        <v/>
      </c>
      <c r="C1613">
        <f>Data!H1691</f>
        <v/>
      </c>
      <c r="D1613">
        <f>Data!I1691</f>
        <v/>
      </c>
      <c r="E1613">
        <f>Data!M1691</f>
        <v/>
      </c>
      <c r="F1613">
        <f>Data!O1691</f>
        <v/>
      </c>
      <c r="G1613">
        <f>E1613-F1613</f>
        <v/>
      </c>
      <c r="H1613">
        <f>Data!P1691</f>
        <v/>
      </c>
      <c r="I1613">
        <f>G1613+H1613</f>
        <v/>
      </c>
      <c r="J1613">
        <f>F1613+G1613+H1613</f>
        <v/>
      </c>
      <c r="K1613">
        <f>Data!R1691</f>
        <v/>
      </c>
      <c r="L1613">
        <f>Data!T1691</f>
        <v/>
      </c>
      <c r="M1613">
        <f>AND(E1613=0,F1613=0,G1613=0,H1613=0,I1613=0,J1613=0,K1613=0,L1613=0)</f>
        <v/>
      </c>
      <c r="N1613">
        <f>G1613&lt;=$T$6</f>
        <v/>
      </c>
      <c r="O1613">
        <f>G1613&lt;=$T$12</f>
        <v/>
      </c>
      <c r="P1613">
        <f>OR(AND(H1613&gt;=$T$4,K1613&lt;=$T$5,N1613),M1613)</f>
        <v/>
      </c>
      <c r="Q1613">
        <f>OR(AND(I1613&gt;=$T$10,K1613&lt;=$T$11,O1613),M1613)</f>
        <v/>
      </c>
    </row>
    <row r="1614">
      <c r="A1614">
        <f>Data!E1692</f>
        <v/>
      </c>
      <c r="B1614">
        <f>Data!G1692</f>
        <v/>
      </c>
      <c r="C1614">
        <f>Data!H1692</f>
        <v/>
      </c>
      <c r="D1614">
        <f>Data!I1692</f>
        <v/>
      </c>
      <c r="E1614">
        <f>Data!M1692</f>
        <v/>
      </c>
      <c r="F1614">
        <f>Data!O1692</f>
        <v/>
      </c>
      <c r="G1614">
        <f>E1614-F1614</f>
        <v/>
      </c>
      <c r="H1614">
        <f>Data!P1692</f>
        <v/>
      </c>
      <c r="I1614">
        <f>G1614+H1614</f>
        <v/>
      </c>
      <c r="J1614">
        <f>F1614+G1614+H1614</f>
        <v/>
      </c>
      <c r="K1614">
        <f>Data!R1692</f>
        <v/>
      </c>
      <c r="L1614">
        <f>Data!T1692</f>
        <v/>
      </c>
      <c r="M1614">
        <f>AND(E1614=0,F1614=0,G1614=0,H1614=0,I1614=0,J1614=0,K1614=0,L1614=0)</f>
        <v/>
      </c>
      <c r="N1614">
        <f>G1614&lt;=$T$6</f>
        <v/>
      </c>
      <c r="O1614">
        <f>G1614&lt;=$T$12</f>
        <v/>
      </c>
      <c r="P1614">
        <f>OR(AND(H1614&gt;=$T$4,K1614&lt;=$T$5,N1614),M1614)</f>
        <v/>
      </c>
      <c r="Q1614">
        <f>OR(AND(I1614&gt;=$T$10,K1614&lt;=$T$11,O1614),M1614)</f>
        <v/>
      </c>
    </row>
    <row r="1615">
      <c r="A1615">
        <f>Data!E1693</f>
        <v/>
      </c>
      <c r="B1615">
        <f>Data!G1693</f>
        <v/>
      </c>
      <c r="C1615">
        <f>Data!H1693</f>
        <v/>
      </c>
      <c r="D1615">
        <f>Data!I1693</f>
        <v/>
      </c>
      <c r="E1615">
        <f>Data!M1693</f>
        <v/>
      </c>
      <c r="F1615">
        <f>Data!O1693</f>
        <v/>
      </c>
      <c r="G1615">
        <f>E1615-F1615</f>
        <v/>
      </c>
      <c r="H1615">
        <f>Data!P1693</f>
        <v/>
      </c>
      <c r="I1615">
        <f>G1615+H1615</f>
        <v/>
      </c>
      <c r="J1615">
        <f>F1615+G1615+H1615</f>
        <v/>
      </c>
      <c r="K1615">
        <f>Data!R1693</f>
        <v/>
      </c>
      <c r="L1615">
        <f>Data!T1693</f>
        <v/>
      </c>
      <c r="M1615">
        <f>AND(E1615=0,F1615=0,G1615=0,H1615=0,I1615=0,J1615=0,K1615=0,L1615=0)</f>
        <v/>
      </c>
      <c r="N1615">
        <f>G1615&lt;=$T$6</f>
        <v/>
      </c>
      <c r="O1615">
        <f>G1615&lt;=$T$12</f>
        <v/>
      </c>
      <c r="P1615">
        <f>OR(AND(H1615&gt;=$T$4,K1615&lt;=$T$5,N1615),M1615)</f>
        <v/>
      </c>
      <c r="Q1615">
        <f>OR(AND(I1615&gt;=$T$10,K1615&lt;=$T$11,O1615),M1615)</f>
        <v/>
      </c>
    </row>
    <row r="1616">
      <c r="A1616">
        <f>Data!E1694</f>
        <v/>
      </c>
      <c r="B1616">
        <f>Data!G1694</f>
        <v/>
      </c>
      <c r="C1616">
        <f>Data!H1694</f>
        <v/>
      </c>
      <c r="D1616">
        <f>Data!I1694</f>
        <v/>
      </c>
      <c r="E1616">
        <f>Data!M1694</f>
        <v/>
      </c>
      <c r="F1616">
        <f>Data!O1694</f>
        <v/>
      </c>
      <c r="G1616">
        <f>E1616-F1616</f>
        <v/>
      </c>
      <c r="H1616">
        <f>Data!P1694</f>
        <v/>
      </c>
      <c r="I1616">
        <f>G1616+H1616</f>
        <v/>
      </c>
      <c r="J1616">
        <f>F1616+G1616+H1616</f>
        <v/>
      </c>
      <c r="K1616">
        <f>Data!R1694</f>
        <v/>
      </c>
      <c r="L1616">
        <f>Data!T1694</f>
        <v/>
      </c>
      <c r="M1616">
        <f>AND(E1616=0,F1616=0,G1616=0,H1616=0,I1616=0,J1616=0,K1616=0,L1616=0)</f>
        <v/>
      </c>
      <c r="N1616">
        <f>G1616&lt;=$T$6</f>
        <v/>
      </c>
      <c r="O1616">
        <f>G1616&lt;=$T$12</f>
        <v/>
      </c>
      <c r="P1616">
        <f>OR(AND(H1616&gt;=$T$4,K1616&lt;=$T$5,N1616),M1616)</f>
        <v/>
      </c>
      <c r="Q1616">
        <f>OR(AND(I1616&gt;=$T$10,K1616&lt;=$T$11,O1616),M1616)</f>
        <v/>
      </c>
    </row>
    <row r="1617">
      <c r="A1617">
        <f>Data!E1695</f>
        <v/>
      </c>
      <c r="B1617">
        <f>Data!G1695</f>
        <v/>
      </c>
      <c r="C1617">
        <f>Data!H1695</f>
        <v/>
      </c>
      <c r="D1617">
        <f>Data!I1695</f>
        <v/>
      </c>
      <c r="E1617">
        <f>Data!M1695</f>
        <v/>
      </c>
      <c r="F1617">
        <f>Data!O1695</f>
        <v/>
      </c>
      <c r="G1617">
        <f>E1617-F1617</f>
        <v/>
      </c>
      <c r="H1617">
        <f>Data!P1695</f>
        <v/>
      </c>
      <c r="I1617">
        <f>G1617+H1617</f>
        <v/>
      </c>
      <c r="J1617">
        <f>F1617+G1617+H1617</f>
        <v/>
      </c>
      <c r="K1617">
        <f>Data!R1695</f>
        <v/>
      </c>
      <c r="L1617">
        <f>Data!T1695</f>
        <v/>
      </c>
      <c r="M1617">
        <f>AND(E1617=0,F1617=0,G1617=0,H1617=0,I1617=0,J1617=0,K1617=0,L1617=0)</f>
        <v/>
      </c>
      <c r="N1617">
        <f>G1617&lt;=$T$6</f>
        <v/>
      </c>
      <c r="O1617">
        <f>G1617&lt;=$T$12</f>
        <v/>
      </c>
      <c r="P1617">
        <f>OR(AND(H1617&gt;=$T$4,K1617&lt;=$T$5,N1617),M1617)</f>
        <v/>
      </c>
      <c r="Q1617">
        <f>OR(AND(I1617&gt;=$T$10,K1617&lt;=$T$11,O1617),M1617)</f>
        <v/>
      </c>
    </row>
    <row r="1618">
      <c r="A1618">
        <f>Data!E1697</f>
        <v/>
      </c>
      <c r="B1618">
        <f>Data!G1697</f>
        <v/>
      </c>
      <c r="C1618">
        <f>Data!H1697</f>
        <v/>
      </c>
      <c r="D1618">
        <f>Data!I1697</f>
        <v/>
      </c>
      <c r="E1618">
        <f>Data!M1697</f>
        <v/>
      </c>
      <c r="F1618">
        <f>Data!O1697</f>
        <v/>
      </c>
      <c r="G1618">
        <f>E1618-F1618</f>
        <v/>
      </c>
      <c r="H1618">
        <f>Data!P1697</f>
        <v/>
      </c>
      <c r="I1618">
        <f>G1618+H1618</f>
        <v/>
      </c>
      <c r="J1618">
        <f>F1618+G1618+H1618</f>
        <v/>
      </c>
      <c r="K1618">
        <f>Data!R1697</f>
        <v/>
      </c>
      <c r="L1618">
        <f>Data!T1697</f>
        <v/>
      </c>
      <c r="M1618">
        <f>AND(E1618=0,F1618=0,G1618=0,H1618=0,I1618=0,J1618=0,K1618=0,L1618=0)</f>
        <v/>
      </c>
      <c r="N1618">
        <f>G1618&lt;=$T$6</f>
        <v/>
      </c>
      <c r="O1618">
        <f>G1618&lt;=$T$12</f>
        <v/>
      </c>
      <c r="P1618">
        <f>OR(AND(H1618&gt;=$T$4,K1618&lt;=$T$5,N1618),M1618)</f>
        <v/>
      </c>
      <c r="Q1618">
        <f>OR(AND(I1618&gt;=$T$10,K1618&lt;=$T$11,O1618),M1618)</f>
        <v/>
      </c>
    </row>
    <row r="1619">
      <c r="A1619">
        <f>Data!E1698</f>
        <v/>
      </c>
      <c r="B1619">
        <f>Data!G1698</f>
        <v/>
      </c>
      <c r="C1619">
        <f>Data!H1698</f>
        <v/>
      </c>
      <c r="D1619">
        <f>Data!I1698</f>
        <v/>
      </c>
      <c r="E1619">
        <f>Data!M1698</f>
        <v/>
      </c>
      <c r="F1619">
        <f>Data!O1698</f>
        <v/>
      </c>
      <c r="G1619">
        <f>E1619-F1619</f>
        <v/>
      </c>
      <c r="H1619">
        <f>Data!P1698</f>
        <v/>
      </c>
      <c r="I1619">
        <f>G1619+H1619</f>
        <v/>
      </c>
      <c r="J1619">
        <f>F1619+G1619+H1619</f>
        <v/>
      </c>
      <c r="K1619">
        <f>Data!R1698</f>
        <v/>
      </c>
      <c r="L1619">
        <f>Data!T1698</f>
        <v/>
      </c>
      <c r="M1619">
        <f>AND(E1619=0,F1619=0,G1619=0,H1619=0,I1619=0,J1619=0,K1619=0,L1619=0)</f>
        <v/>
      </c>
      <c r="N1619">
        <f>G1619&lt;=$T$6</f>
        <v/>
      </c>
      <c r="O1619">
        <f>G1619&lt;=$T$12</f>
        <v/>
      </c>
      <c r="P1619">
        <f>OR(AND(H1619&gt;=$T$4,K1619&lt;=$T$5,N1619),M1619)</f>
        <v/>
      </c>
      <c r="Q1619">
        <f>OR(AND(I1619&gt;=$T$10,K1619&lt;=$T$11,O1619),M1619)</f>
        <v/>
      </c>
    </row>
    <row r="1620">
      <c r="A1620">
        <f>Data!E1699</f>
        <v/>
      </c>
      <c r="B1620">
        <f>Data!G1699</f>
        <v/>
      </c>
      <c r="C1620">
        <f>Data!H1699</f>
        <v/>
      </c>
      <c r="D1620">
        <f>Data!I1699</f>
        <v/>
      </c>
      <c r="E1620">
        <f>Data!M1699</f>
        <v/>
      </c>
      <c r="F1620">
        <f>Data!O1699</f>
        <v/>
      </c>
      <c r="G1620">
        <f>E1620-F1620</f>
        <v/>
      </c>
      <c r="H1620">
        <f>Data!P1699</f>
        <v/>
      </c>
      <c r="I1620">
        <f>G1620+H1620</f>
        <v/>
      </c>
      <c r="J1620">
        <f>F1620+G1620+H1620</f>
        <v/>
      </c>
      <c r="K1620">
        <f>Data!R1699</f>
        <v/>
      </c>
      <c r="L1620">
        <f>Data!T1699</f>
        <v/>
      </c>
      <c r="M1620">
        <f>AND(E1620=0,F1620=0,G1620=0,H1620=0,I1620=0,J1620=0,K1620=0,L1620=0)</f>
        <v/>
      </c>
      <c r="N1620">
        <f>G1620&lt;=$T$6</f>
        <v/>
      </c>
      <c r="O1620">
        <f>G1620&lt;=$T$12</f>
        <v/>
      </c>
      <c r="P1620">
        <f>OR(AND(H1620&gt;=$T$4,K1620&lt;=$T$5,N1620),M1620)</f>
        <v/>
      </c>
      <c r="Q1620">
        <f>OR(AND(I1620&gt;=$T$10,K1620&lt;=$T$11,O1620),M1620)</f>
        <v/>
      </c>
    </row>
    <row r="1621">
      <c r="A1621">
        <f>Data!E1700</f>
        <v/>
      </c>
      <c r="B1621">
        <f>Data!G1700</f>
        <v/>
      </c>
      <c r="C1621">
        <f>Data!H1700</f>
        <v/>
      </c>
      <c r="D1621">
        <f>Data!I1700</f>
        <v/>
      </c>
      <c r="E1621">
        <f>Data!M1700</f>
        <v/>
      </c>
      <c r="F1621">
        <f>Data!O1700</f>
        <v/>
      </c>
      <c r="G1621">
        <f>E1621-F1621</f>
        <v/>
      </c>
      <c r="H1621">
        <f>Data!P1700</f>
        <v/>
      </c>
      <c r="I1621">
        <f>G1621+H1621</f>
        <v/>
      </c>
      <c r="J1621">
        <f>F1621+G1621+H1621</f>
        <v/>
      </c>
      <c r="K1621">
        <f>Data!R1700</f>
        <v/>
      </c>
      <c r="L1621">
        <f>Data!T1700</f>
        <v/>
      </c>
      <c r="M1621">
        <f>AND(E1621=0,F1621=0,G1621=0,H1621=0,I1621=0,J1621=0,K1621=0,L1621=0)</f>
        <v/>
      </c>
      <c r="N1621">
        <f>G1621&lt;=$T$6</f>
        <v/>
      </c>
      <c r="O1621">
        <f>G1621&lt;=$T$12</f>
        <v/>
      </c>
      <c r="P1621">
        <f>OR(AND(H1621&gt;=$T$4,K1621&lt;=$T$5,N1621),M1621)</f>
        <v/>
      </c>
      <c r="Q1621">
        <f>OR(AND(I1621&gt;=$T$10,K1621&lt;=$T$11,O1621),M1621)</f>
        <v/>
      </c>
    </row>
    <row r="1622">
      <c r="A1622">
        <f>Data!E1701</f>
        <v/>
      </c>
      <c r="B1622">
        <f>Data!G1701</f>
        <v/>
      </c>
      <c r="C1622">
        <f>Data!H1701</f>
        <v/>
      </c>
      <c r="D1622">
        <f>Data!I1701</f>
        <v/>
      </c>
      <c r="E1622">
        <f>Data!M1701</f>
        <v/>
      </c>
      <c r="F1622">
        <f>Data!O1701</f>
        <v/>
      </c>
      <c r="G1622">
        <f>E1622-F1622</f>
        <v/>
      </c>
      <c r="H1622">
        <f>Data!P1701</f>
        <v/>
      </c>
      <c r="I1622">
        <f>G1622+H1622</f>
        <v/>
      </c>
      <c r="J1622">
        <f>F1622+G1622+H1622</f>
        <v/>
      </c>
      <c r="K1622">
        <f>Data!R1701</f>
        <v/>
      </c>
      <c r="L1622">
        <f>Data!T1701</f>
        <v/>
      </c>
      <c r="M1622">
        <f>AND(E1622=0,F1622=0,G1622=0,H1622=0,I1622=0,J1622=0,K1622=0,L1622=0)</f>
        <v/>
      </c>
      <c r="N1622">
        <f>G1622&lt;=$T$6</f>
        <v/>
      </c>
      <c r="O1622">
        <f>G1622&lt;=$T$12</f>
        <v/>
      </c>
      <c r="P1622">
        <f>OR(AND(H1622&gt;=$T$4,K1622&lt;=$T$5,N1622),M1622)</f>
        <v/>
      </c>
      <c r="Q1622">
        <f>OR(AND(I1622&gt;=$T$10,K1622&lt;=$T$11,O1622),M1622)</f>
        <v/>
      </c>
    </row>
    <row r="1623">
      <c r="A1623">
        <f>Data!E1702</f>
        <v/>
      </c>
      <c r="B1623">
        <f>Data!G1702</f>
        <v/>
      </c>
      <c r="C1623">
        <f>Data!H1702</f>
        <v/>
      </c>
      <c r="D1623">
        <f>Data!I1702</f>
        <v/>
      </c>
      <c r="E1623">
        <f>Data!M1702</f>
        <v/>
      </c>
      <c r="F1623">
        <f>Data!O1702</f>
        <v/>
      </c>
      <c r="G1623">
        <f>E1623-F1623</f>
        <v/>
      </c>
      <c r="H1623">
        <f>Data!P1702</f>
        <v/>
      </c>
      <c r="I1623">
        <f>G1623+H1623</f>
        <v/>
      </c>
      <c r="J1623">
        <f>F1623+G1623+H1623</f>
        <v/>
      </c>
      <c r="K1623">
        <f>Data!R1702</f>
        <v/>
      </c>
      <c r="L1623">
        <f>Data!T1702</f>
        <v/>
      </c>
      <c r="M1623">
        <f>AND(E1623=0,F1623=0,G1623=0,H1623=0,I1623=0,J1623=0,K1623=0,L1623=0)</f>
        <v/>
      </c>
      <c r="N1623">
        <f>G1623&lt;=$T$6</f>
        <v/>
      </c>
      <c r="O1623">
        <f>G1623&lt;=$T$12</f>
        <v/>
      </c>
      <c r="P1623">
        <f>OR(AND(H1623&gt;=$T$4,K1623&lt;=$T$5,N1623),M1623)</f>
        <v/>
      </c>
      <c r="Q1623">
        <f>OR(AND(I1623&gt;=$T$10,K1623&lt;=$T$11,O1623),M1623)</f>
        <v/>
      </c>
    </row>
    <row r="1624">
      <c r="A1624">
        <f>Data!E1703</f>
        <v/>
      </c>
      <c r="B1624">
        <f>Data!G1703</f>
        <v/>
      </c>
      <c r="C1624">
        <f>Data!H1703</f>
        <v/>
      </c>
      <c r="D1624">
        <f>Data!I1703</f>
        <v/>
      </c>
      <c r="E1624">
        <f>Data!M1703</f>
        <v/>
      </c>
      <c r="F1624">
        <f>Data!O1703</f>
        <v/>
      </c>
      <c r="G1624">
        <f>E1624-F1624</f>
        <v/>
      </c>
      <c r="H1624">
        <f>Data!P1703</f>
        <v/>
      </c>
      <c r="I1624">
        <f>G1624+H1624</f>
        <v/>
      </c>
      <c r="J1624">
        <f>F1624+G1624+H1624</f>
        <v/>
      </c>
      <c r="K1624">
        <f>Data!R1703</f>
        <v/>
      </c>
      <c r="L1624">
        <f>Data!T1703</f>
        <v/>
      </c>
      <c r="M1624">
        <f>AND(E1624=0,F1624=0,G1624=0,H1624=0,I1624=0,J1624=0,K1624=0,L1624=0)</f>
        <v/>
      </c>
      <c r="N1624">
        <f>G1624&lt;=$T$6</f>
        <v/>
      </c>
      <c r="O1624">
        <f>G1624&lt;=$T$12</f>
        <v/>
      </c>
      <c r="P1624">
        <f>OR(AND(H1624&gt;=$T$4,K1624&lt;=$T$5,N1624),M1624)</f>
        <v/>
      </c>
      <c r="Q1624">
        <f>OR(AND(I1624&gt;=$T$10,K1624&lt;=$T$11,O1624),M1624)</f>
        <v/>
      </c>
    </row>
    <row r="1625">
      <c r="A1625">
        <f>Data!E1704</f>
        <v/>
      </c>
      <c r="B1625">
        <f>Data!G1704</f>
        <v/>
      </c>
      <c r="C1625">
        <f>Data!H1704</f>
        <v/>
      </c>
      <c r="D1625">
        <f>Data!I1704</f>
        <v/>
      </c>
      <c r="E1625">
        <f>Data!M1704</f>
        <v/>
      </c>
      <c r="F1625">
        <f>Data!O1704</f>
        <v/>
      </c>
      <c r="G1625">
        <f>E1625-F1625</f>
        <v/>
      </c>
      <c r="H1625">
        <f>Data!P1704</f>
        <v/>
      </c>
      <c r="I1625">
        <f>G1625+H1625</f>
        <v/>
      </c>
      <c r="J1625">
        <f>F1625+G1625+H1625</f>
        <v/>
      </c>
      <c r="K1625">
        <f>Data!R1704</f>
        <v/>
      </c>
      <c r="L1625">
        <f>Data!T1704</f>
        <v/>
      </c>
      <c r="M1625">
        <f>AND(E1625=0,F1625=0,G1625=0,H1625=0,I1625=0,J1625=0,K1625=0,L1625=0)</f>
        <v/>
      </c>
      <c r="N1625">
        <f>G1625&lt;=$T$6</f>
        <v/>
      </c>
      <c r="O1625">
        <f>G1625&lt;=$T$12</f>
        <v/>
      </c>
      <c r="P1625">
        <f>OR(AND(H1625&gt;=$T$4,K1625&lt;=$T$5,N1625),M1625)</f>
        <v/>
      </c>
      <c r="Q1625">
        <f>OR(AND(I1625&gt;=$T$10,K1625&lt;=$T$11,O1625),M1625)</f>
        <v/>
      </c>
    </row>
    <row r="1626">
      <c r="A1626">
        <f>Data!E1705</f>
        <v/>
      </c>
      <c r="B1626">
        <f>Data!G1705</f>
        <v/>
      </c>
      <c r="C1626">
        <f>Data!H1705</f>
        <v/>
      </c>
      <c r="D1626">
        <f>Data!I1705</f>
        <v/>
      </c>
      <c r="E1626">
        <f>Data!M1705</f>
        <v/>
      </c>
      <c r="F1626">
        <f>Data!O1705</f>
        <v/>
      </c>
      <c r="G1626">
        <f>E1626-F1626</f>
        <v/>
      </c>
      <c r="H1626">
        <f>Data!P1705</f>
        <v/>
      </c>
      <c r="I1626">
        <f>G1626+H1626</f>
        <v/>
      </c>
      <c r="J1626">
        <f>F1626+G1626+H1626</f>
        <v/>
      </c>
      <c r="K1626">
        <f>Data!R1705</f>
        <v/>
      </c>
      <c r="L1626">
        <f>Data!T1705</f>
        <v/>
      </c>
      <c r="M1626">
        <f>AND(E1626=0,F1626=0,G1626=0,H1626=0,I1626=0,J1626=0,K1626=0,L1626=0)</f>
        <v/>
      </c>
      <c r="N1626">
        <f>G1626&lt;=$T$6</f>
        <v/>
      </c>
      <c r="O1626">
        <f>G1626&lt;=$T$12</f>
        <v/>
      </c>
      <c r="P1626">
        <f>OR(AND(H1626&gt;=$T$4,K1626&lt;=$T$5,N1626),M1626)</f>
        <v/>
      </c>
      <c r="Q1626">
        <f>OR(AND(I1626&gt;=$T$10,K1626&lt;=$T$11,O1626),M1626)</f>
        <v/>
      </c>
    </row>
    <row r="1627">
      <c r="A1627">
        <f>Data!E1706</f>
        <v/>
      </c>
      <c r="B1627">
        <f>Data!G1706</f>
        <v/>
      </c>
      <c r="C1627">
        <f>Data!H1706</f>
        <v/>
      </c>
      <c r="D1627">
        <f>Data!I1706</f>
        <v/>
      </c>
      <c r="E1627">
        <f>Data!M1706</f>
        <v/>
      </c>
      <c r="F1627">
        <f>Data!O1706</f>
        <v/>
      </c>
      <c r="G1627">
        <f>E1627-F1627</f>
        <v/>
      </c>
      <c r="H1627">
        <f>Data!P1706</f>
        <v/>
      </c>
      <c r="I1627">
        <f>G1627+H1627</f>
        <v/>
      </c>
      <c r="J1627">
        <f>F1627+G1627+H1627</f>
        <v/>
      </c>
      <c r="K1627">
        <f>Data!R1706</f>
        <v/>
      </c>
      <c r="L1627">
        <f>Data!T1706</f>
        <v/>
      </c>
      <c r="M1627">
        <f>AND(E1627=0,F1627=0,G1627=0,H1627=0,I1627=0,J1627=0,K1627=0,L1627=0)</f>
        <v/>
      </c>
      <c r="N1627">
        <f>G1627&lt;=$T$6</f>
        <v/>
      </c>
      <c r="O1627">
        <f>G1627&lt;=$T$12</f>
        <v/>
      </c>
      <c r="P1627">
        <f>OR(AND(H1627&gt;=$T$4,K1627&lt;=$T$5,N1627),M1627)</f>
        <v/>
      </c>
      <c r="Q1627">
        <f>OR(AND(I1627&gt;=$T$10,K1627&lt;=$T$11,O1627),M1627)</f>
        <v/>
      </c>
    </row>
    <row r="1628">
      <c r="A1628">
        <f>Data!E1707</f>
        <v/>
      </c>
      <c r="B1628">
        <f>Data!G1707</f>
        <v/>
      </c>
      <c r="C1628">
        <f>Data!H1707</f>
        <v/>
      </c>
      <c r="D1628">
        <f>Data!I1707</f>
        <v/>
      </c>
      <c r="E1628">
        <f>Data!M1707</f>
        <v/>
      </c>
      <c r="F1628">
        <f>Data!O1707</f>
        <v/>
      </c>
      <c r="G1628">
        <f>E1628-F1628</f>
        <v/>
      </c>
      <c r="H1628">
        <f>Data!P1707</f>
        <v/>
      </c>
      <c r="I1628">
        <f>G1628+H1628</f>
        <v/>
      </c>
      <c r="J1628">
        <f>F1628+G1628+H1628</f>
        <v/>
      </c>
      <c r="K1628">
        <f>Data!R1707</f>
        <v/>
      </c>
      <c r="L1628">
        <f>Data!T1707</f>
        <v/>
      </c>
      <c r="M1628">
        <f>AND(E1628=0,F1628=0,G1628=0,H1628=0,I1628=0,J1628=0,K1628=0,L1628=0)</f>
        <v/>
      </c>
      <c r="N1628">
        <f>G1628&lt;=$T$6</f>
        <v/>
      </c>
      <c r="O1628">
        <f>G1628&lt;=$T$12</f>
        <v/>
      </c>
      <c r="P1628">
        <f>OR(AND(H1628&gt;=$T$4,K1628&lt;=$T$5,N1628),M1628)</f>
        <v/>
      </c>
      <c r="Q1628">
        <f>OR(AND(I1628&gt;=$T$10,K1628&lt;=$T$11,O1628),M1628)</f>
        <v/>
      </c>
    </row>
    <row r="1629">
      <c r="A1629">
        <f>Data!E1708</f>
        <v/>
      </c>
      <c r="B1629">
        <f>Data!G1708</f>
        <v/>
      </c>
      <c r="C1629">
        <f>Data!H1708</f>
        <v/>
      </c>
      <c r="D1629">
        <f>Data!I1708</f>
        <v/>
      </c>
      <c r="E1629">
        <f>Data!M1708</f>
        <v/>
      </c>
      <c r="F1629">
        <f>Data!O1708</f>
        <v/>
      </c>
      <c r="G1629">
        <f>E1629-F1629</f>
        <v/>
      </c>
      <c r="H1629">
        <f>Data!P1708</f>
        <v/>
      </c>
      <c r="I1629">
        <f>G1629+H1629</f>
        <v/>
      </c>
      <c r="J1629">
        <f>F1629+G1629+H1629</f>
        <v/>
      </c>
      <c r="K1629">
        <f>Data!R1708</f>
        <v/>
      </c>
      <c r="L1629">
        <f>Data!T1708</f>
        <v/>
      </c>
      <c r="M1629">
        <f>AND(E1629=0,F1629=0,G1629=0,H1629=0,I1629=0,J1629=0,K1629=0,L1629=0)</f>
        <v/>
      </c>
      <c r="N1629">
        <f>G1629&lt;=$T$6</f>
        <v/>
      </c>
      <c r="O1629">
        <f>G1629&lt;=$T$12</f>
        <v/>
      </c>
      <c r="P1629">
        <f>OR(AND(H1629&gt;=$T$4,K1629&lt;=$T$5,N1629),M1629)</f>
        <v/>
      </c>
      <c r="Q1629">
        <f>OR(AND(I1629&gt;=$T$10,K1629&lt;=$T$11,O1629),M1629)</f>
        <v/>
      </c>
    </row>
    <row r="1630">
      <c r="A1630">
        <f>Data!E1709</f>
        <v/>
      </c>
      <c r="B1630">
        <f>Data!G1709</f>
        <v/>
      </c>
      <c r="C1630">
        <f>Data!H1709</f>
        <v/>
      </c>
      <c r="D1630">
        <f>Data!I1709</f>
        <v/>
      </c>
      <c r="E1630">
        <f>Data!M1709</f>
        <v/>
      </c>
      <c r="F1630">
        <f>Data!O1709</f>
        <v/>
      </c>
      <c r="G1630">
        <f>E1630-F1630</f>
        <v/>
      </c>
      <c r="H1630">
        <f>Data!P1709</f>
        <v/>
      </c>
      <c r="I1630">
        <f>G1630+H1630</f>
        <v/>
      </c>
      <c r="J1630">
        <f>F1630+G1630+H1630</f>
        <v/>
      </c>
      <c r="K1630">
        <f>Data!R1709</f>
        <v/>
      </c>
      <c r="L1630">
        <f>Data!T1709</f>
        <v/>
      </c>
      <c r="M1630">
        <f>AND(E1630=0,F1630=0,G1630=0,H1630=0,I1630=0,J1630=0,K1630=0,L1630=0)</f>
        <v/>
      </c>
      <c r="N1630">
        <f>G1630&lt;=$T$6</f>
        <v/>
      </c>
      <c r="O1630">
        <f>G1630&lt;=$T$12</f>
        <v/>
      </c>
      <c r="P1630">
        <f>OR(AND(H1630&gt;=$T$4,K1630&lt;=$T$5,N1630),M1630)</f>
        <v/>
      </c>
      <c r="Q1630">
        <f>OR(AND(I1630&gt;=$T$10,K1630&lt;=$T$11,O1630),M1630)</f>
        <v/>
      </c>
    </row>
    <row r="1631">
      <c r="A1631">
        <f>Data!E1710</f>
        <v/>
      </c>
      <c r="B1631">
        <f>Data!G1710</f>
        <v/>
      </c>
      <c r="C1631">
        <f>Data!H1710</f>
        <v/>
      </c>
      <c r="D1631">
        <f>Data!I1710</f>
        <v/>
      </c>
      <c r="E1631">
        <f>Data!M1710</f>
        <v/>
      </c>
      <c r="F1631">
        <f>Data!O1710</f>
        <v/>
      </c>
      <c r="G1631">
        <f>E1631-F1631</f>
        <v/>
      </c>
      <c r="H1631">
        <f>Data!P1710</f>
        <v/>
      </c>
      <c r="I1631">
        <f>G1631+H1631</f>
        <v/>
      </c>
      <c r="J1631">
        <f>F1631+G1631+H1631</f>
        <v/>
      </c>
      <c r="K1631">
        <f>Data!R1710</f>
        <v/>
      </c>
      <c r="L1631">
        <f>Data!T1710</f>
        <v/>
      </c>
      <c r="M1631">
        <f>AND(E1631=0,F1631=0,G1631=0,H1631=0,I1631=0,J1631=0,K1631=0,L1631=0)</f>
        <v/>
      </c>
      <c r="N1631">
        <f>G1631&lt;=$T$6</f>
        <v/>
      </c>
      <c r="O1631">
        <f>G1631&lt;=$T$12</f>
        <v/>
      </c>
      <c r="P1631">
        <f>OR(AND(H1631&gt;=$T$4,K1631&lt;=$T$5,N1631),M1631)</f>
        <v/>
      </c>
      <c r="Q1631">
        <f>OR(AND(I1631&gt;=$T$10,K1631&lt;=$T$11,O1631),M1631)</f>
        <v/>
      </c>
    </row>
    <row r="1632">
      <c r="A1632">
        <f>Data!E1712</f>
        <v/>
      </c>
      <c r="B1632">
        <f>Data!G1712</f>
        <v/>
      </c>
      <c r="C1632">
        <f>Data!H1712</f>
        <v/>
      </c>
      <c r="D1632">
        <f>Data!I1712</f>
        <v/>
      </c>
      <c r="E1632">
        <f>Data!M1712</f>
        <v/>
      </c>
      <c r="F1632">
        <f>Data!O1712</f>
        <v/>
      </c>
      <c r="G1632">
        <f>E1632-F1632</f>
        <v/>
      </c>
      <c r="H1632">
        <f>Data!P1712</f>
        <v/>
      </c>
      <c r="I1632">
        <f>G1632+H1632</f>
        <v/>
      </c>
      <c r="J1632">
        <f>F1632+G1632+H1632</f>
        <v/>
      </c>
      <c r="K1632">
        <f>Data!R1712</f>
        <v/>
      </c>
      <c r="L1632">
        <f>Data!T1712</f>
        <v/>
      </c>
      <c r="M1632">
        <f>AND(E1632=0,F1632=0,G1632=0,H1632=0,I1632=0,J1632=0,K1632=0,L1632=0)</f>
        <v/>
      </c>
      <c r="N1632">
        <f>G1632&lt;=$T$6</f>
        <v/>
      </c>
      <c r="O1632">
        <f>G1632&lt;=$T$12</f>
        <v/>
      </c>
      <c r="P1632">
        <f>OR(AND(H1632&gt;=$T$4,K1632&lt;=$T$5,N1632),M1632)</f>
        <v/>
      </c>
      <c r="Q1632">
        <f>OR(AND(I1632&gt;=$T$10,K1632&lt;=$T$11,O1632),M1632)</f>
        <v/>
      </c>
    </row>
    <row r="1633">
      <c r="A1633">
        <f>Data!E1713</f>
        <v/>
      </c>
      <c r="B1633">
        <f>Data!G1713</f>
        <v/>
      </c>
      <c r="C1633">
        <f>Data!H1713</f>
        <v/>
      </c>
      <c r="D1633">
        <f>Data!I1713</f>
        <v/>
      </c>
      <c r="E1633">
        <f>Data!M1713</f>
        <v/>
      </c>
      <c r="F1633">
        <f>Data!O1713</f>
        <v/>
      </c>
      <c r="G1633">
        <f>E1633-F1633</f>
        <v/>
      </c>
      <c r="H1633">
        <f>Data!P1713</f>
        <v/>
      </c>
      <c r="I1633">
        <f>G1633+H1633</f>
        <v/>
      </c>
      <c r="J1633">
        <f>F1633+G1633+H1633</f>
        <v/>
      </c>
      <c r="K1633">
        <f>Data!R1713</f>
        <v/>
      </c>
      <c r="L1633">
        <f>Data!T1713</f>
        <v/>
      </c>
      <c r="M1633">
        <f>AND(E1633=0,F1633=0,G1633=0,H1633=0,I1633=0,J1633=0,K1633=0,L1633=0)</f>
        <v/>
      </c>
      <c r="N1633">
        <f>G1633&lt;=$T$6</f>
        <v/>
      </c>
      <c r="O1633">
        <f>G1633&lt;=$T$12</f>
        <v/>
      </c>
      <c r="P1633">
        <f>OR(AND(H1633&gt;=$T$4,K1633&lt;=$T$5,N1633),M1633)</f>
        <v/>
      </c>
      <c r="Q1633">
        <f>OR(AND(I1633&gt;=$T$10,K1633&lt;=$T$11,O1633),M1633)</f>
        <v/>
      </c>
    </row>
    <row r="1634">
      <c r="A1634">
        <f>Data!E1714</f>
        <v/>
      </c>
      <c r="B1634">
        <f>Data!G1714</f>
        <v/>
      </c>
      <c r="C1634">
        <f>Data!H1714</f>
        <v/>
      </c>
      <c r="D1634">
        <f>Data!I1714</f>
        <v/>
      </c>
      <c r="E1634">
        <f>Data!M1714</f>
        <v/>
      </c>
      <c r="F1634">
        <f>Data!O1714</f>
        <v/>
      </c>
      <c r="G1634">
        <f>E1634-F1634</f>
        <v/>
      </c>
      <c r="H1634">
        <f>Data!P1714</f>
        <v/>
      </c>
      <c r="I1634">
        <f>G1634+H1634</f>
        <v/>
      </c>
      <c r="J1634">
        <f>F1634+G1634+H1634</f>
        <v/>
      </c>
      <c r="K1634">
        <f>Data!R1714</f>
        <v/>
      </c>
      <c r="L1634">
        <f>Data!T1714</f>
        <v/>
      </c>
      <c r="M1634">
        <f>AND(E1634=0,F1634=0,G1634=0,H1634=0,I1634=0,J1634=0,K1634=0,L1634=0)</f>
        <v/>
      </c>
      <c r="N1634">
        <f>G1634&lt;=$T$6</f>
        <v/>
      </c>
      <c r="O1634">
        <f>G1634&lt;=$T$12</f>
        <v/>
      </c>
      <c r="P1634">
        <f>OR(AND(H1634&gt;=$T$4,K1634&lt;=$T$5,N1634),M1634)</f>
        <v/>
      </c>
      <c r="Q1634">
        <f>OR(AND(I1634&gt;=$T$10,K1634&lt;=$T$11,O1634),M1634)</f>
        <v/>
      </c>
    </row>
    <row r="1635">
      <c r="A1635">
        <f>Data!E1715</f>
        <v/>
      </c>
      <c r="B1635">
        <f>Data!G1715</f>
        <v/>
      </c>
      <c r="C1635">
        <f>Data!H1715</f>
        <v/>
      </c>
      <c r="D1635">
        <f>Data!I1715</f>
        <v/>
      </c>
      <c r="E1635">
        <f>Data!M1715</f>
        <v/>
      </c>
      <c r="F1635">
        <f>Data!O1715</f>
        <v/>
      </c>
      <c r="G1635">
        <f>E1635-F1635</f>
        <v/>
      </c>
      <c r="H1635">
        <f>Data!P1715</f>
        <v/>
      </c>
      <c r="I1635">
        <f>G1635+H1635</f>
        <v/>
      </c>
      <c r="J1635">
        <f>F1635+G1635+H1635</f>
        <v/>
      </c>
      <c r="K1635">
        <f>Data!R1715</f>
        <v/>
      </c>
      <c r="L1635">
        <f>Data!T1715</f>
        <v/>
      </c>
      <c r="M1635">
        <f>AND(E1635=0,F1635=0,G1635=0,H1635=0,I1635=0,J1635=0,K1635=0,L1635=0)</f>
        <v/>
      </c>
      <c r="N1635">
        <f>G1635&lt;=$T$6</f>
        <v/>
      </c>
      <c r="O1635">
        <f>G1635&lt;=$T$12</f>
        <v/>
      </c>
      <c r="P1635">
        <f>OR(AND(H1635&gt;=$T$4,K1635&lt;=$T$5,N1635),M1635)</f>
        <v/>
      </c>
      <c r="Q1635">
        <f>OR(AND(I1635&gt;=$T$10,K1635&lt;=$T$11,O1635),M1635)</f>
        <v/>
      </c>
    </row>
    <row r="1636">
      <c r="A1636">
        <f>Data!E1716</f>
        <v/>
      </c>
      <c r="B1636">
        <f>Data!G1716</f>
        <v/>
      </c>
      <c r="C1636">
        <f>Data!H1716</f>
        <v/>
      </c>
      <c r="D1636">
        <f>Data!I1716</f>
        <v/>
      </c>
      <c r="E1636">
        <f>Data!M1716</f>
        <v/>
      </c>
      <c r="F1636">
        <f>Data!O1716</f>
        <v/>
      </c>
      <c r="G1636">
        <f>E1636-F1636</f>
        <v/>
      </c>
      <c r="H1636">
        <f>Data!P1716</f>
        <v/>
      </c>
      <c r="I1636">
        <f>G1636+H1636</f>
        <v/>
      </c>
      <c r="J1636">
        <f>F1636+G1636+H1636</f>
        <v/>
      </c>
      <c r="K1636">
        <f>Data!R1716</f>
        <v/>
      </c>
      <c r="L1636">
        <f>Data!T1716</f>
        <v/>
      </c>
      <c r="M1636">
        <f>AND(E1636=0,F1636=0,G1636=0,H1636=0,I1636=0,J1636=0,K1636=0,L1636=0)</f>
        <v/>
      </c>
      <c r="N1636">
        <f>G1636&lt;=$T$6</f>
        <v/>
      </c>
      <c r="O1636">
        <f>G1636&lt;=$T$12</f>
        <v/>
      </c>
      <c r="P1636">
        <f>OR(AND(H1636&gt;=$T$4,K1636&lt;=$T$5,N1636),M1636)</f>
        <v/>
      </c>
      <c r="Q1636">
        <f>OR(AND(I1636&gt;=$T$10,K1636&lt;=$T$11,O1636),M1636)</f>
        <v/>
      </c>
    </row>
    <row r="1637">
      <c r="A1637">
        <f>Data!E1717</f>
        <v/>
      </c>
      <c r="B1637">
        <f>Data!G1717</f>
        <v/>
      </c>
      <c r="C1637">
        <f>Data!H1717</f>
        <v/>
      </c>
      <c r="D1637">
        <f>Data!I1717</f>
        <v/>
      </c>
      <c r="E1637">
        <f>Data!M1717</f>
        <v/>
      </c>
      <c r="F1637">
        <f>Data!O1717</f>
        <v/>
      </c>
      <c r="G1637">
        <f>E1637-F1637</f>
        <v/>
      </c>
      <c r="H1637">
        <f>Data!P1717</f>
        <v/>
      </c>
      <c r="I1637">
        <f>G1637+H1637</f>
        <v/>
      </c>
      <c r="J1637">
        <f>F1637+G1637+H1637</f>
        <v/>
      </c>
      <c r="K1637">
        <f>Data!R1717</f>
        <v/>
      </c>
      <c r="L1637">
        <f>Data!T1717</f>
        <v/>
      </c>
      <c r="M1637">
        <f>AND(E1637=0,F1637=0,G1637=0,H1637=0,I1637=0,J1637=0,K1637=0,L1637=0)</f>
        <v/>
      </c>
      <c r="N1637">
        <f>G1637&lt;=$T$6</f>
        <v/>
      </c>
      <c r="O1637">
        <f>G1637&lt;=$T$12</f>
        <v/>
      </c>
      <c r="P1637">
        <f>OR(AND(H1637&gt;=$T$4,K1637&lt;=$T$5,N1637),M1637)</f>
        <v/>
      </c>
      <c r="Q1637">
        <f>OR(AND(I1637&gt;=$T$10,K1637&lt;=$T$11,O1637),M1637)</f>
        <v/>
      </c>
    </row>
    <row r="1638">
      <c r="A1638">
        <f>Data!E1718</f>
        <v/>
      </c>
      <c r="B1638">
        <f>Data!G1718</f>
        <v/>
      </c>
      <c r="C1638">
        <f>Data!H1718</f>
        <v/>
      </c>
      <c r="D1638">
        <f>Data!I1718</f>
        <v/>
      </c>
      <c r="E1638">
        <f>Data!M1718</f>
        <v/>
      </c>
      <c r="F1638">
        <f>Data!O1718</f>
        <v/>
      </c>
      <c r="G1638">
        <f>E1638-F1638</f>
        <v/>
      </c>
      <c r="H1638">
        <f>Data!P1718</f>
        <v/>
      </c>
      <c r="I1638">
        <f>G1638+H1638</f>
        <v/>
      </c>
      <c r="J1638">
        <f>F1638+G1638+H1638</f>
        <v/>
      </c>
      <c r="K1638">
        <f>Data!R1718</f>
        <v/>
      </c>
      <c r="L1638">
        <f>Data!T1718</f>
        <v/>
      </c>
      <c r="M1638">
        <f>AND(E1638=0,F1638=0,G1638=0,H1638=0,I1638=0,J1638=0,K1638=0,L1638=0)</f>
        <v/>
      </c>
      <c r="N1638">
        <f>G1638&lt;=$T$6</f>
        <v/>
      </c>
      <c r="O1638">
        <f>G1638&lt;=$T$12</f>
        <v/>
      </c>
      <c r="P1638">
        <f>OR(AND(H1638&gt;=$T$4,K1638&lt;=$T$5,N1638),M1638)</f>
        <v/>
      </c>
      <c r="Q1638">
        <f>OR(AND(I1638&gt;=$T$10,K1638&lt;=$T$11,O1638),M1638)</f>
        <v/>
      </c>
    </row>
    <row r="1639">
      <c r="A1639">
        <f>Data!E1719</f>
        <v/>
      </c>
      <c r="B1639">
        <f>Data!G1719</f>
        <v/>
      </c>
      <c r="C1639">
        <f>Data!H1719</f>
        <v/>
      </c>
      <c r="D1639">
        <f>Data!I1719</f>
        <v/>
      </c>
      <c r="E1639">
        <f>Data!M1719</f>
        <v/>
      </c>
      <c r="F1639">
        <f>Data!O1719</f>
        <v/>
      </c>
      <c r="G1639">
        <f>E1639-F1639</f>
        <v/>
      </c>
      <c r="H1639">
        <f>Data!P1719</f>
        <v/>
      </c>
      <c r="I1639">
        <f>G1639+H1639</f>
        <v/>
      </c>
      <c r="J1639">
        <f>F1639+G1639+H1639</f>
        <v/>
      </c>
      <c r="K1639">
        <f>Data!R1719</f>
        <v/>
      </c>
      <c r="L1639">
        <f>Data!T1719</f>
        <v/>
      </c>
      <c r="M1639">
        <f>AND(E1639=0,F1639=0,G1639=0,H1639=0,I1639=0,J1639=0,K1639=0,L1639=0)</f>
        <v/>
      </c>
      <c r="N1639">
        <f>G1639&lt;=$T$6</f>
        <v/>
      </c>
      <c r="O1639">
        <f>G1639&lt;=$T$12</f>
        <v/>
      </c>
      <c r="P1639">
        <f>OR(AND(H1639&gt;=$T$4,K1639&lt;=$T$5,N1639),M1639)</f>
        <v/>
      </c>
      <c r="Q1639">
        <f>OR(AND(I1639&gt;=$T$10,K1639&lt;=$T$11,O1639),M1639)</f>
        <v/>
      </c>
    </row>
    <row r="1640">
      <c r="A1640">
        <f>Data!E1720</f>
        <v/>
      </c>
      <c r="B1640">
        <f>Data!G1720</f>
        <v/>
      </c>
      <c r="C1640">
        <f>Data!H1720</f>
        <v/>
      </c>
      <c r="D1640">
        <f>Data!I1720</f>
        <v/>
      </c>
      <c r="E1640">
        <f>Data!M1720</f>
        <v/>
      </c>
      <c r="F1640">
        <f>Data!O1720</f>
        <v/>
      </c>
      <c r="G1640">
        <f>E1640-F1640</f>
        <v/>
      </c>
      <c r="H1640">
        <f>Data!P1720</f>
        <v/>
      </c>
      <c r="I1640">
        <f>G1640+H1640</f>
        <v/>
      </c>
      <c r="J1640">
        <f>F1640+G1640+H1640</f>
        <v/>
      </c>
      <c r="K1640">
        <f>Data!R1720</f>
        <v/>
      </c>
      <c r="L1640">
        <f>Data!T1720</f>
        <v/>
      </c>
      <c r="M1640">
        <f>AND(E1640=0,F1640=0,G1640=0,H1640=0,I1640=0,J1640=0,K1640=0,L1640=0)</f>
        <v/>
      </c>
      <c r="N1640">
        <f>G1640&lt;=$T$6</f>
        <v/>
      </c>
      <c r="O1640">
        <f>G1640&lt;=$T$12</f>
        <v/>
      </c>
      <c r="P1640">
        <f>OR(AND(H1640&gt;=$T$4,K1640&lt;=$T$5,N1640),M1640)</f>
        <v/>
      </c>
      <c r="Q1640">
        <f>OR(AND(I1640&gt;=$T$10,K1640&lt;=$T$11,O1640),M1640)</f>
        <v/>
      </c>
    </row>
    <row r="1641">
      <c r="A1641">
        <f>Data!E1721</f>
        <v/>
      </c>
      <c r="B1641">
        <f>Data!G1721</f>
        <v/>
      </c>
      <c r="C1641">
        <f>Data!H1721</f>
        <v/>
      </c>
      <c r="D1641">
        <f>Data!I1721</f>
        <v/>
      </c>
      <c r="E1641">
        <f>Data!M1721</f>
        <v/>
      </c>
      <c r="F1641">
        <f>Data!O1721</f>
        <v/>
      </c>
      <c r="G1641">
        <f>E1641-F1641</f>
        <v/>
      </c>
      <c r="H1641">
        <f>Data!P1721</f>
        <v/>
      </c>
      <c r="I1641">
        <f>G1641+H1641</f>
        <v/>
      </c>
      <c r="J1641">
        <f>F1641+G1641+H1641</f>
        <v/>
      </c>
      <c r="K1641">
        <f>Data!R1721</f>
        <v/>
      </c>
      <c r="L1641">
        <f>Data!T1721</f>
        <v/>
      </c>
      <c r="M1641">
        <f>AND(E1641=0,F1641=0,G1641=0,H1641=0,I1641=0,J1641=0,K1641=0,L1641=0)</f>
        <v/>
      </c>
      <c r="N1641">
        <f>G1641&lt;=$T$6</f>
        <v/>
      </c>
      <c r="O1641">
        <f>G1641&lt;=$T$12</f>
        <v/>
      </c>
      <c r="P1641">
        <f>OR(AND(H1641&gt;=$T$4,K1641&lt;=$T$5,N1641),M1641)</f>
        <v/>
      </c>
      <c r="Q1641">
        <f>OR(AND(I1641&gt;=$T$10,K1641&lt;=$T$11,O1641),M1641)</f>
        <v/>
      </c>
    </row>
    <row r="1642">
      <c r="A1642">
        <f>Data!E1722</f>
        <v/>
      </c>
      <c r="B1642">
        <f>Data!G1722</f>
        <v/>
      </c>
      <c r="C1642">
        <f>Data!H1722</f>
        <v/>
      </c>
      <c r="D1642">
        <f>Data!I1722</f>
        <v/>
      </c>
      <c r="E1642">
        <f>Data!M1722</f>
        <v/>
      </c>
      <c r="F1642">
        <f>Data!O1722</f>
        <v/>
      </c>
      <c r="G1642">
        <f>E1642-F1642</f>
        <v/>
      </c>
      <c r="H1642">
        <f>Data!P1722</f>
        <v/>
      </c>
      <c r="I1642">
        <f>G1642+H1642</f>
        <v/>
      </c>
      <c r="J1642">
        <f>F1642+G1642+H1642</f>
        <v/>
      </c>
      <c r="K1642">
        <f>Data!R1722</f>
        <v/>
      </c>
      <c r="L1642">
        <f>Data!T1722</f>
        <v/>
      </c>
      <c r="M1642">
        <f>AND(E1642=0,F1642=0,G1642=0,H1642=0,I1642=0,J1642=0,K1642=0,L1642=0)</f>
        <v/>
      </c>
      <c r="N1642">
        <f>G1642&lt;=$T$6</f>
        <v/>
      </c>
      <c r="O1642">
        <f>G1642&lt;=$T$12</f>
        <v/>
      </c>
      <c r="P1642">
        <f>OR(AND(H1642&gt;=$T$4,K1642&lt;=$T$5,N1642),M1642)</f>
        <v/>
      </c>
      <c r="Q1642">
        <f>OR(AND(I1642&gt;=$T$10,K1642&lt;=$T$11,O1642),M1642)</f>
        <v/>
      </c>
    </row>
    <row r="1643">
      <c r="A1643">
        <f>Data!E1723</f>
        <v/>
      </c>
      <c r="B1643">
        <f>Data!G1723</f>
        <v/>
      </c>
      <c r="C1643">
        <f>Data!H1723</f>
        <v/>
      </c>
      <c r="D1643">
        <f>Data!I1723</f>
        <v/>
      </c>
      <c r="E1643">
        <f>Data!M1723</f>
        <v/>
      </c>
      <c r="F1643">
        <f>Data!O1723</f>
        <v/>
      </c>
      <c r="G1643">
        <f>E1643-F1643</f>
        <v/>
      </c>
      <c r="H1643">
        <f>Data!P1723</f>
        <v/>
      </c>
      <c r="I1643">
        <f>G1643+H1643</f>
        <v/>
      </c>
      <c r="J1643">
        <f>F1643+G1643+H1643</f>
        <v/>
      </c>
      <c r="K1643">
        <f>Data!R1723</f>
        <v/>
      </c>
      <c r="L1643">
        <f>Data!T1723</f>
        <v/>
      </c>
      <c r="M1643">
        <f>AND(E1643=0,F1643=0,G1643=0,H1643=0,I1643=0,J1643=0,K1643=0,L1643=0)</f>
        <v/>
      </c>
      <c r="N1643">
        <f>G1643&lt;=$T$6</f>
        <v/>
      </c>
      <c r="O1643">
        <f>G1643&lt;=$T$12</f>
        <v/>
      </c>
      <c r="P1643">
        <f>OR(AND(H1643&gt;=$T$4,K1643&lt;=$T$5,N1643),M1643)</f>
        <v/>
      </c>
      <c r="Q1643">
        <f>OR(AND(I1643&gt;=$T$10,K1643&lt;=$T$11,O1643),M1643)</f>
        <v/>
      </c>
    </row>
    <row r="1644">
      <c r="A1644">
        <f>Data!E1724</f>
        <v/>
      </c>
      <c r="B1644">
        <f>Data!G1724</f>
        <v/>
      </c>
      <c r="C1644">
        <f>Data!H1724</f>
        <v/>
      </c>
      <c r="D1644">
        <f>Data!I1724</f>
        <v/>
      </c>
      <c r="E1644">
        <f>Data!M1724</f>
        <v/>
      </c>
      <c r="F1644">
        <f>Data!O1724</f>
        <v/>
      </c>
      <c r="G1644">
        <f>E1644-F1644</f>
        <v/>
      </c>
      <c r="H1644">
        <f>Data!P1724</f>
        <v/>
      </c>
      <c r="I1644">
        <f>G1644+H1644</f>
        <v/>
      </c>
      <c r="J1644">
        <f>F1644+G1644+H1644</f>
        <v/>
      </c>
      <c r="K1644">
        <f>Data!R1724</f>
        <v/>
      </c>
      <c r="L1644">
        <f>Data!T1724</f>
        <v/>
      </c>
      <c r="M1644">
        <f>AND(E1644=0,F1644=0,G1644=0,H1644=0,I1644=0,J1644=0,K1644=0,L1644=0)</f>
        <v/>
      </c>
      <c r="N1644">
        <f>G1644&lt;=$T$6</f>
        <v/>
      </c>
      <c r="O1644">
        <f>G1644&lt;=$T$12</f>
        <v/>
      </c>
      <c r="P1644">
        <f>OR(AND(H1644&gt;=$T$4,K1644&lt;=$T$5,N1644),M1644)</f>
        <v/>
      </c>
      <c r="Q1644">
        <f>OR(AND(I1644&gt;=$T$10,K1644&lt;=$T$11,O1644),M1644)</f>
        <v/>
      </c>
    </row>
    <row r="1645">
      <c r="A1645">
        <f>Data!E1725</f>
        <v/>
      </c>
      <c r="B1645">
        <f>Data!G1725</f>
        <v/>
      </c>
      <c r="C1645">
        <f>Data!H1725</f>
        <v/>
      </c>
      <c r="D1645">
        <f>Data!I1725</f>
        <v/>
      </c>
      <c r="E1645">
        <f>Data!M1725</f>
        <v/>
      </c>
      <c r="F1645">
        <f>Data!O1725</f>
        <v/>
      </c>
      <c r="G1645">
        <f>E1645-F1645</f>
        <v/>
      </c>
      <c r="H1645">
        <f>Data!P1725</f>
        <v/>
      </c>
      <c r="I1645">
        <f>G1645+H1645</f>
        <v/>
      </c>
      <c r="J1645">
        <f>F1645+G1645+H1645</f>
        <v/>
      </c>
      <c r="K1645">
        <f>Data!R1725</f>
        <v/>
      </c>
      <c r="L1645">
        <f>Data!T1725</f>
        <v/>
      </c>
      <c r="M1645">
        <f>AND(E1645=0,F1645=0,G1645=0,H1645=0,I1645=0,J1645=0,K1645=0,L1645=0)</f>
        <v/>
      </c>
      <c r="N1645">
        <f>G1645&lt;=$T$6</f>
        <v/>
      </c>
      <c r="O1645">
        <f>G1645&lt;=$T$12</f>
        <v/>
      </c>
      <c r="P1645">
        <f>OR(AND(H1645&gt;=$T$4,K1645&lt;=$T$5,N1645),M1645)</f>
        <v/>
      </c>
      <c r="Q1645">
        <f>OR(AND(I1645&gt;=$T$10,K1645&lt;=$T$11,O1645),M1645)</f>
        <v/>
      </c>
    </row>
    <row r="1646">
      <c r="A1646">
        <f>Data!E1726</f>
        <v/>
      </c>
      <c r="B1646">
        <f>Data!G1726</f>
        <v/>
      </c>
      <c r="C1646">
        <f>Data!H1726</f>
        <v/>
      </c>
      <c r="D1646">
        <f>Data!I1726</f>
        <v/>
      </c>
      <c r="E1646">
        <f>Data!M1726</f>
        <v/>
      </c>
      <c r="F1646">
        <f>Data!O1726</f>
        <v/>
      </c>
      <c r="G1646">
        <f>E1646-F1646</f>
        <v/>
      </c>
      <c r="H1646">
        <f>Data!P1726</f>
        <v/>
      </c>
      <c r="I1646">
        <f>G1646+H1646</f>
        <v/>
      </c>
      <c r="J1646">
        <f>F1646+G1646+H1646</f>
        <v/>
      </c>
      <c r="K1646">
        <f>Data!R1726</f>
        <v/>
      </c>
      <c r="L1646">
        <f>Data!T1726</f>
        <v/>
      </c>
      <c r="M1646">
        <f>AND(E1646=0,F1646=0,G1646=0,H1646=0,I1646=0,J1646=0,K1646=0,L1646=0)</f>
        <v/>
      </c>
      <c r="N1646">
        <f>G1646&lt;=$T$6</f>
        <v/>
      </c>
      <c r="O1646">
        <f>G1646&lt;=$T$12</f>
        <v/>
      </c>
      <c r="P1646">
        <f>OR(AND(H1646&gt;=$T$4,K1646&lt;=$T$5,N1646),M1646)</f>
        <v/>
      </c>
      <c r="Q1646">
        <f>OR(AND(I1646&gt;=$T$10,K1646&lt;=$T$11,O1646),M1646)</f>
        <v/>
      </c>
    </row>
    <row r="1647">
      <c r="A1647">
        <f>Data!E1727</f>
        <v/>
      </c>
      <c r="B1647">
        <f>Data!G1727</f>
        <v/>
      </c>
      <c r="C1647">
        <f>Data!H1727</f>
        <v/>
      </c>
      <c r="D1647">
        <f>Data!I1727</f>
        <v/>
      </c>
      <c r="E1647">
        <f>Data!M1727</f>
        <v/>
      </c>
      <c r="F1647">
        <f>Data!O1727</f>
        <v/>
      </c>
      <c r="G1647">
        <f>E1647-F1647</f>
        <v/>
      </c>
      <c r="H1647">
        <f>Data!P1727</f>
        <v/>
      </c>
      <c r="I1647">
        <f>G1647+H1647</f>
        <v/>
      </c>
      <c r="J1647">
        <f>F1647+G1647+H1647</f>
        <v/>
      </c>
      <c r="K1647">
        <f>Data!R1727</f>
        <v/>
      </c>
      <c r="L1647">
        <f>Data!T1727</f>
        <v/>
      </c>
      <c r="M1647">
        <f>AND(E1647=0,F1647=0,G1647=0,H1647=0,I1647=0,J1647=0,K1647=0,L1647=0)</f>
        <v/>
      </c>
      <c r="N1647">
        <f>G1647&lt;=$T$6</f>
        <v/>
      </c>
      <c r="O1647">
        <f>G1647&lt;=$T$12</f>
        <v/>
      </c>
      <c r="P1647">
        <f>OR(AND(H1647&gt;=$T$4,K1647&lt;=$T$5,N1647),M1647)</f>
        <v/>
      </c>
      <c r="Q1647">
        <f>OR(AND(I1647&gt;=$T$10,K1647&lt;=$T$11,O1647),M1647)</f>
        <v/>
      </c>
    </row>
    <row r="1648">
      <c r="A1648">
        <f>Data!E1728</f>
        <v/>
      </c>
      <c r="B1648">
        <f>Data!G1728</f>
        <v/>
      </c>
      <c r="C1648">
        <f>Data!H1728</f>
        <v/>
      </c>
      <c r="D1648">
        <f>Data!I1728</f>
        <v/>
      </c>
      <c r="E1648">
        <f>Data!M1728</f>
        <v/>
      </c>
      <c r="F1648">
        <f>Data!O1728</f>
        <v/>
      </c>
      <c r="G1648">
        <f>E1648-F1648</f>
        <v/>
      </c>
      <c r="H1648">
        <f>Data!P1728</f>
        <v/>
      </c>
      <c r="I1648">
        <f>G1648+H1648</f>
        <v/>
      </c>
      <c r="J1648">
        <f>F1648+G1648+H1648</f>
        <v/>
      </c>
      <c r="K1648">
        <f>Data!R1728</f>
        <v/>
      </c>
      <c r="L1648">
        <f>Data!T1728</f>
        <v/>
      </c>
      <c r="M1648">
        <f>AND(E1648=0,F1648=0,G1648=0,H1648=0,I1648=0,J1648=0,K1648=0,L1648=0)</f>
        <v/>
      </c>
      <c r="N1648">
        <f>G1648&lt;=$T$6</f>
        <v/>
      </c>
      <c r="O1648">
        <f>G1648&lt;=$T$12</f>
        <v/>
      </c>
      <c r="P1648">
        <f>OR(AND(H1648&gt;=$T$4,K1648&lt;=$T$5,N1648),M1648)</f>
        <v/>
      </c>
      <c r="Q1648">
        <f>OR(AND(I1648&gt;=$T$10,K1648&lt;=$T$11,O1648),M1648)</f>
        <v/>
      </c>
    </row>
    <row r="1649">
      <c r="A1649">
        <f>Data!E1730</f>
        <v/>
      </c>
      <c r="B1649">
        <f>Data!G1730</f>
        <v/>
      </c>
      <c r="C1649">
        <f>Data!H1730</f>
        <v/>
      </c>
      <c r="D1649">
        <f>Data!I1730</f>
        <v/>
      </c>
      <c r="E1649">
        <f>Data!M1730</f>
        <v/>
      </c>
      <c r="F1649">
        <f>Data!O1730</f>
        <v/>
      </c>
      <c r="G1649">
        <f>E1649-F1649</f>
        <v/>
      </c>
      <c r="H1649">
        <f>Data!P1730</f>
        <v/>
      </c>
      <c r="I1649">
        <f>G1649+H1649</f>
        <v/>
      </c>
      <c r="J1649">
        <f>F1649+G1649+H1649</f>
        <v/>
      </c>
      <c r="K1649">
        <f>Data!R1730</f>
        <v/>
      </c>
      <c r="L1649">
        <f>Data!T1730</f>
        <v/>
      </c>
      <c r="M1649">
        <f>AND(E1649=0,F1649=0,G1649=0,H1649=0,I1649=0,J1649=0,K1649=0,L1649=0)</f>
        <v/>
      </c>
      <c r="N1649">
        <f>G1649&lt;=$T$6</f>
        <v/>
      </c>
      <c r="O1649">
        <f>G1649&lt;=$T$12</f>
        <v/>
      </c>
      <c r="P1649">
        <f>OR(AND(H1649&gt;=$T$4,K1649&lt;=$T$5,N1649),M1649)</f>
        <v/>
      </c>
      <c r="Q1649">
        <f>OR(AND(I1649&gt;=$T$10,K1649&lt;=$T$11,O1649),M1649)</f>
        <v/>
      </c>
    </row>
    <row r="1650">
      <c r="A1650">
        <f>Data!E1731</f>
        <v/>
      </c>
      <c r="B1650">
        <f>Data!G1731</f>
        <v/>
      </c>
      <c r="C1650">
        <f>Data!H1731</f>
        <v/>
      </c>
      <c r="D1650">
        <f>Data!I1731</f>
        <v/>
      </c>
      <c r="E1650">
        <f>Data!M1731</f>
        <v/>
      </c>
      <c r="F1650">
        <f>Data!O1731</f>
        <v/>
      </c>
      <c r="G1650">
        <f>E1650-F1650</f>
        <v/>
      </c>
      <c r="H1650">
        <f>Data!P1731</f>
        <v/>
      </c>
      <c r="I1650">
        <f>G1650+H1650</f>
        <v/>
      </c>
      <c r="J1650">
        <f>F1650+G1650+H1650</f>
        <v/>
      </c>
      <c r="K1650">
        <f>Data!R1731</f>
        <v/>
      </c>
      <c r="L1650">
        <f>Data!T1731</f>
        <v/>
      </c>
      <c r="M1650">
        <f>AND(E1650=0,F1650=0,G1650=0,H1650=0,I1650=0,J1650=0,K1650=0,L1650=0)</f>
        <v/>
      </c>
      <c r="N1650">
        <f>G1650&lt;=$T$6</f>
        <v/>
      </c>
      <c r="O1650">
        <f>G1650&lt;=$T$12</f>
        <v/>
      </c>
      <c r="P1650">
        <f>OR(AND(H1650&gt;=$T$4,K1650&lt;=$T$5,N1650),M1650)</f>
        <v/>
      </c>
      <c r="Q1650">
        <f>OR(AND(I1650&gt;=$T$10,K1650&lt;=$T$11,O1650),M1650)</f>
        <v/>
      </c>
    </row>
    <row r="1651">
      <c r="A1651">
        <f>Data!E1732</f>
        <v/>
      </c>
      <c r="B1651">
        <f>Data!G1732</f>
        <v/>
      </c>
      <c r="C1651">
        <f>Data!H1732</f>
        <v/>
      </c>
      <c r="D1651">
        <f>Data!I1732</f>
        <v/>
      </c>
      <c r="E1651">
        <f>Data!M1732</f>
        <v/>
      </c>
      <c r="F1651">
        <f>Data!O1732</f>
        <v/>
      </c>
      <c r="G1651">
        <f>E1651-F1651</f>
        <v/>
      </c>
      <c r="H1651">
        <f>Data!P1732</f>
        <v/>
      </c>
      <c r="I1651">
        <f>G1651+H1651</f>
        <v/>
      </c>
      <c r="J1651">
        <f>F1651+G1651+H1651</f>
        <v/>
      </c>
      <c r="K1651">
        <f>Data!R1732</f>
        <v/>
      </c>
      <c r="L1651">
        <f>Data!T1732</f>
        <v/>
      </c>
      <c r="M1651">
        <f>AND(E1651=0,F1651=0,G1651=0,H1651=0,I1651=0,J1651=0,K1651=0,L1651=0)</f>
        <v/>
      </c>
      <c r="N1651">
        <f>G1651&lt;=$T$6</f>
        <v/>
      </c>
      <c r="O1651">
        <f>G1651&lt;=$T$12</f>
        <v/>
      </c>
      <c r="P1651">
        <f>OR(AND(H1651&gt;=$T$4,K1651&lt;=$T$5,N1651),M1651)</f>
        <v/>
      </c>
      <c r="Q1651">
        <f>OR(AND(I1651&gt;=$T$10,K1651&lt;=$T$11,O1651),M1651)</f>
        <v/>
      </c>
    </row>
    <row r="1652">
      <c r="A1652">
        <f>Data!E1733</f>
        <v/>
      </c>
      <c r="B1652">
        <f>Data!G1733</f>
        <v/>
      </c>
      <c r="C1652">
        <f>Data!H1733</f>
        <v/>
      </c>
      <c r="D1652">
        <f>Data!I1733</f>
        <v/>
      </c>
      <c r="E1652">
        <f>Data!M1733</f>
        <v/>
      </c>
      <c r="F1652">
        <f>Data!O1733</f>
        <v/>
      </c>
      <c r="G1652">
        <f>E1652-F1652</f>
        <v/>
      </c>
      <c r="H1652">
        <f>Data!P1733</f>
        <v/>
      </c>
      <c r="I1652">
        <f>G1652+H1652</f>
        <v/>
      </c>
      <c r="J1652">
        <f>F1652+G1652+H1652</f>
        <v/>
      </c>
      <c r="K1652">
        <f>Data!R1733</f>
        <v/>
      </c>
      <c r="L1652">
        <f>Data!T1733</f>
        <v/>
      </c>
      <c r="M1652">
        <f>AND(E1652=0,F1652=0,G1652=0,H1652=0,I1652=0,J1652=0,K1652=0,L1652=0)</f>
        <v/>
      </c>
      <c r="N1652">
        <f>G1652&lt;=$T$6</f>
        <v/>
      </c>
      <c r="O1652">
        <f>G1652&lt;=$T$12</f>
        <v/>
      </c>
      <c r="P1652">
        <f>OR(AND(H1652&gt;=$T$4,K1652&lt;=$T$5,N1652),M1652)</f>
        <v/>
      </c>
      <c r="Q1652">
        <f>OR(AND(I1652&gt;=$T$10,K1652&lt;=$T$11,O1652),M1652)</f>
        <v/>
      </c>
    </row>
    <row r="1653">
      <c r="A1653">
        <f>Data!E1734</f>
        <v/>
      </c>
      <c r="B1653">
        <f>Data!G1734</f>
        <v/>
      </c>
      <c r="C1653">
        <f>Data!H1734</f>
        <v/>
      </c>
      <c r="D1653">
        <f>Data!I1734</f>
        <v/>
      </c>
      <c r="E1653">
        <f>Data!M1734</f>
        <v/>
      </c>
      <c r="F1653">
        <f>Data!O1734</f>
        <v/>
      </c>
      <c r="G1653">
        <f>E1653-F1653</f>
        <v/>
      </c>
      <c r="H1653">
        <f>Data!P1734</f>
        <v/>
      </c>
      <c r="I1653">
        <f>G1653+H1653</f>
        <v/>
      </c>
      <c r="J1653">
        <f>F1653+G1653+H1653</f>
        <v/>
      </c>
      <c r="K1653">
        <f>Data!R1734</f>
        <v/>
      </c>
      <c r="L1653">
        <f>Data!T1734</f>
        <v/>
      </c>
      <c r="M1653">
        <f>AND(E1653=0,F1653=0,G1653=0,H1653=0,I1653=0,J1653=0,K1653=0,L1653=0)</f>
        <v/>
      </c>
      <c r="N1653">
        <f>G1653&lt;=$T$6</f>
        <v/>
      </c>
      <c r="O1653">
        <f>G1653&lt;=$T$12</f>
        <v/>
      </c>
      <c r="P1653">
        <f>OR(AND(H1653&gt;=$T$4,K1653&lt;=$T$5,N1653),M1653)</f>
        <v/>
      </c>
      <c r="Q1653">
        <f>OR(AND(I1653&gt;=$T$10,K1653&lt;=$T$11,O1653),M1653)</f>
        <v/>
      </c>
    </row>
    <row r="1654">
      <c r="A1654">
        <f>Data!E1735</f>
        <v/>
      </c>
      <c r="B1654">
        <f>Data!G1735</f>
        <v/>
      </c>
      <c r="C1654">
        <f>Data!H1735</f>
        <v/>
      </c>
      <c r="D1654">
        <f>Data!I1735</f>
        <v/>
      </c>
      <c r="E1654">
        <f>Data!M1735</f>
        <v/>
      </c>
      <c r="F1654">
        <f>Data!O1735</f>
        <v/>
      </c>
      <c r="G1654">
        <f>E1654-F1654</f>
        <v/>
      </c>
      <c r="H1654">
        <f>Data!P1735</f>
        <v/>
      </c>
      <c r="I1654">
        <f>G1654+H1654</f>
        <v/>
      </c>
      <c r="J1654">
        <f>F1654+G1654+H1654</f>
        <v/>
      </c>
      <c r="K1654">
        <f>Data!R1735</f>
        <v/>
      </c>
      <c r="L1654">
        <f>Data!T1735</f>
        <v/>
      </c>
      <c r="M1654">
        <f>AND(E1654=0,F1654=0,G1654=0,H1654=0,I1654=0,J1654=0,K1654=0,L1654=0)</f>
        <v/>
      </c>
      <c r="N1654">
        <f>G1654&lt;=$T$6</f>
        <v/>
      </c>
      <c r="O1654">
        <f>G1654&lt;=$T$12</f>
        <v/>
      </c>
      <c r="P1654">
        <f>OR(AND(H1654&gt;=$T$4,K1654&lt;=$T$5,N1654),M1654)</f>
        <v/>
      </c>
      <c r="Q1654">
        <f>OR(AND(I1654&gt;=$T$10,K1654&lt;=$T$11,O1654),M1654)</f>
        <v/>
      </c>
    </row>
    <row r="1655">
      <c r="A1655">
        <f>Data!E1736</f>
        <v/>
      </c>
      <c r="B1655">
        <f>Data!G1736</f>
        <v/>
      </c>
      <c r="C1655">
        <f>Data!H1736</f>
        <v/>
      </c>
      <c r="D1655">
        <f>Data!I1736</f>
        <v/>
      </c>
      <c r="E1655">
        <f>Data!M1736</f>
        <v/>
      </c>
      <c r="F1655">
        <f>Data!O1736</f>
        <v/>
      </c>
      <c r="G1655">
        <f>E1655-F1655</f>
        <v/>
      </c>
      <c r="H1655">
        <f>Data!P1736</f>
        <v/>
      </c>
      <c r="I1655">
        <f>G1655+H1655</f>
        <v/>
      </c>
      <c r="J1655">
        <f>F1655+G1655+H1655</f>
        <v/>
      </c>
      <c r="K1655">
        <f>Data!R1736</f>
        <v/>
      </c>
      <c r="L1655">
        <f>Data!T1736</f>
        <v/>
      </c>
      <c r="M1655">
        <f>AND(E1655=0,F1655=0,G1655=0,H1655=0,I1655=0,J1655=0,K1655=0,L1655=0)</f>
        <v/>
      </c>
      <c r="N1655">
        <f>G1655&lt;=$T$6</f>
        <v/>
      </c>
      <c r="O1655">
        <f>G1655&lt;=$T$12</f>
        <v/>
      </c>
      <c r="P1655">
        <f>OR(AND(H1655&gt;=$T$4,K1655&lt;=$T$5,N1655),M1655)</f>
        <v/>
      </c>
      <c r="Q1655">
        <f>OR(AND(I1655&gt;=$T$10,K1655&lt;=$T$11,O1655),M1655)</f>
        <v/>
      </c>
    </row>
    <row r="1656">
      <c r="A1656">
        <f>Data!E1737</f>
        <v/>
      </c>
      <c r="B1656">
        <f>Data!G1737</f>
        <v/>
      </c>
      <c r="C1656">
        <f>Data!H1737</f>
        <v/>
      </c>
      <c r="D1656">
        <f>Data!I1737</f>
        <v/>
      </c>
      <c r="E1656">
        <f>Data!M1737</f>
        <v/>
      </c>
      <c r="F1656">
        <f>Data!O1737</f>
        <v/>
      </c>
      <c r="G1656">
        <f>E1656-F1656</f>
        <v/>
      </c>
      <c r="H1656">
        <f>Data!P1737</f>
        <v/>
      </c>
      <c r="I1656">
        <f>G1656+H1656</f>
        <v/>
      </c>
      <c r="J1656">
        <f>F1656+G1656+H1656</f>
        <v/>
      </c>
      <c r="K1656">
        <f>Data!R1737</f>
        <v/>
      </c>
      <c r="L1656">
        <f>Data!T1737</f>
        <v/>
      </c>
      <c r="M1656">
        <f>AND(E1656=0,F1656=0,G1656=0,H1656=0,I1656=0,J1656=0,K1656=0,L1656=0)</f>
        <v/>
      </c>
      <c r="N1656">
        <f>G1656&lt;=$T$6</f>
        <v/>
      </c>
      <c r="O1656">
        <f>G1656&lt;=$T$12</f>
        <v/>
      </c>
      <c r="P1656">
        <f>OR(AND(H1656&gt;=$T$4,K1656&lt;=$T$5,N1656),M1656)</f>
        <v/>
      </c>
      <c r="Q1656">
        <f>OR(AND(I1656&gt;=$T$10,K1656&lt;=$T$11,O1656),M1656)</f>
        <v/>
      </c>
    </row>
    <row r="1657">
      <c r="A1657">
        <f>Data!E1738</f>
        <v/>
      </c>
      <c r="B1657">
        <f>Data!G1738</f>
        <v/>
      </c>
      <c r="C1657">
        <f>Data!H1738</f>
        <v/>
      </c>
      <c r="D1657">
        <f>Data!I1738</f>
        <v/>
      </c>
      <c r="E1657">
        <f>Data!M1738</f>
        <v/>
      </c>
      <c r="F1657">
        <f>Data!O1738</f>
        <v/>
      </c>
      <c r="G1657">
        <f>E1657-F1657</f>
        <v/>
      </c>
      <c r="H1657">
        <f>Data!P1738</f>
        <v/>
      </c>
      <c r="I1657">
        <f>G1657+H1657</f>
        <v/>
      </c>
      <c r="J1657">
        <f>F1657+G1657+H1657</f>
        <v/>
      </c>
      <c r="K1657">
        <f>Data!R1738</f>
        <v/>
      </c>
      <c r="L1657">
        <f>Data!T1738</f>
        <v/>
      </c>
      <c r="M1657">
        <f>AND(E1657=0,F1657=0,G1657=0,H1657=0,I1657=0,J1657=0,K1657=0,L1657=0)</f>
        <v/>
      </c>
      <c r="N1657">
        <f>G1657&lt;=$T$6</f>
        <v/>
      </c>
      <c r="O1657">
        <f>G1657&lt;=$T$12</f>
        <v/>
      </c>
      <c r="P1657">
        <f>OR(AND(H1657&gt;=$T$4,K1657&lt;=$T$5,N1657),M1657)</f>
        <v/>
      </c>
      <c r="Q1657">
        <f>OR(AND(I1657&gt;=$T$10,K1657&lt;=$T$11,O1657),M1657)</f>
        <v/>
      </c>
    </row>
    <row r="1658">
      <c r="A1658">
        <f>Data!E1739</f>
        <v/>
      </c>
      <c r="B1658">
        <f>Data!G1739</f>
        <v/>
      </c>
      <c r="C1658">
        <f>Data!H1739</f>
        <v/>
      </c>
      <c r="D1658">
        <f>Data!I1739</f>
        <v/>
      </c>
      <c r="E1658">
        <f>Data!M1739</f>
        <v/>
      </c>
      <c r="F1658">
        <f>Data!O1739</f>
        <v/>
      </c>
      <c r="G1658">
        <f>E1658-F1658</f>
        <v/>
      </c>
      <c r="H1658">
        <f>Data!P1739</f>
        <v/>
      </c>
      <c r="I1658">
        <f>G1658+H1658</f>
        <v/>
      </c>
      <c r="J1658">
        <f>F1658+G1658+H1658</f>
        <v/>
      </c>
      <c r="K1658">
        <f>Data!R1739</f>
        <v/>
      </c>
      <c r="L1658">
        <f>Data!T1739</f>
        <v/>
      </c>
      <c r="M1658">
        <f>AND(E1658=0,F1658=0,G1658=0,H1658=0,I1658=0,J1658=0,K1658=0,L1658=0)</f>
        <v/>
      </c>
      <c r="N1658">
        <f>G1658&lt;=$T$6</f>
        <v/>
      </c>
      <c r="O1658">
        <f>G1658&lt;=$T$12</f>
        <v/>
      </c>
      <c r="P1658">
        <f>OR(AND(H1658&gt;=$T$4,K1658&lt;=$T$5,N1658),M1658)</f>
        <v/>
      </c>
      <c r="Q1658">
        <f>OR(AND(I1658&gt;=$T$10,K1658&lt;=$T$11,O1658),M1658)</f>
        <v/>
      </c>
    </row>
    <row r="1659">
      <c r="A1659">
        <f>Data!E1740</f>
        <v/>
      </c>
      <c r="B1659">
        <f>Data!G1740</f>
        <v/>
      </c>
      <c r="C1659">
        <f>Data!H1740</f>
        <v/>
      </c>
      <c r="D1659">
        <f>Data!I1740</f>
        <v/>
      </c>
      <c r="E1659">
        <f>Data!M1740</f>
        <v/>
      </c>
      <c r="F1659">
        <f>Data!O1740</f>
        <v/>
      </c>
      <c r="G1659">
        <f>E1659-F1659</f>
        <v/>
      </c>
      <c r="H1659">
        <f>Data!P1740</f>
        <v/>
      </c>
      <c r="I1659">
        <f>G1659+H1659</f>
        <v/>
      </c>
      <c r="J1659">
        <f>F1659+G1659+H1659</f>
        <v/>
      </c>
      <c r="K1659">
        <f>Data!R1740</f>
        <v/>
      </c>
      <c r="L1659">
        <f>Data!T1740</f>
        <v/>
      </c>
      <c r="M1659">
        <f>AND(E1659=0,F1659=0,G1659=0,H1659=0,I1659=0,J1659=0,K1659=0,L1659=0)</f>
        <v/>
      </c>
      <c r="N1659">
        <f>G1659&lt;=$T$6</f>
        <v/>
      </c>
      <c r="O1659">
        <f>G1659&lt;=$T$12</f>
        <v/>
      </c>
      <c r="P1659">
        <f>OR(AND(H1659&gt;=$T$4,K1659&lt;=$T$5,N1659),M1659)</f>
        <v/>
      </c>
      <c r="Q1659">
        <f>OR(AND(I1659&gt;=$T$10,K1659&lt;=$T$11,O1659),M1659)</f>
        <v/>
      </c>
    </row>
    <row r="1660">
      <c r="A1660">
        <f>Data!E1741</f>
        <v/>
      </c>
      <c r="B1660">
        <f>Data!G1741</f>
        <v/>
      </c>
      <c r="C1660">
        <f>Data!H1741</f>
        <v/>
      </c>
      <c r="D1660">
        <f>Data!I1741</f>
        <v/>
      </c>
      <c r="E1660">
        <f>Data!M1741</f>
        <v/>
      </c>
      <c r="F1660">
        <f>Data!O1741</f>
        <v/>
      </c>
      <c r="G1660">
        <f>E1660-F1660</f>
        <v/>
      </c>
      <c r="H1660">
        <f>Data!P1741</f>
        <v/>
      </c>
      <c r="I1660">
        <f>G1660+H1660</f>
        <v/>
      </c>
      <c r="J1660">
        <f>F1660+G1660+H1660</f>
        <v/>
      </c>
      <c r="K1660">
        <f>Data!R1741</f>
        <v/>
      </c>
      <c r="L1660">
        <f>Data!T1741</f>
        <v/>
      </c>
      <c r="M1660">
        <f>AND(E1660=0,F1660=0,G1660=0,H1660=0,I1660=0,J1660=0,K1660=0,L1660=0)</f>
        <v/>
      </c>
      <c r="N1660">
        <f>G1660&lt;=$T$6</f>
        <v/>
      </c>
      <c r="O1660">
        <f>G1660&lt;=$T$12</f>
        <v/>
      </c>
      <c r="P1660">
        <f>OR(AND(H1660&gt;=$T$4,K1660&lt;=$T$5,N1660),M1660)</f>
        <v/>
      </c>
      <c r="Q1660">
        <f>OR(AND(I1660&gt;=$T$10,K1660&lt;=$T$11,O1660),M1660)</f>
        <v/>
      </c>
    </row>
    <row r="1661">
      <c r="A1661">
        <f>Data!E1743</f>
        <v/>
      </c>
      <c r="B1661">
        <f>Data!G1743</f>
        <v/>
      </c>
      <c r="C1661">
        <f>Data!H1743</f>
        <v/>
      </c>
      <c r="D1661">
        <f>Data!I1743</f>
        <v/>
      </c>
      <c r="E1661">
        <f>Data!M1743</f>
        <v/>
      </c>
      <c r="F1661">
        <f>Data!O1743</f>
        <v/>
      </c>
      <c r="G1661">
        <f>E1661-F1661</f>
        <v/>
      </c>
      <c r="H1661">
        <f>Data!P1743</f>
        <v/>
      </c>
      <c r="I1661">
        <f>G1661+H1661</f>
        <v/>
      </c>
      <c r="J1661">
        <f>F1661+G1661+H1661</f>
        <v/>
      </c>
      <c r="K1661">
        <f>Data!R1743</f>
        <v/>
      </c>
      <c r="L1661">
        <f>Data!T1743</f>
        <v/>
      </c>
      <c r="M1661">
        <f>AND(E1661=0,F1661=0,G1661=0,H1661=0,I1661=0,J1661=0,K1661=0,L1661=0)</f>
        <v/>
      </c>
      <c r="N1661">
        <f>G1661&lt;=$T$6</f>
        <v/>
      </c>
      <c r="O1661">
        <f>G1661&lt;=$T$12</f>
        <v/>
      </c>
      <c r="P1661">
        <f>OR(AND(H1661&gt;=$T$4,K1661&lt;=$T$5,N1661),M1661)</f>
        <v/>
      </c>
      <c r="Q1661">
        <f>OR(AND(I1661&gt;=$T$10,K1661&lt;=$T$11,O1661),M1661)</f>
        <v/>
      </c>
    </row>
    <row r="1662">
      <c r="A1662">
        <f>Data!E1744</f>
        <v/>
      </c>
      <c r="B1662">
        <f>Data!G1744</f>
        <v/>
      </c>
      <c r="C1662">
        <f>Data!H1744</f>
        <v/>
      </c>
      <c r="D1662">
        <f>Data!I1744</f>
        <v/>
      </c>
      <c r="E1662">
        <f>Data!M1744</f>
        <v/>
      </c>
      <c r="F1662">
        <f>Data!O1744</f>
        <v/>
      </c>
      <c r="G1662">
        <f>E1662-F1662</f>
        <v/>
      </c>
      <c r="H1662">
        <f>Data!P1744</f>
        <v/>
      </c>
      <c r="I1662">
        <f>G1662+H1662</f>
        <v/>
      </c>
      <c r="J1662">
        <f>F1662+G1662+H1662</f>
        <v/>
      </c>
      <c r="K1662">
        <f>Data!R1744</f>
        <v/>
      </c>
      <c r="L1662">
        <f>Data!T1744</f>
        <v/>
      </c>
      <c r="M1662">
        <f>AND(E1662=0,F1662=0,G1662=0,H1662=0,I1662=0,J1662=0,K1662=0,L1662=0)</f>
        <v/>
      </c>
      <c r="N1662">
        <f>G1662&lt;=$T$6</f>
        <v/>
      </c>
      <c r="O1662">
        <f>G1662&lt;=$T$12</f>
        <v/>
      </c>
      <c r="P1662">
        <f>OR(AND(H1662&gt;=$T$4,K1662&lt;=$T$5,N1662),M1662)</f>
        <v/>
      </c>
      <c r="Q1662">
        <f>OR(AND(I1662&gt;=$T$10,K1662&lt;=$T$11,O1662),M1662)</f>
        <v/>
      </c>
    </row>
    <row r="1663">
      <c r="A1663">
        <f>Data!E1745</f>
        <v/>
      </c>
      <c r="B1663">
        <f>Data!G1745</f>
        <v/>
      </c>
      <c r="C1663">
        <f>Data!H1745</f>
        <v/>
      </c>
      <c r="D1663">
        <f>Data!I1745</f>
        <v/>
      </c>
      <c r="E1663">
        <f>Data!M1745</f>
        <v/>
      </c>
      <c r="F1663">
        <f>Data!O1745</f>
        <v/>
      </c>
      <c r="G1663">
        <f>E1663-F1663</f>
        <v/>
      </c>
      <c r="H1663">
        <f>Data!P1745</f>
        <v/>
      </c>
      <c r="I1663">
        <f>G1663+H1663</f>
        <v/>
      </c>
      <c r="J1663">
        <f>F1663+G1663+H1663</f>
        <v/>
      </c>
      <c r="K1663">
        <f>Data!R1745</f>
        <v/>
      </c>
      <c r="L1663">
        <f>Data!T1745</f>
        <v/>
      </c>
      <c r="M1663">
        <f>AND(E1663=0,F1663=0,G1663=0,H1663=0,I1663=0,J1663=0,K1663=0,L1663=0)</f>
        <v/>
      </c>
      <c r="N1663">
        <f>G1663&lt;=$T$6</f>
        <v/>
      </c>
      <c r="O1663">
        <f>G1663&lt;=$T$12</f>
        <v/>
      </c>
      <c r="P1663">
        <f>OR(AND(H1663&gt;=$T$4,K1663&lt;=$T$5,N1663),M1663)</f>
        <v/>
      </c>
      <c r="Q1663">
        <f>OR(AND(I1663&gt;=$T$10,K1663&lt;=$T$11,O1663),M1663)</f>
        <v/>
      </c>
    </row>
    <row r="1664">
      <c r="A1664">
        <f>Data!E1746</f>
        <v/>
      </c>
      <c r="B1664">
        <f>Data!G1746</f>
        <v/>
      </c>
      <c r="C1664">
        <f>Data!H1746</f>
        <v/>
      </c>
      <c r="D1664">
        <f>Data!I1746</f>
        <v/>
      </c>
      <c r="E1664">
        <f>Data!M1746</f>
        <v/>
      </c>
      <c r="F1664">
        <f>Data!O1746</f>
        <v/>
      </c>
      <c r="G1664">
        <f>E1664-F1664</f>
        <v/>
      </c>
      <c r="H1664">
        <f>Data!P1746</f>
        <v/>
      </c>
      <c r="I1664">
        <f>G1664+H1664</f>
        <v/>
      </c>
      <c r="J1664">
        <f>F1664+G1664+H1664</f>
        <v/>
      </c>
      <c r="K1664">
        <f>Data!R1746</f>
        <v/>
      </c>
      <c r="L1664">
        <f>Data!T1746</f>
        <v/>
      </c>
      <c r="M1664">
        <f>AND(E1664=0,F1664=0,G1664=0,H1664=0,I1664=0,J1664=0,K1664=0,L1664=0)</f>
        <v/>
      </c>
      <c r="N1664">
        <f>G1664&lt;=$T$6</f>
        <v/>
      </c>
      <c r="O1664">
        <f>G1664&lt;=$T$12</f>
        <v/>
      </c>
      <c r="P1664">
        <f>OR(AND(H1664&gt;=$T$4,K1664&lt;=$T$5,N1664),M1664)</f>
        <v/>
      </c>
      <c r="Q1664">
        <f>OR(AND(I1664&gt;=$T$10,K1664&lt;=$T$11,O1664),M1664)</f>
        <v/>
      </c>
    </row>
    <row r="1665">
      <c r="A1665">
        <f>Data!E1747</f>
        <v/>
      </c>
      <c r="B1665">
        <f>Data!G1747</f>
        <v/>
      </c>
      <c r="C1665">
        <f>Data!H1747</f>
        <v/>
      </c>
      <c r="D1665">
        <f>Data!I1747</f>
        <v/>
      </c>
      <c r="E1665">
        <f>Data!M1747</f>
        <v/>
      </c>
      <c r="F1665">
        <f>Data!O1747</f>
        <v/>
      </c>
      <c r="G1665">
        <f>E1665-F1665</f>
        <v/>
      </c>
      <c r="H1665">
        <f>Data!P1747</f>
        <v/>
      </c>
      <c r="I1665">
        <f>G1665+H1665</f>
        <v/>
      </c>
      <c r="J1665">
        <f>F1665+G1665+H1665</f>
        <v/>
      </c>
      <c r="K1665">
        <f>Data!R1747</f>
        <v/>
      </c>
      <c r="L1665">
        <f>Data!T1747</f>
        <v/>
      </c>
      <c r="M1665">
        <f>AND(E1665=0,F1665=0,G1665=0,H1665=0,I1665=0,J1665=0,K1665=0,L1665=0)</f>
        <v/>
      </c>
      <c r="N1665">
        <f>G1665&lt;=$T$6</f>
        <v/>
      </c>
      <c r="O1665">
        <f>G1665&lt;=$T$12</f>
        <v/>
      </c>
      <c r="P1665">
        <f>OR(AND(H1665&gt;=$T$4,K1665&lt;=$T$5,N1665),M1665)</f>
        <v/>
      </c>
      <c r="Q1665">
        <f>OR(AND(I1665&gt;=$T$10,K1665&lt;=$T$11,O1665),M1665)</f>
        <v/>
      </c>
    </row>
    <row r="1666">
      <c r="A1666">
        <f>Data!E1748</f>
        <v/>
      </c>
      <c r="B1666">
        <f>Data!G1748</f>
        <v/>
      </c>
      <c r="C1666">
        <f>Data!H1748</f>
        <v/>
      </c>
      <c r="D1666">
        <f>Data!I1748</f>
        <v/>
      </c>
      <c r="E1666">
        <f>Data!M1748</f>
        <v/>
      </c>
      <c r="F1666">
        <f>Data!O1748</f>
        <v/>
      </c>
      <c r="G1666">
        <f>E1666-F1666</f>
        <v/>
      </c>
      <c r="H1666">
        <f>Data!P1748</f>
        <v/>
      </c>
      <c r="I1666">
        <f>G1666+H1666</f>
        <v/>
      </c>
      <c r="J1666">
        <f>F1666+G1666+H1666</f>
        <v/>
      </c>
      <c r="K1666">
        <f>Data!R1748</f>
        <v/>
      </c>
      <c r="L1666">
        <f>Data!T1748</f>
        <v/>
      </c>
      <c r="M1666">
        <f>AND(E1666=0,F1666=0,G1666=0,H1666=0,I1666=0,J1666=0,K1666=0,L1666=0)</f>
        <v/>
      </c>
      <c r="N1666">
        <f>G1666&lt;=$T$6</f>
        <v/>
      </c>
      <c r="O1666">
        <f>G1666&lt;=$T$12</f>
        <v/>
      </c>
      <c r="P1666">
        <f>OR(AND(H1666&gt;=$T$4,K1666&lt;=$T$5,N1666),M1666)</f>
        <v/>
      </c>
      <c r="Q1666">
        <f>OR(AND(I1666&gt;=$T$10,K1666&lt;=$T$11,O1666),M1666)</f>
        <v/>
      </c>
    </row>
    <row r="1667">
      <c r="A1667">
        <f>Data!E1749</f>
        <v/>
      </c>
      <c r="B1667">
        <f>Data!G1749</f>
        <v/>
      </c>
      <c r="C1667">
        <f>Data!H1749</f>
        <v/>
      </c>
      <c r="D1667">
        <f>Data!I1749</f>
        <v/>
      </c>
      <c r="E1667">
        <f>Data!M1749</f>
        <v/>
      </c>
      <c r="F1667">
        <f>Data!O1749</f>
        <v/>
      </c>
      <c r="G1667">
        <f>E1667-F1667</f>
        <v/>
      </c>
      <c r="H1667">
        <f>Data!P1749</f>
        <v/>
      </c>
      <c r="I1667">
        <f>G1667+H1667</f>
        <v/>
      </c>
      <c r="J1667">
        <f>F1667+G1667+H1667</f>
        <v/>
      </c>
      <c r="K1667">
        <f>Data!R1749</f>
        <v/>
      </c>
      <c r="L1667">
        <f>Data!T1749</f>
        <v/>
      </c>
      <c r="M1667">
        <f>AND(E1667=0,F1667=0,G1667=0,H1667=0,I1667=0,J1667=0,K1667=0,L1667=0)</f>
        <v/>
      </c>
      <c r="N1667">
        <f>G1667&lt;=$T$6</f>
        <v/>
      </c>
      <c r="O1667">
        <f>G1667&lt;=$T$12</f>
        <v/>
      </c>
      <c r="P1667">
        <f>OR(AND(H1667&gt;=$T$4,K1667&lt;=$T$5,N1667),M1667)</f>
        <v/>
      </c>
      <c r="Q1667">
        <f>OR(AND(I1667&gt;=$T$10,K1667&lt;=$T$11,O1667),M1667)</f>
        <v/>
      </c>
    </row>
    <row r="1668">
      <c r="A1668">
        <f>Data!E1750</f>
        <v/>
      </c>
      <c r="B1668">
        <f>Data!G1750</f>
        <v/>
      </c>
      <c r="C1668">
        <f>Data!H1750</f>
        <v/>
      </c>
      <c r="D1668">
        <f>Data!I1750</f>
        <v/>
      </c>
      <c r="E1668">
        <f>Data!M1750</f>
        <v/>
      </c>
      <c r="F1668">
        <f>Data!O1750</f>
        <v/>
      </c>
      <c r="G1668">
        <f>E1668-F1668</f>
        <v/>
      </c>
      <c r="H1668">
        <f>Data!P1750</f>
        <v/>
      </c>
      <c r="I1668">
        <f>G1668+H1668</f>
        <v/>
      </c>
      <c r="J1668">
        <f>F1668+G1668+H1668</f>
        <v/>
      </c>
      <c r="K1668">
        <f>Data!R1750</f>
        <v/>
      </c>
      <c r="L1668">
        <f>Data!T1750</f>
        <v/>
      </c>
      <c r="M1668">
        <f>AND(E1668=0,F1668=0,G1668=0,H1668=0,I1668=0,J1668=0,K1668=0,L1668=0)</f>
        <v/>
      </c>
      <c r="N1668">
        <f>G1668&lt;=$T$6</f>
        <v/>
      </c>
      <c r="O1668">
        <f>G1668&lt;=$T$12</f>
        <v/>
      </c>
      <c r="P1668">
        <f>OR(AND(H1668&gt;=$T$4,K1668&lt;=$T$5,N1668),M1668)</f>
        <v/>
      </c>
      <c r="Q1668">
        <f>OR(AND(I1668&gt;=$T$10,K1668&lt;=$T$11,O1668),M1668)</f>
        <v/>
      </c>
    </row>
    <row r="1669">
      <c r="A1669">
        <f>Data!E1751</f>
        <v/>
      </c>
      <c r="B1669">
        <f>Data!G1751</f>
        <v/>
      </c>
      <c r="C1669">
        <f>Data!H1751</f>
        <v/>
      </c>
      <c r="D1669">
        <f>Data!I1751</f>
        <v/>
      </c>
      <c r="E1669">
        <f>Data!M1751</f>
        <v/>
      </c>
      <c r="F1669">
        <f>Data!O1751</f>
        <v/>
      </c>
      <c r="G1669">
        <f>E1669-F1669</f>
        <v/>
      </c>
      <c r="H1669">
        <f>Data!P1751</f>
        <v/>
      </c>
      <c r="I1669">
        <f>G1669+H1669</f>
        <v/>
      </c>
      <c r="J1669">
        <f>F1669+G1669+H1669</f>
        <v/>
      </c>
      <c r="K1669">
        <f>Data!R1751</f>
        <v/>
      </c>
      <c r="L1669">
        <f>Data!T1751</f>
        <v/>
      </c>
      <c r="M1669">
        <f>AND(E1669=0,F1669=0,G1669=0,H1669=0,I1669=0,J1669=0,K1669=0,L1669=0)</f>
        <v/>
      </c>
      <c r="N1669">
        <f>G1669&lt;=$T$6</f>
        <v/>
      </c>
      <c r="O1669">
        <f>G1669&lt;=$T$12</f>
        <v/>
      </c>
      <c r="P1669">
        <f>OR(AND(H1669&gt;=$T$4,K1669&lt;=$T$5,N1669),M1669)</f>
        <v/>
      </c>
      <c r="Q1669">
        <f>OR(AND(I1669&gt;=$T$10,K1669&lt;=$T$11,O1669),M1669)</f>
        <v/>
      </c>
    </row>
    <row r="1670">
      <c r="A1670">
        <f>Data!E1752</f>
        <v/>
      </c>
      <c r="B1670">
        <f>Data!G1752</f>
        <v/>
      </c>
      <c r="C1670">
        <f>Data!H1752</f>
        <v/>
      </c>
      <c r="D1670">
        <f>Data!I1752</f>
        <v/>
      </c>
      <c r="E1670">
        <f>Data!M1752</f>
        <v/>
      </c>
      <c r="F1670">
        <f>Data!O1752</f>
        <v/>
      </c>
      <c r="G1670">
        <f>E1670-F1670</f>
        <v/>
      </c>
      <c r="H1670">
        <f>Data!P1752</f>
        <v/>
      </c>
      <c r="I1670">
        <f>G1670+H1670</f>
        <v/>
      </c>
      <c r="J1670">
        <f>F1670+G1670+H1670</f>
        <v/>
      </c>
      <c r="K1670">
        <f>Data!R1752</f>
        <v/>
      </c>
      <c r="L1670">
        <f>Data!T1752</f>
        <v/>
      </c>
      <c r="M1670">
        <f>AND(E1670=0,F1670=0,G1670=0,H1670=0,I1670=0,J1670=0,K1670=0,L1670=0)</f>
        <v/>
      </c>
      <c r="N1670">
        <f>G1670&lt;=$T$6</f>
        <v/>
      </c>
      <c r="O1670">
        <f>G1670&lt;=$T$12</f>
        <v/>
      </c>
      <c r="P1670">
        <f>OR(AND(H1670&gt;=$T$4,K1670&lt;=$T$5,N1670),M1670)</f>
        <v/>
      </c>
      <c r="Q1670">
        <f>OR(AND(I1670&gt;=$T$10,K1670&lt;=$T$11,O1670),M1670)</f>
        <v/>
      </c>
    </row>
    <row r="1671">
      <c r="A1671">
        <f>Data!E1753</f>
        <v/>
      </c>
      <c r="B1671">
        <f>Data!G1753</f>
        <v/>
      </c>
      <c r="C1671">
        <f>Data!H1753</f>
        <v/>
      </c>
      <c r="D1671">
        <f>Data!I1753</f>
        <v/>
      </c>
      <c r="E1671">
        <f>Data!M1753</f>
        <v/>
      </c>
      <c r="F1671">
        <f>Data!O1753</f>
        <v/>
      </c>
      <c r="G1671">
        <f>E1671-F1671</f>
        <v/>
      </c>
      <c r="H1671">
        <f>Data!P1753</f>
        <v/>
      </c>
      <c r="I1671">
        <f>G1671+H1671</f>
        <v/>
      </c>
      <c r="J1671">
        <f>F1671+G1671+H1671</f>
        <v/>
      </c>
      <c r="K1671">
        <f>Data!R1753</f>
        <v/>
      </c>
      <c r="L1671">
        <f>Data!T1753</f>
        <v/>
      </c>
      <c r="M1671">
        <f>AND(E1671=0,F1671=0,G1671=0,H1671=0,I1671=0,J1671=0,K1671=0,L1671=0)</f>
        <v/>
      </c>
      <c r="N1671">
        <f>G1671&lt;=$T$6</f>
        <v/>
      </c>
      <c r="O1671">
        <f>G1671&lt;=$T$12</f>
        <v/>
      </c>
      <c r="P1671">
        <f>OR(AND(H1671&gt;=$T$4,K1671&lt;=$T$5,N1671),M1671)</f>
        <v/>
      </c>
      <c r="Q1671">
        <f>OR(AND(I1671&gt;=$T$10,K1671&lt;=$T$11,O1671),M1671)</f>
        <v/>
      </c>
    </row>
    <row r="1672">
      <c r="A1672">
        <f>Data!E1754</f>
        <v/>
      </c>
      <c r="B1672">
        <f>Data!G1754</f>
        <v/>
      </c>
      <c r="C1672">
        <f>Data!H1754</f>
        <v/>
      </c>
      <c r="D1672">
        <f>Data!I1754</f>
        <v/>
      </c>
      <c r="E1672">
        <f>Data!M1754</f>
        <v/>
      </c>
      <c r="F1672">
        <f>Data!O1754</f>
        <v/>
      </c>
      <c r="G1672">
        <f>E1672-F1672</f>
        <v/>
      </c>
      <c r="H1672">
        <f>Data!P1754</f>
        <v/>
      </c>
      <c r="I1672">
        <f>G1672+H1672</f>
        <v/>
      </c>
      <c r="J1672">
        <f>F1672+G1672+H1672</f>
        <v/>
      </c>
      <c r="K1672">
        <f>Data!R1754</f>
        <v/>
      </c>
      <c r="L1672">
        <f>Data!T1754</f>
        <v/>
      </c>
      <c r="M1672">
        <f>AND(E1672=0,F1672=0,G1672=0,H1672=0,I1672=0,J1672=0,K1672=0,L1672=0)</f>
        <v/>
      </c>
      <c r="N1672">
        <f>G1672&lt;=$T$6</f>
        <v/>
      </c>
      <c r="O1672">
        <f>G1672&lt;=$T$12</f>
        <v/>
      </c>
      <c r="P1672">
        <f>OR(AND(H1672&gt;=$T$4,K1672&lt;=$T$5,N1672),M1672)</f>
        <v/>
      </c>
      <c r="Q1672">
        <f>OR(AND(I1672&gt;=$T$10,K1672&lt;=$T$11,O1672),M1672)</f>
        <v/>
      </c>
    </row>
    <row r="1673">
      <c r="A1673">
        <f>Data!E1755</f>
        <v/>
      </c>
      <c r="B1673">
        <f>Data!G1755</f>
        <v/>
      </c>
      <c r="C1673">
        <f>Data!H1755</f>
        <v/>
      </c>
      <c r="D1673">
        <f>Data!I1755</f>
        <v/>
      </c>
      <c r="E1673">
        <f>Data!M1755</f>
        <v/>
      </c>
      <c r="F1673">
        <f>Data!O1755</f>
        <v/>
      </c>
      <c r="G1673">
        <f>E1673-F1673</f>
        <v/>
      </c>
      <c r="H1673">
        <f>Data!P1755</f>
        <v/>
      </c>
      <c r="I1673">
        <f>G1673+H1673</f>
        <v/>
      </c>
      <c r="J1673">
        <f>F1673+G1673+H1673</f>
        <v/>
      </c>
      <c r="K1673">
        <f>Data!R1755</f>
        <v/>
      </c>
      <c r="L1673">
        <f>Data!T1755</f>
        <v/>
      </c>
      <c r="M1673">
        <f>AND(E1673=0,F1673=0,G1673=0,H1673=0,I1673=0,J1673=0,K1673=0,L1673=0)</f>
        <v/>
      </c>
      <c r="N1673">
        <f>G1673&lt;=$T$6</f>
        <v/>
      </c>
      <c r="O1673">
        <f>G1673&lt;=$T$12</f>
        <v/>
      </c>
      <c r="P1673">
        <f>OR(AND(H1673&gt;=$T$4,K1673&lt;=$T$5,N1673),M1673)</f>
        <v/>
      </c>
      <c r="Q1673">
        <f>OR(AND(I1673&gt;=$T$10,K1673&lt;=$T$11,O1673),M1673)</f>
        <v/>
      </c>
    </row>
    <row r="1674">
      <c r="A1674">
        <f>Data!E1756</f>
        <v/>
      </c>
      <c r="B1674">
        <f>Data!G1756</f>
        <v/>
      </c>
      <c r="C1674">
        <f>Data!H1756</f>
        <v/>
      </c>
      <c r="D1674">
        <f>Data!I1756</f>
        <v/>
      </c>
      <c r="E1674">
        <f>Data!M1756</f>
        <v/>
      </c>
      <c r="F1674">
        <f>Data!O1756</f>
        <v/>
      </c>
      <c r="G1674">
        <f>E1674-F1674</f>
        <v/>
      </c>
      <c r="H1674">
        <f>Data!P1756</f>
        <v/>
      </c>
      <c r="I1674">
        <f>G1674+H1674</f>
        <v/>
      </c>
      <c r="J1674">
        <f>F1674+G1674+H1674</f>
        <v/>
      </c>
      <c r="K1674">
        <f>Data!R1756</f>
        <v/>
      </c>
      <c r="L1674">
        <f>Data!T1756</f>
        <v/>
      </c>
      <c r="M1674">
        <f>AND(E1674=0,F1674=0,G1674=0,H1674=0,I1674=0,J1674=0,K1674=0,L1674=0)</f>
        <v/>
      </c>
      <c r="N1674">
        <f>G1674&lt;=$T$6</f>
        <v/>
      </c>
      <c r="O1674">
        <f>G1674&lt;=$T$12</f>
        <v/>
      </c>
      <c r="P1674">
        <f>OR(AND(H1674&gt;=$T$4,K1674&lt;=$T$5,N1674),M1674)</f>
        <v/>
      </c>
      <c r="Q1674">
        <f>OR(AND(I1674&gt;=$T$10,K1674&lt;=$T$11,O1674),M1674)</f>
        <v/>
      </c>
    </row>
    <row r="1675">
      <c r="A1675">
        <f>Data!E1758</f>
        <v/>
      </c>
      <c r="B1675">
        <f>Data!G1758</f>
        <v/>
      </c>
      <c r="C1675">
        <f>Data!H1758</f>
        <v/>
      </c>
      <c r="D1675">
        <f>Data!I1758</f>
        <v/>
      </c>
      <c r="E1675">
        <f>Data!M1758</f>
        <v/>
      </c>
      <c r="F1675">
        <f>Data!O1758</f>
        <v/>
      </c>
      <c r="G1675">
        <f>E1675-F1675</f>
        <v/>
      </c>
      <c r="H1675">
        <f>Data!P1758</f>
        <v/>
      </c>
      <c r="I1675">
        <f>G1675+H1675</f>
        <v/>
      </c>
      <c r="J1675">
        <f>F1675+G1675+H1675</f>
        <v/>
      </c>
      <c r="K1675">
        <f>Data!R1758</f>
        <v/>
      </c>
      <c r="L1675">
        <f>Data!T1758</f>
        <v/>
      </c>
      <c r="M1675">
        <f>AND(E1675=0,F1675=0,G1675=0,H1675=0,I1675=0,J1675=0,K1675=0,L1675=0)</f>
        <v/>
      </c>
      <c r="N1675">
        <f>G1675&lt;=$T$6</f>
        <v/>
      </c>
      <c r="O1675">
        <f>G1675&lt;=$T$12</f>
        <v/>
      </c>
      <c r="P1675">
        <f>OR(AND(H1675&gt;=$T$4,K1675&lt;=$T$5,N1675),M1675)</f>
        <v/>
      </c>
      <c r="Q1675">
        <f>OR(AND(I1675&gt;=$T$10,K1675&lt;=$T$11,O1675),M1675)</f>
        <v/>
      </c>
    </row>
    <row r="1676">
      <c r="A1676">
        <f>Data!E1759</f>
        <v/>
      </c>
      <c r="B1676">
        <f>Data!G1759</f>
        <v/>
      </c>
      <c r="C1676">
        <f>Data!H1759</f>
        <v/>
      </c>
      <c r="D1676">
        <f>Data!I1759</f>
        <v/>
      </c>
      <c r="E1676">
        <f>Data!M1759</f>
        <v/>
      </c>
      <c r="F1676">
        <f>Data!O1759</f>
        <v/>
      </c>
      <c r="G1676">
        <f>E1676-F1676</f>
        <v/>
      </c>
      <c r="H1676">
        <f>Data!P1759</f>
        <v/>
      </c>
      <c r="I1676">
        <f>G1676+H1676</f>
        <v/>
      </c>
      <c r="J1676">
        <f>F1676+G1676+H1676</f>
        <v/>
      </c>
      <c r="K1676">
        <f>Data!R1759</f>
        <v/>
      </c>
      <c r="L1676">
        <f>Data!T1759</f>
        <v/>
      </c>
      <c r="M1676">
        <f>AND(E1676=0,F1676=0,G1676=0,H1676=0,I1676=0,J1676=0,K1676=0,L1676=0)</f>
        <v/>
      </c>
      <c r="N1676">
        <f>G1676&lt;=$T$6</f>
        <v/>
      </c>
      <c r="O1676">
        <f>G1676&lt;=$T$12</f>
        <v/>
      </c>
      <c r="P1676">
        <f>OR(AND(H1676&gt;=$T$4,K1676&lt;=$T$5,N1676),M1676)</f>
        <v/>
      </c>
      <c r="Q1676">
        <f>OR(AND(I1676&gt;=$T$10,K1676&lt;=$T$11,O1676),M1676)</f>
        <v/>
      </c>
    </row>
    <row r="1677">
      <c r="A1677">
        <f>Data!E1760</f>
        <v/>
      </c>
      <c r="B1677">
        <f>Data!G1760</f>
        <v/>
      </c>
      <c r="C1677">
        <f>Data!H1760</f>
        <v/>
      </c>
      <c r="D1677">
        <f>Data!I1760</f>
        <v/>
      </c>
      <c r="E1677">
        <f>Data!M1760</f>
        <v/>
      </c>
      <c r="F1677">
        <f>Data!O1760</f>
        <v/>
      </c>
      <c r="G1677">
        <f>E1677-F1677</f>
        <v/>
      </c>
      <c r="H1677">
        <f>Data!P1760</f>
        <v/>
      </c>
      <c r="I1677">
        <f>G1677+H1677</f>
        <v/>
      </c>
      <c r="J1677">
        <f>F1677+G1677+H1677</f>
        <v/>
      </c>
      <c r="K1677">
        <f>Data!R1760</f>
        <v/>
      </c>
      <c r="L1677">
        <f>Data!T1760</f>
        <v/>
      </c>
      <c r="M1677">
        <f>AND(E1677=0,F1677=0,G1677=0,H1677=0,I1677=0,J1677=0,K1677=0,L1677=0)</f>
        <v/>
      </c>
      <c r="N1677">
        <f>G1677&lt;=$T$6</f>
        <v/>
      </c>
      <c r="O1677">
        <f>G1677&lt;=$T$12</f>
        <v/>
      </c>
      <c r="P1677">
        <f>OR(AND(H1677&gt;=$T$4,K1677&lt;=$T$5,N1677),M1677)</f>
        <v/>
      </c>
      <c r="Q1677">
        <f>OR(AND(I1677&gt;=$T$10,K1677&lt;=$T$11,O1677),M1677)</f>
        <v/>
      </c>
    </row>
    <row r="1678">
      <c r="A1678">
        <f>Data!E1761</f>
        <v/>
      </c>
      <c r="B1678">
        <f>Data!G1761</f>
        <v/>
      </c>
      <c r="C1678">
        <f>Data!H1761</f>
        <v/>
      </c>
      <c r="D1678">
        <f>Data!I1761</f>
        <v/>
      </c>
      <c r="E1678">
        <f>Data!M1761</f>
        <v/>
      </c>
      <c r="F1678">
        <f>Data!O1761</f>
        <v/>
      </c>
      <c r="G1678">
        <f>E1678-F1678</f>
        <v/>
      </c>
      <c r="H1678">
        <f>Data!P1761</f>
        <v/>
      </c>
      <c r="I1678">
        <f>G1678+H1678</f>
        <v/>
      </c>
      <c r="J1678">
        <f>F1678+G1678+H1678</f>
        <v/>
      </c>
      <c r="K1678">
        <f>Data!R1761</f>
        <v/>
      </c>
      <c r="L1678">
        <f>Data!T1761</f>
        <v/>
      </c>
      <c r="M1678">
        <f>AND(E1678=0,F1678=0,G1678=0,H1678=0,I1678=0,J1678=0,K1678=0,L1678=0)</f>
        <v/>
      </c>
      <c r="N1678">
        <f>G1678&lt;=$T$6</f>
        <v/>
      </c>
      <c r="O1678">
        <f>G1678&lt;=$T$12</f>
        <v/>
      </c>
      <c r="P1678">
        <f>OR(AND(H1678&gt;=$T$4,K1678&lt;=$T$5,N1678),M1678)</f>
        <v/>
      </c>
      <c r="Q1678">
        <f>OR(AND(I1678&gt;=$T$10,K1678&lt;=$T$11,O1678),M1678)</f>
        <v/>
      </c>
    </row>
    <row r="1679">
      <c r="A1679">
        <f>Data!E1762</f>
        <v/>
      </c>
      <c r="B1679">
        <f>Data!G1762</f>
        <v/>
      </c>
      <c r="C1679">
        <f>Data!H1762</f>
        <v/>
      </c>
      <c r="D1679">
        <f>Data!I1762</f>
        <v/>
      </c>
      <c r="E1679">
        <f>Data!M1762</f>
        <v/>
      </c>
      <c r="F1679">
        <f>Data!O1762</f>
        <v/>
      </c>
      <c r="G1679">
        <f>E1679-F1679</f>
        <v/>
      </c>
      <c r="H1679">
        <f>Data!P1762</f>
        <v/>
      </c>
      <c r="I1679">
        <f>G1679+H1679</f>
        <v/>
      </c>
      <c r="J1679">
        <f>F1679+G1679+H1679</f>
        <v/>
      </c>
      <c r="K1679">
        <f>Data!R1762</f>
        <v/>
      </c>
      <c r="L1679">
        <f>Data!T1762</f>
        <v/>
      </c>
      <c r="M1679">
        <f>AND(E1679=0,F1679=0,G1679=0,H1679=0,I1679=0,J1679=0,K1679=0,L1679=0)</f>
        <v/>
      </c>
      <c r="N1679">
        <f>G1679&lt;=$T$6</f>
        <v/>
      </c>
      <c r="O1679">
        <f>G1679&lt;=$T$12</f>
        <v/>
      </c>
      <c r="P1679">
        <f>OR(AND(H1679&gt;=$T$4,K1679&lt;=$T$5,N1679),M1679)</f>
        <v/>
      </c>
      <c r="Q1679">
        <f>OR(AND(I1679&gt;=$T$10,K1679&lt;=$T$11,O1679),M1679)</f>
        <v/>
      </c>
    </row>
    <row r="1680">
      <c r="A1680">
        <f>Data!E1763</f>
        <v/>
      </c>
      <c r="B1680">
        <f>Data!G1763</f>
        <v/>
      </c>
      <c r="C1680">
        <f>Data!H1763</f>
        <v/>
      </c>
      <c r="D1680">
        <f>Data!I1763</f>
        <v/>
      </c>
      <c r="E1680">
        <f>Data!M1763</f>
        <v/>
      </c>
      <c r="F1680">
        <f>Data!O1763</f>
        <v/>
      </c>
      <c r="G1680">
        <f>E1680-F1680</f>
        <v/>
      </c>
      <c r="H1680">
        <f>Data!P1763</f>
        <v/>
      </c>
      <c r="I1680">
        <f>G1680+H1680</f>
        <v/>
      </c>
      <c r="J1680">
        <f>F1680+G1680+H1680</f>
        <v/>
      </c>
      <c r="K1680">
        <f>Data!R1763</f>
        <v/>
      </c>
      <c r="L1680">
        <f>Data!T1763</f>
        <v/>
      </c>
      <c r="M1680">
        <f>AND(E1680=0,F1680=0,G1680=0,H1680=0,I1680=0,J1680=0,K1680=0,L1680=0)</f>
        <v/>
      </c>
      <c r="N1680">
        <f>G1680&lt;=$T$6</f>
        <v/>
      </c>
      <c r="O1680">
        <f>G1680&lt;=$T$12</f>
        <v/>
      </c>
      <c r="P1680">
        <f>OR(AND(H1680&gt;=$T$4,K1680&lt;=$T$5,N1680),M1680)</f>
        <v/>
      </c>
      <c r="Q1680">
        <f>OR(AND(I1680&gt;=$T$10,K1680&lt;=$T$11,O1680),M1680)</f>
        <v/>
      </c>
    </row>
    <row r="1681">
      <c r="A1681">
        <f>Data!E1764</f>
        <v/>
      </c>
      <c r="B1681">
        <f>Data!G1764</f>
        <v/>
      </c>
      <c r="C1681">
        <f>Data!H1764</f>
        <v/>
      </c>
      <c r="D1681">
        <f>Data!I1764</f>
        <v/>
      </c>
      <c r="E1681">
        <f>Data!M1764</f>
        <v/>
      </c>
      <c r="F1681">
        <f>Data!O1764</f>
        <v/>
      </c>
      <c r="G1681">
        <f>E1681-F1681</f>
        <v/>
      </c>
      <c r="H1681">
        <f>Data!P1764</f>
        <v/>
      </c>
      <c r="I1681">
        <f>G1681+H1681</f>
        <v/>
      </c>
      <c r="J1681">
        <f>F1681+G1681+H1681</f>
        <v/>
      </c>
      <c r="K1681">
        <f>Data!R1764</f>
        <v/>
      </c>
      <c r="L1681">
        <f>Data!T1764</f>
        <v/>
      </c>
      <c r="M1681">
        <f>AND(E1681=0,F1681=0,G1681=0,H1681=0,I1681=0,J1681=0,K1681=0,L1681=0)</f>
        <v/>
      </c>
      <c r="N1681">
        <f>G1681&lt;=$T$6</f>
        <v/>
      </c>
      <c r="O1681">
        <f>G1681&lt;=$T$12</f>
        <v/>
      </c>
      <c r="P1681">
        <f>OR(AND(H1681&gt;=$T$4,K1681&lt;=$T$5,N1681),M1681)</f>
        <v/>
      </c>
      <c r="Q1681">
        <f>OR(AND(I1681&gt;=$T$10,K1681&lt;=$T$11,O1681),M1681)</f>
        <v/>
      </c>
    </row>
    <row r="1682">
      <c r="A1682">
        <f>Data!E1765</f>
        <v/>
      </c>
      <c r="B1682">
        <f>Data!G1765</f>
        <v/>
      </c>
      <c r="C1682">
        <f>Data!H1765</f>
        <v/>
      </c>
      <c r="D1682">
        <f>Data!I1765</f>
        <v/>
      </c>
      <c r="E1682">
        <f>Data!M1765</f>
        <v/>
      </c>
      <c r="F1682">
        <f>Data!O1765</f>
        <v/>
      </c>
      <c r="G1682">
        <f>E1682-F1682</f>
        <v/>
      </c>
      <c r="H1682">
        <f>Data!P1765</f>
        <v/>
      </c>
      <c r="I1682">
        <f>G1682+H1682</f>
        <v/>
      </c>
      <c r="J1682">
        <f>F1682+G1682+H1682</f>
        <v/>
      </c>
      <c r="K1682">
        <f>Data!R1765</f>
        <v/>
      </c>
      <c r="L1682">
        <f>Data!T1765</f>
        <v/>
      </c>
      <c r="M1682">
        <f>AND(E1682=0,F1682=0,G1682=0,H1682=0,I1682=0,J1682=0,K1682=0,L1682=0)</f>
        <v/>
      </c>
      <c r="N1682">
        <f>G1682&lt;=$T$6</f>
        <v/>
      </c>
      <c r="O1682">
        <f>G1682&lt;=$T$12</f>
        <v/>
      </c>
      <c r="P1682">
        <f>OR(AND(H1682&gt;=$T$4,K1682&lt;=$T$5,N1682),M1682)</f>
        <v/>
      </c>
      <c r="Q1682">
        <f>OR(AND(I1682&gt;=$T$10,K1682&lt;=$T$11,O1682),M1682)</f>
        <v/>
      </c>
    </row>
    <row r="1683">
      <c r="A1683">
        <f>Data!E1766</f>
        <v/>
      </c>
      <c r="B1683">
        <f>Data!G1766</f>
        <v/>
      </c>
      <c r="C1683">
        <f>Data!H1766</f>
        <v/>
      </c>
      <c r="D1683">
        <f>Data!I1766</f>
        <v/>
      </c>
      <c r="E1683">
        <f>Data!M1766</f>
        <v/>
      </c>
      <c r="F1683">
        <f>Data!O1766</f>
        <v/>
      </c>
      <c r="G1683">
        <f>E1683-F1683</f>
        <v/>
      </c>
      <c r="H1683">
        <f>Data!P1766</f>
        <v/>
      </c>
      <c r="I1683">
        <f>G1683+H1683</f>
        <v/>
      </c>
      <c r="J1683">
        <f>F1683+G1683+H1683</f>
        <v/>
      </c>
      <c r="K1683">
        <f>Data!R1766</f>
        <v/>
      </c>
      <c r="L1683">
        <f>Data!T1766</f>
        <v/>
      </c>
      <c r="M1683">
        <f>AND(E1683=0,F1683=0,G1683=0,H1683=0,I1683=0,J1683=0,K1683=0,L1683=0)</f>
        <v/>
      </c>
      <c r="N1683">
        <f>G1683&lt;=$T$6</f>
        <v/>
      </c>
      <c r="O1683">
        <f>G1683&lt;=$T$12</f>
        <v/>
      </c>
      <c r="P1683">
        <f>OR(AND(H1683&gt;=$T$4,K1683&lt;=$T$5,N1683),M1683)</f>
        <v/>
      </c>
      <c r="Q1683">
        <f>OR(AND(I1683&gt;=$T$10,K1683&lt;=$T$11,O1683),M1683)</f>
        <v/>
      </c>
    </row>
    <row r="1684">
      <c r="A1684">
        <f>Data!E1767</f>
        <v/>
      </c>
      <c r="B1684">
        <f>Data!G1767</f>
        <v/>
      </c>
      <c r="C1684">
        <f>Data!H1767</f>
        <v/>
      </c>
      <c r="D1684">
        <f>Data!I1767</f>
        <v/>
      </c>
      <c r="E1684">
        <f>Data!M1767</f>
        <v/>
      </c>
      <c r="F1684">
        <f>Data!O1767</f>
        <v/>
      </c>
      <c r="G1684">
        <f>E1684-F1684</f>
        <v/>
      </c>
      <c r="H1684">
        <f>Data!P1767</f>
        <v/>
      </c>
      <c r="I1684">
        <f>G1684+H1684</f>
        <v/>
      </c>
      <c r="J1684">
        <f>F1684+G1684+H1684</f>
        <v/>
      </c>
      <c r="K1684">
        <f>Data!R1767</f>
        <v/>
      </c>
      <c r="L1684">
        <f>Data!T1767</f>
        <v/>
      </c>
      <c r="M1684">
        <f>AND(E1684=0,F1684=0,G1684=0,H1684=0,I1684=0,J1684=0,K1684=0,L1684=0)</f>
        <v/>
      </c>
      <c r="N1684">
        <f>G1684&lt;=$T$6</f>
        <v/>
      </c>
      <c r="O1684">
        <f>G1684&lt;=$T$12</f>
        <v/>
      </c>
      <c r="P1684">
        <f>OR(AND(H1684&gt;=$T$4,K1684&lt;=$T$5,N1684),M1684)</f>
        <v/>
      </c>
      <c r="Q1684">
        <f>OR(AND(I1684&gt;=$T$10,K1684&lt;=$T$11,O1684),M1684)</f>
        <v/>
      </c>
    </row>
    <row r="1685">
      <c r="A1685">
        <f>Data!E1768</f>
        <v/>
      </c>
      <c r="B1685">
        <f>Data!G1768</f>
        <v/>
      </c>
      <c r="C1685">
        <f>Data!H1768</f>
        <v/>
      </c>
      <c r="D1685">
        <f>Data!I1768</f>
        <v/>
      </c>
      <c r="E1685">
        <f>Data!M1768</f>
        <v/>
      </c>
      <c r="F1685">
        <f>Data!O1768</f>
        <v/>
      </c>
      <c r="G1685">
        <f>E1685-F1685</f>
        <v/>
      </c>
      <c r="H1685">
        <f>Data!P1768</f>
        <v/>
      </c>
      <c r="I1685">
        <f>G1685+H1685</f>
        <v/>
      </c>
      <c r="J1685">
        <f>F1685+G1685+H1685</f>
        <v/>
      </c>
      <c r="K1685">
        <f>Data!R1768</f>
        <v/>
      </c>
      <c r="L1685">
        <f>Data!T1768</f>
        <v/>
      </c>
      <c r="M1685">
        <f>AND(E1685=0,F1685=0,G1685=0,H1685=0,I1685=0,J1685=0,K1685=0,L1685=0)</f>
        <v/>
      </c>
      <c r="N1685">
        <f>G1685&lt;=$T$6</f>
        <v/>
      </c>
      <c r="O1685">
        <f>G1685&lt;=$T$12</f>
        <v/>
      </c>
      <c r="P1685">
        <f>OR(AND(H1685&gt;=$T$4,K1685&lt;=$T$5,N1685),M1685)</f>
        <v/>
      </c>
      <c r="Q1685">
        <f>OR(AND(I1685&gt;=$T$10,K1685&lt;=$T$11,O1685),M1685)</f>
        <v/>
      </c>
    </row>
    <row r="1686">
      <c r="A1686">
        <f>Data!E1769</f>
        <v/>
      </c>
      <c r="B1686">
        <f>Data!G1769</f>
        <v/>
      </c>
      <c r="C1686">
        <f>Data!H1769</f>
        <v/>
      </c>
      <c r="D1686">
        <f>Data!I1769</f>
        <v/>
      </c>
      <c r="E1686">
        <f>Data!M1769</f>
        <v/>
      </c>
      <c r="F1686">
        <f>Data!O1769</f>
        <v/>
      </c>
      <c r="G1686">
        <f>E1686-F1686</f>
        <v/>
      </c>
      <c r="H1686">
        <f>Data!P1769</f>
        <v/>
      </c>
      <c r="I1686">
        <f>G1686+H1686</f>
        <v/>
      </c>
      <c r="J1686">
        <f>F1686+G1686+H1686</f>
        <v/>
      </c>
      <c r="K1686">
        <f>Data!R1769</f>
        <v/>
      </c>
      <c r="L1686">
        <f>Data!T1769</f>
        <v/>
      </c>
      <c r="M1686">
        <f>AND(E1686=0,F1686=0,G1686=0,H1686=0,I1686=0,J1686=0,K1686=0,L1686=0)</f>
        <v/>
      </c>
      <c r="N1686">
        <f>G1686&lt;=$T$6</f>
        <v/>
      </c>
      <c r="O1686">
        <f>G1686&lt;=$T$12</f>
        <v/>
      </c>
      <c r="P1686">
        <f>OR(AND(H1686&gt;=$T$4,K1686&lt;=$T$5,N1686),M1686)</f>
        <v/>
      </c>
      <c r="Q1686">
        <f>OR(AND(I1686&gt;=$T$10,K1686&lt;=$T$11,O1686),M1686)</f>
        <v/>
      </c>
    </row>
    <row r="1687">
      <c r="A1687">
        <f>Data!E1770</f>
        <v/>
      </c>
      <c r="B1687">
        <f>Data!G1770</f>
        <v/>
      </c>
      <c r="C1687">
        <f>Data!H1770</f>
        <v/>
      </c>
      <c r="D1687">
        <f>Data!I1770</f>
        <v/>
      </c>
      <c r="E1687">
        <f>Data!M1770</f>
        <v/>
      </c>
      <c r="F1687">
        <f>Data!O1770</f>
        <v/>
      </c>
      <c r="G1687">
        <f>E1687-F1687</f>
        <v/>
      </c>
      <c r="H1687">
        <f>Data!P1770</f>
        <v/>
      </c>
      <c r="I1687">
        <f>G1687+H1687</f>
        <v/>
      </c>
      <c r="J1687">
        <f>F1687+G1687+H1687</f>
        <v/>
      </c>
      <c r="K1687">
        <f>Data!R1770</f>
        <v/>
      </c>
      <c r="L1687">
        <f>Data!T1770</f>
        <v/>
      </c>
      <c r="M1687">
        <f>AND(E1687=0,F1687=0,G1687=0,H1687=0,I1687=0,J1687=0,K1687=0,L1687=0)</f>
        <v/>
      </c>
      <c r="N1687">
        <f>G1687&lt;=$T$6</f>
        <v/>
      </c>
      <c r="O1687">
        <f>G1687&lt;=$T$12</f>
        <v/>
      </c>
      <c r="P1687">
        <f>OR(AND(H1687&gt;=$T$4,K1687&lt;=$T$5,N1687),M1687)</f>
        <v/>
      </c>
      <c r="Q1687">
        <f>OR(AND(I1687&gt;=$T$10,K1687&lt;=$T$11,O1687),M1687)</f>
        <v/>
      </c>
    </row>
    <row r="1688">
      <c r="A1688">
        <f>Data!E1771</f>
        <v/>
      </c>
      <c r="B1688">
        <f>Data!G1771</f>
        <v/>
      </c>
      <c r="C1688">
        <f>Data!H1771</f>
        <v/>
      </c>
      <c r="D1688">
        <f>Data!I1771</f>
        <v/>
      </c>
      <c r="E1688">
        <f>Data!M1771</f>
        <v/>
      </c>
      <c r="F1688">
        <f>Data!O1771</f>
        <v/>
      </c>
      <c r="G1688">
        <f>E1688-F1688</f>
        <v/>
      </c>
      <c r="H1688">
        <f>Data!P1771</f>
        <v/>
      </c>
      <c r="I1688">
        <f>G1688+H1688</f>
        <v/>
      </c>
      <c r="J1688">
        <f>F1688+G1688+H1688</f>
        <v/>
      </c>
      <c r="K1688">
        <f>Data!R1771</f>
        <v/>
      </c>
      <c r="L1688">
        <f>Data!T1771</f>
        <v/>
      </c>
      <c r="M1688">
        <f>AND(E1688=0,F1688=0,G1688=0,H1688=0,I1688=0,J1688=0,K1688=0,L1688=0)</f>
        <v/>
      </c>
      <c r="N1688">
        <f>G1688&lt;=$T$6</f>
        <v/>
      </c>
      <c r="O1688">
        <f>G1688&lt;=$T$12</f>
        <v/>
      </c>
      <c r="P1688">
        <f>OR(AND(H1688&gt;=$T$4,K1688&lt;=$T$5,N1688),M1688)</f>
        <v/>
      </c>
      <c r="Q1688">
        <f>OR(AND(I1688&gt;=$T$10,K1688&lt;=$T$11,O1688),M1688)</f>
        <v/>
      </c>
    </row>
    <row r="1689">
      <c r="A1689">
        <f>Data!E1772</f>
        <v/>
      </c>
      <c r="B1689">
        <f>Data!G1772</f>
        <v/>
      </c>
      <c r="C1689">
        <f>Data!H1772</f>
        <v/>
      </c>
      <c r="D1689">
        <f>Data!I1772</f>
        <v/>
      </c>
      <c r="E1689">
        <f>Data!M1772</f>
        <v/>
      </c>
      <c r="F1689">
        <f>Data!O1772</f>
        <v/>
      </c>
      <c r="G1689">
        <f>E1689-F1689</f>
        <v/>
      </c>
      <c r="H1689">
        <f>Data!P1772</f>
        <v/>
      </c>
      <c r="I1689">
        <f>G1689+H1689</f>
        <v/>
      </c>
      <c r="J1689">
        <f>F1689+G1689+H1689</f>
        <v/>
      </c>
      <c r="K1689">
        <f>Data!R1772</f>
        <v/>
      </c>
      <c r="L1689">
        <f>Data!T1772</f>
        <v/>
      </c>
      <c r="M1689">
        <f>AND(E1689=0,F1689=0,G1689=0,H1689=0,I1689=0,J1689=0,K1689=0,L1689=0)</f>
        <v/>
      </c>
      <c r="N1689">
        <f>G1689&lt;=$T$6</f>
        <v/>
      </c>
      <c r="O1689">
        <f>G1689&lt;=$T$12</f>
        <v/>
      </c>
      <c r="P1689">
        <f>OR(AND(H1689&gt;=$T$4,K1689&lt;=$T$5,N1689),M1689)</f>
        <v/>
      </c>
      <c r="Q1689">
        <f>OR(AND(I1689&gt;=$T$10,K1689&lt;=$T$11,O1689),M1689)</f>
        <v/>
      </c>
    </row>
    <row r="1690">
      <c r="A1690">
        <f>Data!E1773</f>
        <v/>
      </c>
      <c r="B1690">
        <f>Data!G1773</f>
        <v/>
      </c>
      <c r="C1690">
        <f>Data!H1773</f>
        <v/>
      </c>
      <c r="D1690">
        <f>Data!I1773</f>
        <v/>
      </c>
      <c r="E1690">
        <f>Data!M1773</f>
        <v/>
      </c>
      <c r="F1690">
        <f>Data!O1773</f>
        <v/>
      </c>
      <c r="G1690">
        <f>E1690-F1690</f>
        <v/>
      </c>
      <c r="H1690">
        <f>Data!P1773</f>
        <v/>
      </c>
      <c r="I1690">
        <f>G1690+H1690</f>
        <v/>
      </c>
      <c r="J1690">
        <f>F1690+G1690+H1690</f>
        <v/>
      </c>
      <c r="K1690">
        <f>Data!R1773</f>
        <v/>
      </c>
      <c r="L1690">
        <f>Data!T1773</f>
        <v/>
      </c>
      <c r="M1690">
        <f>AND(E1690=0,F1690=0,G1690=0,H1690=0,I1690=0,J1690=0,K1690=0,L1690=0)</f>
        <v/>
      </c>
      <c r="N1690">
        <f>G1690&lt;=$T$6</f>
        <v/>
      </c>
      <c r="O1690">
        <f>G1690&lt;=$T$12</f>
        <v/>
      </c>
      <c r="P1690">
        <f>OR(AND(H1690&gt;=$T$4,K1690&lt;=$T$5,N1690),M1690)</f>
        <v/>
      </c>
      <c r="Q1690">
        <f>OR(AND(I1690&gt;=$T$10,K1690&lt;=$T$11,O1690),M1690)</f>
        <v/>
      </c>
    </row>
    <row r="1691">
      <c r="A1691">
        <f>Data!E1774</f>
        <v/>
      </c>
      <c r="B1691">
        <f>Data!G1774</f>
        <v/>
      </c>
      <c r="C1691">
        <f>Data!H1774</f>
        <v/>
      </c>
      <c r="D1691">
        <f>Data!I1774</f>
        <v/>
      </c>
      <c r="E1691">
        <f>Data!M1774</f>
        <v/>
      </c>
      <c r="F1691">
        <f>Data!O1774</f>
        <v/>
      </c>
      <c r="G1691">
        <f>E1691-F1691</f>
        <v/>
      </c>
      <c r="H1691">
        <f>Data!P1774</f>
        <v/>
      </c>
      <c r="I1691">
        <f>G1691+H1691</f>
        <v/>
      </c>
      <c r="J1691">
        <f>F1691+G1691+H1691</f>
        <v/>
      </c>
      <c r="K1691">
        <f>Data!R1774</f>
        <v/>
      </c>
      <c r="L1691">
        <f>Data!T1774</f>
        <v/>
      </c>
      <c r="M1691">
        <f>AND(E1691=0,F1691=0,G1691=0,H1691=0,I1691=0,J1691=0,K1691=0,L1691=0)</f>
        <v/>
      </c>
      <c r="N1691">
        <f>G1691&lt;=$T$6</f>
        <v/>
      </c>
      <c r="O1691">
        <f>G1691&lt;=$T$12</f>
        <v/>
      </c>
      <c r="P1691">
        <f>OR(AND(H1691&gt;=$T$4,K1691&lt;=$T$5,N1691),M1691)</f>
        <v/>
      </c>
      <c r="Q1691">
        <f>OR(AND(I1691&gt;=$T$10,K1691&lt;=$T$11,O1691),M1691)</f>
        <v/>
      </c>
    </row>
    <row r="1692">
      <c r="A1692">
        <f>Data!E1776</f>
        <v/>
      </c>
      <c r="B1692">
        <f>Data!G1776</f>
        <v/>
      </c>
      <c r="C1692">
        <f>Data!H1776</f>
        <v/>
      </c>
      <c r="D1692">
        <f>Data!I1776</f>
        <v/>
      </c>
      <c r="E1692">
        <f>Data!M1776</f>
        <v/>
      </c>
      <c r="F1692">
        <f>Data!O1776</f>
        <v/>
      </c>
      <c r="G1692">
        <f>E1692-F1692</f>
        <v/>
      </c>
      <c r="H1692">
        <f>Data!P1776</f>
        <v/>
      </c>
      <c r="I1692">
        <f>G1692+H1692</f>
        <v/>
      </c>
      <c r="J1692">
        <f>F1692+G1692+H1692</f>
        <v/>
      </c>
      <c r="K1692">
        <f>Data!R1776</f>
        <v/>
      </c>
      <c r="L1692">
        <f>Data!T1776</f>
        <v/>
      </c>
      <c r="M1692">
        <f>AND(E1692=0,F1692=0,G1692=0,H1692=0,I1692=0,J1692=0,K1692=0,L1692=0)</f>
        <v/>
      </c>
      <c r="N1692">
        <f>G1692&lt;=$T$6</f>
        <v/>
      </c>
      <c r="O1692">
        <f>G1692&lt;=$T$12</f>
        <v/>
      </c>
      <c r="P1692">
        <f>OR(AND(H1692&gt;=$T$4,K1692&lt;=$T$5,N1692),M1692)</f>
        <v/>
      </c>
      <c r="Q1692">
        <f>OR(AND(I1692&gt;=$T$10,K1692&lt;=$T$11,O1692),M1692)</f>
        <v/>
      </c>
    </row>
    <row r="1693">
      <c r="A1693">
        <f>Data!E1777</f>
        <v/>
      </c>
      <c r="B1693">
        <f>Data!G1777</f>
        <v/>
      </c>
      <c r="C1693">
        <f>Data!H1777</f>
        <v/>
      </c>
      <c r="D1693">
        <f>Data!I1777</f>
        <v/>
      </c>
      <c r="E1693">
        <f>Data!M1777</f>
        <v/>
      </c>
      <c r="F1693">
        <f>Data!O1777</f>
        <v/>
      </c>
      <c r="G1693">
        <f>E1693-F1693</f>
        <v/>
      </c>
      <c r="H1693">
        <f>Data!P1777</f>
        <v/>
      </c>
      <c r="I1693">
        <f>G1693+H1693</f>
        <v/>
      </c>
      <c r="J1693">
        <f>F1693+G1693+H1693</f>
        <v/>
      </c>
      <c r="K1693">
        <f>Data!R1777</f>
        <v/>
      </c>
      <c r="L1693">
        <f>Data!T1777</f>
        <v/>
      </c>
      <c r="M1693">
        <f>AND(E1693=0,F1693=0,G1693=0,H1693=0,I1693=0,J1693=0,K1693=0,L1693=0)</f>
        <v/>
      </c>
      <c r="N1693">
        <f>G1693&lt;=$T$6</f>
        <v/>
      </c>
      <c r="O1693">
        <f>G1693&lt;=$T$12</f>
        <v/>
      </c>
      <c r="P1693">
        <f>OR(AND(H1693&gt;=$T$4,K1693&lt;=$T$5,N1693),M1693)</f>
        <v/>
      </c>
      <c r="Q1693">
        <f>OR(AND(I1693&gt;=$T$10,K1693&lt;=$T$11,O1693),M1693)</f>
        <v/>
      </c>
    </row>
    <row r="1694">
      <c r="A1694">
        <f>Data!E1778</f>
        <v/>
      </c>
      <c r="B1694">
        <f>Data!G1778</f>
        <v/>
      </c>
      <c r="C1694">
        <f>Data!H1778</f>
        <v/>
      </c>
      <c r="D1694">
        <f>Data!I1778</f>
        <v/>
      </c>
      <c r="E1694">
        <f>Data!M1778</f>
        <v/>
      </c>
      <c r="F1694">
        <f>Data!O1778</f>
        <v/>
      </c>
      <c r="G1694">
        <f>E1694-F1694</f>
        <v/>
      </c>
      <c r="H1694">
        <f>Data!P1778</f>
        <v/>
      </c>
      <c r="I1694">
        <f>G1694+H1694</f>
        <v/>
      </c>
      <c r="J1694">
        <f>F1694+G1694+H1694</f>
        <v/>
      </c>
      <c r="K1694">
        <f>Data!R1778</f>
        <v/>
      </c>
      <c r="L1694">
        <f>Data!T1778</f>
        <v/>
      </c>
      <c r="M1694">
        <f>AND(E1694=0,F1694=0,G1694=0,H1694=0,I1694=0,J1694=0,K1694=0,L1694=0)</f>
        <v/>
      </c>
      <c r="N1694">
        <f>G1694&lt;=$T$6</f>
        <v/>
      </c>
      <c r="O1694">
        <f>G1694&lt;=$T$12</f>
        <v/>
      </c>
      <c r="P1694">
        <f>OR(AND(H1694&gt;=$T$4,K1694&lt;=$T$5,N1694),M1694)</f>
        <v/>
      </c>
      <c r="Q1694">
        <f>OR(AND(I1694&gt;=$T$10,K1694&lt;=$T$11,O1694),M1694)</f>
        <v/>
      </c>
    </row>
    <row r="1695">
      <c r="A1695">
        <f>Data!E1779</f>
        <v/>
      </c>
      <c r="B1695">
        <f>Data!G1779</f>
        <v/>
      </c>
      <c r="C1695">
        <f>Data!H1779</f>
        <v/>
      </c>
      <c r="D1695">
        <f>Data!I1779</f>
        <v/>
      </c>
      <c r="E1695">
        <f>Data!M1779</f>
        <v/>
      </c>
      <c r="F1695">
        <f>Data!O1779</f>
        <v/>
      </c>
      <c r="G1695">
        <f>E1695-F1695</f>
        <v/>
      </c>
      <c r="H1695">
        <f>Data!P1779</f>
        <v/>
      </c>
      <c r="I1695">
        <f>G1695+H1695</f>
        <v/>
      </c>
      <c r="J1695">
        <f>F1695+G1695+H1695</f>
        <v/>
      </c>
      <c r="K1695">
        <f>Data!R1779</f>
        <v/>
      </c>
      <c r="L1695">
        <f>Data!T1779</f>
        <v/>
      </c>
      <c r="M1695">
        <f>AND(E1695=0,F1695=0,G1695=0,H1695=0,I1695=0,J1695=0,K1695=0,L1695=0)</f>
        <v/>
      </c>
      <c r="N1695">
        <f>G1695&lt;=$T$6</f>
        <v/>
      </c>
      <c r="O1695">
        <f>G1695&lt;=$T$12</f>
        <v/>
      </c>
      <c r="P1695">
        <f>OR(AND(H1695&gt;=$T$4,K1695&lt;=$T$5,N1695),M1695)</f>
        <v/>
      </c>
      <c r="Q1695">
        <f>OR(AND(I1695&gt;=$T$10,K1695&lt;=$T$11,O1695),M1695)</f>
        <v/>
      </c>
    </row>
    <row r="1696">
      <c r="A1696">
        <f>Data!E1780</f>
        <v/>
      </c>
      <c r="B1696">
        <f>Data!G1780</f>
        <v/>
      </c>
      <c r="C1696">
        <f>Data!H1780</f>
        <v/>
      </c>
      <c r="D1696">
        <f>Data!I1780</f>
        <v/>
      </c>
      <c r="E1696">
        <f>Data!M1780</f>
        <v/>
      </c>
      <c r="F1696">
        <f>Data!O1780</f>
        <v/>
      </c>
      <c r="G1696">
        <f>E1696-F1696</f>
        <v/>
      </c>
      <c r="H1696">
        <f>Data!P1780</f>
        <v/>
      </c>
      <c r="I1696">
        <f>G1696+H1696</f>
        <v/>
      </c>
      <c r="J1696">
        <f>F1696+G1696+H1696</f>
        <v/>
      </c>
      <c r="K1696">
        <f>Data!R1780</f>
        <v/>
      </c>
      <c r="L1696">
        <f>Data!T1780</f>
        <v/>
      </c>
      <c r="M1696">
        <f>AND(E1696=0,F1696=0,G1696=0,H1696=0,I1696=0,J1696=0,K1696=0,L1696=0)</f>
        <v/>
      </c>
      <c r="N1696">
        <f>G1696&lt;=$T$6</f>
        <v/>
      </c>
      <c r="O1696">
        <f>G1696&lt;=$T$12</f>
        <v/>
      </c>
      <c r="P1696">
        <f>OR(AND(H1696&gt;=$T$4,K1696&lt;=$T$5,N1696),M1696)</f>
        <v/>
      </c>
      <c r="Q1696">
        <f>OR(AND(I1696&gt;=$T$10,K1696&lt;=$T$11,O1696),M1696)</f>
        <v/>
      </c>
    </row>
    <row r="1697">
      <c r="A1697">
        <f>Data!E1781</f>
        <v/>
      </c>
      <c r="B1697">
        <f>Data!G1781</f>
        <v/>
      </c>
      <c r="C1697">
        <f>Data!H1781</f>
        <v/>
      </c>
      <c r="D1697">
        <f>Data!I1781</f>
        <v/>
      </c>
      <c r="E1697">
        <f>Data!M1781</f>
        <v/>
      </c>
      <c r="F1697">
        <f>Data!O1781</f>
        <v/>
      </c>
      <c r="G1697">
        <f>E1697-F1697</f>
        <v/>
      </c>
      <c r="H1697">
        <f>Data!P1781</f>
        <v/>
      </c>
      <c r="I1697">
        <f>G1697+H1697</f>
        <v/>
      </c>
      <c r="J1697">
        <f>F1697+G1697+H1697</f>
        <v/>
      </c>
      <c r="K1697">
        <f>Data!R1781</f>
        <v/>
      </c>
      <c r="L1697">
        <f>Data!T1781</f>
        <v/>
      </c>
      <c r="M1697">
        <f>AND(E1697=0,F1697=0,G1697=0,H1697=0,I1697=0,J1697=0,K1697=0,L1697=0)</f>
        <v/>
      </c>
      <c r="N1697">
        <f>G1697&lt;=$T$6</f>
        <v/>
      </c>
      <c r="O1697">
        <f>G1697&lt;=$T$12</f>
        <v/>
      </c>
      <c r="P1697">
        <f>OR(AND(H1697&gt;=$T$4,K1697&lt;=$T$5,N1697),M1697)</f>
        <v/>
      </c>
      <c r="Q1697">
        <f>OR(AND(I1697&gt;=$T$10,K1697&lt;=$T$11,O1697),M1697)</f>
        <v/>
      </c>
    </row>
    <row r="1698">
      <c r="A1698">
        <f>Data!E1782</f>
        <v/>
      </c>
      <c r="B1698">
        <f>Data!G1782</f>
        <v/>
      </c>
      <c r="C1698">
        <f>Data!H1782</f>
        <v/>
      </c>
      <c r="D1698">
        <f>Data!I1782</f>
        <v/>
      </c>
      <c r="E1698">
        <f>Data!M1782</f>
        <v/>
      </c>
      <c r="F1698">
        <f>Data!O1782</f>
        <v/>
      </c>
      <c r="G1698">
        <f>E1698-F1698</f>
        <v/>
      </c>
      <c r="H1698">
        <f>Data!P1782</f>
        <v/>
      </c>
      <c r="I1698">
        <f>G1698+H1698</f>
        <v/>
      </c>
      <c r="J1698">
        <f>F1698+G1698+H1698</f>
        <v/>
      </c>
      <c r="K1698">
        <f>Data!R1782</f>
        <v/>
      </c>
      <c r="L1698">
        <f>Data!T1782</f>
        <v/>
      </c>
      <c r="M1698">
        <f>AND(E1698=0,F1698=0,G1698=0,H1698=0,I1698=0,J1698=0,K1698=0,L1698=0)</f>
        <v/>
      </c>
      <c r="N1698">
        <f>G1698&lt;=$T$6</f>
        <v/>
      </c>
      <c r="O1698">
        <f>G1698&lt;=$T$12</f>
        <v/>
      </c>
      <c r="P1698">
        <f>OR(AND(H1698&gt;=$T$4,K1698&lt;=$T$5,N1698),M1698)</f>
        <v/>
      </c>
      <c r="Q1698">
        <f>OR(AND(I1698&gt;=$T$10,K1698&lt;=$T$11,O1698),M1698)</f>
        <v/>
      </c>
    </row>
    <row r="1699">
      <c r="A1699">
        <f>Data!E1783</f>
        <v/>
      </c>
      <c r="B1699">
        <f>Data!G1783</f>
        <v/>
      </c>
      <c r="C1699">
        <f>Data!H1783</f>
        <v/>
      </c>
      <c r="D1699">
        <f>Data!I1783</f>
        <v/>
      </c>
      <c r="E1699">
        <f>Data!M1783</f>
        <v/>
      </c>
      <c r="F1699">
        <f>Data!O1783</f>
        <v/>
      </c>
      <c r="G1699">
        <f>E1699-F1699</f>
        <v/>
      </c>
      <c r="H1699">
        <f>Data!P1783</f>
        <v/>
      </c>
      <c r="I1699">
        <f>G1699+H1699</f>
        <v/>
      </c>
      <c r="J1699">
        <f>F1699+G1699+H1699</f>
        <v/>
      </c>
      <c r="K1699">
        <f>Data!R1783</f>
        <v/>
      </c>
      <c r="L1699">
        <f>Data!T1783</f>
        <v/>
      </c>
      <c r="M1699">
        <f>AND(E1699=0,F1699=0,G1699=0,H1699=0,I1699=0,J1699=0,K1699=0,L1699=0)</f>
        <v/>
      </c>
      <c r="N1699">
        <f>G1699&lt;=$T$6</f>
        <v/>
      </c>
      <c r="O1699">
        <f>G1699&lt;=$T$12</f>
        <v/>
      </c>
      <c r="P1699">
        <f>OR(AND(H1699&gt;=$T$4,K1699&lt;=$T$5,N1699),M1699)</f>
        <v/>
      </c>
      <c r="Q1699">
        <f>OR(AND(I1699&gt;=$T$10,K1699&lt;=$T$11,O1699),M1699)</f>
        <v/>
      </c>
    </row>
    <row r="1700">
      <c r="A1700">
        <f>Data!E1784</f>
        <v/>
      </c>
      <c r="B1700">
        <f>Data!G1784</f>
        <v/>
      </c>
      <c r="C1700">
        <f>Data!H1784</f>
        <v/>
      </c>
      <c r="D1700">
        <f>Data!I1784</f>
        <v/>
      </c>
      <c r="E1700">
        <f>Data!M1784</f>
        <v/>
      </c>
      <c r="F1700">
        <f>Data!O1784</f>
        <v/>
      </c>
      <c r="G1700">
        <f>E1700-F1700</f>
        <v/>
      </c>
      <c r="H1700">
        <f>Data!P1784</f>
        <v/>
      </c>
      <c r="I1700">
        <f>G1700+H1700</f>
        <v/>
      </c>
      <c r="J1700">
        <f>F1700+G1700+H1700</f>
        <v/>
      </c>
      <c r="K1700">
        <f>Data!R1784</f>
        <v/>
      </c>
      <c r="L1700">
        <f>Data!T1784</f>
        <v/>
      </c>
      <c r="M1700">
        <f>AND(E1700=0,F1700=0,G1700=0,H1700=0,I1700=0,J1700=0,K1700=0,L1700=0)</f>
        <v/>
      </c>
      <c r="N1700">
        <f>G1700&lt;=$T$6</f>
        <v/>
      </c>
      <c r="O1700">
        <f>G1700&lt;=$T$12</f>
        <v/>
      </c>
      <c r="P1700">
        <f>OR(AND(H1700&gt;=$T$4,K1700&lt;=$T$5,N1700),M1700)</f>
        <v/>
      </c>
      <c r="Q1700">
        <f>OR(AND(I1700&gt;=$T$10,K1700&lt;=$T$11,O1700),M1700)</f>
        <v/>
      </c>
    </row>
    <row r="1701">
      <c r="A1701">
        <f>Data!E1785</f>
        <v/>
      </c>
      <c r="B1701">
        <f>Data!G1785</f>
        <v/>
      </c>
      <c r="C1701">
        <f>Data!H1785</f>
        <v/>
      </c>
      <c r="D1701">
        <f>Data!I1785</f>
        <v/>
      </c>
      <c r="E1701">
        <f>Data!M1785</f>
        <v/>
      </c>
      <c r="F1701">
        <f>Data!O1785</f>
        <v/>
      </c>
      <c r="G1701">
        <f>E1701-F1701</f>
        <v/>
      </c>
      <c r="H1701">
        <f>Data!P1785</f>
        <v/>
      </c>
      <c r="I1701">
        <f>G1701+H1701</f>
        <v/>
      </c>
      <c r="J1701">
        <f>F1701+G1701+H1701</f>
        <v/>
      </c>
      <c r="K1701">
        <f>Data!R1785</f>
        <v/>
      </c>
      <c r="L1701">
        <f>Data!T1785</f>
        <v/>
      </c>
      <c r="M1701">
        <f>AND(E1701=0,F1701=0,G1701=0,H1701=0,I1701=0,J1701=0,K1701=0,L1701=0)</f>
        <v/>
      </c>
      <c r="N1701">
        <f>G1701&lt;=$T$6</f>
        <v/>
      </c>
      <c r="O1701">
        <f>G1701&lt;=$T$12</f>
        <v/>
      </c>
      <c r="P1701">
        <f>OR(AND(H1701&gt;=$T$4,K1701&lt;=$T$5,N1701),M1701)</f>
        <v/>
      </c>
      <c r="Q1701">
        <f>OR(AND(I1701&gt;=$T$10,K1701&lt;=$T$11,O1701),M1701)</f>
        <v/>
      </c>
    </row>
    <row r="1702">
      <c r="A1702">
        <f>Data!E1786</f>
        <v/>
      </c>
      <c r="B1702">
        <f>Data!G1786</f>
        <v/>
      </c>
      <c r="C1702">
        <f>Data!H1786</f>
        <v/>
      </c>
      <c r="D1702">
        <f>Data!I1786</f>
        <v/>
      </c>
      <c r="E1702">
        <f>Data!M1786</f>
        <v/>
      </c>
      <c r="F1702">
        <f>Data!O1786</f>
        <v/>
      </c>
      <c r="G1702">
        <f>E1702-F1702</f>
        <v/>
      </c>
      <c r="H1702">
        <f>Data!P1786</f>
        <v/>
      </c>
      <c r="I1702">
        <f>G1702+H1702</f>
        <v/>
      </c>
      <c r="J1702">
        <f>F1702+G1702+H1702</f>
        <v/>
      </c>
      <c r="K1702">
        <f>Data!R1786</f>
        <v/>
      </c>
      <c r="L1702">
        <f>Data!T1786</f>
        <v/>
      </c>
      <c r="M1702">
        <f>AND(E1702=0,F1702=0,G1702=0,H1702=0,I1702=0,J1702=0,K1702=0,L1702=0)</f>
        <v/>
      </c>
      <c r="N1702">
        <f>G1702&lt;=$T$6</f>
        <v/>
      </c>
      <c r="O1702">
        <f>G1702&lt;=$T$12</f>
        <v/>
      </c>
      <c r="P1702">
        <f>OR(AND(H1702&gt;=$T$4,K1702&lt;=$T$5,N1702),M1702)</f>
        <v/>
      </c>
      <c r="Q1702">
        <f>OR(AND(I1702&gt;=$T$10,K1702&lt;=$T$11,O1702),M1702)</f>
        <v/>
      </c>
    </row>
    <row r="1703">
      <c r="A1703">
        <f>Data!E1787</f>
        <v/>
      </c>
      <c r="B1703">
        <f>Data!G1787</f>
        <v/>
      </c>
      <c r="C1703">
        <f>Data!H1787</f>
        <v/>
      </c>
      <c r="D1703">
        <f>Data!I1787</f>
        <v/>
      </c>
      <c r="E1703">
        <f>Data!M1787</f>
        <v/>
      </c>
      <c r="F1703">
        <f>Data!O1787</f>
        <v/>
      </c>
      <c r="G1703">
        <f>E1703-F1703</f>
        <v/>
      </c>
      <c r="H1703">
        <f>Data!P1787</f>
        <v/>
      </c>
      <c r="I1703">
        <f>G1703+H1703</f>
        <v/>
      </c>
      <c r="J1703">
        <f>F1703+G1703+H1703</f>
        <v/>
      </c>
      <c r="K1703">
        <f>Data!R1787</f>
        <v/>
      </c>
      <c r="L1703">
        <f>Data!T1787</f>
        <v/>
      </c>
      <c r="M1703">
        <f>AND(E1703=0,F1703=0,G1703=0,H1703=0,I1703=0,J1703=0,K1703=0,L1703=0)</f>
        <v/>
      </c>
      <c r="N1703">
        <f>G1703&lt;=$T$6</f>
        <v/>
      </c>
      <c r="O1703">
        <f>G1703&lt;=$T$12</f>
        <v/>
      </c>
      <c r="P1703">
        <f>OR(AND(H1703&gt;=$T$4,K1703&lt;=$T$5,N1703),M1703)</f>
        <v/>
      </c>
      <c r="Q1703">
        <f>OR(AND(I1703&gt;=$T$10,K1703&lt;=$T$11,O1703),M1703)</f>
        <v/>
      </c>
    </row>
    <row r="1704">
      <c r="A1704">
        <f>Data!E1788</f>
        <v/>
      </c>
      <c r="B1704">
        <f>Data!G1788</f>
        <v/>
      </c>
      <c r="C1704">
        <f>Data!H1788</f>
        <v/>
      </c>
      <c r="D1704">
        <f>Data!I1788</f>
        <v/>
      </c>
      <c r="E1704">
        <f>Data!M1788</f>
        <v/>
      </c>
      <c r="F1704">
        <f>Data!O1788</f>
        <v/>
      </c>
      <c r="G1704">
        <f>E1704-F1704</f>
        <v/>
      </c>
      <c r="H1704">
        <f>Data!P1788</f>
        <v/>
      </c>
      <c r="I1704">
        <f>G1704+H1704</f>
        <v/>
      </c>
      <c r="J1704">
        <f>F1704+G1704+H1704</f>
        <v/>
      </c>
      <c r="K1704">
        <f>Data!R1788</f>
        <v/>
      </c>
      <c r="L1704">
        <f>Data!T1788</f>
        <v/>
      </c>
      <c r="M1704">
        <f>AND(E1704=0,F1704=0,G1704=0,H1704=0,I1704=0,J1704=0,K1704=0,L1704=0)</f>
        <v/>
      </c>
      <c r="N1704">
        <f>G1704&lt;=$T$6</f>
        <v/>
      </c>
      <c r="O1704">
        <f>G1704&lt;=$T$12</f>
        <v/>
      </c>
      <c r="P1704">
        <f>OR(AND(H1704&gt;=$T$4,K1704&lt;=$T$5,N1704),M1704)</f>
        <v/>
      </c>
      <c r="Q1704">
        <f>OR(AND(I1704&gt;=$T$10,K1704&lt;=$T$11,O1704),M1704)</f>
        <v/>
      </c>
    </row>
    <row r="1705">
      <c r="A1705">
        <f>Data!E1789</f>
        <v/>
      </c>
      <c r="B1705">
        <f>Data!G1789</f>
        <v/>
      </c>
      <c r="C1705">
        <f>Data!H1789</f>
        <v/>
      </c>
      <c r="D1705">
        <f>Data!I1789</f>
        <v/>
      </c>
      <c r="E1705">
        <f>Data!M1789</f>
        <v/>
      </c>
      <c r="F1705">
        <f>Data!O1789</f>
        <v/>
      </c>
      <c r="G1705">
        <f>E1705-F1705</f>
        <v/>
      </c>
      <c r="H1705">
        <f>Data!P1789</f>
        <v/>
      </c>
      <c r="I1705">
        <f>G1705+H1705</f>
        <v/>
      </c>
      <c r="J1705">
        <f>F1705+G1705+H1705</f>
        <v/>
      </c>
      <c r="K1705">
        <f>Data!R1789</f>
        <v/>
      </c>
      <c r="L1705">
        <f>Data!T1789</f>
        <v/>
      </c>
      <c r="M1705">
        <f>AND(E1705=0,F1705=0,G1705=0,H1705=0,I1705=0,J1705=0,K1705=0,L1705=0)</f>
        <v/>
      </c>
      <c r="N1705">
        <f>G1705&lt;=$T$6</f>
        <v/>
      </c>
      <c r="O1705">
        <f>G1705&lt;=$T$12</f>
        <v/>
      </c>
      <c r="P1705">
        <f>OR(AND(H1705&gt;=$T$4,K1705&lt;=$T$5,N1705),M1705)</f>
        <v/>
      </c>
      <c r="Q1705">
        <f>OR(AND(I1705&gt;=$T$10,K1705&lt;=$T$11,O1705),M1705)</f>
        <v/>
      </c>
    </row>
    <row r="1706">
      <c r="A1706">
        <f>Data!E1790</f>
        <v/>
      </c>
      <c r="B1706">
        <f>Data!G1790</f>
        <v/>
      </c>
      <c r="C1706">
        <f>Data!H1790</f>
        <v/>
      </c>
      <c r="D1706">
        <f>Data!I1790</f>
        <v/>
      </c>
      <c r="E1706">
        <f>Data!M1790</f>
        <v/>
      </c>
      <c r="F1706">
        <f>Data!O1790</f>
        <v/>
      </c>
      <c r="G1706">
        <f>E1706-F1706</f>
        <v/>
      </c>
      <c r="H1706">
        <f>Data!P1790</f>
        <v/>
      </c>
      <c r="I1706">
        <f>G1706+H1706</f>
        <v/>
      </c>
      <c r="J1706">
        <f>F1706+G1706+H1706</f>
        <v/>
      </c>
      <c r="K1706">
        <f>Data!R1790</f>
        <v/>
      </c>
      <c r="L1706">
        <f>Data!T1790</f>
        <v/>
      </c>
      <c r="M1706">
        <f>AND(E1706=0,F1706=0,G1706=0,H1706=0,I1706=0,J1706=0,K1706=0,L1706=0)</f>
        <v/>
      </c>
      <c r="N1706">
        <f>G1706&lt;=$T$6</f>
        <v/>
      </c>
      <c r="O1706">
        <f>G1706&lt;=$T$12</f>
        <v/>
      </c>
      <c r="P1706">
        <f>OR(AND(H1706&gt;=$T$4,K1706&lt;=$T$5,N1706),M1706)</f>
        <v/>
      </c>
      <c r="Q1706">
        <f>OR(AND(I1706&gt;=$T$10,K1706&lt;=$T$11,O1706),M1706)</f>
        <v/>
      </c>
    </row>
    <row r="1707">
      <c r="A1707">
        <f>Data!E1791</f>
        <v/>
      </c>
      <c r="B1707">
        <f>Data!G1791</f>
        <v/>
      </c>
      <c r="C1707">
        <f>Data!H1791</f>
        <v/>
      </c>
      <c r="D1707">
        <f>Data!I1791</f>
        <v/>
      </c>
      <c r="E1707">
        <f>Data!M1791</f>
        <v/>
      </c>
      <c r="F1707">
        <f>Data!O1791</f>
        <v/>
      </c>
      <c r="G1707">
        <f>E1707-F1707</f>
        <v/>
      </c>
      <c r="H1707">
        <f>Data!P1791</f>
        <v/>
      </c>
      <c r="I1707">
        <f>G1707+H1707</f>
        <v/>
      </c>
      <c r="J1707">
        <f>F1707+G1707+H1707</f>
        <v/>
      </c>
      <c r="K1707">
        <f>Data!R1791</f>
        <v/>
      </c>
      <c r="L1707">
        <f>Data!T1791</f>
        <v/>
      </c>
      <c r="M1707">
        <f>AND(E1707=0,F1707=0,G1707=0,H1707=0,I1707=0,J1707=0,K1707=0,L1707=0)</f>
        <v/>
      </c>
      <c r="N1707">
        <f>G1707&lt;=$T$6</f>
        <v/>
      </c>
      <c r="O1707">
        <f>G1707&lt;=$T$12</f>
        <v/>
      </c>
      <c r="P1707">
        <f>OR(AND(H1707&gt;=$T$4,K1707&lt;=$T$5,N1707),M1707)</f>
        <v/>
      </c>
      <c r="Q1707">
        <f>OR(AND(I1707&gt;=$T$10,K1707&lt;=$T$11,O1707),M1707)</f>
        <v/>
      </c>
    </row>
    <row r="1708">
      <c r="A1708">
        <f>Data!E1793</f>
        <v/>
      </c>
      <c r="B1708">
        <f>Data!G1793</f>
        <v/>
      </c>
      <c r="C1708">
        <f>Data!H1793</f>
        <v/>
      </c>
      <c r="D1708">
        <f>Data!I1793</f>
        <v/>
      </c>
      <c r="E1708">
        <f>Data!M1793</f>
        <v/>
      </c>
      <c r="F1708">
        <f>Data!O1793</f>
        <v/>
      </c>
      <c r="G1708">
        <f>E1708-F1708</f>
        <v/>
      </c>
      <c r="H1708">
        <f>Data!P1793</f>
        <v/>
      </c>
      <c r="I1708">
        <f>G1708+H1708</f>
        <v/>
      </c>
      <c r="J1708">
        <f>F1708+G1708+H1708</f>
        <v/>
      </c>
      <c r="K1708">
        <f>Data!R1793</f>
        <v/>
      </c>
      <c r="L1708">
        <f>Data!T1793</f>
        <v/>
      </c>
      <c r="M1708">
        <f>AND(E1708=0,F1708=0,G1708=0,H1708=0,I1708=0,J1708=0,K1708=0,L1708=0)</f>
        <v/>
      </c>
      <c r="N1708">
        <f>G1708&lt;=$T$6</f>
        <v/>
      </c>
      <c r="O1708">
        <f>G1708&lt;=$T$12</f>
        <v/>
      </c>
      <c r="P1708">
        <f>OR(AND(H1708&gt;=$T$4,K1708&lt;=$T$5,N1708),M1708)</f>
        <v/>
      </c>
      <c r="Q1708">
        <f>OR(AND(I1708&gt;=$T$10,K1708&lt;=$T$11,O1708),M1708)</f>
        <v/>
      </c>
    </row>
    <row r="1709">
      <c r="A1709">
        <f>Data!E1794</f>
        <v/>
      </c>
      <c r="B1709">
        <f>Data!G1794</f>
        <v/>
      </c>
      <c r="C1709">
        <f>Data!H1794</f>
        <v/>
      </c>
      <c r="D1709">
        <f>Data!I1794</f>
        <v/>
      </c>
      <c r="E1709">
        <f>Data!M1794</f>
        <v/>
      </c>
      <c r="F1709">
        <f>Data!O1794</f>
        <v/>
      </c>
      <c r="G1709">
        <f>E1709-F1709</f>
        <v/>
      </c>
      <c r="H1709">
        <f>Data!P1794</f>
        <v/>
      </c>
      <c r="I1709">
        <f>G1709+H1709</f>
        <v/>
      </c>
      <c r="J1709">
        <f>F1709+G1709+H1709</f>
        <v/>
      </c>
      <c r="K1709">
        <f>Data!R1794</f>
        <v/>
      </c>
      <c r="L1709">
        <f>Data!T1794</f>
        <v/>
      </c>
      <c r="M1709">
        <f>AND(E1709=0,F1709=0,G1709=0,H1709=0,I1709=0,J1709=0,K1709=0,L1709=0)</f>
        <v/>
      </c>
      <c r="N1709">
        <f>G1709&lt;=$T$6</f>
        <v/>
      </c>
      <c r="O1709">
        <f>G1709&lt;=$T$12</f>
        <v/>
      </c>
      <c r="P1709">
        <f>OR(AND(H1709&gt;=$T$4,K1709&lt;=$T$5,N1709),M1709)</f>
        <v/>
      </c>
      <c r="Q1709">
        <f>OR(AND(I1709&gt;=$T$10,K1709&lt;=$T$11,O1709),M1709)</f>
        <v/>
      </c>
    </row>
    <row r="1710">
      <c r="A1710">
        <f>Data!E1795</f>
        <v/>
      </c>
      <c r="B1710">
        <f>Data!G1795</f>
        <v/>
      </c>
      <c r="C1710">
        <f>Data!H1795</f>
        <v/>
      </c>
      <c r="D1710">
        <f>Data!I1795</f>
        <v/>
      </c>
      <c r="E1710">
        <f>Data!M1795</f>
        <v/>
      </c>
      <c r="F1710">
        <f>Data!O1795</f>
        <v/>
      </c>
      <c r="G1710">
        <f>E1710-F1710</f>
        <v/>
      </c>
      <c r="H1710">
        <f>Data!P1795</f>
        <v/>
      </c>
      <c r="I1710">
        <f>G1710+H1710</f>
        <v/>
      </c>
      <c r="J1710">
        <f>F1710+G1710+H1710</f>
        <v/>
      </c>
      <c r="K1710">
        <f>Data!R1795</f>
        <v/>
      </c>
      <c r="L1710">
        <f>Data!T1795</f>
        <v/>
      </c>
      <c r="M1710">
        <f>AND(E1710=0,F1710=0,G1710=0,H1710=0,I1710=0,J1710=0,K1710=0,L1710=0)</f>
        <v/>
      </c>
      <c r="N1710">
        <f>G1710&lt;=$T$6</f>
        <v/>
      </c>
      <c r="O1710">
        <f>G1710&lt;=$T$12</f>
        <v/>
      </c>
      <c r="P1710">
        <f>OR(AND(H1710&gt;=$T$4,K1710&lt;=$T$5,N1710),M1710)</f>
        <v/>
      </c>
      <c r="Q1710">
        <f>OR(AND(I1710&gt;=$T$10,K1710&lt;=$T$11,O1710),M1710)</f>
        <v/>
      </c>
    </row>
    <row r="1711">
      <c r="A1711">
        <f>Data!E1796</f>
        <v/>
      </c>
      <c r="B1711">
        <f>Data!G1796</f>
        <v/>
      </c>
      <c r="C1711">
        <f>Data!H1796</f>
        <v/>
      </c>
      <c r="D1711">
        <f>Data!I1796</f>
        <v/>
      </c>
      <c r="E1711">
        <f>Data!M1796</f>
        <v/>
      </c>
      <c r="F1711">
        <f>Data!O1796</f>
        <v/>
      </c>
      <c r="G1711">
        <f>E1711-F1711</f>
        <v/>
      </c>
      <c r="H1711">
        <f>Data!P1796</f>
        <v/>
      </c>
      <c r="I1711">
        <f>G1711+H1711</f>
        <v/>
      </c>
      <c r="J1711">
        <f>F1711+G1711+H1711</f>
        <v/>
      </c>
      <c r="K1711">
        <f>Data!R1796</f>
        <v/>
      </c>
      <c r="L1711">
        <f>Data!T1796</f>
        <v/>
      </c>
      <c r="M1711">
        <f>AND(E1711=0,F1711=0,G1711=0,H1711=0,I1711=0,J1711=0,K1711=0,L1711=0)</f>
        <v/>
      </c>
      <c r="N1711">
        <f>G1711&lt;=$T$6</f>
        <v/>
      </c>
      <c r="O1711">
        <f>G1711&lt;=$T$12</f>
        <v/>
      </c>
      <c r="P1711">
        <f>OR(AND(H1711&gt;=$T$4,K1711&lt;=$T$5,N1711),M1711)</f>
        <v/>
      </c>
      <c r="Q1711">
        <f>OR(AND(I1711&gt;=$T$10,K1711&lt;=$T$11,O1711),M1711)</f>
        <v/>
      </c>
    </row>
    <row r="1712">
      <c r="A1712">
        <f>Data!E1797</f>
        <v/>
      </c>
      <c r="B1712">
        <f>Data!G1797</f>
        <v/>
      </c>
      <c r="C1712">
        <f>Data!H1797</f>
        <v/>
      </c>
      <c r="D1712">
        <f>Data!I1797</f>
        <v/>
      </c>
      <c r="E1712">
        <f>Data!M1797</f>
        <v/>
      </c>
      <c r="F1712">
        <f>Data!O1797</f>
        <v/>
      </c>
      <c r="G1712">
        <f>E1712-F1712</f>
        <v/>
      </c>
      <c r="H1712">
        <f>Data!P1797</f>
        <v/>
      </c>
      <c r="I1712">
        <f>G1712+H1712</f>
        <v/>
      </c>
      <c r="J1712">
        <f>F1712+G1712+H1712</f>
        <v/>
      </c>
      <c r="K1712">
        <f>Data!R1797</f>
        <v/>
      </c>
      <c r="L1712">
        <f>Data!T1797</f>
        <v/>
      </c>
      <c r="M1712">
        <f>AND(E1712=0,F1712=0,G1712=0,H1712=0,I1712=0,J1712=0,K1712=0,L1712=0)</f>
        <v/>
      </c>
      <c r="N1712">
        <f>G1712&lt;=$T$6</f>
        <v/>
      </c>
      <c r="O1712">
        <f>G1712&lt;=$T$12</f>
        <v/>
      </c>
      <c r="P1712">
        <f>OR(AND(H1712&gt;=$T$4,K1712&lt;=$T$5,N1712),M1712)</f>
        <v/>
      </c>
      <c r="Q1712">
        <f>OR(AND(I1712&gt;=$T$10,K1712&lt;=$T$11,O1712),M1712)</f>
        <v/>
      </c>
    </row>
    <row r="1713">
      <c r="A1713">
        <f>Data!E1798</f>
        <v/>
      </c>
      <c r="B1713">
        <f>Data!G1798</f>
        <v/>
      </c>
      <c r="C1713">
        <f>Data!H1798</f>
        <v/>
      </c>
      <c r="D1713">
        <f>Data!I1798</f>
        <v/>
      </c>
      <c r="E1713">
        <f>Data!M1798</f>
        <v/>
      </c>
      <c r="F1713">
        <f>Data!O1798</f>
        <v/>
      </c>
      <c r="G1713">
        <f>E1713-F1713</f>
        <v/>
      </c>
      <c r="H1713">
        <f>Data!P1798</f>
        <v/>
      </c>
      <c r="I1713">
        <f>G1713+H1713</f>
        <v/>
      </c>
      <c r="J1713">
        <f>F1713+G1713+H1713</f>
        <v/>
      </c>
      <c r="K1713">
        <f>Data!R1798</f>
        <v/>
      </c>
      <c r="L1713">
        <f>Data!T1798</f>
        <v/>
      </c>
      <c r="M1713">
        <f>AND(E1713=0,F1713=0,G1713=0,H1713=0,I1713=0,J1713=0,K1713=0,L1713=0)</f>
        <v/>
      </c>
      <c r="N1713">
        <f>G1713&lt;=$T$6</f>
        <v/>
      </c>
      <c r="O1713">
        <f>G1713&lt;=$T$12</f>
        <v/>
      </c>
      <c r="P1713">
        <f>OR(AND(H1713&gt;=$T$4,K1713&lt;=$T$5,N1713),M1713)</f>
        <v/>
      </c>
      <c r="Q1713">
        <f>OR(AND(I1713&gt;=$T$10,K1713&lt;=$T$11,O1713),M1713)</f>
        <v/>
      </c>
    </row>
    <row r="1714">
      <c r="A1714">
        <f>Data!E1799</f>
        <v/>
      </c>
      <c r="B1714">
        <f>Data!G1799</f>
        <v/>
      </c>
      <c r="C1714">
        <f>Data!H1799</f>
        <v/>
      </c>
      <c r="D1714">
        <f>Data!I1799</f>
        <v/>
      </c>
      <c r="E1714">
        <f>Data!M1799</f>
        <v/>
      </c>
      <c r="F1714">
        <f>Data!O1799</f>
        <v/>
      </c>
      <c r="G1714">
        <f>E1714-F1714</f>
        <v/>
      </c>
      <c r="H1714">
        <f>Data!P1799</f>
        <v/>
      </c>
      <c r="I1714">
        <f>G1714+H1714</f>
        <v/>
      </c>
      <c r="J1714">
        <f>F1714+G1714+H1714</f>
        <v/>
      </c>
      <c r="K1714">
        <f>Data!R1799</f>
        <v/>
      </c>
      <c r="L1714">
        <f>Data!T1799</f>
        <v/>
      </c>
      <c r="M1714">
        <f>AND(E1714=0,F1714=0,G1714=0,H1714=0,I1714=0,J1714=0,K1714=0,L1714=0)</f>
        <v/>
      </c>
      <c r="N1714">
        <f>G1714&lt;=$T$6</f>
        <v/>
      </c>
      <c r="O1714">
        <f>G1714&lt;=$T$12</f>
        <v/>
      </c>
      <c r="P1714">
        <f>OR(AND(H1714&gt;=$T$4,K1714&lt;=$T$5,N1714),M1714)</f>
        <v/>
      </c>
      <c r="Q1714">
        <f>OR(AND(I1714&gt;=$T$10,K1714&lt;=$T$11,O1714),M1714)</f>
        <v/>
      </c>
    </row>
    <row r="1715">
      <c r="A1715">
        <f>Data!E1800</f>
        <v/>
      </c>
      <c r="B1715">
        <f>Data!G1800</f>
        <v/>
      </c>
      <c r="C1715">
        <f>Data!H1800</f>
        <v/>
      </c>
      <c r="D1715">
        <f>Data!I1800</f>
        <v/>
      </c>
      <c r="E1715">
        <f>Data!M1800</f>
        <v/>
      </c>
      <c r="F1715">
        <f>Data!O1800</f>
        <v/>
      </c>
      <c r="G1715">
        <f>E1715-F1715</f>
        <v/>
      </c>
      <c r="H1715">
        <f>Data!P1800</f>
        <v/>
      </c>
      <c r="I1715">
        <f>G1715+H1715</f>
        <v/>
      </c>
      <c r="J1715">
        <f>F1715+G1715+H1715</f>
        <v/>
      </c>
      <c r="K1715">
        <f>Data!R1800</f>
        <v/>
      </c>
      <c r="L1715">
        <f>Data!T1800</f>
        <v/>
      </c>
      <c r="M1715">
        <f>AND(E1715=0,F1715=0,G1715=0,H1715=0,I1715=0,J1715=0,K1715=0,L1715=0)</f>
        <v/>
      </c>
      <c r="N1715">
        <f>G1715&lt;=$T$6</f>
        <v/>
      </c>
      <c r="O1715">
        <f>G1715&lt;=$T$12</f>
        <v/>
      </c>
      <c r="P1715">
        <f>OR(AND(H1715&gt;=$T$4,K1715&lt;=$T$5,N1715),M1715)</f>
        <v/>
      </c>
      <c r="Q1715">
        <f>OR(AND(I1715&gt;=$T$10,K1715&lt;=$T$11,O1715),M1715)</f>
        <v/>
      </c>
    </row>
    <row r="1716">
      <c r="A1716">
        <f>Data!E1801</f>
        <v/>
      </c>
      <c r="B1716">
        <f>Data!G1801</f>
        <v/>
      </c>
      <c r="C1716">
        <f>Data!H1801</f>
        <v/>
      </c>
      <c r="D1716">
        <f>Data!I1801</f>
        <v/>
      </c>
      <c r="E1716">
        <f>Data!M1801</f>
        <v/>
      </c>
      <c r="F1716">
        <f>Data!O1801</f>
        <v/>
      </c>
      <c r="G1716">
        <f>E1716-F1716</f>
        <v/>
      </c>
      <c r="H1716">
        <f>Data!P1801</f>
        <v/>
      </c>
      <c r="I1716">
        <f>G1716+H1716</f>
        <v/>
      </c>
      <c r="J1716">
        <f>F1716+G1716+H1716</f>
        <v/>
      </c>
      <c r="K1716">
        <f>Data!R1801</f>
        <v/>
      </c>
      <c r="L1716">
        <f>Data!T1801</f>
        <v/>
      </c>
      <c r="M1716">
        <f>AND(E1716=0,F1716=0,G1716=0,H1716=0,I1716=0,J1716=0,K1716=0,L1716=0)</f>
        <v/>
      </c>
      <c r="N1716">
        <f>G1716&lt;=$T$6</f>
        <v/>
      </c>
      <c r="O1716">
        <f>G1716&lt;=$T$12</f>
        <v/>
      </c>
      <c r="P1716">
        <f>OR(AND(H1716&gt;=$T$4,K1716&lt;=$T$5,N1716),M1716)</f>
        <v/>
      </c>
      <c r="Q1716">
        <f>OR(AND(I1716&gt;=$T$10,K1716&lt;=$T$11,O1716),M1716)</f>
        <v/>
      </c>
    </row>
    <row r="1717">
      <c r="A1717">
        <f>Data!E1802</f>
        <v/>
      </c>
      <c r="B1717">
        <f>Data!G1802</f>
        <v/>
      </c>
      <c r="C1717">
        <f>Data!H1802</f>
        <v/>
      </c>
      <c r="D1717">
        <f>Data!I1802</f>
        <v/>
      </c>
      <c r="E1717">
        <f>Data!M1802</f>
        <v/>
      </c>
      <c r="F1717">
        <f>Data!O1802</f>
        <v/>
      </c>
      <c r="G1717">
        <f>E1717-F1717</f>
        <v/>
      </c>
      <c r="H1717">
        <f>Data!P1802</f>
        <v/>
      </c>
      <c r="I1717">
        <f>G1717+H1717</f>
        <v/>
      </c>
      <c r="J1717">
        <f>F1717+G1717+H1717</f>
        <v/>
      </c>
      <c r="K1717">
        <f>Data!R1802</f>
        <v/>
      </c>
      <c r="L1717">
        <f>Data!T1802</f>
        <v/>
      </c>
      <c r="M1717">
        <f>AND(E1717=0,F1717=0,G1717=0,H1717=0,I1717=0,J1717=0,K1717=0,L1717=0)</f>
        <v/>
      </c>
      <c r="N1717">
        <f>G1717&lt;=$T$6</f>
        <v/>
      </c>
      <c r="O1717">
        <f>G1717&lt;=$T$12</f>
        <v/>
      </c>
      <c r="P1717">
        <f>OR(AND(H1717&gt;=$T$4,K1717&lt;=$T$5,N1717),M1717)</f>
        <v/>
      </c>
      <c r="Q1717">
        <f>OR(AND(I1717&gt;=$T$10,K1717&lt;=$T$11,O1717),M1717)</f>
        <v/>
      </c>
    </row>
    <row r="1718">
      <c r="A1718">
        <f>Data!E1803</f>
        <v/>
      </c>
      <c r="B1718">
        <f>Data!G1803</f>
        <v/>
      </c>
      <c r="C1718">
        <f>Data!H1803</f>
        <v/>
      </c>
      <c r="D1718">
        <f>Data!I1803</f>
        <v/>
      </c>
      <c r="E1718">
        <f>Data!M1803</f>
        <v/>
      </c>
      <c r="F1718">
        <f>Data!O1803</f>
        <v/>
      </c>
      <c r="G1718">
        <f>E1718-F1718</f>
        <v/>
      </c>
      <c r="H1718">
        <f>Data!P1803</f>
        <v/>
      </c>
      <c r="I1718">
        <f>G1718+H1718</f>
        <v/>
      </c>
      <c r="J1718">
        <f>F1718+G1718+H1718</f>
        <v/>
      </c>
      <c r="K1718">
        <f>Data!R1803</f>
        <v/>
      </c>
      <c r="L1718">
        <f>Data!T1803</f>
        <v/>
      </c>
      <c r="M1718">
        <f>AND(E1718=0,F1718=0,G1718=0,H1718=0,I1718=0,J1718=0,K1718=0,L1718=0)</f>
        <v/>
      </c>
      <c r="N1718">
        <f>G1718&lt;=$T$6</f>
        <v/>
      </c>
      <c r="O1718">
        <f>G1718&lt;=$T$12</f>
        <v/>
      </c>
      <c r="P1718">
        <f>OR(AND(H1718&gt;=$T$4,K1718&lt;=$T$5,N1718),M1718)</f>
        <v/>
      </c>
      <c r="Q1718">
        <f>OR(AND(I1718&gt;=$T$10,K1718&lt;=$T$11,O1718),M1718)</f>
        <v/>
      </c>
    </row>
    <row r="1719">
      <c r="A1719">
        <f>Data!E1804</f>
        <v/>
      </c>
      <c r="B1719">
        <f>Data!G1804</f>
        <v/>
      </c>
      <c r="C1719">
        <f>Data!H1804</f>
        <v/>
      </c>
      <c r="D1719">
        <f>Data!I1804</f>
        <v/>
      </c>
      <c r="E1719">
        <f>Data!M1804</f>
        <v/>
      </c>
      <c r="F1719">
        <f>Data!O1804</f>
        <v/>
      </c>
      <c r="G1719">
        <f>E1719-F1719</f>
        <v/>
      </c>
      <c r="H1719">
        <f>Data!P1804</f>
        <v/>
      </c>
      <c r="I1719">
        <f>G1719+H1719</f>
        <v/>
      </c>
      <c r="J1719">
        <f>F1719+G1719+H1719</f>
        <v/>
      </c>
      <c r="K1719">
        <f>Data!R1804</f>
        <v/>
      </c>
      <c r="L1719">
        <f>Data!T1804</f>
        <v/>
      </c>
      <c r="M1719">
        <f>AND(E1719=0,F1719=0,G1719=0,H1719=0,I1719=0,J1719=0,K1719=0,L1719=0)</f>
        <v/>
      </c>
      <c r="N1719">
        <f>G1719&lt;=$T$6</f>
        <v/>
      </c>
      <c r="O1719">
        <f>G1719&lt;=$T$12</f>
        <v/>
      </c>
      <c r="P1719">
        <f>OR(AND(H1719&gt;=$T$4,K1719&lt;=$T$5,N1719),M1719)</f>
        <v/>
      </c>
      <c r="Q1719">
        <f>OR(AND(I1719&gt;=$T$10,K1719&lt;=$T$11,O1719),M1719)</f>
        <v/>
      </c>
    </row>
    <row r="1720">
      <c r="A1720">
        <f>Data!E1805</f>
        <v/>
      </c>
      <c r="B1720">
        <f>Data!G1805</f>
        <v/>
      </c>
      <c r="C1720">
        <f>Data!H1805</f>
        <v/>
      </c>
      <c r="D1720">
        <f>Data!I1805</f>
        <v/>
      </c>
      <c r="E1720">
        <f>Data!M1805</f>
        <v/>
      </c>
      <c r="F1720">
        <f>Data!O1805</f>
        <v/>
      </c>
      <c r="G1720">
        <f>E1720-F1720</f>
        <v/>
      </c>
      <c r="H1720">
        <f>Data!P1805</f>
        <v/>
      </c>
      <c r="I1720">
        <f>G1720+H1720</f>
        <v/>
      </c>
      <c r="J1720">
        <f>F1720+G1720+H1720</f>
        <v/>
      </c>
      <c r="K1720">
        <f>Data!R1805</f>
        <v/>
      </c>
      <c r="L1720">
        <f>Data!T1805</f>
        <v/>
      </c>
      <c r="M1720">
        <f>AND(E1720=0,F1720=0,G1720=0,H1720=0,I1720=0,J1720=0,K1720=0,L1720=0)</f>
        <v/>
      </c>
      <c r="N1720">
        <f>G1720&lt;=$T$6</f>
        <v/>
      </c>
      <c r="O1720">
        <f>G1720&lt;=$T$12</f>
        <v/>
      </c>
      <c r="P1720">
        <f>OR(AND(H1720&gt;=$T$4,K1720&lt;=$T$5,N1720),M1720)</f>
        <v/>
      </c>
      <c r="Q1720">
        <f>OR(AND(I1720&gt;=$T$10,K1720&lt;=$T$11,O1720),M1720)</f>
        <v/>
      </c>
    </row>
    <row r="1721">
      <c r="A1721">
        <f>Data!E1806</f>
        <v/>
      </c>
      <c r="B1721">
        <f>Data!G1806</f>
        <v/>
      </c>
      <c r="C1721">
        <f>Data!H1806</f>
        <v/>
      </c>
      <c r="D1721">
        <f>Data!I1806</f>
        <v/>
      </c>
      <c r="E1721">
        <f>Data!M1806</f>
        <v/>
      </c>
      <c r="F1721">
        <f>Data!O1806</f>
        <v/>
      </c>
      <c r="G1721">
        <f>E1721-F1721</f>
        <v/>
      </c>
      <c r="H1721">
        <f>Data!P1806</f>
        <v/>
      </c>
      <c r="I1721">
        <f>G1721+H1721</f>
        <v/>
      </c>
      <c r="J1721">
        <f>F1721+G1721+H1721</f>
        <v/>
      </c>
      <c r="K1721">
        <f>Data!R1806</f>
        <v/>
      </c>
      <c r="L1721">
        <f>Data!T1806</f>
        <v/>
      </c>
      <c r="M1721">
        <f>AND(E1721=0,F1721=0,G1721=0,H1721=0,I1721=0,J1721=0,K1721=0,L1721=0)</f>
        <v/>
      </c>
      <c r="N1721">
        <f>G1721&lt;=$T$6</f>
        <v/>
      </c>
      <c r="O1721">
        <f>G1721&lt;=$T$12</f>
        <v/>
      </c>
      <c r="P1721">
        <f>OR(AND(H1721&gt;=$T$4,K1721&lt;=$T$5,N1721),M1721)</f>
        <v/>
      </c>
      <c r="Q1721">
        <f>OR(AND(I1721&gt;=$T$10,K1721&lt;=$T$11,O1721),M1721)</f>
        <v/>
      </c>
    </row>
    <row r="1722">
      <c r="A1722">
        <f>Data!E1807</f>
        <v/>
      </c>
      <c r="B1722">
        <f>Data!G1807</f>
        <v/>
      </c>
      <c r="C1722">
        <f>Data!H1807</f>
        <v/>
      </c>
      <c r="D1722">
        <f>Data!I1807</f>
        <v/>
      </c>
      <c r="E1722">
        <f>Data!M1807</f>
        <v/>
      </c>
      <c r="F1722">
        <f>Data!O1807</f>
        <v/>
      </c>
      <c r="G1722">
        <f>E1722-F1722</f>
        <v/>
      </c>
      <c r="H1722">
        <f>Data!P1807</f>
        <v/>
      </c>
      <c r="I1722">
        <f>G1722+H1722</f>
        <v/>
      </c>
      <c r="J1722">
        <f>F1722+G1722+H1722</f>
        <v/>
      </c>
      <c r="K1722">
        <f>Data!R1807</f>
        <v/>
      </c>
      <c r="L1722">
        <f>Data!T1807</f>
        <v/>
      </c>
      <c r="M1722">
        <f>AND(E1722=0,F1722=0,G1722=0,H1722=0,I1722=0,J1722=0,K1722=0,L1722=0)</f>
        <v/>
      </c>
      <c r="N1722">
        <f>G1722&lt;=$T$6</f>
        <v/>
      </c>
      <c r="O1722">
        <f>G1722&lt;=$T$12</f>
        <v/>
      </c>
      <c r="P1722">
        <f>OR(AND(H1722&gt;=$T$4,K1722&lt;=$T$5,N1722),M1722)</f>
        <v/>
      </c>
      <c r="Q1722">
        <f>OR(AND(I1722&gt;=$T$10,K1722&lt;=$T$11,O1722),M1722)</f>
        <v/>
      </c>
    </row>
    <row r="1723">
      <c r="A1723">
        <f>Data!E1808</f>
        <v/>
      </c>
      <c r="B1723">
        <f>Data!G1808</f>
        <v/>
      </c>
      <c r="C1723">
        <f>Data!H1808</f>
        <v/>
      </c>
      <c r="D1723">
        <f>Data!I1808</f>
        <v/>
      </c>
      <c r="E1723">
        <f>Data!M1808</f>
        <v/>
      </c>
      <c r="F1723">
        <f>Data!O1808</f>
        <v/>
      </c>
      <c r="G1723">
        <f>E1723-F1723</f>
        <v/>
      </c>
      <c r="H1723">
        <f>Data!P1808</f>
        <v/>
      </c>
      <c r="I1723">
        <f>G1723+H1723</f>
        <v/>
      </c>
      <c r="J1723">
        <f>F1723+G1723+H1723</f>
        <v/>
      </c>
      <c r="K1723">
        <f>Data!R1808</f>
        <v/>
      </c>
      <c r="L1723">
        <f>Data!T1808</f>
        <v/>
      </c>
      <c r="M1723">
        <f>AND(E1723=0,F1723=0,G1723=0,H1723=0,I1723=0,J1723=0,K1723=0,L1723=0)</f>
        <v/>
      </c>
      <c r="N1723">
        <f>G1723&lt;=$T$6</f>
        <v/>
      </c>
      <c r="O1723">
        <f>G1723&lt;=$T$12</f>
        <v/>
      </c>
      <c r="P1723">
        <f>OR(AND(H1723&gt;=$T$4,K1723&lt;=$T$5,N1723),M1723)</f>
        <v/>
      </c>
      <c r="Q1723">
        <f>OR(AND(I1723&gt;=$T$10,K1723&lt;=$T$11,O1723),M1723)</f>
        <v/>
      </c>
    </row>
    <row r="1724">
      <c r="A1724">
        <f>Data!E1809</f>
        <v/>
      </c>
      <c r="B1724">
        <f>Data!G1809</f>
        <v/>
      </c>
      <c r="C1724">
        <f>Data!H1809</f>
        <v/>
      </c>
      <c r="D1724">
        <f>Data!I1809</f>
        <v/>
      </c>
      <c r="E1724">
        <f>Data!M1809</f>
        <v/>
      </c>
      <c r="F1724">
        <f>Data!O1809</f>
        <v/>
      </c>
      <c r="G1724">
        <f>E1724-F1724</f>
        <v/>
      </c>
      <c r="H1724">
        <f>Data!P1809</f>
        <v/>
      </c>
      <c r="I1724">
        <f>G1724+H1724</f>
        <v/>
      </c>
      <c r="J1724">
        <f>F1724+G1724+H1724</f>
        <v/>
      </c>
      <c r="K1724">
        <f>Data!R1809</f>
        <v/>
      </c>
      <c r="L1724">
        <f>Data!T1809</f>
        <v/>
      </c>
      <c r="M1724">
        <f>AND(E1724=0,F1724=0,G1724=0,H1724=0,I1724=0,J1724=0,K1724=0,L1724=0)</f>
        <v/>
      </c>
      <c r="N1724">
        <f>G1724&lt;=$T$6</f>
        <v/>
      </c>
      <c r="O1724">
        <f>G1724&lt;=$T$12</f>
        <v/>
      </c>
      <c r="P1724">
        <f>OR(AND(H1724&gt;=$T$4,K1724&lt;=$T$5,N1724),M1724)</f>
        <v/>
      </c>
      <c r="Q1724">
        <f>OR(AND(I1724&gt;=$T$10,K1724&lt;=$T$11,O1724),M1724)</f>
        <v/>
      </c>
    </row>
    <row r="1725">
      <c r="A1725">
        <f>Data!E1810</f>
        <v/>
      </c>
      <c r="B1725">
        <f>Data!G1810</f>
        <v/>
      </c>
      <c r="C1725">
        <f>Data!H1810</f>
        <v/>
      </c>
      <c r="D1725">
        <f>Data!I1810</f>
        <v/>
      </c>
      <c r="E1725">
        <f>Data!M1810</f>
        <v/>
      </c>
      <c r="F1725">
        <f>Data!O1810</f>
        <v/>
      </c>
      <c r="G1725">
        <f>E1725-F1725</f>
        <v/>
      </c>
      <c r="H1725">
        <f>Data!P1810</f>
        <v/>
      </c>
      <c r="I1725">
        <f>G1725+H1725</f>
        <v/>
      </c>
      <c r="J1725">
        <f>F1725+G1725+H1725</f>
        <v/>
      </c>
      <c r="K1725">
        <f>Data!R1810</f>
        <v/>
      </c>
      <c r="L1725">
        <f>Data!T1810</f>
        <v/>
      </c>
      <c r="M1725">
        <f>AND(E1725=0,F1725=0,G1725=0,H1725=0,I1725=0,J1725=0,K1725=0,L1725=0)</f>
        <v/>
      </c>
      <c r="N1725">
        <f>G1725&lt;=$T$6</f>
        <v/>
      </c>
      <c r="O1725">
        <f>G1725&lt;=$T$12</f>
        <v/>
      </c>
      <c r="P1725">
        <f>OR(AND(H1725&gt;=$T$4,K1725&lt;=$T$5,N1725),M1725)</f>
        <v/>
      </c>
      <c r="Q1725">
        <f>OR(AND(I1725&gt;=$T$10,K1725&lt;=$T$11,O1725),M1725)</f>
        <v/>
      </c>
    </row>
    <row r="1726">
      <c r="A1726">
        <f>Data!E1812</f>
        <v/>
      </c>
      <c r="B1726">
        <f>Data!G1812</f>
        <v/>
      </c>
      <c r="C1726">
        <f>Data!H1812</f>
        <v/>
      </c>
      <c r="D1726">
        <f>Data!I1812</f>
        <v/>
      </c>
      <c r="E1726">
        <f>Data!M1812</f>
        <v/>
      </c>
      <c r="F1726">
        <f>Data!O1812</f>
        <v/>
      </c>
      <c r="G1726">
        <f>E1726-F1726</f>
        <v/>
      </c>
      <c r="H1726">
        <f>Data!P1812</f>
        <v/>
      </c>
      <c r="I1726">
        <f>G1726+H1726</f>
        <v/>
      </c>
      <c r="J1726">
        <f>F1726+G1726+H1726</f>
        <v/>
      </c>
      <c r="K1726">
        <f>Data!R1812</f>
        <v/>
      </c>
      <c r="L1726">
        <f>Data!T1812</f>
        <v/>
      </c>
      <c r="M1726">
        <f>AND(E1726=0,F1726=0,G1726=0,H1726=0,I1726=0,J1726=0,K1726=0,L1726=0)</f>
        <v/>
      </c>
      <c r="N1726">
        <f>G1726&lt;=$T$6</f>
        <v/>
      </c>
      <c r="O1726">
        <f>G1726&lt;=$T$12</f>
        <v/>
      </c>
      <c r="P1726">
        <f>OR(AND(H1726&gt;=$T$4,K1726&lt;=$T$5,N1726),M1726)</f>
        <v/>
      </c>
      <c r="Q1726">
        <f>OR(AND(I1726&gt;=$T$10,K1726&lt;=$T$11,O1726),M1726)</f>
        <v/>
      </c>
    </row>
    <row r="1727">
      <c r="A1727">
        <f>Data!E1813</f>
        <v/>
      </c>
      <c r="B1727">
        <f>Data!G1813</f>
        <v/>
      </c>
      <c r="C1727">
        <f>Data!H1813</f>
        <v/>
      </c>
      <c r="D1727">
        <f>Data!I1813</f>
        <v/>
      </c>
      <c r="E1727">
        <f>Data!M1813</f>
        <v/>
      </c>
      <c r="F1727">
        <f>Data!O1813</f>
        <v/>
      </c>
      <c r="G1727">
        <f>E1727-F1727</f>
        <v/>
      </c>
      <c r="H1727">
        <f>Data!P1813</f>
        <v/>
      </c>
      <c r="I1727">
        <f>G1727+H1727</f>
        <v/>
      </c>
      <c r="J1727">
        <f>F1727+G1727+H1727</f>
        <v/>
      </c>
      <c r="K1727">
        <f>Data!R1813</f>
        <v/>
      </c>
      <c r="L1727">
        <f>Data!T1813</f>
        <v/>
      </c>
      <c r="M1727">
        <f>AND(E1727=0,F1727=0,G1727=0,H1727=0,I1727=0,J1727=0,K1727=0,L1727=0)</f>
        <v/>
      </c>
      <c r="N1727">
        <f>G1727&lt;=$T$6</f>
        <v/>
      </c>
      <c r="O1727">
        <f>G1727&lt;=$T$12</f>
        <v/>
      </c>
      <c r="P1727">
        <f>OR(AND(H1727&gt;=$T$4,K1727&lt;=$T$5,N1727),M1727)</f>
        <v/>
      </c>
      <c r="Q1727">
        <f>OR(AND(I1727&gt;=$T$10,K1727&lt;=$T$11,O1727),M1727)</f>
        <v/>
      </c>
    </row>
    <row r="1728">
      <c r="A1728">
        <f>Data!E1814</f>
        <v/>
      </c>
      <c r="B1728">
        <f>Data!G1814</f>
        <v/>
      </c>
      <c r="C1728">
        <f>Data!H1814</f>
        <v/>
      </c>
      <c r="D1728">
        <f>Data!I1814</f>
        <v/>
      </c>
      <c r="E1728">
        <f>Data!M1814</f>
        <v/>
      </c>
      <c r="F1728">
        <f>Data!O1814</f>
        <v/>
      </c>
      <c r="G1728">
        <f>E1728-F1728</f>
        <v/>
      </c>
      <c r="H1728">
        <f>Data!P1814</f>
        <v/>
      </c>
      <c r="I1728">
        <f>G1728+H1728</f>
        <v/>
      </c>
      <c r="J1728">
        <f>F1728+G1728+H1728</f>
        <v/>
      </c>
      <c r="K1728">
        <f>Data!R1814</f>
        <v/>
      </c>
      <c r="L1728">
        <f>Data!T1814</f>
        <v/>
      </c>
      <c r="M1728">
        <f>AND(E1728=0,F1728=0,G1728=0,H1728=0,I1728=0,J1728=0,K1728=0,L1728=0)</f>
        <v/>
      </c>
      <c r="N1728">
        <f>G1728&lt;=$T$6</f>
        <v/>
      </c>
      <c r="O1728">
        <f>G1728&lt;=$T$12</f>
        <v/>
      </c>
      <c r="P1728">
        <f>OR(AND(H1728&gt;=$T$4,K1728&lt;=$T$5,N1728),M1728)</f>
        <v/>
      </c>
      <c r="Q1728">
        <f>OR(AND(I1728&gt;=$T$10,K1728&lt;=$T$11,O1728),M1728)</f>
        <v/>
      </c>
    </row>
    <row r="1729">
      <c r="A1729">
        <f>Data!E1815</f>
        <v/>
      </c>
      <c r="B1729">
        <f>Data!G1815</f>
        <v/>
      </c>
      <c r="C1729">
        <f>Data!H1815</f>
        <v/>
      </c>
      <c r="D1729">
        <f>Data!I1815</f>
        <v/>
      </c>
      <c r="E1729">
        <f>Data!M1815</f>
        <v/>
      </c>
      <c r="F1729">
        <f>Data!O1815</f>
        <v/>
      </c>
      <c r="G1729">
        <f>E1729-F1729</f>
        <v/>
      </c>
      <c r="H1729">
        <f>Data!P1815</f>
        <v/>
      </c>
      <c r="I1729">
        <f>G1729+H1729</f>
        <v/>
      </c>
      <c r="J1729">
        <f>F1729+G1729+H1729</f>
        <v/>
      </c>
      <c r="K1729">
        <f>Data!R1815</f>
        <v/>
      </c>
      <c r="L1729">
        <f>Data!T1815</f>
        <v/>
      </c>
      <c r="M1729">
        <f>AND(E1729=0,F1729=0,G1729=0,H1729=0,I1729=0,J1729=0,K1729=0,L1729=0)</f>
        <v/>
      </c>
      <c r="N1729">
        <f>G1729&lt;=$T$6</f>
        <v/>
      </c>
      <c r="O1729">
        <f>G1729&lt;=$T$12</f>
        <v/>
      </c>
      <c r="P1729">
        <f>OR(AND(H1729&gt;=$T$4,K1729&lt;=$T$5,N1729),M1729)</f>
        <v/>
      </c>
      <c r="Q1729">
        <f>OR(AND(I1729&gt;=$T$10,K1729&lt;=$T$11,O1729),M1729)</f>
        <v/>
      </c>
    </row>
    <row r="1730">
      <c r="A1730">
        <f>Data!E1816</f>
        <v/>
      </c>
      <c r="B1730">
        <f>Data!G1816</f>
        <v/>
      </c>
      <c r="C1730">
        <f>Data!H1816</f>
        <v/>
      </c>
      <c r="D1730">
        <f>Data!I1816</f>
        <v/>
      </c>
      <c r="E1730">
        <f>Data!M1816</f>
        <v/>
      </c>
      <c r="F1730">
        <f>Data!O1816</f>
        <v/>
      </c>
      <c r="G1730">
        <f>E1730-F1730</f>
        <v/>
      </c>
      <c r="H1730">
        <f>Data!P1816</f>
        <v/>
      </c>
      <c r="I1730">
        <f>G1730+H1730</f>
        <v/>
      </c>
      <c r="J1730">
        <f>F1730+G1730+H1730</f>
        <v/>
      </c>
      <c r="K1730">
        <f>Data!R1816</f>
        <v/>
      </c>
      <c r="L1730">
        <f>Data!T1816</f>
        <v/>
      </c>
      <c r="M1730">
        <f>AND(E1730=0,F1730=0,G1730=0,H1730=0,I1730=0,J1730=0,K1730=0,L1730=0)</f>
        <v/>
      </c>
      <c r="N1730">
        <f>G1730&lt;=$T$6</f>
        <v/>
      </c>
      <c r="O1730">
        <f>G1730&lt;=$T$12</f>
        <v/>
      </c>
      <c r="P1730">
        <f>OR(AND(H1730&gt;=$T$4,K1730&lt;=$T$5,N1730),M1730)</f>
        <v/>
      </c>
      <c r="Q1730">
        <f>OR(AND(I1730&gt;=$T$10,K1730&lt;=$T$11,O1730),M1730)</f>
        <v/>
      </c>
    </row>
    <row r="1731">
      <c r="A1731">
        <f>Data!E1817</f>
        <v/>
      </c>
      <c r="B1731">
        <f>Data!G1817</f>
        <v/>
      </c>
      <c r="C1731">
        <f>Data!H1817</f>
        <v/>
      </c>
      <c r="D1731">
        <f>Data!I1817</f>
        <v/>
      </c>
      <c r="E1731">
        <f>Data!M1817</f>
        <v/>
      </c>
      <c r="F1731">
        <f>Data!O1817</f>
        <v/>
      </c>
      <c r="G1731">
        <f>E1731-F1731</f>
        <v/>
      </c>
      <c r="H1731">
        <f>Data!P1817</f>
        <v/>
      </c>
      <c r="I1731">
        <f>G1731+H1731</f>
        <v/>
      </c>
      <c r="J1731">
        <f>F1731+G1731+H1731</f>
        <v/>
      </c>
      <c r="K1731">
        <f>Data!R1817</f>
        <v/>
      </c>
      <c r="L1731">
        <f>Data!T1817</f>
        <v/>
      </c>
      <c r="M1731">
        <f>AND(E1731=0,F1731=0,G1731=0,H1731=0,I1731=0,J1731=0,K1731=0,L1731=0)</f>
        <v/>
      </c>
      <c r="N1731">
        <f>G1731&lt;=$T$6</f>
        <v/>
      </c>
      <c r="O1731">
        <f>G1731&lt;=$T$12</f>
        <v/>
      </c>
      <c r="P1731">
        <f>OR(AND(H1731&gt;=$T$4,K1731&lt;=$T$5,N1731),M1731)</f>
        <v/>
      </c>
      <c r="Q1731">
        <f>OR(AND(I1731&gt;=$T$10,K1731&lt;=$T$11,O1731),M1731)</f>
        <v/>
      </c>
    </row>
    <row r="1732">
      <c r="A1732">
        <f>Data!E1818</f>
        <v/>
      </c>
      <c r="B1732">
        <f>Data!G1818</f>
        <v/>
      </c>
      <c r="C1732">
        <f>Data!H1818</f>
        <v/>
      </c>
      <c r="D1732">
        <f>Data!I1818</f>
        <v/>
      </c>
      <c r="E1732">
        <f>Data!M1818</f>
        <v/>
      </c>
      <c r="F1732">
        <f>Data!O1818</f>
        <v/>
      </c>
      <c r="G1732">
        <f>E1732-F1732</f>
        <v/>
      </c>
      <c r="H1732">
        <f>Data!P1818</f>
        <v/>
      </c>
      <c r="I1732">
        <f>G1732+H1732</f>
        <v/>
      </c>
      <c r="J1732">
        <f>F1732+G1732+H1732</f>
        <v/>
      </c>
      <c r="K1732">
        <f>Data!R1818</f>
        <v/>
      </c>
      <c r="L1732">
        <f>Data!T1818</f>
        <v/>
      </c>
      <c r="M1732">
        <f>AND(E1732=0,F1732=0,G1732=0,H1732=0,I1732=0,J1732=0,K1732=0,L1732=0)</f>
        <v/>
      </c>
      <c r="N1732">
        <f>G1732&lt;=$T$6</f>
        <v/>
      </c>
      <c r="O1732">
        <f>G1732&lt;=$T$12</f>
        <v/>
      </c>
      <c r="P1732">
        <f>OR(AND(H1732&gt;=$T$4,K1732&lt;=$T$5,N1732),M1732)</f>
        <v/>
      </c>
      <c r="Q1732">
        <f>OR(AND(I1732&gt;=$T$10,K1732&lt;=$T$11,O1732),M1732)</f>
        <v/>
      </c>
    </row>
    <row r="1733">
      <c r="A1733">
        <f>Data!E1819</f>
        <v/>
      </c>
      <c r="B1733">
        <f>Data!G1819</f>
        <v/>
      </c>
      <c r="C1733">
        <f>Data!H1819</f>
        <v/>
      </c>
      <c r="D1733">
        <f>Data!I1819</f>
        <v/>
      </c>
      <c r="E1733">
        <f>Data!M1819</f>
        <v/>
      </c>
      <c r="F1733">
        <f>Data!O1819</f>
        <v/>
      </c>
      <c r="G1733">
        <f>E1733-F1733</f>
        <v/>
      </c>
      <c r="H1733">
        <f>Data!P1819</f>
        <v/>
      </c>
      <c r="I1733">
        <f>G1733+H1733</f>
        <v/>
      </c>
      <c r="J1733">
        <f>F1733+G1733+H1733</f>
        <v/>
      </c>
      <c r="K1733">
        <f>Data!R1819</f>
        <v/>
      </c>
      <c r="L1733">
        <f>Data!T1819</f>
        <v/>
      </c>
      <c r="M1733">
        <f>AND(E1733=0,F1733=0,G1733=0,H1733=0,I1733=0,J1733=0,K1733=0,L1733=0)</f>
        <v/>
      </c>
      <c r="N1733">
        <f>G1733&lt;=$T$6</f>
        <v/>
      </c>
      <c r="O1733">
        <f>G1733&lt;=$T$12</f>
        <v/>
      </c>
      <c r="P1733">
        <f>OR(AND(H1733&gt;=$T$4,K1733&lt;=$T$5,N1733),M1733)</f>
        <v/>
      </c>
      <c r="Q1733">
        <f>OR(AND(I1733&gt;=$T$10,K1733&lt;=$T$11,O1733),M1733)</f>
        <v/>
      </c>
    </row>
    <row r="1734">
      <c r="A1734">
        <f>Data!E1820</f>
        <v/>
      </c>
      <c r="B1734">
        <f>Data!G1820</f>
        <v/>
      </c>
      <c r="C1734">
        <f>Data!H1820</f>
        <v/>
      </c>
      <c r="D1734">
        <f>Data!I1820</f>
        <v/>
      </c>
      <c r="E1734">
        <f>Data!M1820</f>
        <v/>
      </c>
      <c r="F1734">
        <f>Data!O1820</f>
        <v/>
      </c>
      <c r="G1734">
        <f>E1734-F1734</f>
        <v/>
      </c>
      <c r="H1734">
        <f>Data!P1820</f>
        <v/>
      </c>
      <c r="I1734">
        <f>G1734+H1734</f>
        <v/>
      </c>
      <c r="J1734">
        <f>F1734+G1734+H1734</f>
        <v/>
      </c>
      <c r="K1734">
        <f>Data!R1820</f>
        <v/>
      </c>
      <c r="L1734">
        <f>Data!T1820</f>
        <v/>
      </c>
      <c r="M1734">
        <f>AND(E1734=0,F1734=0,G1734=0,H1734=0,I1734=0,J1734=0,K1734=0,L1734=0)</f>
        <v/>
      </c>
      <c r="N1734">
        <f>G1734&lt;=$T$6</f>
        <v/>
      </c>
      <c r="O1734">
        <f>G1734&lt;=$T$12</f>
        <v/>
      </c>
      <c r="P1734">
        <f>OR(AND(H1734&gt;=$T$4,K1734&lt;=$T$5,N1734),M1734)</f>
        <v/>
      </c>
      <c r="Q1734">
        <f>OR(AND(I1734&gt;=$T$10,K1734&lt;=$T$11,O1734),M1734)</f>
        <v/>
      </c>
    </row>
    <row r="1735">
      <c r="A1735">
        <f>Data!E1821</f>
        <v/>
      </c>
      <c r="B1735">
        <f>Data!G1821</f>
        <v/>
      </c>
      <c r="C1735">
        <f>Data!H1821</f>
        <v/>
      </c>
      <c r="D1735">
        <f>Data!I1821</f>
        <v/>
      </c>
      <c r="E1735">
        <f>Data!M1821</f>
        <v/>
      </c>
      <c r="F1735">
        <f>Data!O1821</f>
        <v/>
      </c>
      <c r="G1735">
        <f>E1735-F1735</f>
        <v/>
      </c>
      <c r="H1735">
        <f>Data!P1821</f>
        <v/>
      </c>
      <c r="I1735">
        <f>G1735+H1735</f>
        <v/>
      </c>
      <c r="J1735">
        <f>F1735+G1735+H1735</f>
        <v/>
      </c>
      <c r="K1735">
        <f>Data!R1821</f>
        <v/>
      </c>
      <c r="L1735">
        <f>Data!T1821</f>
        <v/>
      </c>
      <c r="M1735">
        <f>AND(E1735=0,F1735=0,G1735=0,H1735=0,I1735=0,J1735=0,K1735=0,L1735=0)</f>
        <v/>
      </c>
      <c r="N1735">
        <f>G1735&lt;=$T$6</f>
        <v/>
      </c>
      <c r="O1735">
        <f>G1735&lt;=$T$12</f>
        <v/>
      </c>
      <c r="P1735">
        <f>OR(AND(H1735&gt;=$T$4,K1735&lt;=$T$5,N1735),M1735)</f>
        <v/>
      </c>
      <c r="Q1735">
        <f>OR(AND(I1735&gt;=$T$10,K1735&lt;=$T$11,O1735),M1735)</f>
        <v/>
      </c>
    </row>
    <row r="1736">
      <c r="A1736">
        <f>Data!E1822</f>
        <v/>
      </c>
      <c r="B1736">
        <f>Data!G1822</f>
        <v/>
      </c>
      <c r="C1736">
        <f>Data!H1822</f>
        <v/>
      </c>
      <c r="D1736">
        <f>Data!I1822</f>
        <v/>
      </c>
      <c r="E1736">
        <f>Data!M1822</f>
        <v/>
      </c>
      <c r="F1736">
        <f>Data!O1822</f>
        <v/>
      </c>
      <c r="G1736">
        <f>E1736-F1736</f>
        <v/>
      </c>
      <c r="H1736">
        <f>Data!P1822</f>
        <v/>
      </c>
      <c r="I1736">
        <f>G1736+H1736</f>
        <v/>
      </c>
      <c r="J1736">
        <f>F1736+G1736+H1736</f>
        <v/>
      </c>
      <c r="K1736">
        <f>Data!R1822</f>
        <v/>
      </c>
      <c r="L1736">
        <f>Data!T1822</f>
        <v/>
      </c>
      <c r="M1736">
        <f>AND(E1736=0,F1736=0,G1736=0,H1736=0,I1736=0,J1736=0,K1736=0,L1736=0)</f>
        <v/>
      </c>
      <c r="N1736">
        <f>G1736&lt;=$T$6</f>
        <v/>
      </c>
      <c r="O1736">
        <f>G1736&lt;=$T$12</f>
        <v/>
      </c>
      <c r="P1736">
        <f>OR(AND(H1736&gt;=$T$4,K1736&lt;=$T$5,N1736),M1736)</f>
        <v/>
      </c>
      <c r="Q1736">
        <f>OR(AND(I1736&gt;=$T$10,K1736&lt;=$T$11,O1736),M1736)</f>
        <v/>
      </c>
    </row>
    <row r="1737">
      <c r="A1737">
        <f>Data!E1823</f>
        <v/>
      </c>
      <c r="B1737">
        <f>Data!G1823</f>
        <v/>
      </c>
      <c r="C1737">
        <f>Data!H1823</f>
        <v/>
      </c>
      <c r="D1737">
        <f>Data!I1823</f>
        <v/>
      </c>
      <c r="E1737">
        <f>Data!M1823</f>
        <v/>
      </c>
      <c r="F1737">
        <f>Data!O1823</f>
        <v/>
      </c>
      <c r="G1737">
        <f>E1737-F1737</f>
        <v/>
      </c>
      <c r="H1737">
        <f>Data!P1823</f>
        <v/>
      </c>
      <c r="I1737">
        <f>G1737+H1737</f>
        <v/>
      </c>
      <c r="J1737">
        <f>F1737+G1737+H1737</f>
        <v/>
      </c>
      <c r="K1737">
        <f>Data!R1823</f>
        <v/>
      </c>
      <c r="L1737">
        <f>Data!T1823</f>
        <v/>
      </c>
      <c r="M1737">
        <f>AND(E1737=0,F1737=0,G1737=0,H1737=0,I1737=0,J1737=0,K1737=0,L1737=0)</f>
        <v/>
      </c>
      <c r="N1737">
        <f>G1737&lt;=$T$6</f>
        <v/>
      </c>
      <c r="O1737">
        <f>G1737&lt;=$T$12</f>
        <v/>
      </c>
      <c r="P1737">
        <f>OR(AND(H1737&gt;=$T$4,K1737&lt;=$T$5,N1737),M1737)</f>
        <v/>
      </c>
      <c r="Q1737">
        <f>OR(AND(I1737&gt;=$T$10,K1737&lt;=$T$11,O1737),M1737)</f>
        <v/>
      </c>
    </row>
    <row r="1738">
      <c r="A1738">
        <f>Data!E1824</f>
        <v/>
      </c>
      <c r="B1738">
        <f>Data!G1824</f>
        <v/>
      </c>
      <c r="C1738">
        <f>Data!H1824</f>
        <v/>
      </c>
      <c r="D1738">
        <f>Data!I1824</f>
        <v/>
      </c>
      <c r="E1738">
        <f>Data!M1824</f>
        <v/>
      </c>
      <c r="F1738">
        <f>Data!O1824</f>
        <v/>
      </c>
      <c r="G1738">
        <f>E1738-F1738</f>
        <v/>
      </c>
      <c r="H1738">
        <f>Data!P1824</f>
        <v/>
      </c>
      <c r="I1738">
        <f>G1738+H1738</f>
        <v/>
      </c>
      <c r="J1738">
        <f>F1738+G1738+H1738</f>
        <v/>
      </c>
      <c r="K1738">
        <f>Data!R1824</f>
        <v/>
      </c>
      <c r="L1738">
        <f>Data!T1824</f>
        <v/>
      </c>
      <c r="M1738">
        <f>AND(E1738=0,F1738=0,G1738=0,H1738=0,I1738=0,J1738=0,K1738=0,L1738=0)</f>
        <v/>
      </c>
      <c r="N1738">
        <f>G1738&lt;=$T$6</f>
        <v/>
      </c>
      <c r="O1738">
        <f>G1738&lt;=$T$12</f>
        <v/>
      </c>
      <c r="P1738">
        <f>OR(AND(H1738&gt;=$T$4,K1738&lt;=$T$5,N1738),M1738)</f>
        <v/>
      </c>
      <c r="Q1738">
        <f>OR(AND(I1738&gt;=$T$10,K1738&lt;=$T$11,O1738),M1738)</f>
        <v/>
      </c>
    </row>
    <row r="1739">
      <c r="A1739">
        <f>Data!E1825</f>
        <v/>
      </c>
      <c r="B1739">
        <f>Data!G1825</f>
        <v/>
      </c>
      <c r="C1739">
        <f>Data!H1825</f>
        <v/>
      </c>
      <c r="D1739">
        <f>Data!I1825</f>
        <v/>
      </c>
      <c r="E1739">
        <f>Data!M1825</f>
        <v/>
      </c>
      <c r="F1739">
        <f>Data!O1825</f>
        <v/>
      </c>
      <c r="G1739">
        <f>E1739-F1739</f>
        <v/>
      </c>
      <c r="H1739">
        <f>Data!P1825</f>
        <v/>
      </c>
      <c r="I1739">
        <f>G1739+H1739</f>
        <v/>
      </c>
      <c r="J1739">
        <f>F1739+G1739+H1739</f>
        <v/>
      </c>
      <c r="K1739">
        <f>Data!R1825</f>
        <v/>
      </c>
      <c r="L1739">
        <f>Data!T1825</f>
        <v/>
      </c>
      <c r="M1739">
        <f>AND(E1739=0,F1739=0,G1739=0,H1739=0,I1739=0,J1739=0,K1739=0,L1739=0)</f>
        <v/>
      </c>
      <c r="N1739">
        <f>G1739&lt;=$T$6</f>
        <v/>
      </c>
      <c r="O1739">
        <f>G1739&lt;=$T$12</f>
        <v/>
      </c>
      <c r="P1739">
        <f>OR(AND(H1739&gt;=$T$4,K1739&lt;=$T$5,N1739),M1739)</f>
        <v/>
      </c>
      <c r="Q1739">
        <f>OR(AND(I1739&gt;=$T$10,K1739&lt;=$T$11,O1739),M1739)</f>
        <v/>
      </c>
    </row>
    <row r="1740">
      <c r="A1740">
        <f>Data!E1826</f>
        <v/>
      </c>
      <c r="B1740">
        <f>Data!G1826</f>
        <v/>
      </c>
      <c r="C1740">
        <f>Data!H1826</f>
        <v/>
      </c>
      <c r="D1740">
        <f>Data!I1826</f>
        <v/>
      </c>
      <c r="E1740">
        <f>Data!M1826</f>
        <v/>
      </c>
      <c r="F1740">
        <f>Data!O1826</f>
        <v/>
      </c>
      <c r="G1740">
        <f>E1740-F1740</f>
        <v/>
      </c>
      <c r="H1740">
        <f>Data!P1826</f>
        <v/>
      </c>
      <c r="I1740">
        <f>G1740+H1740</f>
        <v/>
      </c>
      <c r="J1740">
        <f>F1740+G1740+H1740</f>
        <v/>
      </c>
      <c r="K1740">
        <f>Data!R1826</f>
        <v/>
      </c>
      <c r="L1740">
        <f>Data!T1826</f>
        <v/>
      </c>
      <c r="M1740">
        <f>AND(E1740=0,F1740=0,G1740=0,H1740=0,I1740=0,J1740=0,K1740=0,L1740=0)</f>
        <v/>
      </c>
      <c r="N1740">
        <f>G1740&lt;=$T$6</f>
        <v/>
      </c>
      <c r="O1740">
        <f>G1740&lt;=$T$12</f>
        <v/>
      </c>
      <c r="P1740">
        <f>OR(AND(H1740&gt;=$T$4,K1740&lt;=$T$5,N1740),M1740)</f>
        <v/>
      </c>
      <c r="Q1740">
        <f>OR(AND(I1740&gt;=$T$10,K1740&lt;=$T$11,O1740),M1740)</f>
        <v/>
      </c>
    </row>
    <row r="1741">
      <c r="A1741">
        <f>Data!E1827</f>
        <v/>
      </c>
      <c r="B1741">
        <f>Data!G1827</f>
        <v/>
      </c>
      <c r="C1741">
        <f>Data!H1827</f>
        <v/>
      </c>
      <c r="D1741">
        <f>Data!I1827</f>
        <v/>
      </c>
      <c r="E1741">
        <f>Data!M1827</f>
        <v/>
      </c>
      <c r="F1741">
        <f>Data!O1827</f>
        <v/>
      </c>
      <c r="G1741">
        <f>E1741-F1741</f>
        <v/>
      </c>
      <c r="H1741">
        <f>Data!P1827</f>
        <v/>
      </c>
      <c r="I1741">
        <f>G1741+H1741</f>
        <v/>
      </c>
      <c r="J1741">
        <f>F1741+G1741+H1741</f>
        <v/>
      </c>
      <c r="K1741">
        <f>Data!R1827</f>
        <v/>
      </c>
      <c r="L1741">
        <f>Data!T1827</f>
        <v/>
      </c>
      <c r="M1741">
        <f>AND(E1741=0,F1741=0,G1741=0,H1741=0,I1741=0,J1741=0,K1741=0,L1741=0)</f>
        <v/>
      </c>
      <c r="N1741">
        <f>G1741&lt;=$T$6</f>
        <v/>
      </c>
      <c r="O1741">
        <f>G1741&lt;=$T$12</f>
        <v/>
      </c>
      <c r="P1741">
        <f>OR(AND(H1741&gt;=$T$4,K1741&lt;=$T$5,N1741),M1741)</f>
        <v/>
      </c>
      <c r="Q1741">
        <f>OR(AND(I1741&gt;=$T$10,K1741&lt;=$T$11,O1741),M1741)</f>
        <v/>
      </c>
    </row>
    <row r="1742">
      <c r="A1742">
        <f>Data!E1828</f>
        <v/>
      </c>
      <c r="B1742">
        <f>Data!G1828</f>
        <v/>
      </c>
      <c r="C1742">
        <f>Data!H1828</f>
        <v/>
      </c>
      <c r="D1742">
        <f>Data!I1828</f>
        <v/>
      </c>
      <c r="E1742">
        <f>Data!M1828</f>
        <v/>
      </c>
      <c r="F1742">
        <f>Data!O1828</f>
        <v/>
      </c>
      <c r="G1742">
        <f>E1742-F1742</f>
        <v/>
      </c>
      <c r="H1742">
        <f>Data!P1828</f>
        <v/>
      </c>
      <c r="I1742">
        <f>G1742+H1742</f>
        <v/>
      </c>
      <c r="J1742">
        <f>F1742+G1742+H1742</f>
        <v/>
      </c>
      <c r="K1742">
        <f>Data!R1828</f>
        <v/>
      </c>
      <c r="L1742">
        <f>Data!T1828</f>
        <v/>
      </c>
      <c r="M1742">
        <f>AND(E1742=0,F1742=0,G1742=0,H1742=0,I1742=0,J1742=0,K1742=0,L1742=0)</f>
        <v/>
      </c>
      <c r="N1742">
        <f>G1742&lt;=$T$6</f>
        <v/>
      </c>
      <c r="O1742">
        <f>G1742&lt;=$T$12</f>
        <v/>
      </c>
      <c r="P1742">
        <f>OR(AND(H1742&gt;=$T$4,K1742&lt;=$T$5,N1742),M1742)</f>
        <v/>
      </c>
      <c r="Q1742">
        <f>OR(AND(I1742&gt;=$T$10,K1742&lt;=$T$11,O1742),M1742)</f>
        <v/>
      </c>
    </row>
    <row r="1743">
      <c r="A1743">
        <f>Data!E1829</f>
        <v/>
      </c>
      <c r="B1743">
        <f>Data!G1829</f>
        <v/>
      </c>
      <c r="C1743">
        <f>Data!H1829</f>
        <v/>
      </c>
      <c r="D1743">
        <f>Data!I1829</f>
        <v/>
      </c>
      <c r="E1743">
        <f>Data!M1829</f>
        <v/>
      </c>
      <c r="F1743">
        <f>Data!O1829</f>
        <v/>
      </c>
      <c r="G1743">
        <f>E1743-F1743</f>
        <v/>
      </c>
      <c r="H1743">
        <f>Data!P1829</f>
        <v/>
      </c>
      <c r="I1743">
        <f>G1743+H1743</f>
        <v/>
      </c>
      <c r="J1743">
        <f>F1743+G1743+H1743</f>
        <v/>
      </c>
      <c r="K1743">
        <f>Data!R1829</f>
        <v/>
      </c>
      <c r="L1743">
        <f>Data!T1829</f>
        <v/>
      </c>
      <c r="M1743">
        <f>AND(E1743=0,F1743=0,G1743=0,H1743=0,I1743=0,J1743=0,K1743=0,L1743=0)</f>
        <v/>
      </c>
      <c r="N1743">
        <f>G1743&lt;=$T$6</f>
        <v/>
      </c>
      <c r="O1743">
        <f>G1743&lt;=$T$12</f>
        <v/>
      </c>
      <c r="P1743">
        <f>OR(AND(H1743&gt;=$T$4,K1743&lt;=$T$5,N1743),M1743)</f>
        <v/>
      </c>
      <c r="Q1743">
        <f>OR(AND(I1743&gt;=$T$10,K1743&lt;=$T$11,O1743),M1743)</f>
        <v/>
      </c>
    </row>
    <row r="1744">
      <c r="A1744">
        <f>Data!E1830</f>
        <v/>
      </c>
      <c r="B1744">
        <f>Data!G1830</f>
        <v/>
      </c>
      <c r="C1744">
        <f>Data!H1830</f>
        <v/>
      </c>
      <c r="D1744">
        <f>Data!I1830</f>
        <v/>
      </c>
      <c r="E1744">
        <f>Data!M1830</f>
        <v/>
      </c>
      <c r="F1744">
        <f>Data!O1830</f>
        <v/>
      </c>
      <c r="G1744">
        <f>E1744-F1744</f>
        <v/>
      </c>
      <c r="H1744">
        <f>Data!P1830</f>
        <v/>
      </c>
      <c r="I1744">
        <f>G1744+H1744</f>
        <v/>
      </c>
      <c r="J1744">
        <f>F1744+G1744+H1744</f>
        <v/>
      </c>
      <c r="K1744">
        <f>Data!R1830</f>
        <v/>
      </c>
      <c r="L1744">
        <f>Data!T1830</f>
        <v/>
      </c>
      <c r="M1744">
        <f>AND(E1744=0,F1744=0,G1744=0,H1744=0,I1744=0,J1744=0,K1744=0,L1744=0)</f>
        <v/>
      </c>
      <c r="N1744">
        <f>G1744&lt;=$T$6</f>
        <v/>
      </c>
      <c r="O1744">
        <f>G1744&lt;=$T$12</f>
        <v/>
      </c>
      <c r="P1744">
        <f>OR(AND(H1744&gt;=$T$4,K1744&lt;=$T$5,N1744),M1744)</f>
        <v/>
      </c>
      <c r="Q1744">
        <f>OR(AND(I1744&gt;=$T$10,K1744&lt;=$T$11,O1744),M1744)</f>
        <v/>
      </c>
    </row>
    <row r="1745">
      <c r="A1745">
        <f>Data!E1831</f>
        <v/>
      </c>
      <c r="B1745">
        <f>Data!G1831</f>
        <v/>
      </c>
      <c r="C1745">
        <f>Data!H1831</f>
        <v/>
      </c>
      <c r="D1745">
        <f>Data!I1831</f>
        <v/>
      </c>
      <c r="E1745">
        <f>Data!M1831</f>
        <v/>
      </c>
      <c r="F1745">
        <f>Data!O1831</f>
        <v/>
      </c>
      <c r="G1745">
        <f>E1745-F1745</f>
        <v/>
      </c>
      <c r="H1745">
        <f>Data!P1831</f>
        <v/>
      </c>
      <c r="I1745">
        <f>G1745+H1745</f>
        <v/>
      </c>
      <c r="J1745">
        <f>F1745+G1745+H1745</f>
        <v/>
      </c>
      <c r="K1745">
        <f>Data!R1831</f>
        <v/>
      </c>
      <c r="L1745">
        <f>Data!T1831</f>
        <v/>
      </c>
      <c r="M1745">
        <f>AND(E1745=0,F1745=0,G1745=0,H1745=0,I1745=0,J1745=0,K1745=0,L1745=0)</f>
        <v/>
      </c>
      <c r="N1745">
        <f>G1745&lt;=$T$6</f>
        <v/>
      </c>
      <c r="O1745">
        <f>G1745&lt;=$T$12</f>
        <v/>
      </c>
      <c r="P1745">
        <f>OR(AND(H1745&gt;=$T$4,K1745&lt;=$T$5,N1745),M1745)</f>
        <v/>
      </c>
      <c r="Q1745">
        <f>OR(AND(I1745&gt;=$T$10,K1745&lt;=$T$11,O1745),M1745)</f>
        <v/>
      </c>
    </row>
    <row r="1746">
      <c r="A1746">
        <f>Data!E1832</f>
        <v/>
      </c>
      <c r="B1746">
        <f>Data!G1832</f>
        <v/>
      </c>
      <c r="C1746">
        <f>Data!H1832</f>
        <v/>
      </c>
      <c r="D1746">
        <f>Data!I1832</f>
        <v/>
      </c>
      <c r="E1746">
        <f>Data!M1832</f>
        <v/>
      </c>
      <c r="F1746">
        <f>Data!O1832</f>
        <v/>
      </c>
      <c r="G1746">
        <f>E1746-F1746</f>
        <v/>
      </c>
      <c r="H1746">
        <f>Data!P1832</f>
        <v/>
      </c>
      <c r="I1746">
        <f>G1746+H1746</f>
        <v/>
      </c>
      <c r="J1746">
        <f>F1746+G1746+H1746</f>
        <v/>
      </c>
      <c r="K1746">
        <f>Data!R1832</f>
        <v/>
      </c>
      <c r="L1746">
        <f>Data!T1832</f>
        <v/>
      </c>
      <c r="M1746">
        <f>AND(E1746=0,F1746=0,G1746=0,H1746=0,I1746=0,J1746=0,K1746=0,L1746=0)</f>
        <v/>
      </c>
      <c r="N1746">
        <f>G1746&lt;=$T$6</f>
        <v/>
      </c>
      <c r="O1746">
        <f>G1746&lt;=$T$12</f>
        <v/>
      </c>
      <c r="P1746">
        <f>OR(AND(H1746&gt;=$T$4,K1746&lt;=$T$5,N1746),M1746)</f>
        <v/>
      </c>
      <c r="Q1746">
        <f>OR(AND(I1746&gt;=$T$10,K1746&lt;=$T$11,O1746),M1746)</f>
        <v/>
      </c>
    </row>
    <row r="1747">
      <c r="A1747">
        <f>Data!E1833</f>
        <v/>
      </c>
      <c r="B1747">
        <f>Data!G1833</f>
        <v/>
      </c>
      <c r="C1747">
        <f>Data!H1833</f>
        <v/>
      </c>
      <c r="D1747">
        <f>Data!I1833</f>
        <v/>
      </c>
      <c r="E1747">
        <f>Data!M1833</f>
        <v/>
      </c>
      <c r="F1747">
        <f>Data!O1833</f>
        <v/>
      </c>
      <c r="G1747">
        <f>E1747-F1747</f>
        <v/>
      </c>
      <c r="H1747">
        <f>Data!P1833</f>
        <v/>
      </c>
      <c r="I1747">
        <f>G1747+H1747</f>
        <v/>
      </c>
      <c r="J1747">
        <f>F1747+G1747+H1747</f>
        <v/>
      </c>
      <c r="K1747">
        <f>Data!R1833</f>
        <v/>
      </c>
      <c r="L1747">
        <f>Data!T1833</f>
        <v/>
      </c>
      <c r="M1747">
        <f>AND(E1747=0,F1747=0,G1747=0,H1747=0,I1747=0,J1747=0,K1747=0,L1747=0)</f>
        <v/>
      </c>
      <c r="N1747">
        <f>G1747&lt;=$T$6</f>
        <v/>
      </c>
      <c r="O1747">
        <f>G1747&lt;=$T$12</f>
        <v/>
      </c>
      <c r="P1747">
        <f>OR(AND(H1747&gt;=$T$4,K1747&lt;=$T$5,N1747),M1747)</f>
        <v/>
      </c>
      <c r="Q1747">
        <f>OR(AND(I1747&gt;=$T$10,K1747&lt;=$T$11,O1747),M1747)</f>
        <v/>
      </c>
    </row>
    <row r="1748">
      <c r="A1748">
        <f>Data!E1834</f>
        <v/>
      </c>
      <c r="B1748">
        <f>Data!G1834</f>
        <v/>
      </c>
      <c r="C1748">
        <f>Data!H1834</f>
        <v/>
      </c>
      <c r="D1748">
        <f>Data!I1834</f>
        <v/>
      </c>
      <c r="E1748">
        <f>Data!M1834</f>
        <v/>
      </c>
      <c r="F1748">
        <f>Data!O1834</f>
        <v/>
      </c>
      <c r="G1748">
        <f>E1748-F1748</f>
        <v/>
      </c>
      <c r="H1748">
        <f>Data!P1834</f>
        <v/>
      </c>
      <c r="I1748">
        <f>G1748+H1748</f>
        <v/>
      </c>
      <c r="J1748">
        <f>F1748+G1748+H1748</f>
        <v/>
      </c>
      <c r="K1748">
        <f>Data!R1834</f>
        <v/>
      </c>
      <c r="L1748">
        <f>Data!T1834</f>
        <v/>
      </c>
      <c r="M1748">
        <f>AND(E1748=0,F1748=0,G1748=0,H1748=0,I1748=0,J1748=0,K1748=0,L1748=0)</f>
        <v/>
      </c>
      <c r="N1748">
        <f>G1748&lt;=$T$6</f>
        <v/>
      </c>
      <c r="O1748">
        <f>G1748&lt;=$T$12</f>
        <v/>
      </c>
      <c r="P1748">
        <f>OR(AND(H1748&gt;=$T$4,K1748&lt;=$T$5,N1748),M1748)</f>
        <v/>
      </c>
      <c r="Q1748">
        <f>OR(AND(I1748&gt;=$T$10,K1748&lt;=$T$11,O1748),M1748)</f>
        <v/>
      </c>
    </row>
    <row r="1749">
      <c r="A1749">
        <f>Data!E1835</f>
        <v/>
      </c>
      <c r="B1749">
        <f>Data!G1835</f>
        <v/>
      </c>
      <c r="C1749">
        <f>Data!H1835</f>
        <v/>
      </c>
      <c r="D1749">
        <f>Data!I1835</f>
        <v/>
      </c>
      <c r="E1749">
        <f>Data!M1835</f>
        <v/>
      </c>
      <c r="F1749">
        <f>Data!O1835</f>
        <v/>
      </c>
      <c r="G1749">
        <f>E1749-F1749</f>
        <v/>
      </c>
      <c r="H1749">
        <f>Data!P1835</f>
        <v/>
      </c>
      <c r="I1749">
        <f>G1749+H1749</f>
        <v/>
      </c>
      <c r="J1749">
        <f>F1749+G1749+H1749</f>
        <v/>
      </c>
      <c r="K1749">
        <f>Data!R1835</f>
        <v/>
      </c>
      <c r="L1749">
        <f>Data!T1835</f>
        <v/>
      </c>
      <c r="M1749">
        <f>AND(E1749=0,F1749=0,G1749=0,H1749=0,I1749=0,J1749=0,K1749=0,L1749=0)</f>
        <v/>
      </c>
      <c r="N1749">
        <f>G1749&lt;=$T$6</f>
        <v/>
      </c>
      <c r="O1749">
        <f>G1749&lt;=$T$12</f>
        <v/>
      </c>
      <c r="P1749">
        <f>OR(AND(H1749&gt;=$T$4,K1749&lt;=$T$5,N1749),M1749)</f>
        <v/>
      </c>
      <c r="Q1749">
        <f>OR(AND(I1749&gt;=$T$10,K1749&lt;=$T$11,O1749),M1749)</f>
        <v/>
      </c>
    </row>
    <row r="1750">
      <c r="A1750">
        <f>Data!E1837</f>
        <v/>
      </c>
      <c r="B1750">
        <f>Data!G1837</f>
        <v/>
      </c>
      <c r="C1750">
        <f>Data!H1837</f>
        <v/>
      </c>
      <c r="D1750">
        <f>Data!I1837</f>
        <v/>
      </c>
      <c r="E1750">
        <f>Data!M1837</f>
        <v/>
      </c>
      <c r="F1750">
        <f>Data!O1837</f>
        <v/>
      </c>
      <c r="G1750">
        <f>E1750-F1750</f>
        <v/>
      </c>
      <c r="H1750">
        <f>Data!P1837</f>
        <v/>
      </c>
      <c r="I1750">
        <f>G1750+H1750</f>
        <v/>
      </c>
      <c r="J1750">
        <f>F1750+G1750+H1750</f>
        <v/>
      </c>
      <c r="K1750">
        <f>Data!R1837</f>
        <v/>
      </c>
      <c r="L1750">
        <f>Data!T1837</f>
        <v/>
      </c>
      <c r="M1750">
        <f>AND(E1750=0,F1750=0,G1750=0,H1750=0,I1750=0,J1750=0,K1750=0,L1750=0)</f>
        <v/>
      </c>
      <c r="N1750">
        <f>G1750&lt;=$T$6</f>
        <v/>
      </c>
      <c r="O1750">
        <f>G1750&lt;=$T$12</f>
        <v/>
      </c>
      <c r="P1750">
        <f>OR(AND(H1750&gt;=$T$4,K1750&lt;=$T$5,N1750),M1750)</f>
        <v/>
      </c>
      <c r="Q1750">
        <f>OR(AND(I1750&gt;=$T$10,K1750&lt;=$T$11,O1750),M1750)</f>
        <v/>
      </c>
    </row>
    <row r="1751">
      <c r="A1751">
        <f>Data!E1838</f>
        <v/>
      </c>
      <c r="B1751">
        <f>Data!G1838</f>
        <v/>
      </c>
      <c r="C1751">
        <f>Data!H1838</f>
        <v/>
      </c>
      <c r="D1751">
        <f>Data!I1838</f>
        <v/>
      </c>
      <c r="E1751">
        <f>Data!M1838</f>
        <v/>
      </c>
      <c r="F1751">
        <f>Data!O1838</f>
        <v/>
      </c>
      <c r="G1751">
        <f>E1751-F1751</f>
        <v/>
      </c>
      <c r="H1751">
        <f>Data!P1838</f>
        <v/>
      </c>
      <c r="I1751">
        <f>G1751+H1751</f>
        <v/>
      </c>
      <c r="J1751">
        <f>F1751+G1751+H1751</f>
        <v/>
      </c>
      <c r="K1751">
        <f>Data!R1838</f>
        <v/>
      </c>
      <c r="L1751">
        <f>Data!T1838</f>
        <v/>
      </c>
      <c r="M1751">
        <f>AND(E1751=0,F1751=0,G1751=0,H1751=0,I1751=0,J1751=0,K1751=0,L1751=0)</f>
        <v/>
      </c>
      <c r="N1751">
        <f>G1751&lt;=$T$6</f>
        <v/>
      </c>
      <c r="O1751">
        <f>G1751&lt;=$T$12</f>
        <v/>
      </c>
      <c r="P1751">
        <f>OR(AND(H1751&gt;=$T$4,K1751&lt;=$T$5,N1751),M1751)</f>
        <v/>
      </c>
      <c r="Q1751">
        <f>OR(AND(I1751&gt;=$T$10,K1751&lt;=$T$11,O1751),M1751)</f>
        <v/>
      </c>
    </row>
    <row r="1752">
      <c r="A1752">
        <f>Data!E1839</f>
        <v/>
      </c>
      <c r="B1752">
        <f>Data!G1839</f>
        <v/>
      </c>
      <c r="C1752">
        <f>Data!H1839</f>
        <v/>
      </c>
      <c r="D1752">
        <f>Data!I1839</f>
        <v/>
      </c>
      <c r="E1752">
        <f>Data!M1839</f>
        <v/>
      </c>
      <c r="F1752">
        <f>Data!O1839</f>
        <v/>
      </c>
      <c r="G1752">
        <f>E1752-F1752</f>
        <v/>
      </c>
      <c r="H1752">
        <f>Data!P1839</f>
        <v/>
      </c>
      <c r="I1752">
        <f>G1752+H1752</f>
        <v/>
      </c>
      <c r="J1752">
        <f>F1752+G1752+H1752</f>
        <v/>
      </c>
      <c r="K1752">
        <f>Data!R1839</f>
        <v/>
      </c>
      <c r="L1752">
        <f>Data!T1839</f>
        <v/>
      </c>
      <c r="M1752">
        <f>AND(E1752=0,F1752=0,G1752=0,H1752=0,I1752=0,J1752=0,K1752=0,L1752=0)</f>
        <v/>
      </c>
      <c r="N1752">
        <f>G1752&lt;=$T$6</f>
        <v/>
      </c>
      <c r="O1752">
        <f>G1752&lt;=$T$12</f>
        <v/>
      </c>
      <c r="P1752">
        <f>OR(AND(H1752&gt;=$T$4,K1752&lt;=$T$5,N1752),M1752)</f>
        <v/>
      </c>
      <c r="Q1752">
        <f>OR(AND(I1752&gt;=$T$10,K1752&lt;=$T$11,O1752),M1752)</f>
        <v/>
      </c>
    </row>
    <row r="1753">
      <c r="A1753">
        <f>Data!E1840</f>
        <v/>
      </c>
      <c r="B1753">
        <f>Data!G1840</f>
        <v/>
      </c>
      <c r="C1753">
        <f>Data!H1840</f>
        <v/>
      </c>
      <c r="D1753">
        <f>Data!I1840</f>
        <v/>
      </c>
      <c r="E1753">
        <f>Data!M1840</f>
        <v/>
      </c>
      <c r="F1753">
        <f>Data!O1840</f>
        <v/>
      </c>
      <c r="G1753">
        <f>E1753-F1753</f>
        <v/>
      </c>
      <c r="H1753">
        <f>Data!P1840</f>
        <v/>
      </c>
      <c r="I1753">
        <f>G1753+H1753</f>
        <v/>
      </c>
      <c r="J1753">
        <f>F1753+G1753+H1753</f>
        <v/>
      </c>
      <c r="K1753">
        <f>Data!R1840</f>
        <v/>
      </c>
      <c r="L1753">
        <f>Data!T1840</f>
        <v/>
      </c>
      <c r="M1753">
        <f>AND(E1753=0,F1753=0,G1753=0,H1753=0,I1753=0,J1753=0,K1753=0,L1753=0)</f>
        <v/>
      </c>
      <c r="N1753">
        <f>G1753&lt;=$T$6</f>
        <v/>
      </c>
      <c r="O1753">
        <f>G1753&lt;=$T$12</f>
        <v/>
      </c>
      <c r="P1753">
        <f>OR(AND(H1753&gt;=$T$4,K1753&lt;=$T$5,N1753),M1753)</f>
        <v/>
      </c>
      <c r="Q1753">
        <f>OR(AND(I1753&gt;=$T$10,K1753&lt;=$T$11,O1753),M1753)</f>
        <v/>
      </c>
    </row>
    <row r="1754">
      <c r="A1754">
        <f>Data!E1841</f>
        <v/>
      </c>
      <c r="B1754">
        <f>Data!G1841</f>
        <v/>
      </c>
      <c r="C1754">
        <f>Data!H1841</f>
        <v/>
      </c>
      <c r="D1754">
        <f>Data!I1841</f>
        <v/>
      </c>
      <c r="E1754">
        <f>Data!M1841</f>
        <v/>
      </c>
      <c r="F1754">
        <f>Data!O1841</f>
        <v/>
      </c>
      <c r="G1754">
        <f>E1754-F1754</f>
        <v/>
      </c>
      <c r="H1754">
        <f>Data!P1841</f>
        <v/>
      </c>
      <c r="I1754">
        <f>G1754+H1754</f>
        <v/>
      </c>
      <c r="J1754">
        <f>F1754+G1754+H1754</f>
        <v/>
      </c>
      <c r="K1754">
        <f>Data!R1841</f>
        <v/>
      </c>
      <c r="L1754">
        <f>Data!T1841</f>
        <v/>
      </c>
      <c r="M1754">
        <f>AND(E1754=0,F1754=0,G1754=0,H1754=0,I1754=0,J1754=0,K1754=0,L1754=0)</f>
        <v/>
      </c>
      <c r="N1754">
        <f>G1754&lt;=$T$6</f>
        <v/>
      </c>
      <c r="O1754">
        <f>G1754&lt;=$T$12</f>
        <v/>
      </c>
      <c r="P1754">
        <f>OR(AND(H1754&gt;=$T$4,K1754&lt;=$T$5,N1754),M1754)</f>
        <v/>
      </c>
      <c r="Q1754">
        <f>OR(AND(I1754&gt;=$T$10,K1754&lt;=$T$11,O1754),M1754)</f>
        <v/>
      </c>
    </row>
    <row r="1755">
      <c r="A1755">
        <f>Data!E1842</f>
        <v/>
      </c>
      <c r="B1755">
        <f>Data!G1842</f>
        <v/>
      </c>
      <c r="C1755">
        <f>Data!H1842</f>
        <v/>
      </c>
      <c r="D1755">
        <f>Data!I1842</f>
        <v/>
      </c>
      <c r="E1755">
        <f>Data!M1842</f>
        <v/>
      </c>
      <c r="F1755">
        <f>Data!O1842</f>
        <v/>
      </c>
      <c r="G1755">
        <f>E1755-F1755</f>
        <v/>
      </c>
      <c r="H1755">
        <f>Data!P1842</f>
        <v/>
      </c>
      <c r="I1755">
        <f>G1755+H1755</f>
        <v/>
      </c>
      <c r="J1755">
        <f>F1755+G1755+H1755</f>
        <v/>
      </c>
      <c r="K1755">
        <f>Data!R1842</f>
        <v/>
      </c>
      <c r="L1755">
        <f>Data!T1842</f>
        <v/>
      </c>
      <c r="M1755">
        <f>AND(E1755=0,F1755=0,G1755=0,H1755=0,I1755=0,J1755=0,K1755=0,L1755=0)</f>
        <v/>
      </c>
      <c r="N1755">
        <f>G1755&lt;=$T$6</f>
        <v/>
      </c>
      <c r="O1755">
        <f>G1755&lt;=$T$12</f>
        <v/>
      </c>
      <c r="P1755">
        <f>OR(AND(H1755&gt;=$T$4,K1755&lt;=$T$5,N1755),M1755)</f>
        <v/>
      </c>
      <c r="Q1755">
        <f>OR(AND(I1755&gt;=$T$10,K1755&lt;=$T$11,O1755),M1755)</f>
        <v/>
      </c>
    </row>
    <row r="1756">
      <c r="A1756">
        <f>Data!E1843</f>
        <v/>
      </c>
      <c r="B1756">
        <f>Data!G1843</f>
        <v/>
      </c>
      <c r="C1756">
        <f>Data!H1843</f>
        <v/>
      </c>
      <c r="D1756">
        <f>Data!I1843</f>
        <v/>
      </c>
      <c r="E1756">
        <f>Data!M1843</f>
        <v/>
      </c>
      <c r="F1756">
        <f>Data!O1843</f>
        <v/>
      </c>
      <c r="G1756">
        <f>E1756-F1756</f>
        <v/>
      </c>
      <c r="H1756">
        <f>Data!P1843</f>
        <v/>
      </c>
      <c r="I1756">
        <f>G1756+H1756</f>
        <v/>
      </c>
      <c r="J1756">
        <f>F1756+G1756+H1756</f>
        <v/>
      </c>
      <c r="K1756">
        <f>Data!R1843</f>
        <v/>
      </c>
      <c r="L1756">
        <f>Data!T1843</f>
        <v/>
      </c>
      <c r="M1756">
        <f>AND(E1756=0,F1756=0,G1756=0,H1756=0,I1756=0,J1756=0,K1756=0,L1756=0)</f>
        <v/>
      </c>
      <c r="N1756">
        <f>G1756&lt;=$T$6</f>
        <v/>
      </c>
      <c r="O1756">
        <f>G1756&lt;=$T$12</f>
        <v/>
      </c>
      <c r="P1756">
        <f>OR(AND(H1756&gt;=$T$4,K1756&lt;=$T$5,N1756),M1756)</f>
        <v/>
      </c>
      <c r="Q1756">
        <f>OR(AND(I1756&gt;=$T$10,K1756&lt;=$T$11,O1756),M1756)</f>
        <v/>
      </c>
    </row>
    <row r="1757">
      <c r="A1757">
        <f>Data!E1844</f>
        <v/>
      </c>
      <c r="B1757">
        <f>Data!G1844</f>
        <v/>
      </c>
      <c r="C1757">
        <f>Data!H1844</f>
        <v/>
      </c>
      <c r="D1757">
        <f>Data!I1844</f>
        <v/>
      </c>
      <c r="E1757">
        <f>Data!M1844</f>
        <v/>
      </c>
      <c r="F1757">
        <f>Data!O1844</f>
        <v/>
      </c>
      <c r="G1757">
        <f>E1757-F1757</f>
        <v/>
      </c>
      <c r="H1757">
        <f>Data!P1844</f>
        <v/>
      </c>
      <c r="I1757">
        <f>G1757+H1757</f>
        <v/>
      </c>
      <c r="J1757">
        <f>F1757+G1757+H1757</f>
        <v/>
      </c>
      <c r="K1757">
        <f>Data!R1844</f>
        <v/>
      </c>
      <c r="L1757">
        <f>Data!T1844</f>
        <v/>
      </c>
      <c r="M1757">
        <f>AND(E1757=0,F1757=0,G1757=0,H1757=0,I1757=0,J1757=0,K1757=0,L1757=0)</f>
        <v/>
      </c>
      <c r="N1757">
        <f>G1757&lt;=$T$6</f>
        <v/>
      </c>
      <c r="O1757">
        <f>G1757&lt;=$T$12</f>
        <v/>
      </c>
      <c r="P1757">
        <f>OR(AND(H1757&gt;=$T$4,K1757&lt;=$T$5,N1757),M1757)</f>
        <v/>
      </c>
      <c r="Q1757">
        <f>OR(AND(I1757&gt;=$T$10,K1757&lt;=$T$11,O1757),M1757)</f>
        <v/>
      </c>
    </row>
    <row r="1758">
      <c r="A1758">
        <f>Data!E1845</f>
        <v/>
      </c>
      <c r="B1758">
        <f>Data!G1845</f>
        <v/>
      </c>
      <c r="C1758">
        <f>Data!H1845</f>
        <v/>
      </c>
      <c r="D1758">
        <f>Data!I1845</f>
        <v/>
      </c>
      <c r="E1758">
        <f>Data!M1845</f>
        <v/>
      </c>
      <c r="F1758">
        <f>Data!O1845</f>
        <v/>
      </c>
      <c r="G1758">
        <f>E1758-F1758</f>
        <v/>
      </c>
      <c r="H1758">
        <f>Data!P1845</f>
        <v/>
      </c>
      <c r="I1758">
        <f>G1758+H1758</f>
        <v/>
      </c>
      <c r="J1758">
        <f>F1758+G1758+H1758</f>
        <v/>
      </c>
      <c r="K1758">
        <f>Data!R1845</f>
        <v/>
      </c>
      <c r="L1758">
        <f>Data!T1845</f>
        <v/>
      </c>
      <c r="M1758">
        <f>AND(E1758=0,F1758=0,G1758=0,H1758=0,I1758=0,J1758=0,K1758=0,L1758=0)</f>
        <v/>
      </c>
      <c r="N1758">
        <f>G1758&lt;=$T$6</f>
        <v/>
      </c>
      <c r="O1758">
        <f>G1758&lt;=$T$12</f>
        <v/>
      </c>
      <c r="P1758">
        <f>OR(AND(H1758&gt;=$T$4,K1758&lt;=$T$5,N1758),M1758)</f>
        <v/>
      </c>
      <c r="Q1758">
        <f>OR(AND(I1758&gt;=$T$10,K1758&lt;=$T$11,O1758),M1758)</f>
        <v/>
      </c>
    </row>
    <row r="1759">
      <c r="A1759">
        <f>Data!E1846</f>
        <v/>
      </c>
      <c r="B1759">
        <f>Data!G1846</f>
        <v/>
      </c>
      <c r="C1759">
        <f>Data!H1846</f>
        <v/>
      </c>
      <c r="D1759">
        <f>Data!I1846</f>
        <v/>
      </c>
      <c r="E1759">
        <f>Data!M1846</f>
        <v/>
      </c>
      <c r="F1759">
        <f>Data!O1846</f>
        <v/>
      </c>
      <c r="G1759">
        <f>E1759-F1759</f>
        <v/>
      </c>
      <c r="H1759">
        <f>Data!P1846</f>
        <v/>
      </c>
      <c r="I1759">
        <f>G1759+H1759</f>
        <v/>
      </c>
      <c r="J1759">
        <f>F1759+G1759+H1759</f>
        <v/>
      </c>
      <c r="K1759">
        <f>Data!R1846</f>
        <v/>
      </c>
      <c r="L1759">
        <f>Data!T1846</f>
        <v/>
      </c>
      <c r="M1759">
        <f>AND(E1759=0,F1759=0,G1759=0,H1759=0,I1759=0,J1759=0,K1759=0,L1759=0)</f>
        <v/>
      </c>
      <c r="N1759">
        <f>G1759&lt;=$T$6</f>
        <v/>
      </c>
      <c r="O1759">
        <f>G1759&lt;=$T$12</f>
        <v/>
      </c>
      <c r="P1759">
        <f>OR(AND(H1759&gt;=$T$4,K1759&lt;=$T$5,N1759),M1759)</f>
        <v/>
      </c>
      <c r="Q1759">
        <f>OR(AND(I1759&gt;=$T$10,K1759&lt;=$T$11,O1759),M1759)</f>
        <v/>
      </c>
    </row>
    <row r="1760">
      <c r="A1760">
        <f>Data!E1847</f>
        <v/>
      </c>
      <c r="B1760">
        <f>Data!G1847</f>
        <v/>
      </c>
      <c r="C1760">
        <f>Data!H1847</f>
        <v/>
      </c>
      <c r="D1760">
        <f>Data!I1847</f>
        <v/>
      </c>
      <c r="E1760">
        <f>Data!M1847</f>
        <v/>
      </c>
      <c r="F1760">
        <f>Data!O1847</f>
        <v/>
      </c>
      <c r="G1760">
        <f>E1760-F1760</f>
        <v/>
      </c>
      <c r="H1760">
        <f>Data!P1847</f>
        <v/>
      </c>
      <c r="I1760">
        <f>G1760+H1760</f>
        <v/>
      </c>
      <c r="J1760">
        <f>F1760+G1760+H1760</f>
        <v/>
      </c>
      <c r="K1760">
        <f>Data!R1847</f>
        <v/>
      </c>
      <c r="L1760">
        <f>Data!T1847</f>
        <v/>
      </c>
      <c r="M1760">
        <f>AND(E1760=0,F1760=0,G1760=0,H1760=0,I1760=0,J1760=0,K1760=0,L1760=0)</f>
        <v/>
      </c>
      <c r="N1760">
        <f>G1760&lt;=$T$6</f>
        <v/>
      </c>
      <c r="O1760">
        <f>G1760&lt;=$T$12</f>
        <v/>
      </c>
      <c r="P1760">
        <f>OR(AND(H1760&gt;=$T$4,K1760&lt;=$T$5,N1760),M1760)</f>
        <v/>
      </c>
      <c r="Q1760">
        <f>OR(AND(I1760&gt;=$T$10,K1760&lt;=$T$11,O1760),M1760)</f>
        <v/>
      </c>
    </row>
    <row r="1761">
      <c r="A1761">
        <f>Data!E1848</f>
        <v/>
      </c>
      <c r="B1761">
        <f>Data!G1848</f>
        <v/>
      </c>
      <c r="C1761">
        <f>Data!H1848</f>
        <v/>
      </c>
      <c r="D1761">
        <f>Data!I1848</f>
        <v/>
      </c>
      <c r="E1761">
        <f>Data!M1848</f>
        <v/>
      </c>
      <c r="F1761">
        <f>Data!O1848</f>
        <v/>
      </c>
      <c r="G1761">
        <f>E1761-F1761</f>
        <v/>
      </c>
      <c r="H1761">
        <f>Data!P1848</f>
        <v/>
      </c>
      <c r="I1761">
        <f>G1761+H1761</f>
        <v/>
      </c>
      <c r="J1761">
        <f>F1761+G1761+H1761</f>
        <v/>
      </c>
      <c r="K1761">
        <f>Data!R1848</f>
        <v/>
      </c>
      <c r="L1761">
        <f>Data!T1848</f>
        <v/>
      </c>
      <c r="M1761">
        <f>AND(E1761=0,F1761=0,G1761=0,H1761=0,I1761=0,J1761=0,K1761=0,L1761=0)</f>
        <v/>
      </c>
      <c r="N1761">
        <f>G1761&lt;=$T$6</f>
        <v/>
      </c>
      <c r="O1761">
        <f>G1761&lt;=$T$12</f>
        <v/>
      </c>
      <c r="P1761">
        <f>OR(AND(H1761&gt;=$T$4,K1761&lt;=$T$5,N1761),M1761)</f>
        <v/>
      </c>
      <c r="Q1761">
        <f>OR(AND(I1761&gt;=$T$10,K1761&lt;=$T$11,O1761),M1761)</f>
        <v/>
      </c>
    </row>
    <row r="1762">
      <c r="A1762">
        <f>Data!E1849</f>
        <v/>
      </c>
      <c r="B1762">
        <f>Data!G1849</f>
        <v/>
      </c>
      <c r="C1762">
        <f>Data!H1849</f>
        <v/>
      </c>
      <c r="D1762">
        <f>Data!I1849</f>
        <v/>
      </c>
      <c r="E1762">
        <f>Data!M1849</f>
        <v/>
      </c>
      <c r="F1762">
        <f>Data!O1849</f>
        <v/>
      </c>
      <c r="G1762">
        <f>E1762-F1762</f>
        <v/>
      </c>
      <c r="H1762">
        <f>Data!P1849</f>
        <v/>
      </c>
      <c r="I1762">
        <f>G1762+H1762</f>
        <v/>
      </c>
      <c r="J1762">
        <f>F1762+G1762+H1762</f>
        <v/>
      </c>
      <c r="K1762">
        <f>Data!R1849</f>
        <v/>
      </c>
      <c r="L1762">
        <f>Data!T1849</f>
        <v/>
      </c>
      <c r="M1762">
        <f>AND(E1762=0,F1762=0,G1762=0,H1762=0,I1762=0,J1762=0,K1762=0,L1762=0)</f>
        <v/>
      </c>
      <c r="N1762">
        <f>G1762&lt;=$T$6</f>
        <v/>
      </c>
      <c r="O1762">
        <f>G1762&lt;=$T$12</f>
        <v/>
      </c>
      <c r="P1762">
        <f>OR(AND(H1762&gt;=$T$4,K1762&lt;=$T$5,N1762),M1762)</f>
        <v/>
      </c>
      <c r="Q1762">
        <f>OR(AND(I1762&gt;=$T$10,K1762&lt;=$T$11,O1762),M1762)</f>
        <v/>
      </c>
    </row>
    <row r="1763">
      <c r="A1763">
        <f>Data!E1850</f>
        <v/>
      </c>
      <c r="B1763">
        <f>Data!G1850</f>
        <v/>
      </c>
      <c r="C1763">
        <f>Data!H1850</f>
        <v/>
      </c>
      <c r="D1763">
        <f>Data!I1850</f>
        <v/>
      </c>
      <c r="E1763">
        <f>Data!M1850</f>
        <v/>
      </c>
      <c r="F1763">
        <f>Data!O1850</f>
        <v/>
      </c>
      <c r="G1763">
        <f>E1763-F1763</f>
        <v/>
      </c>
      <c r="H1763">
        <f>Data!P1850</f>
        <v/>
      </c>
      <c r="I1763">
        <f>G1763+H1763</f>
        <v/>
      </c>
      <c r="J1763">
        <f>F1763+G1763+H1763</f>
        <v/>
      </c>
      <c r="K1763">
        <f>Data!R1850</f>
        <v/>
      </c>
      <c r="L1763">
        <f>Data!T1850</f>
        <v/>
      </c>
      <c r="M1763">
        <f>AND(E1763=0,F1763=0,G1763=0,H1763=0,I1763=0,J1763=0,K1763=0,L1763=0)</f>
        <v/>
      </c>
      <c r="N1763">
        <f>G1763&lt;=$T$6</f>
        <v/>
      </c>
      <c r="O1763">
        <f>G1763&lt;=$T$12</f>
        <v/>
      </c>
      <c r="P1763">
        <f>OR(AND(H1763&gt;=$T$4,K1763&lt;=$T$5,N1763),M1763)</f>
        <v/>
      </c>
      <c r="Q1763">
        <f>OR(AND(I1763&gt;=$T$10,K1763&lt;=$T$11,O1763),M1763)</f>
        <v/>
      </c>
    </row>
    <row r="1764">
      <c r="A1764">
        <f>Data!E1851</f>
        <v/>
      </c>
      <c r="B1764">
        <f>Data!G1851</f>
        <v/>
      </c>
      <c r="C1764">
        <f>Data!H1851</f>
        <v/>
      </c>
      <c r="D1764">
        <f>Data!I1851</f>
        <v/>
      </c>
      <c r="E1764">
        <f>Data!M1851</f>
        <v/>
      </c>
      <c r="F1764">
        <f>Data!O1851</f>
        <v/>
      </c>
      <c r="G1764">
        <f>E1764-F1764</f>
        <v/>
      </c>
      <c r="H1764">
        <f>Data!P1851</f>
        <v/>
      </c>
      <c r="I1764">
        <f>G1764+H1764</f>
        <v/>
      </c>
      <c r="J1764">
        <f>F1764+G1764+H1764</f>
        <v/>
      </c>
      <c r="K1764">
        <f>Data!R1851</f>
        <v/>
      </c>
      <c r="L1764">
        <f>Data!T1851</f>
        <v/>
      </c>
      <c r="M1764">
        <f>AND(E1764=0,F1764=0,G1764=0,H1764=0,I1764=0,J1764=0,K1764=0,L1764=0)</f>
        <v/>
      </c>
      <c r="N1764">
        <f>G1764&lt;=$T$6</f>
        <v/>
      </c>
      <c r="O1764">
        <f>G1764&lt;=$T$12</f>
        <v/>
      </c>
      <c r="P1764">
        <f>OR(AND(H1764&gt;=$T$4,K1764&lt;=$T$5,N1764),M1764)</f>
        <v/>
      </c>
      <c r="Q1764">
        <f>OR(AND(I1764&gt;=$T$10,K1764&lt;=$T$11,O1764),M1764)</f>
        <v/>
      </c>
    </row>
    <row r="1765">
      <c r="A1765">
        <f>Data!E1852</f>
        <v/>
      </c>
      <c r="B1765">
        <f>Data!G1852</f>
        <v/>
      </c>
      <c r="C1765">
        <f>Data!H1852</f>
        <v/>
      </c>
      <c r="D1765">
        <f>Data!I1852</f>
        <v/>
      </c>
      <c r="E1765">
        <f>Data!M1852</f>
        <v/>
      </c>
      <c r="F1765">
        <f>Data!O1852</f>
        <v/>
      </c>
      <c r="G1765">
        <f>E1765-F1765</f>
        <v/>
      </c>
      <c r="H1765">
        <f>Data!P1852</f>
        <v/>
      </c>
      <c r="I1765">
        <f>G1765+H1765</f>
        <v/>
      </c>
      <c r="J1765">
        <f>F1765+G1765+H1765</f>
        <v/>
      </c>
      <c r="K1765">
        <f>Data!R1852</f>
        <v/>
      </c>
      <c r="L1765">
        <f>Data!T1852</f>
        <v/>
      </c>
      <c r="M1765">
        <f>AND(E1765=0,F1765=0,G1765=0,H1765=0,I1765=0,J1765=0,K1765=0,L1765=0)</f>
        <v/>
      </c>
      <c r="N1765">
        <f>G1765&lt;=$T$6</f>
        <v/>
      </c>
      <c r="O1765">
        <f>G1765&lt;=$T$12</f>
        <v/>
      </c>
      <c r="P1765">
        <f>OR(AND(H1765&gt;=$T$4,K1765&lt;=$T$5,N1765),M1765)</f>
        <v/>
      </c>
      <c r="Q1765">
        <f>OR(AND(I1765&gt;=$T$10,K1765&lt;=$T$11,O1765),M1765)</f>
        <v/>
      </c>
    </row>
    <row r="1766">
      <c r="A1766">
        <f>Data!E1853</f>
        <v/>
      </c>
      <c r="B1766">
        <f>Data!G1853</f>
        <v/>
      </c>
      <c r="C1766">
        <f>Data!H1853</f>
        <v/>
      </c>
      <c r="D1766">
        <f>Data!I1853</f>
        <v/>
      </c>
      <c r="E1766">
        <f>Data!M1853</f>
        <v/>
      </c>
      <c r="F1766">
        <f>Data!O1853</f>
        <v/>
      </c>
      <c r="G1766">
        <f>E1766-F1766</f>
        <v/>
      </c>
      <c r="H1766">
        <f>Data!P1853</f>
        <v/>
      </c>
      <c r="I1766">
        <f>G1766+H1766</f>
        <v/>
      </c>
      <c r="J1766">
        <f>F1766+G1766+H1766</f>
        <v/>
      </c>
      <c r="K1766">
        <f>Data!R1853</f>
        <v/>
      </c>
      <c r="L1766">
        <f>Data!T1853</f>
        <v/>
      </c>
      <c r="M1766">
        <f>AND(E1766=0,F1766=0,G1766=0,H1766=0,I1766=0,J1766=0,K1766=0,L1766=0)</f>
        <v/>
      </c>
      <c r="N1766">
        <f>G1766&lt;=$T$6</f>
        <v/>
      </c>
      <c r="O1766">
        <f>G1766&lt;=$T$12</f>
        <v/>
      </c>
      <c r="P1766">
        <f>OR(AND(H1766&gt;=$T$4,K1766&lt;=$T$5,N1766),M1766)</f>
        <v/>
      </c>
      <c r="Q1766">
        <f>OR(AND(I1766&gt;=$T$10,K1766&lt;=$T$11,O1766),M1766)</f>
        <v/>
      </c>
    </row>
    <row r="1767">
      <c r="A1767">
        <f>Data!E1854</f>
        <v/>
      </c>
      <c r="B1767">
        <f>Data!G1854</f>
        <v/>
      </c>
      <c r="C1767">
        <f>Data!H1854</f>
        <v/>
      </c>
      <c r="D1767">
        <f>Data!I1854</f>
        <v/>
      </c>
      <c r="E1767">
        <f>Data!M1854</f>
        <v/>
      </c>
      <c r="F1767">
        <f>Data!O1854</f>
        <v/>
      </c>
      <c r="G1767">
        <f>E1767-F1767</f>
        <v/>
      </c>
      <c r="H1767">
        <f>Data!P1854</f>
        <v/>
      </c>
      <c r="I1767">
        <f>G1767+H1767</f>
        <v/>
      </c>
      <c r="J1767">
        <f>F1767+G1767+H1767</f>
        <v/>
      </c>
      <c r="K1767">
        <f>Data!R1854</f>
        <v/>
      </c>
      <c r="L1767">
        <f>Data!T1854</f>
        <v/>
      </c>
      <c r="M1767">
        <f>AND(E1767=0,F1767=0,G1767=0,H1767=0,I1767=0,J1767=0,K1767=0,L1767=0)</f>
        <v/>
      </c>
      <c r="N1767">
        <f>G1767&lt;=$T$6</f>
        <v/>
      </c>
      <c r="O1767">
        <f>G1767&lt;=$T$12</f>
        <v/>
      </c>
      <c r="P1767">
        <f>OR(AND(H1767&gt;=$T$4,K1767&lt;=$T$5,N1767),M1767)</f>
        <v/>
      </c>
      <c r="Q1767">
        <f>OR(AND(I1767&gt;=$T$10,K1767&lt;=$T$11,O1767),M1767)</f>
        <v/>
      </c>
    </row>
    <row r="1768">
      <c r="A1768">
        <f>Data!E1855</f>
        <v/>
      </c>
      <c r="B1768">
        <f>Data!G1855</f>
        <v/>
      </c>
      <c r="C1768">
        <f>Data!H1855</f>
        <v/>
      </c>
      <c r="D1768">
        <f>Data!I1855</f>
        <v/>
      </c>
      <c r="E1768">
        <f>Data!M1855</f>
        <v/>
      </c>
      <c r="F1768">
        <f>Data!O1855</f>
        <v/>
      </c>
      <c r="G1768">
        <f>E1768-F1768</f>
        <v/>
      </c>
      <c r="H1768">
        <f>Data!P1855</f>
        <v/>
      </c>
      <c r="I1768">
        <f>G1768+H1768</f>
        <v/>
      </c>
      <c r="J1768">
        <f>F1768+G1768+H1768</f>
        <v/>
      </c>
      <c r="K1768">
        <f>Data!R1855</f>
        <v/>
      </c>
      <c r="L1768">
        <f>Data!T1855</f>
        <v/>
      </c>
      <c r="M1768">
        <f>AND(E1768=0,F1768=0,G1768=0,H1768=0,I1768=0,J1768=0,K1768=0,L1768=0)</f>
        <v/>
      </c>
      <c r="N1768">
        <f>G1768&lt;=$T$6</f>
        <v/>
      </c>
      <c r="O1768">
        <f>G1768&lt;=$T$12</f>
        <v/>
      </c>
      <c r="P1768">
        <f>OR(AND(H1768&gt;=$T$4,K1768&lt;=$T$5,N1768),M1768)</f>
        <v/>
      </c>
      <c r="Q1768">
        <f>OR(AND(I1768&gt;=$T$10,K1768&lt;=$T$11,O1768),M1768)</f>
        <v/>
      </c>
    </row>
    <row r="1769">
      <c r="A1769">
        <f>Data!E1856</f>
        <v/>
      </c>
      <c r="B1769">
        <f>Data!G1856</f>
        <v/>
      </c>
      <c r="C1769">
        <f>Data!H1856</f>
        <v/>
      </c>
      <c r="D1769">
        <f>Data!I1856</f>
        <v/>
      </c>
      <c r="E1769">
        <f>Data!M1856</f>
        <v/>
      </c>
      <c r="F1769">
        <f>Data!O1856</f>
        <v/>
      </c>
      <c r="G1769">
        <f>E1769-F1769</f>
        <v/>
      </c>
      <c r="H1769">
        <f>Data!P1856</f>
        <v/>
      </c>
      <c r="I1769">
        <f>G1769+H1769</f>
        <v/>
      </c>
      <c r="J1769">
        <f>F1769+G1769+H1769</f>
        <v/>
      </c>
      <c r="K1769">
        <f>Data!R1856</f>
        <v/>
      </c>
      <c r="L1769">
        <f>Data!T1856</f>
        <v/>
      </c>
      <c r="M1769">
        <f>AND(E1769=0,F1769=0,G1769=0,H1769=0,I1769=0,J1769=0,K1769=0,L1769=0)</f>
        <v/>
      </c>
      <c r="N1769">
        <f>G1769&lt;=$T$6</f>
        <v/>
      </c>
      <c r="O1769">
        <f>G1769&lt;=$T$12</f>
        <v/>
      </c>
      <c r="P1769">
        <f>OR(AND(H1769&gt;=$T$4,K1769&lt;=$T$5,N1769),M1769)</f>
        <v/>
      </c>
      <c r="Q1769">
        <f>OR(AND(I1769&gt;=$T$10,K1769&lt;=$T$11,O1769),M1769)</f>
        <v/>
      </c>
    </row>
    <row r="1770">
      <c r="A1770">
        <f>Data!E1857</f>
        <v/>
      </c>
      <c r="B1770">
        <f>Data!G1857</f>
        <v/>
      </c>
      <c r="C1770">
        <f>Data!H1857</f>
        <v/>
      </c>
      <c r="D1770">
        <f>Data!I1857</f>
        <v/>
      </c>
      <c r="E1770">
        <f>Data!M1857</f>
        <v/>
      </c>
      <c r="F1770">
        <f>Data!O1857</f>
        <v/>
      </c>
      <c r="G1770">
        <f>E1770-F1770</f>
        <v/>
      </c>
      <c r="H1770">
        <f>Data!P1857</f>
        <v/>
      </c>
      <c r="I1770">
        <f>G1770+H1770</f>
        <v/>
      </c>
      <c r="J1770">
        <f>F1770+G1770+H1770</f>
        <v/>
      </c>
      <c r="K1770">
        <f>Data!R1857</f>
        <v/>
      </c>
      <c r="L1770">
        <f>Data!T1857</f>
        <v/>
      </c>
      <c r="M1770">
        <f>AND(E1770=0,F1770=0,G1770=0,H1770=0,I1770=0,J1770=0,K1770=0,L1770=0)</f>
        <v/>
      </c>
      <c r="N1770">
        <f>G1770&lt;=$T$6</f>
        <v/>
      </c>
      <c r="O1770">
        <f>G1770&lt;=$T$12</f>
        <v/>
      </c>
      <c r="P1770">
        <f>OR(AND(H1770&gt;=$T$4,K1770&lt;=$T$5,N1770),M1770)</f>
        <v/>
      </c>
      <c r="Q1770">
        <f>OR(AND(I1770&gt;=$T$10,K1770&lt;=$T$11,O1770),M1770)</f>
        <v/>
      </c>
    </row>
    <row r="1771">
      <c r="A1771">
        <f>Data!E1858</f>
        <v/>
      </c>
      <c r="B1771">
        <f>Data!G1858</f>
        <v/>
      </c>
      <c r="C1771">
        <f>Data!H1858</f>
        <v/>
      </c>
      <c r="D1771">
        <f>Data!I1858</f>
        <v/>
      </c>
      <c r="E1771">
        <f>Data!M1858</f>
        <v/>
      </c>
      <c r="F1771">
        <f>Data!O1858</f>
        <v/>
      </c>
      <c r="G1771">
        <f>E1771-F1771</f>
        <v/>
      </c>
      <c r="H1771">
        <f>Data!P1858</f>
        <v/>
      </c>
      <c r="I1771">
        <f>G1771+H1771</f>
        <v/>
      </c>
      <c r="J1771">
        <f>F1771+G1771+H1771</f>
        <v/>
      </c>
      <c r="K1771">
        <f>Data!R1858</f>
        <v/>
      </c>
      <c r="L1771">
        <f>Data!T1858</f>
        <v/>
      </c>
      <c r="M1771">
        <f>AND(E1771=0,F1771=0,G1771=0,H1771=0,I1771=0,J1771=0,K1771=0,L1771=0)</f>
        <v/>
      </c>
      <c r="N1771">
        <f>G1771&lt;=$T$6</f>
        <v/>
      </c>
      <c r="O1771">
        <f>G1771&lt;=$T$12</f>
        <v/>
      </c>
      <c r="P1771">
        <f>OR(AND(H1771&gt;=$T$4,K1771&lt;=$T$5,N1771),M1771)</f>
        <v/>
      </c>
      <c r="Q1771">
        <f>OR(AND(I1771&gt;=$T$10,K1771&lt;=$T$11,O1771),M1771)</f>
        <v/>
      </c>
    </row>
    <row r="1772">
      <c r="A1772">
        <f>Data!E1859</f>
        <v/>
      </c>
      <c r="B1772">
        <f>Data!G1859</f>
        <v/>
      </c>
      <c r="C1772">
        <f>Data!H1859</f>
        <v/>
      </c>
      <c r="D1772">
        <f>Data!I1859</f>
        <v/>
      </c>
      <c r="E1772">
        <f>Data!M1859</f>
        <v/>
      </c>
      <c r="F1772">
        <f>Data!O1859</f>
        <v/>
      </c>
      <c r="G1772">
        <f>E1772-F1772</f>
        <v/>
      </c>
      <c r="H1772">
        <f>Data!P1859</f>
        <v/>
      </c>
      <c r="I1772">
        <f>G1772+H1772</f>
        <v/>
      </c>
      <c r="J1772">
        <f>F1772+G1772+H1772</f>
        <v/>
      </c>
      <c r="K1772">
        <f>Data!R1859</f>
        <v/>
      </c>
      <c r="L1772">
        <f>Data!T1859</f>
        <v/>
      </c>
      <c r="M1772">
        <f>AND(E1772=0,F1772=0,G1772=0,H1772=0,I1772=0,J1772=0,K1772=0,L1772=0)</f>
        <v/>
      </c>
      <c r="N1772">
        <f>G1772&lt;=$T$6</f>
        <v/>
      </c>
      <c r="O1772">
        <f>G1772&lt;=$T$12</f>
        <v/>
      </c>
      <c r="P1772">
        <f>OR(AND(H1772&gt;=$T$4,K1772&lt;=$T$5,N1772),M1772)</f>
        <v/>
      </c>
      <c r="Q1772">
        <f>OR(AND(I1772&gt;=$T$10,K1772&lt;=$T$11,O1772),M1772)</f>
        <v/>
      </c>
    </row>
    <row r="1773">
      <c r="A1773">
        <f>Data!E1860</f>
        <v/>
      </c>
      <c r="B1773">
        <f>Data!G1860</f>
        <v/>
      </c>
      <c r="C1773">
        <f>Data!H1860</f>
        <v/>
      </c>
      <c r="D1773">
        <f>Data!I1860</f>
        <v/>
      </c>
      <c r="E1773">
        <f>Data!M1860</f>
        <v/>
      </c>
      <c r="F1773">
        <f>Data!O1860</f>
        <v/>
      </c>
      <c r="G1773">
        <f>E1773-F1773</f>
        <v/>
      </c>
      <c r="H1773">
        <f>Data!P1860</f>
        <v/>
      </c>
      <c r="I1773">
        <f>G1773+H1773</f>
        <v/>
      </c>
      <c r="J1773">
        <f>F1773+G1773+H1773</f>
        <v/>
      </c>
      <c r="K1773">
        <f>Data!R1860</f>
        <v/>
      </c>
      <c r="L1773">
        <f>Data!T1860</f>
        <v/>
      </c>
      <c r="M1773">
        <f>AND(E1773=0,F1773=0,G1773=0,H1773=0,I1773=0,J1773=0,K1773=0,L1773=0)</f>
        <v/>
      </c>
      <c r="N1773">
        <f>G1773&lt;=$T$6</f>
        <v/>
      </c>
      <c r="O1773">
        <f>G1773&lt;=$T$12</f>
        <v/>
      </c>
      <c r="P1773">
        <f>OR(AND(H1773&gt;=$T$4,K1773&lt;=$T$5,N1773),M1773)</f>
        <v/>
      </c>
      <c r="Q1773">
        <f>OR(AND(I1773&gt;=$T$10,K1773&lt;=$T$11,O1773),M1773)</f>
        <v/>
      </c>
    </row>
    <row r="1774">
      <c r="A1774">
        <f>Data!E1861</f>
        <v/>
      </c>
      <c r="B1774">
        <f>Data!G1861</f>
        <v/>
      </c>
      <c r="C1774">
        <f>Data!H1861</f>
        <v/>
      </c>
      <c r="D1774">
        <f>Data!I1861</f>
        <v/>
      </c>
      <c r="E1774">
        <f>Data!M1861</f>
        <v/>
      </c>
      <c r="F1774">
        <f>Data!O1861</f>
        <v/>
      </c>
      <c r="G1774">
        <f>E1774-F1774</f>
        <v/>
      </c>
      <c r="H1774">
        <f>Data!P1861</f>
        <v/>
      </c>
      <c r="I1774">
        <f>G1774+H1774</f>
        <v/>
      </c>
      <c r="J1774">
        <f>F1774+G1774+H1774</f>
        <v/>
      </c>
      <c r="K1774">
        <f>Data!R1861</f>
        <v/>
      </c>
      <c r="L1774">
        <f>Data!T1861</f>
        <v/>
      </c>
      <c r="M1774">
        <f>AND(E1774=0,F1774=0,G1774=0,H1774=0,I1774=0,J1774=0,K1774=0,L1774=0)</f>
        <v/>
      </c>
      <c r="N1774">
        <f>G1774&lt;=$T$6</f>
        <v/>
      </c>
      <c r="O1774">
        <f>G1774&lt;=$T$12</f>
        <v/>
      </c>
      <c r="P1774">
        <f>OR(AND(H1774&gt;=$T$4,K1774&lt;=$T$5,N1774),M1774)</f>
        <v/>
      </c>
      <c r="Q1774">
        <f>OR(AND(I1774&gt;=$T$10,K1774&lt;=$T$11,O1774),M1774)</f>
        <v/>
      </c>
    </row>
    <row r="1775">
      <c r="A1775">
        <f>Data!E1862</f>
        <v/>
      </c>
      <c r="B1775">
        <f>Data!G1862</f>
        <v/>
      </c>
      <c r="C1775">
        <f>Data!H1862</f>
        <v/>
      </c>
      <c r="D1775">
        <f>Data!I1862</f>
        <v/>
      </c>
      <c r="E1775">
        <f>Data!M1862</f>
        <v/>
      </c>
      <c r="F1775">
        <f>Data!O1862</f>
        <v/>
      </c>
      <c r="G1775">
        <f>E1775-F1775</f>
        <v/>
      </c>
      <c r="H1775">
        <f>Data!P1862</f>
        <v/>
      </c>
      <c r="I1775">
        <f>G1775+H1775</f>
        <v/>
      </c>
      <c r="J1775">
        <f>F1775+G1775+H1775</f>
        <v/>
      </c>
      <c r="K1775">
        <f>Data!R1862</f>
        <v/>
      </c>
      <c r="L1775">
        <f>Data!T1862</f>
        <v/>
      </c>
      <c r="M1775">
        <f>AND(E1775=0,F1775=0,G1775=0,H1775=0,I1775=0,J1775=0,K1775=0,L1775=0)</f>
        <v/>
      </c>
      <c r="N1775">
        <f>G1775&lt;=$T$6</f>
        <v/>
      </c>
      <c r="O1775">
        <f>G1775&lt;=$T$12</f>
        <v/>
      </c>
      <c r="P1775">
        <f>OR(AND(H1775&gt;=$T$4,K1775&lt;=$T$5,N1775),M1775)</f>
        <v/>
      </c>
      <c r="Q1775">
        <f>OR(AND(I1775&gt;=$T$10,K1775&lt;=$T$11,O1775),M1775)</f>
        <v/>
      </c>
    </row>
    <row r="1776">
      <c r="A1776">
        <f>Data!E1863</f>
        <v/>
      </c>
      <c r="B1776">
        <f>Data!G1863</f>
        <v/>
      </c>
      <c r="C1776">
        <f>Data!H1863</f>
        <v/>
      </c>
      <c r="D1776">
        <f>Data!I1863</f>
        <v/>
      </c>
      <c r="E1776">
        <f>Data!M1863</f>
        <v/>
      </c>
      <c r="F1776">
        <f>Data!O1863</f>
        <v/>
      </c>
      <c r="G1776">
        <f>E1776-F1776</f>
        <v/>
      </c>
      <c r="H1776">
        <f>Data!P1863</f>
        <v/>
      </c>
      <c r="I1776">
        <f>G1776+H1776</f>
        <v/>
      </c>
      <c r="J1776">
        <f>F1776+G1776+H1776</f>
        <v/>
      </c>
      <c r="K1776">
        <f>Data!R1863</f>
        <v/>
      </c>
      <c r="L1776">
        <f>Data!T1863</f>
        <v/>
      </c>
      <c r="M1776">
        <f>AND(E1776=0,F1776=0,G1776=0,H1776=0,I1776=0,J1776=0,K1776=0,L1776=0)</f>
        <v/>
      </c>
      <c r="N1776">
        <f>G1776&lt;=$T$6</f>
        <v/>
      </c>
      <c r="O1776">
        <f>G1776&lt;=$T$12</f>
        <v/>
      </c>
      <c r="P1776">
        <f>OR(AND(H1776&gt;=$T$4,K1776&lt;=$T$5,N1776),M1776)</f>
        <v/>
      </c>
      <c r="Q1776">
        <f>OR(AND(I1776&gt;=$T$10,K1776&lt;=$T$11,O1776),M1776)</f>
        <v/>
      </c>
    </row>
    <row r="1777">
      <c r="A1777">
        <f>Data!E1864</f>
        <v/>
      </c>
      <c r="B1777">
        <f>Data!G1864</f>
        <v/>
      </c>
      <c r="C1777">
        <f>Data!H1864</f>
        <v/>
      </c>
      <c r="D1777">
        <f>Data!I1864</f>
        <v/>
      </c>
      <c r="E1777">
        <f>Data!M1864</f>
        <v/>
      </c>
      <c r="F1777">
        <f>Data!O1864</f>
        <v/>
      </c>
      <c r="G1777">
        <f>E1777-F1777</f>
        <v/>
      </c>
      <c r="H1777">
        <f>Data!P1864</f>
        <v/>
      </c>
      <c r="I1777">
        <f>G1777+H1777</f>
        <v/>
      </c>
      <c r="J1777">
        <f>F1777+G1777+H1777</f>
        <v/>
      </c>
      <c r="K1777">
        <f>Data!R1864</f>
        <v/>
      </c>
      <c r="L1777">
        <f>Data!T1864</f>
        <v/>
      </c>
      <c r="M1777">
        <f>AND(E1777=0,F1777=0,G1777=0,H1777=0,I1777=0,J1777=0,K1777=0,L1777=0)</f>
        <v/>
      </c>
      <c r="N1777">
        <f>G1777&lt;=$T$6</f>
        <v/>
      </c>
      <c r="O1777">
        <f>G1777&lt;=$T$12</f>
        <v/>
      </c>
      <c r="P1777">
        <f>OR(AND(H1777&gt;=$T$4,K1777&lt;=$T$5,N1777),M1777)</f>
        <v/>
      </c>
      <c r="Q1777">
        <f>OR(AND(I1777&gt;=$T$10,K1777&lt;=$T$11,O1777),M1777)</f>
        <v/>
      </c>
    </row>
    <row r="1778">
      <c r="A1778">
        <f>Data!E1865</f>
        <v/>
      </c>
      <c r="B1778">
        <f>Data!G1865</f>
        <v/>
      </c>
      <c r="C1778">
        <f>Data!H1865</f>
        <v/>
      </c>
      <c r="D1778">
        <f>Data!I1865</f>
        <v/>
      </c>
      <c r="E1778">
        <f>Data!M1865</f>
        <v/>
      </c>
      <c r="F1778">
        <f>Data!O1865</f>
        <v/>
      </c>
      <c r="G1778">
        <f>E1778-F1778</f>
        <v/>
      </c>
      <c r="H1778">
        <f>Data!P1865</f>
        <v/>
      </c>
      <c r="I1778">
        <f>G1778+H1778</f>
        <v/>
      </c>
      <c r="J1778">
        <f>F1778+G1778+H1778</f>
        <v/>
      </c>
      <c r="K1778">
        <f>Data!R1865</f>
        <v/>
      </c>
      <c r="L1778">
        <f>Data!T1865</f>
        <v/>
      </c>
      <c r="M1778">
        <f>AND(E1778=0,F1778=0,G1778=0,H1778=0,I1778=0,J1778=0,K1778=0,L1778=0)</f>
        <v/>
      </c>
      <c r="N1778">
        <f>G1778&lt;=$T$6</f>
        <v/>
      </c>
      <c r="O1778">
        <f>G1778&lt;=$T$12</f>
        <v/>
      </c>
      <c r="P1778">
        <f>OR(AND(H1778&gt;=$T$4,K1778&lt;=$T$5,N1778),M1778)</f>
        <v/>
      </c>
      <c r="Q1778">
        <f>OR(AND(I1778&gt;=$T$10,K1778&lt;=$T$11,O1778),M1778)</f>
        <v/>
      </c>
    </row>
    <row r="1779">
      <c r="A1779">
        <f>Data!E1866</f>
        <v/>
      </c>
      <c r="B1779">
        <f>Data!G1866</f>
        <v/>
      </c>
      <c r="C1779">
        <f>Data!H1866</f>
        <v/>
      </c>
      <c r="D1779">
        <f>Data!I1866</f>
        <v/>
      </c>
      <c r="E1779">
        <f>Data!M1866</f>
        <v/>
      </c>
      <c r="F1779">
        <f>Data!O1866</f>
        <v/>
      </c>
      <c r="G1779">
        <f>E1779-F1779</f>
        <v/>
      </c>
      <c r="H1779">
        <f>Data!P1866</f>
        <v/>
      </c>
      <c r="I1779">
        <f>G1779+H1779</f>
        <v/>
      </c>
      <c r="J1779">
        <f>F1779+G1779+H1779</f>
        <v/>
      </c>
      <c r="K1779">
        <f>Data!R1866</f>
        <v/>
      </c>
      <c r="L1779">
        <f>Data!T1866</f>
        <v/>
      </c>
      <c r="M1779">
        <f>AND(E1779=0,F1779=0,G1779=0,H1779=0,I1779=0,J1779=0,K1779=0,L1779=0)</f>
        <v/>
      </c>
      <c r="N1779">
        <f>G1779&lt;=$T$6</f>
        <v/>
      </c>
      <c r="O1779">
        <f>G1779&lt;=$T$12</f>
        <v/>
      </c>
      <c r="P1779">
        <f>OR(AND(H1779&gt;=$T$4,K1779&lt;=$T$5,N1779),M1779)</f>
        <v/>
      </c>
      <c r="Q1779">
        <f>OR(AND(I1779&gt;=$T$10,K1779&lt;=$T$11,O1779),M1779)</f>
        <v/>
      </c>
    </row>
    <row r="1780">
      <c r="A1780">
        <f>Data!E1867</f>
        <v/>
      </c>
      <c r="B1780">
        <f>Data!G1867</f>
        <v/>
      </c>
      <c r="C1780">
        <f>Data!H1867</f>
        <v/>
      </c>
      <c r="D1780">
        <f>Data!I1867</f>
        <v/>
      </c>
      <c r="E1780">
        <f>Data!M1867</f>
        <v/>
      </c>
      <c r="F1780">
        <f>Data!O1867</f>
        <v/>
      </c>
      <c r="G1780">
        <f>E1780-F1780</f>
        <v/>
      </c>
      <c r="H1780">
        <f>Data!P1867</f>
        <v/>
      </c>
      <c r="I1780">
        <f>G1780+H1780</f>
        <v/>
      </c>
      <c r="J1780">
        <f>F1780+G1780+H1780</f>
        <v/>
      </c>
      <c r="K1780">
        <f>Data!R1867</f>
        <v/>
      </c>
      <c r="L1780">
        <f>Data!T1867</f>
        <v/>
      </c>
      <c r="M1780">
        <f>AND(E1780=0,F1780=0,G1780=0,H1780=0,I1780=0,J1780=0,K1780=0,L1780=0)</f>
        <v/>
      </c>
      <c r="N1780">
        <f>G1780&lt;=$T$6</f>
        <v/>
      </c>
      <c r="O1780">
        <f>G1780&lt;=$T$12</f>
        <v/>
      </c>
      <c r="P1780">
        <f>OR(AND(H1780&gt;=$T$4,K1780&lt;=$T$5,N1780),M1780)</f>
        <v/>
      </c>
      <c r="Q1780">
        <f>OR(AND(I1780&gt;=$T$10,K1780&lt;=$T$11,O1780),M1780)</f>
        <v/>
      </c>
    </row>
    <row r="1781">
      <c r="A1781">
        <f>Data!E1868</f>
        <v/>
      </c>
      <c r="B1781">
        <f>Data!G1868</f>
        <v/>
      </c>
      <c r="C1781">
        <f>Data!H1868</f>
        <v/>
      </c>
      <c r="D1781">
        <f>Data!I1868</f>
        <v/>
      </c>
      <c r="E1781">
        <f>Data!M1868</f>
        <v/>
      </c>
      <c r="F1781">
        <f>Data!O1868</f>
        <v/>
      </c>
      <c r="G1781">
        <f>E1781-F1781</f>
        <v/>
      </c>
      <c r="H1781">
        <f>Data!P1868</f>
        <v/>
      </c>
      <c r="I1781">
        <f>G1781+H1781</f>
        <v/>
      </c>
      <c r="J1781">
        <f>F1781+G1781+H1781</f>
        <v/>
      </c>
      <c r="K1781">
        <f>Data!R1868</f>
        <v/>
      </c>
      <c r="L1781">
        <f>Data!T1868</f>
        <v/>
      </c>
      <c r="M1781">
        <f>AND(E1781=0,F1781=0,G1781=0,H1781=0,I1781=0,J1781=0,K1781=0,L1781=0)</f>
        <v/>
      </c>
      <c r="N1781">
        <f>G1781&lt;=$T$6</f>
        <v/>
      </c>
      <c r="O1781">
        <f>G1781&lt;=$T$12</f>
        <v/>
      </c>
      <c r="P1781">
        <f>OR(AND(H1781&gt;=$T$4,K1781&lt;=$T$5,N1781),M1781)</f>
        <v/>
      </c>
      <c r="Q1781">
        <f>OR(AND(I1781&gt;=$T$10,K1781&lt;=$T$11,O1781),M1781)</f>
        <v/>
      </c>
    </row>
    <row r="1782">
      <c r="A1782">
        <f>Data!E1869</f>
        <v/>
      </c>
      <c r="B1782">
        <f>Data!G1869</f>
        <v/>
      </c>
      <c r="C1782">
        <f>Data!H1869</f>
        <v/>
      </c>
      <c r="D1782">
        <f>Data!I1869</f>
        <v/>
      </c>
      <c r="E1782">
        <f>Data!M1869</f>
        <v/>
      </c>
      <c r="F1782">
        <f>Data!O1869</f>
        <v/>
      </c>
      <c r="G1782">
        <f>E1782-F1782</f>
        <v/>
      </c>
      <c r="H1782">
        <f>Data!P1869</f>
        <v/>
      </c>
      <c r="I1782">
        <f>G1782+H1782</f>
        <v/>
      </c>
      <c r="J1782">
        <f>F1782+G1782+H1782</f>
        <v/>
      </c>
      <c r="K1782">
        <f>Data!R1869</f>
        <v/>
      </c>
      <c r="L1782">
        <f>Data!T1869</f>
        <v/>
      </c>
      <c r="M1782">
        <f>AND(E1782=0,F1782=0,G1782=0,H1782=0,I1782=0,J1782=0,K1782=0,L1782=0)</f>
        <v/>
      </c>
      <c r="N1782">
        <f>G1782&lt;=$T$6</f>
        <v/>
      </c>
      <c r="O1782">
        <f>G1782&lt;=$T$12</f>
        <v/>
      </c>
      <c r="P1782">
        <f>OR(AND(H1782&gt;=$T$4,K1782&lt;=$T$5,N1782),M1782)</f>
        <v/>
      </c>
      <c r="Q1782">
        <f>OR(AND(I1782&gt;=$T$10,K1782&lt;=$T$11,O1782),M1782)</f>
        <v/>
      </c>
    </row>
    <row r="1783">
      <c r="A1783">
        <f>Data!E1870</f>
        <v/>
      </c>
      <c r="B1783">
        <f>Data!G1870</f>
        <v/>
      </c>
      <c r="C1783">
        <f>Data!H1870</f>
        <v/>
      </c>
      <c r="D1783">
        <f>Data!I1870</f>
        <v/>
      </c>
      <c r="E1783">
        <f>Data!M1870</f>
        <v/>
      </c>
      <c r="F1783">
        <f>Data!O1870</f>
        <v/>
      </c>
      <c r="G1783">
        <f>E1783-F1783</f>
        <v/>
      </c>
      <c r="H1783">
        <f>Data!P1870</f>
        <v/>
      </c>
      <c r="I1783">
        <f>G1783+H1783</f>
        <v/>
      </c>
      <c r="J1783">
        <f>F1783+G1783+H1783</f>
        <v/>
      </c>
      <c r="K1783">
        <f>Data!R1870</f>
        <v/>
      </c>
      <c r="L1783">
        <f>Data!T1870</f>
        <v/>
      </c>
      <c r="M1783">
        <f>AND(E1783=0,F1783=0,G1783=0,H1783=0,I1783=0,J1783=0,K1783=0,L1783=0)</f>
        <v/>
      </c>
      <c r="N1783">
        <f>G1783&lt;=$T$6</f>
        <v/>
      </c>
      <c r="O1783">
        <f>G1783&lt;=$T$12</f>
        <v/>
      </c>
      <c r="P1783">
        <f>OR(AND(H1783&gt;=$T$4,K1783&lt;=$T$5,N1783),M1783)</f>
        <v/>
      </c>
      <c r="Q1783">
        <f>OR(AND(I1783&gt;=$T$10,K1783&lt;=$T$11,O1783),M1783)</f>
        <v/>
      </c>
    </row>
    <row r="1784">
      <c r="A1784">
        <f>Data!E1871</f>
        <v/>
      </c>
      <c r="B1784">
        <f>Data!G1871</f>
        <v/>
      </c>
      <c r="C1784">
        <f>Data!H1871</f>
        <v/>
      </c>
      <c r="D1784">
        <f>Data!I1871</f>
        <v/>
      </c>
      <c r="E1784">
        <f>Data!M1871</f>
        <v/>
      </c>
      <c r="F1784">
        <f>Data!O1871</f>
        <v/>
      </c>
      <c r="G1784">
        <f>E1784-F1784</f>
        <v/>
      </c>
      <c r="H1784">
        <f>Data!P1871</f>
        <v/>
      </c>
      <c r="I1784">
        <f>G1784+H1784</f>
        <v/>
      </c>
      <c r="J1784">
        <f>F1784+G1784+H1784</f>
        <v/>
      </c>
      <c r="K1784">
        <f>Data!R1871</f>
        <v/>
      </c>
      <c r="L1784">
        <f>Data!T1871</f>
        <v/>
      </c>
      <c r="M1784">
        <f>AND(E1784=0,F1784=0,G1784=0,H1784=0,I1784=0,J1784=0,K1784=0,L1784=0)</f>
        <v/>
      </c>
      <c r="N1784">
        <f>G1784&lt;=$T$6</f>
        <v/>
      </c>
      <c r="O1784">
        <f>G1784&lt;=$T$12</f>
        <v/>
      </c>
      <c r="P1784">
        <f>OR(AND(H1784&gt;=$T$4,K1784&lt;=$T$5,N1784),M1784)</f>
        <v/>
      </c>
      <c r="Q1784">
        <f>OR(AND(I1784&gt;=$T$10,K1784&lt;=$T$11,O1784),M1784)</f>
        <v/>
      </c>
    </row>
    <row r="1785">
      <c r="A1785">
        <f>Data!E1872</f>
        <v/>
      </c>
      <c r="B1785">
        <f>Data!G1872</f>
        <v/>
      </c>
      <c r="C1785">
        <f>Data!H1872</f>
        <v/>
      </c>
      <c r="D1785">
        <f>Data!I1872</f>
        <v/>
      </c>
      <c r="E1785">
        <f>Data!M1872</f>
        <v/>
      </c>
      <c r="F1785">
        <f>Data!O1872</f>
        <v/>
      </c>
      <c r="G1785">
        <f>E1785-F1785</f>
        <v/>
      </c>
      <c r="H1785">
        <f>Data!P1872</f>
        <v/>
      </c>
      <c r="I1785">
        <f>G1785+H1785</f>
        <v/>
      </c>
      <c r="J1785">
        <f>F1785+G1785+H1785</f>
        <v/>
      </c>
      <c r="K1785">
        <f>Data!R1872</f>
        <v/>
      </c>
      <c r="L1785">
        <f>Data!T1872</f>
        <v/>
      </c>
      <c r="M1785">
        <f>AND(E1785=0,F1785=0,G1785=0,H1785=0,I1785=0,J1785=0,K1785=0,L1785=0)</f>
        <v/>
      </c>
      <c r="N1785">
        <f>G1785&lt;=$T$6</f>
        <v/>
      </c>
      <c r="O1785">
        <f>G1785&lt;=$T$12</f>
        <v/>
      </c>
      <c r="P1785">
        <f>OR(AND(H1785&gt;=$T$4,K1785&lt;=$T$5,N1785),M1785)</f>
        <v/>
      </c>
      <c r="Q1785">
        <f>OR(AND(I1785&gt;=$T$10,K1785&lt;=$T$11,O1785),M1785)</f>
        <v/>
      </c>
    </row>
    <row r="1786">
      <c r="A1786">
        <f>Data!E1873</f>
        <v/>
      </c>
      <c r="B1786">
        <f>Data!G1873</f>
        <v/>
      </c>
      <c r="C1786">
        <f>Data!H1873</f>
        <v/>
      </c>
      <c r="D1786">
        <f>Data!I1873</f>
        <v/>
      </c>
      <c r="E1786">
        <f>Data!M1873</f>
        <v/>
      </c>
      <c r="F1786">
        <f>Data!O1873</f>
        <v/>
      </c>
      <c r="G1786">
        <f>E1786-F1786</f>
        <v/>
      </c>
      <c r="H1786">
        <f>Data!P1873</f>
        <v/>
      </c>
      <c r="I1786">
        <f>G1786+H1786</f>
        <v/>
      </c>
      <c r="J1786">
        <f>F1786+G1786+H1786</f>
        <v/>
      </c>
      <c r="K1786">
        <f>Data!R1873</f>
        <v/>
      </c>
      <c r="L1786">
        <f>Data!T1873</f>
        <v/>
      </c>
      <c r="M1786">
        <f>AND(E1786=0,F1786=0,G1786=0,H1786=0,I1786=0,J1786=0,K1786=0,L1786=0)</f>
        <v/>
      </c>
      <c r="N1786">
        <f>G1786&lt;=$T$6</f>
        <v/>
      </c>
      <c r="O1786">
        <f>G1786&lt;=$T$12</f>
        <v/>
      </c>
      <c r="P1786">
        <f>OR(AND(H1786&gt;=$T$4,K1786&lt;=$T$5,N1786),M1786)</f>
        <v/>
      </c>
      <c r="Q1786">
        <f>OR(AND(I1786&gt;=$T$10,K1786&lt;=$T$11,O1786),M1786)</f>
        <v/>
      </c>
    </row>
    <row r="1787">
      <c r="A1787">
        <f>Data!E1874</f>
        <v/>
      </c>
      <c r="B1787">
        <f>Data!G1874</f>
        <v/>
      </c>
      <c r="C1787">
        <f>Data!H1874</f>
        <v/>
      </c>
      <c r="D1787">
        <f>Data!I1874</f>
        <v/>
      </c>
      <c r="E1787">
        <f>Data!M1874</f>
        <v/>
      </c>
      <c r="F1787">
        <f>Data!O1874</f>
        <v/>
      </c>
      <c r="G1787">
        <f>E1787-F1787</f>
        <v/>
      </c>
      <c r="H1787">
        <f>Data!P1874</f>
        <v/>
      </c>
      <c r="I1787">
        <f>G1787+H1787</f>
        <v/>
      </c>
      <c r="J1787">
        <f>F1787+G1787+H1787</f>
        <v/>
      </c>
      <c r="K1787">
        <f>Data!R1874</f>
        <v/>
      </c>
      <c r="L1787">
        <f>Data!T1874</f>
        <v/>
      </c>
      <c r="M1787">
        <f>AND(E1787=0,F1787=0,G1787=0,H1787=0,I1787=0,J1787=0,K1787=0,L1787=0)</f>
        <v/>
      </c>
      <c r="N1787">
        <f>G1787&lt;=$T$6</f>
        <v/>
      </c>
      <c r="O1787">
        <f>G1787&lt;=$T$12</f>
        <v/>
      </c>
      <c r="P1787">
        <f>OR(AND(H1787&gt;=$T$4,K1787&lt;=$T$5,N1787),M1787)</f>
        <v/>
      </c>
      <c r="Q1787">
        <f>OR(AND(I1787&gt;=$T$10,K1787&lt;=$T$11,O1787),M1787)</f>
        <v/>
      </c>
    </row>
    <row r="1788">
      <c r="A1788">
        <f>Data!E1875</f>
        <v/>
      </c>
      <c r="B1788">
        <f>Data!G1875</f>
        <v/>
      </c>
      <c r="C1788">
        <f>Data!H1875</f>
        <v/>
      </c>
      <c r="D1788">
        <f>Data!I1875</f>
        <v/>
      </c>
      <c r="E1788">
        <f>Data!M1875</f>
        <v/>
      </c>
      <c r="F1788">
        <f>Data!O1875</f>
        <v/>
      </c>
      <c r="G1788">
        <f>E1788-F1788</f>
        <v/>
      </c>
      <c r="H1788">
        <f>Data!P1875</f>
        <v/>
      </c>
      <c r="I1788">
        <f>G1788+H1788</f>
        <v/>
      </c>
      <c r="J1788">
        <f>F1788+G1788+H1788</f>
        <v/>
      </c>
      <c r="K1788">
        <f>Data!R1875</f>
        <v/>
      </c>
      <c r="L1788">
        <f>Data!T1875</f>
        <v/>
      </c>
      <c r="M1788">
        <f>AND(E1788=0,F1788=0,G1788=0,H1788=0,I1788=0,J1788=0,K1788=0,L1788=0)</f>
        <v/>
      </c>
      <c r="N1788">
        <f>G1788&lt;=$T$6</f>
        <v/>
      </c>
      <c r="O1788">
        <f>G1788&lt;=$T$12</f>
        <v/>
      </c>
      <c r="P1788">
        <f>OR(AND(H1788&gt;=$T$4,K1788&lt;=$T$5,N1788),M1788)</f>
        <v/>
      </c>
      <c r="Q1788">
        <f>OR(AND(I1788&gt;=$T$10,K1788&lt;=$T$11,O1788),M1788)</f>
        <v/>
      </c>
    </row>
    <row r="1789">
      <c r="A1789">
        <f>Data!E1876</f>
        <v/>
      </c>
      <c r="B1789">
        <f>Data!G1876</f>
        <v/>
      </c>
      <c r="C1789">
        <f>Data!H1876</f>
        <v/>
      </c>
      <c r="D1789">
        <f>Data!I1876</f>
        <v/>
      </c>
      <c r="E1789">
        <f>Data!M1876</f>
        <v/>
      </c>
      <c r="F1789">
        <f>Data!O1876</f>
        <v/>
      </c>
      <c r="G1789">
        <f>E1789-F1789</f>
        <v/>
      </c>
      <c r="H1789">
        <f>Data!P1876</f>
        <v/>
      </c>
      <c r="I1789">
        <f>G1789+H1789</f>
        <v/>
      </c>
      <c r="J1789">
        <f>F1789+G1789+H1789</f>
        <v/>
      </c>
      <c r="K1789">
        <f>Data!R1876</f>
        <v/>
      </c>
      <c r="L1789">
        <f>Data!T1876</f>
        <v/>
      </c>
      <c r="M1789">
        <f>AND(E1789=0,F1789=0,G1789=0,H1789=0,I1789=0,J1789=0,K1789=0,L1789=0)</f>
        <v/>
      </c>
      <c r="N1789">
        <f>G1789&lt;=$T$6</f>
        <v/>
      </c>
      <c r="O1789">
        <f>G1789&lt;=$T$12</f>
        <v/>
      </c>
      <c r="P1789">
        <f>OR(AND(H1789&gt;=$T$4,K1789&lt;=$T$5,N1789),M1789)</f>
        <v/>
      </c>
      <c r="Q1789">
        <f>OR(AND(I1789&gt;=$T$10,K1789&lt;=$T$11,O1789),M1789)</f>
        <v/>
      </c>
    </row>
    <row r="1790">
      <c r="A1790">
        <f>Data!E1877</f>
        <v/>
      </c>
      <c r="B1790">
        <f>Data!G1877</f>
        <v/>
      </c>
      <c r="C1790">
        <f>Data!H1877</f>
        <v/>
      </c>
      <c r="D1790">
        <f>Data!I1877</f>
        <v/>
      </c>
      <c r="E1790">
        <f>Data!M1877</f>
        <v/>
      </c>
      <c r="F1790">
        <f>Data!O1877</f>
        <v/>
      </c>
      <c r="G1790">
        <f>E1790-F1790</f>
        <v/>
      </c>
      <c r="H1790">
        <f>Data!P1877</f>
        <v/>
      </c>
      <c r="I1790">
        <f>G1790+H1790</f>
        <v/>
      </c>
      <c r="J1790">
        <f>F1790+G1790+H1790</f>
        <v/>
      </c>
      <c r="K1790">
        <f>Data!R1877</f>
        <v/>
      </c>
      <c r="L1790">
        <f>Data!T1877</f>
        <v/>
      </c>
      <c r="M1790">
        <f>AND(E1790=0,F1790=0,G1790=0,H1790=0,I1790=0,J1790=0,K1790=0,L1790=0)</f>
        <v/>
      </c>
      <c r="N1790">
        <f>G1790&lt;=$T$6</f>
        <v/>
      </c>
      <c r="O1790">
        <f>G1790&lt;=$T$12</f>
        <v/>
      </c>
      <c r="P1790">
        <f>OR(AND(H1790&gt;=$T$4,K1790&lt;=$T$5,N1790),M1790)</f>
        <v/>
      </c>
      <c r="Q1790">
        <f>OR(AND(I1790&gt;=$T$10,K1790&lt;=$T$11,O1790),M1790)</f>
        <v/>
      </c>
    </row>
    <row r="1791">
      <c r="A1791">
        <f>Data!E1878</f>
        <v/>
      </c>
      <c r="B1791">
        <f>Data!G1878</f>
        <v/>
      </c>
      <c r="C1791">
        <f>Data!H1878</f>
        <v/>
      </c>
      <c r="D1791">
        <f>Data!I1878</f>
        <v/>
      </c>
      <c r="E1791">
        <f>Data!M1878</f>
        <v/>
      </c>
      <c r="F1791">
        <f>Data!O1878</f>
        <v/>
      </c>
      <c r="G1791">
        <f>E1791-F1791</f>
        <v/>
      </c>
      <c r="H1791">
        <f>Data!P1878</f>
        <v/>
      </c>
      <c r="I1791">
        <f>G1791+H1791</f>
        <v/>
      </c>
      <c r="J1791">
        <f>F1791+G1791+H1791</f>
        <v/>
      </c>
      <c r="K1791">
        <f>Data!R1878</f>
        <v/>
      </c>
      <c r="L1791">
        <f>Data!T1878</f>
        <v/>
      </c>
      <c r="M1791">
        <f>AND(E1791=0,F1791=0,G1791=0,H1791=0,I1791=0,J1791=0,K1791=0,L1791=0)</f>
        <v/>
      </c>
      <c r="N1791">
        <f>G1791&lt;=$T$6</f>
        <v/>
      </c>
      <c r="O1791">
        <f>G1791&lt;=$T$12</f>
        <v/>
      </c>
      <c r="P1791">
        <f>OR(AND(H1791&gt;=$T$4,K1791&lt;=$T$5,N1791),M1791)</f>
        <v/>
      </c>
      <c r="Q1791">
        <f>OR(AND(I1791&gt;=$T$10,K1791&lt;=$T$11,O1791),M1791)</f>
        <v/>
      </c>
    </row>
    <row r="1792">
      <c r="A1792">
        <f>Data!E1879</f>
        <v/>
      </c>
      <c r="B1792">
        <f>Data!G1879</f>
        <v/>
      </c>
      <c r="C1792">
        <f>Data!H1879</f>
        <v/>
      </c>
      <c r="D1792">
        <f>Data!I1879</f>
        <v/>
      </c>
      <c r="E1792">
        <f>Data!M1879</f>
        <v/>
      </c>
      <c r="F1792">
        <f>Data!O1879</f>
        <v/>
      </c>
      <c r="G1792">
        <f>E1792-F1792</f>
        <v/>
      </c>
      <c r="H1792">
        <f>Data!P1879</f>
        <v/>
      </c>
      <c r="I1792">
        <f>G1792+H1792</f>
        <v/>
      </c>
      <c r="J1792">
        <f>F1792+G1792+H1792</f>
        <v/>
      </c>
      <c r="K1792">
        <f>Data!R1879</f>
        <v/>
      </c>
      <c r="L1792">
        <f>Data!T1879</f>
        <v/>
      </c>
      <c r="M1792">
        <f>AND(E1792=0,F1792=0,G1792=0,H1792=0,I1792=0,J1792=0,K1792=0,L1792=0)</f>
        <v/>
      </c>
      <c r="N1792">
        <f>G1792&lt;=$T$6</f>
        <v/>
      </c>
      <c r="O1792">
        <f>G1792&lt;=$T$12</f>
        <v/>
      </c>
      <c r="P1792">
        <f>OR(AND(H1792&gt;=$T$4,K1792&lt;=$T$5,N1792),M1792)</f>
        <v/>
      </c>
      <c r="Q1792">
        <f>OR(AND(I1792&gt;=$T$10,K1792&lt;=$T$11,O1792),M1792)</f>
        <v/>
      </c>
    </row>
    <row r="1793">
      <c r="A1793">
        <f>Data!E1880</f>
        <v/>
      </c>
      <c r="B1793">
        <f>Data!G1880</f>
        <v/>
      </c>
      <c r="C1793">
        <f>Data!H1880</f>
        <v/>
      </c>
      <c r="D1793">
        <f>Data!I1880</f>
        <v/>
      </c>
      <c r="E1793">
        <f>Data!M1880</f>
        <v/>
      </c>
      <c r="F1793">
        <f>Data!O1880</f>
        <v/>
      </c>
      <c r="G1793">
        <f>E1793-F1793</f>
        <v/>
      </c>
      <c r="H1793">
        <f>Data!P1880</f>
        <v/>
      </c>
      <c r="I1793">
        <f>G1793+H1793</f>
        <v/>
      </c>
      <c r="J1793">
        <f>F1793+G1793+H1793</f>
        <v/>
      </c>
      <c r="K1793">
        <f>Data!R1880</f>
        <v/>
      </c>
      <c r="L1793">
        <f>Data!T1880</f>
        <v/>
      </c>
      <c r="M1793">
        <f>AND(E1793=0,F1793=0,G1793=0,H1793=0,I1793=0,J1793=0,K1793=0,L1793=0)</f>
        <v/>
      </c>
      <c r="N1793">
        <f>G1793&lt;=$T$6</f>
        <v/>
      </c>
      <c r="O1793">
        <f>G1793&lt;=$T$12</f>
        <v/>
      </c>
      <c r="P1793">
        <f>OR(AND(H1793&gt;=$T$4,K1793&lt;=$T$5,N1793),M1793)</f>
        <v/>
      </c>
      <c r="Q1793">
        <f>OR(AND(I1793&gt;=$T$10,K1793&lt;=$T$11,O1793),M1793)</f>
        <v/>
      </c>
    </row>
    <row r="1794">
      <c r="A1794">
        <f>Data!E1881</f>
        <v/>
      </c>
      <c r="B1794">
        <f>Data!G1881</f>
        <v/>
      </c>
      <c r="C1794">
        <f>Data!H1881</f>
        <v/>
      </c>
      <c r="D1794">
        <f>Data!I1881</f>
        <v/>
      </c>
      <c r="E1794">
        <f>Data!M1881</f>
        <v/>
      </c>
      <c r="F1794">
        <f>Data!O1881</f>
        <v/>
      </c>
      <c r="G1794">
        <f>E1794-F1794</f>
        <v/>
      </c>
      <c r="H1794">
        <f>Data!P1881</f>
        <v/>
      </c>
      <c r="I1794">
        <f>G1794+H1794</f>
        <v/>
      </c>
      <c r="J1794">
        <f>F1794+G1794+H1794</f>
        <v/>
      </c>
      <c r="K1794">
        <f>Data!R1881</f>
        <v/>
      </c>
      <c r="L1794">
        <f>Data!T1881</f>
        <v/>
      </c>
      <c r="M1794">
        <f>AND(E1794=0,F1794=0,G1794=0,H1794=0,I1794=0,J1794=0,K1794=0,L1794=0)</f>
        <v/>
      </c>
      <c r="N1794">
        <f>G1794&lt;=$T$6</f>
        <v/>
      </c>
      <c r="O1794">
        <f>G1794&lt;=$T$12</f>
        <v/>
      </c>
      <c r="P1794">
        <f>OR(AND(H1794&gt;=$T$4,K1794&lt;=$T$5,N1794),M1794)</f>
        <v/>
      </c>
      <c r="Q1794">
        <f>OR(AND(I1794&gt;=$T$10,K1794&lt;=$T$11,O1794),M1794)</f>
        <v/>
      </c>
    </row>
    <row r="1795">
      <c r="A1795">
        <f>Data!E1882</f>
        <v/>
      </c>
      <c r="B1795">
        <f>Data!G1882</f>
        <v/>
      </c>
      <c r="C1795">
        <f>Data!H1882</f>
        <v/>
      </c>
      <c r="D1795">
        <f>Data!I1882</f>
        <v/>
      </c>
      <c r="E1795">
        <f>Data!M1882</f>
        <v/>
      </c>
      <c r="F1795">
        <f>Data!O1882</f>
        <v/>
      </c>
      <c r="G1795">
        <f>E1795-F1795</f>
        <v/>
      </c>
      <c r="H1795">
        <f>Data!P1882</f>
        <v/>
      </c>
      <c r="I1795">
        <f>G1795+H1795</f>
        <v/>
      </c>
      <c r="J1795">
        <f>F1795+G1795+H1795</f>
        <v/>
      </c>
      <c r="K1795">
        <f>Data!R1882</f>
        <v/>
      </c>
      <c r="L1795">
        <f>Data!T1882</f>
        <v/>
      </c>
      <c r="M1795">
        <f>AND(E1795=0,F1795=0,G1795=0,H1795=0,I1795=0,J1795=0,K1795=0,L1795=0)</f>
        <v/>
      </c>
      <c r="N1795">
        <f>G1795&lt;=$T$6</f>
        <v/>
      </c>
      <c r="O1795">
        <f>G1795&lt;=$T$12</f>
        <v/>
      </c>
      <c r="P1795">
        <f>OR(AND(H1795&gt;=$T$4,K1795&lt;=$T$5,N1795),M1795)</f>
        <v/>
      </c>
      <c r="Q1795">
        <f>OR(AND(I1795&gt;=$T$10,K1795&lt;=$T$11,O1795),M1795)</f>
        <v/>
      </c>
    </row>
    <row r="1796">
      <c r="A1796">
        <f>Data!E1883</f>
        <v/>
      </c>
      <c r="B1796">
        <f>Data!G1883</f>
        <v/>
      </c>
      <c r="C1796">
        <f>Data!H1883</f>
        <v/>
      </c>
      <c r="D1796">
        <f>Data!I1883</f>
        <v/>
      </c>
      <c r="E1796">
        <f>Data!M1883</f>
        <v/>
      </c>
      <c r="F1796">
        <f>Data!O1883</f>
        <v/>
      </c>
      <c r="G1796">
        <f>E1796-F1796</f>
        <v/>
      </c>
      <c r="H1796">
        <f>Data!P1883</f>
        <v/>
      </c>
      <c r="I1796">
        <f>G1796+H1796</f>
        <v/>
      </c>
      <c r="J1796">
        <f>F1796+G1796+H1796</f>
        <v/>
      </c>
      <c r="K1796">
        <f>Data!R1883</f>
        <v/>
      </c>
      <c r="L1796">
        <f>Data!T1883</f>
        <v/>
      </c>
      <c r="M1796">
        <f>AND(E1796=0,F1796=0,G1796=0,H1796=0,I1796=0,J1796=0,K1796=0,L1796=0)</f>
        <v/>
      </c>
      <c r="N1796">
        <f>G1796&lt;=$T$6</f>
        <v/>
      </c>
      <c r="O1796">
        <f>G1796&lt;=$T$12</f>
        <v/>
      </c>
      <c r="P1796">
        <f>OR(AND(H1796&gt;=$T$4,K1796&lt;=$T$5,N1796),M1796)</f>
        <v/>
      </c>
      <c r="Q1796">
        <f>OR(AND(I1796&gt;=$T$10,K1796&lt;=$T$11,O1796),M1796)</f>
        <v/>
      </c>
    </row>
    <row r="1797">
      <c r="A1797">
        <f>Data!E1885</f>
        <v/>
      </c>
      <c r="B1797">
        <f>Data!G1885</f>
        <v/>
      </c>
      <c r="C1797">
        <f>Data!H1885</f>
        <v/>
      </c>
      <c r="D1797">
        <f>Data!I1885</f>
        <v/>
      </c>
      <c r="E1797">
        <f>Data!M1885</f>
        <v/>
      </c>
      <c r="F1797">
        <f>Data!O1885</f>
        <v/>
      </c>
      <c r="G1797">
        <f>E1797-F1797</f>
        <v/>
      </c>
      <c r="H1797">
        <f>Data!P1885</f>
        <v/>
      </c>
      <c r="I1797">
        <f>G1797+H1797</f>
        <v/>
      </c>
      <c r="J1797">
        <f>F1797+G1797+H1797</f>
        <v/>
      </c>
      <c r="K1797">
        <f>Data!R1885</f>
        <v/>
      </c>
      <c r="L1797">
        <f>Data!T1885</f>
        <v/>
      </c>
      <c r="M1797">
        <f>AND(E1797=0,F1797=0,G1797=0,H1797=0,I1797=0,J1797=0,K1797=0,L1797=0)</f>
        <v/>
      </c>
      <c r="N1797">
        <f>G1797&lt;=$T$6</f>
        <v/>
      </c>
      <c r="O1797">
        <f>G1797&lt;=$T$12</f>
        <v/>
      </c>
      <c r="P1797">
        <f>OR(AND(H1797&gt;=$T$4,K1797&lt;=$T$5,N1797),M1797)</f>
        <v/>
      </c>
      <c r="Q1797">
        <f>OR(AND(I1797&gt;=$T$10,K1797&lt;=$T$11,O1797),M1797)</f>
        <v/>
      </c>
    </row>
    <row r="1798">
      <c r="A1798">
        <f>Data!E1886</f>
        <v/>
      </c>
      <c r="B1798">
        <f>Data!G1886</f>
        <v/>
      </c>
      <c r="C1798">
        <f>Data!H1886</f>
        <v/>
      </c>
      <c r="D1798">
        <f>Data!I1886</f>
        <v/>
      </c>
      <c r="E1798">
        <f>Data!M1886</f>
        <v/>
      </c>
      <c r="F1798">
        <f>Data!O1886</f>
        <v/>
      </c>
      <c r="G1798">
        <f>E1798-F1798</f>
        <v/>
      </c>
      <c r="H1798">
        <f>Data!P1886</f>
        <v/>
      </c>
      <c r="I1798">
        <f>G1798+H1798</f>
        <v/>
      </c>
      <c r="J1798">
        <f>F1798+G1798+H1798</f>
        <v/>
      </c>
      <c r="K1798">
        <f>Data!R1886</f>
        <v/>
      </c>
      <c r="L1798">
        <f>Data!T1886</f>
        <v/>
      </c>
      <c r="M1798">
        <f>AND(E1798=0,F1798=0,G1798=0,H1798=0,I1798=0,J1798=0,K1798=0,L1798=0)</f>
        <v/>
      </c>
      <c r="N1798">
        <f>G1798&lt;=$T$6</f>
        <v/>
      </c>
      <c r="O1798">
        <f>G1798&lt;=$T$12</f>
        <v/>
      </c>
      <c r="P1798">
        <f>OR(AND(H1798&gt;=$T$4,K1798&lt;=$T$5,N1798),M1798)</f>
        <v/>
      </c>
      <c r="Q1798">
        <f>OR(AND(I1798&gt;=$T$10,K1798&lt;=$T$11,O1798),M1798)</f>
        <v/>
      </c>
    </row>
    <row r="1799">
      <c r="A1799">
        <f>Data!E1887</f>
        <v/>
      </c>
      <c r="B1799">
        <f>Data!G1887</f>
        <v/>
      </c>
      <c r="C1799">
        <f>Data!H1887</f>
        <v/>
      </c>
      <c r="D1799">
        <f>Data!I1887</f>
        <v/>
      </c>
      <c r="E1799">
        <f>Data!M1887</f>
        <v/>
      </c>
      <c r="F1799">
        <f>Data!O1887</f>
        <v/>
      </c>
      <c r="G1799">
        <f>E1799-F1799</f>
        <v/>
      </c>
      <c r="H1799">
        <f>Data!P1887</f>
        <v/>
      </c>
      <c r="I1799">
        <f>G1799+H1799</f>
        <v/>
      </c>
      <c r="J1799">
        <f>F1799+G1799+H1799</f>
        <v/>
      </c>
      <c r="K1799">
        <f>Data!R1887</f>
        <v/>
      </c>
      <c r="L1799">
        <f>Data!T1887</f>
        <v/>
      </c>
      <c r="M1799">
        <f>AND(E1799=0,F1799=0,G1799=0,H1799=0,I1799=0,J1799=0,K1799=0,L1799=0)</f>
        <v/>
      </c>
      <c r="N1799">
        <f>G1799&lt;=$T$6</f>
        <v/>
      </c>
      <c r="O1799">
        <f>G1799&lt;=$T$12</f>
        <v/>
      </c>
      <c r="P1799">
        <f>OR(AND(H1799&gt;=$T$4,K1799&lt;=$T$5,N1799),M1799)</f>
        <v/>
      </c>
      <c r="Q1799">
        <f>OR(AND(I1799&gt;=$T$10,K1799&lt;=$T$11,O1799),M1799)</f>
        <v/>
      </c>
    </row>
    <row r="1800">
      <c r="A1800">
        <f>Data!E1888</f>
        <v/>
      </c>
      <c r="B1800">
        <f>Data!G1888</f>
        <v/>
      </c>
      <c r="C1800">
        <f>Data!H1888</f>
        <v/>
      </c>
      <c r="D1800">
        <f>Data!I1888</f>
        <v/>
      </c>
      <c r="E1800">
        <f>Data!M1888</f>
        <v/>
      </c>
      <c r="F1800">
        <f>Data!O1888</f>
        <v/>
      </c>
      <c r="G1800">
        <f>E1800-F1800</f>
        <v/>
      </c>
      <c r="H1800">
        <f>Data!P1888</f>
        <v/>
      </c>
      <c r="I1800">
        <f>G1800+H1800</f>
        <v/>
      </c>
      <c r="J1800">
        <f>F1800+G1800+H1800</f>
        <v/>
      </c>
      <c r="K1800">
        <f>Data!R1888</f>
        <v/>
      </c>
      <c r="L1800">
        <f>Data!T1888</f>
        <v/>
      </c>
      <c r="M1800">
        <f>AND(E1800=0,F1800=0,G1800=0,H1800=0,I1800=0,J1800=0,K1800=0,L1800=0)</f>
        <v/>
      </c>
      <c r="N1800">
        <f>G1800&lt;=$T$6</f>
        <v/>
      </c>
      <c r="O1800">
        <f>G1800&lt;=$T$12</f>
        <v/>
      </c>
      <c r="P1800">
        <f>OR(AND(H1800&gt;=$T$4,K1800&lt;=$T$5,N1800),M1800)</f>
        <v/>
      </c>
      <c r="Q1800">
        <f>OR(AND(I1800&gt;=$T$10,K1800&lt;=$T$11,O1800),M1800)</f>
        <v/>
      </c>
    </row>
    <row r="1801">
      <c r="A1801">
        <f>Data!E1889</f>
        <v/>
      </c>
      <c r="B1801">
        <f>Data!G1889</f>
        <v/>
      </c>
      <c r="C1801">
        <f>Data!H1889</f>
        <v/>
      </c>
      <c r="D1801">
        <f>Data!I1889</f>
        <v/>
      </c>
      <c r="E1801">
        <f>Data!M1889</f>
        <v/>
      </c>
      <c r="F1801">
        <f>Data!O1889</f>
        <v/>
      </c>
      <c r="G1801">
        <f>E1801-F1801</f>
        <v/>
      </c>
      <c r="H1801">
        <f>Data!P1889</f>
        <v/>
      </c>
      <c r="I1801">
        <f>G1801+H1801</f>
        <v/>
      </c>
      <c r="J1801">
        <f>F1801+G1801+H1801</f>
        <v/>
      </c>
      <c r="K1801">
        <f>Data!R1889</f>
        <v/>
      </c>
      <c r="L1801">
        <f>Data!T1889</f>
        <v/>
      </c>
      <c r="M1801">
        <f>AND(E1801=0,F1801=0,G1801=0,H1801=0,I1801=0,J1801=0,K1801=0,L1801=0)</f>
        <v/>
      </c>
      <c r="N1801">
        <f>G1801&lt;=$T$6</f>
        <v/>
      </c>
      <c r="O1801">
        <f>G1801&lt;=$T$12</f>
        <v/>
      </c>
      <c r="P1801">
        <f>OR(AND(H1801&gt;=$T$4,K1801&lt;=$T$5,N1801),M1801)</f>
        <v/>
      </c>
      <c r="Q1801">
        <f>OR(AND(I1801&gt;=$T$10,K1801&lt;=$T$11,O1801),M1801)</f>
        <v/>
      </c>
    </row>
    <row r="1802">
      <c r="A1802">
        <f>Data!E1890</f>
        <v/>
      </c>
      <c r="B1802">
        <f>Data!G1890</f>
        <v/>
      </c>
      <c r="C1802">
        <f>Data!H1890</f>
        <v/>
      </c>
      <c r="D1802">
        <f>Data!I1890</f>
        <v/>
      </c>
      <c r="E1802">
        <f>Data!M1890</f>
        <v/>
      </c>
      <c r="F1802">
        <f>Data!O1890</f>
        <v/>
      </c>
      <c r="G1802">
        <f>E1802-F1802</f>
        <v/>
      </c>
      <c r="H1802">
        <f>Data!P1890</f>
        <v/>
      </c>
      <c r="I1802">
        <f>G1802+H1802</f>
        <v/>
      </c>
      <c r="J1802">
        <f>F1802+G1802+H1802</f>
        <v/>
      </c>
      <c r="K1802">
        <f>Data!R1890</f>
        <v/>
      </c>
      <c r="L1802">
        <f>Data!T1890</f>
        <v/>
      </c>
      <c r="M1802">
        <f>AND(E1802=0,F1802=0,G1802=0,H1802=0,I1802=0,J1802=0,K1802=0,L1802=0)</f>
        <v/>
      </c>
      <c r="N1802">
        <f>G1802&lt;=$T$6</f>
        <v/>
      </c>
      <c r="O1802">
        <f>G1802&lt;=$T$12</f>
        <v/>
      </c>
      <c r="P1802">
        <f>OR(AND(H1802&gt;=$T$4,K1802&lt;=$T$5,N1802),M1802)</f>
        <v/>
      </c>
      <c r="Q1802">
        <f>OR(AND(I1802&gt;=$T$10,K1802&lt;=$T$11,O1802),M1802)</f>
        <v/>
      </c>
    </row>
    <row r="1803">
      <c r="A1803">
        <f>Data!E1891</f>
        <v/>
      </c>
      <c r="B1803">
        <f>Data!G1891</f>
        <v/>
      </c>
      <c r="C1803">
        <f>Data!H1891</f>
        <v/>
      </c>
      <c r="D1803">
        <f>Data!I1891</f>
        <v/>
      </c>
      <c r="E1803">
        <f>Data!M1891</f>
        <v/>
      </c>
      <c r="F1803">
        <f>Data!O1891</f>
        <v/>
      </c>
      <c r="G1803">
        <f>E1803-F1803</f>
        <v/>
      </c>
      <c r="H1803">
        <f>Data!P1891</f>
        <v/>
      </c>
      <c r="I1803">
        <f>G1803+H1803</f>
        <v/>
      </c>
      <c r="J1803">
        <f>F1803+G1803+H1803</f>
        <v/>
      </c>
      <c r="K1803">
        <f>Data!R1891</f>
        <v/>
      </c>
      <c r="L1803">
        <f>Data!T1891</f>
        <v/>
      </c>
      <c r="M1803">
        <f>AND(E1803=0,F1803=0,G1803=0,H1803=0,I1803=0,J1803=0,K1803=0,L1803=0)</f>
        <v/>
      </c>
      <c r="N1803">
        <f>G1803&lt;=$T$6</f>
        <v/>
      </c>
      <c r="O1803">
        <f>G1803&lt;=$T$12</f>
        <v/>
      </c>
      <c r="P1803">
        <f>OR(AND(H1803&gt;=$T$4,K1803&lt;=$T$5,N1803),M1803)</f>
        <v/>
      </c>
      <c r="Q1803">
        <f>OR(AND(I1803&gt;=$T$10,K1803&lt;=$T$11,O1803),M1803)</f>
        <v/>
      </c>
    </row>
    <row r="1804">
      <c r="A1804">
        <f>Data!E1892</f>
        <v/>
      </c>
      <c r="B1804">
        <f>Data!G1892</f>
        <v/>
      </c>
      <c r="C1804">
        <f>Data!H1892</f>
        <v/>
      </c>
      <c r="D1804">
        <f>Data!I1892</f>
        <v/>
      </c>
      <c r="E1804">
        <f>Data!M1892</f>
        <v/>
      </c>
      <c r="F1804">
        <f>Data!O1892</f>
        <v/>
      </c>
      <c r="G1804">
        <f>E1804-F1804</f>
        <v/>
      </c>
      <c r="H1804">
        <f>Data!P1892</f>
        <v/>
      </c>
      <c r="I1804">
        <f>G1804+H1804</f>
        <v/>
      </c>
      <c r="J1804">
        <f>F1804+G1804+H1804</f>
        <v/>
      </c>
      <c r="K1804">
        <f>Data!R1892</f>
        <v/>
      </c>
      <c r="L1804">
        <f>Data!T1892</f>
        <v/>
      </c>
      <c r="M1804">
        <f>AND(E1804=0,F1804=0,G1804=0,H1804=0,I1804=0,J1804=0,K1804=0,L1804=0)</f>
        <v/>
      </c>
      <c r="N1804">
        <f>G1804&lt;=$T$6</f>
        <v/>
      </c>
      <c r="O1804">
        <f>G1804&lt;=$T$12</f>
        <v/>
      </c>
      <c r="P1804">
        <f>OR(AND(H1804&gt;=$T$4,K1804&lt;=$T$5,N1804),M1804)</f>
        <v/>
      </c>
      <c r="Q1804">
        <f>OR(AND(I1804&gt;=$T$10,K1804&lt;=$T$11,O1804),M1804)</f>
        <v/>
      </c>
    </row>
    <row r="1805">
      <c r="A1805">
        <f>Data!E1893</f>
        <v/>
      </c>
      <c r="B1805">
        <f>Data!G1893</f>
        <v/>
      </c>
      <c r="C1805">
        <f>Data!H1893</f>
        <v/>
      </c>
      <c r="D1805">
        <f>Data!I1893</f>
        <v/>
      </c>
      <c r="E1805">
        <f>Data!M1893</f>
        <v/>
      </c>
      <c r="F1805">
        <f>Data!O1893</f>
        <v/>
      </c>
      <c r="G1805">
        <f>E1805-F1805</f>
        <v/>
      </c>
      <c r="H1805">
        <f>Data!P1893</f>
        <v/>
      </c>
      <c r="I1805">
        <f>G1805+H1805</f>
        <v/>
      </c>
      <c r="J1805">
        <f>F1805+G1805+H1805</f>
        <v/>
      </c>
      <c r="K1805">
        <f>Data!R1893</f>
        <v/>
      </c>
      <c r="L1805">
        <f>Data!T1893</f>
        <v/>
      </c>
      <c r="M1805">
        <f>AND(E1805=0,F1805=0,G1805=0,H1805=0,I1805=0,J1805=0,K1805=0,L1805=0)</f>
        <v/>
      </c>
      <c r="N1805">
        <f>G1805&lt;=$T$6</f>
        <v/>
      </c>
      <c r="O1805">
        <f>G1805&lt;=$T$12</f>
        <v/>
      </c>
      <c r="P1805">
        <f>OR(AND(H1805&gt;=$T$4,K1805&lt;=$T$5,N1805),M1805)</f>
        <v/>
      </c>
      <c r="Q1805">
        <f>OR(AND(I1805&gt;=$T$10,K1805&lt;=$T$11,O1805),M1805)</f>
        <v/>
      </c>
    </row>
    <row r="1806">
      <c r="A1806">
        <f>Data!E1894</f>
        <v/>
      </c>
      <c r="B1806">
        <f>Data!G1894</f>
        <v/>
      </c>
      <c r="C1806">
        <f>Data!H1894</f>
        <v/>
      </c>
      <c r="D1806">
        <f>Data!I1894</f>
        <v/>
      </c>
      <c r="E1806">
        <f>Data!M1894</f>
        <v/>
      </c>
      <c r="F1806">
        <f>Data!O1894</f>
        <v/>
      </c>
      <c r="G1806">
        <f>E1806-F1806</f>
        <v/>
      </c>
      <c r="H1806">
        <f>Data!P1894</f>
        <v/>
      </c>
      <c r="I1806">
        <f>G1806+H1806</f>
        <v/>
      </c>
      <c r="J1806">
        <f>F1806+G1806+H1806</f>
        <v/>
      </c>
      <c r="K1806">
        <f>Data!R1894</f>
        <v/>
      </c>
      <c r="L1806">
        <f>Data!T1894</f>
        <v/>
      </c>
      <c r="M1806">
        <f>AND(E1806=0,F1806=0,G1806=0,H1806=0,I1806=0,J1806=0,K1806=0,L1806=0)</f>
        <v/>
      </c>
      <c r="N1806">
        <f>G1806&lt;=$T$6</f>
        <v/>
      </c>
      <c r="O1806">
        <f>G1806&lt;=$T$12</f>
        <v/>
      </c>
      <c r="P1806">
        <f>OR(AND(H1806&gt;=$T$4,K1806&lt;=$T$5,N1806),M1806)</f>
        <v/>
      </c>
      <c r="Q1806">
        <f>OR(AND(I1806&gt;=$T$10,K1806&lt;=$T$11,O1806),M1806)</f>
        <v/>
      </c>
    </row>
    <row r="1807">
      <c r="A1807">
        <f>Data!E1895</f>
        <v/>
      </c>
      <c r="B1807">
        <f>Data!G1895</f>
        <v/>
      </c>
      <c r="C1807">
        <f>Data!H1895</f>
        <v/>
      </c>
      <c r="D1807">
        <f>Data!I1895</f>
        <v/>
      </c>
      <c r="E1807">
        <f>Data!M1895</f>
        <v/>
      </c>
      <c r="F1807">
        <f>Data!O1895</f>
        <v/>
      </c>
      <c r="G1807">
        <f>E1807-F1807</f>
        <v/>
      </c>
      <c r="H1807">
        <f>Data!P1895</f>
        <v/>
      </c>
      <c r="I1807">
        <f>G1807+H1807</f>
        <v/>
      </c>
      <c r="J1807">
        <f>F1807+G1807+H1807</f>
        <v/>
      </c>
      <c r="K1807">
        <f>Data!R1895</f>
        <v/>
      </c>
      <c r="L1807">
        <f>Data!T1895</f>
        <v/>
      </c>
      <c r="M1807">
        <f>AND(E1807=0,F1807=0,G1807=0,H1807=0,I1807=0,J1807=0,K1807=0,L1807=0)</f>
        <v/>
      </c>
      <c r="N1807">
        <f>G1807&lt;=$T$6</f>
        <v/>
      </c>
      <c r="O1807">
        <f>G1807&lt;=$T$12</f>
        <v/>
      </c>
      <c r="P1807">
        <f>OR(AND(H1807&gt;=$T$4,K1807&lt;=$T$5,N1807),M1807)</f>
        <v/>
      </c>
      <c r="Q1807">
        <f>OR(AND(I1807&gt;=$T$10,K1807&lt;=$T$11,O1807),M1807)</f>
        <v/>
      </c>
    </row>
    <row r="1808">
      <c r="A1808">
        <f>Data!E1896</f>
        <v/>
      </c>
      <c r="B1808">
        <f>Data!G1896</f>
        <v/>
      </c>
      <c r="C1808">
        <f>Data!H1896</f>
        <v/>
      </c>
      <c r="D1808">
        <f>Data!I1896</f>
        <v/>
      </c>
      <c r="E1808">
        <f>Data!M1896</f>
        <v/>
      </c>
      <c r="F1808">
        <f>Data!O1896</f>
        <v/>
      </c>
      <c r="G1808">
        <f>E1808-F1808</f>
        <v/>
      </c>
      <c r="H1808">
        <f>Data!P1896</f>
        <v/>
      </c>
      <c r="I1808">
        <f>G1808+H1808</f>
        <v/>
      </c>
      <c r="J1808">
        <f>F1808+G1808+H1808</f>
        <v/>
      </c>
      <c r="K1808">
        <f>Data!R1896</f>
        <v/>
      </c>
      <c r="L1808">
        <f>Data!T1896</f>
        <v/>
      </c>
      <c r="M1808">
        <f>AND(E1808=0,F1808=0,G1808=0,H1808=0,I1808=0,J1808=0,K1808=0,L1808=0)</f>
        <v/>
      </c>
      <c r="N1808">
        <f>G1808&lt;=$T$6</f>
        <v/>
      </c>
      <c r="O1808">
        <f>G1808&lt;=$T$12</f>
        <v/>
      </c>
      <c r="P1808">
        <f>OR(AND(H1808&gt;=$T$4,K1808&lt;=$T$5,N1808),M1808)</f>
        <v/>
      </c>
      <c r="Q1808">
        <f>OR(AND(I1808&gt;=$T$10,K1808&lt;=$T$11,O1808),M1808)</f>
        <v/>
      </c>
    </row>
    <row r="1809">
      <c r="A1809">
        <f>Data!E1897</f>
        <v/>
      </c>
      <c r="B1809">
        <f>Data!G1897</f>
        <v/>
      </c>
      <c r="C1809">
        <f>Data!H1897</f>
        <v/>
      </c>
      <c r="D1809">
        <f>Data!I1897</f>
        <v/>
      </c>
      <c r="E1809">
        <f>Data!M1897</f>
        <v/>
      </c>
      <c r="F1809">
        <f>Data!O1897</f>
        <v/>
      </c>
      <c r="G1809">
        <f>E1809-F1809</f>
        <v/>
      </c>
      <c r="H1809">
        <f>Data!P1897</f>
        <v/>
      </c>
      <c r="I1809">
        <f>G1809+H1809</f>
        <v/>
      </c>
      <c r="J1809">
        <f>F1809+G1809+H1809</f>
        <v/>
      </c>
      <c r="K1809">
        <f>Data!R1897</f>
        <v/>
      </c>
      <c r="L1809">
        <f>Data!T1897</f>
        <v/>
      </c>
      <c r="M1809">
        <f>AND(E1809=0,F1809=0,G1809=0,H1809=0,I1809=0,J1809=0,K1809=0,L1809=0)</f>
        <v/>
      </c>
      <c r="N1809">
        <f>G1809&lt;=$T$6</f>
        <v/>
      </c>
      <c r="O1809">
        <f>G1809&lt;=$T$12</f>
        <v/>
      </c>
      <c r="P1809">
        <f>OR(AND(H1809&gt;=$T$4,K1809&lt;=$T$5,N1809),M1809)</f>
        <v/>
      </c>
      <c r="Q1809">
        <f>OR(AND(I1809&gt;=$T$10,K1809&lt;=$T$11,O1809),M1809)</f>
        <v/>
      </c>
    </row>
    <row r="1810">
      <c r="A1810">
        <f>Data!E1898</f>
        <v/>
      </c>
      <c r="B1810">
        <f>Data!G1898</f>
        <v/>
      </c>
      <c r="C1810">
        <f>Data!H1898</f>
        <v/>
      </c>
      <c r="D1810">
        <f>Data!I1898</f>
        <v/>
      </c>
      <c r="E1810">
        <f>Data!M1898</f>
        <v/>
      </c>
      <c r="F1810">
        <f>Data!O1898</f>
        <v/>
      </c>
      <c r="G1810">
        <f>E1810-F1810</f>
        <v/>
      </c>
      <c r="H1810">
        <f>Data!P1898</f>
        <v/>
      </c>
      <c r="I1810">
        <f>G1810+H1810</f>
        <v/>
      </c>
      <c r="J1810">
        <f>F1810+G1810+H1810</f>
        <v/>
      </c>
      <c r="K1810">
        <f>Data!R1898</f>
        <v/>
      </c>
      <c r="L1810">
        <f>Data!T1898</f>
        <v/>
      </c>
      <c r="M1810">
        <f>AND(E1810=0,F1810=0,G1810=0,H1810=0,I1810=0,J1810=0,K1810=0,L1810=0)</f>
        <v/>
      </c>
      <c r="N1810">
        <f>G1810&lt;=$T$6</f>
        <v/>
      </c>
      <c r="O1810">
        <f>G1810&lt;=$T$12</f>
        <v/>
      </c>
      <c r="P1810">
        <f>OR(AND(H1810&gt;=$T$4,K1810&lt;=$T$5,N1810),M1810)</f>
        <v/>
      </c>
      <c r="Q1810">
        <f>OR(AND(I1810&gt;=$T$10,K1810&lt;=$T$11,O1810),M1810)</f>
        <v/>
      </c>
    </row>
    <row r="1811">
      <c r="A1811">
        <f>Data!E1899</f>
        <v/>
      </c>
      <c r="B1811">
        <f>Data!G1899</f>
        <v/>
      </c>
      <c r="C1811">
        <f>Data!H1899</f>
        <v/>
      </c>
      <c r="D1811">
        <f>Data!I1899</f>
        <v/>
      </c>
      <c r="E1811">
        <f>Data!M1899</f>
        <v/>
      </c>
      <c r="F1811">
        <f>Data!O1899</f>
        <v/>
      </c>
      <c r="G1811">
        <f>E1811-F1811</f>
        <v/>
      </c>
      <c r="H1811">
        <f>Data!P1899</f>
        <v/>
      </c>
      <c r="I1811">
        <f>G1811+H1811</f>
        <v/>
      </c>
      <c r="J1811">
        <f>F1811+G1811+H1811</f>
        <v/>
      </c>
      <c r="K1811">
        <f>Data!R1899</f>
        <v/>
      </c>
      <c r="L1811">
        <f>Data!T1899</f>
        <v/>
      </c>
      <c r="M1811">
        <f>AND(E1811=0,F1811=0,G1811=0,H1811=0,I1811=0,J1811=0,K1811=0,L1811=0)</f>
        <v/>
      </c>
      <c r="N1811">
        <f>G1811&lt;=$T$6</f>
        <v/>
      </c>
      <c r="O1811">
        <f>G1811&lt;=$T$12</f>
        <v/>
      </c>
      <c r="P1811">
        <f>OR(AND(H1811&gt;=$T$4,K1811&lt;=$T$5,N1811),M1811)</f>
        <v/>
      </c>
      <c r="Q1811">
        <f>OR(AND(I1811&gt;=$T$10,K1811&lt;=$T$11,O1811),M1811)</f>
        <v/>
      </c>
    </row>
    <row r="1812">
      <c r="A1812">
        <f>Data!E1900</f>
        <v/>
      </c>
      <c r="B1812">
        <f>Data!G1900</f>
        <v/>
      </c>
      <c r="C1812">
        <f>Data!H1900</f>
        <v/>
      </c>
      <c r="D1812">
        <f>Data!I1900</f>
        <v/>
      </c>
      <c r="E1812">
        <f>Data!M1900</f>
        <v/>
      </c>
      <c r="F1812">
        <f>Data!O1900</f>
        <v/>
      </c>
      <c r="G1812">
        <f>E1812-F1812</f>
        <v/>
      </c>
      <c r="H1812">
        <f>Data!P1900</f>
        <v/>
      </c>
      <c r="I1812">
        <f>G1812+H1812</f>
        <v/>
      </c>
      <c r="J1812">
        <f>F1812+G1812+H1812</f>
        <v/>
      </c>
      <c r="K1812">
        <f>Data!R1900</f>
        <v/>
      </c>
      <c r="L1812">
        <f>Data!T1900</f>
        <v/>
      </c>
      <c r="M1812">
        <f>AND(E1812=0,F1812=0,G1812=0,H1812=0,I1812=0,J1812=0,K1812=0,L1812=0)</f>
        <v/>
      </c>
      <c r="N1812">
        <f>G1812&lt;=$T$6</f>
        <v/>
      </c>
      <c r="O1812">
        <f>G1812&lt;=$T$12</f>
        <v/>
      </c>
      <c r="P1812">
        <f>OR(AND(H1812&gt;=$T$4,K1812&lt;=$T$5,N1812),M1812)</f>
        <v/>
      </c>
      <c r="Q1812">
        <f>OR(AND(I1812&gt;=$T$10,K1812&lt;=$T$11,O1812),M1812)</f>
        <v/>
      </c>
    </row>
    <row r="1813">
      <c r="A1813">
        <f>Data!E1901</f>
        <v/>
      </c>
      <c r="B1813">
        <f>Data!G1901</f>
        <v/>
      </c>
      <c r="C1813">
        <f>Data!H1901</f>
        <v/>
      </c>
      <c r="D1813">
        <f>Data!I1901</f>
        <v/>
      </c>
      <c r="E1813">
        <f>Data!M1901</f>
        <v/>
      </c>
      <c r="F1813">
        <f>Data!O1901</f>
        <v/>
      </c>
      <c r="G1813">
        <f>E1813-F1813</f>
        <v/>
      </c>
      <c r="H1813">
        <f>Data!P1901</f>
        <v/>
      </c>
      <c r="I1813">
        <f>G1813+H1813</f>
        <v/>
      </c>
      <c r="J1813">
        <f>F1813+G1813+H1813</f>
        <v/>
      </c>
      <c r="K1813">
        <f>Data!R1901</f>
        <v/>
      </c>
      <c r="L1813">
        <f>Data!T1901</f>
        <v/>
      </c>
      <c r="M1813">
        <f>AND(E1813=0,F1813=0,G1813=0,H1813=0,I1813=0,J1813=0,K1813=0,L1813=0)</f>
        <v/>
      </c>
      <c r="N1813">
        <f>G1813&lt;=$T$6</f>
        <v/>
      </c>
      <c r="O1813">
        <f>G1813&lt;=$T$12</f>
        <v/>
      </c>
      <c r="P1813">
        <f>OR(AND(H1813&gt;=$T$4,K1813&lt;=$T$5,N1813),M1813)</f>
        <v/>
      </c>
      <c r="Q1813">
        <f>OR(AND(I1813&gt;=$T$10,K1813&lt;=$T$11,O1813),M1813)</f>
        <v/>
      </c>
    </row>
    <row r="1814">
      <c r="A1814">
        <f>Data!E1902</f>
        <v/>
      </c>
      <c r="B1814">
        <f>Data!G1902</f>
        <v/>
      </c>
      <c r="C1814">
        <f>Data!H1902</f>
        <v/>
      </c>
      <c r="D1814">
        <f>Data!I1902</f>
        <v/>
      </c>
      <c r="E1814">
        <f>Data!M1902</f>
        <v/>
      </c>
      <c r="F1814">
        <f>Data!O1902</f>
        <v/>
      </c>
      <c r="G1814">
        <f>E1814-F1814</f>
        <v/>
      </c>
      <c r="H1814">
        <f>Data!P1902</f>
        <v/>
      </c>
      <c r="I1814">
        <f>G1814+H1814</f>
        <v/>
      </c>
      <c r="J1814">
        <f>F1814+G1814+H1814</f>
        <v/>
      </c>
      <c r="K1814">
        <f>Data!R1902</f>
        <v/>
      </c>
      <c r="L1814">
        <f>Data!T1902</f>
        <v/>
      </c>
      <c r="M1814">
        <f>AND(E1814=0,F1814=0,G1814=0,H1814=0,I1814=0,J1814=0,K1814=0,L1814=0)</f>
        <v/>
      </c>
      <c r="N1814">
        <f>G1814&lt;=$T$6</f>
        <v/>
      </c>
      <c r="O1814">
        <f>G1814&lt;=$T$12</f>
        <v/>
      </c>
      <c r="P1814">
        <f>OR(AND(H1814&gt;=$T$4,K1814&lt;=$T$5,N1814),M1814)</f>
        <v/>
      </c>
      <c r="Q1814">
        <f>OR(AND(I1814&gt;=$T$10,K1814&lt;=$T$11,O1814),M1814)</f>
        <v/>
      </c>
    </row>
    <row r="1815">
      <c r="A1815">
        <f>Data!E1903</f>
        <v/>
      </c>
      <c r="B1815">
        <f>Data!G1903</f>
        <v/>
      </c>
      <c r="C1815">
        <f>Data!H1903</f>
        <v/>
      </c>
      <c r="D1815">
        <f>Data!I1903</f>
        <v/>
      </c>
      <c r="E1815">
        <f>Data!M1903</f>
        <v/>
      </c>
      <c r="F1815">
        <f>Data!O1903</f>
        <v/>
      </c>
      <c r="G1815">
        <f>E1815-F1815</f>
        <v/>
      </c>
      <c r="H1815">
        <f>Data!P1903</f>
        <v/>
      </c>
      <c r="I1815">
        <f>G1815+H1815</f>
        <v/>
      </c>
      <c r="J1815">
        <f>F1815+G1815+H1815</f>
        <v/>
      </c>
      <c r="K1815">
        <f>Data!R1903</f>
        <v/>
      </c>
      <c r="L1815">
        <f>Data!T1903</f>
        <v/>
      </c>
      <c r="M1815">
        <f>AND(E1815=0,F1815=0,G1815=0,H1815=0,I1815=0,J1815=0,K1815=0,L1815=0)</f>
        <v/>
      </c>
      <c r="N1815">
        <f>G1815&lt;=$T$6</f>
        <v/>
      </c>
      <c r="O1815">
        <f>G1815&lt;=$T$12</f>
        <v/>
      </c>
      <c r="P1815">
        <f>OR(AND(H1815&gt;=$T$4,K1815&lt;=$T$5,N1815),M1815)</f>
        <v/>
      </c>
      <c r="Q1815">
        <f>OR(AND(I1815&gt;=$T$10,K1815&lt;=$T$11,O1815),M1815)</f>
        <v/>
      </c>
    </row>
    <row r="1816">
      <c r="A1816">
        <f>Data!E1904</f>
        <v/>
      </c>
      <c r="B1816">
        <f>Data!G1904</f>
        <v/>
      </c>
      <c r="C1816">
        <f>Data!H1904</f>
        <v/>
      </c>
      <c r="D1816">
        <f>Data!I1904</f>
        <v/>
      </c>
      <c r="E1816">
        <f>Data!M1904</f>
        <v/>
      </c>
      <c r="F1816">
        <f>Data!O1904</f>
        <v/>
      </c>
      <c r="G1816">
        <f>E1816-F1816</f>
        <v/>
      </c>
      <c r="H1816">
        <f>Data!P1904</f>
        <v/>
      </c>
      <c r="I1816">
        <f>G1816+H1816</f>
        <v/>
      </c>
      <c r="J1816">
        <f>F1816+G1816+H1816</f>
        <v/>
      </c>
      <c r="K1816">
        <f>Data!R1904</f>
        <v/>
      </c>
      <c r="L1816">
        <f>Data!T1904</f>
        <v/>
      </c>
      <c r="M1816">
        <f>AND(E1816=0,F1816=0,G1816=0,H1816=0,I1816=0,J1816=0,K1816=0,L1816=0)</f>
        <v/>
      </c>
      <c r="N1816">
        <f>G1816&lt;=$T$6</f>
        <v/>
      </c>
      <c r="O1816">
        <f>G1816&lt;=$T$12</f>
        <v/>
      </c>
      <c r="P1816">
        <f>OR(AND(H1816&gt;=$T$4,K1816&lt;=$T$5,N1816),M1816)</f>
        <v/>
      </c>
      <c r="Q1816">
        <f>OR(AND(I1816&gt;=$T$10,K1816&lt;=$T$11,O1816),M1816)</f>
        <v/>
      </c>
    </row>
    <row r="1817">
      <c r="A1817">
        <f>Data!E1905</f>
        <v/>
      </c>
      <c r="B1817">
        <f>Data!G1905</f>
        <v/>
      </c>
      <c r="C1817">
        <f>Data!H1905</f>
        <v/>
      </c>
      <c r="D1817">
        <f>Data!I1905</f>
        <v/>
      </c>
      <c r="E1817">
        <f>Data!M1905</f>
        <v/>
      </c>
      <c r="F1817">
        <f>Data!O1905</f>
        <v/>
      </c>
      <c r="G1817">
        <f>E1817-F1817</f>
        <v/>
      </c>
      <c r="H1817">
        <f>Data!P1905</f>
        <v/>
      </c>
      <c r="I1817">
        <f>G1817+H1817</f>
        <v/>
      </c>
      <c r="J1817">
        <f>F1817+G1817+H1817</f>
        <v/>
      </c>
      <c r="K1817">
        <f>Data!R1905</f>
        <v/>
      </c>
      <c r="L1817">
        <f>Data!T1905</f>
        <v/>
      </c>
      <c r="M1817">
        <f>AND(E1817=0,F1817=0,G1817=0,H1817=0,I1817=0,J1817=0,K1817=0,L1817=0)</f>
        <v/>
      </c>
      <c r="N1817">
        <f>G1817&lt;=$T$6</f>
        <v/>
      </c>
      <c r="O1817">
        <f>G1817&lt;=$T$12</f>
        <v/>
      </c>
      <c r="P1817">
        <f>OR(AND(H1817&gt;=$T$4,K1817&lt;=$T$5,N1817),M1817)</f>
        <v/>
      </c>
      <c r="Q1817">
        <f>OR(AND(I1817&gt;=$T$10,K1817&lt;=$T$11,O1817),M1817)</f>
        <v/>
      </c>
    </row>
    <row r="1818">
      <c r="A1818">
        <f>Data!E1906</f>
        <v/>
      </c>
      <c r="B1818">
        <f>Data!G1906</f>
        <v/>
      </c>
      <c r="C1818">
        <f>Data!H1906</f>
        <v/>
      </c>
      <c r="D1818">
        <f>Data!I1906</f>
        <v/>
      </c>
      <c r="E1818">
        <f>Data!M1906</f>
        <v/>
      </c>
      <c r="F1818">
        <f>Data!O1906</f>
        <v/>
      </c>
      <c r="G1818">
        <f>E1818-F1818</f>
        <v/>
      </c>
      <c r="H1818">
        <f>Data!P1906</f>
        <v/>
      </c>
      <c r="I1818">
        <f>G1818+H1818</f>
        <v/>
      </c>
      <c r="J1818">
        <f>F1818+G1818+H1818</f>
        <v/>
      </c>
      <c r="K1818">
        <f>Data!R1906</f>
        <v/>
      </c>
      <c r="L1818">
        <f>Data!T1906</f>
        <v/>
      </c>
      <c r="M1818">
        <f>AND(E1818=0,F1818=0,G1818=0,H1818=0,I1818=0,J1818=0,K1818=0,L1818=0)</f>
        <v/>
      </c>
      <c r="N1818">
        <f>G1818&lt;=$T$6</f>
        <v/>
      </c>
      <c r="O1818">
        <f>G1818&lt;=$T$12</f>
        <v/>
      </c>
      <c r="P1818">
        <f>OR(AND(H1818&gt;=$T$4,K1818&lt;=$T$5,N1818),M1818)</f>
        <v/>
      </c>
      <c r="Q1818">
        <f>OR(AND(I1818&gt;=$T$10,K1818&lt;=$T$11,O1818),M1818)</f>
        <v/>
      </c>
    </row>
    <row r="1819">
      <c r="A1819">
        <f>Data!E1907</f>
        <v/>
      </c>
      <c r="B1819">
        <f>Data!G1907</f>
        <v/>
      </c>
      <c r="C1819">
        <f>Data!H1907</f>
        <v/>
      </c>
      <c r="D1819">
        <f>Data!I1907</f>
        <v/>
      </c>
      <c r="E1819">
        <f>Data!M1907</f>
        <v/>
      </c>
      <c r="F1819">
        <f>Data!O1907</f>
        <v/>
      </c>
      <c r="G1819">
        <f>E1819-F1819</f>
        <v/>
      </c>
      <c r="H1819">
        <f>Data!P1907</f>
        <v/>
      </c>
      <c r="I1819">
        <f>G1819+H1819</f>
        <v/>
      </c>
      <c r="J1819">
        <f>F1819+G1819+H1819</f>
        <v/>
      </c>
      <c r="K1819">
        <f>Data!R1907</f>
        <v/>
      </c>
      <c r="L1819">
        <f>Data!T1907</f>
        <v/>
      </c>
      <c r="M1819">
        <f>AND(E1819=0,F1819=0,G1819=0,H1819=0,I1819=0,J1819=0,K1819=0,L1819=0)</f>
        <v/>
      </c>
      <c r="N1819">
        <f>G1819&lt;=$T$6</f>
        <v/>
      </c>
      <c r="O1819">
        <f>G1819&lt;=$T$12</f>
        <v/>
      </c>
      <c r="P1819">
        <f>OR(AND(H1819&gt;=$T$4,K1819&lt;=$T$5,N1819),M1819)</f>
        <v/>
      </c>
      <c r="Q1819">
        <f>OR(AND(I1819&gt;=$T$10,K1819&lt;=$T$11,O1819),M1819)</f>
        <v/>
      </c>
    </row>
    <row r="1820">
      <c r="A1820">
        <f>Data!E1908</f>
        <v/>
      </c>
      <c r="B1820">
        <f>Data!G1908</f>
        <v/>
      </c>
      <c r="C1820">
        <f>Data!H1908</f>
        <v/>
      </c>
      <c r="D1820">
        <f>Data!I1908</f>
        <v/>
      </c>
      <c r="E1820">
        <f>Data!M1908</f>
        <v/>
      </c>
      <c r="F1820">
        <f>Data!O1908</f>
        <v/>
      </c>
      <c r="G1820">
        <f>E1820-F1820</f>
        <v/>
      </c>
      <c r="H1820">
        <f>Data!P1908</f>
        <v/>
      </c>
      <c r="I1820">
        <f>G1820+H1820</f>
        <v/>
      </c>
      <c r="J1820">
        <f>F1820+G1820+H1820</f>
        <v/>
      </c>
      <c r="K1820">
        <f>Data!R1908</f>
        <v/>
      </c>
      <c r="L1820">
        <f>Data!T1908</f>
        <v/>
      </c>
      <c r="M1820">
        <f>AND(E1820=0,F1820=0,G1820=0,H1820=0,I1820=0,J1820=0,K1820=0,L1820=0)</f>
        <v/>
      </c>
      <c r="N1820">
        <f>G1820&lt;=$T$6</f>
        <v/>
      </c>
      <c r="O1820">
        <f>G1820&lt;=$T$12</f>
        <v/>
      </c>
      <c r="P1820">
        <f>OR(AND(H1820&gt;=$T$4,K1820&lt;=$T$5,N1820),M1820)</f>
        <v/>
      </c>
      <c r="Q1820">
        <f>OR(AND(I1820&gt;=$T$10,K1820&lt;=$T$11,O1820),M1820)</f>
        <v/>
      </c>
    </row>
    <row r="1821">
      <c r="A1821">
        <f>Data!E1909</f>
        <v/>
      </c>
      <c r="B1821">
        <f>Data!G1909</f>
        <v/>
      </c>
      <c r="C1821">
        <f>Data!H1909</f>
        <v/>
      </c>
      <c r="D1821">
        <f>Data!I1909</f>
        <v/>
      </c>
      <c r="E1821">
        <f>Data!M1909</f>
        <v/>
      </c>
      <c r="F1821">
        <f>Data!O1909</f>
        <v/>
      </c>
      <c r="G1821">
        <f>E1821-F1821</f>
        <v/>
      </c>
      <c r="H1821">
        <f>Data!P1909</f>
        <v/>
      </c>
      <c r="I1821">
        <f>G1821+H1821</f>
        <v/>
      </c>
      <c r="J1821">
        <f>F1821+G1821+H1821</f>
        <v/>
      </c>
      <c r="K1821">
        <f>Data!R1909</f>
        <v/>
      </c>
      <c r="L1821">
        <f>Data!T1909</f>
        <v/>
      </c>
      <c r="M1821">
        <f>AND(E1821=0,F1821=0,G1821=0,H1821=0,I1821=0,J1821=0,K1821=0,L1821=0)</f>
        <v/>
      </c>
      <c r="N1821">
        <f>G1821&lt;=$T$6</f>
        <v/>
      </c>
      <c r="O1821">
        <f>G1821&lt;=$T$12</f>
        <v/>
      </c>
      <c r="P1821">
        <f>OR(AND(H1821&gt;=$T$4,K1821&lt;=$T$5,N1821),M1821)</f>
        <v/>
      </c>
      <c r="Q1821">
        <f>OR(AND(I1821&gt;=$T$10,K1821&lt;=$T$11,O1821),M1821)</f>
        <v/>
      </c>
    </row>
    <row r="1822">
      <c r="A1822">
        <f>Data!E1910</f>
        <v/>
      </c>
      <c r="B1822">
        <f>Data!G1910</f>
        <v/>
      </c>
      <c r="C1822">
        <f>Data!H1910</f>
        <v/>
      </c>
      <c r="D1822">
        <f>Data!I1910</f>
        <v/>
      </c>
      <c r="E1822">
        <f>Data!M1910</f>
        <v/>
      </c>
      <c r="F1822">
        <f>Data!O1910</f>
        <v/>
      </c>
      <c r="G1822">
        <f>E1822-F1822</f>
        <v/>
      </c>
      <c r="H1822">
        <f>Data!P1910</f>
        <v/>
      </c>
      <c r="I1822">
        <f>G1822+H1822</f>
        <v/>
      </c>
      <c r="J1822">
        <f>F1822+G1822+H1822</f>
        <v/>
      </c>
      <c r="K1822">
        <f>Data!R1910</f>
        <v/>
      </c>
      <c r="L1822">
        <f>Data!T1910</f>
        <v/>
      </c>
      <c r="M1822">
        <f>AND(E1822=0,F1822=0,G1822=0,H1822=0,I1822=0,J1822=0,K1822=0,L1822=0)</f>
        <v/>
      </c>
      <c r="N1822">
        <f>G1822&lt;=$T$6</f>
        <v/>
      </c>
      <c r="O1822">
        <f>G1822&lt;=$T$12</f>
        <v/>
      </c>
      <c r="P1822">
        <f>OR(AND(H1822&gt;=$T$4,K1822&lt;=$T$5,N1822),M1822)</f>
        <v/>
      </c>
      <c r="Q1822">
        <f>OR(AND(I1822&gt;=$T$10,K1822&lt;=$T$11,O1822),M1822)</f>
        <v/>
      </c>
    </row>
    <row r="1823">
      <c r="A1823">
        <f>Data!E1911</f>
        <v/>
      </c>
      <c r="B1823">
        <f>Data!G1911</f>
        <v/>
      </c>
      <c r="C1823">
        <f>Data!H1911</f>
        <v/>
      </c>
      <c r="D1823">
        <f>Data!I1911</f>
        <v/>
      </c>
      <c r="E1823">
        <f>Data!M1911</f>
        <v/>
      </c>
      <c r="F1823">
        <f>Data!O1911</f>
        <v/>
      </c>
      <c r="G1823">
        <f>E1823-F1823</f>
        <v/>
      </c>
      <c r="H1823">
        <f>Data!P1911</f>
        <v/>
      </c>
      <c r="I1823">
        <f>G1823+H1823</f>
        <v/>
      </c>
      <c r="J1823">
        <f>F1823+G1823+H1823</f>
        <v/>
      </c>
      <c r="K1823">
        <f>Data!R1911</f>
        <v/>
      </c>
      <c r="L1823">
        <f>Data!T1911</f>
        <v/>
      </c>
      <c r="M1823">
        <f>AND(E1823=0,F1823=0,G1823=0,H1823=0,I1823=0,J1823=0,K1823=0,L1823=0)</f>
        <v/>
      </c>
      <c r="N1823">
        <f>G1823&lt;=$T$6</f>
        <v/>
      </c>
      <c r="O1823">
        <f>G1823&lt;=$T$12</f>
        <v/>
      </c>
      <c r="P1823">
        <f>OR(AND(H1823&gt;=$T$4,K1823&lt;=$T$5,N1823),M1823)</f>
        <v/>
      </c>
      <c r="Q1823">
        <f>OR(AND(I1823&gt;=$T$10,K1823&lt;=$T$11,O1823),M1823)</f>
        <v/>
      </c>
    </row>
    <row r="1824">
      <c r="A1824">
        <f>Data!E1912</f>
        <v/>
      </c>
      <c r="B1824">
        <f>Data!G1912</f>
        <v/>
      </c>
      <c r="C1824">
        <f>Data!H1912</f>
        <v/>
      </c>
      <c r="D1824">
        <f>Data!I1912</f>
        <v/>
      </c>
      <c r="E1824">
        <f>Data!M1912</f>
        <v/>
      </c>
      <c r="F1824">
        <f>Data!O1912</f>
        <v/>
      </c>
      <c r="G1824">
        <f>E1824-F1824</f>
        <v/>
      </c>
      <c r="H1824">
        <f>Data!P1912</f>
        <v/>
      </c>
      <c r="I1824">
        <f>G1824+H1824</f>
        <v/>
      </c>
      <c r="J1824">
        <f>F1824+G1824+H1824</f>
        <v/>
      </c>
      <c r="K1824">
        <f>Data!R1912</f>
        <v/>
      </c>
      <c r="L1824">
        <f>Data!T1912</f>
        <v/>
      </c>
      <c r="M1824">
        <f>AND(E1824=0,F1824=0,G1824=0,H1824=0,I1824=0,J1824=0,K1824=0,L1824=0)</f>
        <v/>
      </c>
      <c r="N1824">
        <f>G1824&lt;=$T$6</f>
        <v/>
      </c>
      <c r="O1824">
        <f>G1824&lt;=$T$12</f>
        <v/>
      </c>
      <c r="P1824">
        <f>OR(AND(H1824&gt;=$T$4,K1824&lt;=$T$5,N1824),M1824)</f>
        <v/>
      </c>
      <c r="Q1824">
        <f>OR(AND(I1824&gt;=$T$10,K1824&lt;=$T$11,O1824),M1824)</f>
        <v/>
      </c>
    </row>
    <row r="1825">
      <c r="A1825">
        <f>Data!E1913</f>
        <v/>
      </c>
      <c r="B1825">
        <f>Data!G1913</f>
        <v/>
      </c>
      <c r="C1825">
        <f>Data!H1913</f>
        <v/>
      </c>
      <c r="D1825">
        <f>Data!I1913</f>
        <v/>
      </c>
      <c r="E1825">
        <f>Data!M1913</f>
        <v/>
      </c>
      <c r="F1825">
        <f>Data!O1913</f>
        <v/>
      </c>
      <c r="G1825">
        <f>E1825-F1825</f>
        <v/>
      </c>
      <c r="H1825">
        <f>Data!P1913</f>
        <v/>
      </c>
      <c r="I1825">
        <f>G1825+H1825</f>
        <v/>
      </c>
      <c r="J1825">
        <f>F1825+G1825+H1825</f>
        <v/>
      </c>
      <c r="K1825">
        <f>Data!R1913</f>
        <v/>
      </c>
      <c r="L1825">
        <f>Data!T1913</f>
        <v/>
      </c>
      <c r="M1825">
        <f>AND(E1825=0,F1825=0,G1825=0,H1825=0,I1825=0,J1825=0,K1825=0,L1825=0)</f>
        <v/>
      </c>
      <c r="N1825">
        <f>G1825&lt;=$T$6</f>
        <v/>
      </c>
      <c r="O1825">
        <f>G1825&lt;=$T$12</f>
        <v/>
      </c>
      <c r="P1825">
        <f>OR(AND(H1825&gt;=$T$4,K1825&lt;=$T$5,N1825),M1825)</f>
        <v/>
      </c>
      <c r="Q1825">
        <f>OR(AND(I1825&gt;=$T$10,K1825&lt;=$T$11,O1825),M1825)</f>
        <v/>
      </c>
    </row>
    <row r="1826">
      <c r="A1826">
        <f>Data!E1914</f>
        <v/>
      </c>
      <c r="B1826">
        <f>Data!G1914</f>
        <v/>
      </c>
      <c r="C1826">
        <f>Data!H1914</f>
        <v/>
      </c>
      <c r="D1826">
        <f>Data!I1914</f>
        <v/>
      </c>
      <c r="E1826">
        <f>Data!M1914</f>
        <v/>
      </c>
      <c r="F1826">
        <f>Data!O1914</f>
        <v/>
      </c>
      <c r="G1826">
        <f>E1826-F1826</f>
        <v/>
      </c>
      <c r="H1826">
        <f>Data!P1914</f>
        <v/>
      </c>
      <c r="I1826">
        <f>G1826+H1826</f>
        <v/>
      </c>
      <c r="J1826">
        <f>F1826+G1826+H1826</f>
        <v/>
      </c>
      <c r="K1826">
        <f>Data!R1914</f>
        <v/>
      </c>
      <c r="L1826">
        <f>Data!T1914</f>
        <v/>
      </c>
      <c r="M1826">
        <f>AND(E1826=0,F1826=0,G1826=0,H1826=0,I1826=0,J1826=0,K1826=0,L1826=0)</f>
        <v/>
      </c>
      <c r="N1826">
        <f>G1826&lt;=$T$6</f>
        <v/>
      </c>
      <c r="O1826">
        <f>G1826&lt;=$T$12</f>
        <v/>
      </c>
      <c r="P1826">
        <f>OR(AND(H1826&gt;=$T$4,K1826&lt;=$T$5,N1826),M1826)</f>
        <v/>
      </c>
      <c r="Q1826">
        <f>OR(AND(I1826&gt;=$T$10,K1826&lt;=$T$11,O1826),M1826)</f>
        <v/>
      </c>
    </row>
    <row r="1827">
      <c r="A1827">
        <f>Data!E1915</f>
        <v/>
      </c>
      <c r="B1827">
        <f>Data!G1915</f>
        <v/>
      </c>
      <c r="C1827">
        <f>Data!H1915</f>
        <v/>
      </c>
      <c r="D1827">
        <f>Data!I1915</f>
        <v/>
      </c>
      <c r="E1827">
        <f>Data!M1915</f>
        <v/>
      </c>
      <c r="F1827">
        <f>Data!O1915</f>
        <v/>
      </c>
      <c r="G1827">
        <f>E1827-F1827</f>
        <v/>
      </c>
      <c r="H1827">
        <f>Data!P1915</f>
        <v/>
      </c>
      <c r="I1827">
        <f>G1827+H1827</f>
        <v/>
      </c>
      <c r="J1827">
        <f>F1827+G1827+H1827</f>
        <v/>
      </c>
      <c r="K1827">
        <f>Data!R1915</f>
        <v/>
      </c>
      <c r="L1827">
        <f>Data!T1915</f>
        <v/>
      </c>
      <c r="M1827">
        <f>AND(E1827=0,F1827=0,G1827=0,H1827=0,I1827=0,J1827=0,K1827=0,L1827=0)</f>
        <v/>
      </c>
      <c r="N1827">
        <f>G1827&lt;=$T$6</f>
        <v/>
      </c>
      <c r="O1827">
        <f>G1827&lt;=$T$12</f>
        <v/>
      </c>
      <c r="P1827">
        <f>OR(AND(H1827&gt;=$T$4,K1827&lt;=$T$5,N1827),M1827)</f>
        <v/>
      </c>
      <c r="Q1827">
        <f>OR(AND(I1827&gt;=$T$10,K1827&lt;=$T$11,O1827),M1827)</f>
        <v/>
      </c>
    </row>
    <row r="1828">
      <c r="A1828">
        <f>Data!E1916</f>
        <v/>
      </c>
      <c r="B1828">
        <f>Data!G1916</f>
        <v/>
      </c>
      <c r="C1828">
        <f>Data!H1916</f>
        <v/>
      </c>
      <c r="D1828">
        <f>Data!I1916</f>
        <v/>
      </c>
      <c r="E1828">
        <f>Data!M1916</f>
        <v/>
      </c>
      <c r="F1828">
        <f>Data!O1916</f>
        <v/>
      </c>
      <c r="G1828">
        <f>E1828-F1828</f>
        <v/>
      </c>
      <c r="H1828">
        <f>Data!P1916</f>
        <v/>
      </c>
      <c r="I1828">
        <f>G1828+H1828</f>
        <v/>
      </c>
      <c r="J1828">
        <f>F1828+G1828+H1828</f>
        <v/>
      </c>
      <c r="K1828">
        <f>Data!R1916</f>
        <v/>
      </c>
      <c r="L1828">
        <f>Data!T1916</f>
        <v/>
      </c>
      <c r="M1828">
        <f>AND(E1828=0,F1828=0,G1828=0,H1828=0,I1828=0,J1828=0,K1828=0,L1828=0)</f>
        <v/>
      </c>
      <c r="N1828">
        <f>G1828&lt;=$T$6</f>
        <v/>
      </c>
      <c r="O1828">
        <f>G1828&lt;=$T$12</f>
        <v/>
      </c>
      <c r="P1828">
        <f>OR(AND(H1828&gt;=$T$4,K1828&lt;=$T$5,N1828),M1828)</f>
        <v/>
      </c>
      <c r="Q1828">
        <f>OR(AND(I1828&gt;=$T$10,K1828&lt;=$T$11,O1828),M1828)</f>
        <v/>
      </c>
    </row>
    <row r="1829">
      <c r="A1829">
        <f>Data!E1917</f>
        <v/>
      </c>
      <c r="B1829">
        <f>Data!G1917</f>
        <v/>
      </c>
      <c r="C1829">
        <f>Data!H1917</f>
        <v/>
      </c>
      <c r="D1829">
        <f>Data!I1917</f>
        <v/>
      </c>
      <c r="E1829">
        <f>Data!M1917</f>
        <v/>
      </c>
      <c r="F1829">
        <f>Data!O1917</f>
        <v/>
      </c>
      <c r="G1829">
        <f>E1829-F1829</f>
        <v/>
      </c>
      <c r="H1829">
        <f>Data!P1917</f>
        <v/>
      </c>
      <c r="I1829">
        <f>G1829+H1829</f>
        <v/>
      </c>
      <c r="J1829">
        <f>F1829+G1829+H1829</f>
        <v/>
      </c>
      <c r="K1829">
        <f>Data!R1917</f>
        <v/>
      </c>
      <c r="L1829">
        <f>Data!T1917</f>
        <v/>
      </c>
      <c r="M1829">
        <f>AND(E1829=0,F1829=0,G1829=0,H1829=0,I1829=0,J1829=0,K1829=0,L1829=0)</f>
        <v/>
      </c>
      <c r="N1829">
        <f>G1829&lt;=$T$6</f>
        <v/>
      </c>
      <c r="O1829">
        <f>G1829&lt;=$T$12</f>
        <v/>
      </c>
      <c r="P1829">
        <f>OR(AND(H1829&gt;=$T$4,K1829&lt;=$T$5,N1829),M1829)</f>
        <v/>
      </c>
      <c r="Q1829">
        <f>OR(AND(I1829&gt;=$T$10,K1829&lt;=$T$11,O1829),M1829)</f>
        <v/>
      </c>
    </row>
    <row r="1830">
      <c r="A1830">
        <f>Data!E1918</f>
        <v/>
      </c>
      <c r="B1830">
        <f>Data!G1918</f>
        <v/>
      </c>
      <c r="C1830">
        <f>Data!H1918</f>
        <v/>
      </c>
      <c r="D1830">
        <f>Data!I1918</f>
        <v/>
      </c>
      <c r="E1830">
        <f>Data!M1918</f>
        <v/>
      </c>
      <c r="F1830">
        <f>Data!O1918</f>
        <v/>
      </c>
      <c r="G1830">
        <f>E1830-F1830</f>
        <v/>
      </c>
      <c r="H1830">
        <f>Data!P1918</f>
        <v/>
      </c>
      <c r="I1830">
        <f>G1830+H1830</f>
        <v/>
      </c>
      <c r="J1830">
        <f>F1830+G1830+H1830</f>
        <v/>
      </c>
      <c r="K1830">
        <f>Data!R1918</f>
        <v/>
      </c>
      <c r="L1830">
        <f>Data!T1918</f>
        <v/>
      </c>
      <c r="M1830">
        <f>AND(E1830=0,F1830=0,G1830=0,H1830=0,I1830=0,J1830=0,K1830=0,L1830=0)</f>
        <v/>
      </c>
      <c r="N1830">
        <f>G1830&lt;=$T$6</f>
        <v/>
      </c>
      <c r="O1830">
        <f>G1830&lt;=$T$12</f>
        <v/>
      </c>
      <c r="P1830">
        <f>OR(AND(H1830&gt;=$T$4,K1830&lt;=$T$5,N1830),M1830)</f>
        <v/>
      </c>
      <c r="Q1830">
        <f>OR(AND(I1830&gt;=$T$10,K1830&lt;=$T$11,O1830),M1830)</f>
        <v/>
      </c>
    </row>
    <row r="1831">
      <c r="A1831">
        <f>Data!E1919</f>
        <v/>
      </c>
      <c r="B1831">
        <f>Data!G1919</f>
        <v/>
      </c>
      <c r="C1831">
        <f>Data!H1919</f>
        <v/>
      </c>
      <c r="D1831">
        <f>Data!I1919</f>
        <v/>
      </c>
      <c r="E1831">
        <f>Data!M1919</f>
        <v/>
      </c>
      <c r="F1831">
        <f>Data!O1919</f>
        <v/>
      </c>
      <c r="G1831">
        <f>E1831-F1831</f>
        <v/>
      </c>
      <c r="H1831">
        <f>Data!P1919</f>
        <v/>
      </c>
      <c r="I1831">
        <f>G1831+H1831</f>
        <v/>
      </c>
      <c r="J1831">
        <f>F1831+G1831+H1831</f>
        <v/>
      </c>
      <c r="K1831">
        <f>Data!R1919</f>
        <v/>
      </c>
      <c r="L1831">
        <f>Data!T1919</f>
        <v/>
      </c>
      <c r="M1831">
        <f>AND(E1831=0,F1831=0,G1831=0,H1831=0,I1831=0,J1831=0,K1831=0,L1831=0)</f>
        <v/>
      </c>
      <c r="N1831">
        <f>G1831&lt;=$T$6</f>
        <v/>
      </c>
      <c r="O1831">
        <f>G1831&lt;=$T$12</f>
        <v/>
      </c>
      <c r="P1831">
        <f>OR(AND(H1831&gt;=$T$4,K1831&lt;=$T$5,N1831),M1831)</f>
        <v/>
      </c>
      <c r="Q1831">
        <f>OR(AND(I1831&gt;=$T$10,K1831&lt;=$T$11,O1831),M1831)</f>
        <v/>
      </c>
    </row>
    <row r="1832">
      <c r="A1832">
        <f>Data!E1920</f>
        <v/>
      </c>
      <c r="B1832">
        <f>Data!G1920</f>
        <v/>
      </c>
      <c r="C1832">
        <f>Data!H1920</f>
        <v/>
      </c>
      <c r="D1832">
        <f>Data!I1920</f>
        <v/>
      </c>
      <c r="E1832">
        <f>Data!M1920</f>
        <v/>
      </c>
      <c r="F1832">
        <f>Data!O1920</f>
        <v/>
      </c>
      <c r="G1832">
        <f>E1832-F1832</f>
        <v/>
      </c>
      <c r="H1832">
        <f>Data!P1920</f>
        <v/>
      </c>
      <c r="I1832">
        <f>G1832+H1832</f>
        <v/>
      </c>
      <c r="J1832">
        <f>F1832+G1832+H1832</f>
        <v/>
      </c>
      <c r="K1832">
        <f>Data!R1920</f>
        <v/>
      </c>
      <c r="L1832">
        <f>Data!T1920</f>
        <v/>
      </c>
      <c r="M1832">
        <f>AND(E1832=0,F1832=0,G1832=0,H1832=0,I1832=0,J1832=0,K1832=0,L1832=0)</f>
        <v/>
      </c>
      <c r="N1832">
        <f>G1832&lt;=$T$6</f>
        <v/>
      </c>
      <c r="O1832">
        <f>G1832&lt;=$T$12</f>
        <v/>
      </c>
      <c r="P1832">
        <f>OR(AND(H1832&gt;=$T$4,K1832&lt;=$T$5,N1832),M1832)</f>
        <v/>
      </c>
      <c r="Q1832">
        <f>OR(AND(I1832&gt;=$T$10,K1832&lt;=$T$11,O1832),M1832)</f>
        <v/>
      </c>
    </row>
    <row r="1833">
      <c r="A1833">
        <f>Data!E1921</f>
        <v/>
      </c>
      <c r="B1833">
        <f>Data!G1921</f>
        <v/>
      </c>
      <c r="C1833">
        <f>Data!H1921</f>
        <v/>
      </c>
      <c r="D1833">
        <f>Data!I1921</f>
        <v/>
      </c>
      <c r="E1833">
        <f>Data!M1921</f>
        <v/>
      </c>
      <c r="F1833">
        <f>Data!O1921</f>
        <v/>
      </c>
      <c r="G1833">
        <f>E1833-F1833</f>
        <v/>
      </c>
      <c r="H1833">
        <f>Data!P1921</f>
        <v/>
      </c>
      <c r="I1833">
        <f>G1833+H1833</f>
        <v/>
      </c>
      <c r="J1833">
        <f>F1833+G1833+H1833</f>
        <v/>
      </c>
      <c r="K1833">
        <f>Data!R1921</f>
        <v/>
      </c>
      <c r="L1833">
        <f>Data!T1921</f>
        <v/>
      </c>
      <c r="M1833">
        <f>AND(E1833=0,F1833=0,G1833=0,H1833=0,I1833=0,J1833=0,K1833=0,L1833=0)</f>
        <v/>
      </c>
      <c r="N1833">
        <f>G1833&lt;=$T$6</f>
        <v/>
      </c>
      <c r="O1833">
        <f>G1833&lt;=$T$12</f>
        <v/>
      </c>
      <c r="P1833">
        <f>OR(AND(H1833&gt;=$T$4,K1833&lt;=$T$5,N1833),M1833)</f>
        <v/>
      </c>
      <c r="Q1833">
        <f>OR(AND(I1833&gt;=$T$10,K1833&lt;=$T$11,O1833),M1833)</f>
        <v/>
      </c>
    </row>
    <row r="1834">
      <c r="A1834">
        <f>Data!E1922</f>
        <v/>
      </c>
      <c r="B1834">
        <f>Data!G1922</f>
        <v/>
      </c>
      <c r="C1834">
        <f>Data!H1922</f>
        <v/>
      </c>
      <c r="D1834">
        <f>Data!I1922</f>
        <v/>
      </c>
      <c r="E1834">
        <f>Data!M1922</f>
        <v/>
      </c>
      <c r="F1834">
        <f>Data!O1922</f>
        <v/>
      </c>
      <c r="G1834">
        <f>E1834-F1834</f>
        <v/>
      </c>
      <c r="H1834">
        <f>Data!P1922</f>
        <v/>
      </c>
      <c r="I1834">
        <f>G1834+H1834</f>
        <v/>
      </c>
      <c r="J1834">
        <f>F1834+G1834+H1834</f>
        <v/>
      </c>
      <c r="K1834">
        <f>Data!R1922</f>
        <v/>
      </c>
      <c r="L1834">
        <f>Data!T1922</f>
        <v/>
      </c>
      <c r="M1834">
        <f>AND(E1834=0,F1834=0,G1834=0,H1834=0,I1834=0,J1834=0,K1834=0,L1834=0)</f>
        <v/>
      </c>
      <c r="N1834">
        <f>G1834&lt;=$T$6</f>
        <v/>
      </c>
      <c r="O1834">
        <f>G1834&lt;=$T$12</f>
        <v/>
      </c>
      <c r="P1834">
        <f>OR(AND(H1834&gt;=$T$4,K1834&lt;=$T$5,N1834),M1834)</f>
        <v/>
      </c>
      <c r="Q1834">
        <f>OR(AND(I1834&gt;=$T$10,K1834&lt;=$T$11,O1834),M1834)</f>
        <v/>
      </c>
    </row>
    <row r="1835">
      <c r="A1835">
        <f>Data!E1923</f>
        <v/>
      </c>
      <c r="B1835">
        <f>Data!G1923</f>
        <v/>
      </c>
      <c r="C1835">
        <f>Data!H1923</f>
        <v/>
      </c>
      <c r="D1835">
        <f>Data!I1923</f>
        <v/>
      </c>
      <c r="E1835">
        <f>Data!M1923</f>
        <v/>
      </c>
      <c r="F1835">
        <f>Data!O1923</f>
        <v/>
      </c>
      <c r="G1835">
        <f>E1835-F1835</f>
        <v/>
      </c>
      <c r="H1835">
        <f>Data!P1923</f>
        <v/>
      </c>
      <c r="I1835">
        <f>G1835+H1835</f>
        <v/>
      </c>
      <c r="J1835">
        <f>F1835+G1835+H1835</f>
        <v/>
      </c>
      <c r="K1835">
        <f>Data!R1923</f>
        <v/>
      </c>
      <c r="L1835">
        <f>Data!T1923</f>
        <v/>
      </c>
      <c r="M1835">
        <f>AND(E1835=0,F1835=0,G1835=0,H1835=0,I1835=0,J1835=0,K1835=0,L1835=0)</f>
        <v/>
      </c>
      <c r="N1835">
        <f>G1835&lt;=$T$6</f>
        <v/>
      </c>
      <c r="O1835">
        <f>G1835&lt;=$T$12</f>
        <v/>
      </c>
      <c r="P1835">
        <f>OR(AND(H1835&gt;=$T$4,K1835&lt;=$T$5,N1835),M1835)</f>
        <v/>
      </c>
      <c r="Q1835">
        <f>OR(AND(I1835&gt;=$T$10,K1835&lt;=$T$11,O1835),M1835)</f>
        <v/>
      </c>
    </row>
    <row r="1836">
      <c r="A1836">
        <f>Data!E1924</f>
        <v/>
      </c>
      <c r="B1836">
        <f>Data!G1924</f>
        <v/>
      </c>
      <c r="C1836">
        <f>Data!H1924</f>
        <v/>
      </c>
      <c r="D1836">
        <f>Data!I1924</f>
        <v/>
      </c>
      <c r="E1836">
        <f>Data!M1924</f>
        <v/>
      </c>
      <c r="F1836">
        <f>Data!O1924</f>
        <v/>
      </c>
      <c r="G1836">
        <f>E1836-F1836</f>
        <v/>
      </c>
      <c r="H1836">
        <f>Data!P1924</f>
        <v/>
      </c>
      <c r="I1836">
        <f>G1836+H1836</f>
        <v/>
      </c>
      <c r="J1836">
        <f>F1836+G1836+H1836</f>
        <v/>
      </c>
      <c r="K1836">
        <f>Data!R1924</f>
        <v/>
      </c>
      <c r="L1836">
        <f>Data!T1924</f>
        <v/>
      </c>
      <c r="M1836">
        <f>AND(E1836=0,F1836=0,G1836=0,H1836=0,I1836=0,J1836=0,K1836=0,L1836=0)</f>
        <v/>
      </c>
      <c r="N1836">
        <f>G1836&lt;=$T$6</f>
        <v/>
      </c>
      <c r="O1836">
        <f>G1836&lt;=$T$12</f>
        <v/>
      </c>
      <c r="P1836">
        <f>OR(AND(H1836&gt;=$T$4,K1836&lt;=$T$5,N1836),M1836)</f>
        <v/>
      </c>
      <c r="Q1836">
        <f>OR(AND(I1836&gt;=$T$10,K1836&lt;=$T$11,O1836),M1836)</f>
        <v/>
      </c>
    </row>
    <row r="1837">
      <c r="A1837">
        <f>Data!E1925</f>
        <v/>
      </c>
      <c r="B1837">
        <f>Data!G1925</f>
        <v/>
      </c>
      <c r="C1837">
        <f>Data!H1925</f>
        <v/>
      </c>
      <c r="D1837">
        <f>Data!I1925</f>
        <v/>
      </c>
      <c r="E1837">
        <f>Data!M1925</f>
        <v/>
      </c>
      <c r="F1837">
        <f>Data!O1925</f>
        <v/>
      </c>
      <c r="G1837">
        <f>E1837-F1837</f>
        <v/>
      </c>
      <c r="H1837">
        <f>Data!P1925</f>
        <v/>
      </c>
      <c r="I1837">
        <f>G1837+H1837</f>
        <v/>
      </c>
      <c r="J1837">
        <f>F1837+G1837+H1837</f>
        <v/>
      </c>
      <c r="K1837">
        <f>Data!R1925</f>
        <v/>
      </c>
      <c r="L1837">
        <f>Data!T1925</f>
        <v/>
      </c>
      <c r="M1837">
        <f>AND(E1837=0,F1837=0,G1837=0,H1837=0,I1837=0,J1837=0,K1837=0,L1837=0)</f>
        <v/>
      </c>
      <c r="N1837">
        <f>G1837&lt;=$T$6</f>
        <v/>
      </c>
      <c r="O1837">
        <f>G1837&lt;=$T$12</f>
        <v/>
      </c>
      <c r="P1837">
        <f>OR(AND(H1837&gt;=$T$4,K1837&lt;=$T$5,N1837),M1837)</f>
        <v/>
      </c>
      <c r="Q1837">
        <f>OR(AND(I1837&gt;=$T$10,K1837&lt;=$T$11,O1837),M1837)</f>
        <v/>
      </c>
    </row>
    <row r="1838">
      <c r="A1838">
        <f>Data!E1926</f>
        <v/>
      </c>
      <c r="B1838">
        <f>Data!G1926</f>
        <v/>
      </c>
      <c r="C1838">
        <f>Data!H1926</f>
        <v/>
      </c>
      <c r="D1838">
        <f>Data!I1926</f>
        <v/>
      </c>
      <c r="E1838">
        <f>Data!M1926</f>
        <v/>
      </c>
      <c r="F1838">
        <f>Data!O1926</f>
        <v/>
      </c>
      <c r="G1838">
        <f>E1838-F1838</f>
        <v/>
      </c>
      <c r="H1838">
        <f>Data!P1926</f>
        <v/>
      </c>
      <c r="I1838">
        <f>G1838+H1838</f>
        <v/>
      </c>
      <c r="J1838">
        <f>F1838+G1838+H1838</f>
        <v/>
      </c>
      <c r="K1838">
        <f>Data!R1926</f>
        <v/>
      </c>
      <c r="L1838">
        <f>Data!T1926</f>
        <v/>
      </c>
      <c r="M1838">
        <f>AND(E1838=0,F1838=0,G1838=0,H1838=0,I1838=0,J1838=0,K1838=0,L1838=0)</f>
        <v/>
      </c>
      <c r="N1838">
        <f>G1838&lt;=$T$6</f>
        <v/>
      </c>
      <c r="O1838">
        <f>G1838&lt;=$T$12</f>
        <v/>
      </c>
      <c r="P1838">
        <f>OR(AND(H1838&gt;=$T$4,K1838&lt;=$T$5,N1838),M1838)</f>
        <v/>
      </c>
      <c r="Q1838">
        <f>OR(AND(I1838&gt;=$T$10,K1838&lt;=$T$11,O1838),M1838)</f>
        <v/>
      </c>
    </row>
    <row r="1839">
      <c r="A1839">
        <f>Data!E1927</f>
        <v/>
      </c>
      <c r="B1839">
        <f>Data!G1927</f>
        <v/>
      </c>
      <c r="C1839">
        <f>Data!H1927</f>
        <v/>
      </c>
      <c r="D1839">
        <f>Data!I1927</f>
        <v/>
      </c>
      <c r="E1839">
        <f>Data!M1927</f>
        <v/>
      </c>
      <c r="F1839">
        <f>Data!O1927</f>
        <v/>
      </c>
      <c r="G1839">
        <f>E1839-F1839</f>
        <v/>
      </c>
      <c r="H1839">
        <f>Data!P1927</f>
        <v/>
      </c>
      <c r="I1839">
        <f>G1839+H1839</f>
        <v/>
      </c>
      <c r="J1839">
        <f>F1839+G1839+H1839</f>
        <v/>
      </c>
      <c r="K1839">
        <f>Data!R1927</f>
        <v/>
      </c>
      <c r="L1839">
        <f>Data!T1927</f>
        <v/>
      </c>
      <c r="M1839">
        <f>AND(E1839=0,F1839=0,G1839=0,H1839=0,I1839=0,J1839=0,K1839=0,L1839=0)</f>
        <v/>
      </c>
      <c r="N1839">
        <f>G1839&lt;=$T$6</f>
        <v/>
      </c>
      <c r="O1839">
        <f>G1839&lt;=$T$12</f>
        <v/>
      </c>
      <c r="P1839">
        <f>OR(AND(H1839&gt;=$T$4,K1839&lt;=$T$5,N1839),M1839)</f>
        <v/>
      </c>
      <c r="Q1839">
        <f>OR(AND(I1839&gt;=$T$10,K1839&lt;=$T$11,O1839),M1839)</f>
        <v/>
      </c>
    </row>
    <row r="1840">
      <c r="A1840">
        <f>Data!E1928</f>
        <v/>
      </c>
      <c r="B1840">
        <f>Data!G1928</f>
        <v/>
      </c>
      <c r="C1840">
        <f>Data!H1928</f>
        <v/>
      </c>
      <c r="D1840">
        <f>Data!I1928</f>
        <v/>
      </c>
      <c r="E1840">
        <f>Data!M1928</f>
        <v/>
      </c>
      <c r="F1840">
        <f>Data!O1928</f>
        <v/>
      </c>
      <c r="G1840">
        <f>E1840-F1840</f>
        <v/>
      </c>
      <c r="H1840">
        <f>Data!P1928</f>
        <v/>
      </c>
      <c r="I1840">
        <f>G1840+H1840</f>
        <v/>
      </c>
      <c r="J1840">
        <f>F1840+G1840+H1840</f>
        <v/>
      </c>
      <c r="K1840">
        <f>Data!R1928</f>
        <v/>
      </c>
      <c r="L1840">
        <f>Data!T1928</f>
        <v/>
      </c>
      <c r="M1840">
        <f>AND(E1840=0,F1840=0,G1840=0,H1840=0,I1840=0,J1840=0,K1840=0,L1840=0)</f>
        <v/>
      </c>
      <c r="N1840">
        <f>G1840&lt;=$T$6</f>
        <v/>
      </c>
      <c r="O1840">
        <f>G1840&lt;=$T$12</f>
        <v/>
      </c>
      <c r="P1840">
        <f>OR(AND(H1840&gt;=$T$4,K1840&lt;=$T$5,N1840),M1840)</f>
        <v/>
      </c>
      <c r="Q1840">
        <f>OR(AND(I1840&gt;=$T$10,K1840&lt;=$T$11,O1840),M1840)</f>
        <v/>
      </c>
    </row>
    <row r="1841">
      <c r="A1841">
        <f>Data!E1929</f>
        <v/>
      </c>
      <c r="B1841">
        <f>Data!G1929</f>
        <v/>
      </c>
      <c r="C1841">
        <f>Data!H1929</f>
        <v/>
      </c>
      <c r="D1841">
        <f>Data!I1929</f>
        <v/>
      </c>
      <c r="E1841">
        <f>Data!M1929</f>
        <v/>
      </c>
      <c r="F1841">
        <f>Data!O1929</f>
        <v/>
      </c>
      <c r="G1841">
        <f>E1841-F1841</f>
        <v/>
      </c>
      <c r="H1841">
        <f>Data!P1929</f>
        <v/>
      </c>
      <c r="I1841">
        <f>G1841+H1841</f>
        <v/>
      </c>
      <c r="J1841">
        <f>F1841+G1841+H1841</f>
        <v/>
      </c>
      <c r="K1841">
        <f>Data!R1929</f>
        <v/>
      </c>
      <c r="L1841">
        <f>Data!T1929</f>
        <v/>
      </c>
      <c r="M1841">
        <f>AND(E1841=0,F1841=0,G1841=0,H1841=0,I1841=0,J1841=0,K1841=0,L1841=0)</f>
        <v/>
      </c>
      <c r="N1841">
        <f>G1841&lt;=$T$6</f>
        <v/>
      </c>
      <c r="O1841">
        <f>G1841&lt;=$T$12</f>
        <v/>
      </c>
      <c r="P1841">
        <f>OR(AND(H1841&gt;=$T$4,K1841&lt;=$T$5,N1841),M1841)</f>
        <v/>
      </c>
      <c r="Q1841">
        <f>OR(AND(I1841&gt;=$T$10,K1841&lt;=$T$11,O1841),M1841)</f>
        <v/>
      </c>
    </row>
    <row r="1842">
      <c r="A1842">
        <f>Data!E1930</f>
        <v/>
      </c>
      <c r="B1842">
        <f>Data!G1930</f>
        <v/>
      </c>
      <c r="C1842">
        <f>Data!H1930</f>
        <v/>
      </c>
      <c r="D1842">
        <f>Data!I1930</f>
        <v/>
      </c>
      <c r="E1842">
        <f>Data!M1930</f>
        <v/>
      </c>
      <c r="F1842">
        <f>Data!O1930</f>
        <v/>
      </c>
      <c r="G1842">
        <f>E1842-F1842</f>
        <v/>
      </c>
      <c r="H1842">
        <f>Data!P1930</f>
        <v/>
      </c>
      <c r="I1842">
        <f>G1842+H1842</f>
        <v/>
      </c>
      <c r="J1842">
        <f>F1842+G1842+H1842</f>
        <v/>
      </c>
      <c r="K1842">
        <f>Data!R1930</f>
        <v/>
      </c>
      <c r="L1842">
        <f>Data!T1930</f>
        <v/>
      </c>
      <c r="M1842">
        <f>AND(E1842=0,F1842=0,G1842=0,H1842=0,I1842=0,J1842=0,K1842=0,L1842=0)</f>
        <v/>
      </c>
      <c r="N1842">
        <f>G1842&lt;=$T$6</f>
        <v/>
      </c>
      <c r="O1842">
        <f>G1842&lt;=$T$12</f>
        <v/>
      </c>
      <c r="P1842">
        <f>OR(AND(H1842&gt;=$T$4,K1842&lt;=$T$5,N1842),M1842)</f>
        <v/>
      </c>
      <c r="Q1842">
        <f>OR(AND(I1842&gt;=$T$10,K1842&lt;=$T$11,O1842),M1842)</f>
        <v/>
      </c>
    </row>
    <row r="1843">
      <c r="A1843">
        <f>Data!E1931</f>
        <v/>
      </c>
      <c r="B1843">
        <f>Data!G1931</f>
        <v/>
      </c>
      <c r="C1843">
        <f>Data!H1931</f>
        <v/>
      </c>
      <c r="D1843">
        <f>Data!I1931</f>
        <v/>
      </c>
      <c r="E1843">
        <f>Data!M1931</f>
        <v/>
      </c>
      <c r="F1843">
        <f>Data!O1931</f>
        <v/>
      </c>
      <c r="G1843">
        <f>E1843-F1843</f>
        <v/>
      </c>
      <c r="H1843">
        <f>Data!P1931</f>
        <v/>
      </c>
      <c r="I1843">
        <f>G1843+H1843</f>
        <v/>
      </c>
      <c r="J1843">
        <f>F1843+G1843+H1843</f>
        <v/>
      </c>
      <c r="K1843">
        <f>Data!R1931</f>
        <v/>
      </c>
      <c r="L1843">
        <f>Data!T1931</f>
        <v/>
      </c>
      <c r="M1843">
        <f>AND(E1843=0,F1843=0,G1843=0,H1843=0,I1843=0,J1843=0,K1843=0,L1843=0)</f>
        <v/>
      </c>
      <c r="N1843">
        <f>G1843&lt;=$T$6</f>
        <v/>
      </c>
      <c r="O1843">
        <f>G1843&lt;=$T$12</f>
        <v/>
      </c>
      <c r="P1843">
        <f>OR(AND(H1843&gt;=$T$4,K1843&lt;=$T$5,N1843),M1843)</f>
        <v/>
      </c>
      <c r="Q1843">
        <f>OR(AND(I1843&gt;=$T$10,K1843&lt;=$T$11,O1843),M1843)</f>
        <v/>
      </c>
    </row>
    <row r="1844">
      <c r="A1844">
        <f>Data!E1933</f>
        <v/>
      </c>
      <c r="B1844">
        <f>Data!G1933</f>
        <v/>
      </c>
      <c r="C1844">
        <f>Data!H1933</f>
        <v/>
      </c>
      <c r="D1844">
        <f>Data!I1933</f>
        <v/>
      </c>
      <c r="E1844">
        <f>Data!M1933</f>
        <v/>
      </c>
      <c r="F1844">
        <f>Data!O1933</f>
        <v/>
      </c>
      <c r="G1844">
        <f>E1844-F1844</f>
        <v/>
      </c>
      <c r="H1844">
        <f>Data!P1933</f>
        <v/>
      </c>
      <c r="I1844">
        <f>G1844+H1844</f>
        <v/>
      </c>
      <c r="J1844">
        <f>F1844+G1844+H1844</f>
        <v/>
      </c>
      <c r="K1844">
        <f>Data!R1933</f>
        <v/>
      </c>
      <c r="L1844">
        <f>Data!T1933</f>
        <v/>
      </c>
      <c r="M1844">
        <f>AND(E1844=0,F1844=0,G1844=0,H1844=0,I1844=0,J1844=0,K1844=0,L1844=0)</f>
        <v/>
      </c>
      <c r="N1844">
        <f>G1844&lt;=$T$6</f>
        <v/>
      </c>
      <c r="O1844">
        <f>G1844&lt;=$T$12</f>
        <v/>
      </c>
      <c r="P1844">
        <f>OR(AND(H1844&gt;=$T$4,K1844&lt;=$T$5,N1844),M1844)</f>
        <v/>
      </c>
      <c r="Q1844">
        <f>OR(AND(I1844&gt;=$T$10,K1844&lt;=$T$11,O1844),M1844)</f>
        <v/>
      </c>
    </row>
    <row r="1845">
      <c r="A1845">
        <f>Data!E1934</f>
        <v/>
      </c>
      <c r="B1845">
        <f>Data!G1934</f>
        <v/>
      </c>
      <c r="C1845">
        <f>Data!H1934</f>
        <v/>
      </c>
      <c r="D1845">
        <f>Data!I1934</f>
        <v/>
      </c>
      <c r="E1845">
        <f>Data!M1934</f>
        <v/>
      </c>
      <c r="F1845">
        <f>Data!O1934</f>
        <v/>
      </c>
      <c r="G1845">
        <f>E1845-F1845</f>
        <v/>
      </c>
      <c r="H1845">
        <f>Data!P1934</f>
        <v/>
      </c>
      <c r="I1845">
        <f>G1845+H1845</f>
        <v/>
      </c>
      <c r="J1845">
        <f>F1845+G1845+H1845</f>
        <v/>
      </c>
      <c r="K1845">
        <f>Data!R1934</f>
        <v/>
      </c>
      <c r="L1845">
        <f>Data!T1934</f>
        <v/>
      </c>
      <c r="M1845">
        <f>AND(E1845=0,F1845=0,G1845=0,H1845=0,I1845=0,J1845=0,K1845=0,L1845=0)</f>
        <v/>
      </c>
      <c r="N1845">
        <f>G1845&lt;=$T$6</f>
        <v/>
      </c>
      <c r="O1845">
        <f>G1845&lt;=$T$12</f>
        <v/>
      </c>
      <c r="P1845">
        <f>OR(AND(H1845&gt;=$T$4,K1845&lt;=$T$5,N1845),M1845)</f>
        <v/>
      </c>
      <c r="Q1845">
        <f>OR(AND(I1845&gt;=$T$10,K1845&lt;=$T$11,O1845),M1845)</f>
        <v/>
      </c>
    </row>
    <row r="1846">
      <c r="A1846">
        <f>Data!E1935</f>
        <v/>
      </c>
      <c r="B1846">
        <f>Data!G1935</f>
        <v/>
      </c>
      <c r="C1846">
        <f>Data!H1935</f>
        <v/>
      </c>
      <c r="D1846">
        <f>Data!I1935</f>
        <v/>
      </c>
      <c r="E1846">
        <f>Data!M1935</f>
        <v/>
      </c>
      <c r="F1846">
        <f>Data!O1935</f>
        <v/>
      </c>
      <c r="G1846">
        <f>E1846-F1846</f>
        <v/>
      </c>
      <c r="H1846">
        <f>Data!P1935</f>
        <v/>
      </c>
      <c r="I1846">
        <f>G1846+H1846</f>
        <v/>
      </c>
      <c r="J1846">
        <f>F1846+G1846+H1846</f>
        <v/>
      </c>
      <c r="K1846">
        <f>Data!R1935</f>
        <v/>
      </c>
      <c r="L1846">
        <f>Data!T1935</f>
        <v/>
      </c>
      <c r="M1846">
        <f>AND(E1846=0,F1846=0,G1846=0,H1846=0,I1846=0,J1846=0,K1846=0,L1846=0)</f>
        <v/>
      </c>
      <c r="N1846">
        <f>G1846&lt;=$T$6</f>
        <v/>
      </c>
      <c r="O1846">
        <f>G1846&lt;=$T$12</f>
        <v/>
      </c>
      <c r="P1846">
        <f>OR(AND(H1846&gt;=$T$4,K1846&lt;=$T$5,N1846),M1846)</f>
        <v/>
      </c>
      <c r="Q1846">
        <f>OR(AND(I1846&gt;=$T$10,K1846&lt;=$T$11,O1846),M1846)</f>
        <v/>
      </c>
    </row>
    <row r="1847">
      <c r="A1847">
        <f>Data!E1936</f>
        <v/>
      </c>
      <c r="B1847">
        <f>Data!G1936</f>
        <v/>
      </c>
      <c r="C1847">
        <f>Data!H1936</f>
        <v/>
      </c>
      <c r="D1847">
        <f>Data!I1936</f>
        <v/>
      </c>
      <c r="E1847">
        <f>Data!M1936</f>
        <v/>
      </c>
      <c r="F1847">
        <f>Data!O1936</f>
        <v/>
      </c>
      <c r="G1847">
        <f>E1847-F1847</f>
        <v/>
      </c>
      <c r="H1847">
        <f>Data!P1936</f>
        <v/>
      </c>
      <c r="I1847">
        <f>G1847+H1847</f>
        <v/>
      </c>
      <c r="J1847">
        <f>F1847+G1847+H1847</f>
        <v/>
      </c>
      <c r="K1847">
        <f>Data!R1936</f>
        <v/>
      </c>
      <c r="L1847">
        <f>Data!T1936</f>
        <v/>
      </c>
      <c r="M1847">
        <f>AND(E1847=0,F1847=0,G1847=0,H1847=0,I1847=0,J1847=0,K1847=0,L1847=0)</f>
        <v/>
      </c>
      <c r="N1847">
        <f>G1847&lt;=$T$6</f>
        <v/>
      </c>
      <c r="O1847">
        <f>G1847&lt;=$T$12</f>
        <v/>
      </c>
      <c r="P1847">
        <f>OR(AND(H1847&gt;=$T$4,K1847&lt;=$T$5,N1847),M1847)</f>
        <v/>
      </c>
      <c r="Q1847">
        <f>OR(AND(I1847&gt;=$T$10,K1847&lt;=$T$11,O1847),M1847)</f>
        <v/>
      </c>
    </row>
    <row r="1848">
      <c r="A1848">
        <f>Data!E1937</f>
        <v/>
      </c>
      <c r="B1848">
        <f>Data!G1937</f>
        <v/>
      </c>
      <c r="C1848">
        <f>Data!H1937</f>
        <v/>
      </c>
      <c r="D1848">
        <f>Data!I1937</f>
        <v/>
      </c>
      <c r="E1848">
        <f>Data!M1937</f>
        <v/>
      </c>
      <c r="F1848">
        <f>Data!O1937</f>
        <v/>
      </c>
      <c r="G1848">
        <f>E1848-F1848</f>
        <v/>
      </c>
      <c r="H1848">
        <f>Data!P1937</f>
        <v/>
      </c>
      <c r="I1848">
        <f>G1848+H1848</f>
        <v/>
      </c>
      <c r="J1848">
        <f>F1848+G1848+H1848</f>
        <v/>
      </c>
      <c r="K1848">
        <f>Data!R1937</f>
        <v/>
      </c>
      <c r="L1848">
        <f>Data!T1937</f>
        <v/>
      </c>
      <c r="M1848">
        <f>AND(E1848=0,F1848=0,G1848=0,H1848=0,I1848=0,J1848=0,K1848=0,L1848=0)</f>
        <v/>
      </c>
      <c r="N1848">
        <f>G1848&lt;=$T$6</f>
        <v/>
      </c>
      <c r="O1848">
        <f>G1848&lt;=$T$12</f>
        <v/>
      </c>
      <c r="P1848">
        <f>OR(AND(H1848&gt;=$T$4,K1848&lt;=$T$5,N1848),M1848)</f>
        <v/>
      </c>
      <c r="Q1848">
        <f>OR(AND(I1848&gt;=$T$10,K1848&lt;=$T$11,O1848),M1848)</f>
        <v/>
      </c>
    </row>
    <row r="1849">
      <c r="A1849">
        <f>Data!E1938</f>
        <v/>
      </c>
      <c r="B1849">
        <f>Data!G1938</f>
        <v/>
      </c>
      <c r="C1849">
        <f>Data!H1938</f>
        <v/>
      </c>
      <c r="D1849">
        <f>Data!I1938</f>
        <v/>
      </c>
      <c r="E1849">
        <f>Data!M1938</f>
        <v/>
      </c>
      <c r="F1849">
        <f>Data!O1938</f>
        <v/>
      </c>
      <c r="G1849">
        <f>E1849-F1849</f>
        <v/>
      </c>
      <c r="H1849">
        <f>Data!P1938</f>
        <v/>
      </c>
      <c r="I1849">
        <f>G1849+H1849</f>
        <v/>
      </c>
      <c r="J1849">
        <f>F1849+G1849+H1849</f>
        <v/>
      </c>
      <c r="K1849">
        <f>Data!R1938</f>
        <v/>
      </c>
      <c r="L1849">
        <f>Data!T1938</f>
        <v/>
      </c>
      <c r="M1849">
        <f>AND(E1849=0,F1849=0,G1849=0,H1849=0,I1849=0,J1849=0,K1849=0,L1849=0)</f>
        <v/>
      </c>
      <c r="N1849">
        <f>G1849&lt;=$T$6</f>
        <v/>
      </c>
      <c r="O1849">
        <f>G1849&lt;=$T$12</f>
        <v/>
      </c>
      <c r="P1849">
        <f>OR(AND(H1849&gt;=$T$4,K1849&lt;=$T$5,N1849),M1849)</f>
        <v/>
      </c>
      <c r="Q1849">
        <f>OR(AND(I1849&gt;=$T$10,K1849&lt;=$T$11,O1849),M1849)</f>
        <v/>
      </c>
    </row>
    <row r="1850">
      <c r="A1850">
        <f>Data!E1939</f>
        <v/>
      </c>
      <c r="B1850">
        <f>Data!G1939</f>
        <v/>
      </c>
      <c r="C1850">
        <f>Data!H1939</f>
        <v/>
      </c>
      <c r="D1850">
        <f>Data!I1939</f>
        <v/>
      </c>
      <c r="E1850">
        <f>Data!M1939</f>
        <v/>
      </c>
      <c r="F1850">
        <f>Data!O1939</f>
        <v/>
      </c>
      <c r="G1850">
        <f>E1850-F1850</f>
        <v/>
      </c>
      <c r="H1850">
        <f>Data!P1939</f>
        <v/>
      </c>
      <c r="I1850">
        <f>G1850+H1850</f>
        <v/>
      </c>
      <c r="J1850">
        <f>F1850+G1850+H1850</f>
        <v/>
      </c>
      <c r="K1850">
        <f>Data!R1939</f>
        <v/>
      </c>
      <c r="L1850">
        <f>Data!T1939</f>
        <v/>
      </c>
      <c r="M1850">
        <f>AND(E1850=0,F1850=0,G1850=0,H1850=0,I1850=0,J1850=0,K1850=0,L1850=0)</f>
        <v/>
      </c>
      <c r="N1850">
        <f>G1850&lt;=$T$6</f>
        <v/>
      </c>
      <c r="O1850">
        <f>G1850&lt;=$T$12</f>
        <v/>
      </c>
      <c r="P1850">
        <f>OR(AND(H1850&gt;=$T$4,K1850&lt;=$T$5,N1850),M1850)</f>
        <v/>
      </c>
      <c r="Q1850">
        <f>OR(AND(I1850&gt;=$T$10,K1850&lt;=$T$11,O1850),M1850)</f>
        <v/>
      </c>
    </row>
    <row r="1851">
      <c r="A1851">
        <f>Data!E1940</f>
        <v/>
      </c>
      <c r="B1851">
        <f>Data!G1940</f>
        <v/>
      </c>
      <c r="C1851">
        <f>Data!H1940</f>
        <v/>
      </c>
      <c r="D1851">
        <f>Data!I1940</f>
        <v/>
      </c>
      <c r="E1851">
        <f>Data!M1940</f>
        <v/>
      </c>
      <c r="F1851">
        <f>Data!O1940</f>
        <v/>
      </c>
      <c r="G1851">
        <f>E1851-F1851</f>
        <v/>
      </c>
      <c r="H1851">
        <f>Data!P1940</f>
        <v/>
      </c>
      <c r="I1851">
        <f>G1851+H1851</f>
        <v/>
      </c>
      <c r="J1851">
        <f>F1851+G1851+H1851</f>
        <v/>
      </c>
      <c r="K1851">
        <f>Data!R1940</f>
        <v/>
      </c>
      <c r="L1851">
        <f>Data!T1940</f>
        <v/>
      </c>
      <c r="M1851">
        <f>AND(E1851=0,F1851=0,G1851=0,H1851=0,I1851=0,J1851=0,K1851=0,L1851=0)</f>
        <v/>
      </c>
      <c r="N1851">
        <f>G1851&lt;=$T$6</f>
        <v/>
      </c>
      <c r="O1851">
        <f>G1851&lt;=$T$12</f>
        <v/>
      </c>
      <c r="P1851">
        <f>OR(AND(H1851&gt;=$T$4,K1851&lt;=$T$5,N1851),M1851)</f>
        <v/>
      </c>
      <c r="Q1851">
        <f>OR(AND(I1851&gt;=$T$10,K1851&lt;=$T$11,O1851),M1851)</f>
        <v/>
      </c>
    </row>
    <row r="1852">
      <c r="A1852">
        <f>Data!E1941</f>
        <v/>
      </c>
      <c r="B1852">
        <f>Data!G1941</f>
        <v/>
      </c>
      <c r="C1852">
        <f>Data!H1941</f>
        <v/>
      </c>
      <c r="D1852">
        <f>Data!I1941</f>
        <v/>
      </c>
      <c r="E1852">
        <f>Data!M1941</f>
        <v/>
      </c>
      <c r="F1852">
        <f>Data!O1941</f>
        <v/>
      </c>
      <c r="G1852">
        <f>E1852-F1852</f>
        <v/>
      </c>
      <c r="H1852">
        <f>Data!P1941</f>
        <v/>
      </c>
      <c r="I1852">
        <f>G1852+H1852</f>
        <v/>
      </c>
      <c r="J1852">
        <f>F1852+G1852+H1852</f>
        <v/>
      </c>
      <c r="K1852">
        <f>Data!R1941</f>
        <v/>
      </c>
      <c r="L1852">
        <f>Data!T1941</f>
        <v/>
      </c>
      <c r="M1852">
        <f>AND(E1852=0,F1852=0,G1852=0,H1852=0,I1852=0,J1852=0,K1852=0,L1852=0)</f>
        <v/>
      </c>
      <c r="N1852">
        <f>G1852&lt;=$T$6</f>
        <v/>
      </c>
      <c r="O1852">
        <f>G1852&lt;=$T$12</f>
        <v/>
      </c>
      <c r="P1852">
        <f>OR(AND(H1852&gt;=$T$4,K1852&lt;=$T$5,N1852),M1852)</f>
        <v/>
      </c>
      <c r="Q1852">
        <f>OR(AND(I1852&gt;=$T$10,K1852&lt;=$T$11,O1852),M1852)</f>
        <v/>
      </c>
    </row>
    <row r="1853">
      <c r="A1853">
        <f>Data!E1942</f>
        <v/>
      </c>
      <c r="B1853">
        <f>Data!G1942</f>
        <v/>
      </c>
      <c r="C1853">
        <f>Data!H1942</f>
        <v/>
      </c>
      <c r="D1853">
        <f>Data!I1942</f>
        <v/>
      </c>
      <c r="E1853">
        <f>Data!M1942</f>
        <v/>
      </c>
      <c r="F1853">
        <f>Data!O1942</f>
        <v/>
      </c>
      <c r="G1853">
        <f>E1853-F1853</f>
        <v/>
      </c>
      <c r="H1853">
        <f>Data!P1942</f>
        <v/>
      </c>
      <c r="I1853">
        <f>G1853+H1853</f>
        <v/>
      </c>
      <c r="J1853">
        <f>F1853+G1853+H1853</f>
        <v/>
      </c>
      <c r="K1853">
        <f>Data!R1942</f>
        <v/>
      </c>
      <c r="L1853">
        <f>Data!T1942</f>
        <v/>
      </c>
      <c r="M1853">
        <f>AND(E1853=0,F1853=0,G1853=0,H1853=0,I1853=0,J1853=0,K1853=0,L1853=0)</f>
        <v/>
      </c>
      <c r="N1853">
        <f>G1853&lt;=$T$6</f>
        <v/>
      </c>
      <c r="O1853">
        <f>G1853&lt;=$T$12</f>
        <v/>
      </c>
      <c r="P1853">
        <f>OR(AND(H1853&gt;=$T$4,K1853&lt;=$T$5,N1853),M1853)</f>
        <v/>
      </c>
      <c r="Q1853">
        <f>OR(AND(I1853&gt;=$T$10,K1853&lt;=$T$11,O1853),M1853)</f>
        <v/>
      </c>
    </row>
    <row r="1854">
      <c r="A1854">
        <f>Data!E1943</f>
        <v/>
      </c>
      <c r="B1854">
        <f>Data!G1943</f>
        <v/>
      </c>
      <c r="C1854">
        <f>Data!H1943</f>
        <v/>
      </c>
      <c r="D1854">
        <f>Data!I1943</f>
        <v/>
      </c>
      <c r="E1854">
        <f>Data!M1943</f>
        <v/>
      </c>
      <c r="F1854">
        <f>Data!O1943</f>
        <v/>
      </c>
      <c r="G1854">
        <f>E1854-F1854</f>
        <v/>
      </c>
      <c r="H1854">
        <f>Data!P1943</f>
        <v/>
      </c>
      <c r="I1854">
        <f>G1854+H1854</f>
        <v/>
      </c>
      <c r="J1854">
        <f>F1854+G1854+H1854</f>
        <v/>
      </c>
      <c r="K1854">
        <f>Data!R1943</f>
        <v/>
      </c>
      <c r="L1854">
        <f>Data!T1943</f>
        <v/>
      </c>
      <c r="M1854">
        <f>AND(E1854=0,F1854=0,G1854=0,H1854=0,I1854=0,J1854=0,K1854=0,L1854=0)</f>
        <v/>
      </c>
      <c r="N1854">
        <f>G1854&lt;=$T$6</f>
        <v/>
      </c>
      <c r="O1854">
        <f>G1854&lt;=$T$12</f>
        <v/>
      </c>
      <c r="P1854">
        <f>OR(AND(H1854&gt;=$T$4,K1854&lt;=$T$5,N1854),M1854)</f>
        <v/>
      </c>
      <c r="Q1854">
        <f>OR(AND(I1854&gt;=$T$10,K1854&lt;=$T$11,O1854),M1854)</f>
        <v/>
      </c>
    </row>
    <row r="1855">
      <c r="A1855">
        <f>Data!E1944</f>
        <v/>
      </c>
      <c r="B1855">
        <f>Data!G1944</f>
        <v/>
      </c>
      <c r="C1855">
        <f>Data!H1944</f>
        <v/>
      </c>
      <c r="D1855">
        <f>Data!I1944</f>
        <v/>
      </c>
      <c r="E1855">
        <f>Data!M1944</f>
        <v/>
      </c>
      <c r="F1855">
        <f>Data!O1944</f>
        <v/>
      </c>
      <c r="G1855">
        <f>E1855-F1855</f>
        <v/>
      </c>
      <c r="H1855">
        <f>Data!P1944</f>
        <v/>
      </c>
      <c r="I1855">
        <f>G1855+H1855</f>
        <v/>
      </c>
      <c r="J1855">
        <f>F1855+G1855+H1855</f>
        <v/>
      </c>
      <c r="K1855">
        <f>Data!R1944</f>
        <v/>
      </c>
      <c r="L1855">
        <f>Data!T1944</f>
        <v/>
      </c>
      <c r="M1855">
        <f>AND(E1855=0,F1855=0,G1855=0,H1855=0,I1855=0,J1855=0,K1855=0,L1855=0)</f>
        <v/>
      </c>
      <c r="N1855">
        <f>G1855&lt;=$T$6</f>
        <v/>
      </c>
      <c r="O1855">
        <f>G1855&lt;=$T$12</f>
        <v/>
      </c>
      <c r="P1855">
        <f>OR(AND(H1855&gt;=$T$4,K1855&lt;=$T$5,N1855),M1855)</f>
        <v/>
      </c>
      <c r="Q1855">
        <f>OR(AND(I1855&gt;=$T$10,K1855&lt;=$T$11,O1855),M1855)</f>
        <v/>
      </c>
    </row>
    <row r="1856">
      <c r="A1856">
        <f>Data!E1945</f>
        <v/>
      </c>
      <c r="B1856">
        <f>Data!G1945</f>
        <v/>
      </c>
      <c r="C1856">
        <f>Data!H1945</f>
        <v/>
      </c>
      <c r="D1856">
        <f>Data!I1945</f>
        <v/>
      </c>
      <c r="E1856">
        <f>Data!M1945</f>
        <v/>
      </c>
      <c r="F1856">
        <f>Data!O1945</f>
        <v/>
      </c>
      <c r="G1856">
        <f>E1856-F1856</f>
        <v/>
      </c>
      <c r="H1856">
        <f>Data!P1945</f>
        <v/>
      </c>
      <c r="I1856">
        <f>G1856+H1856</f>
        <v/>
      </c>
      <c r="J1856">
        <f>F1856+G1856+H1856</f>
        <v/>
      </c>
      <c r="K1856">
        <f>Data!R1945</f>
        <v/>
      </c>
      <c r="L1856">
        <f>Data!T1945</f>
        <v/>
      </c>
      <c r="M1856">
        <f>AND(E1856=0,F1856=0,G1856=0,H1856=0,I1856=0,J1856=0,K1856=0,L1856=0)</f>
        <v/>
      </c>
      <c r="N1856">
        <f>G1856&lt;=$T$6</f>
        <v/>
      </c>
      <c r="O1856">
        <f>G1856&lt;=$T$12</f>
        <v/>
      </c>
      <c r="P1856">
        <f>OR(AND(H1856&gt;=$T$4,K1856&lt;=$T$5,N1856),M1856)</f>
        <v/>
      </c>
      <c r="Q1856">
        <f>OR(AND(I1856&gt;=$T$10,K1856&lt;=$T$11,O1856),M1856)</f>
        <v/>
      </c>
    </row>
    <row r="1857">
      <c r="A1857">
        <f>Data!E1946</f>
        <v/>
      </c>
      <c r="B1857">
        <f>Data!G1946</f>
        <v/>
      </c>
      <c r="C1857">
        <f>Data!H1946</f>
        <v/>
      </c>
      <c r="D1857">
        <f>Data!I1946</f>
        <v/>
      </c>
      <c r="E1857">
        <f>Data!M1946</f>
        <v/>
      </c>
      <c r="F1857">
        <f>Data!O1946</f>
        <v/>
      </c>
      <c r="G1857">
        <f>E1857-F1857</f>
        <v/>
      </c>
      <c r="H1857">
        <f>Data!P1946</f>
        <v/>
      </c>
      <c r="I1857">
        <f>G1857+H1857</f>
        <v/>
      </c>
      <c r="J1857">
        <f>F1857+G1857+H1857</f>
        <v/>
      </c>
      <c r="K1857">
        <f>Data!R1946</f>
        <v/>
      </c>
      <c r="L1857">
        <f>Data!T1946</f>
        <v/>
      </c>
      <c r="M1857">
        <f>AND(E1857=0,F1857=0,G1857=0,H1857=0,I1857=0,J1857=0,K1857=0,L1857=0)</f>
        <v/>
      </c>
      <c r="N1857">
        <f>G1857&lt;=$T$6</f>
        <v/>
      </c>
      <c r="O1857">
        <f>G1857&lt;=$T$12</f>
        <v/>
      </c>
      <c r="P1857">
        <f>OR(AND(H1857&gt;=$T$4,K1857&lt;=$T$5,N1857),M1857)</f>
        <v/>
      </c>
      <c r="Q1857">
        <f>OR(AND(I1857&gt;=$T$10,K1857&lt;=$T$11,O1857),M1857)</f>
        <v/>
      </c>
    </row>
    <row r="1858">
      <c r="A1858">
        <f>Data!E1947</f>
        <v/>
      </c>
      <c r="B1858">
        <f>Data!G1947</f>
        <v/>
      </c>
      <c r="C1858">
        <f>Data!H1947</f>
        <v/>
      </c>
      <c r="D1858">
        <f>Data!I1947</f>
        <v/>
      </c>
      <c r="E1858">
        <f>Data!M1947</f>
        <v/>
      </c>
      <c r="F1858">
        <f>Data!O1947</f>
        <v/>
      </c>
      <c r="G1858">
        <f>E1858-F1858</f>
        <v/>
      </c>
      <c r="H1858">
        <f>Data!P1947</f>
        <v/>
      </c>
      <c r="I1858">
        <f>G1858+H1858</f>
        <v/>
      </c>
      <c r="J1858">
        <f>F1858+G1858+H1858</f>
        <v/>
      </c>
      <c r="K1858">
        <f>Data!R1947</f>
        <v/>
      </c>
      <c r="L1858">
        <f>Data!T1947</f>
        <v/>
      </c>
      <c r="M1858">
        <f>AND(E1858=0,F1858=0,G1858=0,H1858=0,I1858=0,J1858=0,K1858=0,L1858=0)</f>
        <v/>
      </c>
      <c r="N1858">
        <f>G1858&lt;=$T$6</f>
        <v/>
      </c>
      <c r="O1858">
        <f>G1858&lt;=$T$12</f>
        <v/>
      </c>
      <c r="P1858">
        <f>OR(AND(H1858&gt;=$T$4,K1858&lt;=$T$5,N1858),M1858)</f>
        <v/>
      </c>
      <c r="Q1858">
        <f>OR(AND(I1858&gt;=$T$10,K1858&lt;=$T$11,O1858),M1858)</f>
        <v/>
      </c>
    </row>
    <row r="1859">
      <c r="A1859">
        <f>Data!E1948</f>
        <v/>
      </c>
      <c r="B1859">
        <f>Data!G1948</f>
        <v/>
      </c>
      <c r="C1859">
        <f>Data!H1948</f>
        <v/>
      </c>
      <c r="D1859">
        <f>Data!I1948</f>
        <v/>
      </c>
      <c r="E1859">
        <f>Data!M1948</f>
        <v/>
      </c>
      <c r="F1859">
        <f>Data!O1948</f>
        <v/>
      </c>
      <c r="G1859">
        <f>E1859-F1859</f>
        <v/>
      </c>
      <c r="H1859">
        <f>Data!P1948</f>
        <v/>
      </c>
      <c r="I1859">
        <f>G1859+H1859</f>
        <v/>
      </c>
      <c r="J1859">
        <f>F1859+G1859+H1859</f>
        <v/>
      </c>
      <c r="K1859">
        <f>Data!R1948</f>
        <v/>
      </c>
      <c r="L1859">
        <f>Data!T1948</f>
        <v/>
      </c>
      <c r="M1859">
        <f>AND(E1859=0,F1859=0,G1859=0,H1859=0,I1859=0,J1859=0,K1859=0,L1859=0)</f>
        <v/>
      </c>
      <c r="N1859">
        <f>G1859&lt;=$T$6</f>
        <v/>
      </c>
      <c r="O1859">
        <f>G1859&lt;=$T$12</f>
        <v/>
      </c>
      <c r="P1859">
        <f>OR(AND(H1859&gt;=$T$4,K1859&lt;=$T$5,N1859),M1859)</f>
        <v/>
      </c>
      <c r="Q1859">
        <f>OR(AND(I1859&gt;=$T$10,K1859&lt;=$T$11,O1859),M1859)</f>
        <v/>
      </c>
    </row>
    <row r="1860">
      <c r="A1860">
        <f>Data!E1949</f>
        <v/>
      </c>
      <c r="B1860">
        <f>Data!G1949</f>
        <v/>
      </c>
      <c r="C1860">
        <f>Data!H1949</f>
        <v/>
      </c>
      <c r="D1860">
        <f>Data!I1949</f>
        <v/>
      </c>
      <c r="E1860">
        <f>Data!M1949</f>
        <v/>
      </c>
      <c r="F1860">
        <f>Data!O1949</f>
        <v/>
      </c>
      <c r="G1860">
        <f>E1860-F1860</f>
        <v/>
      </c>
      <c r="H1860">
        <f>Data!P1949</f>
        <v/>
      </c>
      <c r="I1860">
        <f>G1860+H1860</f>
        <v/>
      </c>
      <c r="J1860">
        <f>F1860+G1860+H1860</f>
        <v/>
      </c>
      <c r="K1860">
        <f>Data!R1949</f>
        <v/>
      </c>
      <c r="L1860">
        <f>Data!T1949</f>
        <v/>
      </c>
      <c r="M1860">
        <f>AND(E1860=0,F1860=0,G1860=0,H1860=0,I1860=0,J1860=0,K1860=0,L1860=0)</f>
        <v/>
      </c>
      <c r="N1860">
        <f>G1860&lt;=$T$6</f>
        <v/>
      </c>
      <c r="O1860">
        <f>G1860&lt;=$T$12</f>
        <v/>
      </c>
      <c r="P1860">
        <f>OR(AND(H1860&gt;=$T$4,K1860&lt;=$T$5,N1860),M1860)</f>
        <v/>
      </c>
      <c r="Q1860">
        <f>OR(AND(I1860&gt;=$T$10,K1860&lt;=$T$11,O1860),M1860)</f>
        <v/>
      </c>
    </row>
    <row r="1861">
      <c r="A1861">
        <f>Data!E1950</f>
        <v/>
      </c>
      <c r="B1861">
        <f>Data!G1950</f>
        <v/>
      </c>
      <c r="C1861">
        <f>Data!H1950</f>
        <v/>
      </c>
      <c r="D1861">
        <f>Data!I1950</f>
        <v/>
      </c>
      <c r="E1861">
        <f>Data!M1950</f>
        <v/>
      </c>
      <c r="F1861">
        <f>Data!O1950</f>
        <v/>
      </c>
      <c r="G1861">
        <f>E1861-F1861</f>
        <v/>
      </c>
      <c r="H1861">
        <f>Data!P1950</f>
        <v/>
      </c>
      <c r="I1861">
        <f>G1861+H1861</f>
        <v/>
      </c>
      <c r="J1861">
        <f>F1861+G1861+H1861</f>
        <v/>
      </c>
      <c r="K1861">
        <f>Data!R1950</f>
        <v/>
      </c>
      <c r="L1861">
        <f>Data!T1950</f>
        <v/>
      </c>
      <c r="M1861">
        <f>AND(E1861=0,F1861=0,G1861=0,H1861=0,I1861=0,J1861=0,K1861=0,L1861=0)</f>
        <v/>
      </c>
      <c r="N1861">
        <f>G1861&lt;=$T$6</f>
        <v/>
      </c>
      <c r="O1861">
        <f>G1861&lt;=$T$12</f>
        <v/>
      </c>
      <c r="P1861">
        <f>OR(AND(H1861&gt;=$T$4,K1861&lt;=$T$5,N1861),M1861)</f>
        <v/>
      </c>
      <c r="Q1861">
        <f>OR(AND(I1861&gt;=$T$10,K1861&lt;=$T$11,O1861),M1861)</f>
        <v/>
      </c>
    </row>
    <row r="1862">
      <c r="A1862">
        <f>Data!E1951</f>
        <v/>
      </c>
      <c r="B1862">
        <f>Data!G1951</f>
        <v/>
      </c>
      <c r="C1862">
        <f>Data!H1951</f>
        <v/>
      </c>
      <c r="D1862">
        <f>Data!I1951</f>
        <v/>
      </c>
      <c r="E1862">
        <f>Data!M1951</f>
        <v/>
      </c>
      <c r="F1862">
        <f>Data!O1951</f>
        <v/>
      </c>
      <c r="G1862">
        <f>E1862-F1862</f>
        <v/>
      </c>
      <c r="H1862">
        <f>Data!P1951</f>
        <v/>
      </c>
      <c r="I1862">
        <f>G1862+H1862</f>
        <v/>
      </c>
      <c r="J1862">
        <f>F1862+G1862+H1862</f>
        <v/>
      </c>
      <c r="K1862">
        <f>Data!R1951</f>
        <v/>
      </c>
      <c r="L1862">
        <f>Data!T1951</f>
        <v/>
      </c>
      <c r="M1862">
        <f>AND(E1862=0,F1862=0,G1862=0,H1862=0,I1862=0,J1862=0,K1862=0,L1862=0)</f>
        <v/>
      </c>
      <c r="N1862">
        <f>G1862&lt;=$T$6</f>
        <v/>
      </c>
      <c r="O1862">
        <f>G1862&lt;=$T$12</f>
        <v/>
      </c>
      <c r="P1862">
        <f>OR(AND(H1862&gt;=$T$4,K1862&lt;=$T$5,N1862),M1862)</f>
        <v/>
      </c>
      <c r="Q1862">
        <f>OR(AND(I1862&gt;=$T$10,K1862&lt;=$T$11,O1862),M1862)</f>
        <v/>
      </c>
    </row>
    <row r="1863">
      <c r="A1863">
        <f>Data!E1952</f>
        <v/>
      </c>
      <c r="B1863">
        <f>Data!G1952</f>
        <v/>
      </c>
      <c r="C1863">
        <f>Data!H1952</f>
        <v/>
      </c>
      <c r="D1863">
        <f>Data!I1952</f>
        <v/>
      </c>
      <c r="E1863">
        <f>Data!M1952</f>
        <v/>
      </c>
      <c r="F1863">
        <f>Data!O1952</f>
        <v/>
      </c>
      <c r="G1863">
        <f>E1863-F1863</f>
        <v/>
      </c>
      <c r="H1863">
        <f>Data!P1952</f>
        <v/>
      </c>
      <c r="I1863">
        <f>G1863+H1863</f>
        <v/>
      </c>
      <c r="J1863">
        <f>F1863+G1863+H1863</f>
        <v/>
      </c>
      <c r="K1863">
        <f>Data!R1952</f>
        <v/>
      </c>
      <c r="L1863">
        <f>Data!T1952</f>
        <v/>
      </c>
      <c r="M1863">
        <f>AND(E1863=0,F1863=0,G1863=0,H1863=0,I1863=0,J1863=0,K1863=0,L1863=0)</f>
        <v/>
      </c>
      <c r="N1863">
        <f>G1863&lt;=$T$6</f>
        <v/>
      </c>
      <c r="O1863">
        <f>G1863&lt;=$T$12</f>
        <v/>
      </c>
      <c r="P1863">
        <f>OR(AND(H1863&gt;=$T$4,K1863&lt;=$T$5,N1863),M1863)</f>
        <v/>
      </c>
      <c r="Q1863">
        <f>OR(AND(I1863&gt;=$T$10,K1863&lt;=$T$11,O1863),M1863)</f>
        <v/>
      </c>
    </row>
    <row r="1864">
      <c r="A1864">
        <f>Data!E1953</f>
        <v/>
      </c>
      <c r="B1864">
        <f>Data!G1953</f>
        <v/>
      </c>
      <c r="C1864">
        <f>Data!H1953</f>
        <v/>
      </c>
      <c r="D1864">
        <f>Data!I1953</f>
        <v/>
      </c>
      <c r="E1864">
        <f>Data!M1953</f>
        <v/>
      </c>
      <c r="F1864">
        <f>Data!O1953</f>
        <v/>
      </c>
      <c r="G1864">
        <f>E1864-F1864</f>
        <v/>
      </c>
      <c r="H1864">
        <f>Data!P1953</f>
        <v/>
      </c>
      <c r="I1864">
        <f>G1864+H1864</f>
        <v/>
      </c>
      <c r="J1864">
        <f>F1864+G1864+H1864</f>
        <v/>
      </c>
      <c r="K1864">
        <f>Data!R1953</f>
        <v/>
      </c>
      <c r="L1864">
        <f>Data!T1953</f>
        <v/>
      </c>
      <c r="M1864">
        <f>AND(E1864=0,F1864=0,G1864=0,H1864=0,I1864=0,J1864=0,K1864=0,L1864=0)</f>
        <v/>
      </c>
      <c r="N1864">
        <f>G1864&lt;=$T$6</f>
        <v/>
      </c>
      <c r="O1864">
        <f>G1864&lt;=$T$12</f>
        <v/>
      </c>
      <c r="P1864">
        <f>OR(AND(H1864&gt;=$T$4,K1864&lt;=$T$5,N1864),M1864)</f>
        <v/>
      </c>
      <c r="Q1864">
        <f>OR(AND(I1864&gt;=$T$10,K1864&lt;=$T$11,O1864),M1864)</f>
        <v/>
      </c>
    </row>
    <row r="1865">
      <c r="A1865">
        <f>Data!E1954</f>
        <v/>
      </c>
      <c r="B1865">
        <f>Data!G1954</f>
        <v/>
      </c>
      <c r="C1865">
        <f>Data!H1954</f>
        <v/>
      </c>
      <c r="D1865">
        <f>Data!I1954</f>
        <v/>
      </c>
      <c r="E1865">
        <f>Data!M1954</f>
        <v/>
      </c>
      <c r="F1865">
        <f>Data!O1954</f>
        <v/>
      </c>
      <c r="G1865">
        <f>E1865-F1865</f>
        <v/>
      </c>
      <c r="H1865">
        <f>Data!P1954</f>
        <v/>
      </c>
      <c r="I1865">
        <f>G1865+H1865</f>
        <v/>
      </c>
      <c r="J1865">
        <f>F1865+G1865+H1865</f>
        <v/>
      </c>
      <c r="K1865">
        <f>Data!R1954</f>
        <v/>
      </c>
      <c r="L1865">
        <f>Data!T1954</f>
        <v/>
      </c>
      <c r="M1865">
        <f>AND(E1865=0,F1865=0,G1865=0,H1865=0,I1865=0,J1865=0,K1865=0,L1865=0)</f>
        <v/>
      </c>
      <c r="N1865">
        <f>G1865&lt;=$T$6</f>
        <v/>
      </c>
      <c r="O1865">
        <f>G1865&lt;=$T$12</f>
        <v/>
      </c>
      <c r="P1865">
        <f>OR(AND(H1865&gt;=$T$4,K1865&lt;=$T$5,N1865),M1865)</f>
        <v/>
      </c>
      <c r="Q1865">
        <f>OR(AND(I1865&gt;=$T$10,K1865&lt;=$T$11,O1865),M1865)</f>
        <v/>
      </c>
    </row>
    <row r="1866">
      <c r="A1866">
        <f>Data!E1955</f>
        <v/>
      </c>
      <c r="B1866">
        <f>Data!G1955</f>
        <v/>
      </c>
      <c r="C1866">
        <f>Data!H1955</f>
        <v/>
      </c>
      <c r="D1866">
        <f>Data!I1955</f>
        <v/>
      </c>
      <c r="E1866">
        <f>Data!M1955</f>
        <v/>
      </c>
      <c r="F1866">
        <f>Data!O1955</f>
        <v/>
      </c>
      <c r="G1866">
        <f>E1866-F1866</f>
        <v/>
      </c>
      <c r="H1866">
        <f>Data!P1955</f>
        <v/>
      </c>
      <c r="I1866">
        <f>G1866+H1866</f>
        <v/>
      </c>
      <c r="J1866">
        <f>F1866+G1866+H1866</f>
        <v/>
      </c>
      <c r="K1866">
        <f>Data!R1955</f>
        <v/>
      </c>
      <c r="L1866">
        <f>Data!T1955</f>
        <v/>
      </c>
      <c r="M1866">
        <f>AND(E1866=0,F1866=0,G1866=0,H1866=0,I1866=0,J1866=0,K1866=0,L1866=0)</f>
        <v/>
      </c>
      <c r="N1866">
        <f>G1866&lt;=$T$6</f>
        <v/>
      </c>
      <c r="O1866">
        <f>G1866&lt;=$T$12</f>
        <v/>
      </c>
      <c r="P1866">
        <f>OR(AND(H1866&gt;=$T$4,K1866&lt;=$T$5,N1866),M1866)</f>
        <v/>
      </c>
      <c r="Q1866">
        <f>OR(AND(I1866&gt;=$T$10,K1866&lt;=$T$11,O1866),M1866)</f>
        <v/>
      </c>
    </row>
    <row r="1867">
      <c r="A1867">
        <f>Data!E1956</f>
        <v/>
      </c>
      <c r="B1867">
        <f>Data!G1956</f>
        <v/>
      </c>
      <c r="C1867">
        <f>Data!H1956</f>
        <v/>
      </c>
      <c r="D1867">
        <f>Data!I1956</f>
        <v/>
      </c>
      <c r="E1867">
        <f>Data!M1956</f>
        <v/>
      </c>
      <c r="F1867">
        <f>Data!O1956</f>
        <v/>
      </c>
      <c r="G1867">
        <f>E1867-F1867</f>
        <v/>
      </c>
      <c r="H1867">
        <f>Data!P1956</f>
        <v/>
      </c>
      <c r="I1867">
        <f>G1867+H1867</f>
        <v/>
      </c>
      <c r="J1867">
        <f>F1867+G1867+H1867</f>
        <v/>
      </c>
      <c r="K1867">
        <f>Data!R1956</f>
        <v/>
      </c>
      <c r="L1867">
        <f>Data!T1956</f>
        <v/>
      </c>
      <c r="M1867">
        <f>AND(E1867=0,F1867=0,G1867=0,H1867=0,I1867=0,J1867=0,K1867=0,L1867=0)</f>
        <v/>
      </c>
      <c r="N1867">
        <f>G1867&lt;=$T$6</f>
        <v/>
      </c>
      <c r="O1867">
        <f>G1867&lt;=$T$12</f>
        <v/>
      </c>
      <c r="P1867">
        <f>OR(AND(H1867&gt;=$T$4,K1867&lt;=$T$5,N1867),M1867)</f>
        <v/>
      </c>
      <c r="Q1867">
        <f>OR(AND(I1867&gt;=$T$10,K1867&lt;=$T$11,O1867),M1867)</f>
        <v/>
      </c>
    </row>
    <row r="1868">
      <c r="A1868">
        <f>Data!E1957</f>
        <v/>
      </c>
      <c r="B1868">
        <f>Data!G1957</f>
        <v/>
      </c>
      <c r="C1868">
        <f>Data!H1957</f>
        <v/>
      </c>
      <c r="D1868">
        <f>Data!I1957</f>
        <v/>
      </c>
      <c r="E1868">
        <f>Data!M1957</f>
        <v/>
      </c>
      <c r="F1868">
        <f>Data!O1957</f>
        <v/>
      </c>
      <c r="G1868">
        <f>E1868-F1868</f>
        <v/>
      </c>
      <c r="H1868">
        <f>Data!P1957</f>
        <v/>
      </c>
      <c r="I1868">
        <f>G1868+H1868</f>
        <v/>
      </c>
      <c r="J1868">
        <f>F1868+G1868+H1868</f>
        <v/>
      </c>
      <c r="K1868">
        <f>Data!R1957</f>
        <v/>
      </c>
      <c r="L1868">
        <f>Data!T1957</f>
        <v/>
      </c>
      <c r="M1868">
        <f>AND(E1868=0,F1868=0,G1868=0,H1868=0,I1868=0,J1868=0,K1868=0,L1868=0)</f>
        <v/>
      </c>
      <c r="N1868">
        <f>G1868&lt;=$T$6</f>
        <v/>
      </c>
      <c r="O1868">
        <f>G1868&lt;=$T$12</f>
        <v/>
      </c>
      <c r="P1868">
        <f>OR(AND(H1868&gt;=$T$4,K1868&lt;=$T$5,N1868),M1868)</f>
        <v/>
      </c>
      <c r="Q1868">
        <f>OR(AND(I1868&gt;=$T$10,K1868&lt;=$T$11,O1868),M1868)</f>
        <v/>
      </c>
    </row>
    <row r="1869">
      <c r="A1869">
        <f>Data!E1958</f>
        <v/>
      </c>
      <c r="B1869">
        <f>Data!G1958</f>
        <v/>
      </c>
      <c r="C1869">
        <f>Data!H1958</f>
        <v/>
      </c>
      <c r="D1869">
        <f>Data!I1958</f>
        <v/>
      </c>
      <c r="E1869">
        <f>Data!M1958</f>
        <v/>
      </c>
      <c r="F1869">
        <f>Data!O1958</f>
        <v/>
      </c>
      <c r="G1869">
        <f>E1869-F1869</f>
        <v/>
      </c>
      <c r="H1869">
        <f>Data!P1958</f>
        <v/>
      </c>
      <c r="I1869">
        <f>G1869+H1869</f>
        <v/>
      </c>
      <c r="J1869">
        <f>F1869+G1869+H1869</f>
        <v/>
      </c>
      <c r="K1869">
        <f>Data!R1958</f>
        <v/>
      </c>
      <c r="L1869">
        <f>Data!T1958</f>
        <v/>
      </c>
      <c r="M1869">
        <f>AND(E1869=0,F1869=0,G1869=0,H1869=0,I1869=0,J1869=0,K1869=0,L1869=0)</f>
        <v/>
      </c>
      <c r="N1869">
        <f>G1869&lt;=$T$6</f>
        <v/>
      </c>
      <c r="O1869">
        <f>G1869&lt;=$T$12</f>
        <v/>
      </c>
      <c r="P1869">
        <f>OR(AND(H1869&gt;=$T$4,K1869&lt;=$T$5,N1869),M1869)</f>
        <v/>
      </c>
      <c r="Q1869">
        <f>OR(AND(I1869&gt;=$T$10,K1869&lt;=$T$11,O1869),M1869)</f>
        <v/>
      </c>
    </row>
    <row r="1870">
      <c r="A1870">
        <f>Data!E1959</f>
        <v/>
      </c>
      <c r="B1870">
        <f>Data!G1959</f>
        <v/>
      </c>
      <c r="C1870">
        <f>Data!H1959</f>
        <v/>
      </c>
      <c r="D1870">
        <f>Data!I1959</f>
        <v/>
      </c>
      <c r="E1870">
        <f>Data!M1959</f>
        <v/>
      </c>
      <c r="F1870">
        <f>Data!O1959</f>
        <v/>
      </c>
      <c r="G1870">
        <f>E1870-F1870</f>
        <v/>
      </c>
      <c r="H1870">
        <f>Data!P1959</f>
        <v/>
      </c>
      <c r="I1870">
        <f>G1870+H1870</f>
        <v/>
      </c>
      <c r="J1870">
        <f>F1870+G1870+H1870</f>
        <v/>
      </c>
      <c r="K1870">
        <f>Data!R1959</f>
        <v/>
      </c>
      <c r="L1870">
        <f>Data!T1959</f>
        <v/>
      </c>
      <c r="M1870">
        <f>AND(E1870=0,F1870=0,G1870=0,H1870=0,I1870=0,J1870=0,K1870=0,L1870=0)</f>
        <v/>
      </c>
      <c r="N1870">
        <f>G1870&lt;=$T$6</f>
        <v/>
      </c>
      <c r="O1870">
        <f>G1870&lt;=$T$12</f>
        <v/>
      </c>
      <c r="P1870">
        <f>OR(AND(H1870&gt;=$T$4,K1870&lt;=$T$5,N1870),M1870)</f>
        <v/>
      </c>
      <c r="Q1870">
        <f>OR(AND(I1870&gt;=$T$10,K1870&lt;=$T$11,O1870),M1870)</f>
        <v/>
      </c>
    </row>
    <row r="1871">
      <c r="A1871">
        <f>Data!E1960</f>
        <v/>
      </c>
      <c r="B1871">
        <f>Data!G1960</f>
        <v/>
      </c>
      <c r="C1871">
        <f>Data!H1960</f>
        <v/>
      </c>
      <c r="D1871">
        <f>Data!I1960</f>
        <v/>
      </c>
      <c r="E1871">
        <f>Data!M1960</f>
        <v/>
      </c>
      <c r="F1871">
        <f>Data!O1960</f>
        <v/>
      </c>
      <c r="G1871">
        <f>E1871-F1871</f>
        <v/>
      </c>
      <c r="H1871">
        <f>Data!P1960</f>
        <v/>
      </c>
      <c r="I1871">
        <f>G1871+H1871</f>
        <v/>
      </c>
      <c r="J1871">
        <f>F1871+G1871+H1871</f>
        <v/>
      </c>
      <c r="K1871">
        <f>Data!R1960</f>
        <v/>
      </c>
      <c r="L1871">
        <f>Data!T1960</f>
        <v/>
      </c>
      <c r="M1871">
        <f>AND(E1871=0,F1871=0,G1871=0,H1871=0,I1871=0,J1871=0,K1871=0,L1871=0)</f>
        <v/>
      </c>
      <c r="N1871">
        <f>G1871&lt;=$T$6</f>
        <v/>
      </c>
      <c r="O1871">
        <f>G1871&lt;=$T$12</f>
        <v/>
      </c>
      <c r="P1871">
        <f>OR(AND(H1871&gt;=$T$4,K1871&lt;=$T$5,N1871),M1871)</f>
        <v/>
      </c>
      <c r="Q1871">
        <f>OR(AND(I1871&gt;=$T$10,K1871&lt;=$T$11,O1871),M1871)</f>
        <v/>
      </c>
    </row>
    <row r="1872">
      <c r="A1872">
        <f>Data!E1961</f>
        <v/>
      </c>
      <c r="B1872">
        <f>Data!G1961</f>
        <v/>
      </c>
      <c r="C1872">
        <f>Data!H1961</f>
        <v/>
      </c>
      <c r="D1872">
        <f>Data!I1961</f>
        <v/>
      </c>
      <c r="E1872">
        <f>Data!M1961</f>
        <v/>
      </c>
      <c r="F1872">
        <f>Data!O1961</f>
        <v/>
      </c>
      <c r="G1872">
        <f>E1872-F1872</f>
        <v/>
      </c>
      <c r="H1872">
        <f>Data!P1961</f>
        <v/>
      </c>
      <c r="I1872">
        <f>G1872+H1872</f>
        <v/>
      </c>
      <c r="J1872">
        <f>F1872+G1872+H1872</f>
        <v/>
      </c>
      <c r="K1872">
        <f>Data!R1961</f>
        <v/>
      </c>
      <c r="L1872">
        <f>Data!T1961</f>
        <v/>
      </c>
      <c r="M1872">
        <f>AND(E1872=0,F1872=0,G1872=0,H1872=0,I1872=0,J1872=0,K1872=0,L1872=0)</f>
        <v/>
      </c>
      <c r="N1872">
        <f>G1872&lt;=$T$6</f>
        <v/>
      </c>
      <c r="O1872">
        <f>G1872&lt;=$T$12</f>
        <v/>
      </c>
      <c r="P1872">
        <f>OR(AND(H1872&gt;=$T$4,K1872&lt;=$T$5,N1872),M1872)</f>
        <v/>
      </c>
      <c r="Q1872">
        <f>OR(AND(I1872&gt;=$T$10,K1872&lt;=$T$11,O1872),M1872)</f>
        <v/>
      </c>
    </row>
    <row r="1873">
      <c r="A1873">
        <f>Data!E1962</f>
        <v/>
      </c>
      <c r="B1873">
        <f>Data!G1962</f>
        <v/>
      </c>
      <c r="C1873">
        <f>Data!H1962</f>
        <v/>
      </c>
      <c r="D1873">
        <f>Data!I1962</f>
        <v/>
      </c>
      <c r="E1873">
        <f>Data!M1962</f>
        <v/>
      </c>
      <c r="F1873">
        <f>Data!O1962</f>
        <v/>
      </c>
      <c r="G1873">
        <f>E1873-F1873</f>
        <v/>
      </c>
      <c r="H1873">
        <f>Data!P1962</f>
        <v/>
      </c>
      <c r="I1873">
        <f>G1873+H1873</f>
        <v/>
      </c>
      <c r="J1873">
        <f>F1873+G1873+H1873</f>
        <v/>
      </c>
      <c r="K1873">
        <f>Data!R1962</f>
        <v/>
      </c>
      <c r="L1873">
        <f>Data!T1962</f>
        <v/>
      </c>
      <c r="M1873">
        <f>AND(E1873=0,F1873=0,G1873=0,H1873=0,I1873=0,J1873=0,K1873=0,L1873=0)</f>
        <v/>
      </c>
      <c r="N1873">
        <f>G1873&lt;=$T$6</f>
        <v/>
      </c>
      <c r="O1873">
        <f>G1873&lt;=$T$12</f>
        <v/>
      </c>
      <c r="P1873">
        <f>OR(AND(H1873&gt;=$T$4,K1873&lt;=$T$5,N1873),M1873)</f>
        <v/>
      </c>
      <c r="Q1873">
        <f>OR(AND(I1873&gt;=$T$10,K1873&lt;=$T$11,O1873),M1873)</f>
        <v/>
      </c>
    </row>
    <row r="1874">
      <c r="A1874">
        <f>Data!E1963</f>
        <v/>
      </c>
      <c r="B1874">
        <f>Data!G1963</f>
        <v/>
      </c>
      <c r="C1874">
        <f>Data!H1963</f>
        <v/>
      </c>
      <c r="D1874">
        <f>Data!I1963</f>
        <v/>
      </c>
      <c r="E1874">
        <f>Data!M1963</f>
        <v/>
      </c>
      <c r="F1874">
        <f>Data!O1963</f>
        <v/>
      </c>
      <c r="G1874">
        <f>E1874-F1874</f>
        <v/>
      </c>
      <c r="H1874">
        <f>Data!P1963</f>
        <v/>
      </c>
      <c r="I1874">
        <f>G1874+H1874</f>
        <v/>
      </c>
      <c r="J1874">
        <f>F1874+G1874+H1874</f>
        <v/>
      </c>
      <c r="K1874">
        <f>Data!R1963</f>
        <v/>
      </c>
      <c r="L1874">
        <f>Data!T1963</f>
        <v/>
      </c>
      <c r="M1874">
        <f>AND(E1874=0,F1874=0,G1874=0,H1874=0,I1874=0,J1874=0,K1874=0,L1874=0)</f>
        <v/>
      </c>
      <c r="N1874">
        <f>G1874&lt;=$T$6</f>
        <v/>
      </c>
      <c r="O1874">
        <f>G1874&lt;=$T$12</f>
        <v/>
      </c>
      <c r="P1874">
        <f>OR(AND(H1874&gt;=$T$4,K1874&lt;=$T$5,N1874),M1874)</f>
        <v/>
      </c>
      <c r="Q1874">
        <f>OR(AND(I1874&gt;=$T$10,K1874&lt;=$T$11,O1874),M1874)</f>
        <v/>
      </c>
    </row>
    <row r="1875">
      <c r="A1875">
        <f>Data!E1964</f>
        <v/>
      </c>
      <c r="B1875">
        <f>Data!G1964</f>
        <v/>
      </c>
      <c r="C1875">
        <f>Data!H1964</f>
        <v/>
      </c>
      <c r="D1875">
        <f>Data!I1964</f>
        <v/>
      </c>
      <c r="E1875">
        <f>Data!M1964</f>
        <v/>
      </c>
      <c r="F1875">
        <f>Data!O1964</f>
        <v/>
      </c>
      <c r="G1875">
        <f>E1875-F1875</f>
        <v/>
      </c>
      <c r="H1875">
        <f>Data!P1964</f>
        <v/>
      </c>
      <c r="I1875">
        <f>G1875+H1875</f>
        <v/>
      </c>
      <c r="J1875">
        <f>F1875+G1875+H1875</f>
        <v/>
      </c>
      <c r="K1875">
        <f>Data!R1964</f>
        <v/>
      </c>
      <c r="L1875">
        <f>Data!T1964</f>
        <v/>
      </c>
      <c r="M1875">
        <f>AND(E1875=0,F1875=0,G1875=0,H1875=0,I1875=0,J1875=0,K1875=0,L1875=0)</f>
        <v/>
      </c>
      <c r="N1875">
        <f>G1875&lt;=$T$6</f>
        <v/>
      </c>
      <c r="O1875">
        <f>G1875&lt;=$T$12</f>
        <v/>
      </c>
      <c r="P1875">
        <f>OR(AND(H1875&gt;=$T$4,K1875&lt;=$T$5,N1875),M1875)</f>
        <v/>
      </c>
      <c r="Q1875">
        <f>OR(AND(I1875&gt;=$T$10,K1875&lt;=$T$11,O1875),M1875)</f>
        <v/>
      </c>
    </row>
    <row r="1876">
      <c r="A1876">
        <f>Data!E1965</f>
        <v/>
      </c>
      <c r="B1876">
        <f>Data!G1965</f>
        <v/>
      </c>
      <c r="C1876">
        <f>Data!H1965</f>
        <v/>
      </c>
      <c r="D1876">
        <f>Data!I1965</f>
        <v/>
      </c>
      <c r="E1876">
        <f>Data!M1965</f>
        <v/>
      </c>
      <c r="F1876">
        <f>Data!O1965</f>
        <v/>
      </c>
      <c r="G1876">
        <f>E1876-F1876</f>
        <v/>
      </c>
      <c r="H1876">
        <f>Data!P1965</f>
        <v/>
      </c>
      <c r="I1876">
        <f>G1876+H1876</f>
        <v/>
      </c>
      <c r="J1876">
        <f>F1876+G1876+H1876</f>
        <v/>
      </c>
      <c r="K1876">
        <f>Data!R1965</f>
        <v/>
      </c>
      <c r="L1876">
        <f>Data!T1965</f>
        <v/>
      </c>
      <c r="M1876">
        <f>AND(E1876=0,F1876=0,G1876=0,H1876=0,I1876=0,J1876=0,K1876=0,L1876=0)</f>
        <v/>
      </c>
      <c r="N1876">
        <f>G1876&lt;=$T$6</f>
        <v/>
      </c>
      <c r="O1876">
        <f>G1876&lt;=$T$12</f>
        <v/>
      </c>
      <c r="P1876">
        <f>OR(AND(H1876&gt;=$T$4,K1876&lt;=$T$5,N1876),M1876)</f>
        <v/>
      </c>
      <c r="Q1876">
        <f>OR(AND(I1876&gt;=$T$10,K1876&lt;=$T$11,O1876),M1876)</f>
        <v/>
      </c>
    </row>
    <row r="1877">
      <c r="A1877">
        <f>Data!E1966</f>
        <v/>
      </c>
      <c r="B1877">
        <f>Data!G1966</f>
        <v/>
      </c>
      <c r="C1877">
        <f>Data!H1966</f>
        <v/>
      </c>
      <c r="D1877">
        <f>Data!I1966</f>
        <v/>
      </c>
      <c r="E1877">
        <f>Data!M1966</f>
        <v/>
      </c>
      <c r="F1877">
        <f>Data!O1966</f>
        <v/>
      </c>
      <c r="G1877">
        <f>E1877-F1877</f>
        <v/>
      </c>
      <c r="H1877">
        <f>Data!P1966</f>
        <v/>
      </c>
      <c r="I1877">
        <f>G1877+H1877</f>
        <v/>
      </c>
      <c r="J1877">
        <f>F1877+G1877+H1877</f>
        <v/>
      </c>
      <c r="K1877">
        <f>Data!R1966</f>
        <v/>
      </c>
      <c r="L1877">
        <f>Data!T1966</f>
        <v/>
      </c>
      <c r="M1877">
        <f>AND(E1877=0,F1877=0,G1877=0,H1877=0,I1877=0,J1877=0,K1877=0,L1877=0)</f>
        <v/>
      </c>
      <c r="N1877">
        <f>G1877&lt;=$T$6</f>
        <v/>
      </c>
      <c r="O1877">
        <f>G1877&lt;=$T$12</f>
        <v/>
      </c>
      <c r="P1877">
        <f>OR(AND(H1877&gt;=$T$4,K1877&lt;=$T$5,N1877),M1877)</f>
        <v/>
      </c>
      <c r="Q1877">
        <f>OR(AND(I1877&gt;=$T$10,K1877&lt;=$T$11,O1877),M1877)</f>
        <v/>
      </c>
    </row>
    <row r="1878">
      <c r="A1878">
        <f>Data!E1967</f>
        <v/>
      </c>
      <c r="B1878">
        <f>Data!G1967</f>
        <v/>
      </c>
      <c r="C1878">
        <f>Data!H1967</f>
        <v/>
      </c>
      <c r="D1878">
        <f>Data!I1967</f>
        <v/>
      </c>
      <c r="E1878">
        <f>Data!M1967</f>
        <v/>
      </c>
      <c r="F1878">
        <f>Data!O1967</f>
        <v/>
      </c>
      <c r="G1878">
        <f>E1878-F1878</f>
        <v/>
      </c>
      <c r="H1878">
        <f>Data!P1967</f>
        <v/>
      </c>
      <c r="I1878">
        <f>G1878+H1878</f>
        <v/>
      </c>
      <c r="J1878">
        <f>F1878+G1878+H1878</f>
        <v/>
      </c>
      <c r="K1878">
        <f>Data!R1967</f>
        <v/>
      </c>
      <c r="L1878">
        <f>Data!T1967</f>
        <v/>
      </c>
      <c r="M1878">
        <f>AND(E1878=0,F1878=0,G1878=0,H1878=0,I1878=0,J1878=0,K1878=0,L1878=0)</f>
        <v/>
      </c>
      <c r="N1878">
        <f>G1878&lt;=$T$6</f>
        <v/>
      </c>
      <c r="O1878">
        <f>G1878&lt;=$T$12</f>
        <v/>
      </c>
      <c r="P1878">
        <f>OR(AND(H1878&gt;=$T$4,K1878&lt;=$T$5,N1878),M1878)</f>
        <v/>
      </c>
      <c r="Q1878">
        <f>OR(AND(I1878&gt;=$T$10,K1878&lt;=$T$11,O1878),M1878)</f>
        <v/>
      </c>
    </row>
    <row r="1879">
      <c r="A1879">
        <f>Data!E1968</f>
        <v/>
      </c>
      <c r="B1879">
        <f>Data!G1968</f>
        <v/>
      </c>
      <c r="C1879">
        <f>Data!H1968</f>
        <v/>
      </c>
      <c r="D1879">
        <f>Data!I1968</f>
        <v/>
      </c>
      <c r="E1879">
        <f>Data!M1968</f>
        <v/>
      </c>
      <c r="F1879">
        <f>Data!O1968</f>
        <v/>
      </c>
      <c r="G1879">
        <f>E1879-F1879</f>
        <v/>
      </c>
      <c r="H1879">
        <f>Data!P1968</f>
        <v/>
      </c>
      <c r="I1879">
        <f>G1879+H1879</f>
        <v/>
      </c>
      <c r="J1879">
        <f>F1879+G1879+H1879</f>
        <v/>
      </c>
      <c r="K1879">
        <f>Data!R1968</f>
        <v/>
      </c>
      <c r="L1879">
        <f>Data!T1968</f>
        <v/>
      </c>
      <c r="M1879">
        <f>AND(E1879=0,F1879=0,G1879=0,H1879=0,I1879=0,J1879=0,K1879=0,L1879=0)</f>
        <v/>
      </c>
      <c r="N1879">
        <f>G1879&lt;=$T$6</f>
        <v/>
      </c>
      <c r="O1879">
        <f>G1879&lt;=$T$12</f>
        <v/>
      </c>
      <c r="P1879">
        <f>OR(AND(H1879&gt;=$T$4,K1879&lt;=$T$5,N1879),M1879)</f>
        <v/>
      </c>
      <c r="Q1879">
        <f>OR(AND(I1879&gt;=$T$10,K1879&lt;=$T$11,O1879),M1879)</f>
        <v/>
      </c>
    </row>
    <row r="1880">
      <c r="A1880">
        <f>Data!E1969</f>
        <v/>
      </c>
      <c r="B1880">
        <f>Data!G1969</f>
        <v/>
      </c>
      <c r="C1880">
        <f>Data!H1969</f>
        <v/>
      </c>
      <c r="D1880">
        <f>Data!I1969</f>
        <v/>
      </c>
      <c r="E1880">
        <f>Data!M1969</f>
        <v/>
      </c>
      <c r="F1880">
        <f>Data!O1969</f>
        <v/>
      </c>
      <c r="G1880">
        <f>E1880-F1880</f>
        <v/>
      </c>
      <c r="H1880">
        <f>Data!P1969</f>
        <v/>
      </c>
      <c r="I1880">
        <f>G1880+H1880</f>
        <v/>
      </c>
      <c r="J1880">
        <f>F1880+G1880+H1880</f>
        <v/>
      </c>
      <c r="K1880">
        <f>Data!R1969</f>
        <v/>
      </c>
      <c r="L1880">
        <f>Data!T1969</f>
        <v/>
      </c>
      <c r="M1880">
        <f>AND(E1880=0,F1880=0,G1880=0,H1880=0,I1880=0,J1880=0,K1880=0,L1880=0)</f>
        <v/>
      </c>
      <c r="N1880">
        <f>G1880&lt;=$T$6</f>
        <v/>
      </c>
      <c r="O1880">
        <f>G1880&lt;=$T$12</f>
        <v/>
      </c>
      <c r="P1880">
        <f>OR(AND(H1880&gt;=$T$4,K1880&lt;=$T$5,N1880),M1880)</f>
        <v/>
      </c>
      <c r="Q1880">
        <f>OR(AND(I1880&gt;=$T$10,K1880&lt;=$T$11,O1880),M1880)</f>
        <v/>
      </c>
    </row>
    <row r="1881">
      <c r="A1881">
        <f>Data!E1970</f>
        <v/>
      </c>
      <c r="B1881">
        <f>Data!G1970</f>
        <v/>
      </c>
      <c r="C1881">
        <f>Data!H1970</f>
        <v/>
      </c>
      <c r="D1881">
        <f>Data!I1970</f>
        <v/>
      </c>
      <c r="E1881">
        <f>Data!M1970</f>
        <v/>
      </c>
      <c r="F1881">
        <f>Data!O1970</f>
        <v/>
      </c>
      <c r="G1881">
        <f>E1881-F1881</f>
        <v/>
      </c>
      <c r="H1881">
        <f>Data!P1970</f>
        <v/>
      </c>
      <c r="I1881">
        <f>G1881+H1881</f>
        <v/>
      </c>
      <c r="J1881">
        <f>F1881+G1881+H1881</f>
        <v/>
      </c>
      <c r="K1881">
        <f>Data!R1970</f>
        <v/>
      </c>
      <c r="L1881">
        <f>Data!T1970</f>
        <v/>
      </c>
      <c r="M1881">
        <f>AND(E1881=0,F1881=0,G1881=0,H1881=0,I1881=0,J1881=0,K1881=0,L1881=0)</f>
        <v/>
      </c>
      <c r="N1881">
        <f>G1881&lt;=$T$6</f>
        <v/>
      </c>
      <c r="O1881">
        <f>G1881&lt;=$T$12</f>
        <v/>
      </c>
      <c r="P1881">
        <f>OR(AND(H1881&gt;=$T$4,K1881&lt;=$T$5,N1881),M1881)</f>
        <v/>
      </c>
      <c r="Q1881">
        <f>OR(AND(I1881&gt;=$T$10,K1881&lt;=$T$11,O1881),M1881)</f>
        <v/>
      </c>
    </row>
    <row r="1882">
      <c r="A1882">
        <f>Data!E1971</f>
        <v/>
      </c>
      <c r="B1882">
        <f>Data!G1971</f>
        <v/>
      </c>
      <c r="C1882">
        <f>Data!H1971</f>
        <v/>
      </c>
      <c r="D1882">
        <f>Data!I1971</f>
        <v/>
      </c>
      <c r="E1882">
        <f>Data!M1971</f>
        <v/>
      </c>
      <c r="F1882">
        <f>Data!O1971</f>
        <v/>
      </c>
      <c r="G1882">
        <f>E1882-F1882</f>
        <v/>
      </c>
      <c r="H1882">
        <f>Data!P1971</f>
        <v/>
      </c>
      <c r="I1882">
        <f>G1882+H1882</f>
        <v/>
      </c>
      <c r="J1882">
        <f>F1882+G1882+H1882</f>
        <v/>
      </c>
      <c r="K1882">
        <f>Data!R1971</f>
        <v/>
      </c>
      <c r="L1882">
        <f>Data!T1971</f>
        <v/>
      </c>
      <c r="M1882">
        <f>AND(E1882=0,F1882=0,G1882=0,H1882=0,I1882=0,J1882=0,K1882=0,L1882=0)</f>
        <v/>
      </c>
      <c r="N1882">
        <f>G1882&lt;=$T$6</f>
        <v/>
      </c>
      <c r="O1882">
        <f>G1882&lt;=$T$12</f>
        <v/>
      </c>
      <c r="P1882">
        <f>OR(AND(H1882&gt;=$T$4,K1882&lt;=$T$5,N1882),M1882)</f>
        <v/>
      </c>
      <c r="Q1882">
        <f>OR(AND(I1882&gt;=$T$10,K1882&lt;=$T$11,O1882),M1882)</f>
        <v/>
      </c>
    </row>
    <row r="1883">
      <c r="A1883">
        <f>Data!E1972</f>
        <v/>
      </c>
      <c r="B1883">
        <f>Data!G1972</f>
        <v/>
      </c>
      <c r="C1883">
        <f>Data!H1972</f>
        <v/>
      </c>
      <c r="D1883">
        <f>Data!I1972</f>
        <v/>
      </c>
      <c r="E1883">
        <f>Data!M1972</f>
        <v/>
      </c>
      <c r="F1883">
        <f>Data!O1972</f>
        <v/>
      </c>
      <c r="G1883">
        <f>E1883-F1883</f>
        <v/>
      </c>
      <c r="H1883">
        <f>Data!P1972</f>
        <v/>
      </c>
      <c r="I1883">
        <f>G1883+H1883</f>
        <v/>
      </c>
      <c r="J1883">
        <f>F1883+G1883+H1883</f>
        <v/>
      </c>
      <c r="K1883">
        <f>Data!R1972</f>
        <v/>
      </c>
      <c r="L1883">
        <f>Data!T1972</f>
        <v/>
      </c>
      <c r="M1883">
        <f>AND(E1883=0,F1883=0,G1883=0,H1883=0,I1883=0,J1883=0,K1883=0,L1883=0)</f>
        <v/>
      </c>
      <c r="N1883">
        <f>G1883&lt;=$T$6</f>
        <v/>
      </c>
      <c r="O1883">
        <f>G1883&lt;=$T$12</f>
        <v/>
      </c>
      <c r="P1883">
        <f>OR(AND(H1883&gt;=$T$4,K1883&lt;=$T$5,N1883),M1883)</f>
        <v/>
      </c>
      <c r="Q1883">
        <f>OR(AND(I1883&gt;=$T$10,K1883&lt;=$T$11,O1883),M1883)</f>
        <v/>
      </c>
    </row>
    <row r="1884">
      <c r="A1884">
        <f>Data!E1973</f>
        <v/>
      </c>
      <c r="B1884">
        <f>Data!G1973</f>
        <v/>
      </c>
      <c r="C1884">
        <f>Data!H1973</f>
        <v/>
      </c>
      <c r="D1884">
        <f>Data!I1973</f>
        <v/>
      </c>
      <c r="E1884">
        <f>Data!M1973</f>
        <v/>
      </c>
      <c r="F1884">
        <f>Data!O1973</f>
        <v/>
      </c>
      <c r="G1884">
        <f>E1884-F1884</f>
        <v/>
      </c>
      <c r="H1884">
        <f>Data!P1973</f>
        <v/>
      </c>
      <c r="I1884">
        <f>G1884+H1884</f>
        <v/>
      </c>
      <c r="J1884">
        <f>F1884+G1884+H1884</f>
        <v/>
      </c>
      <c r="K1884">
        <f>Data!R1973</f>
        <v/>
      </c>
      <c r="L1884">
        <f>Data!T1973</f>
        <v/>
      </c>
      <c r="M1884">
        <f>AND(E1884=0,F1884=0,G1884=0,H1884=0,I1884=0,J1884=0,K1884=0,L1884=0)</f>
        <v/>
      </c>
      <c r="N1884">
        <f>G1884&lt;=$T$6</f>
        <v/>
      </c>
      <c r="O1884">
        <f>G1884&lt;=$T$12</f>
        <v/>
      </c>
      <c r="P1884">
        <f>OR(AND(H1884&gt;=$T$4,K1884&lt;=$T$5,N1884),M1884)</f>
        <v/>
      </c>
      <c r="Q1884">
        <f>OR(AND(I1884&gt;=$T$10,K1884&lt;=$T$11,O1884),M1884)</f>
        <v/>
      </c>
    </row>
    <row r="1885">
      <c r="A1885">
        <f>Data!E1974</f>
        <v/>
      </c>
      <c r="B1885">
        <f>Data!G1974</f>
        <v/>
      </c>
      <c r="C1885">
        <f>Data!H1974</f>
        <v/>
      </c>
      <c r="D1885">
        <f>Data!I1974</f>
        <v/>
      </c>
      <c r="E1885">
        <f>Data!M1974</f>
        <v/>
      </c>
      <c r="F1885">
        <f>Data!O1974</f>
        <v/>
      </c>
      <c r="G1885">
        <f>E1885-F1885</f>
        <v/>
      </c>
      <c r="H1885">
        <f>Data!P1974</f>
        <v/>
      </c>
      <c r="I1885">
        <f>G1885+H1885</f>
        <v/>
      </c>
      <c r="J1885">
        <f>F1885+G1885+H1885</f>
        <v/>
      </c>
      <c r="K1885">
        <f>Data!R1974</f>
        <v/>
      </c>
      <c r="L1885">
        <f>Data!T1974</f>
        <v/>
      </c>
      <c r="M1885">
        <f>AND(E1885=0,F1885=0,G1885=0,H1885=0,I1885=0,J1885=0,K1885=0,L1885=0)</f>
        <v/>
      </c>
      <c r="N1885">
        <f>G1885&lt;=$T$6</f>
        <v/>
      </c>
      <c r="O1885">
        <f>G1885&lt;=$T$12</f>
        <v/>
      </c>
      <c r="P1885">
        <f>OR(AND(H1885&gt;=$T$4,K1885&lt;=$T$5,N1885),M1885)</f>
        <v/>
      </c>
      <c r="Q1885">
        <f>OR(AND(I1885&gt;=$T$10,K1885&lt;=$T$11,O1885),M1885)</f>
        <v/>
      </c>
    </row>
    <row r="1886">
      <c r="A1886">
        <f>Data!E1975</f>
        <v/>
      </c>
      <c r="B1886">
        <f>Data!G1975</f>
        <v/>
      </c>
      <c r="C1886">
        <f>Data!H1975</f>
        <v/>
      </c>
      <c r="D1886">
        <f>Data!I1975</f>
        <v/>
      </c>
      <c r="E1886">
        <f>Data!M1975</f>
        <v/>
      </c>
      <c r="F1886">
        <f>Data!O1975</f>
        <v/>
      </c>
      <c r="G1886">
        <f>E1886-F1886</f>
        <v/>
      </c>
      <c r="H1886">
        <f>Data!P1975</f>
        <v/>
      </c>
      <c r="I1886">
        <f>G1886+H1886</f>
        <v/>
      </c>
      <c r="J1886">
        <f>F1886+G1886+H1886</f>
        <v/>
      </c>
      <c r="K1886">
        <f>Data!R1975</f>
        <v/>
      </c>
      <c r="L1886">
        <f>Data!T1975</f>
        <v/>
      </c>
      <c r="M1886">
        <f>AND(E1886=0,F1886=0,G1886=0,H1886=0,I1886=0,J1886=0,K1886=0,L1886=0)</f>
        <v/>
      </c>
      <c r="N1886">
        <f>G1886&lt;=$T$6</f>
        <v/>
      </c>
      <c r="O1886">
        <f>G1886&lt;=$T$12</f>
        <v/>
      </c>
      <c r="P1886">
        <f>OR(AND(H1886&gt;=$T$4,K1886&lt;=$T$5,N1886),M1886)</f>
        <v/>
      </c>
      <c r="Q1886">
        <f>OR(AND(I1886&gt;=$T$10,K1886&lt;=$T$11,O1886),M1886)</f>
        <v/>
      </c>
    </row>
    <row r="1887">
      <c r="A1887">
        <f>Data!E1976</f>
        <v/>
      </c>
      <c r="B1887">
        <f>Data!G1976</f>
        <v/>
      </c>
      <c r="C1887">
        <f>Data!H1976</f>
        <v/>
      </c>
      <c r="D1887">
        <f>Data!I1976</f>
        <v/>
      </c>
      <c r="E1887">
        <f>Data!M1976</f>
        <v/>
      </c>
      <c r="F1887">
        <f>Data!O1976</f>
        <v/>
      </c>
      <c r="G1887">
        <f>E1887-F1887</f>
        <v/>
      </c>
      <c r="H1887">
        <f>Data!P1976</f>
        <v/>
      </c>
      <c r="I1887">
        <f>G1887+H1887</f>
        <v/>
      </c>
      <c r="J1887">
        <f>F1887+G1887+H1887</f>
        <v/>
      </c>
      <c r="K1887">
        <f>Data!R1976</f>
        <v/>
      </c>
      <c r="L1887">
        <f>Data!T1976</f>
        <v/>
      </c>
      <c r="M1887">
        <f>AND(E1887=0,F1887=0,G1887=0,H1887=0,I1887=0,J1887=0,K1887=0,L1887=0)</f>
        <v/>
      </c>
      <c r="N1887">
        <f>G1887&lt;=$T$6</f>
        <v/>
      </c>
      <c r="O1887">
        <f>G1887&lt;=$T$12</f>
        <v/>
      </c>
      <c r="P1887">
        <f>OR(AND(H1887&gt;=$T$4,K1887&lt;=$T$5,N1887),M1887)</f>
        <v/>
      </c>
      <c r="Q1887">
        <f>OR(AND(I1887&gt;=$T$10,K1887&lt;=$T$11,O1887),M1887)</f>
        <v/>
      </c>
    </row>
    <row r="1888">
      <c r="A1888">
        <f>Data!E1977</f>
        <v/>
      </c>
      <c r="B1888">
        <f>Data!G1977</f>
        <v/>
      </c>
      <c r="C1888">
        <f>Data!H1977</f>
        <v/>
      </c>
      <c r="D1888">
        <f>Data!I1977</f>
        <v/>
      </c>
      <c r="E1888">
        <f>Data!M1977</f>
        <v/>
      </c>
      <c r="F1888">
        <f>Data!O1977</f>
        <v/>
      </c>
      <c r="G1888">
        <f>E1888-F1888</f>
        <v/>
      </c>
      <c r="H1888">
        <f>Data!P1977</f>
        <v/>
      </c>
      <c r="I1888">
        <f>G1888+H1888</f>
        <v/>
      </c>
      <c r="J1888">
        <f>F1888+G1888+H1888</f>
        <v/>
      </c>
      <c r="K1888">
        <f>Data!R1977</f>
        <v/>
      </c>
      <c r="L1888">
        <f>Data!T1977</f>
        <v/>
      </c>
      <c r="M1888">
        <f>AND(E1888=0,F1888=0,G1888=0,H1888=0,I1888=0,J1888=0,K1888=0,L1888=0)</f>
        <v/>
      </c>
      <c r="N1888">
        <f>G1888&lt;=$T$6</f>
        <v/>
      </c>
      <c r="O1888">
        <f>G1888&lt;=$T$12</f>
        <v/>
      </c>
      <c r="P1888">
        <f>OR(AND(H1888&gt;=$T$4,K1888&lt;=$T$5,N1888),M1888)</f>
        <v/>
      </c>
      <c r="Q1888">
        <f>OR(AND(I1888&gt;=$T$10,K1888&lt;=$T$11,O1888),M1888)</f>
        <v/>
      </c>
    </row>
    <row r="1889">
      <c r="A1889">
        <f>Data!E1978</f>
        <v/>
      </c>
      <c r="B1889">
        <f>Data!G1978</f>
        <v/>
      </c>
      <c r="C1889">
        <f>Data!H1978</f>
        <v/>
      </c>
      <c r="D1889">
        <f>Data!I1978</f>
        <v/>
      </c>
      <c r="E1889">
        <f>Data!M1978</f>
        <v/>
      </c>
      <c r="F1889">
        <f>Data!O1978</f>
        <v/>
      </c>
      <c r="G1889">
        <f>E1889-F1889</f>
        <v/>
      </c>
      <c r="H1889">
        <f>Data!P1978</f>
        <v/>
      </c>
      <c r="I1889">
        <f>G1889+H1889</f>
        <v/>
      </c>
      <c r="J1889">
        <f>F1889+G1889+H1889</f>
        <v/>
      </c>
      <c r="K1889">
        <f>Data!R1978</f>
        <v/>
      </c>
      <c r="L1889">
        <f>Data!T1978</f>
        <v/>
      </c>
      <c r="M1889">
        <f>AND(E1889=0,F1889=0,G1889=0,H1889=0,I1889=0,J1889=0,K1889=0,L1889=0)</f>
        <v/>
      </c>
      <c r="N1889">
        <f>G1889&lt;=$T$6</f>
        <v/>
      </c>
      <c r="O1889">
        <f>G1889&lt;=$T$12</f>
        <v/>
      </c>
      <c r="P1889">
        <f>OR(AND(H1889&gt;=$T$4,K1889&lt;=$T$5,N1889),M1889)</f>
        <v/>
      </c>
      <c r="Q1889">
        <f>OR(AND(I1889&gt;=$T$10,K1889&lt;=$T$11,O1889),M1889)</f>
        <v/>
      </c>
    </row>
    <row r="1890">
      <c r="A1890">
        <f>Data!E1979</f>
        <v/>
      </c>
      <c r="B1890">
        <f>Data!G1979</f>
        <v/>
      </c>
      <c r="C1890">
        <f>Data!H1979</f>
        <v/>
      </c>
      <c r="D1890">
        <f>Data!I1979</f>
        <v/>
      </c>
      <c r="E1890">
        <f>Data!M1979</f>
        <v/>
      </c>
      <c r="F1890">
        <f>Data!O1979</f>
        <v/>
      </c>
      <c r="G1890">
        <f>E1890-F1890</f>
        <v/>
      </c>
      <c r="H1890">
        <f>Data!P1979</f>
        <v/>
      </c>
      <c r="I1890">
        <f>G1890+H1890</f>
        <v/>
      </c>
      <c r="J1890">
        <f>F1890+G1890+H1890</f>
        <v/>
      </c>
      <c r="K1890">
        <f>Data!R1979</f>
        <v/>
      </c>
      <c r="L1890">
        <f>Data!T1979</f>
        <v/>
      </c>
      <c r="M1890">
        <f>AND(E1890=0,F1890=0,G1890=0,H1890=0,I1890=0,J1890=0,K1890=0,L1890=0)</f>
        <v/>
      </c>
      <c r="N1890">
        <f>G1890&lt;=$T$6</f>
        <v/>
      </c>
      <c r="O1890">
        <f>G1890&lt;=$T$12</f>
        <v/>
      </c>
      <c r="P1890">
        <f>OR(AND(H1890&gt;=$T$4,K1890&lt;=$T$5,N1890),M1890)</f>
        <v/>
      </c>
      <c r="Q1890">
        <f>OR(AND(I1890&gt;=$T$10,K1890&lt;=$T$11,O1890),M1890)</f>
        <v/>
      </c>
    </row>
    <row r="1891">
      <c r="A1891">
        <f>Data!E1981</f>
        <v/>
      </c>
      <c r="B1891">
        <f>Data!G1981</f>
        <v/>
      </c>
      <c r="C1891">
        <f>Data!H1981</f>
        <v/>
      </c>
      <c r="D1891">
        <f>Data!I1981</f>
        <v/>
      </c>
      <c r="E1891">
        <f>Data!M1981</f>
        <v/>
      </c>
      <c r="F1891">
        <f>Data!O1981</f>
        <v/>
      </c>
      <c r="G1891">
        <f>E1891-F1891</f>
        <v/>
      </c>
      <c r="H1891">
        <f>Data!P1981</f>
        <v/>
      </c>
      <c r="I1891">
        <f>G1891+H1891</f>
        <v/>
      </c>
      <c r="J1891">
        <f>F1891+G1891+H1891</f>
        <v/>
      </c>
      <c r="K1891">
        <f>Data!R1981</f>
        <v/>
      </c>
      <c r="L1891">
        <f>Data!T1981</f>
        <v/>
      </c>
      <c r="M1891">
        <f>AND(E1891=0,F1891=0,G1891=0,H1891=0,I1891=0,J1891=0,K1891=0,L1891=0)</f>
        <v/>
      </c>
      <c r="N1891">
        <f>G1891&lt;=$T$6</f>
        <v/>
      </c>
      <c r="O1891">
        <f>G1891&lt;=$T$12</f>
        <v/>
      </c>
      <c r="P1891">
        <f>OR(AND(H1891&gt;=$T$4,K1891&lt;=$T$5,N1891),M1891)</f>
        <v/>
      </c>
      <c r="Q1891">
        <f>OR(AND(I1891&gt;=$T$10,K1891&lt;=$T$11,O1891),M1891)</f>
        <v/>
      </c>
    </row>
    <row r="1892">
      <c r="A1892">
        <f>Data!E1982</f>
        <v/>
      </c>
      <c r="B1892">
        <f>Data!G1982</f>
        <v/>
      </c>
      <c r="C1892">
        <f>Data!H1982</f>
        <v/>
      </c>
      <c r="D1892">
        <f>Data!I1982</f>
        <v/>
      </c>
      <c r="E1892">
        <f>Data!M1982</f>
        <v/>
      </c>
      <c r="F1892">
        <f>Data!O1982</f>
        <v/>
      </c>
      <c r="G1892">
        <f>E1892-F1892</f>
        <v/>
      </c>
      <c r="H1892">
        <f>Data!P1982</f>
        <v/>
      </c>
      <c r="I1892">
        <f>G1892+H1892</f>
        <v/>
      </c>
      <c r="J1892">
        <f>F1892+G1892+H1892</f>
        <v/>
      </c>
      <c r="K1892">
        <f>Data!R1982</f>
        <v/>
      </c>
      <c r="L1892">
        <f>Data!T1982</f>
        <v/>
      </c>
      <c r="M1892">
        <f>AND(E1892=0,F1892=0,G1892=0,H1892=0,I1892=0,J1892=0,K1892=0,L1892=0)</f>
        <v/>
      </c>
      <c r="N1892">
        <f>G1892&lt;=$T$6</f>
        <v/>
      </c>
      <c r="O1892">
        <f>G1892&lt;=$T$12</f>
        <v/>
      </c>
      <c r="P1892">
        <f>OR(AND(H1892&gt;=$T$4,K1892&lt;=$T$5,N1892),M1892)</f>
        <v/>
      </c>
      <c r="Q1892">
        <f>OR(AND(I1892&gt;=$T$10,K1892&lt;=$T$11,O1892),M1892)</f>
        <v/>
      </c>
    </row>
    <row r="1893">
      <c r="A1893">
        <f>Data!E1983</f>
        <v/>
      </c>
      <c r="B1893">
        <f>Data!G1983</f>
        <v/>
      </c>
      <c r="C1893">
        <f>Data!H1983</f>
        <v/>
      </c>
      <c r="D1893">
        <f>Data!I1983</f>
        <v/>
      </c>
      <c r="E1893">
        <f>Data!M1983</f>
        <v/>
      </c>
      <c r="F1893">
        <f>Data!O1983</f>
        <v/>
      </c>
      <c r="G1893">
        <f>E1893-F1893</f>
        <v/>
      </c>
      <c r="H1893">
        <f>Data!P1983</f>
        <v/>
      </c>
      <c r="I1893">
        <f>G1893+H1893</f>
        <v/>
      </c>
      <c r="J1893">
        <f>F1893+G1893+H1893</f>
        <v/>
      </c>
      <c r="K1893">
        <f>Data!R1983</f>
        <v/>
      </c>
      <c r="L1893">
        <f>Data!T1983</f>
        <v/>
      </c>
      <c r="M1893">
        <f>AND(E1893=0,F1893=0,G1893=0,H1893=0,I1893=0,J1893=0,K1893=0,L1893=0)</f>
        <v/>
      </c>
      <c r="N1893">
        <f>G1893&lt;=$T$6</f>
        <v/>
      </c>
      <c r="O1893">
        <f>G1893&lt;=$T$12</f>
        <v/>
      </c>
      <c r="P1893">
        <f>OR(AND(H1893&gt;=$T$4,K1893&lt;=$T$5,N1893),M1893)</f>
        <v/>
      </c>
      <c r="Q1893">
        <f>OR(AND(I1893&gt;=$T$10,K1893&lt;=$T$11,O1893),M1893)</f>
        <v/>
      </c>
    </row>
    <row r="1894">
      <c r="A1894">
        <f>Data!E1984</f>
        <v/>
      </c>
      <c r="B1894">
        <f>Data!G1984</f>
        <v/>
      </c>
      <c r="C1894">
        <f>Data!H1984</f>
        <v/>
      </c>
      <c r="D1894">
        <f>Data!I1984</f>
        <v/>
      </c>
      <c r="E1894">
        <f>Data!M1984</f>
        <v/>
      </c>
      <c r="F1894">
        <f>Data!O1984</f>
        <v/>
      </c>
      <c r="G1894">
        <f>E1894-F1894</f>
        <v/>
      </c>
      <c r="H1894">
        <f>Data!P1984</f>
        <v/>
      </c>
      <c r="I1894">
        <f>G1894+H1894</f>
        <v/>
      </c>
      <c r="J1894">
        <f>F1894+G1894+H1894</f>
        <v/>
      </c>
      <c r="K1894">
        <f>Data!R1984</f>
        <v/>
      </c>
      <c r="L1894">
        <f>Data!T1984</f>
        <v/>
      </c>
      <c r="M1894">
        <f>AND(E1894=0,F1894=0,G1894=0,H1894=0,I1894=0,J1894=0,K1894=0,L1894=0)</f>
        <v/>
      </c>
      <c r="N1894">
        <f>G1894&lt;=$T$6</f>
        <v/>
      </c>
      <c r="O1894">
        <f>G1894&lt;=$T$12</f>
        <v/>
      </c>
      <c r="P1894">
        <f>OR(AND(H1894&gt;=$T$4,K1894&lt;=$T$5,N1894),M1894)</f>
        <v/>
      </c>
      <c r="Q1894">
        <f>OR(AND(I1894&gt;=$T$10,K1894&lt;=$T$11,O1894),M1894)</f>
        <v/>
      </c>
    </row>
    <row r="1895">
      <c r="A1895">
        <f>Data!E1985</f>
        <v/>
      </c>
      <c r="B1895">
        <f>Data!G1985</f>
        <v/>
      </c>
      <c r="C1895">
        <f>Data!H1985</f>
        <v/>
      </c>
      <c r="D1895">
        <f>Data!I1985</f>
        <v/>
      </c>
      <c r="E1895">
        <f>Data!M1985</f>
        <v/>
      </c>
      <c r="F1895">
        <f>Data!O1985</f>
        <v/>
      </c>
      <c r="G1895">
        <f>E1895-F1895</f>
        <v/>
      </c>
      <c r="H1895">
        <f>Data!P1985</f>
        <v/>
      </c>
      <c r="I1895">
        <f>G1895+H1895</f>
        <v/>
      </c>
      <c r="J1895">
        <f>F1895+G1895+H1895</f>
        <v/>
      </c>
      <c r="K1895">
        <f>Data!R1985</f>
        <v/>
      </c>
      <c r="L1895">
        <f>Data!T1985</f>
        <v/>
      </c>
      <c r="M1895">
        <f>AND(E1895=0,F1895=0,G1895=0,H1895=0,I1895=0,J1895=0,K1895=0,L1895=0)</f>
        <v/>
      </c>
      <c r="N1895">
        <f>G1895&lt;=$T$6</f>
        <v/>
      </c>
      <c r="O1895">
        <f>G1895&lt;=$T$12</f>
        <v/>
      </c>
      <c r="P1895">
        <f>OR(AND(H1895&gt;=$T$4,K1895&lt;=$T$5,N1895),M1895)</f>
        <v/>
      </c>
      <c r="Q1895">
        <f>OR(AND(I1895&gt;=$T$10,K1895&lt;=$T$11,O1895),M1895)</f>
        <v/>
      </c>
    </row>
    <row r="1896">
      <c r="A1896">
        <f>Data!E1986</f>
        <v/>
      </c>
      <c r="B1896">
        <f>Data!G1986</f>
        <v/>
      </c>
      <c r="C1896">
        <f>Data!H1986</f>
        <v/>
      </c>
      <c r="D1896">
        <f>Data!I1986</f>
        <v/>
      </c>
      <c r="E1896">
        <f>Data!M1986</f>
        <v/>
      </c>
      <c r="F1896">
        <f>Data!O1986</f>
        <v/>
      </c>
      <c r="G1896">
        <f>E1896-F1896</f>
        <v/>
      </c>
      <c r="H1896">
        <f>Data!P1986</f>
        <v/>
      </c>
      <c r="I1896">
        <f>G1896+H1896</f>
        <v/>
      </c>
      <c r="J1896">
        <f>F1896+G1896+H1896</f>
        <v/>
      </c>
      <c r="K1896">
        <f>Data!R1986</f>
        <v/>
      </c>
      <c r="L1896">
        <f>Data!T1986</f>
        <v/>
      </c>
      <c r="M1896">
        <f>AND(E1896=0,F1896=0,G1896=0,H1896=0,I1896=0,J1896=0,K1896=0,L1896=0)</f>
        <v/>
      </c>
      <c r="N1896">
        <f>G1896&lt;=$T$6</f>
        <v/>
      </c>
      <c r="O1896">
        <f>G1896&lt;=$T$12</f>
        <v/>
      </c>
      <c r="P1896">
        <f>OR(AND(H1896&gt;=$T$4,K1896&lt;=$T$5,N1896),M1896)</f>
        <v/>
      </c>
      <c r="Q1896">
        <f>OR(AND(I1896&gt;=$T$10,K1896&lt;=$T$11,O1896),M1896)</f>
        <v/>
      </c>
    </row>
    <row r="1897">
      <c r="A1897">
        <f>Data!E1987</f>
        <v/>
      </c>
      <c r="B1897">
        <f>Data!G1987</f>
        <v/>
      </c>
      <c r="C1897">
        <f>Data!H1987</f>
        <v/>
      </c>
      <c r="D1897">
        <f>Data!I1987</f>
        <v/>
      </c>
      <c r="E1897">
        <f>Data!M1987</f>
        <v/>
      </c>
      <c r="F1897">
        <f>Data!O1987</f>
        <v/>
      </c>
      <c r="G1897">
        <f>E1897-F1897</f>
        <v/>
      </c>
      <c r="H1897">
        <f>Data!P1987</f>
        <v/>
      </c>
      <c r="I1897">
        <f>G1897+H1897</f>
        <v/>
      </c>
      <c r="J1897">
        <f>F1897+G1897+H1897</f>
        <v/>
      </c>
      <c r="K1897">
        <f>Data!R1987</f>
        <v/>
      </c>
      <c r="L1897">
        <f>Data!T1987</f>
        <v/>
      </c>
      <c r="M1897">
        <f>AND(E1897=0,F1897=0,G1897=0,H1897=0,I1897=0,J1897=0,K1897=0,L1897=0)</f>
        <v/>
      </c>
      <c r="N1897">
        <f>G1897&lt;=$T$6</f>
        <v/>
      </c>
      <c r="O1897">
        <f>G1897&lt;=$T$12</f>
        <v/>
      </c>
      <c r="P1897">
        <f>OR(AND(H1897&gt;=$T$4,K1897&lt;=$T$5,N1897),M1897)</f>
        <v/>
      </c>
      <c r="Q1897">
        <f>OR(AND(I1897&gt;=$T$10,K1897&lt;=$T$11,O1897),M1897)</f>
        <v/>
      </c>
    </row>
    <row r="1898">
      <c r="A1898">
        <f>Data!E1988</f>
        <v/>
      </c>
      <c r="B1898">
        <f>Data!G1988</f>
        <v/>
      </c>
      <c r="C1898">
        <f>Data!H1988</f>
        <v/>
      </c>
      <c r="D1898">
        <f>Data!I1988</f>
        <v/>
      </c>
      <c r="E1898">
        <f>Data!M1988</f>
        <v/>
      </c>
      <c r="F1898">
        <f>Data!O1988</f>
        <v/>
      </c>
      <c r="G1898">
        <f>E1898-F1898</f>
        <v/>
      </c>
      <c r="H1898">
        <f>Data!P1988</f>
        <v/>
      </c>
      <c r="I1898">
        <f>G1898+H1898</f>
        <v/>
      </c>
      <c r="J1898">
        <f>F1898+G1898+H1898</f>
        <v/>
      </c>
      <c r="K1898">
        <f>Data!R1988</f>
        <v/>
      </c>
      <c r="L1898">
        <f>Data!T1988</f>
        <v/>
      </c>
      <c r="M1898">
        <f>AND(E1898=0,F1898=0,G1898=0,H1898=0,I1898=0,J1898=0,K1898=0,L1898=0)</f>
        <v/>
      </c>
      <c r="N1898">
        <f>G1898&lt;=$T$6</f>
        <v/>
      </c>
      <c r="O1898">
        <f>G1898&lt;=$T$12</f>
        <v/>
      </c>
      <c r="P1898">
        <f>OR(AND(H1898&gt;=$T$4,K1898&lt;=$T$5,N1898),M1898)</f>
        <v/>
      </c>
      <c r="Q1898">
        <f>OR(AND(I1898&gt;=$T$10,K1898&lt;=$T$11,O1898),M1898)</f>
        <v/>
      </c>
    </row>
    <row r="1899">
      <c r="A1899">
        <f>Data!E1989</f>
        <v/>
      </c>
      <c r="B1899">
        <f>Data!G1989</f>
        <v/>
      </c>
      <c r="C1899">
        <f>Data!H1989</f>
        <v/>
      </c>
      <c r="D1899">
        <f>Data!I1989</f>
        <v/>
      </c>
      <c r="E1899">
        <f>Data!M1989</f>
        <v/>
      </c>
      <c r="F1899">
        <f>Data!O1989</f>
        <v/>
      </c>
      <c r="G1899">
        <f>E1899-F1899</f>
        <v/>
      </c>
      <c r="H1899">
        <f>Data!P1989</f>
        <v/>
      </c>
      <c r="I1899">
        <f>G1899+H1899</f>
        <v/>
      </c>
      <c r="J1899">
        <f>F1899+G1899+H1899</f>
        <v/>
      </c>
      <c r="K1899">
        <f>Data!R1989</f>
        <v/>
      </c>
      <c r="L1899">
        <f>Data!T1989</f>
        <v/>
      </c>
      <c r="M1899">
        <f>AND(E1899=0,F1899=0,G1899=0,H1899=0,I1899=0,J1899=0,K1899=0,L1899=0)</f>
        <v/>
      </c>
      <c r="N1899">
        <f>G1899&lt;=$T$6</f>
        <v/>
      </c>
      <c r="O1899">
        <f>G1899&lt;=$T$12</f>
        <v/>
      </c>
      <c r="P1899">
        <f>OR(AND(H1899&gt;=$T$4,K1899&lt;=$T$5,N1899),M1899)</f>
        <v/>
      </c>
      <c r="Q1899">
        <f>OR(AND(I1899&gt;=$T$10,K1899&lt;=$T$11,O1899),M1899)</f>
        <v/>
      </c>
    </row>
    <row r="1900">
      <c r="A1900">
        <f>Data!E1990</f>
        <v/>
      </c>
      <c r="B1900">
        <f>Data!G1990</f>
        <v/>
      </c>
      <c r="C1900">
        <f>Data!H1990</f>
        <v/>
      </c>
      <c r="D1900">
        <f>Data!I1990</f>
        <v/>
      </c>
      <c r="E1900">
        <f>Data!M1990</f>
        <v/>
      </c>
      <c r="F1900">
        <f>Data!O1990</f>
        <v/>
      </c>
      <c r="G1900">
        <f>E1900-F1900</f>
        <v/>
      </c>
      <c r="H1900">
        <f>Data!P1990</f>
        <v/>
      </c>
      <c r="I1900">
        <f>G1900+H1900</f>
        <v/>
      </c>
      <c r="J1900">
        <f>F1900+G1900+H1900</f>
        <v/>
      </c>
      <c r="K1900">
        <f>Data!R1990</f>
        <v/>
      </c>
      <c r="L1900">
        <f>Data!T1990</f>
        <v/>
      </c>
      <c r="M1900">
        <f>AND(E1900=0,F1900=0,G1900=0,H1900=0,I1900=0,J1900=0,K1900=0,L1900=0)</f>
        <v/>
      </c>
      <c r="N1900">
        <f>G1900&lt;=$T$6</f>
        <v/>
      </c>
      <c r="O1900">
        <f>G1900&lt;=$T$12</f>
        <v/>
      </c>
      <c r="P1900">
        <f>OR(AND(H1900&gt;=$T$4,K1900&lt;=$T$5,N1900),M1900)</f>
        <v/>
      </c>
      <c r="Q1900">
        <f>OR(AND(I1900&gt;=$T$10,K1900&lt;=$T$11,O1900),M1900)</f>
        <v/>
      </c>
    </row>
    <row r="1901">
      <c r="A1901">
        <f>Data!E1991</f>
        <v/>
      </c>
      <c r="B1901">
        <f>Data!G1991</f>
        <v/>
      </c>
      <c r="C1901">
        <f>Data!H1991</f>
        <v/>
      </c>
      <c r="D1901">
        <f>Data!I1991</f>
        <v/>
      </c>
      <c r="E1901">
        <f>Data!M1991</f>
        <v/>
      </c>
      <c r="F1901">
        <f>Data!O1991</f>
        <v/>
      </c>
      <c r="G1901">
        <f>E1901-F1901</f>
        <v/>
      </c>
      <c r="H1901">
        <f>Data!P1991</f>
        <v/>
      </c>
      <c r="I1901">
        <f>G1901+H1901</f>
        <v/>
      </c>
      <c r="J1901">
        <f>F1901+G1901+H1901</f>
        <v/>
      </c>
      <c r="K1901">
        <f>Data!R1991</f>
        <v/>
      </c>
      <c r="L1901">
        <f>Data!T1991</f>
        <v/>
      </c>
      <c r="M1901">
        <f>AND(E1901=0,F1901=0,G1901=0,H1901=0,I1901=0,J1901=0,K1901=0,L1901=0)</f>
        <v/>
      </c>
      <c r="N1901">
        <f>G1901&lt;=$T$6</f>
        <v/>
      </c>
      <c r="O1901">
        <f>G1901&lt;=$T$12</f>
        <v/>
      </c>
      <c r="P1901">
        <f>OR(AND(H1901&gt;=$T$4,K1901&lt;=$T$5,N1901),M1901)</f>
        <v/>
      </c>
      <c r="Q1901">
        <f>OR(AND(I1901&gt;=$T$10,K1901&lt;=$T$11,O1901),M1901)</f>
        <v/>
      </c>
    </row>
    <row r="1902">
      <c r="A1902">
        <f>Data!E1992</f>
        <v/>
      </c>
      <c r="B1902">
        <f>Data!G1992</f>
        <v/>
      </c>
      <c r="C1902">
        <f>Data!H1992</f>
        <v/>
      </c>
      <c r="D1902">
        <f>Data!I1992</f>
        <v/>
      </c>
      <c r="E1902">
        <f>Data!M1992</f>
        <v/>
      </c>
      <c r="F1902">
        <f>Data!O1992</f>
        <v/>
      </c>
      <c r="G1902">
        <f>E1902-F1902</f>
        <v/>
      </c>
      <c r="H1902">
        <f>Data!P1992</f>
        <v/>
      </c>
      <c r="I1902">
        <f>G1902+H1902</f>
        <v/>
      </c>
      <c r="J1902">
        <f>F1902+G1902+H1902</f>
        <v/>
      </c>
      <c r="K1902">
        <f>Data!R1992</f>
        <v/>
      </c>
      <c r="L1902">
        <f>Data!T1992</f>
        <v/>
      </c>
      <c r="M1902">
        <f>AND(E1902=0,F1902=0,G1902=0,H1902=0,I1902=0,J1902=0,K1902=0,L1902=0)</f>
        <v/>
      </c>
      <c r="N1902">
        <f>G1902&lt;=$T$6</f>
        <v/>
      </c>
      <c r="O1902">
        <f>G1902&lt;=$T$12</f>
        <v/>
      </c>
      <c r="P1902">
        <f>OR(AND(H1902&gt;=$T$4,K1902&lt;=$T$5,N1902),M1902)</f>
        <v/>
      </c>
      <c r="Q1902">
        <f>OR(AND(I1902&gt;=$T$10,K1902&lt;=$T$11,O1902),M1902)</f>
        <v/>
      </c>
    </row>
    <row r="1903">
      <c r="A1903">
        <f>Data!E1994</f>
        <v/>
      </c>
      <c r="B1903">
        <f>Data!G1994</f>
        <v/>
      </c>
      <c r="C1903">
        <f>Data!H1994</f>
        <v/>
      </c>
      <c r="D1903">
        <f>Data!I1994</f>
        <v/>
      </c>
      <c r="E1903">
        <f>Data!M1994</f>
        <v/>
      </c>
      <c r="F1903">
        <f>Data!O1994</f>
        <v/>
      </c>
      <c r="G1903">
        <f>E1903-F1903</f>
        <v/>
      </c>
      <c r="H1903">
        <f>Data!P1994</f>
        <v/>
      </c>
      <c r="I1903">
        <f>G1903+H1903</f>
        <v/>
      </c>
      <c r="J1903">
        <f>F1903+G1903+H1903</f>
        <v/>
      </c>
      <c r="K1903">
        <f>Data!R1994</f>
        <v/>
      </c>
      <c r="L1903">
        <f>Data!T1994</f>
        <v/>
      </c>
      <c r="M1903">
        <f>AND(E1903=0,F1903=0,G1903=0,H1903=0,I1903=0,J1903=0,K1903=0,L1903=0)</f>
        <v/>
      </c>
      <c r="N1903">
        <f>G1903&lt;=$T$6</f>
        <v/>
      </c>
      <c r="O1903">
        <f>G1903&lt;=$T$12</f>
        <v/>
      </c>
      <c r="P1903">
        <f>OR(AND(H1903&gt;=$T$4,K1903&lt;=$T$5,N1903),M1903)</f>
        <v/>
      </c>
      <c r="Q1903">
        <f>OR(AND(I1903&gt;=$T$10,K1903&lt;=$T$11,O1903),M1903)</f>
        <v/>
      </c>
    </row>
    <row r="1904">
      <c r="A1904">
        <f>Data!E1995</f>
        <v/>
      </c>
      <c r="B1904">
        <f>Data!G1995</f>
        <v/>
      </c>
      <c r="C1904">
        <f>Data!H1995</f>
        <v/>
      </c>
      <c r="D1904">
        <f>Data!I1995</f>
        <v/>
      </c>
      <c r="E1904">
        <f>Data!M1995</f>
        <v/>
      </c>
      <c r="F1904">
        <f>Data!O1995</f>
        <v/>
      </c>
      <c r="G1904">
        <f>E1904-F1904</f>
        <v/>
      </c>
      <c r="H1904">
        <f>Data!P1995</f>
        <v/>
      </c>
      <c r="I1904">
        <f>G1904+H1904</f>
        <v/>
      </c>
      <c r="J1904">
        <f>F1904+G1904+H1904</f>
        <v/>
      </c>
      <c r="K1904">
        <f>Data!R1995</f>
        <v/>
      </c>
      <c r="L1904">
        <f>Data!T1995</f>
        <v/>
      </c>
      <c r="M1904">
        <f>AND(E1904=0,F1904=0,G1904=0,H1904=0,I1904=0,J1904=0,K1904=0,L1904=0)</f>
        <v/>
      </c>
      <c r="N1904">
        <f>G1904&lt;=$T$6</f>
        <v/>
      </c>
      <c r="O1904">
        <f>G1904&lt;=$T$12</f>
        <v/>
      </c>
      <c r="P1904">
        <f>OR(AND(H1904&gt;=$T$4,K1904&lt;=$T$5,N1904),M1904)</f>
        <v/>
      </c>
      <c r="Q1904">
        <f>OR(AND(I1904&gt;=$T$10,K1904&lt;=$T$11,O1904),M1904)</f>
        <v/>
      </c>
    </row>
    <row r="1905">
      <c r="A1905">
        <f>Data!E1996</f>
        <v/>
      </c>
      <c r="B1905">
        <f>Data!G1996</f>
        <v/>
      </c>
      <c r="C1905">
        <f>Data!H1996</f>
        <v/>
      </c>
      <c r="D1905">
        <f>Data!I1996</f>
        <v/>
      </c>
      <c r="E1905">
        <f>Data!M1996</f>
        <v/>
      </c>
      <c r="F1905">
        <f>Data!O1996</f>
        <v/>
      </c>
      <c r="G1905">
        <f>E1905-F1905</f>
        <v/>
      </c>
      <c r="H1905">
        <f>Data!P1996</f>
        <v/>
      </c>
      <c r="I1905">
        <f>G1905+H1905</f>
        <v/>
      </c>
      <c r="J1905">
        <f>F1905+G1905+H1905</f>
        <v/>
      </c>
      <c r="K1905">
        <f>Data!R1996</f>
        <v/>
      </c>
      <c r="L1905">
        <f>Data!T1996</f>
        <v/>
      </c>
      <c r="M1905">
        <f>AND(E1905=0,F1905=0,G1905=0,H1905=0,I1905=0,J1905=0,K1905=0,L1905=0)</f>
        <v/>
      </c>
      <c r="N1905">
        <f>G1905&lt;=$T$6</f>
        <v/>
      </c>
      <c r="O1905">
        <f>G1905&lt;=$T$12</f>
        <v/>
      </c>
      <c r="P1905">
        <f>OR(AND(H1905&gt;=$T$4,K1905&lt;=$T$5,N1905),M1905)</f>
        <v/>
      </c>
      <c r="Q1905">
        <f>OR(AND(I1905&gt;=$T$10,K1905&lt;=$T$11,O1905),M1905)</f>
        <v/>
      </c>
    </row>
    <row r="1906">
      <c r="A1906">
        <f>Data!E1997</f>
        <v/>
      </c>
      <c r="B1906">
        <f>Data!G1997</f>
        <v/>
      </c>
      <c r="C1906">
        <f>Data!H1997</f>
        <v/>
      </c>
      <c r="D1906">
        <f>Data!I1997</f>
        <v/>
      </c>
      <c r="E1906">
        <f>Data!M1997</f>
        <v/>
      </c>
      <c r="F1906">
        <f>Data!O1997</f>
        <v/>
      </c>
      <c r="G1906">
        <f>E1906-F1906</f>
        <v/>
      </c>
      <c r="H1906">
        <f>Data!P1997</f>
        <v/>
      </c>
      <c r="I1906">
        <f>G1906+H1906</f>
        <v/>
      </c>
      <c r="J1906">
        <f>F1906+G1906+H1906</f>
        <v/>
      </c>
      <c r="K1906">
        <f>Data!R1997</f>
        <v/>
      </c>
      <c r="L1906">
        <f>Data!T1997</f>
        <v/>
      </c>
      <c r="M1906">
        <f>AND(E1906=0,F1906=0,G1906=0,H1906=0,I1906=0,J1906=0,K1906=0,L1906=0)</f>
        <v/>
      </c>
      <c r="N1906">
        <f>G1906&lt;=$T$6</f>
        <v/>
      </c>
      <c r="O1906">
        <f>G1906&lt;=$T$12</f>
        <v/>
      </c>
      <c r="P1906">
        <f>OR(AND(H1906&gt;=$T$4,K1906&lt;=$T$5,N1906),M1906)</f>
        <v/>
      </c>
      <c r="Q1906">
        <f>OR(AND(I1906&gt;=$T$10,K1906&lt;=$T$11,O1906),M1906)</f>
        <v/>
      </c>
    </row>
    <row r="1907">
      <c r="A1907">
        <f>Data!E1998</f>
        <v/>
      </c>
      <c r="B1907">
        <f>Data!G1998</f>
        <v/>
      </c>
      <c r="C1907">
        <f>Data!H1998</f>
        <v/>
      </c>
      <c r="D1907">
        <f>Data!I1998</f>
        <v/>
      </c>
      <c r="E1907">
        <f>Data!M1998</f>
        <v/>
      </c>
      <c r="F1907">
        <f>Data!O1998</f>
        <v/>
      </c>
      <c r="G1907">
        <f>E1907-F1907</f>
        <v/>
      </c>
      <c r="H1907">
        <f>Data!P1998</f>
        <v/>
      </c>
      <c r="I1907">
        <f>G1907+H1907</f>
        <v/>
      </c>
      <c r="J1907">
        <f>F1907+G1907+H1907</f>
        <v/>
      </c>
      <c r="K1907">
        <f>Data!R1998</f>
        <v/>
      </c>
      <c r="L1907">
        <f>Data!T1998</f>
        <v/>
      </c>
      <c r="M1907">
        <f>AND(E1907=0,F1907=0,G1907=0,H1907=0,I1907=0,J1907=0,K1907=0,L1907=0)</f>
        <v/>
      </c>
      <c r="N1907">
        <f>G1907&lt;=$T$6</f>
        <v/>
      </c>
      <c r="O1907">
        <f>G1907&lt;=$T$12</f>
        <v/>
      </c>
      <c r="P1907">
        <f>OR(AND(H1907&gt;=$T$4,K1907&lt;=$T$5,N1907),M1907)</f>
        <v/>
      </c>
      <c r="Q1907">
        <f>OR(AND(I1907&gt;=$T$10,K1907&lt;=$T$11,O1907),M1907)</f>
        <v/>
      </c>
    </row>
    <row r="1908">
      <c r="A1908">
        <f>Data!E1999</f>
        <v/>
      </c>
      <c r="B1908">
        <f>Data!G1999</f>
        <v/>
      </c>
      <c r="C1908">
        <f>Data!H1999</f>
        <v/>
      </c>
      <c r="D1908">
        <f>Data!I1999</f>
        <v/>
      </c>
      <c r="E1908">
        <f>Data!M1999</f>
        <v/>
      </c>
      <c r="F1908">
        <f>Data!O1999</f>
        <v/>
      </c>
      <c r="G1908">
        <f>E1908-F1908</f>
        <v/>
      </c>
      <c r="H1908">
        <f>Data!P1999</f>
        <v/>
      </c>
      <c r="I1908">
        <f>G1908+H1908</f>
        <v/>
      </c>
      <c r="J1908">
        <f>F1908+G1908+H1908</f>
        <v/>
      </c>
      <c r="K1908">
        <f>Data!R1999</f>
        <v/>
      </c>
      <c r="L1908">
        <f>Data!T1999</f>
        <v/>
      </c>
      <c r="M1908">
        <f>AND(E1908=0,F1908=0,G1908=0,H1908=0,I1908=0,J1908=0,K1908=0,L1908=0)</f>
        <v/>
      </c>
      <c r="N1908">
        <f>G1908&lt;=$T$6</f>
        <v/>
      </c>
      <c r="O1908">
        <f>G1908&lt;=$T$12</f>
        <v/>
      </c>
      <c r="P1908">
        <f>OR(AND(H1908&gt;=$T$4,K1908&lt;=$T$5,N1908),M1908)</f>
        <v/>
      </c>
      <c r="Q1908">
        <f>OR(AND(I1908&gt;=$T$10,K1908&lt;=$T$11,O1908),M1908)</f>
        <v/>
      </c>
    </row>
    <row r="1909">
      <c r="A1909">
        <f>Data!E2000</f>
        <v/>
      </c>
      <c r="B1909">
        <f>Data!G2000</f>
        <v/>
      </c>
      <c r="C1909">
        <f>Data!H2000</f>
        <v/>
      </c>
      <c r="D1909">
        <f>Data!I2000</f>
        <v/>
      </c>
      <c r="E1909">
        <f>Data!M2000</f>
        <v/>
      </c>
      <c r="F1909">
        <f>Data!O2000</f>
        <v/>
      </c>
      <c r="G1909">
        <f>E1909-F1909</f>
        <v/>
      </c>
      <c r="H1909">
        <f>Data!P2000</f>
        <v/>
      </c>
      <c r="I1909">
        <f>G1909+H1909</f>
        <v/>
      </c>
      <c r="J1909">
        <f>F1909+G1909+H1909</f>
        <v/>
      </c>
      <c r="K1909">
        <f>Data!R2000</f>
        <v/>
      </c>
      <c r="L1909">
        <f>Data!T2000</f>
        <v/>
      </c>
      <c r="M1909">
        <f>AND(E1909=0,F1909=0,G1909=0,H1909=0,I1909=0,J1909=0,K1909=0,L1909=0)</f>
        <v/>
      </c>
      <c r="N1909">
        <f>G1909&lt;=$T$6</f>
        <v/>
      </c>
      <c r="O1909">
        <f>G1909&lt;=$T$12</f>
        <v/>
      </c>
      <c r="P1909">
        <f>OR(AND(H1909&gt;=$T$4,K1909&lt;=$T$5,N1909),M1909)</f>
        <v/>
      </c>
      <c r="Q1909">
        <f>OR(AND(I1909&gt;=$T$10,K1909&lt;=$T$11,O1909),M1909)</f>
        <v/>
      </c>
    </row>
    <row r="1910">
      <c r="A1910">
        <f>Data!E2001</f>
        <v/>
      </c>
      <c r="B1910">
        <f>Data!G2001</f>
        <v/>
      </c>
      <c r="C1910">
        <f>Data!H2001</f>
        <v/>
      </c>
      <c r="D1910">
        <f>Data!I2001</f>
        <v/>
      </c>
      <c r="E1910">
        <f>Data!M2001</f>
        <v/>
      </c>
      <c r="F1910">
        <f>Data!O2001</f>
        <v/>
      </c>
      <c r="G1910">
        <f>E1910-F1910</f>
        <v/>
      </c>
      <c r="H1910">
        <f>Data!P2001</f>
        <v/>
      </c>
      <c r="I1910">
        <f>G1910+H1910</f>
        <v/>
      </c>
      <c r="J1910">
        <f>F1910+G1910+H1910</f>
        <v/>
      </c>
      <c r="K1910">
        <f>Data!R2001</f>
        <v/>
      </c>
      <c r="L1910">
        <f>Data!T2001</f>
        <v/>
      </c>
      <c r="M1910">
        <f>AND(E1910=0,F1910=0,G1910=0,H1910=0,I1910=0,J1910=0,K1910=0,L1910=0)</f>
        <v/>
      </c>
      <c r="N1910">
        <f>G1910&lt;=$T$6</f>
        <v/>
      </c>
      <c r="O1910">
        <f>G1910&lt;=$T$12</f>
        <v/>
      </c>
      <c r="P1910">
        <f>OR(AND(H1910&gt;=$T$4,K1910&lt;=$T$5,N1910),M1910)</f>
        <v/>
      </c>
      <c r="Q1910">
        <f>OR(AND(I1910&gt;=$T$10,K1910&lt;=$T$11,O1910),M1910)</f>
        <v/>
      </c>
    </row>
    <row r="1911">
      <c r="A1911">
        <f>Data!E2002</f>
        <v/>
      </c>
      <c r="B1911">
        <f>Data!G2002</f>
        <v/>
      </c>
      <c r="C1911">
        <f>Data!H2002</f>
        <v/>
      </c>
      <c r="D1911">
        <f>Data!I2002</f>
        <v/>
      </c>
      <c r="E1911">
        <f>Data!M2002</f>
        <v/>
      </c>
      <c r="F1911">
        <f>Data!O2002</f>
        <v/>
      </c>
      <c r="G1911">
        <f>E1911-F1911</f>
        <v/>
      </c>
      <c r="H1911">
        <f>Data!P2002</f>
        <v/>
      </c>
      <c r="I1911">
        <f>G1911+H1911</f>
        <v/>
      </c>
      <c r="J1911">
        <f>F1911+G1911+H1911</f>
        <v/>
      </c>
      <c r="K1911">
        <f>Data!R2002</f>
        <v/>
      </c>
      <c r="L1911">
        <f>Data!T2002</f>
        <v/>
      </c>
      <c r="M1911">
        <f>AND(E1911=0,F1911=0,G1911=0,H1911=0,I1911=0,J1911=0,K1911=0,L1911=0)</f>
        <v/>
      </c>
      <c r="N1911">
        <f>G1911&lt;=$T$6</f>
        <v/>
      </c>
      <c r="O1911">
        <f>G1911&lt;=$T$12</f>
        <v/>
      </c>
      <c r="P1911">
        <f>OR(AND(H1911&gt;=$T$4,K1911&lt;=$T$5,N1911),M1911)</f>
        <v/>
      </c>
      <c r="Q1911">
        <f>OR(AND(I1911&gt;=$T$10,K1911&lt;=$T$11,O1911),M1911)</f>
        <v/>
      </c>
    </row>
    <row r="1912">
      <c r="A1912">
        <f>Data!E2003</f>
        <v/>
      </c>
      <c r="B1912">
        <f>Data!G2003</f>
        <v/>
      </c>
      <c r="C1912">
        <f>Data!H2003</f>
        <v/>
      </c>
      <c r="D1912">
        <f>Data!I2003</f>
        <v/>
      </c>
      <c r="E1912">
        <f>Data!M2003</f>
        <v/>
      </c>
      <c r="F1912">
        <f>Data!O2003</f>
        <v/>
      </c>
      <c r="G1912">
        <f>E1912-F1912</f>
        <v/>
      </c>
      <c r="H1912">
        <f>Data!P2003</f>
        <v/>
      </c>
      <c r="I1912">
        <f>G1912+H1912</f>
        <v/>
      </c>
      <c r="J1912">
        <f>F1912+G1912+H1912</f>
        <v/>
      </c>
      <c r="K1912">
        <f>Data!R2003</f>
        <v/>
      </c>
      <c r="L1912">
        <f>Data!T2003</f>
        <v/>
      </c>
      <c r="M1912">
        <f>AND(E1912=0,F1912=0,G1912=0,H1912=0,I1912=0,J1912=0,K1912=0,L1912=0)</f>
        <v/>
      </c>
      <c r="N1912">
        <f>G1912&lt;=$T$6</f>
        <v/>
      </c>
      <c r="O1912">
        <f>G1912&lt;=$T$12</f>
        <v/>
      </c>
      <c r="P1912">
        <f>OR(AND(H1912&gt;=$T$4,K1912&lt;=$T$5,N1912),M1912)</f>
        <v/>
      </c>
      <c r="Q1912">
        <f>OR(AND(I1912&gt;=$T$10,K1912&lt;=$T$11,O1912),M1912)</f>
        <v/>
      </c>
    </row>
    <row r="1913">
      <c r="A1913">
        <f>Data!E2004</f>
        <v/>
      </c>
      <c r="B1913">
        <f>Data!G2004</f>
        <v/>
      </c>
      <c r="C1913">
        <f>Data!H2004</f>
        <v/>
      </c>
      <c r="D1913">
        <f>Data!I2004</f>
        <v/>
      </c>
      <c r="E1913">
        <f>Data!M2004</f>
        <v/>
      </c>
      <c r="F1913">
        <f>Data!O2004</f>
        <v/>
      </c>
      <c r="G1913">
        <f>E1913-F1913</f>
        <v/>
      </c>
      <c r="H1913">
        <f>Data!P2004</f>
        <v/>
      </c>
      <c r="I1913">
        <f>G1913+H1913</f>
        <v/>
      </c>
      <c r="J1913">
        <f>F1913+G1913+H1913</f>
        <v/>
      </c>
      <c r="K1913">
        <f>Data!R2004</f>
        <v/>
      </c>
      <c r="L1913">
        <f>Data!T2004</f>
        <v/>
      </c>
      <c r="M1913">
        <f>AND(E1913=0,F1913=0,G1913=0,H1913=0,I1913=0,J1913=0,K1913=0,L1913=0)</f>
        <v/>
      </c>
      <c r="N1913">
        <f>G1913&lt;=$T$6</f>
        <v/>
      </c>
      <c r="O1913">
        <f>G1913&lt;=$T$12</f>
        <v/>
      </c>
      <c r="P1913">
        <f>OR(AND(H1913&gt;=$T$4,K1913&lt;=$T$5,N1913),M1913)</f>
        <v/>
      </c>
      <c r="Q1913">
        <f>OR(AND(I1913&gt;=$T$10,K1913&lt;=$T$11,O1913),M1913)</f>
        <v/>
      </c>
    </row>
    <row r="1914">
      <c r="A1914">
        <f>Data!E2005</f>
        <v/>
      </c>
      <c r="B1914">
        <f>Data!G2005</f>
        <v/>
      </c>
      <c r="C1914">
        <f>Data!H2005</f>
        <v/>
      </c>
      <c r="D1914">
        <f>Data!I2005</f>
        <v/>
      </c>
      <c r="E1914">
        <f>Data!M2005</f>
        <v/>
      </c>
      <c r="F1914">
        <f>Data!O2005</f>
        <v/>
      </c>
      <c r="G1914">
        <f>E1914-F1914</f>
        <v/>
      </c>
      <c r="H1914">
        <f>Data!P2005</f>
        <v/>
      </c>
      <c r="I1914">
        <f>G1914+H1914</f>
        <v/>
      </c>
      <c r="J1914">
        <f>F1914+G1914+H1914</f>
        <v/>
      </c>
      <c r="K1914">
        <f>Data!R2005</f>
        <v/>
      </c>
      <c r="L1914">
        <f>Data!T2005</f>
        <v/>
      </c>
      <c r="M1914">
        <f>AND(E1914=0,F1914=0,G1914=0,H1914=0,I1914=0,J1914=0,K1914=0,L1914=0)</f>
        <v/>
      </c>
      <c r="N1914">
        <f>G1914&lt;=$T$6</f>
        <v/>
      </c>
      <c r="O1914">
        <f>G1914&lt;=$T$12</f>
        <v/>
      </c>
      <c r="P1914">
        <f>OR(AND(H1914&gt;=$T$4,K1914&lt;=$T$5,N1914),M1914)</f>
        <v/>
      </c>
      <c r="Q1914">
        <f>OR(AND(I1914&gt;=$T$10,K1914&lt;=$T$11,O1914),M1914)</f>
        <v/>
      </c>
    </row>
    <row r="1915">
      <c r="A1915">
        <f>Data!E2006</f>
        <v/>
      </c>
      <c r="B1915">
        <f>Data!G2006</f>
        <v/>
      </c>
      <c r="C1915">
        <f>Data!H2006</f>
        <v/>
      </c>
      <c r="D1915">
        <f>Data!I2006</f>
        <v/>
      </c>
      <c r="E1915">
        <f>Data!M2006</f>
        <v/>
      </c>
      <c r="F1915">
        <f>Data!O2006</f>
        <v/>
      </c>
      <c r="G1915">
        <f>E1915-F1915</f>
        <v/>
      </c>
      <c r="H1915">
        <f>Data!P2006</f>
        <v/>
      </c>
      <c r="I1915">
        <f>G1915+H1915</f>
        <v/>
      </c>
      <c r="J1915">
        <f>F1915+G1915+H1915</f>
        <v/>
      </c>
      <c r="K1915">
        <f>Data!R2006</f>
        <v/>
      </c>
      <c r="L1915">
        <f>Data!T2006</f>
        <v/>
      </c>
      <c r="M1915">
        <f>AND(E1915=0,F1915=0,G1915=0,H1915=0,I1915=0,J1915=0,K1915=0,L1915=0)</f>
        <v/>
      </c>
      <c r="N1915">
        <f>G1915&lt;=$T$6</f>
        <v/>
      </c>
      <c r="O1915">
        <f>G1915&lt;=$T$12</f>
        <v/>
      </c>
      <c r="P1915">
        <f>OR(AND(H1915&gt;=$T$4,K1915&lt;=$T$5,N1915),M1915)</f>
        <v/>
      </c>
      <c r="Q1915">
        <f>OR(AND(I1915&gt;=$T$10,K1915&lt;=$T$11,O1915),M1915)</f>
        <v/>
      </c>
    </row>
    <row r="1916">
      <c r="A1916">
        <f>Data!E2007</f>
        <v/>
      </c>
      <c r="B1916">
        <f>Data!G2007</f>
        <v/>
      </c>
      <c r="C1916">
        <f>Data!H2007</f>
        <v/>
      </c>
      <c r="D1916">
        <f>Data!I2007</f>
        <v/>
      </c>
      <c r="E1916">
        <f>Data!M2007</f>
        <v/>
      </c>
      <c r="F1916">
        <f>Data!O2007</f>
        <v/>
      </c>
      <c r="G1916">
        <f>E1916-F1916</f>
        <v/>
      </c>
      <c r="H1916">
        <f>Data!P2007</f>
        <v/>
      </c>
      <c r="I1916">
        <f>G1916+H1916</f>
        <v/>
      </c>
      <c r="J1916">
        <f>F1916+G1916+H1916</f>
        <v/>
      </c>
      <c r="K1916">
        <f>Data!R2007</f>
        <v/>
      </c>
      <c r="L1916">
        <f>Data!T2007</f>
        <v/>
      </c>
      <c r="M1916">
        <f>AND(E1916=0,F1916=0,G1916=0,H1916=0,I1916=0,J1916=0,K1916=0,L1916=0)</f>
        <v/>
      </c>
      <c r="N1916">
        <f>G1916&lt;=$T$6</f>
        <v/>
      </c>
      <c r="O1916">
        <f>G1916&lt;=$T$12</f>
        <v/>
      </c>
      <c r="P1916">
        <f>OR(AND(H1916&gt;=$T$4,K1916&lt;=$T$5,N1916),M1916)</f>
        <v/>
      </c>
      <c r="Q1916">
        <f>OR(AND(I1916&gt;=$T$10,K1916&lt;=$T$11,O1916),M1916)</f>
        <v/>
      </c>
    </row>
    <row r="1917">
      <c r="A1917">
        <f>Data!E2009</f>
        <v/>
      </c>
      <c r="B1917">
        <f>Data!G2009</f>
        <v/>
      </c>
      <c r="C1917">
        <f>Data!H2009</f>
        <v/>
      </c>
      <c r="D1917">
        <f>Data!I2009</f>
        <v/>
      </c>
      <c r="E1917">
        <f>Data!M2009</f>
        <v/>
      </c>
      <c r="F1917">
        <f>Data!O2009</f>
        <v/>
      </c>
      <c r="G1917">
        <f>E1917-F1917</f>
        <v/>
      </c>
      <c r="H1917">
        <f>Data!P2009</f>
        <v/>
      </c>
      <c r="I1917">
        <f>G1917+H1917</f>
        <v/>
      </c>
      <c r="J1917">
        <f>F1917+G1917+H1917</f>
        <v/>
      </c>
      <c r="K1917">
        <f>Data!R2009</f>
        <v/>
      </c>
      <c r="L1917">
        <f>Data!T2009</f>
        <v/>
      </c>
      <c r="M1917">
        <f>AND(E1917=0,F1917=0,G1917=0,H1917=0,I1917=0,J1917=0,K1917=0,L1917=0)</f>
        <v/>
      </c>
      <c r="N1917">
        <f>G1917&lt;=$T$6</f>
        <v/>
      </c>
      <c r="O1917">
        <f>G1917&lt;=$T$12</f>
        <v/>
      </c>
      <c r="P1917">
        <f>OR(AND(H1917&gt;=$T$4,K1917&lt;=$T$5,N1917),M1917)</f>
        <v/>
      </c>
      <c r="Q1917">
        <f>OR(AND(I1917&gt;=$T$10,K1917&lt;=$T$11,O1917),M1917)</f>
        <v/>
      </c>
    </row>
    <row r="1918">
      <c r="A1918">
        <f>Data!E2010</f>
        <v/>
      </c>
      <c r="B1918">
        <f>Data!G2010</f>
        <v/>
      </c>
      <c r="C1918">
        <f>Data!H2010</f>
        <v/>
      </c>
      <c r="D1918">
        <f>Data!I2010</f>
        <v/>
      </c>
      <c r="E1918">
        <f>Data!M2010</f>
        <v/>
      </c>
      <c r="F1918">
        <f>Data!O2010</f>
        <v/>
      </c>
      <c r="G1918">
        <f>E1918-F1918</f>
        <v/>
      </c>
      <c r="H1918">
        <f>Data!P2010</f>
        <v/>
      </c>
      <c r="I1918">
        <f>G1918+H1918</f>
        <v/>
      </c>
      <c r="J1918">
        <f>F1918+G1918+H1918</f>
        <v/>
      </c>
      <c r="K1918">
        <f>Data!R2010</f>
        <v/>
      </c>
      <c r="L1918">
        <f>Data!T2010</f>
        <v/>
      </c>
      <c r="M1918">
        <f>AND(E1918=0,F1918=0,G1918=0,H1918=0,I1918=0,J1918=0,K1918=0,L1918=0)</f>
        <v/>
      </c>
      <c r="N1918">
        <f>G1918&lt;=$T$6</f>
        <v/>
      </c>
      <c r="O1918">
        <f>G1918&lt;=$T$12</f>
        <v/>
      </c>
      <c r="P1918">
        <f>OR(AND(H1918&gt;=$T$4,K1918&lt;=$T$5,N1918),M1918)</f>
        <v/>
      </c>
      <c r="Q1918">
        <f>OR(AND(I1918&gt;=$T$10,K1918&lt;=$T$11,O1918),M1918)</f>
        <v/>
      </c>
    </row>
    <row r="1919">
      <c r="A1919">
        <f>Data!E2011</f>
        <v/>
      </c>
      <c r="B1919">
        <f>Data!G2011</f>
        <v/>
      </c>
      <c r="C1919">
        <f>Data!H2011</f>
        <v/>
      </c>
      <c r="D1919">
        <f>Data!I2011</f>
        <v/>
      </c>
      <c r="E1919">
        <f>Data!M2011</f>
        <v/>
      </c>
      <c r="F1919">
        <f>Data!O2011</f>
        <v/>
      </c>
      <c r="G1919">
        <f>E1919-F1919</f>
        <v/>
      </c>
      <c r="H1919">
        <f>Data!P2011</f>
        <v/>
      </c>
      <c r="I1919">
        <f>G1919+H1919</f>
        <v/>
      </c>
      <c r="J1919">
        <f>F1919+G1919+H1919</f>
        <v/>
      </c>
      <c r="K1919">
        <f>Data!R2011</f>
        <v/>
      </c>
      <c r="L1919">
        <f>Data!T2011</f>
        <v/>
      </c>
      <c r="M1919">
        <f>AND(E1919=0,F1919=0,G1919=0,H1919=0,I1919=0,J1919=0,K1919=0,L1919=0)</f>
        <v/>
      </c>
      <c r="N1919">
        <f>G1919&lt;=$T$6</f>
        <v/>
      </c>
      <c r="O1919">
        <f>G1919&lt;=$T$12</f>
        <v/>
      </c>
      <c r="P1919">
        <f>OR(AND(H1919&gt;=$T$4,K1919&lt;=$T$5,N1919),M1919)</f>
        <v/>
      </c>
      <c r="Q1919">
        <f>OR(AND(I1919&gt;=$T$10,K1919&lt;=$T$11,O1919),M1919)</f>
        <v/>
      </c>
    </row>
    <row r="1920">
      <c r="A1920">
        <f>Data!E2012</f>
        <v/>
      </c>
      <c r="B1920">
        <f>Data!G2012</f>
        <v/>
      </c>
      <c r="C1920">
        <f>Data!H2012</f>
        <v/>
      </c>
      <c r="D1920">
        <f>Data!I2012</f>
        <v/>
      </c>
      <c r="E1920">
        <f>Data!M2012</f>
        <v/>
      </c>
      <c r="F1920">
        <f>Data!O2012</f>
        <v/>
      </c>
      <c r="G1920">
        <f>E1920-F1920</f>
        <v/>
      </c>
      <c r="H1920">
        <f>Data!P2012</f>
        <v/>
      </c>
      <c r="I1920">
        <f>G1920+H1920</f>
        <v/>
      </c>
      <c r="J1920">
        <f>F1920+G1920+H1920</f>
        <v/>
      </c>
      <c r="K1920">
        <f>Data!R2012</f>
        <v/>
      </c>
      <c r="L1920">
        <f>Data!T2012</f>
        <v/>
      </c>
      <c r="M1920">
        <f>AND(E1920=0,F1920=0,G1920=0,H1920=0,I1920=0,J1920=0,K1920=0,L1920=0)</f>
        <v/>
      </c>
      <c r="N1920">
        <f>G1920&lt;=$T$6</f>
        <v/>
      </c>
      <c r="O1920">
        <f>G1920&lt;=$T$12</f>
        <v/>
      </c>
      <c r="P1920">
        <f>OR(AND(H1920&gt;=$T$4,K1920&lt;=$T$5,N1920),M1920)</f>
        <v/>
      </c>
      <c r="Q1920">
        <f>OR(AND(I1920&gt;=$T$10,K1920&lt;=$T$11,O1920),M1920)</f>
        <v/>
      </c>
    </row>
    <row r="1921">
      <c r="A1921">
        <f>Data!E2013</f>
        <v/>
      </c>
      <c r="B1921">
        <f>Data!G2013</f>
        <v/>
      </c>
      <c r="C1921">
        <f>Data!H2013</f>
        <v/>
      </c>
      <c r="D1921">
        <f>Data!I2013</f>
        <v/>
      </c>
      <c r="E1921">
        <f>Data!M2013</f>
        <v/>
      </c>
      <c r="F1921">
        <f>Data!O2013</f>
        <v/>
      </c>
      <c r="G1921">
        <f>E1921-F1921</f>
        <v/>
      </c>
      <c r="H1921">
        <f>Data!P2013</f>
        <v/>
      </c>
      <c r="I1921">
        <f>G1921+H1921</f>
        <v/>
      </c>
      <c r="J1921">
        <f>F1921+G1921+H1921</f>
        <v/>
      </c>
      <c r="K1921">
        <f>Data!R2013</f>
        <v/>
      </c>
      <c r="L1921">
        <f>Data!T2013</f>
        <v/>
      </c>
      <c r="M1921">
        <f>AND(E1921=0,F1921=0,G1921=0,H1921=0,I1921=0,J1921=0,K1921=0,L1921=0)</f>
        <v/>
      </c>
      <c r="N1921">
        <f>G1921&lt;=$T$6</f>
        <v/>
      </c>
      <c r="O1921">
        <f>G1921&lt;=$T$12</f>
        <v/>
      </c>
      <c r="P1921">
        <f>OR(AND(H1921&gt;=$T$4,K1921&lt;=$T$5,N1921),M1921)</f>
        <v/>
      </c>
      <c r="Q1921">
        <f>OR(AND(I1921&gt;=$T$10,K1921&lt;=$T$11,O1921),M1921)</f>
        <v/>
      </c>
    </row>
    <row r="1922">
      <c r="A1922">
        <f>Data!E2014</f>
        <v/>
      </c>
      <c r="B1922">
        <f>Data!G2014</f>
        <v/>
      </c>
      <c r="C1922">
        <f>Data!H2014</f>
        <v/>
      </c>
      <c r="D1922">
        <f>Data!I2014</f>
        <v/>
      </c>
      <c r="E1922">
        <f>Data!M2014</f>
        <v/>
      </c>
      <c r="F1922">
        <f>Data!O2014</f>
        <v/>
      </c>
      <c r="G1922">
        <f>E1922-F1922</f>
        <v/>
      </c>
      <c r="H1922">
        <f>Data!P2014</f>
        <v/>
      </c>
      <c r="I1922">
        <f>G1922+H1922</f>
        <v/>
      </c>
      <c r="J1922">
        <f>F1922+G1922+H1922</f>
        <v/>
      </c>
      <c r="K1922">
        <f>Data!R2014</f>
        <v/>
      </c>
      <c r="L1922">
        <f>Data!T2014</f>
        <v/>
      </c>
      <c r="M1922">
        <f>AND(E1922=0,F1922=0,G1922=0,H1922=0,I1922=0,J1922=0,K1922=0,L1922=0)</f>
        <v/>
      </c>
      <c r="N1922">
        <f>G1922&lt;=$T$6</f>
        <v/>
      </c>
      <c r="O1922">
        <f>G1922&lt;=$T$12</f>
        <v/>
      </c>
      <c r="P1922">
        <f>OR(AND(H1922&gt;=$T$4,K1922&lt;=$T$5,N1922),M1922)</f>
        <v/>
      </c>
      <c r="Q1922">
        <f>OR(AND(I1922&gt;=$T$10,K1922&lt;=$T$11,O1922),M1922)</f>
        <v/>
      </c>
    </row>
    <row r="1923">
      <c r="A1923">
        <f>Data!E2015</f>
        <v/>
      </c>
      <c r="B1923">
        <f>Data!G2015</f>
        <v/>
      </c>
      <c r="C1923">
        <f>Data!H2015</f>
        <v/>
      </c>
      <c r="D1923">
        <f>Data!I2015</f>
        <v/>
      </c>
      <c r="E1923">
        <f>Data!M2015</f>
        <v/>
      </c>
      <c r="F1923">
        <f>Data!O2015</f>
        <v/>
      </c>
      <c r="G1923">
        <f>E1923-F1923</f>
        <v/>
      </c>
      <c r="H1923">
        <f>Data!P2015</f>
        <v/>
      </c>
      <c r="I1923">
        <f>G1923+H1923</f>
        <v/>
      </c>
      <c r="J1923">
        <f>F1923+G1923+H1923</f>
        <v/>
      </c>
      <c r="K1923">
        <f>Data!R2015</f>
        <v/>
      </c>
      <c r="L1923">
        <f>Data!T2015</f>
        <v/>
      </c>
      <c r="M1923">
        <f>AND(E1923=0,F1923=0,G1923=0,H1923=0,I1923=0,J1923=0,K1923=0,L1923=0)</f>
        <v/>
      </c>
      <c r="N1923">
        <f>G1923&lt;=$T$6</f>
        <v/>
      </c>
      <c r="O1923">
        <f>G1923&lt;=$T$12</f>
        <v/>
      </c>
      <c r="P1923">
        <f>OR(AND(H1923&gt;=$T$4,K1923&lt;=$T$5,N1923),M1923)</f>
        <v/>
      </c>
      <c r="Q1923">
        <f>OR(AND(I1923&gt;=$T$10,K1923&lt;=$T$11,O1923),M1923)</f>
        <v/>
      </c>
    </row>
    <row r="1924">
      <c r="A1924">
        <f>Data!E2016</f>
        <v/>
      </c>
      <c r="B1924">
        <f>Data!G2016</f>
        <v/>
      </c>
      <c r="C1924">
        <f>Data!H2016</f>
        <v/>
      </c>
      <c r="D1924">
        <f>Data!I2016</f>
        <v/>
      </c>
      <c r="E1924">
        <f>Data!M2016</f>
        <v/>
      </c>
      <c r="F1924">
        <f>Data!O2016</f>
        <v/>
      </c>
      <c r="G1924">
        <f>E1924-F1924</f>
        <v/>
      </c>
      <c r="H1924">
        <f>Data!P2016</f>
        <v/>
      </c>
      <c r="I1924">
        <f>G1924+H1924</f>
        <v/>
      </c>
      <c r="J1924">
        <f>F1924+G1924+H1924</f>
        <v/>
      </c>
      <c r="K1924">
        <f>Data!R2016</f>
        <v/>
      </c>
      <c r="L1924">
        <f>Data!T2016</f>
        <v/>
      </c>
      <c r="M1924">
        <f>AND(E1924=0,F1924=0,G1924=0,H1924=0,I1924=0,J1924=0,K1924=0,L1924=0)</f>
        <v/>
      </c>
      <c r="N1924">
        <f>G1924&lt;=$T$6</f>
        <v/>
      </c>
      <c r="O1924">
        <f>G1924&lt;=$T$12</f>
        <v/>
      </c>
      <c r="P1924">
        <f>OR(AND(H1924&gt;=$T$4,K1924&lt;=$T$5,N1924),M1924)</f>
        <v/>
      </c>
      <c r="Q1924">
        <f>OR(AND(I1924&gt;=$T$10,K1924&lt;=$T$11,O1924),M1924)</f>
        <v/>
      </c>
    </row>
    <row r="1925">
      <c r="A1925">
        <f>Data!E2017</f>
        <v/>
      </c>
      <c r="B1925">
        <f>Data!G2017</f>
        <v/>
      </c>
      <c r="C1925">
        <f>Data!H2017</f>
        <v/>
      </c>
      <c r="D1925">
        <f>Data!I2017</f>
        <v/>
      </c>
      <c r="E1925">
        <f>Data!M2017</f>
        <v/>
      </c>
      <c r="F1925">
        <f>Data!O2017</f>
        <v/>
      </c>
      <c r="G1925">
        <f>E1925-F1925</f>
        <v/>
      </c>
      <c r="H1925">
        <f>Data!P2017</f>
        <v/>
      </c>
      <c r="I1925">
        <f>G1925+H1925</f>
        <v/>
      </c>
      <c r="J1925">
        <f>F1925+G1925+H1925</f>
        <v/>
      </c>
      <c r="K1925">
        <f>Data!R2017</f>
        <v/>
      </c>
      <c r="L1925">
        <f>Data!T2017</f>
        <v/>
      </c>
      <c r="M1925">
        <f>AND(E1925=0,F1925=0,G1925=0,H1925=0,I1925=0,J1925=0,K1925=0,L1925=0)</f>
        <v/>
      </c>
      <c r="N1925">
        <f>G1925&lt;=$T$6</f>
        <v/>
      </c>
      <c r="O1925">
        <f>G1925&lt;=$T$12</f>
        <v/>
      </c>
      <c r="P1925">
        <f>OR(AND(H1925&gt;=$T$4,K1925&lt;=$T$5,N1925),M1925)</f>
        <v/>
      </c>
      <c r="Q1925">
        <f>OR(AND(I1925&gt;=$T$10,K1925&lt;=$T$11,O1925),M1925)</f>
        <v/>
      </c>
    </row>
    <row r="1926">
      <c r="A1926">
        <f>Data!E2018</f>
        <v/>
      </c>
      <c r="B1926">
        <f>Data!G2018</f>
        <v/>
      </c>
      <c r="C1926">
        <f>Data!H2018</f>
        <v/>
      </c>
      <c r="D1926">
        <f>Data!I2018</f>
        <v/>
      </c>
      <c r="E1926">
        <f>Data!M2018</f>
        <v/>
      </c>
      <c r="F1926">
        <f>Data!O2018</f>
        <v/>
      </c>
      <c r="G1926">
        <f>E1926-F1926</f>
        <v/>
      </c>
      <c r="H1926">
        <f>Data!P2018</f>
        <v/>
      </c>
      <c r="I1926">
        <f>G1926+H1926</f>
        <v/>
      </c>
      <c r="J1926">
        <f>F1926+G1926+H1926</f>
        <v/>
      </c>
      <c r="K1926">
        <f>Data!R2018</f>
        <v/>
      </c>
      <c r="L1926">
        <f>Data!T2018</f>
        <v/>
      </c>
      <c r="M1926">
        <f>AND(E1926=0,F1926=0,G1926=0,H1926=0,I1926=0,J1926=0,K1926=0,L1926=0)</f>
        <v/>
      </c>
      <c r="N1926">
        <f>G1926&lt;=$T$6</f>
        <v/>
      </c>
      <c r="O1926">
        <f>G1926&lt;=$T$12</f>
        <v/>
      </c>
      <c r="P1926">
        <f>OR(AND(H1926&gt;=$T$4,K1926&lt;=$T$5,N1926),M1926)</f>
        <v/>
      </c>
      <c r="Q1926">
        <f>OR(AND(I1926&gt;=$T$10,K1926&lt;=$T$11,O1926),M1926)</f>
        <v/>
      </c>
    </row>
    <row r="1927">
      <c r="A1927">
        <f>Data!E2019</f>
        <v/>
      </c>
      <c r="B1927">
        <f>Data!G2019</f>
        <v/>
      </c>
      <c r="C1927">
        <f>Data!H2019</f>
        <v/>
      </c>
      <c r="D1927">
        <f>Data!I2019</f>
        <v/>
      </c>
      <c r="E1927">
        <f>Data!M2019</f>
        <v/>
      </c>
      <c r="F1927">
        <f>Data!O2019</f>
        <v/>
      </c>
      <c r="G1927">
        <f>E1927-F1927</f>
        <v/>
      </c>
      <c r="H1927">
        <f>Data!P2019</f>
        <v/>
      </c>
      <c r="I1927">
        <f>G1927+H1927</f>
        <v/>
      </c>
      <c r="J1927">
        <f>F1927+G1927+H1927</f>
        <v/>
      </c>
      <c r="K1927">
        <f>Data!R2019</f>
        <v/>
      </c>
      <c r="L1927">
        <f>Data!T2019</f>
        <v/>
      </c>
      <c r="M1927">
        <f>AND(E1927=0,F1927=0,G1927=0,H1927=0,I1927=0,J1927=0,K1927=0,L1927=0)</f>
        <v/>
      </c>
      <c r="N1927">
        <f>G1927&lt;=$T$6</f>
        <v/>
      </c>
      <c r="O1927">
        <f>G1927&lt;=$T$12</f>
        <v/>
      </c>
      <c r="P1927">
        <f>OR(AND(H1927&gt;=$T$4,K1927&lt;=$T$5,N1927),M1927)</f>
        <v/>
      </c>
      <c r="Q1927">
        <f>OR(AND(I1927&gt;=$T$10,K1927&lt;=$T$11,O1927),M1927)</f>
        <v/>
      </c>
    </row>
    <row r="1928">
      <c r="A1928">
        <f>Data!E2020</f>
        <v/>
      </c>
      <c r="B1928">
        <f>Data!G2020</f>
        <v/>
      </c>
      <c r="C1928">
        <f>Data!H2020</f>
        <v/>
      </c>
      <c r="D1928">
        <f>Data!I2020</f>
        <v/>
      </c>
      <c r="E1928">
        <f>Data!M2020</f>
        <v/>
      </c>
      <c r="F1928">
        <f>Data!O2020</f>
        <v/>
      </c>
      <c r="G1928">
        <f>E1928-F1928</f>
        <v/>
      </c>
      <c r="H1928">
        <f>Data!P2020</f>
        <v/>
      </c>
      <c r="I1928">
        <f>G1928+H1928</f>
        <v/>
      </c>
      <c r="J1928">
        <f>F1928+G1928+H1928</f>
        <v/>
      </c>
      <c r="K1928">
        <f>Data!R2020</f>
        <v/>
      </c>
      <c r="L1928">
        <f>Data!T2020</f>
        <v/>
      </c>
      <c r="M1928">
        <f>AND(E1928=0,F1928=0,G1928=0,H1928=0,I1928=0,J1928=0,K1928=0,L1928=0)</f>
        <v/>
      </c>
      <c r="N1928">
        <f>G1928&lt;=$T$6</f>
        <v/>
      </c>
      <c r="O1928">
        <f>G1928&lt;=$T$12</f>
        <v/>
      </c>
      <c r="P1928">
        <f>OR(AND(H1928&gt;=$T$4,K1928&lt;=$T$5,N1928),M1928)</f>
        <v/>
      </c>
      <c r="Q1928">
        <f>OR(AND(I1928&gt;=$T$10,K1928&lt;=$T$11,O1928),M1928)</f>
        <v/>
      </c>
    </row>
    <row r="1929">
      <c r="A1929">
        <f>Data!E2021</f>
        <v/>
      </c>
      <c r="B1929">
        <f>Data!G2021</f>
        <v/>
      </c>
      <c r="C1929">
        <f>Data!H2021</f>
        <v/>
      </c>
      <c r="D1929">
        <f>Data!I2021</f>
        <v/>
      </c>
      <c r="E1929">
        <f>Data!M2021</f>
        <v/>
      </c>
      <c r="F1929">
        <f>Data!O2021</f>
        <v/>
      </c>
      <c r="G1929">
        <f>E1929-F1929</f>
        <v/>
      </c>
      <c r="H1929">
        <f>Data!P2021</f>
        <v/>
      </c>
      <c r="I1929">
        <f>G1929+H1929</f>
        <v/>
      </c>
      <c r="J1929">
        <f>F1929+G1929+H1929</f>
        <v/>
      </c>
      <c r="K1929">
        <f>Data!R2021</f>
        <v/>
      </c>
      <c r="L1929">
        <f>Data!T2021</f>
        <v/>
      </c>
      <c r="M1929">
        <f>AND(E1929=0,F1929=0,G1929=0,H1929=0,I1929=0,J1929=0,K1929=0,L1929=0)</f>
        <v/>
      </c>
      <c r="N1929">
        <f>G1929&lt;=$T$6</f>
        <v/>
      </c>
      <c r="O1929">
        <f>G1929&lt;=$T$12</f>
        <v/>
      </c>
      <c r="P1929">
        <f>OR(AND(H1929&gt;=$T$4,K1929&lt;=$T$5,N1929),M1929)</f>
        <v/>
      </c>
      <c r="Q1929">
        <f>OR(AND(I1929&gt;=$T$10,K1929&lt;=$T$11,O1929),M1929)</f>
        <v/>
      </c>
    </row>
    <row r="1930">
      <c r="A1930">
        <f>Data!E2022</f>
        <v/>
      </c>
      <c r="B1930">
        <f>Data!G2022</f>
        <v/>
      </c>
      <c r="C1930">
        <f>Data!H2022</f>
        <v/>
      </c>
      <c r="D1930">
        <f>Data!I2022</f>
        <v/>
      </c>
      <c r="E1930">
        <f>Data!M2022</f>
        <v/>
      </c>
      <c r="F1930">
        <f>Data!O2022</f>
        <v/>
      </c>
      <c r="G1930">
        <f>E1930-F1930</f>
        <v/>
      </c>
      <c r="H1930">
        <f>Data!P2022</f>
        <v/>
      </c>
      <c r="I1930">
        <f>G1930+H1930</f>
        <v/>
      </c>
      <c r="J1930">
        <f>F1930+G1930+H1930</f>
        <v/>
      </c>
      <c r="K1930">
        <f>Data!R2022</f>
        <v/>
      </c>
      <c r="L1930">
        <f>Data!T2022</f>
        <v/>
      </c>
      <c r="M1930">
        <f>AND(E1930=0,F1930=0,G1930=0,H1930=0,I1930=0,J1930=0,K1930=0,L1930=0)</f>
        <v/>
      </c>
      <c r="N1930">
        <f>G1930&lt;=$T$6</f>
        <v/>
      </c>
      <c r="O1930">
        <f>G1930&lt;=$T$12</f>
        <v/>
      </c>
      <c r="P1930">
        <f>OR(AND(H1930&gt;=$T$4,K1930&lt;=$T$5,N1930),M1930)</f>
        <v/>
      </c>
      <c r="Q1930">
        <f>OR(AND(I1930&gt;=$T$10,K1930&lt;=$T$11,O1930),M1930)</f>
        <v/>
      </c>
    </row>
    <row r="1931">
      <c r="A1931">
        <f>Data!E2024</f>
        <v/>
      </c>
      <c r="B1931">
        <f>Data!G2024</f>
        <v/>
      </c>
      <c r="C1931">
        <f>Data!H2024</f>
        <v/>
      </c>
      <c r="D1931">
        <f>Data!I2024</f>
        <v/>
      </c>
      <c r="E1931">
        <f>Data!M2024</f>
        <v/>
      </c>
      <c r="F1931">
        <f>Data!O2024</f>
        <v/>
      </c>
      <c r="G1931">
        <f>E1931-F1931</f>
        <v/>
      </c>
      <c r="H1931">
        <f>Data!P2024</f>
        <v/>
      </c>
      <c r="I1931">
        <f>G1931+H1931</f>
        <v/>
      </c>
      <c r="J1931">
        <f>F1931+G1931+H1931</f>
        <v/>
      </c>
      <c r="K1931">
        <f>Data!R2024</f>
        <v/>
      </c>
      <c r="L1931">
        <f>Data!T2024</f>
        <v/>
      </c>
      <c r="M1931">
        <f>AND(E1931=0,F1931=0,G1931=0,H1931=0,I1931=0,J1931=0,K1931=0,L1931=0)</f>
        <v/>
      </c>
      <c r="N1931">
        <f>G1931&lt;=$T$6</f>
        <v/>
      </c>
      <c r="O1931">
        <f>G1931&lt;=$T$12</f>
        <v/>
      </c>
      <c r="P1931">
        <f>OR(AND(H1931&gt;=$T$4,K1931&lt;=$T$5,N1931),M1931)</f>
        <v/>
      </c>
      <c r="Q1931">
        <f>OR(AND(I1931&gt;=$T$10,K1931&lt;=$T$11,O1931),M1931)</f>
        <v/>
      </c>
    </row>
    <row r="1932">
      <c r="A1932">
        <f>Data!E2025</f>
        <v/>
      </c>
      <c r="B1932">
        <f>Data!G2025</f>
        <v/>
      </c>
      <c r="C1932">
        <f>Data!H2025</f>
        <v/>
      </c>
      <c r="D1932">
        <f>Data!I2025</f>
        <v/>
      </c>
      <c r="E1932">
        <f>Data!M2025</f>
        <v/>
      </c>
      <c r="F1932">
        <f>Data!O2025</f>
        <v/>
      </c>
      <c r="G1932">
        <f>E1932-F1932</f>
        <v/>
      </c>
      <c r="H1932">
        <f>Data!P2025</f>
        <v/>
      </c>
      <c r="I1932">
        <f>G1932+H1932</f>
        <v/>
      </c>
      <c r="J1932">
        <f>F1932+G1932+H1932</f>
        <v/>
      </c>
      <c r="K1932">
        <f>Data!R2025</f>
        <v/>
      </c>
      <c r="L1932">
        <f>Data!T2025</f>
        <v/>
      </c>
      <c r="M1932">
        <f>AND(E1932=0,F1932=0,G1932=0,H1932=0,I1932=0,J1932=0,K1932=0,L1932=0)</f>
        <v/>
      </c>
      <c r="N1932">
        <f>G1932&lt;=$T$6</f>
        <v/>
      </c>
      <c r="O1932">
        <f>G1932&lt;=$T$12</f>
        <v/>
      </c>
      <c r="P1932">
        <f>OR(AND(H1932&gt;=$T$4,K1932&lt;=$T$5,N1932),M1932)</f>
        <v/>
      </c>
      <c r="Q1932">
        <f>OR(AND(I1932&gt;=$T$10,K1932&lt;=$T$11,O1932),M1932)</f>
        <v/>
      </c>
    </row>
    <row r="1933">
      <c r="A1933">
        <f>Data!E2026</f>
        <v/>
      </c>
      <c r="B1933">
        <f>Data!G2026</f>
        <v/>
      </c>
      <c r="C1933">
        <f>Data!H2026</f>
        <v/>
      </c>
      <c r="D1933">
        <f>Data!I2026</f>
        <v/>
      </c>
      <c r="E1933">
        <f>Data!M2026</f>
        <v/>
      </c>
      <c r="F1933">
        <f>Data!O2026</f>
        <v/>
      </c>
      <c r="G1933">
        <f>E1933-F1933</f>
        <v/>
      </c>
      <c r="H1933">
        <f>Data!P2026</f>
        <v/>
      </c>
      <c r="I1933">
        <f>G1933+H1933</f>
        <v/>
      </c>
      <c r="J1933">
        <f>F1933+G1933+H1933</f>
        <v/>
      </c>
      <c r="K1933">
        <f>Data!R2026</f>
        <v/>
      </c>
      <c r="L1933">
        <f>Data!T2026</f>
        <v/>
      </c>
      <c r="M1933">
        <f>AND(E1933=0,F1933=0,G1933=0,H1933=0,I1933=0,J1933=0,K1933=0,L1933=0)</f>
        <v/>
      </c>
      <c r="N1933">
        <f>G1933&lt;=$T$6</f>
        <v/>
      </c>
      <c r="O1933">
        <f>G1933&lt;=$T$12</f>
        <v/>
      </c>
      <c r="P1933">
        <f>OR(AND(H1933&gt;=$T$4,K1933&lt;=$T$5,N1933),M1933)</f>
        <v/>
      </c>
      <c r="Q1933">
        <f>OR(AND(I1933&gt;=$T$10,K1933&lt;=$T$11,O1933),M1933)</f>
        <v/>
      </c>
    </row>
    <row r="1934">
      <c r="A1934">
        <f>Data!E2027</f>
        <v/>
      </c>
      <c r="B1934">
        <f>Data!G2027</f>
        <v/>
      </c>
      <c r="C1934">
        <f>Data!H2027</f>
        <v/>
      </c>
      <c r="D1934">
        <f>Data!I2027</f>
        <v/>
      </c>
      <c r="E1934">
        <f>Data!M2027</f>
        <v/>
      </c>
      <c r="F1934">
        <f>Data!O2027</f>
        <v/>
      </c>
      <c r="G1934">
        <f>E1934-F1934</f>
        <v/>
      </c>
      <c r="H1934">
        <f>Data!P2027</f>
        <v/>
      </c>
      <c r="I1934">
        <f>G1934+H1934</f>
        <v/>
      </c>
      <c r="J1934">
        <f>F1934+G1934+H1934</f>
        <v/>
      </c>
      <c r="K1934">
        <f>Data!R2027</f>
        <v/>
      </c>
      <c r="L1934">
        <f>Data!T2027</f>
        <v/>
      </c>
      <c r="M1934">
        <f>AND(E1934=0,F1934=0,G1934=0,H1934=0,I1934=0,J1934=0,K1934=0,L1934=0)</f>
        <v/>
      </c>
      <c r="N1934">
        <f>G1934&lt;=$T$6</f>
        <v/>
      </c>
      <c r="O1934">
        <f>G1934&lt;=$T$12</f>
        <v/>
      </c>
      <c r="P1934">
        <f>OR(AND(H1934&gt;=$T$4,K1934&lt;=$T$5,N1934),M1934)</f>
        <v/>
      </c>
      <c r="Q1934">
        <f>OR(AND(I1934&gt;=$T$10,K1934&lt;=$T$11,O1934),M1934)</f>
        <v/>
      </c>
    </row>
    <row r="1935">
      <c r="A1935">
        <f>Data!E2028</f>
        <v/>
      </c>
      <c r="B1935">
        <f>Data!G2028</f>
        <v/>
      </c>
      <c r="C1935">
        <f>Data!H2028</f>
        <v/>
      </c>
      <c r="D1935">
        <f>Data!I2028</f>
        <v/>
      </c>
      <c r="E1935">
        <f>Data!M2028</f>
        <v/>
      </c>
      <c r="F1935">
        <f>Data!O2028</f>
        <v/>
      </c>
      <c r="G1935">
        <f>E1935-F1935</f>
        <v/>
      </c>
      <c r="H1935">
        <f>Data!P2028</f>
        <v/>
      </c>
      <c r="I1935">
        <f>G1935+H1935</f>
        <v/>
      </c>
      <c r="J1935">
        <f>F1935+G1935+H1935</f>
        <v/>
      </c>
      <c r="K1935">
        <f>Data!R2028</f>
        <v/>
      </c>
      <c r="L1935">
        <f>Data!T2028</f>
        <v/>
      </c>
      <c r="M1935">
        <f>AND(E1935=0,F1935=0,G1935=0,H1935=0,I1935=0,J1935=0,K1935=0,L1935=0)</f>
        <v/>
      </c>
      <c r="N1935">
        <f>G1935&lt;=$T$6</f>
        <v/>
      </c>
      <c r="O1935">
        <f>G1935&lt;=$T$12</f>
        <v/>
      </c>
      <c r="P1935">
        <f>OR(AND(H1935&gt;=$T$4,K1935&lt;=$T$5,N1935),M1935)</f>
        <v/>
      </c>
      <c r="Q1935">
        <f>OR(AND(I1935&gt;=$T$10,K1935&lt;=$T$11,O1935),M1935)</f>
        <v/>
      </c>
    </row>
    <row r="1936">
      <c r="A1936">
        <f>Data!E2029</f>
        <v/>
      </c>
      <c r="B1936">
        <f>Data!G2029</f>
        <v/>
      </c>
      <c r="C1936">
        <f>Data!H2029</f>
        <v/>
      </c>
      <c r="D1936">
        <f>Data!I2029</f>
        <v/>
      </c>
      <c r="E1936">
        <f>Data!M2029</f>
        <v/>
      </c>
      <c r="F1936">
        <f>Data!O2029</f>
        <v/>
      </c>
      <c r="G1936">
        <f>E1936-F1936</f>
        <v/>
      </c>
      <c r="H1936">
        <f>Data!P2029</f>
        <v/>
      </c>
      <c r="I1936">
        <f>G1936+H1936</f>
        <v/>
      </c>
      <c r="J1936">
        <f>F1936+G1936+H1936</f>
        <v/>
      </c>
      <c r="K1936">
        <f>Data!R2029</f>
        <v/>
      </c>
      <c r="L1936">
        <f>Data!T2029</f>
        <v/>
      </c>
      <c r="M1936">
        <f>AND(E1936=0,F1936=0,G1936=0,H1936=0,I1936=0,J1936=0,K1936=0,L1936=0)</f>
        <v/>
      </c>
      <c r="N1936">
        <f>G1936&lt;=$T$6</f>
        <v/>
      </c>
      <c r="O1936">
        <f>G1936&lt;=$T$12</f>
        <v/>
      </c>
      <c r="P1936">
        <f>OR(AND(H1936&gt;=$T$4,K1936&lt;=$T$5,N1936),M1936)</f>
        <v/>
      </c>
      <c r="Q1936">
        <f>OR(AND(I1936&gt;=$T$10,K1936&lt;=$T$11,O1936),M1936)</f>
        <v/>
      </c>
    </row>
    <row r="1937">
      <c r="A1937">
        <f>Data!E2030</f>
        <v/>
      </c>
      <c r="B1937">
        <f>Data!G2030</f>
        <v/>
      </c>
      <c r="C1937">
        <f>Data!H2030</f>
        <v/>
      </c>
      <c r="D1937">
        <f>Data!I2030</f>
        <v/>
      </c>
      <c r="E1937">
        <f>Data!M2030</f>
        <v/>
      </c>
      <c r="F1937">
        <f>Data!O2030</f>
        <v/>
      </c>
      <c r="G1937">
        <f>E1937-F1937</f>
        <v/>
      </c>
      <c r="H1937">
        <f>Data!P2030</f>
        <v/>
      </c>
      <c r="I1937">
        <f>G1937+H1937</f>
        <v/>
      </c>
      <c r="J1937">
        <f>F1937+G1937+H1937</f>
        <v/>
      </c>
      <c r="K1937">
        <f>Data!R2030</f>
        <v/>
      </c>
      <c r="L1937">
        <f>Data!T2030</f>
        <v/>
      </c>
      <c r="M1937">
        <f>AND(E1937=0,F1937=0,G1937=0,H1937=0,I1937=0,J1937=0,K1937=0,L1937=0)</f>
        <v/>
      </c>
      <c r="N1937">
        <f>G1937&lt;=$T$6</f>
        <v/>
      </c>
      <c r="O1937">
        <f>G1937&lt;=$T$12</f>
        <v/>
      </c>
      <c r="P1937">
        <f>OR(AND(H1937&gt;=$T$4,K1937&lt;=$T$5,N1937),M1937)</f>
        <v/>
      </c>
      <c r="Q1937">
        <f>OR(AND(I1937&gt;=$T$10,K1937&lt;=$T$11,O1937),M1937)</f>
        <v/>
      </c>
    </row>
    <row r="1938">
      <c r="A1938">
        <f>Data!E2031</f>
        <v/>
      </c>
      <c r="B1938">
        <f>Data!G2031</f>
        <v/>
      </c>
      <c r="C1938">
        <f>Data!H2031</f>
        <v/>
      </c>
      <c r="D1938">
        <f>Data!I2031</f>
        <v/>
      </c>
      <c r="E1938">
        <f>Data!M2031</f>
        <v/>
      </c>
      <c r="F1938">
        <f>Data!O2031</f>
        <v/>
      </c>
      <c r="G1938">
        <f>E1938-F1938</f>
        <v/>
      </c>
      <c r="H1938">
        <f>Data!P2031</f>
        <v/>
      </c>
      <c r="I1938">
        <f>G1938+H1938</f>
        <v/>
      </c>
      <c r="J1938">
        <f>F1938+G1938+H1938</f>
        <v/>
      </c>
      <c r="K1938">
        <f>Data!R2031</f>
        <v/>
      </c>
      <c r="L1938">
        <f>Data!T2031</f>
        <v/>
      </c>
      <c r="M1938">
        <f>AND(E1938=0,F1938=0,G1938=0,H1938=0,I1938=0,J1938=0,K1938=0,L1938=0)</f>
        <v/>
      </c>
      <c r="N1938">
        <f>G1938&lt;=$T$6</f>
        <v/>
      </c>
      <c r="O1938">
        <f>G1938&lt;=$T$12</f>
        <v/>
      </c>
      <c r="P1938">
        <f>OR(AND(H1938&gt;=$T$4,K1938&lt;=$T$5,N1938),M1938)</f>
        <v/>
      </c>
      <c r="Q1938">
        <f>OR(AND(I1938&gt;=$T$10,K1938&lt;=$T$11,O1938),M1938)</f>
        <v/>
      </c>
    </row>
    <row r="1939">
      <c r="A1939">
        <f>Data!E2032</f>
        <v/>
      </c>
      <c r="B1939">
        <f>Data!G2032</f>
        <v/>
      </c>
      <c r="C1939">
        <f>Data!H2032</f>
        <v/>
      </c>
      <c r="D1939">
        <f>Data!I2032</f>
        <v/>
      </c>
      <c r="E1939">
        <f>Data!M2032</f>
        <v/>
      </c>
      <c r="F1939">
        <f>Data!O2032</f>
        <v/>
      </c>
      <c r="G1939">
        <f>E1939-F1939</f>
        <v/>
      </c>
      <c r="H1939">
        <f>Data!P2032</f>
        <v/>
      </c>
      <c r="I1939">
        <f>G1939+H1939</f>
        <v/>
      </c>
      <c r="J1939">
        <f>F1939+G1939+H1939</f>
        <v/>
      </c>
      <c r="K1939">
        <f>Data!R2032</f>
        <v/>
      </c>
      <c r="L1939">
        <f>Data!T2032</f>
        <v/>
      </c>
      <c r="M1939">
        <f>AND(E1939=0,F1939=0,G1939=0,H1939=0,I1939=0,J1939=0,K1939=0,L1939=0)</f>
        <v/>
      </c>
      <c r="N1939">
        <f>G1939&lt;=$T$6</f>
        <v/>
      </c>
      <c r="O1939">
        <f>G1939&lt;=$T$12</f>
        <v/>
      </c>
      <c r="P1939">
        <f>OR(AND(H1939&gt;=$T$4,K1939&lt;=$T$5,N1939),M1939)</f>
        <v/>
      </c>
      <c r="Q1939">
        <f>OR(AND(I1939&gt;=$T$10,K1939&lt;=$T$11,O1939),M1939)</f>
        <v/>
      </c>
    </row>
    <row r="1940">
      <c r="A1940">
        <f>Data!E2033</f>
        <v/>
      </c>
      <c r="B1940">
        <f>Data!G2033</f>
        <v/>
      </c>
      <c r="C1940">
        <f>Data!H2033</f>
        <v/>
      </c>
      <c r="D1940">
        <f>Data!I2033</f>
        <v/>
      </c>
      <c r="E1940">
        <f>Data!M2033</f>
        <v/>
      </c>
      <c r="F1940">
        <f>Data!O2033</f>
        <v/>
      </c>
      <c r="G1940">
        <f>E1940-F1940</f>
        <v/>
      </c>
      <c r="H1940">
        <f>Data!P2033</f>
        <v/>
      </c>
      <c r="I1940">
        <f>G1940+H1940</f>
        <v/>
      </c>
      <c r="J1940">
        <f>F1940+G1940+H1940</f>
        <v/>
      </c>
      <c r="K1940">
        <f>Data!R2033</f>
        <v/>
      </c>
      <c r="L1940">
        <f>Data!T2033</f>
        <v/>
      </c>
      <c r="M1940">
        <f>AND(E1940=0,F1940=0,G1940=0,H1940=0,I1940=0,J1940=0,K1940=0,L1940=0)</f>
        <v/>
      </c>
      <c r="N1940">
        <f>G1940&lt;=$T$6</f>
        <v/>
      </c>
      <c r="O1940">
        <f>G1940&lt;=$T$12</f>
        <v/>
      </c>
      <c r="P1940">
        <f>OR(AND(H1940&gt;=$T$4,K1940&lt;=$T$5,N1940),M1940)</f>
        <v/>
      </c>
      <c r="Q1940">
        <f>OR(AND(I1940&gt;=$T$10,K1940&lt;=$T$11,O1940),M1940)</f>
        <v/>
      </c>
    </row>
    <row r="1941">
      <c r="A1941">
        <f>Data!E2034</f>
        <v/>
      </c>
      <c r="B1941">
        <f>Data!G2034</f>
        <v/>
      </c>
      <c r="C1941">
        <f>Data!H2034</f>
        <v/>
      </c>
      <c r="D1941">
        <f>Data!I2034</f>
        <v/>
      </c>
      <c r="E1941">
        <f>Data!M2034</f>
        <v/>
      </c>
      <c r="F1941">
        <f>Data!O2034</f>
        <v/>
      </c>
      <c r="G1941">
        <f>E1941-F1941</f>
        <v/>
      </c>
      <c r="H1941">
        <f>Data!P2034</f>
        <v/>
      </c>
      <c r="I1941">
        <f>G1941+H1941</f>
        <v/>
      </c>
      <c r="J1941">
        <f>F1941+G1941+H1941</f>
        <v/>
      </c>
      <c r="K1941">
        <f>Data!R2034</f>
        <v/>
      </c>
      <c r="L1941">
        <f>Data!T2034</f>
        <v/>
      </c>
      <c r="M1941">
        <f>AND(E1941=0,F1941=0,G1941=0,H1941=0,I1941=0,J1941=0,K1941=0,L1941=0)</f>
        <v/>
      </c>
      <c r="N1941">
        <f>G1941&lt;=$T$6</f>
        <v/>
      </c>
      <c r="O1941">
        <f>G1941&lt;=$T$12</f>
        <v/>
      </c>
      <c r="P1941">
        <f>OR(AND(H1941&gt;=$T$4,K1941&lt;=$T$5,N1941),M1941)</f>
        <v/>
      </c>
      <c r="Q1941">
        <f>OR(AND(I1941&gt;=$T$10,K1941&lt;=$T$11,O1941),M1941)</f>
        <v/>
      </c>
    </row>
    <row r="1942">
      <c r="A1942">
        <f>Data!E2035</f>
        <v/>
      </c>
      <c r="B1942">
        <f>Data!G2035</f>
        <v/>
      </c>
      <c r="C1942">
        <f>Data!H2035</f>
        <v/>
      </c>
      <c r="D1942">
        <f>Data!I2035</f>
        <v/>
      </c>
      <c r="E1942">
        <f>Data!M2035</f>
        <v/>
      </c>
      <c r="F1942">
        <f>Data!O2035</f>
        <v/>
      </c>
      <c r="G1942">
        <f>E1942-F1942</f>
        <v/>
      </c>
      <c r="H1942">
        <f>Data!P2035</f>
        <v/>
      </c>
      <c r="I1942">
        <f>G1942+H1942</f>
        <v/>
      </c>
      <c r="J1942">
        <f>F1942+G1942+H1942</f>
        <v/>
      </c>
      <c r="K1942">
        <f>Data!R2035</f>
        <v/>
      </c>
      <c r="L1942">
        <f>Data!T2035</f>
        <v/>
      </c>
      <c r="M1942">
        <f>AND(E1942=0,F1942=0,G1942=0,H1942=0,I1942=0,J1942=0,K1942=0,L1942=0)</f>
        <v/>
      </c>
      <c r="N1942">
        <f>G1942&lt;=$T$6</f>
        <v/>
      </c>
      <c r="O1942">
        <f>G1942&lt;=$T$12</f>
        <v/>
      </c>
      <c r="P1942">
        <f>OR(AND(H1942&gt;=$T$4,K1942&lt;=$T$5,N1942),M1942)</f>
        <v/>
      </c>
      <c r="Q1942">
        <f>OR(AND(I1942&gt;=$T$10,K1942&lt;=$T$11,O1942),M1942)</f>
        <v/>
      </c>
    </row>
    <row r="1943">
      <c r="A1943">
        <f>Data!E2037</f>
        <v/>
      </c>
      <c r="B1943">
        <f>Data!G2037</f>
        <v/>
      </c>
      <c r="C1943">
        <f>Data!H2037</f>
        <v/>
      </c>
      <c r="D1943">
        <f>Data!I2037</f>
        <v/>
      </c>
      <c r="E1943">
        <f>Data!M2037</f>
        <v/>
      </c>
      <c r="F1943">
        <f>Data!O2037</f>
        <v/>
      </c>
      <c r="G1943">
        <f>E1943-F1943</f>
        <v/>
      </c>
      <c r="H1943">
        <f>Data!P2037</f>
        <v/>
      </c>
      <c r="I1943">
        <f>G1943+H1943</f>
        <v/>
      </c>
      <c r="J1943">
        <f>F1943+G1943+H1943</f>
        <v/>
      </c>
      <c r="K1943">
        <f>Data!R2037</f>
        <v/>
      </c>
      <c r="L1943">
        <f>Data!T2037</f>
        <v/>
      </c>
      <c r="M1943">
        <f>AND(E1943=0,F1943=0,G1943=0,H1943=0,I1943=0,J1943=0,K1943=0,L1943=0)</f>
        <v/>
      </c>
      <c r="N1943">
        <f>G1943&lt;=$T$6</f>
        <v/>
      </c>
      <c r="O1943">
        <f>G1943&lt;=$T$12</f>
        <v/>
      </c>
      <c r="P1943">
        <f>OR(AND(H1943&gt;=$T$4,K1943&lt;=$T$5,N1943),M1943)</f>
        <v/>
      </c>
      <c r="Q1943">
        <f>OR(AND(I1943&gt;=$T$10,K1943&lt;=$T$11,O1943),M1943)</f>
        <v/>
      </c>
    </row>
    <row r="1944">
      <c r="A1944">
        <f>Data!E2038</f>
        <v/>
      </c>
      <c r="B1944">
        <f>Data!G2038</f>
        <v/>
      </c>
      <c r="C1944">
        <f>Data!H2038</f>
        <v/>
      </c>
      <c r="D1944">
        <f>Data!I2038</f>
        <v/>
      </c>
      <c r="E1944">
        <f>Data!M2038</f>
        <v/>
      </c>
      <c r="F1944">
        <f>Data!O2038</f>
        <v/>
      </c>
      <c r="G1944">
        <f>E1944-F1944</f>
        <v/>
      </c>
      <c r="H1944">
        <f>Data!P2038</f>
        <v/>
      </c>
      <c r="I1944">
        <f>G1944+H1944</f>
        <v/>
      </c>
      <c r="J1944">
        <f>F1944+G1944+H1944</f>
        <v/>
      </c>
      <c r="K1944">
        <f>Data!R2038</f>
        <v/>
      </c>
      <c r="L1944">
        <f>Data!T2038</f>
        <v/>
      </c>
      <c r="M1944">
        <f>AND(E1944=0,F1944=0,G1944=0,H1944=0,I1944=0,J1944=0,K1944=0,L1944=0)</f>
        <v/>
      </c>
      <c r="N1944">
        <f>G1944&lt;=$T$6</f>
        <v/>
      </c>
      <c r="O1944">
        <f>G1944&lt;=$T$12</f>
        <v/>
      </c>
      <c r="P1944">
        <f>OR(AND(H1944&gt;=$T$4,K1944&lt;=$T$5,N1944),M1944)</f>
        <v/>
      </c>
      <c r="Q1944">
        <f>OR(AND(I1944&gt;=$T$10,K1944&lt;=$T$11,O1944),M1944)</f>
        <v/>
      </c>
    </row>
    <row r="1945">
      <c r="A1945">
        <f>Data!E2039</f>
        <v/>
      </c>
      <c r="B1945">
        <f>Data!G2039</f>
        <v/>
      </c>
      <c r="C1945">
        <f>Data!H2039</f>
        <v/>
      </c>
      <c r="D1945">
        <f>Data!I2039</f>
        <v/>
      </c>
      <c r="E1945">
        <f>Data!M2039</f>
        <v/>
      </c>
      <c r="F1945">
        <f>Data!O2039</f>
        <v/>
      </c>
      <c r="G1945">
        <f>E1945-F1945</f>
        <v/>
      </c>
      <c r="H1945">
        <f>Data!P2039</f>
        <v/>
      </c>
      <c r="I1945">
        <f>G1945+H1945</f>
        <v/>
      </c>
      <c r="J1945">
        <f>F1945+G1945+H1945</f>
        <v/>
      </c>
      <c r="K1945">
        <f>Data!R2039</f>
        <v/>
      </c>
      <c r="L1945">
        <f>Data!T2039</f>
        <v/>
      </c>
      <c r="M1945">
        <f>AND(E1945=0,F1945=0,G1945=0,H1945=0,I1945=0,J1945=0,K1945=0,L1945=0)</f>
        <v/>
      </c>
      <c r="N1945">
        <f>G1945&lt;=$T$6</f>
        <v/>
      </c>
      <c r="O1945">
        <f>G1945&lt;=$T$12</f>
        <v/>
      </c>
      <c r="P1945">
        <f>OR(AND(H1945&gt;=$T$4,K1945&lt;=$T$5,N1945),M1945)</f>
        <v/>
      </c>
      <c r="Q1945">
        <f>OR(AND(I1945&gt;=$T$10,K1945&lt;=$T$11,O1945),M1945)</f>
        <v/>
      </c>
    </row>
    <row r="1946">
      <c r="A1946">
        <f>Data!E2040</f>
        <v/>
      </c>
      <c r="B1946">
        <f>Data!G2040</f>
        <v/>
      </c>
      <c r="C1946">
        <f>Data!H2040</f>
        <v/>
      </c>
      <c r="D1946">
        <f>Data!I2040</f>
        <v/>
      </c>
      <c r="E1946">
        <f>Data!M2040</f>
        <v/>
      </c>
      <c r="F1946">
        <f>Data!O2040</f>
        <v/>
      </c>
      <c r="G1946">
        <f>E1946-F1946</f>
        <v/>
      </c>
      <c r="H1946">
        <f>Data!P2040</f>
        <v/>
      </c>
      <c r="I1946">
        <f>G1946+H1946</f>
        <v/>
      </c>
      <c r="J1946">
        <f>F1946+G1946+H1946</f>
        <v/>
      </c>
      <c r="K1946">
        <f>Data!R2040</f>
        <v/>
      </c>
      <c r="L1946">
        <f>Data!T2040</f>
        <v/>
      </c>
      <c r="M1946">
        <f>AND(E1946=0,F1946=0,G1946=0,H1946=0,I1946=0,J1946=0,K1946=0,L1946=0)</f>
        <v/>
      </c>
      <c r="N1946">
        <f>G1946&lt;=$T$6</f>
        <v/>
      </c>
      <c r="O1946">
        <f>G1946&lt;=$T$12</f>
        <v/>
      </c>
      <c r="P1946">
        <f>OR(AND(H1946&gt;=$T$4,K1946&lt;=$T$5,N1946),M1946)</f>
        <v/>
      </c>
      <c r="Q1946">
        <f>OR(AND(I1946&gt;=$T$10,K1946&lt;=$T$11,O1946),M1946)</f>
        <v/>
      </c>
    </row>
    <row r="1947">
      <c r="A1947">
        <f>Data!E2041</f>
        <v/>
      </c>
      <c r="B1947">
        <f>Data!G2041</f>
        <v/>
      </c>
      <c r="C1947">
        <f>Data!H2041</f>
        <v/>
      </c>
      <c r="D1947">
        <f>Data!I2041</f>
        <v/>
      </c>
      <c r="E1947">
        <f>Data!M2041</f>
        <v/>
      </c>
      <c r="F1947">
        <f>Data!O2041</f>
        <v/>
      </c>
      <c r="G1947">
        <f>E1947-F1947</f>
        <v/>
      </c>
      <c r="H1947">
        <f>Data!P2041</f>
        <v/>
      </c>
      <c r="I1947">
        <f>G1947+H1947</f>
        <v/>
      </c>
      <c r="J1947">
        <f>F1947+G1947+H1947</f>
        <v/>
      </c>
      <c r="K1947">
        <f>Data!R2041</f>
        <v/>
      </c>
      <c r="L1947">
        <f>Data!T2041</f>
        <v/>
      </c>
      <c r="M1947">
        <f>AND(E1947=0,F1947=0,G1947=0,H1947=0,I1947=0,J1947=0,K1947=0,L1947=0)</f>
        <v/>
      </c>
      <c r="N1947">
        <f>G1947&lt;=$T$6</f>
        <v/>
      </c>
      <c r="O1947">
        <f>G1947&lt;=$T$12</f>
        <v/>
      </c>
      <c r="P1947">
        <f>OR(AND(H1947&gt;=$T$4,K1947&lt;=$T$5,N1947),M1947)</f>
        <v/>
      </c>
      <c r="Q1947">
        <f>OR(AND(I1947&gt;=$T$10,K1947&lt;=$T$11,O1947),M1947)</f>
        <v/>
      </c>
    </row>
    <row r="1948">
      <c r="A1948">
        <f>Data!E2042</f>
        <v/>
      </c>
      <c r="B1948">
        <f>Data!G2042</f>
        <v/>
      </c>
      <c r="C1948">
        <f>Data!H2042</f>
        <v/>
      </c>
      <c r="D1948">
        <f>Data!I2042</f>
        <v/>
      </c>
      <c r="E1948">
        <f>Data!M2042</f>
        <v/>
      </c>
      <c r="F1948">
        <f>Data!O2042</f>
        <v/>
      </c>
      <c r="G1948">
        <f>E1948-F1948</f>
        <v/>
      </c>
      <c r="H1948">
        <f>Data!P2042</f>
        <v/>
      </c>
      <c r="I1948">
        <f>G1948+H1948</f>
        <v/>
      </c>
      <c r="J1948">
        <f>F1948+G1948+H1948</f>
        <v/>
      </c>
      <c r="K1948">
        <f>Data!R2042</f>
        <v/>
      </c>
      <c r="L1948">
        <f>Data!T2042</f>
        <v/>
      </c>
      <c r="M1948">
        <f>AND(E1948=0,F1948=0,G1948=0,H1948=0,I1948=0,J1948=0,K1948=0,L1948=0)</f>
        <v/>
      </c>
      <c r="N1948">
        <f>G1948&lt;=$T$6</f>
        <v/>
      </c>
      <c r="O1948">
        <f>G1948&lt;=$T$12</f>
        <v/>
      </c>
      <c r="P1948">
        <f>OR(AND(H1948&gt;=$T$4,K1948&lt;=$T$5,N1948),M1948)</f>
        <v/>
      </c>
      <c r="Q1948">
        <f>OR(AND(I1948&gt;=$T$10,K1948&lt;=$T$11,O1948),M1948)</f>
        <v/>
      </c>
    </row>
    <row r="1949">
      <c r="A1949">
        <f>Data!E2043</f>
        <v/>
      </c>
      <c r="B1949">
        <f>Data!G2043</f>
        <v/>
      </c>
      <c r="C1949">
        <f>Data!H2043</f>
        <v/>
      </c>
      <c r="D1949">
        <f>Data!I2043</f>
        <v/>
      </c>
      <c r="E1949">
        <f>Data!M2043</f>
        <v/>
      </c>
      <c r="F1949">
        <f>Data!O2043</f>
        <v/>
      </c>
      <c r="G1949">
        <f>E1949-F1949</f>
        <v/>
      </c>
      <c r="H1949">
        <f>Data!P2043</f>
        <v/>
      </c>
      <c r="I1949">
        <f>G1949+H1949</f>
        <v/>
      </c>
      <c r="J1949">
        <f>F1949+G1949+H1949</f>
        <v/>
      </c>
      <c r="K1949">
        <f>Data!R2043</f>
        <v/>
      </c>
      <c r="L1949">
        <f>Data!T2043</f>
        <v/>
      </c>
      <c r="M1949">
        <f>AND(E1949=0,F1949=0,G1949=0,H1949=0,I1949=0,J1949=0,K1949=0,L1949=0)</f>
        <v/>
      </c>
      <c r="N1949">
        <f>G1949&lt;=$T$6</f>
        <v/>
      </c>
      <c r="O1949">
        <f>G1949&lt;=$T$12</f>
        <v/>
      </c>
      <c r="P1949">
        <f>OR(AND(H1949&gt;=$T$4,K1949&lt;=$T$5,N1949),M1949)</f>
        <v/>
      </c>
      <c r="Q1949">
        <f>OR(AND(I1949&gt;=$T$10,K1949&lt;=$T$11,O1949),M1949)</f>
        <v/>
      </c>
    </row>
    <row r="1950">
      <c r="A1950">
        <f>Data!E2044</f>
        <v/>
      </c>
      <c r="B1950">
        <f>Data!G2044</f>
        <v/>
      </c>
      <c r="C1950">
        <f>Data!H2044</f>
        <v/>
      </c>
      <c r="D1950">
        <f>Data!I2044</f>
        <v/>
      </c>
      <c r="E1950">
        <f>Data!M2044</f>
        <v/>
      </c>
      <c r="F1950">
        <f>Data!O2044</f>
        <v/>
      </c>
      <c r="G1950">
        <f>E1950-F1950</f>
        <v/>
      </c>
      <c r="H1950">
        <f>Data!P2044</f>
        <v/>
      </c>
      <c r="I1950">
        <f>G1950+H1950</f>
        <v/>
      </c>
      <c r="J1950">
        <f>F1950+G1950+H1950</f>
        <v/>
      </c>
      <c r="K1950">
        <f>Data!R2044</f>
        <v/>
      </c>
      <c r="L1950">
        <f>Data!T2044</f>
        <v/>
      </c>
      <c r="M1950">
        <f>AND(E1950=0,F1950=0,G1950=0,H1950=0,I1950=0,J1950=0,K1950=0,L1950=0)</f>
        <v/>
      </c>
      <c r="N1950">
        <f>G1950&lt;=$T$6</f>
        <v/>
      </c>
      <c r="O1950">
        <f>G1950&lt;=$T$12</f>
        <v/>
      </c>
      <c r="P1950">
        <f>OR(AND(H1950&gt;=$T$4,K1950&lt;=$T$5,N1950),M1950)</f>
        <v/>
      </c>
      <c r="Q1950">
        <f>OR(AND(I1950&gt;=$T$10,K1950&lt;=$T$11,O1950),M1950)</f>
        <v/>
      </c>
    </row>
    <row r="1951">
      <c r="A1951">
        <f>Data!E2045</f>
        <v/>
      </c>
      <c r="B1951">
        <f>Data!G2045</f>
        <v/>
      </c>
      <c r="C1951">
        <f>Data!H2045</f>
        <v/>
      </c>
      <c r="D1951">
        <f>Data!I2045</f>
        <v/>
      </c>
      <c r="E1951">
        <f>Data!M2045</f>
        <v/>
      </c>
      <c r="F1951">
        <f>Data!O2045</f>
        <v/>
      </c>
      <c r="G1951">
        <f>E1951-F1951</f>
        <v/>
      </c>
      <c r="H1951">
        <f>Data!P2045</f>
        <v/>
      </c>
      <c r="I1951">
        <f>G1951+H1951</f>
        <v/>
      </c>
      <c r="J1951">
        <f>F1951+G1951+H1951</f>
        <v/>
      </c>
      <c r="K1951">
        <f>Data!R2045</f>
        <v/>
      </c>
      <c r="L1951">
        <f>Data!T2045</f>
        <v/>
      </c>
      <c r="M1951">
        <f>AND(E1951=0,F1951=0,G1951=0,H1951=0,I1951=0,J1951=0,K1951=0,L1951=0)</f>
        <v/>
      </c>
      <c r="N1951">
        <f>G1951&lt;=$T$6</f>
        <v/>
      </c>
      <c r="O1951">
        <f>G1951&lt;=$T$12</f>
        <v/>
      </c>
      <c r="P1951">
        <f>OR(AND(H1951&gt;=$T$4,K1951&lt;=$T$5,N1951),M1951)</f>
        <v/>
      </c>
      <c r="Q1951">
        <f>OR(AND(I1951&gt;=$T$10,K1951&lt;=$T$11,O1951),M1951)</f>
        <v/>
      </c>
    </row>
    <row r="1952">
      <c r="A1952">
        <f>Data!E2046</f>
        <v/>
      </c>
      <c r="B1952">
        <f>Data!G2046</f>
        <v/>
      </c>
      <c r="C1952">
        <f>Data!H2046</f>
        <v/>
      </c>
      <c r="D1952">
        <f>Data!I2046</f>
        <v/>
      </c>
      <c r="E1952">
        <f>Data!M2046</f>
        <v/>
      </c>
      <c r="F1952">
        <f>Data!O2046</f>
        <v/>
      </c>
      <c r="G1952">
        <f>E1952-F1952</f>
        <v/>
      </c>
      <c r="H1952">
        <f>Data!P2046</f>
        <v/>
      </c>
      <c r="I1952">
        <f>G1952+H1952</f>
        <v/>
      </c>
      <c r="J1952">
        <f>F1952+G1952+H1952</f>
        <v/>
      </c>
      <c r="K1952">
        <f>Data!R2046</f>
        <v/>
      </c>
      <c r="L1952">
        <f>Data!T2046</f>
        <v/>
      </c>
      <c r="M1952">
        <f>AND(E1952=0,F1952=0,G1952=0,H1952=0,I1952=0,J1952=0,K1952=0,L1952=0)</f>
        <v/>
      </c>
      <c r="N1952">
        <f>G1952&lt;=$T$6</f>
        <v/>
      </c>
      <c r="O1952">
        <f>G1952&lt;=$T$12</f>
        <v/>
      </c>
      <c r="P1952">
        <f>OR(AND(H1952&gt;=$T$4,K1952&lt;=$T$5,N1952),M1952)</f>
        <v/>
      </c>
      <c r="Q1952">
        <f>OR(AND(I1952&gt;=$T$10,K1952&lt;=$T$11,O1952),M1952)</f>
        <v/>
      </c>
    </row>
    <row r="1953">
      <c r="A1953">
        <f>Data!E2047</f>
        <v/>
      </c>
      <c r="B1953">
        <f>Data!G2047</f>
        <v/>
      </c>
      <c r="C1953">
        <f>Data!H2047</f>
        <v/>
      </c>
      <c r="D1953">
        <f>Data!I2047</f>
        <v/>
      </c>
      <c r="E1953">
        <f>Data!M2047</f>
        <v/>
      </c>
      <c r="F1953">
        <f>Data!O2047</f>
        <v/>
      </c>
      <c r="G1953">
        <f>E1953-F1953</f>
        <v/>
      </c>
      <c r="H1953">
        <f>Data!P2047</f>
        <v/>
      </c>
      <c r="I1953">
        <f>G1953+H1953</f>
        <v/>
      </c>
      <c r="J1953">
        <f>F1953+G1953+H1953</f>
        <v/>
      </c>
      <c r="K1953">
        <f>Data!R2047</f>
        <v/>
      </c>
      <c r="L1953">
        <f>Data!T2047</f>
        <v/>
      </c>
      <c r="M1953">
        <f>AND(E1953=0,F1953=0,G1953=0,H1953=0,I1953=0,J1953=0,K1953=0,L1953=0)</f>
        <v/>
      </c>
      <c r="N1953">
        <f>G1953&lt;=$T$6</f>
        <v/>
      </c>
      <c r="O1953">
        <f>G1953&lt;=$T$12</f>
        <v/>
      </c>
      <c r="P1953">
        <f>OR(AND(H1953&gt;=$T$4,K1953&lt;=$T$5,N1953),M1953)</f>
        <v/>
      </c>
      <c r="Q1953">
        <f>OR(AND(I1953&gt;=$T$10,K1953&lt;=$T$11,O1953),M1953)</f>
        <v/>
      </c>
    </row>
    <row r="1954">
      <c r="A1954">
        <f>Data!E2048</f>
        <v/>
      </c>
      <c r="B1954">
        <f>Data!G2048</f>
        <v/>
      </c>
      <c r="C1954">
        <f>Data!H2048</f>
        <v/>
      </c>
      <c r="D1954">
        <f>Data!I2048</f>
        <v/>
      </c>
      <c r="E1954">
        <f>Data!M2048</f>
        <v/>
      </c>
      <c r="F1954">
        <f>Data!O2048</f>
        <v/>
      </c>
      <c r="G1954">
        <f>E1954-F1954</f>
        <v/>
      </c>
      <c r="H1954">
        <f>Data!P2048</f>
        <v/>
      </c>
      <c r="I1954">
        <f>G1954+H1954</f>
        <v/>
      </c>
      <c r="J1954">
        <f>F1954+G1954+H1954</f>
        <v/>
      </c>
      <c r="K1954">
        <f>Data!R2048</f>
        <v/>
      </c>
      <c r="L1954">
        <f>Data!T2048</f>
        <v/>
      </c>
      <c r="M1954">
        <f>AND(E1954=0,F1954=0,G1954=0,H1954=0,I1954=0,J1954=0,K1954=0,L1954=0)</f>
        <v/>
      </c>
      <c r="N1954">
        <f>G1954&lt;=$T$6</f>
        <v/>
      </c>
      <c r="O1954">
        <f>G1954&lt;=$T$12</f>
        <v/>
      </c>
      <c r="P1954">
        <f>OR(AND(H1954&gt;=$T$4,K1954&lt;=$T$5,N1954),M1954)</f>
        <v/>
      </c>
      <c r="Q1954">
        <f>OR(AND(I1954&gt;=$T$10,K1954&lt;=$T$11,O1954),M1954)</f>
        <v/>
      </c>
    </row>
    <row r="1955">
      <c r="A1955">
        <f>Data!E2049</f>
        <v/>
      </c>
      <c r="B1955">
        <f>Data!G2049</f>
        <v/>
      </c>
      <c r="C1955">
        <f>Data!H2049</f>
        <v/>
      </c>
      <c r="D1955">
        <f>Data!I2049</f>
        <v/>
      </c>
      <c r="E1955">
        <f>Data!M2049</f>
        <v/>
      </c>
      <c r="F1955">
        <f>Data!O2049</f>
        <v/>
      </c>
      <c r="G1955">
        <f>E1955-F1955</f>
        <v/>
      </c>
      <c r="H1955">
        <f>Data!P2049</f>
        <v/>
      </c>
      <c r="I1955">
        <f>G1955+H1955</f>
        <v/>
      </c>
      <c r="J1955">
        <f>F1955+G1955+H1955</f>
        <v/>
      </c>
      <c r="K1955">
        <f>Data!R2049</f>
        <v/>
      </c>
      <c r="L1955">
        <f>Data!T2049</f>
        <v/>
      </c>
      <c r="M1955">
        <f>AND(E1955=0,F1955=0,G1955=0,H1955=0,I1955=0,J1955=0,K1955=0,L1955=0)</f>
        <v/>
      </c>
      <c r="N1955">
        <f>G1955&lt;=$T$6</f>
        <v/>
      </c>
      <c r="O1955">
        <f>G1955&lt;=$T$12</f>
        <v/>
      </c>
      <c r="P1955">
        <f>OR(AND(H1955&gt;=$T$4,K1955&lt;=$T$5,N1955),M1955)</f>
        <v/>
      </c>
      <c r="Q1955">
        <f>OR(AND(I1955&gt;=$T$10,K1955&lt;=$T$11,O1955),M1955)</f>
        <v/>
      </c>
    </row>
    <row r="1956">
      <c r="A1956">
        <f>Data!E2050</f>
        <v/>
      </c>
      <c r="B1956">
        <f>Data!G2050</f>
        <v/>
      </c>
      <c r="C1956">
        <f>Data!H2050</f>
        <v/>
      </c>
      <c r="D1956">
        <f>Data!I2050</f>
        <v/>
      </c>
      <c r="E1956">
        <f>Data!M2050</f>
        <v/>
      </c>
      <c r="F1956">
        <f>Data!O2050</f>
        <v/>
      </c>
      <c r="G1956">
        <f>E1956-F1956</f>
        <v/>
      </c>
      <c r="H1956">
        <f>Data!P2050</f>
        <v/>
      </c>
      <c r="I1956">
        <f>G1956+H1956</f>
        <v/>
      </c>
      <c r="J1956">
        <f>F1956+G1956+H1956</f>
        <v/>
      </c>
      <c r="K1956">
        <f>Data!R2050</f>
        <v/>
      </c>
      <c r="L1956">
        <f>Data!T2050</f>
        <v/>
      </c>
      <c r="M1956">
        <f>AND(E1956=0,F1956=0,G1956=0,H1956=0,I1956=0,J1956=0,K1956=0,L1956=0)</f>
        <v/>
      </c>
      <c r="N1956">
        <f>G1956&lt;=$T$6</f>
        <v/>
      </c>
      <c r="O1956">
        <f>G1956&lt;=$T$12</f>
        <v/>
      </c>
      <c r="P1956">
        <f>OR(AND(H1956&gt;=$T$4,K1956&lt;=$T$5,N1956),M1956)</f>
        <v/>
      </c>
      <c r="Q1956">
        <f>OR(AND(I1956&gt;=$T$10,K1956&lt;=$T$11,O1956),M1956)</f>
        <v/>
      </c>
    </row>
    <row r="1957">
      <c r="A1957">
        <f>Data!E2052</f>
        <v/>
      </c>
      <c r="B1957">
        <f>Data!G2052</f>
        <v/>
      </c>
      <c r="C1957">
        <f>Data!H2052</f>
        <v/>
      </c>
      <c r="D1957">
        <f>Data!I2052</f>
        <v/>
      </c>
      <c r="E1957">
        <f>Data!M2052</f>
        <v/>
      </c>
      <c r="F1957">
        <f>Data!O2052</f>
        <v/>
      </c>
      <c r="G1957">
        <f>E1957-F1957</f>
        <v/>
      </c>
      <c r="H1957">
        <f>Data!P2052</f>
        <v/>
      </c>
      <c r="I1957">
        <f>G1957+H1957</f>
        <v/>
      </c>
      <c r="J1957">
        <f>F1957+G1957+H1957</f>
        <v/>
      </c>
      <c r="K1957">
        <f>Data!R2052</f>
        <v/>
      </c>
      <c r="L1957">
        <f>Data!T2052</f>
        <v/>
      </c>
      <c r="M1957">
        <f>AND(E1957=0,F1957=0,G1957=0,H1957=0,I1957=0,J1957=0,K1957=0,L1957=0)</f>
        <v/>
      </c>
      <c r="N1957">
        <f>G1957&lt;=$T$6</f>
        <v/>
      </c>
      <c r="O1957">
        <f>G1957&lt;=$T$12</f>
        <v/>
      </c>
      <c r="P1957">
        <f>OR(AND(H1957&gt;=$T$4,K1957&lt;=$T$5,N1957),M1957)</f>
        <v/>
      </c>
      <c r="Q1957">
        <f>OR(AND(I1957&gt;=$T$10,K1957&lt;=$T$11,O1957),M1957)</f>
        <v/>
      </c>
    </row>
    <row r="1958">
      <c r="A1958">
        <f>Data!E2053</f>
        <v/>
      </c>
      <c r="B1958">
        <f>Data!G2053</f>
        <v/>
      </c>
      <c r="C1958">
        <f>Data!H2053</f>
        <v/>
      </c>
      <c r="D1958">
        <f>Data!I2053</f>
        <v/>
      </c>
      <c r="E1958">
        <f>Data!M2053</f>
        <v/>
      </c>
      <c r="F1958">
        <f>Data!O2053</f>
        <v/>
      </c>
      <c r="G1958">
        <f>E1958-F1958</f>
        <v/>
      </c>
      <c r="H1958">
        <f>Data!P2053</f>
        <v/>
      </c>
      <c r="I1958">
        <f>G1958+H1958</f>
        <v/>
      </c>
      <c r="J1958">
        <f>F1958+G1958+H1958</f>
        <v/>
      </c>
      <c r="K1958">
        <f>Data!R2053</f>
        <v/>
      </c>
      <c r="L1958">
        <f>Data!T2053</f>
        <v/>
      </c>
      <c r="M1958">
        <f>AND(E1958=0,F1958=0,G1958=0,H1958=0,I1958=0,J1958=0,K1958=0,L1958=0)</f>
        <v/>
      </c>
      <c r="N1958">
        <f>G1958&lt;=$T$6</f>
        <v/>
      </c>
      <c r="O1958">
        <f>G1958&lt;=$T$12</f>
        <v/>
      </c>
      <c r="P1958">
        <f>OR(AND(H1958&gt;=$T$4,K1958&lt;=$T$5,N1958),M1958)</f>
        <v/>
      </c>
      <c r="Q1958">
        <f>OR(AND(I1958&gt;=$T$10,K1958&lt;=$T$11,O1958),M1958)</f>
        <v/>
      </c>
    </row>
    <row r="1959">
      <c r="A1959">
        <f>Data!E2054</f>
        <v/>
      </c>
      <c r="B1959">
        <f>Data!G2054</f>
        <v/>
      </c>
      <c r="C1959">
        <f>Data!H2054</f>
        <v/>
      </c>
      <c r="D1959">
        <f>Data!I2054</f>
        <v/>
      </c>
      <c r="E1959">
        <f>Data!M2054</f>
        <v/>
      </c>
      <c r="F1959">
        <f>Data!O2054</f>
        <v/>
      </c>
      <c r="G1959">
        <f>E1959-F1959</f>
        <v/>
      </c>
      <c r="H1959">
        <f>Data!P2054</f>
        <v/>
      </c>
      <c r="I1959">
        <f>G1959+H1959</f>
        <v/>
      </c>
      <c r="J1959">
        <f>F1959+G1959+H1959</f>
        <v/>
      </c>
      <c r="K1959">
        <f>Data!R2054</f>
        <v/>
      </c>
      <c r="L1959">
        <f>Data!T2054</f>
        <v/>
      </c>
      <c r="M1959">
        <f>AND(E1959=0,F1959=0,G1959=0,H1959=0,I1959=0,J1959=0,K1959=0,L1959=0)</f>
        <v/>
      </c>
      <c r="N1959">
        <f>G1959&lt;=$T$6</f>
        <v/>
      </c>
      <c r="O1959">
        <f>G1959&lt;=$T$12</f>
        <v/>
      </c>
      <c r="P1959">
        <f>OR(AND(H1959&gt;=$T$4,K1959&lt;=$T$5,N1959),M1959)</f>
        <v/>
      </c>
      <c r="Q1959">
        <f>OR(AND(I1959&gt;=$T$10,K1959&lt;=$T$11,O1959),M1959)</f>
        <v/>
      </c>
    </row>
    <row r="1960">
      <c r="A1960">
        <f>Data!E2055</f>
        <v/>
      </c>
      <c r="B1960">
        <f>Data!G2055</f>
        <v/>
      </c>
      <c r="C1960">
        <f>Data!H2055</f>
        <v/>
      </c>
      <c r="D1960">
        <f>Data!I2055</f>
        <v/>
      </c>
      <c r="E1960">
        <f>Data!M2055</f>
        <v/>
      </c>
      <c r="F1960">
        <f>Data!O2055</f>
        <v/>
      </c>
      <c r="G1960">
        <f>E1960-F1960</f>
        <v/>
      </c>
      <c r="H1960">
        <f>Data!P2055</f>
        <v/>
      </c>
      <c r="I1960">
        <f>G1960+H1960</f>
        <v/>
      </c>
      <c r="J1960">
        <f>F1960+G1960+H1960</f>
        <v/>
      </c>
      <c r="K1960">
        <f>Data!R2055</f>
        <v/>
      </c>
      <c r="L1960">
        <f>Data!T2055</f>
        <v/>
      </c>
      <c r="M1960">
        <f>AND(E1960=0,F1960=0,G1960=0,H1960=0,I1960=0,J1960=0,K1960=0,L1960=0)</f>
        <v/>
      </c>
      <c r="N1960">
        <f>G1960&lt;=$T$6</f>
        <v/>
      </c>
      <c r="O1960">
        <f>G1960&lt;=$T$12</f>
        <v/>
      </c>
      <c r="P1960">
        <f>OR(AND(H1960&gt;=$T$4,K1960&lt;=$T$5,N1960),M1960)</f>
        <v/>
      </c>
      <c r="Q1960">
        <f>OR(AND(I1960&gt;=$T$10,K1960&lt;=$T$11,O1960),M1960)</f>
        <v/>
      </c>
    </row>
    <row r="1961">
      <c r="A1961">
        <f>Data!E2056</f>
        <v/>
      </c>
      <c r="B1961">
        <f>Data!G2056</f>
        <v/>
      </c>
      <c r="C1961">
        <f>Data!H2056</f>
        <v/>
      </c>
      <c r="D1961">
        <f>Data!I2056</f>
        <v/>
      </c>
      <c r="E1961">
        <f>Data!M2056</f>
        <v/>
      </c>
      <c r="F1961">
        <f>Data!O2056</f>
        <v/>
      </c>
      <c r="G1961">
        <f>E1961-F1961</f>
        <v/>
      </c>
      <c r="H1961">
        <f>Data!P2056</f>
        <v/>
      </c>
      <c r="I1961">
        <f>G1961+H1961</f>
        <v/>
      </c>
      <c r="J1961">
        <f>F1961+G1961+H1961</f>
        <v/>
      </c>
      <c r="K1961">
        <f>Data!R2056</f>
        <v/>
      </c>
      <c r="L1961">
        <f>Data!T2056</f>
        <v/>
      </c>
      <c r="M1961">
        <f>AND(E1961=0,F1961=0,G1961=0,H1961=0,I1961=0,J1961=0,K1961=0,L1961=0)</f>
        <v/>
      </c>
      <c r="N1961">
        <f>G1961&lt;=$T$6</f>
        <v/>
      </c>
      <c r="O1961">
        <f>G1961&lt;=$T$12</f>
        <v/>
      </c>
      <c r="P1961">
        <f>OR(AND(H1961&gt;=$T$4,K1961&lt;=$T$5,N1961),M1961)</f>
        <v/>
      </c>
      <c r="Q1961">
        <f>OR(AND(I1961&gt;=$T$10,K1961&lt;=$T$11,O1961),M1961)</f>
        <v/>
      </c>
    </row>
    <row r="1962">
      <c r="A1962">
        <f>Data!E2057</f>
        <v/>
      </c>
      <c r="B1962">
        <f>Data!G2057</f>
        <v/>
      </c>
      <c r="C1962">
        <f>Data!H2057</f>
        <v/>
      </c>
      <c r="D1962">
        <f>Data!I2057</f>
        <v/>
      </c>
      <c r="E1962">
        <f>Data!M2057</f>
        <v/>
      </c>
      <c r="F1962">
        <f>Data!O2057</f>
        <v/>
      </c>
      <c r="G1962">
        <f>E1962-F1962</f>
        <v/>
      </c>
      <c r="H1962">
        <f>Data!P2057</f>
        <v/>
      </c>
      <c r="I1962">
        <f>G1962+H1962</f>
        <v/>
      </c>
      <c r="J1962">
        <f>F1962+G1962+H1962</f>
        <v/>
      </c>
      <c r="K1962">
        <f>Data!R2057</f>
        <v/>
      </c>
      <c r="L1962">
        <f>Data!T2057</f>
        <v/>
      </c>
      <c r="M1962">
        <f>AND(E1962=0,F1962=0,G1962=0,H1962=0,I1962=0,J1962=0,K1962=0,L1962=0)</f>
        <v/>
      </c>
      <c r="N1962">
        <f>G1962&lt;=$T$6</f>
        <v/>
      </c>
      <c r="O1962">
        <f>G1962&lt;=$T$12</f>
        <v/>
      </c>
      <c r="P1962">
        <f>OR(AND(H1962&gt;=$T$4,K1962&lt;=$T$5,N1962),M1962)</f>
        <v/>
      </c>
      <c r="Q1962">
        <f>OR(AND(I1962&gt;=$T$10,K1962&lt;=$T$11,O1962),M1962)</f>
        <v/>
      </c>
    </row>
    <row r="1963">
      <c r="A1963">
        <f>Data!E2058</f>
        <v/>
      </c>
      <c r="B1963">
        <f>Data!G2058</f>
        <v/>
      </c>
      <c r="C1963">
        <f>Data!H2058</f>
        <v/>
      </c>
      <c r="D1963">
        <f>Data!I2058</f>
        <v/>
      </c>
      <c r="E1963">
        <f>Data!M2058</f>
        <v/>
      </c>
      <c r="F1963">
        <f>Data!O2058</f>
        <v/>
      </c>
      <c r="G1963">
        <f>E1963-F1963</f>
        <v/>
      </c>
      <c r="H1963">
        <f>Data!P2058</f>
        <v/>
      </c>
      <c r="I1963">
        <f>G1963+H1963</f>
        <v/>
      </c>
      <c r="J1963">
        <f>F1963+G1963+H1963</f>
        <v/>
      </c>
      <c r="K1963">
        <f>Data!R2058</f>
        <v/>
      </c>
      <c r="L1963">
        <f>Data!T2058</f>
        <v/>
      </c>
      <c r="M1963">
        <f>AND(E1963=0,F1963=0,G1963=0,H1963=0,I1963=0,J1963=0,K1963=0,L1963=0)</f>
        <v/>
      </c>
      <c r="N1963">
        <f>G1963&lt;=$T$6</f>
        <v/>
      </c>
      <c r="O1963">
        <f>G1963&lt;=$T$12</f>
        <v/>
      </c>
      <c r="P1963">
        <f>OR(AND(H1963&gt;=$T$4,K1963&lt;=$T$5,N1963),M1963)</f>
        <v/>
      </c>
      <c r="Q1963">
        <f>OR(AND(I1963&gt;=$T$10,K1963&lt;=$T$11,O1963),M1963)</f>
        <v/>
      </c>
    </row>
    <row r="1964">
      <c r="A1964">
        <f>Data!E2059</f>
        <v/>
      </c>
      <c r="B1964">
        <f>Data!G2059</f>
        <v/>
      </c>
      <c r="C1964">
        <f>Data!H2059</f>
        <v/>
      </c>
      <c r="D1964">
        <f>Data!I2059</f>
        <v/>
      </c>
      <c r="E1964">
        <f>Data!M2059</f>
        <v/>
      </c>
      <c r="F1964">
        <f>Data!O2059</f>
        <v/>
      </c>
      <c r="G1964">
        <f>E1964-F1964</f>
        <v/>
      </c>
      <c r="H1964">
        <f>Data!P2059</f>
        <v/>
      </c>
      <c r="I1964">
        <f>G1964+H1964</f>
        <v/>
      </c>
      <c r="J1964">
        <f>F1964+G1964+H1964</f>
        <v/>
      </c>
      <c r="K1964">
        <f>Data!R2059</f>
        <v/>
      </c>
      <c r="L1964">
        <f>Data!T2059</f>
        <v/>
      </c>
      <c r="M1964">
        <f>AND(E1964=0,F1964=0,G1964=0,H1964=0,I1964=0,J1964=0,K1964=0,L1964=0)</f>
        <v/>
      </c>
      <c r="N1964">
        <f>G1964&lt;=$T$6</f>
        <v/>
      </c>
      <c r="O1964">
        <f>G1964&lt;=$T$12</f>
        <v/>
      </c>
      <c r="P1964">
        <f>OR(AND(H1964&gt;=$T$4,K1964&lt;=$T$5,N1964),M1964)</f>
        <v/>
      </c>
      <c r="Q1964">
        <f>OR(AND(I1964&gt;=$T$10,K1964&lt;=$T$11,O1964),M1964)</f>
        <v/>
      </c>
    </row>
    <row r="1965">
      <c r="A1965">
        <f>Data!E2060</f>
        <v/>
      </c>
      <c r="B1965">
        <f>Data!G2060</f>
        <v/>
      </c>
      <c r="C1965">
        <f>Data!H2060</f>
        <v/>
      </c>
      <c r="D1965">
        <f>Data!I2060</f>
        <v/>
      </c>
      <c r="E1965">
        <f>Data!M2060</f>
        <v/>
      </c>
      <c r="F1965">
        <f>Data!O2060</f>
        <v/>
      </c>
      <c r="G1965">
        <f>E1965-F1965</f>
        <v/>
      </c>
      <c r="H1965">
        <f>Data!P2060</f>
        <v/>
      </c>
      <c r="I1965">
        <f>G1965+H1965</f>
        <v/>
      </c>
      <c r="J1965">
        <f>F1965+G1965+H1965</f>
        <v/>
      </c>
      <c r="K1965">
        <f>Data!R2060</f>
        <v/>
      </c>
      <c r="L1965">
        <f>Data!T2060</f>
        <v/>
      </c>
      <c r="M1965">
        <f>AND(E1965=0,F1965=0,G1965=0,H1965=0,I1965=0,J1965=0,K1965=0,L1965=0)</f>
        <v/>
      </c>
      <c r="N1965">
        <f>G1965&lt;=$T$6</f>
        <v/>
      </c>
      <c r="O1965">
        <f>G1965&lt;=$T$12</f>
        <v/>
      </c>
      <c r="P1965">
        <f>OR(AND(H1965&gt;=$T$4,K1965&lt;=$T$5,N1965),M1965)</f>
        <v/>
      </c>
      <c r="Q1965">
        <f>OR(AND(I1965&gt;=$T$10,K1965&lt;=$T$11,O1965),M1965)</f>
        <v/>
      </c>
    </row>
    <row r="1966">
      <c r="A1966">
        <f>Data!E2061</f>
        <v/>
      </c>
      <c r="B1966">
        <f>Data!G2061</f>
        <v/>
      </c>
      <c r="C1966">
        <f>Data!H2061</f>
        <v/>
      </c>
      <c r="D1966">
        <f>Data!I2061</f>
        <v/>
      </c>
      <c r="E1966">
        <f>Data!M2061</f>
        <v/>
      </c>
      <c r="F1966">
        <f>Data!O2061</f>
        <v/>
      </c>
      <c r="G1966">
        <f>E1966-F1966</f>
        <v/>
      </c>
      <c r="H1966">
        <f>Data!P2061</f>
        <v/>
      </c>
      <c r="I1966">
        <f>G1966+H1966</f>
        <v/>
      </c>
      <c r="J1966">
        <f>F1966+G1966+H1966</f>
        <v/>
      </c>
      <c r="K1966">
        <f>Data!R2061</f>
        <v/>
      </c>
      <c r="L1966">
        <f>Data!T2061</f>
        <v/>
      </c>
      <c r="M1966">
        <f>AND(E1966=0,F1966=0,G1966=0,H1966=0,I1966=0,J1966=0,K1966=0,L1966=0)</f>
        <v/>
      </c>
      <c r="N1966">
        <f>G1966&lt;=$T$6</f>
        <v/>
      </c>
      <c r="O1966">
        <f>G1966&lt;=$T$12</f>
        <v/>
      </c>
      <c r="P1966">
        <f>OR(AND(H1966&gt;=$T$4,K1966&lt;=$T$5,N1966),M1966)</f>
        <v/>
      </c>
      <c r="Q1966">
        <f>OR(AND(I1966&gt;=$T$10,K1966&lt;=$T$11,O1966),M1966)</f>
        <v/>
      </c>
    </row>
    <row r="1967">
      <c r="A1967">
        <f>Data!E2062</f>
        <v/>
      </c>
      <c r="B1967">
        <f>Data!G2062</f>
        <v/>
      </c>
      <c r="C1967">
        <f>Data!H2062</f>
        <v/>
      </c>
      <c r="D1967">
        <f>Data!I2062</f>
        <v/>
      </c>
      <c r="E1967">
        <f>Data!M2062</f>
        <v/>
      </c>
      <c r="F1967">
        <f>Data!O2062</f>
        <v/>
      </c>
      <c r="G1967">
        <f>E1967-F1967</f>
        <v/>
      </c>
      <c r="H1967">
        <f>Data!P2062</f>
        <v/>
      </c>
      <c r="I1967">
        <f>G1967+H1967</f>
        <v/>
      </c>
      <c r="J1967">
        <f>F1967+G1967+H1967</f>
        <v/>
      </c>
      <c r="K1967">
        <f>Data!R2062</f>
        <v/>
      </c>
      <c r="L1967">
        <f>Data!T2062</f>
        <v/>
      </c>
      <c r="M1967">
        <f>AND(E1967=0,F1967=0,G1967=0,H1967=0,I1967=0,J1967=0,K1967=0,L1967=0)</f>
        <v/>
      </c>
      <c r="N1967">
        <f>G1967&lt;=$T$6</f>
        <v/>
      </c>
      <c r="O1967">
        <f>G1967&lt;=$T$12</f>
        <v/>
      </c>
      <c r="P1967">
        <f>OR(AND(H1967&gt;=$T$4,K1967&lt;=$T$5,N1967),M1967)</f>
        <v/>
      </c>
      <c r="Q1967">
        <f>OR(AND(I1967&gt;=$T$10,K1967&lt;=$T$11,O1967),M1967)</f>
        <v/>
      </c>
    </row>
    <row r="1968">
      <c r="A1968">
        <f>Data!E2063</f>
        <v/>
      </c>
      <c r="B1968">
        <f>Data!G2063</f>
        <v/>
      </c>
      <c r="C1968">
        <f>Data!H2063</f>
        <v/>
      </c>
      <c r="D1968">
        <f>Data!I2063</f>
        <v/>
      </c>
      <c r="E1968">
        <f>Data!M2063</f>
        <v/>
      </c>
      <c r="F1968">
        <f>Data!O2063</f>
        <v/>
      </c>
      <c r="G1968">
        <f>E1968-F1968</f>
        <v/>
      </c>
      <c r="H1968">
        <f>Data!P2063</f>
        <v/>
      </c>
      <c r="I1968">
        <f>G1968+H1968</f>
        <v/>
      </c>
      <c r="J1968">
        <f>F1968+G1968+H1968</f>
        <v/>
      </c>
      <c r="K1968">
        <f>Data!R2063</f>
        <v/>
      </c>
      <c r="L1968">
        <f>Data!T2063</f>
        <v/>
      </c>
      <c r="M1968">
        <f>AND(E1968=0,F1968=0,G1968=0,H1968=0,I1968=0,J1968=0,K1968=0,L1968=0)</f>
        <v/>
      </c>
      <c r="N1968">
        <f>G1968&lt;=$T$6</f>
        <v/>
      </c>
      <c r="O1968">
        <f>G1968&lt;=$T$12</f>
        <v/>
      </c>
      <c r="P1968">
        <f>OR(AND(H1968&gt;=$T$4,K1968&lt;=$T$5,N1968),M1968)</f>
        <v/>
      </c>
      <c r="Q1968">
        <f>OR(AND(I1968&gt;=$T$10,K1968&lt;=$T$11,O1968),M1968)</f>
        <v/>
      </c>
    </row>
    <row r="1969">
      <c r="A1969">
        <f>Data!E2064</f>
        <v/>
      </c>
      <c r="B1969">
        <f>Data!G2064</f>
        <v/>
      </c>
      <c r="C1969">
        <f>Data!H2064</f>
        <v/>
      </c>
      <c r="D1969">
        <f>Data!I2064</f>
        <v/>
      </c>
      <c r="E1969">
        <f>Data!M2064</f>
        <v/>
      </c>
      <c r="F1969">
        <f>Data!O2064</f>
        <v/>
      </c>
      <c r="G1969">
        <f>E1969-F1969</f>
        <v/>
      </c>
      <c r="H1969">
        <f>Data!P2064</f>
        <v/>
      </c>
      <c r="I1969">
        <f>G1969+H1969</f>
        <v/>
      </c>
      <c r="J1969">
        <f>F1969+G1969+H1969</f>
        <v/>
      </c>
      <c r="K1969">
        <f>Data!R2064</f>
        <v/>
      </c>
      <c r="L1969">
        <f>Data!T2064</f>
        <v/>
      </c>
      <c r="M1969">
        <f>AND(E1969=0,F1969=0,G1969=0,H1969=0,I1969=0,J1969=0,K1969=0,L1969=0)</f>
        <v/>
      </c>
      <c r="N1969">
        <f>G1969&lt;=$T$6</f>
        <v/>
      </c>
      <c r="O1969">
        <f>G1969&lt;=$T$12</f>
        <v/>
      </c>
      <c r="P1969">
        <f>OR(AND(H1969&gt;=$T$4,K1969&lt;=$T$5,N1969),M1969)</f>
        <v/>
      </c>
      <c r="Q1969">
        <f>OR(AND(I1969&gt;=$T$10,K1969&lt;=$T$11,O1969),M1969)</f>
        <v/>
      </c>
    </row>
    <row r="1970">
      <c r="A1970">
        <f>Data!E2065</f>
        <v/>
      </c>
      <c r="B1970">
        <f>Data!G2065</f>
        <v/>
      </c>
      <c r="C1970">
        <f>Data!H2065</f>
        <v/>
      </c>
      <c r="D1970">
        <f>Data!I2065</f>
        <v/>
      </c>
      <c r="E1970">
        <f>Data!M2065</f>
        <v/>
      </c>
      <c r="F1970">
        <f>Data!O2065</f>
        <v/>
      </c>
      <c r="G1970">
        <f>E1970-F1970</f>
        <v/>
      </c>
      <c r="H1970">
        <f>Data!P2065</f>
        <v/>
      </c>
      <c r="I1970">
        <f>G1970+H1970</f>
        <v/>
      </c>
      <c r="J1970">
        <f>F1970+G1970+H1970</f>
        <v/>
      </c>
      <c r="K1970">
        <f>Data!R2065</f>
        <v/>
      </c>
      <c r="L1970">
        <f>Data!T2065</f>
        <v/>
      </c>
      <c r="M1970">
        <f>AND(E1970=0,F1970=0,G1970=0,H1970=0,I1970=0,J1970=0,K1970=0,L1970=0)</f>
        <v/>
      </c>
      <c r="N1970">
        <f>G1970&lt;=$T$6</f>
        <v/>
      </c>
      <c r="O1970">
        <f>G1970&lt;=$T$12</f>
        <v/>
      </c>
      <c r="P1970">
        <f>OR(AND(H1970&gt;=$T$4,K1970&lt;=$T$5,N1970),M1970)</f>
        <v/>
      </c>
      <c r="Q1970">
        <f>OR(AND(I1970&gt;=$T$10,K1970&lt;=$T$11,O1970),M1970)</f>
        <v/>
      </c>
    </row>
    <row r="1971">
      <c r="A1971">
        <f>Data!E2066</f>
        <v/>
      </c>
      <c r="B1971">
        <f>Data!G2066</f>
        <v/>
      </c>
      <c r="C1971">
        <f>Data!H2066</f>
        <v/>
      </c>
      <c r="D1971">
        <f>Data!I2066</f>
        <v/>
      </c>
      <c r="E1971">
        <f>Data!M2066</f>
        <v/>
      </c>
      <c r="F1971">
        <f>Data!O2066</f>
        <v/>
      </c>
      <c r="G1971">
        <f>E1971-F1971</f>
        <v/>
      </c>
      <c r="H1971">
        <f>Data!P2066</f>
        <v/>
      </c>
      <c r="I1971">
        <f>G1971+H1971</f>
        <v/>
      </c>
      <c r="J1971">
        <f>F1971+G1971+H1971</f>
        <v/>
      </c>
      <c r="K1971">
        <f>Data!R2066</f>
        <v/>
      </c>
      <c r="L1971">
        <f>Data!T2066</f>
        <v/>
      </c>
      <c r="M1971">
        <f>AND(E1971=0,F1971=0,G1971=0,H1971=0,I1971=0,J1971=0,K1971=0,L1971=0)</f>
        <v/>
      </c>
      <c r="N1971">
        <f>G1971&lt;=$T$6</f>
        <v/>
      </c>
      <c r="O1971">
        <f>G1971&lt;=$T$12</f>
        <v/>
      </c>
      <c r="P1971">
        <f>OR(AND(H1971&gt;=$T$4,K1971&lt;=$T$5,N1971),M1971)</f>
        <v/>
      </c>
      <c r="Q1971">
        <f>OR(AND(I1971&gt;=$T$10,K1971&lt;=$T$11,O1971),M1971)</f>
        <v/>
      </c>
    </row>
    <row r="1972">
      <c r="A1972">
        <f>Data!E2067</f>
        <v/>
      </c>
      <c r="B1972">
        <f>Data!G2067</f>
        <v/>
      </c>
      <c r="C1972">
        <f>Data!H2067</f>
        <v/>
      </c>
      <c r="D1972">
        <f>Data!I2067</f>
        <v/>
      </c>
      <c r="E1972">
        <f>Data!M2067</f>
        <v/>
      </c>
      <c r="F1972">
        <f>Data!O2067</f>
        <v/>
      </c>
      <c r="G1972">
        <f>E1972-F1972</f>
        <v/>
      </c>
      <c r="H1972">
        <f>Data!P2067</f>
        <v/>
      </c>
      <c r="I1972">
        <f>G1972+H1972</f>
        <v/>
      </c>
      <c r="J1972">
        <f>F1972+G1972+H1972</f>
        <v/>
      </c>
      <c r="K1972">
        <f>Data!R2067</f>
        <v/>
      </c>
      <c r="L1972">
        <f>Data!T2067</f>
        <v/>
      </c>
      <c r="M1972">
        <f>AND(E1972=0,F1972=0,G1972=0,H1972=0,I1972=0,J1972=0,K1972=0,L1972=0)</f>
        <v/>
      </c>
      <c r="N1972">
        <f>G1972&lt;=$T$6</f>
        <v/>
      </c>
      <c r="O1972">
        <f>G1972&lt;=$T$12</f>
        <v/>
      </c>
      <c r="P1972">
        <f>OR(AND(H1972&gt;=$T$4,K1972&lt;=$T$5,N1972),M1972)</f>
        <v/>
      </c>
      <c r="Q1972">
        <f>OR(AND(I1972&gt;=$T$10,K1972&lt;=$T$11,O1972),M1972)</f>
        <v/>
      </c>
    </row>
    <row r="1973">
      <c r="A1973">
        <f>Data!E2068</f>
        <v/>
      </c>
      <c r="B1973">
        <f>Data!G2068</f>
        <v/>
      </c>
      <c r="C1973">
        <f>Data!H2068</f>
        <v/>
      </c>
      <c r="D1973">
        <f>Data!I2068</f>
        <v/>
      </c>
      <c r="E1973">
        <f>Data!M2068</f>
        <v/>
      </c>
      <c r="F1973">
        <f>Data!O2068</f>
        <v/>
      </c>
      <c r="G1973">
        <f>E1973-F1973</f>
        <v/>
      </c>
      <c r="H1973">
        <f>Data!P2068</f>
        <v/>
      </c>
      <c r="I1973">
        <f>G1973+H1973</f>
        <v/>
      </c>
      <c r="J1973">
        <f>F1973+G1973+H1973</f>
        <v/>
      </c>
      <c r="K1973">
        <f>Data!R2068</f>
        <v/>
      </c>
      <c r="L1973">
        <f>Data!T2068</f>
        <v/>
      </c>
      <c r="M1973">
        <f>AND(E1973=0,F1973=0,G1973=0,H1973=0,I1973=0,J1973=0,K1973=0,L1973=0)</f>
        <v/>
      </c>
      <c r="N1973">
        <f>G1973&lt;=$T$6</f>
        <v/>
      </c>
      <c r="O1973">
        <f>G1973&lt;=$T$12</f>
        <v/>
      </c>
      <c r="P1973">
        <f>OR(AND(H1973&gt;=$T$4,K1973&lt;=$T$5,N1973),M1973)</f>
        <v/>
      </c>
      <c r="Q1973">
        <f>OR(AND(I1973&gt;=$T$10,K1973&lt;=$T$11,O1973),M1973)</f>
        <v/>
      </c>
    </row>
    <row r="1974">
      <c r="A1974">
        <f>Data!E2070</f>
        <v/>
      </c>
      <c r="B1974">
        <f>Data!G2070</f>
        <v/>
      </c>
      <c r="C1974">
        <f>Data!H2070</f>
        <v/>
      </c>
      <c r="D1974">
        <f>Data!I2070</f>
        <v/>
      </c>
      <c r="E1974">
        <f>Data!M2070</f>
        <v/>
      </c>
      <c r="F1974">
        <f>Data!O2070</f>
        <v/>
      </c>
      <c r="G1974">
        <f>E1974-F1974</f>
        <v/>
      </c>
      <c r="H1974">
        <f>Data!P2070</f>
        <v/>
      </c>
      <c r="I1974">
        <f>G1974+H1974</f>
        <v/>
      </c>
      <c r="J1974">
        <f>F1974+G1974+H1974</f>
        <v/>
      </c>
      <c r="K1974">
        <f>Data!R2070</f>
        <v/>
      </c>
      <c r="L1974">
        <f>Data!T2070</f>
        <v/>
      </c>
      <c r="M1974">
        <f>AND(E1974=0,F1974=0,G1974=0,H1974=0,I1974=0,J1974=0,K1974=0,L1974=0)</f>
        <v/>
      </c>
      <c r="N1974">
        <f>G1974&lt;=$T$6</f>
        <v/>
      </c>
      <c r="O1974">
        <f>G1974&lt;=$T$12</f>
        <v/>
      </c>
      <c r="P1974">
        <f>OR(AND(H1974&gt;=$T$4,K1974&lt;=$T$5,N1974),M1974)</f>
        <v/>
      </c>
      <c r="Q1974">
        <f>OR(AND(I1974&gt;=$T$10,K1974&lt;=$T$11,O1974),M1974)</f>
        <v/>
      </c>
    </row>
    <row r="1975">
      <c r="A1975">
        <f>Data!E2071</f>
        <v/>
      </c>
      <c r="B1975">
        <f>Data!G2071</f>
        <v/>
      </c>
      <c r="C1975">
        <f>Data!H2071</f>
        <v/>
      </c>
      <c r="D1975">
        <f>Data!I2071</f>
        <v/>
      </c>
      <c r="E1975">
        <f>Data!M2071</f>
        <v/>
      </c>
      <c r="F1975">
        <f>Data!O2071</f>
        <v/>
      </c>
      <c r="G1975">
        <f>E1975-F1975</f>
        <v/>
      </c>
      <c r="H1975">
        <f>Data!P2071</f>
        <v/>
      </c>
      <c r="I1975">
        <f>G1975+H1975</f>
        <v/>
      </c>
      <c r="J1975">
        <f>F1975+G1975+H1975</f>
        <v/>
      </c>
      <c r="K1975">
        <f>Data!R2071</f>
        <v/>
      </c>
      <c r="L1975">
        <f>Data!T2071</f>
        <v/>
      </c>
      <c r="M1975">
        <f>AND(E1975=0,F1975=0,G1975=0,H1975=0,I1975=0,J1975=0,K1975=0,L1975=0)</f>
        <v/>
      </c>
      <c r="N1975">
        <f>G1975&lt;=$T$6</f>
        <v/>
      </c>
      <c r="O1975">
        <f>G1975&lt;=$T$12</f>
        <v/>
      </c>
      <c r="P1975">
        <f>OR(AND(H1975&gt;=$T$4,K1975&lt;=$T$5,N1975),M1975)</f>
        <v/>
      </c>
      <c r="Q1975">
        <f>OR(AND(I1975&gt;=$T$10,K1975&lt;=$T$11,O1975),M1975)</f>
        <v/>
      </c>
    </row>
    <row r="1976">
      <c r="A1976">
        <f>Data!E2072</f>
        <v/>
      </c>
      <c r="B1976">
        <f>Data!G2072</f>
        <v/>
      </c>
      <c r="C1976">
        <f>Data!H2072</f>
        <v/>
      </c>
      <c r="D1976">
        <f>Data!I2072</f>
        <v/>
      </c>
      <c r="E1976">
        <f>Data!M2072</f>
        <v/>
      </c>
      <c r="F1976">
        <f>Data!O2072</f>
        <v/>
      </c>
      <c r="G1976">
        <f>E1976-F1976</f>
        <v/>
      </c>
      <c r="H1976">
        <f>Data!P2072</f>
        <v/>
      </c>
      <c r="I1976">
        <f>G1976+H1976</f>
        <v/>
      </c>
      <c r="J1976">
        <f>F1976+G1976+H1976</f>
        <v/>
      </c>
      <c r="K1976">
        <f>Data!R2072</f>
        <v/>
      </c>
      <c r="L1976">
        <f>Data!T2072</f>
        <v/>
      </c>
      <c r="M1976">
        <f>AND(E1976=0,F1976=0,G1976=0,H1976=0,I1976=0,J1976=0,K1976=0,L1976=0)</f>
        <v/>
      </c>
      <c r="N1976">
        <f>G1976&lt;=$T$6</f>
        <v/>
      </c>
      <c r="O1976">
        <f>G1976&lt;=$T$12</f>
        <v/>
      </c>
      <c r="P1976">
        <f>OR(AND(H1976&gt;=$T$4,K1976&lt;=$T$5,N1976),M1976)</f>
        <v/>
      </c>
      <c r="Q1976">
        <f>OR(AND(I1976&gt;=$T$10,K1976&lt;=$T$11,O1976),M1976)</f>
        <v/>
      </c>
    </row>
    <row r="1977">
      <c r="A1977">
        <f>Data!E2073</f>
        <v/>
      </c>
      <c r="B1977">
        <f>Data!G2073</f>
        <v/>
      </c>
      <c r="C1977">
        <f>Data!H2073</f>
        <v/>
      </c>
      <c r="D1977">
        <f>Data!I2073</f>
        <v/>
      </c>
      <c r="E1977">
        <f>Data!M2073</f>
        <v/>
      </c>
      <c r="F1977">
        <f>Data!O2073</f>
        <v/>
      </c>
      <c r="G1977">
        <f>E1977-F1977</f>
        <v/>
      </c>
      <c r="H1977">
        <f>Data!P2073</f>
        <v/>
      </c>
      <c r="I1977">
        <f>G1977+H1977</f>
        <v/>
      </c>
      <c r="J1977">
        <f>F1977+G1977+H1977</f>
        <v/>
      </c>
      <c r="K1977">
        <f>Data!R2073</f>
        <v/>
      </c>
      <c r="L1977">
        <f>Data!T2073</f>
        <v/>
      </c>
      <c r="M1977">
        <f>AND(E1977=0,F1977=0,G1977=0,H1977=0,I1977=0,J1977=0,K1977=0,L1977=0)</f>
        <v/>
      </c>
      <c r="N1977">
        <f>G1977&lt;=$T$6</f>
        <v/>
      </c>
      <c r="O1977">
        <f>G1977&lt;=$T$12</f>
        <v/>
      </c>
      <c r="P1977">
        <f>OR(AND(H1977&gt;=$T$4,K1977&lt;=$T$5,N1977),M1977)</f>
        <v/>
      </c>
      <c r="Q1977">
        <f>OR(AND(I1977&gt;=$T$10,K1977&lt;=$T$11,O1977),M1977)</f>
        <v/>
      </c>
    </row>
    <row r="1978">
      <c r="A1978">
        <f>Data!E2074</f>
        <v/>
      </c>
      <c r="B1978">
        <f>Data!G2074</f>
        <v/>
      </c>
      <c r="C1978">
        <f>Data!H2074</f>
        <v/>
      </c>
      <c r="D1978">
        <f>Data!I2074</f>
        <v/>
      </c>
      <c r="E1978">
        <f>Data!M2074</f>
        <v/>
      </c>
      <c r="F1978">
        <f>Data!O2074</f>
        <v/>
      </c>
      <c r="G1978">
        <f>E1978-F1978</f>
        <v/>
      </c>
      <c r="H1978">
        <f>Data!P2074</f>
        <v/>
      </c>
      <c r="I1978">
        <f>G1978+H1978</f>
        <v/>
      </c>
      <c r="J1978">
        <f>F1978+G1978+H1978</f>
        <v/>
      </c>
      <c r="K1978">
        <f>Data!R2074</f>
        <v/>
      </c>
      <c r="L1978">
        <f>Data!T2074</f>
        <v/>
      </c>
      <c r="M1978">
        <f>AND(E1978=0,F1978=0,G1978=0,H1978=0,I1978=0,J1978=0,K1978=0,L1978=0)</f>
        <v/>
      </c>
      <c r="N1978">
        <f>G1978&lt;=$T$6</f>
        <v/>
      </c>
      <c r="O1978">
        <f>G1978&lt;=$T$12</f>
        <v/>
      </c>
      <c r="P1978">
        <f>OR(AND(H1978&gt;=$T$4,K1978&lt;=$T$5,N1978),M1978)</f>
        <v/>
      </c>
      <c r="Q1978">
        <f>OR(AND(I1978&gt;=$T$10,K1978&lt;=$T$11,O1978),M1978)</f>
        <v/>
      </c>
    </row>
    <row r="1979">
      <c r="A1979">
        <f>Data!E2075</f>
        <v/>
      </c>
      <c r="B1979">
        <f>Data!G2075</f>
        <v/>
      </c>
      <c r="C1979">
        <f>Data!H2075</f>
        <v/>
      </c>
      <c r="D1979">
        <f>Data!I2075</f>
        <v/>
      </c>
      <c r="E1979">
        <f>Data!M2075</f>
        <v/>
      </c>
      <c r="F1979">
        <f>Data!O2075</f>
        <v/>
      </c>
      <c r="G1979">
        <f>E1979-F1979</f>
        <v/>
      </c>
      <c r="H1979">
        <f>Data!P2075</f>
        <v/>
      </c>
      <c r="I1979">
        <f>G1979+H1979</f>
        <v/>
      </c>
      <c r="J1979">
        <f>F1979+G1979+H1979</f>
        <v/>
      </c>
      <c r="K1979">
        <f>Data!R2075</f>
        <v/>
      </c>
      <c r="L1979">
        <f>Data!T2075</f>
        <v/>
      </c>
      <c r="M1979">
        <f>AND(E1979=0,F1979=0,G1979=0,H1979=0,I1979=0,J1979=0,K1979=0,L1979=0)</f>
        <v/>
      </c>
      <c r="N1979">
        <f>G1979&lt;=$T$6</f>
        <v/>
      </c>
      <c r="O1979">
        <f>G1979&lt;=$T$12</f>
        <v/>
      </c>
      <c r="P1979">
        <f>OR(AND(H1979&gt;=$T$4,K1979&lt;=$T$5,N1979),M1979)</f>
        <v/>
      </c>
      <c r="Q1979">
        <f>OR(AND(I1979&gt;=$T$10,K1979&lt;=$T$11,O1979),M1979)</f>
        <v/>
      </c>
    </row>
    <row r="1980">
      <c r="A1980">
        <f>Data!E2076</f>
        <v/>
      </c>
      <c r="B1980">
        <f>Data!G2076</f>
        <v/>
      </c>
      <c r="C1980">
        <f>Data!H2076</f>
        <v/>
      </c>
      <c r="D1980">
        <f>Data!I2076</f>
        <v/>
      </c>
      <c r="E1980">
        <f>Data!M2076</f>
        <v/>
      </c>
      <c r="F1980">
        <f>Data!O2076</f>
        <v/>
      </c>
      <c r="G1980">
        <f>E1980-F1980</f>
        <v/>
      </c>
      <c r="H1980">
        <f>Data!P2076</f>
        <v/>
      </c>
      <c r="I1980">
        <f>G1980+H1980</f>
        <v/>
      </c>
      <c r="J1980">
        <f>F1980+G1980+H1980</f>
        <v/>
      </c>
      <c r="K1980">
        <f>Data!R2076</f>
        <v/>
      </c>
      <c r="L1980">
        <f>Data!T2076</f>
        <v/>
      </c>
      <c r="M1980">
        <f>AND(E1980=0,F1980=0,G1980=0,H1980=0,I1980=0,J1980=0,K1980=0,L1980=0)</f>
        <v/>
      </c>
      <c r="N1980">
        <f>G1980&lt;=$T$6</f>
        <v/>
      </c>
      <c r="O1980">
        <f>G1980&lt;=$T$12</f>
        <v/>
      </c>
      <c r="P1980">
        <f>OR(AND(H1980&gt;=$T$4,K1980&lt;=$T$5,N1980),M1980)</f>
        <v/>
      </c>
      <c r="Q1980">
        <f>OR(AND(I1980&gt;=$T$10,K1980&lt;=$T$11,O1980),M1980)</f>
        <v/>
      </c>
    </row>
    <row r="1981">
      <c r="A1981">
        <f>Data!E2077</f>
        <v/>
      </c>
      <c r="B1981">
        <f>Data!G2077</f>
        <v/>
      </c>
      <c r="C1981">
        <f>Data!H2077</f>
        <v/>
      </c>
      <c r="D1981">
        <f>Data!I2077</f>
        <v/>
      </c>
      <c r="E1981">
        <f>Data!M2077</f>
        <v/>
      </c>
      <c r="F1981">
        <f>Data!O2077</f>
        <v/>
      </c>
      <c r="G1981">
        <f>E1981-F1981</f>
        <v/>
      </c>
      <c r="H1981">
        <f>Data!P2077</f>
        <v/>
      </c>
      <c r="I1981">
        <f>G1981+H1981</f>
        <v/>
      </c>
      <c r="J1981">
        <f>F1981+G1981+H1981</f>
        <v/>
      </c>
      <c r="K1981">
        <f>Data!R2077</f>
        <v/>
      </c>
      <c r="L1981">
        <f>Data!T2077</f>
        <v/>
      </c>
      <c r="M1981">
        <f>AND(E1981=0,F1981=0,G1981=0,H1981=0,I1981=0,J1981=0,K1981=0,L1981=0)</f>
        <v/>
      </c>
      <c r="N1981">
        <f>G1981&lt;=$T$6</f>
        <v/>
      </c>
      <c r="O1981">
        <f>G1981&lt;=$T$12</f>
        <v/>
      </c>
      <c r="P1981">
        <f>OR(AND(H1981&gt;=$T$4,K1981&lt;=$T$5,N1981),M1981)</f>
        <v/>
      </c>
      <c r="Q1981">
        <f>OR(AND(I1981&gt;=$T$10,K1981&lt;=$T$11,O1981),M1981)</f>
        <v/>
      </c>
    </row>
    <row r="1982">
      <c r="A1982">
        <f>Data!E2078</f>
        <v/>
      </c>
      <c r="B1982">
        <f>Data!G2078</f>
        <v/>
      </c>
      <c r="C1982">
        <f>Data!H2078</f>
        <v/>
      </c>
      <c r="D1982">
        <f>Data!I2078</f>
        <v/>
      </c>
      <c r="E1982">
        <f>Data!M2078</f>
        <v/>
      </c>
      <c r="F1982">
        <f>Data!O2078</f>
        <v/>
      </c>
      <c r="G1982">
        <f>E1982-F1982</f>
        <v/>
      </c>
      <c r="H1982">
        <f>Data!P2078</f>
        <v/>
      </c>
      <c r="I1982">
        <f>G1982+H1982</f>
        <v/>
      </c>
      <c r="J1982">
        <f>F1982+G1982+H1982</f>
        <v/>
      </c>
      <c r="K1982">
        <f>Data!R2078</f>
        <v/>
      </c>
      <c r="L1982">
        <f>Data!T2078</f>
        <v/>
      </c>
      <c r="M1982">
        <f>AND(E1982=0,F1982=0,G1982=0,H1982=0,I1982=0,J1982=0,K1982=0,L1982=0)</f>
        <v/>
      </c>
      <c r="N1982">
        <f>G1982&lt;=$T$6</f>
        <v/>
      </c>
      <c r="O1982">
        <f>G1982&lt;=$T$12</f>
        <v/>
      </c>
      <c r="P1982">
        <f>OR(AND(H1982&gt;=$T$4,K1982&lt;=$T$5,N1982),M1982)</f>
        <v/>
      </c>
      <c r="Q1982">
        <f>OR(AND(I1982&gt;=$T$10,K1982&lt;=$T$11,O1982),M1982)</f>
        <v/>
      </c>
    </row>
    <row r="1983">
      <c r="A1983">
        <f>Data!E2079</f>
        <v/>
      </c>
      <c r="B1983">
        <f>Data!G2079</f>
        <v/>
      </c>
      <c r="C1983">
        <f>Data!H2079</f>
        <v/>
      </c>
      <c r="D1983">
        <f>Data!I2079</f>
        <v/>
      </c>
      <c r="E1983">
        <f>Data!M2079</f>
        <v/>
      </c>
      <c r="F1983">
        <f>Data!O2079</f>
        <v/>
      </c>
      <c r="G1983">
        <f>E1983-F1983</f>
        <v/>
      </c>
      <c r="H1983">
        <f>Data!P2079</f>
        <v/>
      </c>
      <c r="I1983">
        <f>G1983+H1983</f>
        <v/>
      </c>
      <c r="J1983">
        <f>F1983+G1983+H1983</f>
        <v/>
      </c>
      <c r="K1983">
        <f>Data!R2079</f>
        <v/>
      </c>
      <c r="L1983">
        <f>Data!T2079</f>
        <v/>
      </c>
      <c r="M1983">
        <f>AND(E1983=0,F1983=0,G1983=0,H1983=0,I1983=0,J1983=0,K1983=0,L1983=0)</f>
        <v/>
      </c>
      <c r="N1983">
        <f>G1983&lt;=$T$6</f>
        <v/>
      </c>
      <c r="O1983">
        <f>G1983&lt;=$T$12</f>
        <v/>
      </c>
      <c r="P1983">
        <f>OR(AND(H1983&gt;=$T$4,K1983&lt;=$T$5,N1983),M1983)</f>
        <v/>
      </c>
      <c r="Q1983">
        <f>OR(AND(I1983&gt;=$T$10,K1983&lt;=$T$11,O1983),M1983)</f>
        <v/>
      </c>
    </row>
    <row r="1984">
      <c r="A1984">
        <f>Data!E2080</f>
        <v/>
      </c>
      <c r="B1984">
        <f>Data!G2080</f>
        <v/>
      </c>
      <c r="C1984">
        <f>Data!H2080</f>
        <v/>
      </c>
      <c r="D1984">
        <f>Data!I2080</f>
        <v/>
      </c>
      <c r="E1984">
        <f>Data!M2080</f>
        <v/>
      </c>
      <c r="F1984">
        <f>Data!O2080</f>
        <v/>
      </c>
      <c r="G1984">
        <f>E1984-F1984</f>
        <v/>
      </c>
      <c r="H1984">
        <f>Data!P2080</f>
        <v/>
      </c>
      <c r="I1984">
        <f>G1984+H1984</f>
        <v/>
      </c>
      <c r="J1984">
        <f>F1984+G1984+H1984</f>
        <v/>
      </c>
      <c r="K1984">
        <f>Data!R2080</f>
        <v/>
      </c>
      <c r="L1984">
        <f>Data!T2080</f>
        <v/>
      </c>
      <c r="M1984">
        <f>AND(E1984=0,F1984=0,G1984=0,H1984=0,I1984=0,J1984=0,K1984=0,L1984=0)</f>
        <v/>
      </c>
      <c r="N1984">
        <f>G1984&lt;=$T$6</f>
        <v/>
      </c>
      <c r="O1984">
        <f>G1984&lt;=$T$12</f>
        <v/>
      </c>
      <c r="P1984">
        <f>OR(AND(H1984&gt;=$T$4,K1984&lt;=$T$5,N1984),M1984)</f>
        <v/>
      </c>
      <c r="Q1984">
        <f>OR(AND(I1984&gt;=$T$10,K1984&lt;=$T$11,O1984),M1984)</f>
        <v/>
      </c>
    </row>
    <row r="1985">
      <c r="A1985">
        <f>Data!E2081</f>
        <v/>
      </c>
      <c r="B1985">
        <f>Data!G2081</f>
        <v/>
      </c>
      <c r="C1985">
        <f>Data!H2081</f>
        <v/>
      </c>
      <c r="D1985">
        <f>Data!I2081</f>
        <v/>
      </c>
      <c r="E1985">
        <f>Data!M2081</f>
        <v/>
      </c>
      <c r="F1985">
        <f>Data!O2081</f>
        <v/>
      </c>
      <c r="G1985">
        <f>E1985-F1985</f>
        <v/>
      </c>
      <c r="H1985">
        <f>Data!P2081</f>
        <v/>
      </c>
      <c r="I1985">
        <f>G1985+H1985</f>
        <v/>
      </c>
      <c r="J1985">
        <f>F1985+G1985+H1985</f>
        <v/>
      </c>
      <c r="K1985">
        <f>Data!R2081</f>
        <v/>
      </c>
      <c r="L1985">
        <f>Data!T2081</f>
        <v/>
      </c>
      <c r="M1985">
        <f>AND(E1985=0,F1985=0,G1985=0,H1985=0,I1985=0,J1985=0,K1985=0,L1985=0)</f>
        <v/>
      </c>
      <c r="N1985">
        <f>G1985&lt;=$T$6</f>
        <v/>
      </c>
      <c r="O1985">
        <f>G1985&lt;=$T$12</f>
        <v/>
      </c>
      <c r="P1985">
        <f>OR(AND(H1985&gt;=$T$4,K1985&lt;=$T$5,N1985),M1985)</f>
        <v/>
      </c>
      <c r="Q1985">
        <f>OR(AND(I1985&gt;=$T$10,K1985&lt;=$T$11,O1985),M1985)</f>
        <v/>
      </c>
    </row>
    <row r="1986">
      <c r="A1986">
        <f>Data!E2083</f>
        <v/>
      </c>
      <c r="B1986">
        <f>Data!G2083</f>
        <v/>
      </c>
      <c r="C1986">
        <f>Data!H2083</f>
        <v/>
      </c>
      <c r="D1986">
        <f>Data!I2083</f>
        <v/>
      </c>
      <c r="E1986">
        <f>Data!M2083</f>
        <v/>
      </c>
      <c r="F1986">
        <f>Data!O2083</f>
        <v/>
      </c>
      <c r="G1986">
        <f>E1986-F1986</f>
        <v/>
      </c>
      <c r="H1986">
        <f>Data!P2083</f>
        <v/>
      </c>
      <c r="I1986">
        <f>G1986+H1986</f>
        <v/>
      </c>
      <c r="J1986">
        <f>F1986+G1986+H1986</f>
        <v/>
      </c>
      <c r="K1986">
        <f>Data!R2083</f>
        <v/>
      </c>
      <c r="L1986">
        <f>Data!T2083</f>
        <v/>
      </c>
      <c r="M1986">
        <f>AND(E1986=0,F1986=0,G1986=0,H1986=0,I1986=0,J1986=0,K1986=0,L1986=0)</f>
        <v/>
      </c>
      <c r="N1986">
        <f>G1986&lt;=$T$6</f>
        <v/>
      </c>
      <c r="O1986">
        <f>G1986&lt;=$T$12</f>
        <v/>
      </c>
      <c r="P1986">
        <f>OR(AND(H1986&gt;=$T$4,K1986&lt;=$T$5,N1986),M1986)</f>
        <v/>
      </c>
      <c r="Q1986">
        <f>OR(AND(I1986&gt;=$T$10,K1986&lt;=$T$11,O1986),M1986)</f>
        <v/>
      </c>
    </row>
    <row r="1987">
      <c r="A1987">
        <f>Data!E2084</f>
        <v/>
      </c>
      <c r="B1987">
        <f>Data!G2084</f>
        <v/>
      </c>
      <c r="C1987">
        <f>Data!H2084</f>
        <v/>
      </c>
      <c r="D1987">
        <f>Data!I2084</f>
        <v/>
      </c>
      <c r="E1987">
        <f>Data!M2084</f>
        <v/>
      </c>
      <c r="F1987">
        <f>Data!O2084</f>
        <v/>
      </c>
      <c r="G1987">
        <f>E1987-F1987</f>
        <v/>
      </c>
      <c r="H1987">
        <f>Data!P2084</f>
        <v/>
      </c>
      <c r="I1987">
        <f>G1987+H1987</f>
        <v/>
      </c>
      <c r="J1987">
        <f>F1987+G1987+H1987</f>
        <v/>
      </c>
      <c r="K1987">
        <f>Data!R2084</f>
        <v/>
      </c>
      <c r="L1987">
        <f>Data!T2084</f>
        <v/>
      </c>
      <c r="M1987">
        <f>AND(E1987=0,F1987=0,G1987=0,H1987=0,I1987=0,J1987=0,K1987=0,L1987=0)</f>
        <v/>
      </c>
      <c r="N1987">
        <f>G1987&lt;=$T$6</f>
        <v/>
      </c>
      <c r="O1987">
        <f>G1987&lt;=$T$12</f>
        <v/>
      </c>
      <c r="P1987">
        <f>OR(AND(H1987&gt;=$T$4,K1987&lt;=$T$5,N1987),M1987)</f>
        <v/>
      </c>
      <c r="Q1987">
        <f>OR(AND(I1987&gt;=$T$10,K1987&lt;=$T$11,O1987),M1987)</f>
        <v/>
      </c>
    </row>
    <row r="1988">
      <c r="A1988">
        <f>Data!E2085</f>
        <v/>
      </c>
      <c r="B1988">
        <f>Data!G2085</f>
        <v/>
      </c>
      <c r="C1988">
        <f>Data!H2085</f>
        <v/>
      </c>
      <c r="D1988">
        <f>Data!I2085</f>
        <v/>
      </c>
      <c r="E1988">
        <f>Data!M2085</f>
        <v/>
      </c>
      <c r="F1988">
        <f>Data!O2085</f>
        <v/>
      </c>
      <c r="G1988">
        <f>E1988-F1988</f>
        <v/>
      </c>
      <c r="H1988">
        <f>Data!P2085</f>
        <v/>
      </c>
      <c r="I1988">
        <f>G1988+H1988</f>
        <v/>
      </c>
      <c r="J1988">
        <f>F1988+G1988+H1988</f>
        <v/>
      </c>
      <c r="K1988">
        <f>Data!R2085</f>
        <v/>
      </c>
      <c r="L1988">
        <f>Data!T2085</f>
        <v/>
      </c>
      <c r="M1988">
        <f>AND(E1988=0,F1988=0,G1988=0,H1988=0,I1988=0,J1988=0,K1988=0,L1988=0)</f>
        <v/>
      </c>
      <c r="N1988">
        <f>G1988&lt;=$T$6</f>
        <v/>
      </c>
      <c r="O1988">
        <f>G1988&lt;=$T$12</f>
        <v/>
      </c>
      <c r="P1988">
        <f>OR(AND(H1988&gt;=$T$4,K1988&lt;=$T$5,N1988),M1988)</f>
        <v/>
      </c>
      <c r="Q1988">
        <f>OR(AND(I1988&gt;=$T$10,K1988&lt;=$T$11,O1988),M1988)</f>
        <v/>
      </c>
    </row>
    <row r="1989">
      <c r="A1989">
        <f>Data!E2086</f>
        <v/>
      </c>
      <c r="B1989">
        <f>Data!G2086</f>
        <v/>
      </c>
      <c r="C1989">
        <f>Data!H2086</f>
        <v/>
      </c>
      <c r="D1989">
        <f>Data!I2086</f>
        <v/>
      </c>
      <c r="E1989">
        <f>Data!M2086</f>
        <v/>
      </c>
      <c r="F1989">
        <f>Data!O2086</f>
        <v/>
      </c>
      <c r="G1989">
        <f>E1989-F1989</f>
        <v/>
      </c>
      <c r="H1989">
        <f>Data!P2086</f>
        <v/>
      </c>
      <c r="I1989">
        <f>G1989+H1989</f>
        <v/>
      </c>
      <c r="J1989">
        <f>F1989+G1989+H1989</f>
        <v/>
      </c>
      <c r="K1989">
        <f>Data!R2086</f>
        <v/>
      </c>
      <c r="L1989">
        <f>Data!T2086</f>
        <v/>
      </c>
      <c r="M1989">
        <f>AND(E1989=0,F1989=0,G1989=0,H1989=0,I1989=0,J1989=0,K1989=0,L1989=0)</f>
        <v/>
      </c>
      <c r="N1989">
        <f>G1989&lt;=$T$6</f>
        <v/>
      </c>
      <c r="O1989">
        <f>G1989&lt;=$T$12</f>
        <v/>
      </c>
      <c r="P1989">
        <f>OR(AND(H1989&gt;=$T$4,K1989&lt;=$T$5,N1989),M1989)</f>
        <v/>
      </c>
      <c r="Q1989">
        <f>OR(AND(I1989&gt;=$T$10,K1989&lt;=$T$11,O1989),M1989)</f>
        <v/>
      </c>
    </row>
    <row r="1990">
      <c r="A1990">
        <f>Data!E2087</f>
        <v/>
      </c>
      <c r="B1990">
        <f>Data!G2087</f>
        <v/>
      </c>
      <c r="C1990">
        <f>Data!H2087</f>
        <v/>
      </c>
      <c r="D1990">
        <f>Data!I2087</f>
        <v/>
      </c>
      <c r="E1990">
        <f>Data!M2087</f>
        <v/>
      </c>
      <c r="F1990">
        <f>Data!O2087</f>
        <v/>
      </c>
      <c r="G1990">
        <f>E1990-F1990</f>
        <v/>
      </c>
      <c r="H1990">
        <f>Data!P2087</f>
        <v/>
      </c>
      <c r="I1990">
        <f>G1990+H1990</f>
        <v/>
      </c>
      <c r="J1990">
        <f>F1990+G1990+H1990</f>
        <v/>
      </c>
      <c r="K1990">
        <f>Data!R2087</f>
        <v/>
      </c>
      <c r="L1990">
        <f>Data!T2087</f>
        <v/>
      </c>
      <c r="M1990">
        <f>AND(E1990=0,F1990=0,G1990=0,H1990=0,I1990=0,J1990=0,K1990=0,L1990=0)</f>
        <v/>
      </c>
      <c r="N1990">
        <f>G1990&lt;=$T$6</f>
        <v/>
      </c>
      <c r="O1990">
        <f>G1990&lt;=$T$12</f>
        <v/>
      </c>
      <c r="P1990">
        <f>OR(AND(H1990&gt;=$T$4,K1990&lt;=$T$5,N1990),M1990)</f>
        <v/>
      </c>
      <c r="Q1990">
        <f>OR(AND(I1990&gt;=$T$10,K1990&lt;=$T$11,O1990),M1990)</f>
        <v/>
      </c>
    </row>
    <row r="1991">
      <c r="A1991">
        <f>Data!E2088</f>
        <v/>
      </c>
      <c r="B1991">
        <f>Data!G2088</f>
        <v/>
      </c>
      <c r="C1991">
        <f>Data!H2088</f>
        <v/>
      </c>
      <c r="D1991">
        <f>Data!I2088</f>
        <v/>
      </c>
      <c r="E1991">
        <f>Data!M2088</f>
        <v/>
      </c>
      <c r="F1991">
        <f>Data!O2088</f>
        <v/>
      </c>
      <c r="G1991">
        <f>E1991-F1991</f>
        <v/>
      </c>
      <c r="H1991">
        <f>Data!P2088</f>
        <v/>
      </c>
      <c r="I1991">
        <f>G1991+H1991</f>
        <v/>
      </c>
      <c r="J1991">
        <f>F1991+G1991+H1991</f>
        <v/>
      </c>
      <c r="K1991">
        <f>Data!R2088</f>
        <v/>
      </c>
      <c r="L1991">
        <f>Data!T2088</f>
        <v/>
      </c>
      <c r="M1991">
        <f>AND(E1991=0,F1991=0,G1991=0,H1991=0,I1991=0,J1991=0,K1991=0,L1991=0)</f>
        <v/>
      </c>
      <c r="N1991">
        <f>G1991&lt;=$T$6</f>
        <v/>
      </c>
      <c r="O1991">
        <f>G1991&lt;=$T$12</f>
        <v/>
      </c>
      <c r="P1991">
        <f>OR(AND(H1991&gt;=$T$4,K1991&lt;=$T$5,N1991),M1991)</f>
        <v/>
      </c>
      <c r="Q1991">
        <f>OR(AND(I1991&gt;=$T$10,K1991&lt;=$T$11,O1991),M1991)</f>
        <v/>
      </c>
    </row>
    <row r="1992">
      <c r="A1992">
        <f>Data!E2089</f>
        <v/>
      </c>
      <c r="B1992">
        <f>Data!G2089</f>
        <v/>
      </c>
      <c r="C1992">
        <f>Data!H2089</f>
        <v/>
      </c>
      <c r="D1992">
        <f>Data!I2089</f>
        <v/>
      </c>
      <c r="E1992">
        <f>Data!M2089</f>
        <v/>
      </c>
      <c r="F1992">
        <f>Data!O2089</f>
        <v/>
      </c>
      <c r="G1992">
        <f>E1992-F1992</f>
        <v/>
      </c>
      <c r="H1992">
        <f>Data!P2089</f>
        <v/>
      </c>
      <c r="I1992">
        <f>G1992+H1992</f>
        <v/>
      </c>
      <c r="J1992">
        <f>F1992+G1992+H1992</f>
        <v/>
      </c>
      <c r="K1992">
        <f>Data!R2089</f>
        <v/>
      </c>
      <c r="L1992">
        <f>Data!T2089</f>
        <v/>
      </c>
      <c r="M1992">
        <f>AND(E1992=0,F1992=0,G1992=0,H1992=0,I1992=0,J1992=0,K1992=0,L1992=0)</f>
        <v/>
      </c>
      <c r="N1992">
        <f>G1992&lt;=$T$6</f>
        <v/>
      </c>
      <c r="O1992">
        <f>G1992&lt;=$T$12</f>
        <v/>
      </c>
      <c r="P1992">
        <f>OR(AND(H1992&gt;=$T$4,K1992&lt;=$T$5,N1992),M1992)</f>
        <v/>
      </c>
      <c r="Q1992">
        <f>OR(AND(I1992&gt;=$T$10,K1992&lt;=$T$11,O1992),M1992)</f>
        <v/>
      </c>
    </row>
    <row r="1993">
      <c r="A1993">
        <f>Data!E2090</f>
        <v/>
      </c>
      <c r="B1993">
        <f>Data!G2090</f>
        <v/>
      </c>
      <c r="C1993">
        <f>Data!H2090</f>
        <v/>
      </c>
      <c r="D1993">
        <f>Data!I2090</f>
        <v/>
      </c>
      <c r="E1993">
        <f>Data!M2090</f>
        <v/>
      </c>
      <c r="F1993">
        <f>Data!O2090</f>
        <v/>
      </c>
      <c r="G1993">
        <f>E1993-F1993</f>
        <v/>
      </c>
      <c r="H1993">
        <f>Data!P2090</f>
        <v/>
      </c>
      <c r="I1993">
        <f>G1993+H1993</f>
        <v/>
      </c>
      <c r="J1993">
        <f>F1993+G1993+H1993</f>
        <v/>
      </c>
      <c r="K1993">
        <f>Data!R2090</f>
        <v/>
      </c>
      <c r="L1993">
        <f>Data!T2090</f>
        <v/>
      </c>
      <c r="M1993">
        <f>AND(E1993=0,F1993=0,G1993=0,H1993=0,I1993=0,J1993=0,K1993=0,L1993=0)</f>
        <v/>
      </c>
      <c r="N1993">
        <f>G1993&lt;=$T$6</f>
        <v/>
      </c>
      <c r="O1993">
        <f>G1993&lt;=$T$12</f>
        <v/>
      </c>
      <c r="P1993">
        <f>OR(AND(H1993&gt;=$T$4,K1993&lt;=$T$5,N1993),M1993)</f>
        <v/>
      </c>
      <c r="Q1993">
        <f>OR(AND(I1993&gt;=$T$10,K1993&lt;=$T$11,O1993),M1993)</f>
        <v/>
      </c>
    </row>
    <row r="1994">
      <c r="A1994">
        <f>Data!E2091</f>
        <v/>
      </c>
      <c r="B1994">
        <f>Data!G2091</f>
        <v/>
      </c>
      <c r="C1994">
        <f>Data!H2091</f>
        <v/>
      </c>
      <c r="D1994">
        <f>Data!I2091</f>
        <v/>
      </c>
      <c r="E1994">
        <f>Data!M2091</f>
        <v/>
      </c>
      <c r="F1994">
        <f>Data!O2091</f>
        <v/>
      </c>
      <c r="G1994">
        <f>E1994-F1994</f>
        <v/>
      </c>
      <c r="H1994">
        <f>Data!P2091</f>
        <v/>
      </c>
      <c r="I1994">
        <f>G1994+H1994</f>
        <v/>
      </c>
      <c r="J1994">
        <f>F1994+G1994+H1994</f>
        <v/>
      </c>
      <c r="K1994">
        <f>Data!R2091</f>
        <v/>
      </c>
      <c r="L1994">
        <f>Data!T2091</f>
        <v/>
      </c>
      <c r="M1994">
        <f>AND(E1994=0,F1994=0,G1994=0,H1994=0,I1994=0,J1994=0,K1994=0,L1994=0)</f>
        <v/>
      </c>
      <c r="N1994">
        <f>G1994&lt;=$T$6</f>
        <v/>
      </c>
      <c r="O1994">
        <f>G1994&lt;=$T$12</f>
        <v/>
      </c>
      <c r="P1994">
        <f>OR(AND(H1994&gt;=$T$4,K1994&lt;=$T$5,N1994),M1994)</f>
        <v/>
      </c>
      <c r="Q1994">
        <f>OR(AND(I1994&gt;=$T$10,K1994&lt;=$T$11,O1994),M1994)</f>
        <v/>
      </c>
    </row>
    <row r="1995">
      <c r="A1995">
        <f>Data!E2092</f>
        <v/>
      </c>
      <c r="B1995">
        <f>Data!G2092</f>
        <v/>
      </c>
      <c r="C1995">
        <f>Data!H2092</f>
        <v/>
      </c>
      <c r="D1995">
        <f>Data!I2092</f>
        <v/>
      </c>
      <c r="E1995">
        <f>Data!M2092</f>
        <v/>
      </c>
      <c r="F1995">
        <f>Data!O2092</f>
        <v/>
      </c>
      <c r="G1995">
        <f>E1995-F1995</f>
        <v/>
      </c>
      <c r="H1995">
        <f>Data!P2092</f>
        <v/>
      </c>
      <c r="I1995">
        <f>G1995+H1995</f>
        <v/>
      </c>
      <c r="J1995">
        <f>F1995+G1995+H1995</f>
        <v/>
      </c>
      <c r="K1995">
        <f>Data!R2092</f>
        <v/>
      </c>
      <c r="L1995">
        <f>Data!T2092</f>
        <v/>
      </c>
      <c r="M1995">
        <f>AND(E1995=0,F1995=0,G1995=0,H1995=0,I1995=0,J1995=0,K1995=0,L1995=0)</f>
        <v/>
      </c>
      <c r="N1995">
        <f>G1995&lt;=$T$6</f>
        <v/>
      </c>
      <c r="O1995">
        <f>G1995&lt;=$T$12</f>
        <v/>
      </c>
      <c r="P1995">
        <f>OR(AND(H1995&gt;=$T$4,K1995&lt;=$T$5,N1995),M1995)</f>
        <v/>
      </c>
      <c r="Q1995">
        <f>OR(AND(I1995&gt;=$T$10,K1995&lt;=$T$11,O1995),M1995)</f>
        <v/>
      </c>
    </row>
    <row r="1996">
      <c r="A1996">
        <f>Data!E2093</f>
        <v/>
      </c>
      <c r="B1996">
        <f>Data!G2093</f>
        <v/>
      </c>
      <c r="C1996">
        <f>Data!H2093</f>
        <v/>
      </c>
      <c r="D1996">
        <f>Data!I2093</f>
        <v/>
      </c>
      <c r="E1996">
        <f>Data!M2093</f>
        <v/>
      </c>
      <c r="F1996">
        <f>Data!O2093</f>
        <v/>
      </c>
      <c r="G1996">
        <f>E1996-F1996</f>
        <v/>
      </c>
      <c r="H1996">
        <f>Data!P2093</f>
        <v/>
      </c>
      <c r="I1996">
        <f>G1996+H1996</f>
        <v/>
      </c>
      <c r="J1996">
        <f>F1996+G1996+H1996</f>
        <v/>
      </c>
      <c r="K1996">
        <f>Data!R2093</f>
        <v/>
      </c>
      <c r="L1996">
        <f>Data!T2093</f>
        <v/>
      </c>
      <c r="M1996">
        <f>AND(E1996=0,F1996=0,G1996=0,H1996=0,I1996=0,J1996=0,K1996=0,L1996=0)</f>
        <v/>
      </c>
      <c r="N1996">
        <f>G1996&lt;=$T$6</f>
        <v/>
      </c>
      <c r="O1996">
        <f>G1996&lt;=$T$12</f>
        <v/>
      </c>
      <c r="P1996">
        <f>OR(AND(H1996&gt;=$T$4,K1996&lt;=$T$5,N1996),M1996)</f>
        <v/>
      </c>
      <c r="Q1996">
        <f>OR(AND(I1996&gt;=$T$10,K1996&lt;=$T$11,O1996),M1996)</f>
        <v/>
      </c>
    </row>
    <row r="1997">
      <c r="A1997">
        <f>Data!E2094</f>
        <v/>
      </c>
      <c r="B1997">
        <f>Data!G2094</f>
        <v/>
      </c>
      <c r="C1997">
        <f>Data!H2094</f>
        <v/>
      </c>
      <c r="D1997">
        <f>Data!I2094</f>
        <v/>
      </c>
      <c r="E1997">
        <f>Data!M2094</f>
        <v/>
      </c>
      <c r="F1997">
        <f>Data!O2094</f>
        <v/>
      </c>
      <c r="G1997">
        <f>E1997-F1997</f>
        <v/>
      </c>
      <c r="H1997">
        <f>Data!P2094</f>
        <v/>
      </c>
      <c r="I1997">
        <f>G1997+H1997</f>
        <v/>
      </c>
      <c r="J1997">
        <f>F1997+G1997+H1997</f>
        <v/>
      </c>
      <c r="K1997">
        <f>Data!R2094</f>
        <v/>
      </c>
      <c r="L1997">
        <f>Data!T2094</f>
        <v/>
      </c>
      <c r="M1997">
        <f>AND(E1997=0,F1997=0,G1997=0,H1997=0,I1997=0,J1997=0,K1997=0,L1997=0)</f>
        <v/>
      </c>
      <c r="N1997">
        <f>G1997&lt;=$T$6</f>
        <v/>
      </c>
      <c r="O1997">
        <f>G1997&lt;=$T$12</f>
        <v/>
      </c>
      <c r="P1997">
        <f>OR(AND(H1997&gt;=$T$4,K1997&lt;=$T$5,N1997),M1997)</f>
        <v/>
      </c>
      <c r="Q1997">
        <f>OR(AND(I1997&gt;=$T$10,K1997&lt;=$T$11,O1997),M1997)</f>
        <v/>
      </c>
    </row>
    <row r="1998">
      <c r="A1998">
        <f>Data!E2095</f>
        <v/>
      </c>
      <c r="B1998">
        <f>Data!G2095</f>
        <v/>
      </c>
      <c r="C1998">
        <f>Data!H2095</f>
        <v/>
      </c>
      <c r="D1998">
        <f>Data!I2095</f>
        <v/>
      </c>
      <c r="E1998">
        <f>Data!M2095</f>
        <v/>
      </c>
      <c r="F1998">
        <f>Data!O2095</f>
        <v/>
      </c>
      <c r="G1998">
        <f>E1998-F1998</f>
        <v/>
      </c>
      <c r="H1998">
        <f>Data!P2095</f>
        <v/>
      </c>
      <c r="I1998">
        <f>G1998+H1998</f>
        <v/>
      </c>
      <c r="J1998">
        <f>F1998+G1998+H1998</f>
        <v/>
      </c>
      <c r="K1998">
        <f>Data!R2095</f>
        <v/>
      </c>
      <c r="L1998">
        <f>Data!T2095</f>
        <v/>
      </c>
      <c r="M1998">
        <f>AND(E1998=0,F1998=0,G1998=0,H1998=0,I1998=0,J1998=0,K1998=0,L1998=0)</f>
        <v/>
      </c>
      <c r="N1998">
        <f>G1998&lt;=$T$6</f>
        <v/>
      </c>
      <c r="O1998">
        <f>G1998&lt;=$T$12</f>
        <v/>
      </c>
      <c r="P1998">
        <f>OR(AND(H1998&gt;=$T$4,K1998&lt;=$T$5,N1998),M1998)</f>
        <v/>
      </c>
      <c r="Q1998">
        <f>OR(AND(I1998&gt;=$T$10,K1998&lt;=$T$11,O1998),M1998)</f>
        <v/>
      </c>
    </row>
    <row r="1999">
      <c r="A1999">
        <f>Data!E2096</f>
        <v/>
      </c>
      <c r="B1999">
        <f>Data!G2096</f>
        <v/>
      </c>
      <c r="C1999">
        <f>Data!H2096</f>
        <v/>
      </c>
      <c r="D1999">
        <f>Data!I2096</f>
        <v/>
      </c>
      <c r="E1999">
        <f>Data!M2096</f>
        <v/>
      </c>
      <c r="F1999">
        <f>Data!O2096</f>
        <v/>
      </c>
      <c r="G1999">
        <f>E1999-F1999</f>
        <v/>
      </c>
      <c r="H1999">
        <f>Data!P2096</f>
        <v/>
      </c>
      <c r="I1999">
        <f>G1999+H1999</f>
        <v/>
      </c>
      <c r="J1999">
        <f>F1999+G1999+H1999</f>
        <v/>
      </c>
      <c r="K1999">
        <f>Data!R2096</f>
        <v/>
      </c>
      <c r="L1999">
        <f>Data!T2096</f>
        <v/>
      </c>
      <c r="M1999">
        <f>AND(E1999=0,F1999=0,G1999=0,H1999=0,I1999=0,J1999=0,K1999=0,L1999=0)</f>
        <v/>
      </c>
      <c r="N1999">
        <f>G1999&lt;=$T$6</f>
        <v/>
      </c>
      <c r="O1999">
        <f>G1999&lt;=$T$12</f>
        <v/>
      </c>
      <c r="P1999">
        <f>OR(AND(H1999&gt;=$T$4,K1999&lt;=$T$5,N1999),M1999)</f>
        <v/>
      </c>
      <c r="Q1999">
        <f>OR(AND(I1999&gt;=$T$10,K1999&lt;=$T$11,O1999),M1999)</f>
        <v/>
      </c>
    </row>
    <row r="2000">
      <c r="A2000">
        <f>Data!E2098</f>
        <v/>
      </c>
      <c r="B2000">
        <f>Data!G2098</f>
        <v/>
      </c>
      <c r="C2000">
        <f>Data!H2098</f>
        <v/>
      </c>
      <c r="D2000">
        <f>Data!I2098</f>
        <v/>
      </c>
      <c r="E2000">
        <f>Data!M2098</f>
        <v/>
      </c>
      <c r="F2000">
        <f>Data!O2098</f>
        <v/>
      </c>
      <c r="G2000">
        <f>E2000-F2000</f>
        <v/>
      </c>
      <c r="H2000">
        <f>Data!P2098</f>
        <v/>
      </c>
      <c r="I2000">
        <f>G2000+H2000</f>
        <v/>
      </c>
      <c r="J2000">
        <f>F2000+G2000+H2000</f>
        <v/>
      </c>
      <c r="K2000">
        <f>Data!R2098</f>
        <v/>
      </c>
      <c r="L2000">
        <f>Data!T2098</f>
        <v/>
      </c>
      <c r="M2000">
        <f>AND(E2000=0,F2000=0,G2000=0,H2000=0,I2000=0,J2000=0,K2000=0,L2000=0)</f>
        <v/>
      </c>
      <c r="N2000">
        <f>G2000&lt;=$T$6</f>
        <v/>
      </c>
      <c r="O2000">
        <f>G2000&lt;=$T$12</f>
        <v/>
      </c>
      <c r="P2000">
        <f>OR(AND(H2000&gt;=$T$4,K2000&lt;=$T$5,N2000),M2000)</f>
        <v/>
      </c>
      <c r="Q2000">
        <f>OR(AND(I2000&gt;=$T$10,K2000&lt;=$T$11,O2000),M2000)</f>
        <v/>
      </c>
    </row>
    <row r="2001">
      <c r="A2001">
        <f>Data!E2099</f>
        <v/>
      </c>
      <c r="B2001">
        <f>Data!G2099</f>
        <v/>
      </c>
      <c r="C2001">
        <f>Data!H2099</f>
        <v/>
      </c>
      <c r="D2001">
        <f>Data!I2099</f>
        <v/>
      </c>
      <c r="E2001">
        <f>Data!M2099</f>
        <v/>
      </c>
      <c r="F2001">
        <f>Data!O2099</f>
        <v/>
      </c>
      <c r="G2001">
        <f>E2001-F2001</f>
        <v/>
      </c>
      <c r="H2001">
        <f>Data!P2099</f>
        <v/>
      </c>
      <c r="I2001">
        <f>G2001+H2001</f>
        <v/>
      </c>
      <c r="J2001">
        <f>F2001+G2001+H2001</f>
        <v/>
      </c>
      <c r="K2001">
        <f>Data!R2099</f>
        <v/>
      </c>
      <c r="L2001">
        <f>Data!T2099</f>
        <v/>
      </c>
      <c r="M2001">
        <f>AND(E2001=0,F2001=0,G2001=0,H2001=0,I2001=0,J2001=0,K2001=0,L2001=0)</f>
        <v/>
      </c>
      <c r="N2001">
        <f>G2001&lt;=$T$6</f>
        <v/>
      </c>
      <c r="O2001">
        <f>G2001&lt;=$T$12</f>
        <v/>
      </c>
      <c r="P2001">
        <f>OR(AND(H2001&gt;=$T$4,K2001&lt;=$T$5,N2001),M2001)</f>
        <v/>
      </c>
      <c r="Q2001">
        <f>OR(AND(I2001&gt;=$T$10,K2001&lt;=$T$11,O2001),M2001)</f>
        <v/>
      </c>
    </row>
    <row r="2002">
      <c r="A2002">
        <f>Data!E2100</f>
        <v/>
      </c>
      <c r="B2002">
        <f>Data!G2100</f>
        <v/>
      </c>
      <c r="C2002">
        <f>Data!H2100</f>
        <v/>
      </c>
      <c r="D2002">
        <f>Data!I2100</f>
        <v/>
      </c>
      <c r="E2002">
        <f>Data!M2100</f>
        <v/>
      </c>
      <c r="F2002">
        <f>Data!O2100</f>
        <v/>
      </c>
      <c r="G2002">
        <f>E2002-F2002</f>
        <v/>
      </c>
      <c r="H2002">
        <f>Data!P2100</f>
        <v/>
      </c>
      <c r="I2002">
        <f>G2002+H2002</f>
        <v/>
      </c>
      <c r="J2002">
        <f>F2002+G2002+H2002</f>
        <v/>
      </c>
      <c r="K2002">
        <f>Data!R2100</f>
        <v/>
      </c>
      <c r="L2002">
        <f>Data!T2100</f>
        <v/>
      </c>
      <c r="M2002">
        <f>AND(E2002=0,F2002=0,G2002=0,H2002=0,I2002=0,J2002=0,K2002=0,L2002=0)</f>
        <v/>
      </c>
      <c r="N2002">
        <f>G2002&lt;=$T$6</f>
        <v/>
      </c>
      <c r="O2002">
        <f>G2002&lt;=$T$12</f>
        <v/>
      </c>
      <c r="P2002">
        <f>OR(AND(H2002&gt;=$T$4,K2002&lt;=$T$5,N2002),M2002)</f>
        <v/>
      </c>
      <c r="Q2002">
        <f>OR(AND(I2002&gt;=$T$10,K2002&lt;=$T$11,O2002),M2002)</f>
        <v/>
      </c>
    </row>
    <row r="2003">
      <c r="A2003">
        <f>Data!E2101</f>
        <v/>
      </c>
      <c r="B2003">
        <f>Data!G2101</f>
        <v/>
      </c>
      <c r="C2003">
        <f>Data!H2101</f>
        <v/>
      </c>
      <c r="D2003">
        <f>Data!I2101</f>
        <v/>
      </c>
      <c r="E2003">
        <f>Data!M2101</f>
        <v/>
      </c>
      <c r="F2003">
        <f>Data!O2101</f>
        <v/>
      </c>
      <c r="G2003">
        <f>E2003-F2003</f>
        <v/>
      </c>
      <c r="H2003">
        <f>Data!P2101</f>
        <v/>
      </c>
      <c r="I2003">
        <f>G2003+H2003</f>
        <v/>
      </c>
      <c r="J2003">
        <f>F2003+G2003+H2003</f>
        <v/>
      </c>
      <c r="K2003">
        <f>Data!R2101</f>
        <v/>
      </c>
      <c r="L2003">
        <f>Data!T2101</f>
        <v/>
      </c>
      <c r="M2003">
        <f>AND(E2003=0,F2003=0,G2003=0,H2003=0,I2003=0,J2003=0,K2003=0,L2003=0)</f>
        <v/>
      </c>
      <c r="N2003">
        <f>G2003&lt;=$T$6</f>
        <v/>
      </c>
      <c r="O2003">
        <f>G2003&lt;=$T$12</f>
        <v/>
      </c>
      <c r="P2003">
        <f>OR(AND(H2003&gt;=$T$4,K2003&lt;=$T$5,N2003),M2003)</f>
        <v/>
      </c>
      <c r="Q2003">
        <f>OR(AND(I2003&gt;=$T$10,K2003&lt;=$T$11,O2003),M2003)</f>
        <v/>
      </c>
    </row>
    <row r="2004">
      <c r="A2004">
        <f>Data!E2102</f>
        <v/>
      </c>
      <c r="B2004">
        <f>Data!G2102</f>
        <v/>
      </c>
      <c r="C2004">
        <f>Data!H2102</f>
        <v/>
      </c>
      <c r="D2004">
        <f>Data!I2102</f>
        <v/>
      </c>
      <c r="E2004">
        <f>Data!M2102</f>
        <v/>
      </c>
      <c r="F2004">
        <f>Data!O2102</f>
        <v/>
      </c>
      <c r="G2004">
        <f>E2004-F2004</f>
        <v/>
      </c>
      <c r="H2004">
        <f>Data!P2102</f>
        <v/>
      </c>
      <c r="I2004">
        <f>G2004+H2004</f>
        <v/>
      </c>
      <c r="J2004">
        <f>F2004+G2004+H2004</f>
        <v/>
      </c>
      <c r="K2004">
        <f>Data!R2102</f>
        <v/>
      </c>
      <c r="L2004">
        <f>Data!T2102</f>
        <v/>
      </c>
      <c r="M2004">
        <f>AND(E2004=0,F2004=0,G2004=0,H2004=0,I2004=0,J2004=0,K2004=0,L2004=0)</f>
        <v/>
      </c>
      <c r="N2004">
        <f>G2004&lt;=$T$6</f>
        <v/>
      </c>
      <c r="O2004">
        <f>G2004&lt;=$T$12</f>
        <v/>
      </c>
      <c r="P2004">
        <f>OR(AND(H2004&gt;=$T$4,K2004&lt;=$T$5,N2004),M2004)</f>
        <v/>
      </c>
      <c r="Q2004">
        <f>OR(AND(I2004&gt;=$T$10,K2004&lt;=$T$11,O2004),M2004)</f>
        <v/>
      </c>
    </row>
    <row r="2005">
      <c r="A2005">
        <f>Data!E2103</f>
        <v/>
      </c>
      <c r="B2005">
        <f>Data!G2103</f>
        <v/>
      </c>
      <c r="C2005">
        <f>Data!H2103</f>
        <v/>
      </c>
      <c r="D2005">
        <f>Data!I2103</f>
        <v/>
      </c>
      <c r="E2005">
        <f>Data!M2103</f>
        <v/>
      </c>
      <c r="F2005">
        <f>Data!O2103</f>
        <v/>
      </c>
      <c r="G2005">
        <f>E2005-F2005</f>
        <v/>
      </c>
      <c r="H2005">
        <f>Data!P2103</f>
        <v/>
      </c>
      <c r="I2005">
        <f>G2005+H2005</f>
        <v/>
      </c>
      <c r="J2005">
        <f>F2005+G2005+H2005</f>
        <v/>
      </c>
      <c r="K2005">
        <f>Data!R2103</f>
        <v/>
      </c>
      <c r="L2005">
        <f>Data!T2103</f>
        <v/>
      </c>
      <c r="M2005">
        <f>AND(E2005=0,F2005=0,G2005=0,H2005=0,I2005=0,J2005=0,K2005=0,L2005=0)</f>
        <v/>
      </c>
      <c r="N2005">
        <f>G2005&lt;=$T$6</f>
        <v/>
      </c>
      <c r="O2005">
        <f>G2005&lt;=$T$12</f>
        <v/>
      </c>
      <c r="P2005">
        <f>OR(AND(H2005&gt;=$T$4,K2005&lt;=$T$5,N2005),M2005)</f>
        <v/>
      </c>
      <c r="Q2005">
        <f>OR(AND(I2005&gt;=$T$10,K2005&lt;=$T$11,O2005),M2005)</f>
        <v/>
      </c>
    </row>
    <row r="2006">
      <c r="A2006">
        <f>Data!E2104</f>
        <v/>
      </c>
      <c r="B2006">
        <f>Data!G2104</f>
        <v/>
      </c>
      <c r="C2006">
        <f>Data!H2104</f>
        <v/>
      </c>
      <c r="D2006">
        <f>Data!I2104</f>
        <v/>
      </c>
      <c r="E2006">
        <f>Data!M2104</f>
        <v/>
      </c>
      <c r="F2006">
        <f>Data!O2104</f>
        <v/>
      </c>
      <c r="G2006">
        <f>E2006-F2006</f>
        <v/>
      </c>
      <c r="H2006">
        <f>Data!P2104</f>
        <v/>
      </c>
      <c r="I2006">
        <f>G2006+H2006</f>
        <v/>
      </c>
      <c r="J2006">
        <f>F2006+G2006+H2006</f>
        <v/>
      </c>
      <c r="K2006">
        <f>Data!R2104</f>
        <v/>
      </c>
      <c r="L2006">
        <f>Data!T2104</f>
        <v/>
      </c>
      <c r="M2006">
        <f>AND(E2006=0,F2006=0,G2006=0,H2006=0,I2006=0,J2006=0,K2006=0,L2006=0)</f>
        <v/>
      </c>
      <c r="N2006">
        <f>G2006&lt;=$T$6</f>
        <v/>
      </c>
      <c r="O2006">
        <f>G2006&lt;=$T$12</f>
        <v/>
      </c>
      <c r="P2006">
        <f>OR(AND(H2006&gt;=$T$4,K2006&lt;=$T$5,N2006),M2006)</f>
        <v/>
      </c>
      <c r="Q2006">
        <f>OR(AND(I2006&gt;=$T$10,K2006&lt;=$T$11,O2006),M2006)</f>
        <v/>
      </c>
    </row>
    <row r="2007">
      <c r="A2007">
        <f>Data!E2105</f>
        <v/>
      </c>
      <c r="B2007">
        <f>Data!G2105</f>
        <v/>
      </c>
      <c r="C2007">
        <f>Data!H2105</f>
        <v/>
      </c>
      <c r="D2007">
        <f>Data!I2105</f>
        <v/>
      </c>
      <c r="E2007">
        <f>Data!M2105</f>
        <v/>
      </c>
      <c r="F2007">
        <f>Data!O2105</f>
        <v/>
      </c>
      <c r="G2007">
        <f>E2007-F2007</f>
        <v/>
      </c>
      <c r="H2007">
        <f>Data!P2105</f>
        <v/>
      </c>
      <c r="I2007">
        <f>G2007+H2007</f>
        <v/>
      </c>
      <c r="J2007">
        <f>F2007+G2007+H2007</f>
        <v/>
      </c>
      <c r="K2007">
        <f>Data!R2105</f>
        <v/>
      </c>
      <c r="L2007">
        <f>Data!T2105</f>
        <v/>
      </c>
      <c r="M2007">
        <f>AND(E2007=0,F2007=0,G2007=0,H2007=0,I2007=0,J2007=0,K2007=0,L2007=0)</f>
        <v/>
      </c>
      <c r="N2007">
        <f>G2007&lt;=$T$6</f>
        <v/>
      </c>
      <c r="O2007">
        <f>G2007&lt;=$T$12</f>
        <v/>
      </c>
      <c r="P2007">
        <f>OR(AND(H2007&gt;=$T$4,K2007&lt;=$T$5,N2007),M2007)</f>
        <v/>
      </c>
      <c r="Q2007">
        <f>OR(AND(I2007&gt;=$T$10,K2007&lt;=$T$11,O2007),M2007)</f>
        <v/>
      </c>
    </row>
    <row r="2008">
      <c r="A2008">
        <f>Data!E2106</f>
        <v/>
      </c>
      <c r="B2008">
        <f>Data!G2106</f>
        <v/>
      </c>
      <c r="C2008">
        <f>Data!H2106</f>
        <v/>
      </c>
      <c r="D2008">
        <f>Data!I2106</f>
        <v/>
      </c>
      <c r="E2008">
        <f>Data!M2106</f>
        <v/>
      </c>
      <c r="F2008">
        <f>Data!O2106</f>
        <v/>
      </c>
      <c r="G2008">
        <f>E2008-F2008</f>
        <v/>
      </c>
      <c r="H2008">
        <f>Data!P2106</f>
        <v/>
      </c>
      <c r="I2008">
        <f>G2008+H2008</f>
        <v/>
      </c>
      <c r="J2008">
        <f>F2008+G2008+H2008</f>
        <v/>
      </c>
      <c r="K2008">
        <f>Data!R2106</f>
        <v/>
      </c>
      <c r="L2008">
        <f>Data!T2106</f>
        <v/>
      </c>
      <c r="M2008">
        <f>AND(E2008=0,F2008=0,G2008=0,H2008=0,I2008=0,J2008=0,K2008=0,L2008=0)</f>
        <v/>
      </c>
      <c r="N2008">
        <f>G2008&lt;=$T$6</f>
        <v/>
      </c>
      <c r="O2008">
        <f>G2008&lt;=$T$12</f>
        <v/>
      </c>
      <c r="P2008">
        <f>OR(AND(H2008&gt;=$T$4,K2008&lt;=$T$5,N2008),M2008)</f>
        <v/>
      </c>
      <c r="Q2008">
        <f>OR(AND(I2008&gt;=$T$10,K2008&lt;=$T$11,O2008),M2008)</f>
        <v/>
      </c>
    </row>
    <row r="2009">
      <c r="A2009">
        <f>Data!E2107</f>
        <v/>
      </c>
      <c r="B2009">
        <f>Data!G2107</f>
        <v/>
      </c>
      <c r="C2009">
        <f>Data!H2107</f>
        <v/>
      </c>
      <c r="D2009">
        <f>Data!I2107</f>
        <v/>
      </c>
      <c r="E2009">
        <f>Data!M2107</f>
        <v/>
      </c>
      <c r="F2009">
        <f>Data!O2107</f>
        <v/>
      </c>
      <c r="G2009">
        <f>E2009-F2009</f>
        <v/>
      </c>
      <c r="H2009">
        <f>Data!P2107</f>
        <v/>
      </c>
      <c r="I2009">
        <f>G2009+H2009</f>
        <v/>
      </c>
      <c r="J2009">
        <f>F2009+G2009+H2009</f>
        <v/>
      </c>
      <c r="K2009">
        <f>Data!R2107</f>
        <v/>
      </c>
      <c r="L2009">
        <f>Data!T2107</f>
        <v/>
      </c>
      <c r="M2009">
        <f>AND(E2009=0,F2009=0,G2009=0,H2009=0,I2009=0,J2009=0,K2009=0,L2009=0)</f>
        <v/>
      </c>
      <c r="N2009">
        <f>G2009&lt;=$T$6</f>
        <v/>
      </c>
      <c r="O2009">
        <f>G2009&lt;=$T$12</f>
        <v/>
      </c>
      <c r="P2009">
        <f>OR(AND(H2009&gt;=$T$4,K2009&lt;=$T$5,N2009),M2009)</f>
        <v/>
      </c>
      <c r="Q2009">
        <f>OR(AND(I2009&gt;=$T$10,K2009&lt;=$T$11,O2009),M2009)</f>
        <v/>
      </c>
    </row>
    <row r="2010">
      <c r="A2010">
        <f>Data!E2108</f>
        <v/>
      </c>
      <c r="B2010">
        <f>Data!G2108</f>
        <v/>
      </c>
      <c r="C2010">
        <f>Data!H2108</f>
        <v/>
      </c>
      <c r="D2010">
        <f>Data!I2108</f>
        <v/>
      </c>
      <c r="E2010">
        <f>Data!M2108</f>
        <v/>
      </c>
      <c r="F2010">
        <f>Data!O2108</f>
        <v/>
      </c>
      <c r="G2010">
        <f>E2010-F2010</f>
        <v/>
      </c>
      <c r="H2010">
        <f>Data!P2108</f>
        <v/>
      </c>
      <c r="I2010">
        <f>G2010+H2010</f>
        <v/>
      </c>
      <c r="J2010">
        <f>F2010+G2010+H2010</f>
        <v/>
      </c>
      <c r="K2010">
        <f>Data!R2108</f>
        <v/>
      </c>
      <c r="L2010">
        <f>Data!T2108</f>
        <v/>
      </c>
      <c r="M2010">
        <f>AND(E2010=0,F2010=0,G2010=0,H2010=0,I2010=0,J2010=0,K2010=0,L2010=0)</f>
        <v/>
      </c>
      <c r="N2010">
        <f>G2010&lt;=$T$6</f>
        <v/>
      </c>
      <c r="O2010">
        <f>G2010&lt;=$T$12</f>
        <v/>
      </c>
      <c r="P2010">
        <f>OR(AND(H2010&gt;=$T$4,K2010&lt;=$T$5,N2010),M2010)</f>
        <v/>
      </c>
      <c r="Q2010">
        <f>OR(AND(I2010&gt;=$T$10,K2010&lt;=$T$11,O2010),M2010)</f>
        <v/>
      </c>
    </row>
    <row r="2011">
      <c r="A2011">
        <f>Data!E2109</f>
        <v/>
      </c>
      <c r="B2011">
        <f>Data!G2109</f>
        <v/>
      </c>
      <c r="C2011">
        <f>Data!H2109</f>
        <v/>
      </c>
      <c r="D2011">
        <f>Data!I2109</f>
        <v/>
      </c>
      <c r="E2011">
        <f>Data!M2109</f>
        <v/>
      </c>
      <c r="F2011">
        <f>Data!O2109</f>
        <v/>
      </c>
      <c r="G2011">
        <f>E2011-F2011</f>
        <v/>
      </c>
      <c r="H2011">
        <f>Data!P2109</f>
        <v/>
      </c>
      <c r="I2011">
        <f>G2011+H2011</f>
        <v/>
      </c>
      <c r="J2011">
        <f>F2011+G2011+H2011</f>
        <v/>
      </c>
      <c r="K2011">
        <f>Data!R2109</f>
        <v/>
      </c>
      <c r="L2011">
        <f>Data!T2109</f>
        <v/>
      </c>
      <c r="M2011">
        <f>AND(E2011=0,F2011=0,G2011=0,H2011=0,I2011=0,J2011=0,K2011=0,L2011=0)</f>
        <v/>
      </c>
      <c r="N2011">
        <f>G2011&lt;=$T$6</f>
        <v/>
      </c>
      <c r="O2011">
        <f>G2011&lt;=$T$12</f>
        <v/>
      </c>
      <c r="P2011">
        <f>OR(AND(H2011&gt;=$T$4,K2011&lt;=$T$5,N2011),M2011)</f>
        <v/>
      </c>
      <c r="Q2011">
        <f>OR(AND(I2011&gt;=$T$10,K2011&lt;=$T$11,O2011),M2011)</f>
        <v/>
      </c>
    </row>
    <row r="2012">
      <c r="A2012">
        <f>Data!E2110</f>
        <v/>
      </c>
      <c r="B2012">
        <f>Data!G2110</f>
        <v/>
      </c>
      <c r="C2012">
        <f>Data!H2110</f>
        <v/>
      </c>
      <c r="D2012">
        <f>Data!I2110</f>
        <v/>
      </c>
      <c r="E2012">
        <f>Data!M2110</f>
        <v/>
      </c>
      <c r="F2012">
        <f>Data!O2110</f>
        <v/>
      </c>
      <c r="G2012">
        <f>E2012-F2012</f>
        <v/>
      </c>
      <c r="H2012">
        <f>Data!P2110</f>
        <v/>
      </c>
      <c r="I2012">
        <f>G2012+H2012</f>
        <v/>
      </c>
      <c r="J2012">
        <f>F2012+G2012+H2012</f>
        <v/>
      </c>
      <c r="K2012">
        <f>Data!R2110</f>
        <v/>
      </c>
      <c r="L2012">
        <f>Data!T2110</f>
        <v/>
      </c>
      <c r="M2012">
        <f>AND(E2012=0,F2012=0,G2012=0,H2012=0,I2012=0,J2012=0,K2012=0,L2012=0)</f>
        <v/>
      </c>
      <c r="N2012">
        <f>G2012&lt;=$T$6</f>
        <v/>
      </c>
      <c r="O2012">
        <f>G2012&lt;=$T$12</f>
        <v/>
      </c>
      <c r="P2012">
        <f>OR(AND(H2012&gt;=$T$4,K2012&lt;=$T$5,N2012),M2012)</f>
        <v/>
      </c>
      <c r="Q2012">
        <f>OR(AND(I2012&gt;=$T$10,K2012&lt;=$T$11,O2012),M2012)</f>
        <v/>
      </c>
    </row>
    <row r="2013">
      <c r="A2013">
        <f>Data!E2111</f>
        <v/>
      </c>
      <c r="B2013">
        <f>Data!G2111</f>
        <v/>
      </c>
      <c r="C2013">
        <f>Data!H2111</f>
        <v/>
      </c>
      <c r="D2013">
        <f>Data!I2111</f>
        <v/>
      </c>
      <c r="E2013">
        <f>Data!M2111</f>
        <v/>
      </c>
      <c r="F2013">
        <f>Data!O2111</f>
        <v/>
      </c>
      <c r="G2013">
        <f>E2013-F2013</f>
        <v/>
      </c>
      <c r="H2013">
        <f>Data!P2111</f>
        <v/>
      </c>
      <c r="I2013">
        <f>G2013+H2013</f>
        <v/>
      </c>
      <c r="J2013">
        <f>F2013+G2013+H2013</f>
        <v/>
      </c>
      <c r="K2013">
        <f>Data!R2111</f>
        <v/>
      </c>
      <c r="L2013">
        <f>Data!T2111</f>
        <v/>
      </c>
      <c r="M2013">
        <f>AND(E2013=0,F2013=0,G2013=0,H2013=0,I2013=0,J2013=0,K2013=0,L2013=0)</f>
        <v/>
      </c>
      <c r="N2013">
        <f>G2013&lt;=$T$6</f>
        <v/>
      </c>
      <c r="O2013">
        <f>G2013&lt;=$T$12</f>
        <v/>
      </c>
      <c r="P2013">
        <f>OR(AND(H2013&gt;=$T$4,K2013&lt;=$T$5,N2013),M2013)</f>
        <v/>
      </c>
      <c r="Q2013">
        <f>OR(AND(I2013&gt;=$T$10,K2013&lt;=$T$11,O2013),M2013)</f>
        <v/>
      </c>
    </row>
    <row r="2014">
      <c r="A2014">
        <f>Data!E2112</f>
        <v/>
      </c>
      <c r="B2014">
        <f>Data!G2112</f>
        <v/>
      </c>
      <c r="C2014">
        <f>Data!H2112</f>
        <v/>
      </c>
      <c r="D2014">
        <f>Data!I2112</f>
        <v/>
      </c>
      <c r="E2014">
        <f>Data!M2112</f>
        <v/>
      </c>
      <c r="F2014">
        <f>Data!O2112</f>
        <v/>
      </c>
      <c r="G2014">
        <f>E2014-F2014</f>
        <v/>
      </c>
      <c r="H2014">
        <f>Data!P2112</f>
        <v/>
      </c>
      <c r="I2014">
        <f>G2014+H2014</f>
        <v/>
      </c>
      <c r="J2014">
        <f>F2014+G2014+H2014</f>
        <v/>
      </c>
      <c r="K2014">
        <f>Data!R2112</f>
        <v/>
      </c>
      <c r="L2014">
        <f>Data!T2112</f>
        <v/>
      </c>
      <c r="M2014">
        <f>AND(E2014=0,F2014=0,G2014=0,H2014=0,I2014=0,J2014=0,K2014=0,L2014=0)</f>
        <v/>
      </c>
      <c r="N2014">
        <f>G2014&lt;=$T$6</f>
        <v/>
      </c>
      <c r="O2014">
        <f>G2014&lt;=$T$12</f>
        <v/>
      </c>
      <c r="P2014">
        <f>OR(AND(H2014&gt;=$T$4,K2014&lt;=$T$5,N2014),M2014)</f>
        <v/>
      </c>
      <c r="Q2014">
        <f>OR(AND(I2014&gt;=$T$10,K2014&lt;=$T$11,O2014),M2014)</f>
        <v/>
      </c>
    </row>
    <row r="2015">
      <c r="A2015">
        <f>Data!E2113</f>
        <v/>
      </c>
      <c r="B2015">
        <f>Data!G2113</f>
        <v/>
      </c>
      <c r="C2015">
        <f>Data!H2113</f>
        <v/>
      </c>
      <c r="D2015">
        <f>Data!I2113</f>
        <v/>
      </c>
      <c r="E2015">
        <f>Data!M2113</f>
        <v/>
      </c>
      <c r="F2015">
        <f>Data!O2113</f>
        <v/>
      </c>
      <c r="G2015">
        <f>E2015-F2015</f>
        <v/>
      </c>
      <c r="H2015">
        <f>Data!P2113</f>
        <v/>
      </c>
      <c r="I2015">
        <f>G2015+H2015</f>
        <v/>
      </c>
      <c r="J2015">
        <f>F2015+G2015+H2015</f>
        <v/>
      </c>
      <c r="K2015">
        <f>Data!R2113</f>
        <v/>
      </c>
      <c r="L2015">
        <f>Data!T2113</f>
        <v/>
      </c>
      <c r="M2015">
        <f>AND(E2015=0,F2015=0,G2015=0,H2015=0,I2015=0,J2015=0,K2015=0,L2015=0)</f>
        <v/>
      </c>
      <c r="N2015">
        <f>G2015&lt;=$T$6</f>
        <v/>
      </c>
      <c r="O2015">
        <f>G2015&lt;=$T$12</f>
        <v/>
      </c>
      <c r="P2015">
        <f>OR(AND(H2015&gt;=$T$4,K2015&lt;=$T$5,N2015),M2015)</f>
        <v/>
      </c>
      <c r="Q2015">
        <f>OR(AND(I2015&gt;=$T$10,K2015&lt;=$T$11,O2015),M2015)</f>
        <v/>
      </c>
    </row>
    <row r="2016">
      <c r="A2016">
        <f>Data!E2114</f>
        <v/>
      </c>
      <c r="B2016">
        <f>Data!G2114</f>
        <v/>
      </c>
      <c r="C2016">
        <f>Data!H2114</f>
        <v/>
      </c>
      <c r="D2016">
        <f>Data!I2114</f>
        <v/>
      </c>
      <c r="E2016">
        <f>Data!M2114</f>
        <v/>
      </c>
      <c r="F2016">
        <f>Data!O2114</f>
        <v/>
      </c>
      <c r="G2016">
        <f>E2016-F2016</f>
        <v/>
      </c>
      <c r="H2016">
        <f>Data!P2114</f>
        <v/>
      </c>
      <c r="I2016">
        <f>G2016+H2016</f>
        <v/>
      </c>
      <c r="J2016">
        <f>F2016+G2016+H2016</f>
        <v/>
      </c>
      <c r="K2016">
        <f>Data!R2114</f>
        <v/>
      </c>
      <c r="L2016">
        <f>Data!T2114</f>
        <v/>
      </c>
      <c r="M2016">
        <f>AND(E2016=0,F2016=0,G2016=0,H2016=0,I2016=0,J2016=0,K2016=0,L2016=0)</f>
        <v/>
      </c>
      <c r="N2016">
        <f>G2016&lt;=$T$6</f>
        <v/>
      </c>
      <c r="O2016">
        <f>G2016&lt;=$T$12</f>
        <v/>
      </c>
      <c r="P2016">
        <f>OR(AND(H2016&gt;=$T$4,K2016&lt;=$T$5,N2016),M2016)</f>
        <v/>
      </c>
      <c r="Q2016">
        <f>OR(AND(I2016&gt;=$T$10,K2016&lt;=$T$11,O2016),M2016)</f>
        <v/>
      </c>
    </row>
    <row r="2017">
      <c r="A2017">
        <f>Data!E2116</f>
        <v/>
      </c>
      <c r="B2017">
        <f>Data!G2116</f>
        <v/>
      </c>
      <c r="C2017">
        <f>Data!H2116</f>
        <v/>
      </c>
      <c r="D2017">
        <f>Data!I2116</f>
        <v/>
      </c>
      <c r="E2017">
        <f>Data!M2116</f>
        <v/>
      </c>
      <c r="F2017">
        <f>Data!O2116</f>
        <v/>
      </c>
      <c r="G2017">
        <f>E2017-F2017</f>
        <v/>
      </c>
      <c r="H2017">
        <f>Data!P2116</f>
        <v/>
      </c>
      <c r="I2017">
        <f>G2017+H2017</f>
        <v/>
      </c>
      <c r="J2017">
        <f>F2017+G2017+H2017</f>
        <v/>
      </c>
      <c r="K2017">
        <f>Data!R2116</f>
        <v/>
      </c>
      <c r="L2017">
        <f>Data!T2116</f>
        <v/>
      </c>
      <c r="M2017">
        <f>AND(E2017=0,F2017=0,G2017=0,H2017=0,I2017=0,J2017=0,K2017=0,L2017=0)</f>
        <v/>
      </c>
      <c r="N2017">
        <f>G2017&lt;=$T$6</f>
        <v/>
      </c>
      <c r="O2017">
        <f>G2017&lt;=$T$12</f>
        <v/>
      </c>
      <c r="P2017">
        <f>OR(AND(H2017&gt;=$T$4,K2017&lt;=$T$5,N2017),M2017)</f>
        <v/>
      </c>
      <c r="Q2017">
        <f>OR(AND(I2017&gt;=$T$10,K2017&lt;=$T$11,O2017),M2017)</f>
        <v/>
      </c>
    </row>
    <row r="2018">
      <c r="A2018">
        <f>Data!E2117</f>
        <v/>
      </c>
      <c r="B2018">
        <f>Data!G2117</f>
        <v/>
      </c>
      <c r="C2018">
        <f>Data!H2117</f>
        <v/>
      </c>
      <c r="D2018">
        <f>Data!I2117</f>
        <v/>
      </c>
      <c r="E2018">
        <f>Data!M2117</f>
        <v/>
      </c>
      <c r="F2018">
        <f>Data!O2117</f>
        <v/>
      </c>
      <c r="G2018">
        <f>E2018-F2018</f>
        <v/>
      </c>
      <c r="H2018">
        <f>Data!P2117</f>
        <v/>
      </c>
      <c r="I2018">
        <f>G2018+H2018</f>
        <v/>
      </c>
      <c r="J2018">
        <f>F2018+G2018+H2018</f>
        <v/>
      </c>
      <c r="K2018">
        <f>Data!R2117</f>
        <v/>
      </c>
      <c r="L2018">
        <f>Data!T2117</f>
        <v/>
      </c>
      <c r="M2018">
        <f>AND(E2018=0,F2018=0,G2018=0,H2018=0,I2018=0,J2018=0,K2018=0,L2018=0)</f>
        <v/>
      </c>
      <c r="N2018">
        <f>G2018&lt;=$T$6</f>
        <v/>
      </c>
      <c r="O2018">
        <f>G2018&lt;=$T$12</f>
        <v/>
      </c>
      <c r="P2018">
        <f>OR(AND(H2018&gt;=$T$4,K2018&lt;=$T$5,N2018),M2018)</f>
        <v/>
      </c>
      <c r="Q2018">
        <f>OR(AND(I2018&gt;=$T$10,K2018&lt;=$T$11,O2018),M2018)</f>
        <v/>
      </c>
    </row>
    <row r="2019">
      <c r="A2019">
        <f>Data!E2118</f>
        <v/>
      </c>
      <c r="B2019">
        <f>Data!G2118</f>
        <v/>
      </c>
      <c r="C2019">
        <f>Data!H2118</f>
        <v/>
      </c>
      <c r="D2019">
        <f>Data!I2118</f>
        <v/>
      </c>
      <c r="E2019">
        <f>Data!M2118</f>
        <v/>
      </c>
      <c r="F2019">
        <f>Data!O2118</f>
        <v/>
      </c>
      <c r="G2019">
        <f>E2019-F2019</f>
        <v/>
      </c>
      <c r="H2019">
        <f>Data!P2118</f>
        <v/>
      </c>
      <c r="I2019">
        <f>G2019+H2019</f>
        <v/>
      </c>
      <c r="J2019">
        <f>F2019+G2019+H2019</f>
        <v/>
      </c>
      <c r="K2019">
        <f>Data!R2118</f>
        <v/>
      </c>
      <c r="L2019">
        <f>Data!T2118</f>
        <v/>
      </c>
      <c r="M2019">
        <f>AND(E2019=0,F2019=0,G2019=0,H2019=0,I2019=0,J2019=0,K2019=0,L2019=0)</f>
        <v/>
      </c>
      <c r="N2019">
        <f>G2019&lt;=$T$6</f>
        <v/>
      </c>
      <c r="O2019">
        <f>G2019&lt;=$T$12</f>
        <v/>
      </c>
      <c r="P2019">
        <f>OR(AND(H2019&gt;=$T$4,K2019&lt;=$T$5,N2019),M2019)</f>
        <v/>
      </c>
      <c r="Q2019">
        <f>OR(AND(I2019&gt;=$T$10,K2019&lt;=$T$11,O2019),M2019)</f>
        <v/>
      </c>
    </row>
    <row r="2020">
      <c r="A2020">
        <f>Data!E2119</f>
        <v/>
      </c>
      <c r="B2020">
        <f>Data!G2119</f>
        <v/>
      </c>
      <c r="C2020">
        <f>Data!H2119</f>
        <v/>
      </c>
      <c r="D2020">
        <f>Data!I2119</f>
        <v/>
      </c>
      <c r="E2020">
        <f>Data!M2119</f>
        <v/>
      </c>
      <c r="F2020">
        <f>Data!O2119</f>
        <v/>
      </c>
      <c r="G2020">
        <f>E2020-F2020</f>
        <v/>
      </c>
      <c r="H2020">
        <f>Data!P2119</f>
        <v/>
      </c>
      <c r="I2020">
        <f>G2020+H2020</f>
        <v/>
      </c>
      <c r="J2020">
        <f>F2020+G2020+H2020</f>
        <v/>
      </c>
      <c r="K2020">
        <f>Data!R2119</f>
        <v/>
      </c>
      <c r="L2020">
        <f>Data!T2119</f>
        <v/>
      </c>
      <c r="M2020">
        <f>AND(E2020=0,F2020=0,G2020=0,H2020=0,I2020=0,J2020=0,K2020=0,L2020=0)</f>
        <v/>
      </c>
      <c r="N2020">
        <f>G2020&lt;=$T$6</f>
        <v/>
      </c>
      <c r="O2020">
        <f>G2020&lt;=$T$12</f>
        <v/>
      </c>
      <c r="P2020">
        <f>OR(AND(H2020&gt;=$T$4,K2020&lt;=$T$5,N2020),M2020)</f>
        <v/>
      </c>
      <c r="Q2020">
        <f>OR(AND(I2020&gt;=$T$10,K2020&lt;=$T$11,O2020),M2020)</f>
        <v/>
      </c>
    </row>
    <row r="2021">
      <c r="A2021">
        <f>Data!E2120</f>
        <v/>
      </c>
      <c r="B2021">
        <f>Data!G2120</f>
        <v/>
      </c>
      <c r="C2021">
        <f>Data!H2120</f>
        <v/>
      </c>
      <c r="D2021">
        <f>Data!I2120</f>
        <v/>
      </c>
      <c r="E2021">
        <f>Data!M2120</f>
        <v/>
      </c>
      <c r="F2021">
        <f>Data!O2120</f>
        <v/>
      </c>
      <c r="G2021">
        <f>E2021-F2021</f>
        <v/>
      </c>
      <c r="H2021">
        <f>Data!P2120</f>
        <v/>
      </c>
      <c r="I2021">
        <f>G2021+H2021</f>
        <v/>
      </c>
      <c r="J2021">
        <f>F2021+G2021+H2021</f>
        <v/>
      </c>
      <c r="K2021">
        <f>Data!R2120</f>
        <v/>
      </c>
      <c r="L2021">
        <f>Data!T2120</f>
        <v/>
      </c>
      <c r="M2021">
        <f>AND(E2021=0,F2021=0,G2021=0,H2021=0,I2021=0,J2021=0,K2021=0,L2021=0)</f>
        <v/>
      </c>
      <c r="N2021">
        <f>G2021&lt;=$T$6</f>
        <v/>
      </c>
      <c r="O2021">
        <f>G2021&lt;=$T$12</f>
        <v/>
      </c>
      <c r="P2021">
        <f>OR(AND(H2021&gt;=$T$4,K2021&lt;=$T$5,N2021),M2021)</f>
        <v/>
      </c>
      <c r="Q2021">
        <f>OR(AND(I2021&gt;=$T$10,K2021&lt;=$T$11,O2021),M2021)</f>
        <v/>
      </c>
    </row>
    <row r="2022">
      <c r="A2022">
        <f>Data!E2121</f>
        <v/>
      </c>
      <c r="B2022">
        <f>Data!G2121</f>
        <v/>
      </c>
      <c r="C2022">
        <f>Data!H2121</f>
        <v/>
      </c>
      <c r="D2022">
        <f>Data!I2121</f>
        <v/>
      </c>
      <c r="E2022">
        <f>Data!M2121</f>
        <v/>
      </c>
      <c r="F2022">
        <f>Data!O2121</f>
        <v/>
      </c>
      <c r="G2022">
        <f>E2022-F2022</f>
        <v/>
      </c>
      <c r="H2022">
        <f>Data!P2121</f>
        <v/>
      </c>
      <c r="I2022">
        <f>G2022+H2022</f>
        <v/>
      </c>
      <c r="J2022">
        <f>F2022+G2022+H2022</f>
        <v/>
      </c>
      <c r="K2022">
        <f>Data!R2121</f>
        <v/>
      </c>
      <c r="L2022">
        <f>Data!T2121</f>
        <v/>
      </c>
      <c r="M2022">
        <f>AND(E2022=0,F2022=0,G2022=0,H2022=0,I2022=0,J2022=0,K2022=0,L2022=0)</f>
        <v/>
      </c>
      <c r="N2022">
        <f>G2022&lt;=$T$6</f>
        <v/>
      </c>
      <c r="O2022">
        <f>G2022&lt;=$T$12</f>
        <v/>
      </c>
      <c r="P2022">
        <f>OR(AND(H2022&gt;=$T$4,K2022&lt;=$T$5,N2022),M2022)</f>
        <v/>
      </c>
      <c r="Q2022">
        <f>OR(AND(I2022&gt;=$T$10,K2022&lt;=$T$11,O2022),M2022)</f>
        <v/>
      </c>
    </row>
    <row r="2023">
      <c r="A2023">
        <f>Data!E2122</f>
        <v/>
      </c>
      <c r="B2023">
        <f>Data!G2122</f>
        <v/>
      </c>
      <c r="C2023">
        <f>Data!H2122</f>
        <v/>
      </c>
      <c r="D2023">
        <f>Data!I2122</f>
        <v/>
      </c>
      <c r="E2023">
        <f>Data!M2122</f>
        <v/>
      </c>
      <c r="F2023">
        <f>Data!O2122</f>
        <v/>
      </c>
      <c r="G2023">
        <f>E2023-F2023</f>
        <v/>
      </c>
      <c r="H2023">
        <f>Data!P2122</f>
        <v/>
      </c>
      <c r="I2023">
        <f>G2023+H2023</f>
        <v/>
      </c>
      <c r="J2023">
        <f>F2023+G2023+H2023</f>
        <v/>
      </c>
      <c r="K2023">
        <f>Data!R2122</f>
        <v/>
      </c>
      <c r="L2023">
        <f>Data!T2122</f>
        <v/>
      </c>
      <c r="M2023">
        <f>AND(E2023=0,F2023=0,G2023=0,H2023=0,I2023=0,J2023=0,K2023=0,L2023=0)</f>
        <v/>
      </c>
      <c r="N2023">
        <f>G2023&lt;=$T$6</f>
        <v/>
      </c>
      <c r="O2023">
        <f>G2023&lt;=$T$12</f>
        <v/>
      </c>
      <c r="P2023">
        <f>OR(AND(H2023&gt;=$T$4,K2023&lt;=$T$5,N2023),M2023)</f>
        <v/>
      </c>
      <c r="Q2023">
        <f>OR(AND(I2023&gt;=$T$10,K2023&lt;=$T$11,O2023),M2023)</f>
        <v/>
      </c>
    </row>
    <row r="2024">
      <c r="A2024">
        <f>Data!E2123</f>
        <v/>
      </c>
      <c r="B2024">
        <f>Data!G2123</f>
        <v/>
      </c>
      <c r="C2024">
        <f>Data!H2123</f>
        <v/>
      </c>
      <c r="D2024">
        <f>Data!I2123</f>
        <v/>
      </c>
      <c r="E2024">
        <f>Data!M2123</f>
        <v/>
      </c>
      <c r="F2024">
        <f>Data!O2123</f>
        <v/>
      </c>
      <c r="G2024">
        <f>E2024-F2024</f>
        <v/>
      </c>
      <c r="H2024">
        <f>Data!P2123</f>
        <v/>
      </c>
      <c r="I2024">
        <f>G2024+H2024</f>
        <v/>
      </c>
      <c r="J2024">
        <f>F2024+G2024+H2024</f>
        <v/>
      </c>
      <c r="K2024">
        <f>Data!R2123</f>
        <v/>
      </c>
      <c r="L2024">
        <f>Data!T2123</f>
        <v/>
      </c>
      <c r="M2024">
        <f>AND(E2024=0,F2024=0,G2024=0,H2024=0,I2024=0,J2024=0,K2024=0,L2024=0)</f>
        <v/>
      </c>
      <c r="N2024">
        <f>G2024&lt;=$T$6</f>
        <v/>
      </c>
      <c r="O2024">
        <f>G2024&lt;=$T$12</f>
        <v/>
      </c>
      <c r="P2024">
        <f>OR(AND(H2024&gt;=$T$4,K2024&lt;=$T$5,N2024),M2024)</f>
        <v/>
      </c>
      <c r="Q2024">
        <f>OR(AND(I2024&gt;=$T$10,K2024&lt;=$T$11,O2024),M2024)</f>
        <v/>
      </c>
    </row>
    <row r="2025">
      <c r="A2025">
        <f>Data!E2124</f>
        <v/>
      </c>
      <c r="B2025">
        <f>Data!G2124</f>
        <v/>
      </c>
      <c r="C2025">
        <f>Data!H2124</f>
        <v/>
      </c>
      <c r="D2025">
        <f>Data!I2124</f>
        <v/>
      </c>
      <c r="E2025">
        <f>Data!M2124</f>
        <v/>
      </c>
      <c r="F2025">
        <f>Data!O2124</f>
        <v/>
      </c>
      <c r="G2025">
        <f>E2025-F2025</f>
        <v/>
      </c>
      <c r="H2025">
        <f>Data!P2124</f>
        <v/>
      </c>
      <c r="I2025">
        <f>G2025+H2025</f>
        <v/>
      </c>
      <c r="J2025">
        <f>F2025+G2025+H2025</f>
        <v/>
      </c>
      <c r="K2025">
        <f>Data!R2124</f>
        <v/>
      </c>
      <c r="L2025">
        <f>Data!T2124</f>
        <v/>
      </c>
      <c r="M2025">
        <f>AND(E2025=0,F2025=0,G2025=0,H2025=0,I2025=0,J2025=0,K2025=0,L2025=0)</f>
        <v/>
      </c>
      <c r="N2025">
        <f>G2025&lt;=$T$6</f>
        <v/>
      </c>
      <c r="O2025">
        <f>G2025&lt;=$T$12</f>
        <v/>
      </c>
      <c r="P2025">
        <f>OR(AND(H2025&gt;=$T$4,K2025&lt;=$T$5,N2025),M2025)</f>
        <v/>
      </c>
      <c r="Q2025">
        <f>OR(AND(I2025&gt;=$T$10,K2025&lt;=$T$11,O2025),M2025)</f>
        <v/>
      </c>
    </row>
    <row r="2026">
      <c r="A2026">
        <f>Data!E2125</f>
        <v/>
      </c>
      <c r="B2026">
        <f>Data!G2125</f>
        <v/>
      </c>
      <c r="C2026">
        <f>Data!H2125</f>
        <v/>
      </c>
      <c r="D2026">
        <f>Data!I2125</f>
        <v/>
      </c>
      <c r="E2026">
        <f>Data!M2125</f>
        <v/>
      </c>
      <c r="F2026">
        <f>Data!O2125</f>
        <v/>
      </c>
      <c r="G2026">
        <f>E2026-F2026</f>
        <v/>
      </c>
      <c r="H2026">
        <f>Data!P2125</f>
        <v/>
      </c>
      <c r="I2026">
        <f>G2026+H2026</f>
        <v/>
      </c>
      <c r="J2026">
        <f>F2026+G2026+H2026</f>
        <v/>
      </c>
      <c r="K2026">
        <f>Data!R2125</f>
        <v/>
      </c>
      <c r="L2026">
        <f>Data!T2125</f>
        <v/>
      </c>
      <c r="M2026">
        <f>AND(E2026=0,F2026=0,G2026=0,H2026=0,I2026=0,J2026=0,K2026=0,L2026=0)</f>
        <v/>
      </c>
      <c r="N2026">
        <f>G2026&lt;=$T$6</f>
        <v/>
      </c>
      <c r="O2026">
        <f>G2026&lt;=$T$12</f>
        <v/>
      </c>
      <c r="P2026">
        <f>OR(AND(H2026&gt;=$T$4,K2026&lt;=$T$5,N2026),M2026)</f>
        <v/>
      </c>
      <c r="Q2026">
        <f>OR(AND(I2026&gt;=$T$10,K2026&lt;=$T$11,O2026),M2026)</f>
        <v/>
      </c>
    </row>
    <row r="2027">
      <c r="A2027">
        <f>Data!E2126</f>
        <v/>
      </c>
      <c r="B2027">
        <f>Data!G2126</f>
        <v/>
      </c>
      <c r="C2027">
        <f>Data!H2126</f>
        <v/>
      </c>
      <c r="D2027">
        <f>Data!I2126</f>
        <v/>
      </c>
      <c r="E2027">
        <f>Data!M2126</f>
        <v/>
      </c>
      <c r="F2027">
        <f>Data!O2126</f>
        <v/>
      </c>
      <c r="G2027">
        <f>E2027-F2027</f>
        <v/>
      </c>
      <c r="H2027">
        <f>Data!P2126</f>
        <v/>
      </c>
      <c r="I2027">
        <f>G2027+H2027</f>
        <v/>
      </c>
      <c r="J2027">
        <f>F2027+G2027+H2027</f>
        <v/>
      </c>
      <c r="K2027">
        <f>Data!R2126</f>
        <v/>
      </c>
      <c r="L2027">
        <f>Data!T2126</f>
        <v/>
      </c>
      <c r="M2027">
        <f>AND(E2027=0,F2027=0,G2027=0,H2027=0,I2027=0,J2027=0,K2027=0,L2027=0)</f>
        <v/>
      </c>
      <c r="N2027">
        <f>G2027&lt;=$T$6</f>
        <v/>
      </c>
      <c r="O2027">
        <f>G2027&lt;=$T$12</f>
        <v/>
      </c>
      <c r="P2027">
        <f>OR(AND(H2027&gt;=$T$4,K2027&lt;=$T$5,N2027),M2027)</f>
        <v/>
      </c>
      <c r="Q2027">
        <f>OR(AND(I2027&gt;=$T$10,K2027&lt;=$T$11,O2027),M2027)</f>
        <v/>
      </c>
    </row>
    <row r="2028">
      <c r="A2028">
        <f>Data!E2127</f>
        <v/>
      </c>
      <c r="B2028">
        <f>Data!G2127</f>
        <v/>
      </c>
      <c r="C2028">
        <f>Data!H2127</f>
        <v/>
      </c>
      <c r="D2028">
        <f>Data!I2127</f>
        <v/>
      </c>
      <c r="E2028">
        <f>Data!M2127</f>
        <v/>
      </c>
      <c r="F2028">
        <f>Data!O2127</f>
        <v/>
      </c>
      <c r="G2028">
        <f>E2028-F2028</f>
        <v/>
      </c>
      <c r="H2028">
        <f>Data!P2127</f>
        <v/>
      </c>
      <c r="I2028">
        <f>G2028+H2028</f>
        <v/>
      </c>
      <c r="J2028">
        <f>F2028+G2028+H2028</f>
        <v/>
      </c>
      <c r="K2028">
        <f>Data!R2127</f>
        <v/>
      </c>
      <c r="L2028">
        <f>Data!T2127</f>
        <v/>
      </c>
      <c r="M2028">
        <f>AND(E2028=0,F2028=0,G2028=0,H2028=0,I2028=0,J2028=0,K2028=0,L2028=0)</f>
        <v/>
      </c>
      <c r="N2028">
        <f>G2028&lt;=$T$6</f>
        <v/>
      </c>
      <c r="O2028">
        <f>G2028&lt;=$T$12</f>
        <v/>
      </c>
      <c r="P2028">
        <f>OR(AND(H2028&gt;=$T$4,K2028&lt;=$T$5,N2028),M2028)</f>
        <v/>
      </c>
      <c r="Q2028">
        <f>OR(AND(I2028&gt;=$T$10,K2028&lt;=$T$11,O2028),M2028)</f>
        <v/>
      </c>
    </row>
    <row r="2029">
      <c r="A2029">
        <f>Data!E2128</f>
        <v/>
      </c>
      <c r="B2029">
        <f>Data!G2128</f>
        <v/>
      </c>
      <c r="C2029">
        <f>Data!H2128</f>
        <v/>
      </c>
      <c r="D2029">
        <f>Data!I2128</f>
        <v/>
      </c>
      <c r="E2029">
        <f>Data!M2128</f>
        <v/>
      </c>
      <c r="F2029">
        <f>Data!O2128</f>
        <v/>
      </c>
      <c r="G2029">
        <f>E2029-F2029</f>
        <v/>
      </c>
      <c r="H2029">
        <f>Data!P2128</f>
        <v/>
      </c>
      <c r="I2029">
        <f>G2029+H2029</f>
        <v/>
      </c>
      <c r="J2029">
        <f>F2029+G2029+H2029</f>
        <v/>
      </c>
      <c r="K2029">
        <f>Data!R2128</f>
        <v/>
      </c>
      <c r="L2029">
        <f>Data!T2128</f>
        <v/>
      </c>
      <c r="M2029">
        <f>AND(E2029=0,F2029=0,G2029=0,H2029=0,I2029=0,J2029=0,K2029=0,L2029=0)</f>
        <v/>
      </c>
      <c r="N2029">
        <f>G2029&lt;=$T$6</f>
        <v/>
      </c>
      <c r="O2029">
        <f>G2029&lt;=$T$12</f>
        <v/>
      </c>
      <c r="P2029">
        <f>OR(AND(H2029&gt;=$T$4,K2029&lt;=$T$5,N2029),M2029)</f>
        <v/>
      </c>
      <c r="Q2029">
        <f>OR(AND(I2029&gt;=$T$10,K2029&lt;=$T$11,O2029),M2029)</f>
        <v/>
      </c>
    </row>
    <row r="2030">
      <c r="A2030">
        <f>Data!E2130</f>
        <v/>
      </c>
      <c r="B2030">
        <f>Data!G2130</f>
        <v/>
      </c>
      <c r="C2030">
        <f>Data!H2130</f>
        <v/>
      </c>
      <c r="D2030">
        <f>Data!I2130</f>
        <v/>
      </c>
      <c r="E2030">
        <f>Data!M2130</f>
        <v/>
      </c>
      <c r="F2030">
        <f>Data!O2130</f>
        <v/>
      </c>
      <c r="G2030">
        <f>E2030-F2030</f>
        <v/>
      </c>
      <c r="H2030">
        <f>Data!P2130</f>
        <v/>
      </c>
      <c r="I2030">
        <f>G2030+H2030</f>
        <v/>
      </c>
      <c r="J2030">
        <f>F2030+G2030+H2030</f>
        <v/>
      </c>
      <c r="K2030">
        <f>Data!R2130</f>
        <v/>
      </c>
      <c r="L2030">
        <f>Data!T2130</f>
        <v/>
      </c>
      <c r="M2030">
        <f>AND(E2030=0,F2030=0,G2030=0,H2030=0,I2030=0,J2030=0,K2030=0,L2030=0)</f>
        <v/>
      </c>
      <c r="N2030">
        <f>G2030&lt;=$T$6</f>
        <v/>
      </c>
      <c r="O2030">
        <f>G2030&lt;=$T$12</f>
        <v/>
      </c>
      <c r="P2030">
        <f>OR(AND(H2030&gt;=$T$4,K2030&lt;=$T$5,N2030),M2030)</f>
        <v/>
      </c>
      <c r="Q2030">
        <f>OR(AND(I2030&gt;=$T$10,K2030&lt;=$T$11,O2030),M2030)</f>
        <v/>
      </c>
    </row>
    <row r="2031">
      <c r="A2031">
        <f>Data!E2131</f>
        <v/>
      </c>
      <c r="B2031">
        <f>Data!G2131</f>
        <v/>
      </c>
      <c r="C2031">
        <f>Data!H2131</f>
        <v/>
      </c>
      <c r="D2031">
        <f>Data!I2131</f>
        <v/>
      </c>
      <c r="E2031">
        <f>Data!M2131</f>
        <v/>
      </c>
      <c r="F2031">
        <f>Data!O2131</f>
        <v/>
      </c>
      <c r="G2031">
        <f>E2031-F2031</f>
        <v/>
      </c>
      <c r="H2031">
        <f>Data!P2131</f>
        <v/>
      </c>
      <c r="I2031">
        <f>G2031+H2031</f>
        <v/>
      </c>
      <c r="J2031">
        <f>F2031+G2031+H2031</f>
        <v/>
      </c>
      <c r="K2031">
        <f>Data!R2131</f>
        <v/>
      </c>
      <c r="L2031">
        <f>Data!T2131</f>
        <v/>
      </c>
      <c r="M2031">
        <f>AND(E2031=0,F2031=0,G2031=0,H2031=0,I2031=0,J2031=0,K2031=0,L2031=0)</f>
        <v/>
      </c>
      <c r="N2031">
        <f>G2031&lt;=$T$6</f>
        <v/>
      </c>
      <c r="O2031">
        <f>G2031&lt;=$T$12</f>
        <v/>
      </c>
      <c r="P2031">
        <f>OR(AND(H2031&gt;=$T$4,K2031&lt;=$T$5,N2031),M2031)</f>
        <v/>
      </c>
      <c r="Q2031">
        <f>OR(AND(I2031&gt;=$T$10,K2031&lt;=$T$11,O2031),M2031)</f>
        <v/>
      </c>
    </row>
    <row r="2032">
      <c r="A2032">
        <f>Data!E2132</f>
        <v/>
      </c>
      <c r="B2032">
        <f>Data!G2132</f>
        <v/>
      </c>
      <c r="C2032">
        <f>Data!H2132</f>
        <v/>
      </c>
      <c r="D2032">
        <f>Data!I2132</f>
        <v/>
      </c>
      <c r="E2032">
        <f>Data!M2132</f>
        <v/>
      </c>
      <c r="F2032">
        <f>Data!O2132</f>
        <v/>
      </c>
      <c r="G2032">
        <f>E2032-F2032</f>
        <v/>
      </c>
      <c r="H2032">
        <f>Data!P2132</f>
        <v/>
      </c>
      <c r="I2032">
        <f>G2032+H2032</f>
        <v/>
      </c>
      <c r="J2032">
        <f>F2032+G2032+H2032</f>
        <v/>
      </c>
      <c r="K2032">
        <f>Data!R2132</f>
        <v/>
      </c>
      <c r="L2032">
        <f>Data!T2132</f>
        <v/>
      </c>
      <c r="M2032">
        <f>AND(E2032=0,F2032=0,G2032=0,H2032=0,I2032=0,J2032=0,K2032=0,L2032=0)</f>
        <v/>
      </c>
      <c r="N2032">
        <f>G2032&lt;=$T$6</f>
        <v/>
      </c>
      <c r="O2032">
        <f>G2032&lt;=$T$12</f>
        <v/>
      </c>
      <c r="P2032">
        <f>OR(AND(H2032&gt;=$T$4,K2032&lt;=$T$5,N2032),M2032)</f>
        <v/>
      </c>
      <c r="Q2032">
        <f>OR(AND(I2032&gt;=$T$10,K2032&lt;=$T$11,O2032),M2032)</f>
        <v/>
      </c>
    </row>
    <row r="2033">
      <c r="A2033">
        <f>Data!E2133</f>
        <v/>
      </c>
      <c r="B2033">
        <f>Data!G2133</f>
        <v/>
      </c>
      <c r="C2033">
        <f>Data!H2133</f>
        <v/>
      </c>
      <c r="D2033">
        <f>Data!I2133</f>
        <v/>
      </c>
      <c r="E2033">
        <f>Data!M2133</f>
        <v/>
      </c>
      <c r="F2033">
        <f>Data!O2133</f>
        <v/>
      </c>
      <c r="G2033">
        <f>E2033-F2033</f>
        <v/>
      </c>
      <c r="H2033">
        <f>Data!P2133</f>
        <v/>
      </c>
      <c r="I2033">
        <f>G2033+H2033</f>
        <v/>
      </c>
      <c r="J2033">
        <f>F2033+G2033+H2033</f>
        <v/>
      </c>
      <c r="K2033">
        <f>Data!R2133</f>
        <v/>
      </c>
      <c r="L2033">
        <f>Data!T2133</f>
        <v/>
      </c>
      <c r="M2033">
        <f>AND(E2033=0,F2033=0,G2033=0,H2033=0,I2033=0,J2033=0,K2033=0,L2033=0)</f>
        <v/>
      </c>
      <c r="N2033">
        <f>G2033&lt;=$T$6</f>
        <v/>
      </c>
      <c r="O2033">
        <f>G2033&lt;=$T$12</f>
        <v/>
      </c>
      <c r="P2033">
        <f>OR(AND(H2033&gt;=$T$4,K2033&lt;=$T$5,N2033),M2033)</f>
        <v/>
      </c>
      <c r="Q2033">
        <f>OR(AND(I2033&gt;=$T$10,K2033&lt;=$T$11,O2033),M2033)</f>
        <v/>
      </c>
    </row>
    <row r="2034">
      <c r="A2034">
        <f>Data!E2134</f>
        <v/>
      </c>
      <c r="B2034">
        <f>Data!G2134</f>
        <v/>
      </c>
      <c r="C2034">
        <f>Data!H2134</f>
        <v/>
      </c>
      <c r="D2034">
        <f>Data!I2134</f>
        <v/>
      </c>
      <c r="E2034">
        <f>Data!M2134</f>
        <v/>
      </c>
      <c r="F2034">
        <f>Data!O2134</f>
        <v/>
      </c>
      <c r="G2034">
        <f>E2034-F2034</f>
        <v/>
      </c>
      <c r="H2034">
        <f>Data!P2134</f>
        <v/>
      </c>
      <c r="I2034">
        <f>G2034+H2034</f>
        <v/>
      </c>
      <c r="J2034">
        <f>F2034+G2034+H2034</f>
        <v/>
      </c>
      <c r="K2034">
        <f>Data!R2134</f>
        <v/>
      </c>
      <c r="L2034">
        <f>Data!T2134</f>
        <v/>
      </c>
      <c r="M2034">
        <f>AND(E2034=0,F2034=0,G2034=0,H2034=0,I2034=0,J2034=0,K2034=0,L2034=0)</f>
        <v/>
      </c>
      <c r="N2034">
        <f>G2034&lt;=$T$6</f>
        <v/>
      </c>
      <c r="O2034">
        <f>G2034&lt;=$T$12</f>
        <v/>
      </c>
      <c r="P2034">
        <f>OR(AND(H2034&gt;=$T$4,K2034&lt;=$T$5,N2034),M2034)</f>
        <v/>
      </c>
      <c r="Q2034">
        <f>OR(AND(I2034&gt;=$T$10,K2034&lt;=$T$11,O2034),M2034)</f>
        <v/>
      </c>
    </row>
    <row r="2035">
      <c r="A2035">
        <f>Data!E2135</f>
        <v/>
      </c>
      <c r="B2035">
        <f>Data!G2135</f>
        <v/>
      </c>
      <c r="C2035">
        <f>Data!H2135</f>
        <v/>
      </c>
      <c r="D2035">
        <f>Data!I2135</f>
        <v/>
      </c>
      <c r="E2035">
        <f>Data!M2135</f>
        <v/>
      </c>
      <c r="F2035">
        <f>Data!O2135</f>
        <v/>
      </c>
      <c r="G2035">
        <f>E2035-F2035</f>
        <v/>
      </c>
      <c r="H2035">
        <f>Data!P2135</f>
        <v/>
      </c>
      <c r="I2035">
        <f>G2035+H2035</f>
        <v/>
      </c>
      <c r="J2035">
        <f>F2035+G2035+H2035</f>
        <v/>
      </c>
      <c r="K2035">
        <f>Data!R2135</f>
        <v/>
      </c>
      <c r="L2035">
        <f>Data!T2135</f>
        <v/>
      </c>
      <c r="M2035">
        <f>AND(E2035=0,F2035=0,G2035=0,H2035=0,I2035=0,J2035=0,K2035=0,L2035=0)</f>
        <v/>
      </c>
      <c r="N2035">
        <f>G2035&lt;=$T$6</f>
        <v/>
      </c>
      <c r="O2035">
        <f>G2035&lt;=$T$12</f>
        <v/>
      </c>
      <c r="P2035">
        <f>OR(AND(H2035&gt;=$T$4,K2035&lt;=$T$5,N2035),M2035)</f>
        <v/>
      </c>
      <c r="Q2035">
        <f>OR(AND(I2035&gt;=$T$10,K2035&lt;=$T$11,O2035),M2035)</f>
        <v/>
      </c>
    </row>
    <row r="2036">
      <c r="A2036">
        <f>Data!E2136</f>
        <v/>
      </c>
      <c r="B2036">
        <f>Data!G2136</f>
        <v/>
      </c>
      <c r="C2036">
        <f>Data!H2136</f>
        <v/>
      </c>
      <c r="D2036">
        <f>Data!I2136</f>
        <v/>
      </c>
      <c r="E2036">
        <f>Data!M2136</f>
        <v/>
      </c>
      <c r="F2036">
        <f>Data!O2136</f>
        <v/>
      </c>
      <c r="G2036">
        <f>E2036-F2036</f>
        <v/>
      </c>
      <c r="H2036">
        <f>Data!P2136</f>
        <v/>
      </c>
      <c r="I2036">
        <f>G2036+H2036</f>
        <v/>
      </c>
      <c r="J2036">
        <f>F2036+G2036+H2036</f>
        <v/>
      </c>
      <c r="K2036">
        <f>Data!R2136</f>
        <v/>
      </c>
      <c r="L2036">
        <f>Data!T2136</f>
        <v/>
      </c>
      <c r="M2036">
        <f>AND(E2036=0,F2036=0,G2036=0,H2036=0,I2036=0,J2036=0,K2036=0,L2036=0)</f>
        <v/>
      </c>
      <c r="N2036">
        <f>G2036&lt;=$T$6</f>
        <v/>
      </c>
      <c r="O2036">
        <f>G2036&lt;=$T$12</f>
        <v/>
      </c>
      <c r="P2036">
        <f>OR(AND(H2036&gt;=$T$4,K2036&lt;=$T$5,N2036),M2036)</f>
        <v/>
      </c>
      <c r="Q2036">
        <f>OR(AND(I2036&gt;=$T$10,K2036&lt;=$T$11,O2036),M2036)</f>
        <v/>
      </c>
    </row>
    <row r="2037">
      <c r="A2037">
        <f>Data!E2137</f>
        <v/>
      </c>
      <c r="B2037">
        <f>Data!G2137</f>
        <v/>
      </c>
      <c r="C2037">
        <f>Data!H2137</f>
        <v/>
      </c>
      <c r="D2037">
        <f>Data!I2137</f>
        <v/>
      </c>
      <c r="E2037">
        <f>Data!M2137</f>
        <v/>
      </c>
      <c r="F2037">
        <f>Data!O2137</f>
        <v/>
      </c>
      <c r="G2037">
        <f>E2037-F2037</f>
        <v/>
      </c>
      <c r="H2037">
        <f>Data!P2137</f>
        <v/>
      </c>
      <c r="I2037">
        <f>G2037+H2037</f>
        <v/>
      </c>
      <c r="J2037">
        <f>F2037+G2037+H2037</f>
        <v/>
      </c>
      <c r="K2037">
        <f>Data!R2137</f>
        <v/>
      </c>
      <c r="L2037">
        <f>Data!T2137</f>
        <v/>
      </c>
      <c r="M2037">
        <f>AND(E2037=0,F2037=0,G2037=0,H2037=0,I2037=0,J2037=0,K2037=0,L2037=0)</f>
        <v/>
      </c>
      <c r="N2037">
        <f>G2037&lt;=$T$6</f>
        <v/>
      </c>
      <c r="O2037">
        <f>G2037&lt;=$T$12</f>
        <v/>
      </c>
      <c r="P2037">
        <f>OR(AND(H2037&gt;=$T$4,K2037&lt;=$T$5,N2037),M2037)</f>
        <v/>
      </c>
      <c r="Q2037">
        <f>OR(AND(I2037&gt;=$T$10,K2037&lt;=$T$11,O2037),M2037)</f>
        <v/>
      </c>
    </row>
    <row r="2038">
      <c r="A2038">
        <f>Data!E2138</f>
        <v/>
      </c>
      <c r="B2038">
        <f>Data!G2138</f>
        <v/>
      </c>
      <c r="C2038">
        <f>Data!H2138</f>
        <v/>
      </c>
      <c r="D2038">
        <f>Data!I2138</f>
        <v/>
      </c>
      <c r="E2038">
        <f>Data!M2138</f>
        <v/>
      </c>
      <c r="F2038">
        <f>Data!O2138</f>
        <v/>
      </c>
      <c r="G2038">
        <f>E2038-F2038</f>
        <v/>
      </c>
      <c r="H2038">
        <f>Data!P2138</f>
        <v/>
      </c>
      <c r="I2038">
        <f>G2038+H2038</f>
        <v/>
      </c>
      <c r="J2038">
        <f>F2038+G2038+H2038</f>
        <v/>
      </c>
      <c r="K2038">
        <f>Data!R2138</f>
        <v/>
      </c>
      <c r="L2038">
        <f>Data!T2138</f>
        <v/>
      </c>
      <c r="M2038">
        <f>AND(E2038=0,F2038=0,G2038=0,H2038=0,I2038=0,J2038=0,K2038=0,L2038=0)</f>
        <v/>
      </c>
      <c r="N2038">
        <f>G2038&lt;=$T$6</f>
        <v/>
      </c>
      <c r="O2038">
        <f>G2038&lt;=$T$12</f>
        <v/>
      </c>
      <c r="P2038">
        <f>OR(AND(H2038&gt;=$T$4,K2038&lt;=$T$5,N2038),M2038)</f>
        <v/>
      </c>
      <c r="Q2038">
        <f>OR(AND(I2038&gt;=$T$10,K2038&lt;=$T$11,O2038),M2038)</f>
        <v/>
      </c>
    </row>
    <row r="2039">
      <c r="A2039">
        <f>Data!E2139</f>
        <v/>
      </c>
      <c r="B2039">
        <f>Data!G2139</f>
        <v/>
      </c>
      <c r="C2039">
        <f>Data!H2139</f>
        <v/>
      </c>
      <c r="D2039">
        <f>Data!I2139</f>
        <v/>
      </c>
      <c r="E2039">
        <f>Data!M2139</f>
        <v/>
      </c>
      <c r="F2039">
        <f>Data!O2139</f>
        <v/>
      </c>
      <c r="G2039">
        <f>E2039-F2039</f>
        <v/>
      </c>
      <c r="H2039">
        <f>Data!P2139</f>
        <v/>
      </c>
      <c r="I2039">
        <f>G2039+H2039</f>
        <v/>
      </c>
      <c r="J2039">
        <f>F2039+G2039+H2039</f>
        <v/>
      </c>
      <c r="K2039">
        <f>Data!R2139</f>
        <v/>
      </c>
      <c r="L2039">
        <f>Data!T2139</f>
        <v/>
      </c>
      <c r="M2039">
        <f>AND(E2039=0,F2039=0,G2039=0,H2039=0,I2039=0,J2039=0,K2039=0,L2039=0)</f>
        <v/>
      </c>
      <c r="N2039">
        <f>G2039&lt;=$T$6</f>
        <v/>
      </c>
      <c r="O2039">
        <f>G2039&lt;=$T$12</f>
        <v/>
      </c>
      <c r="P2039">
        <f>OR(AND(H2039&gt;=$T$4,K2039&lt;=$T$5,N2039),M2039)</f>
        <v/>
      </c>
      <c r="Q2039">
        <f>OR(AND(I2039&gt;=$T$10,K2039&lt;=$T$11,O2039),M2039)</f>
        <v/>
      </c>
    </row>
    <row r="2040">
      <c r="A2040">
        <f>Data!E2140</f>
        <v/>
      </c>
      <c r="B2040">
        <f>Data!G2140</f>
        <v/>
      </c>
      <c r="C2040">
        <f>Data!H2140</f>
        <v/>
      </c>
      <c r="D2040">
        <f>Data!I2140</f>
        <v/>
      </c>
      <c r="E2040">
        <f>Data!M2140</f>
        <v/>
      </c>
      <c r="F2040">
        <f>Data!O2140</f>
        <v/>
      </c>
      <c r="G2040">
        <f>E2040-F2040</f>
        <v/>
      </c>
      <c r="H2040">
        <f>Data!P2140</f>
        <v/>
      </c>
      <c r="I2040">
        <f>G2040+H2040</f>
        <v/>
      </c>
      <c r="J2040">
        <f>F2040+G2040+H2040</f>
        <v/>
      </c>
      <c r="K2040">
        <f>Data!R2140</f>
        <v/>
      </c>
      <c r="L2040">
        <f>Data!T2140</f>
        <v/>
      </c>
      <c r="M2040">
        <f>AND(E2040=0,F2040=0,G2040=0,H2040=0,I2040=0,J2040=0,K2040=0,L2040=0)</f>
        <v/>
      </c>
      <c r="N2040">
        <f>G2040&lt;=$T$6</f>
        <v/>
      </c>
      <c r="O2040">
        <f>G2040&lt;=$T$12</f>
        <v/>
      </c>
      <c r="P2040">
        <f>OR(AND(H2040&gt;=$T$4,K2040&lt;=$T$5,N2040),M2040)</f>
        <v/>
      </c>
      <c r="Q2040">
        <f>OR(AND(I2040&gt;=$T$10,K2040&lt;=$T$11,O2040),M2040)</f>
        <v/>
      </c>
    </row>
    <row r="2041">
      <c r="A2041">
        <f>Data!E2141</f>
        <v/>
      </c>
      <c r="B2041">
        <f>Data!G2141</f>
        <v/>
      </c>
      <c r="C2041">
        <f>Data!H2141</f>
        <v/>
      </c>
      <c r="D2041">
        <f>Data!I2141</f>
        <v/>
      </c>
      <c r="E2041">
        <f>Data!M2141</f>
        <v/>
      </c>
      <c r="F2041">
        <f>Data!O2141</f>
        <v/>
      </c>
      <c r="G2041">
        <f>E2041-F2041</f>
        <v/>
      </c>
      <c r="H2041">
        <f>Data!P2141</f>
        <v/>
      </c>
      <c r="I2041">
        <f>G2041+H2041</f>
        <v/>
      </c>
      <c r="J2041">
        <f>F2041+G2041+H2041</f>
        <v/>
      </c>
      <c r="K2041">
        <f>Data!R2141</f>
        <v/>
      </c>
      <c r="L2041">
        <f>Data!T2141</f>
        <v/>
      </c>
      <c r="M2041">
        <f>AND(E2041=0,F2041=0,G2041=0,H2041=0,I2041=0,J2041=0,K2041=0,L2041=0)</f>
        <v/>
      </c>
      <c r="N2041">
        <f>G2041&lt;=$T$6</f>
        <v/>
      </c>
      <c r="O2041">
        <f>G2041&lt;=$T$12</f>
        <v/>
      </c>
      <c r="P2041">
        <f>OR(AND(H2041&gt;=$T$4,K2041&lt;=$T$5,N2041),M2041)</f>
        <v/>
      </c>
      <c r="Q2041">
        <f>OR(AND(I2041&gt;=$T$10,K2041&lt;=$T$11,O2041),M2041)</f>
        <v/>
      </c>
    </row>
    <row r="2042">
      <c r="A2042">
        <f>Data!E2142</f>
        <v/>
      </c>
      <c r="B2042">
        <f>Data!G2142</f>
        <v/>
      </c>
      <c r="C2042">
        <f>Data!H2142</f>
        <v/>
      </c>
      <c r="D2042">
        <f>Data!I2142</f>
        <v/>
      </c>
      <c r="E2042">
        <f>Data!M2142</f>
        <v/>
      </c>
      <c r="F2042">
        <f>Data!O2142</f>
        <v/>
      </c>
      <c r="G2042">
        <f>E2042-F2042</f>
        <v/>
      </c>
      <c r="H2042">
        <f>Data!P2142</f>
        <v/>
      </c>
      <c r="I2042">
        <f>G2042+H2042</f>
        <v/>
      </c>
      <c r="J2042">
        <f>F2042+G2042+H2042</f>
        <v/>
      </c>
      <c r="K2042">
        <f>Data!R2142</f>
        <v/>
      </c>
      <c r="L2042">
        <f>Data!T2142</f>
        <v/>
      </c>
      <c r="M2042">
        <f>AND(E2042=0,F2042=0,G2042=0,H2042=0,I2042=0,J2042=0,K2042=0,L2042=0)</f>
        <v/>
      </c>
      <c r="N2042">
        <f>G2042&lt;=$T$6</f>
        <v/>
      </c>
      <c r="O2042">
        <f>G2042&lt;=$T$12</f>
        <v/>
      </c>
      <c r="P2042">
        <f>OR(AND(H2042&gt;=$T$4,K2042&lt;=$T$5,N2042),M2042)</f>
        <v/>
      </c>
      <c r="Q2042">
        <f>OR(AND(I2042&gt;=$T$10,K2042&lt;=$T$11,O2042),M2042)</f>
        <v/>
      </c>
    </row>
    <row r="2043">
      <c r="A2043">
        <f>Data!E2143</f>
        <v/>
      </c>
      <c r="B2043">
        <f>Data!G2143</f>
        <v/>
      </c>
      <c r="C2043">
        <f>Data!H2143</f>
        <v/>
      </c>
      <c r="D2043">
        <f>Data!I2143</f>
        <v/>
      </c>
      <c r="E2043">
        <f>Data!M2143</f>
        <v/>
      </c>
      <c r="F2043">
        <f>Data!O2143</f>
        <v/>
      </c>
      <c r="G2043">
        <f>E2043-F2043</f>
        <v/>
      </c>
      <c r="H2043">
        <f>Data!P2143</f>
        <v/>
      </c>
      <c r="I2043">
        <f>G2043+H2043</f>
        <v/>
      </c>
      <c r="J2043">
        <f>F2043+G2043+H2043</f>
        <v/>
      </c>
      <c r="K2043">
        <f>Data!R2143</f>
        <v/>
      </c>
      <c r="L2043">
        <f>Data!T2143</f>
        <v/>
      </c>
      <c r="M2043">
        <f>AND(E2043=0,F2043=0,G2043=0,H2043=0,I2043=0,J2043=0,K2043=0,L2043=0)</f>
        <v/>
      </c>
      <c r="N2043">
        <f>G2043&lt;=$T$6</f>
        <v/>
      </c>
      <c r="O2043">
        <f>G2043&lt;=$T$12</f>
        <v/>
      </c>
      <c r="P2043">
        <f>OR(AND(H2043&gt;=$T$4,K2043&lt;=$T$5,N2043),M2043)</f>
        <v/>
      </c>
      <c r="Q2043">
        <f>OR(AND(I2043&gt;=$T$10,K2043&lt;=$T$11,O2043),M2043)</f>
        <v/>
      </c>
    </row>
    <row r="2044">
      <c r="A2044">
        <f>Data!E2144</f>
        <v/>
      </c>
      <c r="B2044">
        <f>Data!G2144</f>
        <v/>
      </c>
      <c r="C2044">
        <f>Data!H2144</f>
        <v/>
      </c>
      <c r="D2044">
        <f>Data!I2144</f>
        <v/>
      </c>
      <c r="E2044">
        <f>Data!M2144</f>
        <v/>
      </c>
      <c r="F2044">
        <f>Data!O2144</f>
        <v/>
      </c>
      <c r="G2044">
        <f>E2044-F2044</f>
        <v/>
      </c>
      <c r="H2044">
        <f>Data!P2144</f>
        <v/>
      </c>
      <c r="I2044">
        <f>G2044+H2044</f>
        <v/>
      </c>
      <c r="J2044">
        <f>F2044+G2044+H2044</f>
        <v/>
      </c>
      <c r="K2044">
        <f>Data!R2144</f>
        <v/>
      </c>
      <c r="L2044">
        <f>Data!T2144</f>
        <v/>
      </c>
      <c r="M2044">
        <f>AND(E2044=0,F2044=0,G2044=0,H2044=0,I2044=0,J2044=0,K2044=0,L2044=0)</f>
        <v/>
      </c>
      <c r="N2044">
        <f>G2044&lt;=$T$6</f>
        <v/>
      </c>
      <c r="O2044">
        <f>G2044&lt;=$T$12</f>
        <v/>
      </c>
      <c r="P2044">
        <f>OR(AND(H2044&gt;=$T$4,K2044&lt;=$T$5,N2044),M2044)</f>
        <v/>
      </c>
      <c r="Q2044">
        <f>OR(AND(I2044&gt;=$T$10,K2044&lt;=$T$11,O2044),M2044)</f>
        <v/>
      </c>
    </row>
    <row r="2045">
      <c r="A2045">
        <f>Data!E2146</f>
        <v/>
      </c>
      <c r="B2045">
        <f>Data!G2146</f>
        <v/>
      </c>
      <c r="C2045">
        <f>Data!H2146</f>
        <v/>
      </c>
      <c r="D2045">
        <f>Data!I2146</f>
        <v/>
      </c>
      <c r="E2045">
        <f>Data!M2146</f>
        <v/>
      </c>
      <c r="F2045">
        <f>Data!O2146</f>
        <v/>
      </c>
      <c r="G2045">
        <f>E2045-F2045</f>
        <v/>
      </c>
      <c r="H2045">
        <f>Data!P2146</f>
        <v/>
      </c>
      <c r="I2045">
        <f>G2045+H2045</f>
        <v/>
      </c>
      <c r="J2045">
        <f>F2045+G2045+H2045</f>
        <v/>
      </c>
      <c r="K2045">
        <f>Data!R2146</f>
        <v/>
      </c>
      <c r="L2045">
        <f>Data!T2146</f>
        <v/>
      </c>
      <c r="M2045">
        <f>AND(E2045=0,F2045=0,G2045=0,H2045=0,I2045=0,J2045=0,K2045=0,L2045=0)</f>
        <v/>
      </c>
      <c r="N2045">
        <f>G2045&lt;=$T$6</f>
        <v/>
      </c>
      <c r="O2045">
        <f>G2045&lt;=$T$12</f>
        <v/>
      </c>
      <c r="P2045">
        <f>OR(AND(H2045&gt;=$T$4,K2045&lt;=$T$5,N2045),M2045)</f>
        <v/>
      </c>
      <c r="Q2045">
        <f>OR(AND(I2045&gt;=$T$10,K2045&lt;=$T$11,O2045),M2045)</f>
        <v/>
      </c>
    </row>
    <row r="2046">
      <c r="A2046">
        <f>Data!E2147</f>
        <v/>
      </c>
      <c r="B2046">
        <f>Data!G2147</f>
        <v/>
      </c>
      <c r="C2046">
        <f>Data!H2147</f>
        <v/>
      </c>
      <c r="D2046">
        <f>Data!I2147</f>
        <v/>
      </c>
      <c r="E2046">
        <f>Data!M2147</f>
        <v/>
      </c>
      <c r="F2046">
        <f>Data!O2147</f>
        <v/>
      </c>
      <c r="G2046">
        <f>E2046-F2046</f>
        <v/>
      </c>
      <c r="H2046">
        <f>Data!P2147</f>
        <v/>
      </c>
      <c r="I2046">
        <f>G2046+H2046</f>
        <v/>
      </c>
      <c r="J2046">
        <f>F2046+G2046+H2046</f>
        <v/>
      </c>
      <c r="K2046">
        <f>Data!R2147</f>
        <v/>
      </c>
      <c r="L2046">
        <f>Data!T2147</f>
        <v/>
      </c>
      <c r="M2046">
        <f>AND(E2046=0,F2046=0,G2046=0,H2046=0,I2046=0,J2046=0,K2046=0,L2046=0)</f>
        <v/>
      </c>
      <c r="N2046">
        <f>G2046&lt;=$T$6</f>
        <v/>
      </c>
      <c r="O2046">
        <f>G2046&lt;=$T$12</f>
        <v/>
      </c>
      <c r="P2046">
        <f>OR(AND(H2046&gt;=$T$4,K2046&lt;=$T$5,N2046),M2046)</f>
        <v/>
      </c>
      <c r="Q2046">
        <f>OR(AND(I2046&gt;=$T$10,K2046&lt;=$T$11,O2046),M2046)</f>
        <v/>
      </c>
    </row>
    <row r="2047">
      <c r="A2047">
        <f>Data!E2148</f>
        <v/>
      </c>
      <c r="B2047">
        <f>Data!G2148</f>
        <v/>
      </c>
      <c r="C2047">
        <f>Data!H2148</f>
        <v/>
      </c>
      <c r="D2047">
        <f>Data!I2148</f>
        <v/>
      </c>
      <c r="E2047">
        <f>Data!M2148</f>
        <v/>
      </c>
      <c r="F2047">
        <f>Data!O2148</f>
        <v/>
      </c>
      <c r="G2047">
        <f>E2047-F2047</f>
        <v/>
      </c>
      <c r="H2047">
        <f>Data!P2148</f>
        <v/>
      </c>
      <c r="I2047">
        <f>G2047+H2047</f>
        <v/>
      </c>
      <c r="J2047">
        <f>F2047+G2047+H2047</f>
        <v/>
      </c>
      <c r="K2047">
        <f>Data!R2148</f>
        <v/>
      </c>
      <c r="L2047">
        <f>Data!T2148</f>
        <v/>
      </c>
      <c r="M2047">
        <f>AND(E2047=0,F2047=0,G2047=0,H2047=0,I2047=0,J2047=0,K2047=0,L2047=0)</f>
        <v/>
      </c>
      <c r="N2047">
        <f>G2047&lt;=$T$6</f>
        <v/>
      </c>
      <c r="O2047">
        <f>G2047&lt;=$T$12</f>
        <v/>
      </c>
      <c r="P2047">
        <f>OR(AND(H2047&gt;=$T$4,K2047&lt;=$T$5,N2047),M2047)</f>
        <v/>
      </c>
      <c r="Q2047">
        <f>OR(AND(I2047&gt;=$T$10,K2047&lt;=$T$11,O2047),M2047)</f>
        <v/>
      </c>
    </row>
    <row r="2048">
      <c r="A2048">
        <f>Data!E2149</f>
        <v/>
      </c>
      <c r="B2048">
        <f>Data!G2149</f>
        <v/>
      </c>
      <c r="C2048">
        <f>Data!H2149</f>
        <v/>
      </c>
      <c r="D2048">
        <f>Data!I2149</f>
        <v/>
      </c>
      <c r="E2048">
        <f>Data!M2149</f>
        <v/>
      </c>
      <c r="F2048">
        <f>Data!O2149</f>
        <v/>
      </c>
      <c r="G2048">
        <f>E2048-F2048</f>
        <v/>
      </c>
      <c r="H2048">
        <f>Data!P2149</f>
        <v/>
      </c>
      <c r="I2048">
        <f>G2048+H2048</f>
        <v/>
      </c>
      <c r="J2048">
        <f>F2048+G2048+H2048</f>
        <v/>
      </c>
      <c r="K2048">
        <f>Data!R2149</f>
        <v/>
      </c>
      <c r="L2048">
        <f>Data!T2149</f>
        <v/>
      </c>
      <c r="M2048">
        <f>AND(E2048=0,F2048=0,G2048=0,H2048=0,I2048=0,J2048=0,K2048=0,L2048=0)</f>
        <v/>
      </c>
      <c r="N2048">
        <f>G2048&lt;=$T$6</f>
        <v/>
      </c>
      <c r="O2048">
        <f>G2048&lt;=$T$12</f>
        <v/>
      </c>
      <c r="P2048">
        <f>OR(AND(H2048&gt;=$T$4,K2048&lt;=$T$5,N2048),M2048)</f>
        <v/>
      </c>
      <c r="Q2048">
        <f>OR(AND(I2048&gt;=$T$10,K2048&lt;=$T$11,O2048),M2048)</f>
        <v/>
      </c>
    </row>
    <row r="2049">
      <c r="A2049">
        <f>Data!E2150</f>
        <v/>
      </c>
      <c r="B2049">
        <f>Data!G2150</f>
        <v/>
      </c>
      <c r="C2049">
        <f>Data!H2150</f>
        <v/>
      </c>
      <c r="D2049">
        <f>Data!I2150</f>
        <v/>
      </c>
      <c r="E2049">
        <f>Data!M2150</f>
        <v/>
      </c>
      <c r="F2049">
        <f>Data!O2150</f>
        <v/>
      </c>
      <c r="G2049">
        <f>E2049-F2049</f>
        <v/>
      </c>
      <c r="H2049">
        <f>Data!P2150</f>
        <v/>
      </c>
      <c r="I2049">
        <f>G2049+H2049</f>
        <v/>
      </c>
      <c r="J2049">
        <f>F2049+G2049+H2049</f>
        <v/>
      </c>
      <c r="K2049">
        <f>Data!R2150</f>
        <v/>
      </c>
      <c r="L2049">
        <f>Data!T2150</f>
        <v/>
      </c>
      <c r="M2049">
        <f>AND(E2049=0,F2049=0,G2049=0,H2049=0,I2049=0,J2049=0,K2049=0,L2049=0)</f>
        <v/>
      </c>
      <c r="N2049">
        <f>G2049&lt;=$T$6</f>
        <v/>
      </c>
      <c r="O2049">
        <f>G2049&lt;=$T$12</f>
        <v/>
      </c>
      <c r="P2049">
        <f>OR(AND(H2049&gt;=$T$4,K2049&lt;=$T$5,N2049),M2049)</f>
        <v/>
      </c>
      <c r="Q2049">
        <f>OR(AND(I2049&gt;=$T$10,K2049&lt;=$T$11,O2049),M2049)</f>
        <v/>
      </c>
    </row>
    <row r="2050">
      <c r="A2050">
        <f>Data!E2151</f>
        <v/>
      </c>
      <c r="B2050">
        <f>Data!G2151</f>
        <v/>
      </c>
      <c r="C2050">
        <f>Data!H2151</f>
        <v/>
      </c>
      <c r="D2050">
        <f>Data!I2151</f>
        <v/>
      </c>
      <c r="E2050">
        <f>Data!M2151</f>
        <v/>
      </c>
      <c r="F2050">
        <f>Data!O2151</f>
        <v/>
      </c>
      <c r="G2050">
        <f>E2050-F2050</f>
        <v/>
      </c>
      <c r="H2050">
        <f>Data!P2151</f>
        <v/>
      </c>
      <c r="I2050">
        <f>G2050+H2050</f>
        <v/>
      </c>
      <c r="J2050">
        <f>F2050+G2050+H2050</f>
        <v/>
      </c>
      <c r="K2050">
        <f>Data!R2151</f>
        <v/>
      </c>
      <c r="L2050">
        <f>Data!T2151</f>
        <v/>
      </c>
      <c r="M2050">
        <f>AND(E2050=0,F2050=0,G2050=0,H2050=0,I2050=0,J2050=0,K2050=0,L2050=0)</f>
        <v/>
      </c>
      <c r="N2050">
        <f>G2050&lt;=$T$6</f>
        <v/>
      </c>
      <c r="O2050">
        <f>G2050&lt;=$T$12</f>
        <v/>
      </c>
      <c r="P2050">
        <f>OR(AND(H2050&gt;=$T$4,K2050&lt;=$T$5,N2050),M2050)</f>
        <v/>
      </c>
      <c r="Q2050">
        <f>OR(AND(I2050&gt;=$T$10,K2050&lt;=$T$11,O2050),M2050)</f>
        <v/>
      </c>
    </row>
    <row r="2051">
      <c r="A2051">
        <f>Data!E2152</f>
        <v/>
      </c>
      <c r="B2051">
        <f>Data!G2152</f>
        <v/>
      </c>
      <c r="C2051">
        <f>Data!H2152</f>
        <v/>
      </c>
      <c r="D2051">
        <f>Data!I2152</f>
        <v/>
      </c>
      <c r="E2051">
        <f>Data!M2152</f>
        <v/>
      </c>
      <c r="F2051">
        <f>Data!O2152</f>
        <v/>
      </c>
      <c r="G2051">
        <f>E2051-F2051</f>
        <v/>
      </c>
      <c r="H2051">
        <f>Data!P2152</f>
        <v/>
      </c>
      <c r="I2051">
        <f>G2051+H2051</f>
        <v/>
      </c>
      <c r="J2051">
        <f>F2051+G2051+H2051</f>
        <v/>
      </c>
      <c r="K2051">
        <f>Data!R2152</f>
        <v/>
      </c>
      <c r="L2051">
        <f>Data!T2152</f>
        <v/>
      </c>
      <c r="M2051">
        <f>AND(E2051=0,F2051=0,G2051=0,H2051=0,I2051=0,J2051=0,K2051=0,L2051=0)</f>
        <v/>
      </c>
      <c r="N2051">
        <f>G2051&lt;=$T$6</f>
        <v/>
      </c>
      <c r="O2051">
        <f>G2051&lt;=$T$12</f>
        <v/>
      </c>
      <c r="P2051">
        <f>OR(AND(H2051&gt;=$T$4,K2051&lt;=$T$5,N2051),M2051)</f>
        <v/>
      </c>
      <c r="Q2051">
        <f>OR(AND(I2051&gt;=$T$10,K2051&lt;=$T$11,O2051),M2051)</f>
        <v/>
      </c>
    </row>
    <row r="2052">
      <c r="A2052">
        <f>Data!E2153</f>
        <v/>
      </c>
      <c r="B2052">
        <f>Data!G2153</f>
        <v/>
      </c>
      <c r="C2052">
        <f>Data!H2153</f>
        <v/>
      </c>
      <c r="D2052">
        <f>Data!I2153</f>
        <v/>
      </c>
      <c r="E2052">
        <f>Data!M2153</f>
        <v/>
      </c>
      <c r="F2052">
        <f>Data!O2153</f>
        <v/>
      </c>
      <c r="G2052">
        <f>E2052-F2052</f>
        <v/>
      </c>
      <c r="H2052">
        <f>Data!P2153</f>
        <v/>
      </c>
      <c r="I2052">
        <f>G2052+H2052</f>
        <v/>
      </c>
      <c r="J2052">
        <f>F2052+G2052+H2052</f>
        <v/>
      </c>
      <c r="K2052">
        <f>Data!R2153</f>
        <v/>
      </c>
      <c r="L2052">
        <f>Data!T2153</f>
        <v/>
      </c>
      <c r="M2052">
        <f>AND(E2052=0,F2052=0,G2052=0,H2052=0,I2052=0,J2052=0,K2052=0,L2052=0)</f>
        <v/>
      </c>
      <c r="N2052">
        <f>G2052&lt;=$T$6</f>
        <v/>
      </c>
      <c r="O2052">
        <f>G2052&lt;=$T$12</f>
        <v/>
      </c>
      <c r="P2052">
        <f>OR(AND(H2052&gt;=$T$4,K2052&lt;=$T$5,N2052),M2052)</f>
        <v/>
      </c>
      <c r="Q2052">
        <f>OR(AND(I2052&gt;=$T$10,K2052&lt;=$T$11,O2052),M2052)</f>
        <v/>
      </c>
    </row>
    <row r="2053">
      <c r="A2053">
        <f>Data!E2154</f>
        <v/>
      </c>
      <c r="B2053">
        <f>Data!G2154</f>
        <v/>
      </c>
      <c r="C2053">
        <f>Data!H2154</f>
        <v/>
      </c>
      <c r="D2053">
        <f>Data!I2154</f>
        <v/>
      </c>
      <c r="E2053">
        <f>Data!M2154</f>
        <v/>
      </c>
      <c r="F2053">
        <f>Data!O2154</f>
        <v/>
      </c>
      <c r="G2053">
        <f>E2053-F2053</f>
        <v/>
      </c>
      <c r="H2053">
        <f>Data!P2154</f>
        <v/>
      </c>
      <c r="I2053">
        <f>G2053+H2053</f>
        <v/>
      </c>
      <c r="J2053">
        <f>F2053+G2053+H2053</f>
        <v/>
      </c>
      <c r="K2053">
        <f>Data!R2154</f>
        <v/>
      </c>
      <c r="L2053">
        <f>Data!T2154</f>
        <v/>
      </c>
      <c r="M2053">
        <f>AND(E2053=0,F2053=0,G2053=0,H2053=0,I2053=0,J2053=0,K2053=0,L2053=0)</f>
        <v/>
      </c>
      <c r="N2053">
        <f>G2053&lt;=$T$6</f>
        <v/>
      </c>
      <c r="O2053">
        <f>G2053&lt;=$T$12</f>
        <v/>
      </c>
      <c r="P2053">
        <f>OR(AND(H2053&gt;=$T$4,K2053&lt;=$T$5,N2053),M2053)</f>
        <v/>
      </c>
      <c r="Q2053">
        <f>OR(AND(I2053&gt;=$T$10,K2053&lt;=$T$11,O2053),M2053)</f>
        <v/>
      </c>
    </row>
    <row r="2054">
      <c r="A2054">
        <f>Data!E2155</f>
        <v/>
      </c>
      <c r="B2054">
        <f>Data!G2155</f>
        <v/>
      </c>
      <c r="C2054">
        <f>Data!H2155</f>
        <v/>
      </c>
      <c r="D2054">
        <f>Data!I2155</f>
        <v/>
      </c>
      <c r="E2054">
        <f>Data!M2155</f>
        <v/>
      </c>
      <c r="F2054">
        <f>Data!O2155</f>
        <v/>
      </c>
      <c r="G2054">
        <f>E2054-F2054</f>
        <v/>
      </c>
      <c r="H2054">
        <f>Data!P2155</f>
        <v/>
      </c>
      <c r="I2054">
        <f>G2054+H2054</f>
        <v/>
      </c>
      <c r="J2054">
        <f>F2054+G2054+H2054</f>
        <v/>
      </c>
      <c r="K2054">
        <f>Data!R2155</f>
        <v/>
      </c>
      <c r="L2054">
        <f>Data!T2155</f>
        <v/>
      </c>
      <c r="M2054">
        <f>AND(E2054=0,F2054=0,G2054=0,H2054=0,I2054=0,J2054=0,K2054=0,L2054=0)</f>
        <v/>
      </c>
      <c r="N2054">
        <f>G2054&lt;=$T$6</f>
        <v/>
      </c>
      <c r="O2054">
        <f>G2054&lt;=$T$12</f>
        <v/>
      </c>
      <c r="P2054">
        <f>OR(AND(H2054&gt;=$T$4,K2054&lt;=$T$5,N2054),M2054)</f>
        <v/>
      </c>
      <c r="Q2054">
        <f>OR(AND(I2054&gt;=$T$10,K2054&lt;=$T$11,O2054),M2054)</f>
        <v/>
      </c>
    </row>
    <row r="2055">
      <c r="A2055">
        <f>Data!E2156</f>
        <v/>
      </c>
      <c r="B2055">
        <f>Data!G2156</f>
        <v/>
      </c>
      <c r="C2055">
        <f>Data!H2156</f>
        <v/>
      </c>
      <c r="D2055">
        <f>Data!I2156</f>
        <v/>
      </c>
      <c r="E2055">
        <f>Data!M2156</f>
        <v/>
      </c>
      <c r="F2055">
        <f>Data!O2156</f>
        <v/>
      </c>
      <c r="G2055">
        <f>E2055-F2055</f>
        <v/>
      </c>
      <c r="H2055">
        <f>Data!P2156</f>
        <v/>
      </c>
      <c r="I2055">
        <f>G2055+H2055</f>
        <v/>
      </c>
      <c r="J2055">
        <f>F2055+G2055+H2055</f>
        <v/>
      </c>
      <c r="K2055">
        <f>Data!R2156</f>
        <v/>
      </c>
      <c r="L2055">
        <f>Data!T2156</f>
        <v/>
      </c>
      <c r="M2055">
        <f>AND(E2055=0,F2055=0,G2055=0,H2055=0,I2055=0,J2055=0,K2055=0,L2055=0)</f>
        <v/>
      </c>
      <c r="N2055">
        <f>G2055&lt;=$T$6</f>
        <v/>
      </c>
      <c r="O2055">
        <f>G2055&lt;=$T$12</f>
        <v/>
      </c>
      <c r="P2055">
        <f>OR(AND(H2055&gt;=$T$4,K2055&lt;=$T$5,N2055),M2055)</f>
        <v/>
      </c>
      <c r="Q2055">
        <f>OR(AND(I2055&gt;=$T$10,K2055&lt;=$T$11,O2055),M2055)</f>
        <v/>
      </c>
    </row>
    <row r="2056">
      <c r="A2056">
        <f>Data!E2157</f>
        <v/>
      </c>
      <c r="B2056">
        <f>Data!G2157</f>
        <v/>
      </c>
      <c r="C2056">
        <f>Data!H2157</f>
        <v/>
      </c>
      <c r="D2056">
        <f>Data!I2157</f>
        <v/>
      </c>
      <c r="E2056">
        <f>Data!M2157</f>
        <v/>
      </c>
      <c r="F2056">
        <f>Data!O2157</f>
        <v/>
      </c>
      <c r="G2056">
        <f>E2056-F2056</f>
        <v/>
      </c>
      <c r="H2056">
        <f>Data!P2157</f>
        <v/>
      </c>
      <c r="I2056">
        <f>G2056+H2056</f>
        <v/>
      </c>
      <c r="J2056">
        <f>F2056+G2056+H2056</f>
        <v/>
      </c>
      <c r="K2056">
        <f>Data!R2157</f>
        <v/>
      </c>
      <c r="L2056">
        <f>Data!T2157</f>
        <v/>
      </c>
      <c r="M2056">
        <f>AND(E2056=0,F2056=0,G2056=0,H2056=0,I2056=0,J2056=0,K2056=0,L2056=0)</f>
        <v/>
      </c>
      <c r="N2056">
        <f>G2056&lt;=$T$6</f>
        <v/>
      </c>
      <c r="O2056">
        <f>G2056&lt;=$T$12</f>
        <v/>
      </c>
      <c r="P2056">
        <f>OR(AND(H2056&gt;=$T$4,K2056&lt;=$T$5,N2056),M2056)</f>
        <v/>
      </c>
      <c r="Q2056">
        <f>OR(AND(I2056&gt;=$T$10,K2056&lt;=$T$11,O2056),M2056)</f>
        <v/>
      </c>
    </row>
    <row r="2057">
      <c r="A2057">
        <f>Data!E2158</f>
        <v/>
      </c>
      <c r="B2057">
        <f>Data!G2158</f>
        <v/>
      </c>
      <c r="C2057">
        <f>Data!H2158</f>
        <v/>
      </c>
      <c r="D2057">
        <f>Data!I2158</f>
        <v/>
      </c>
      <c r="E2057">
        <f>Data!M2158</f>
        <v/>
      </c>
      <c r="F2057">
        <f>Data!O2158</f>
        <v/>
      </c>
      <c r="G2057">
        <f>E2057-F2057</f>
        <v/>
      </c>
      <c r="H2057">
        <f>Data!P2158</f>
        <v/>
      </c>
      <c r="I2057">
        <f>G2057+H2057</f>
        <v/>
      </c>
      <c r="J2057">
        <f>F2057+G2057+H2057</f>
        <v/>
      </c>
      <c r="K2057">
        <f>Data!R2158</f>
        <v/>
      </c>
      <c r="L2057">
        <f>Data!T2158</f>
        <v/>
      </c>
      <c r="M2057">
        <f>AND(E2057=0,F2057=0,G2057=0,H2057=0,I2057=0,J2057=0,K2057=0,L2057=0)</f>
        <v/>
      </c>
      <c r="N2057">
        <f>G2057&lt;=$T$6</f>
        <v/>
      </c>
      <c r="O2057">
        <f>G2057&lt;=$T$12</f>
        <v/>
      </c>
      <c r="P2057">
        <f>OR(AND(H2057&gt;=$T$4,K2057&lt;=$T$5,N2057),M2057)</f>
        <v/>
      </c>
      <c r="Q2057">
        <f>OR(AND(I2057&gt;=$T$10,K2057&lt;=$T$11,O2057),M2057)</f>
        <v/>
      </c>
    </row>
    <row r="2058">
      <c r="A2058">
        <f>Data!E2159</f>
        <v/>
      </c>
      <c r="B2058">
        <f>Data!G2159</f>
        <v/>
      </c>
      <c r="C2058">
        <f>Data!H2159</f>
        <v/>
      </c>
      <c r="D2058">
        <f>Data!I2159</f>
        <v/>
      </c>
      <c r="E2058">
        <f>Data!M2159</f>
        <v/>
      </c>
      <c r="F2058">
        <f>Data!O2159</f>
        <v/>
      </c>
      <c r="G2058">
        <f>E2058-F2058</f>
        <v/>
      </c>
      <c r="H2058">
        <f>Data!P2159</f>
        <v/>
      </c>
      <c r="I2058">
        <f>G2058+H2058</f>
        <v/>
      </c>
      <c r="J2058">
        <f>F2058+G2058+H2058</f>
        <v/>
      </c>
      <c r="K2058">
        <f>Data!R2159</f>
        <v/>
      </c>
      <c r="L2058">
        <f>Data!T2159</f>
        <v/>
      </c>
      <c r="M2058">
        <f>AND(E2058=0,F2058=0,G2058=0,H2058=0,I2058=0,J2058=0,K2058=0,L2058=0)</f>
        <v/>
      </c>
      <c r="N2058">
        <f>G2058&lt;=$T$6</f>
        <v/>
      </c>
      <c r="O2058">
        <f>G2058&lt;=$T$12</f>
        <v/>
      </c>
      <c r="P2058">
        <f>OR(AND(H2058&gt;=$T$4,K2058&lt;=$T$5,N2058),M2058)</f>
        <v/>
      </c>
      <c r="Q2058">
        <f>OR(AND(I2058&gt;=$T$10,K2058&lt;=$T$11,O2058),M2058)</f>
        <v/>
      </c>
    </row>
    <row r="2059">
      <c r="A2059">
        <f>Data!E2160</f>
        <v/>
      </c>
      <c r="B2059">
        <f>Data!G2160</f>
        <v/>
      </c>
      <c r="C2059">
        <f>Data!H2160</f>
        <v/>
      </c>
      <c r="D2059">
        <f>Data!I2160</f>
        <v/>
      </c>
      <c r="E2059">
        <f>Data!M2160</f>
        <v/>
      </c>
      <c r="F2059">
        <f>Data!O2160</f>
        <v/>
      </c>
      <c r="G2059">
        <f>E2059-F2059</f>
        <v/>
      </c>
      <c r="H2059">
        <f>Data!P2160</f>
        <v/>
      </c>
      <c r="I2059">
        <f>G2059+H2059</f>
        <v/>
      </c>
      <c r="J2059">
        <f>F2059+G2059+H2059</f>
        <v/>
      </c>
      <c r="K2059">
        <f>Data!R2160</f>
        <v/>
      </c>
      <c r="L2059">
        <f>Data!T2160</f>
        <v/>
      </c>
      <c r="M2059">
        <f>AND(E2059=0,F2059=0,G2059=0,H2059=0,I2059=0,J2059=0,K2059=0,L2059=0)</f>
        <v/>
      </c>
      <c r="N2059">
        <f>G2059&lt;=$T$6</f>
        <v/>
      </c>
      <c r="O2059">
        <f>G2059&lt;=$T$12</f>
        <v/>
      </c>
      <c r="P2059">
        <f>OR(AND(H2059&gt;=$T$4,K2059&lt;=$T$5,N2059),M2059)</f>
        <v/>
      </c>
      <c r="Q2059">
        <f>OR(AND(I2059&gt;=$T$10,K2059&lt;=$T$11,O2059),M2059)</f>
        <v/>
      </c>
    </row>
    <row r="2060">
      <c r="A2060">
        <f>Data!E2161</f>
        <v/>
      </c>
      <c r="B2060">
        <f>Data!G2161</f>
        <v/>
      </c>
      <c r="C2060">
        <f>Data!H2161</f>
        <v/>
      </c>
      <c r="D2060">
        <f>Data!I2161</f>
        <v/>
      </c>
      <c r="E2060">
        <f>Data!M2161</f>
        <v/>
      </c>
      <c r="F2060">
        <f>Data!O2161</f>
        <v/>
      </c>
      <c r="G2060">
        <f>E2060-F2060</f>
        <v/>
      </c>
      <c r="H2060">
        <f>Data!P2161</f>
        <v/>
      </c>
      <c r="I2060">
        <f>G2060+H2060</f>
        <v/>
      </c>
      <c r="J2060">
        <f>F2060+G2060+H2060</f>
        <v/>
      </c>
      <c r="K2060">
        <f>Data!R2161</f>
        <v/>
      </c>
      <c r="L2060">
        <f>Data!T2161</f>
        <v/>
      </c>
      <c r="M2060">
        <f>AND(E2060=0,F2060=0,G2060=0,H2060=0,I2060=0,J2060=0,K2060=0,L2060=0)</f>
        <v/>
      </c>
      <c r="N2060">
        <f>G2060&lt;=$T$6</f>
        <v/>
      </c>
      <c r="O2060">
        <f>G2060&lt;=$T$12</f>
        <v/>
      </c>
      <c r="P2060">
        <f>OR(AND(H2060&gt;=$T$4,K2060&lt;=$T$5,N2060),M2060)</f>
        <v/>
      </c>
      <c r="Q2060">
        <f>OR(AND(I2060&gt;=$T$10,K2060&lt;=$T$11,O2060),M2060)</f>
        <v/>
      </c>
    </row>
    <row r="2061">
      <c r="A2061">
        <f>Data!E2162</f>
        <v/>
      </c>
      <c r="B2061">
        <f>Data!G2162</f>
        <v/>
      </c>
      <c r="C2061">
        <f>Data!H2162</f>
        <v/>
      </c>
      <c r="D2061">
        <f>Data!I2162</f>
        <v/>
      </c>
      <c r="E2061">
        <f>Data!M2162</f>
        <v/>
      </c>
      <c r="F2061">
        <f>Data!O2162</f>
        <v/>
      </c>
      <c r="G2061">
        <f>E2061-F2061</f>
        <v/>
      </c>
      <c r="H2061">
        <f>Data!P2162</f>
        <v/>
      </c>
      <c r="I2061">
        <f>G2061+H2061</f>
        <v/>
      </c>
      <c r="J2061">
        <f>F2061+G2061+H2061</f>
        <v/>
      </c>
      <c r="K2061">
        <f>Data!R2162</f>
        <v/>
      </c>
      <c r="L2061">
        <f>Data!T2162</f>
        <v/>
      </c>
      <c r="M2061">
        <f>AND(E2061=0,F2061=0,G2061=0,H2061=0,I2061=0,J2061=0,K2061=0,L2061=0)</f>
        <v/>
      </c>
      <c r="N2061">
        <f>G2061&lt;=$T$6</f>
        <v/>
      </c>
      <c r="O2061">
        <f>G2061&lt;=$T$12</f>
        <v/>
      </c>
      <c r="P2061">
        <f>OR(AND(H2061&gt;=$T$4,K2061&lt;=$T$5,N2061),M2061)</f>
        <v/>
      </c>
      <c r="Q2061">
        <f>OR(AND(I2061&gt;=$T$10,K2061&lt;=$T$11,O2061),M2061)</f>
        <v/>
      </c>
    </row>
    <row r="2062">
      <c r="A2062">
        <f>Data!E2163</f>
        <v/>
      </c>
      <c r="B2062">
        <f>Data!G2163</f>
        <v/>
      </c>
      <c r="C2062">
        <f>Data!H2163</f>
        <v/>
      </c>
      <c r="D2062">
        <f>Data!I2163</f>
        <v/>
      </c>
      <c r="E2062">
        <f>Data!M2163</f>
        <v/>
      </c>
      <c r="F2062">
        <f>Data!O2163</f>
        <v/>
      </c>
      <c r="G2062">
        <f>E2062-F2062</f>
        <v/>
      </c>
      <c r="H2062">
        <f>Data!P2163</f>
        <v/>
      </c>
      <c r="I2062">
        <f>G2062+H2062</f>
        <v/>
      </c>
      <c r="J2062">
        <f>F2062+G2062+H2062</f>
        <v/>
      </c>
      <c r="K2062">
        <f>Data!R2163</f>
        <v/>
      </c>
      <c r="L2062">
        <f>Data!T2163</f>
        <v/>
      </c>
      <c r="M2062">
        <f>AND(E2062=0,F2062=0,G2062=0,H2062=0,I2062=0,J2062=0,K2062=0,L2062=0)</f>
        <v/>
      </c>
      <c r="N2062">
        <f>G2062&lt;=$T$6</f>
        <v/>
      </c>
      <c r="O2062">
        <f>G2062&lt;=$T$12</f>
        <v/>
      </c>
      <c r="P2062">
        <f>OR(AND(H2062&gt;=$T$4,K2062&lt;=$T$5,N2062),M2062)</f>
        <v/>
      </c>
      <c r="Q2062">
        <f>OR(AND(I2062&gt;=$T$10,K2062&lt;=$T$11,O2062),M2062)</f>
        <v/>
      </c>
    </row>
    <row r="2063">
      <c r="A2063">
        <f>Data!E2165</f>
        <v/>
      </c>
      <c r="B2063">
        <f>Data!G2165</f>
        <v/>
      </c>
      <c r="C2063">
        <f>Data!H2165</f>
        <v/>
      </c>
      <c r="D2063">
        <f>Data!I2165</f>
        <v/>
      </c>
      <c r="E2063">
        <f>Data!M2165</f>
        <v/>
      </c>
      <c r="F2063">
        <f>Data!O2165</f>
        <v/>
      </c>
      <c r="G2063">
        <f>E2063-F2063</f>
        <v/>
      </c>
      <c r="H2063">
        <f>Data!P2165</f>
        <v/>
      </c>
      <c r="I2063">
        <f>G2063+H2063</f>
        <v/>
      </c>
      <c r="J2063">
        <f>F2063+G2063+H2063</f>
        <v/>
      </c>
      <c r="K2063">
        <f>Data!R2165</f>
        <v/>
      </c>
      <c r="L2063">
        <f>Data!T2165</f>
        <v/>
      </c>
      <c r="M2063">
        <f>AND(E2063=0,F2063=0,G2063=0,H2063=0,I2063=0,J2063=0,K2063=0,L2063=0)</f>
        <v/>
      </c>
      <c r="N2063">
        <f>G2063&lt;=$T$6</f>
        <v/>
      </c>
      <c r="O2063">
        <f>G2063&lt;=$T$12</f>
        <v/>
      </c>
      <c r="P2063">
        <f>OR(AND(H2063&gt;=$T$4,K2063&lt;=$T$5,N2063),M2063)</f>
        <v/>
      </c>
      <c r="Q2063">
        <f>OR(AND(I2063&gt;=$T$10,K2063&lt;=$T$11,O2063),M2063)</f>
        <v/>
      </c>
    </row>
    <row r="2064">
      <c r="A2064">
        <f>Data!E2166</f>
        <v/>
      </c>
      <c r="B2064">
        <f>Data!G2166</f>
        <v/>
      </c>
      <c r="C2064">
        <f>Data!H2166</f>
        <v/>
      </c>
      <c r="D2064">
        <f>Data!I2166</f>
        <v/>
      </c>
      <c r="E2064">
        <f>Data!M2166</f>
        <v/>
      </c>
      <c r="F2064">
        <f>Data!O2166</f>
        <v/>
      </c>
      <c r="G2064">
        <f>E2064-F2064</f>
        <v/>
      </c>
      <c r="H2064">
        <f>Data!P2166</f>
        <v/>
      </c>
      <c r="I2064">
        <f>G2064+H2064</f>
        <v/>
      </c>
      <c r="J2064">
        <f>F2064+G2064+H2064</f>
        <v/>
      </c>
      <c r="K2064">
        <f>Data!R2166</f>
        <v/>
      </c>
      <c r="L2064">
        <f>Data!T2166</f>
        <v/>
      </c>
      <c r="M2064">
        <f>AND(E2064=0,F2064=0,G2064=0,H2064=0,I2064=0,J2064=0,K2064=0,L2064=0)</f>
        <v/>
      </c>
      <c r="N2064">
        <f>G2064&lt;=$T$6</f>
        <v/>
      </c>
      <c r="O2064">
        <f>G2064&lt;=$T$12</f>
        <v/>
      </c>
      <c r="P2064">
        <f>OR(AND(H2064&gt;=$T$4,K2064&lt;=$T$5,N2064),M2064)</f>
        <v/>
      </c>
      <c r="Q2064">
        <f>OR(AND(I2064&gt;=$T$10,K2064&lt;=$T$11,O2064),M2064)</f>
        <v/>
      </c>
    </row>
    <row r="2065">
      <c r="A2065">
        <f>Data!E2167</f>
        <v/>
      </c>
      <c r="B2065">
        <f>Data!G2167</f>
        <v/>
      </c>
      <c r="C2065">
        <f>Data!H2167</f>
        <v/>
      </c>
      <c r="D2065">
        <f>Data!I2167</f>
        <v/>
      </c>
      <c r="E2065">
        <f>Data!M2167</f>
        <v/>
      </c>
      <c r="F2065">
        <f>Data!O2167</f>
        <v/>
      </c>
      <c r="G2065">
        <f>E2065-F2065</f>
        <v/>
      </c>
      <c r="H2065">
        <f>Data!P2167</f>
        <v/>
      </c>
      <c r="I2065">
        <f>G2065+H2065</f>
        <v/>
      </c>
      <c r="J2065">
        <f>F2065+G2065+H2065</f>
        <v/>
      </c>
      <c r="K2065">
        <f>Data!R2167</f>
        <v/>
      </c>
      <c r="L2065">
        <f>Data!T2167</f>
        <v/>
      </c>
      <c r="M2065">
        <f>AND(E2065=0,F2065=0,G2065=0,H2065=0,I2065=0,J2065=0,K2065=0,L2065=0)</f>
        <v/>
      </c>
      <c r="N2065">
        <f>G2065&lt;=$T$6</f>
        <v/>
      </c>
      <c r="O2065">
        <f>G2065&lt;=$T$12</f>
        <v/>
      </c>
      <c r="P2065">
        <f>OR(AND(H2065&gt;=$T$4,K2065&lt;=$T$5,N2065),M2065)</f>
        <v/>
      </c>
      <c r="Q2065">
        <f>OR(AND(I2065&gt;=$T$10,K2065&lt;=$T$11,O2065),M2065)</f>
        <v/>
      </c>
    </row>
    <row r="2066">
      <c r="A2066">
        <f>Data!E2168</f>
        <v/>
      </c>
      <c r="B2066">
        <f>Data!G2168</f>
        <v/>
      </c>
      <c r="C2066">
        <f>Data!H2168</f>
        <v/>
      </c>
      <c r="D2066">
        <f>Data!I2168</f>
        <v/>
      </c>
      <c r="E2066">
        <f>Data!M2168</f>
        <v/>
      </c>
      <c r="F2066">
        <f>Data!O2168</f>
        <v/>
      </c>
      <c r="G2066">
        <f>E2066-F2066</f>
        <v/>
      </c>
      <c r="H2066">
        <f>Data!P2168</f>
        <v/>
      </c>
      <c r="I2066">
        <f>G2066+H2066</f>
        <v/>
      </c>
      <c r="J2066">
        <f>F2066+G2066+H2066</f>
        <v/>
      </c>
      <c r="K2066">
        <f>Data!R2168</f>
        <v/>
      </c>
      <c r="L2066">
        <f>Data!T2168</f>
        <v/>
      </c>
      <c r="M2066">
        <f>AND(E2066=0,F2066=0,G2066=0,H2066=0,I2066=0,J2066=0,K2066=0,L2066=0)</f>
        <v/>
      </c>
      <c r="N2066">
        <f>G2066&lt;=$T$6</f>
        <v/>
      </c>
      <c r="O2066">
        <f>G2066&lt;=$T$12</f>
        <v/>
      </c>
      <c r="P2066">
        <f>OR(AND(H2066&gt;=$T$4,K2066&lt;=$T$5,N2066),M2066)</f>
        <v/>
      </c>
      <c r="Q2066">
        <f>OR(AND(I2066&gt;=$T$10,K2066&lt;=$T$11,O2066),M2066)</f>
        <v/>
      </c>
    </row>
    <row r="2067">
      <c r="A2067">
        <f>Data!E2169</f>
        <v/>
      </c>
      <c r="B2067">
        <f>Data!G2169</f>
        <v/>
      </c>
      <c r="C2067">
        <f>Data!H2169</f>
        <v/>
      </c>
      <c r="D2067">
        <f>Data!I2169</f>
        <v/>
      </c>
      <c r="E2067">
        <f>Data!M2169</f>
        <v/>
      </c>
      <c r="F2067">
        <f>Data!O2169</f>
        <v/>
      </c>
      <c r="G2067">
        <f>E2067-F2067</f>
        <v/>
      </c>
      <c r="H2067">
        <f>Data!P2169</f>
        <v/>
      </c>
      <c r="I2067">
        <f>G2067+H2067</f>
        <v/>
      </c>
      <c r="J2067">
        <f>F2067+G2067+H2067</f>
        <v/>
      </c>
      <c r="K2067">
        <f>Data!R2169</f>
        <v/>
      </c>
      <c r="L2067">
        <f>Data!T2169</f>
        <v/>
      </c>
      <c r="M2067">
        <f>AND(E2067=0,F2067=0,G2067=0,H2067=0,I2067=0,J2067=0,K2067=0,L2067=0)</f>
        <v/>
      </c>
      <c r="N2067">
        <f>G2067&lt;=$T$6</f>
        <v/>
      </c>
      <c r="O2067">
        <f>G2067&lt;=$T$12</f>
        <v/>
      </c>
      <c r="P2067">
        <f>OR(AND(H2067&gt;=$T$4,K2067&lt;=$T$5,N2067),M2067)</f>
        <v/>
      </c>
      <c r="Q2067">
        <f>OR(AND(I2067&gt;=$T$10,K2067&lt;=$T$11,O2067),M2067)</f>
        <v/>
      </c>
    </row>
    <row r="2068">
      <c r="A2068">
        <f>Data!E2170</f>
        <v/>
      </c>
      <c r="B2068">
        <f>Data!G2170</f>
        <v/>
      </c>
      <c r="C2068">
        <f>Data!H2170</f>
        <v/>
      </c>
      <c r="D2068">
        <f>Data!I2170</f>
        <v/>
      </c>
      <c r="E2068">
        <f>Data!M2170</f>
        <v/>
      </c>
      <c r="F2068">
        <f>Data!O2170</f>
        <v/>
      </c>
      <c r="G2068">
        <f>E2068-F2068</f>
        <v/>
      </c>
      <c r="H2068">
        <f>Data!P2170</f>
        <v/>
      </c>
      <c r="I2068">
        <f>G2068+H2068</f>
        <v/>
      </c>
      <c r="J2068">
        <f>F2068+G2068+H2068</f>
        <v/>
      </c>
      <c r="K2068">
        <f>Data!R2170</f>
        <v/>
      </c>
      <c r="L2068">
        <f>Data!T2170</f>
        <v/>
      </c>
      <c r="M2068">
        <f>AND(E2068=0,F2068=0,G2068=0,H2068=0,I2068=0,J2068=0,K2068=0,L2068=0)</f>
        <v/>
      </c>
      <c r="N2068">
        <f>G2068&lt;=$T$6</f>
        <v/>
      </c>
      <c r="O2068">
        <f>G2068&lt;=$T$12</f>
        <v/>
      </c>
      <c r="P2068">
        <f>OR(AND(H2068&gt;=$T$4,K2068&lt;=$T$5,N2068),M2068)</f>
        <v/>
      </c>
      <c r="Q2068">
        <f>OR(AND(I2068&gt;=$T$10,K2068&lt;=$T$11,O2068),M2068)</f>
        <v/>
      </c>
    </row>
    <row r="2069">
      <c r="A2069">
        <f>Data!E2171</f>
        <v/>
      </c>
      <c r="B2069">
        <f>Data!G2171</f>
        <v/>
      </c>
      <c r="C2069">
        <f>Data!H2171</f>
        <v/>
      </c>
      <c r="D2069">
        <f>Data!I2171</f>
        <v/>
      </c>
      <c r="E2069">
        <f>Data!M2171</f>
        <v/>
      </c>
      <c r="F2069">
        <f>Data!O2171</f>
        <v/>
      </c>
      <c r="G2069">
        <f>E2069-F2069</f>
        <v/>
      </c>
      <c r="H2069">
        <f>Data!P2171</f>
        <v/>
      </c>
      <c r="I2069">
        <f>G2069+H2069</f>
        <v/>
      </c>
      <c r="J2069">
        <f>F2069+G2069+H2069</f>
        <v/>
      </c>
      <c r="K2069">
        <f>Data!R2171</f>
        <v/>
      </c>
      <c r="L2069">
        <f>Data!T2171</f>
        <v/>
      </c>
      <c r="M2069">
        <f>AND(E2069=0,F2069=0,G2069=0,H2069=0,I2069=0,J2069=0,K2069=0,L2069=0)</f>
        <v/>
      </c>
      <c r="N2069">
        <f>G2069&lt;=$T$6</f>
        <v/>
      </c>
      <c r="O2069">
        <f>G2069&lt;=$T$12</f>
        <v/>
      </c>
      <c r="P2069">
        <f>OR(AND(H2069&gt;=$T$4,K2069&lt;=$T$5,N2069),M2069)</f>
        <v/>
      </c>
      <c r="Q2069">
        <f>OR(AND(I2069&gt;=$T$10,K2069&lt;=$T$11,O2069),M2069)</f>
        <v/>
      </c>
    </row>
    <row r="2070">
      <c r="A2070">
        <f>Data!E2172</f>
        <v/>
      </c>
      <c r="B2070">
        <f>Data!G2172</f>
        <v/>
      </c>
      <c r="C2070">
        <f>Data!H2172</f>
        <v/>
      </c>
      <c r="D2070">
        <f>Data!I2172</f>
        <v/>
      </c>
      <c r="E2070">
        <f>Data!M2172</f>
        <v/>
      </c>
      <c r="F2070">
        <f>Data!O2172</f>
        <v/>
      </c>
      <c r="G2070">
        <f>E2070-F2070</f>
        <v/>
      </c>
      <c r="H2070">
        <f>Data!P2172</f>
        <v/>
      </c>
      <c r="I2070">
        <f>G2070+H2070</f>
        <v/>
      </c>
      <c r="J2070">
        <f>F2070+G2070+H2070</f>
        <v/>
      </c>
      <c r="K2070">
        <f>Data!R2172</f>
        <v/>
      </c>
      <c r="L2070">
        <f>Data!T2172</f>
        <v/>
      </c>
      <c r="M2070">
        <f>AND(E2070=0,F2070=0,G2070=0,H2070=0,I2070=0,J2070=0,K2070=0,L2070=0)</f>
        <v/>
      </c>
      <c r="N2070">
        <f>G2070&lt;=$T$6</f>
        <v/>
      </c>
      <c r="O2070">
        <f>G2070&lt;=$T$12</f>
        <v/>
      </c>
      <c r="P2070">
        <f>OR(AND(H2070&gt;=$T$4,K2070&lt;=$T$5,N2070),M2070)</f>
        <v/>
      </c>
      <c r="Q2070">
        <f>OR(AND(I2070&gt;=$T$10,K2070&lt;=$T$11,O2070),M2070)</f>
        <v/>
      </c>
    </row>
    <row r="2071">
      <c r="A2071">
        <f>Data!E2173</f>
        <v/>
      </c>
      <c r="B2071">
        <f>Data!G2173</f>
        <v/>
      </c>
      <c r="C2071">
        <f>Data!H2173</f>
        <v/>
      </c>
      <c r="D2071">
        <f>Data!I2173</f>
        <v/>
      </c>
      <c r="E2071">
        <f>Data!M2173</f>
        <v/>
      </c>
      <c r="F2071">
        <f>Data!O2173</f>
        <v/>
      </c>
      <c r="G2071">
        <f>E2071-F2071</f>
        <v/>
      </c>
      <c r="H2071">
        <f>Data!P2173</f>
        <v/>
      </c>
      <c r="I2071">
        <f>G2071+H2071</f>
        <v/>
      </c>
      <c r="J2071">
        <f>F2071+G2071+H2071</f>
        <v/>
      </c>
      <c r="K2071">
        <f>Data!R2173</f>
        <v/>
      </c>
      <c r="L2071">
        <f>Data!T2173</f>
        <v/>
      </c>
      <c r="M2071">
        <f>AND(E2071=0,F2071=0,G2071=0,H2071=0,I2071=0,J2071=0,K2071=0,L2071=0)</f>
        <v/>
      </c>
      <c r="N2071">
        <f>G2071&lt;=$T$6</f>
        <v/>
      </c>
      <c r="O2071">
        <f>G2071&lt;=$T$12</f>
        <v/>
      </c>
      <c r="P2071">
        <f>OR(AND(H2071&gt;=$T$4,K2071&lt;=$T$5,N2071),M2071)</f>
        <v/>
      </c>
      <c r="Q2071">
        <f>OR(AND(I2071&gt;=$T$10,K2071&lt;=$T$11,O2071),M2071)</f>
        <v/>
      </c>
    </row>
    <row r="2072">
      <c r="A2072">
        <f>Data!E2174</f>
        <v/>
      </c>
      <c r="B2072">
        <f>Data!G2174</f>
        <v/>
      </c>
      <c r="C2072">
        <f>Data!H2174</f>
        <v/>
      </c>
      <c r="D2072">
        <f>Data!I2174</f>
        <v/>
      </c>
      <c r="E2072">
        <f>Data!M2174</f>
        <v/>
      </c>
      <c r="F2072">
        <f>Data!O2174</f>
        <v/>
      </c>
      <c r="G2072">
        <f>E2072-F2072</f>
        <v/>
      </c>
      <c r="H2072">
        <f>Data!P2174</f>
        <v/>
      </c>
      <c r="I2072">
        <f>G2072+H2072</f>
        <v/>
      </c>
      <c r="J2072">
        <f>F2072+G2072+H2072</f>
        <v/>
      </c>
      <c r="K2072">
        <f>Data!R2174</f>
        <v/>
      </c>
      <c r="L2072">
        <f>Data!T2174</f>
        <v/>
      </c>
      <c r="M2072">
        <f>AND(E2072=0,F2072=0,G2072=0,H2072=0,I2072=0,J2072=0,K2072=0,L2072=0)</f>
        <v/>
      </c>
      <c r="N2072">
        <f>G2072&lt;=$T$6</f>
        <v/>
      </c>
      <c r="O2072">
        <f>G2072&lt;=$T$12</f>
        <v/>
      </c>
      <c r="P2072">
        <f>OR(AND(H2072&gt;=$T$4,K2072&lt;=$T$5,N2072),M2072)</f>
        <v/>
      </c>
      <c r="Q2072">
        <f>OR(AND(I2072&gt;=$T$10,K2072&lt;=$T$11,O2072),M2072)</f>
        <v/>
      </c>
    </row>
    <row r="2073">
      <c r="A2073">
        <f>Data!E2175</f>
        <v/>
      </c>
      <c r="B2073">
        <f>Data!G2175</f>
        <v/>
      </c>
      <c r="C2073">
        <f>Data!H2175</f>
        <v/>
      </c>
      <c r="D2073">
        <f>Data!I2175</f>
        <v/>
      </c>
      <c r="E2073">
        <f>Data!M2175</f>
        <v/>
      </c>
      <c r="F2073">
        <f>Data!O2175</f>
        <v/>
      </c>
      <c r="G2073">
        <f>E2073-F2073</f>
        <v/>
      </c>
      <c r="H2073">
        <f>Data!P2175</f>
        <v/>
      </c>
      <c r="I2073">
        <f>G2073+H2073</f>
        <v/>
      </c>
      <c r="J2073">
        <f>F2073+G2073+H2073</f>
        <v/>
      </c>
      <c r="K2073">
        <f>Data!R2175</f>
        <v/>
      </c>
      <c r="L2073">
        <f>Data!T2175</f>
        <v/>
      </c>
      <c r="M2073">
        <f>AND(E2073=0,F2073=0,G2073=0,H2073=0,I2073=0,J2073=0,K2073=0,L2073=0)</f>
        <v/>
      </c>
      <c r="N2073">
        <f>G2073&lt;=$T$6</f>
        <v/>
      </c>
      <c r="O2073">
        <f>G2073&lt;=$T$12</f>
        <v/>
      </c>
      <c r="P2073">
        <f>OR(AND(H2073&gt;=$T$4,K2073&lt;=$T$5,N2073),M2073)</f>
        <v/>
      </c>
      <c r="Q2073">
        <f>OR(AND(I2073&gt;=$T$10,K2073&lt;=$T$11,O2073),M2073)</f>
        <v/>
      </c>
    </row>
    <row r="2074">
      <c r="A2074">
        <f>Data!E2176</f>
        <v/>
      </c>
      <c r="B2074">
        <f>Data!G2176</f>
        <v/>
      </c>
      <c r="C2074">
        <f>Data!H2176</f>
        <v/>
      </c>
      <c r="D2074">
        <f>Data!I2176</f>
        <v/>
      </c>
      <c r="E2074">
        <f>Data!M2176</f>
        <v/>
      </c>
      <c r="F2074">
        <f>Data!O2176</f>
        <v/>
      </c>
      <c r="G2074">
        <f>E2074-F2074</f>
        <v/>
      </c>
      <c r="H2074">
        <f>Data!P2176</f>
        <v/>
      </c>
      <c r="I2074">
        <f>G2074+H2074</f>
        <v/>
      </c>
      <c r="J2074">
        <f>F2074+G2074+H2074</f>
        <v/>
      </c>
      <c r="K2074">
        <f>Data!R2176</f>
        <v/>
      </c>
      <c r="L2074">
        <f>Data!T2176</f>
        <v/>
      </c>
      <c r="M2074">
        <f>AND(E2074=0,F2074=0,G2074=0,H2074=0,I2074=0,J2074=0,K2074=0,L2074=0)</f>
        <v/>
      </c>
      <c r="N2074">
        <f>G2074&lt;=$T$6</f>
        <v/>
      </c>
      <c r="O2074">
        <f>G2074&lt;=$T$12</f>
        <v/>
      </c>
      <c r="P2074">
        <f>OR(AND(H2074&gt;=$T$4,K2074&lt;=$T$5,N2074),M2074)</f>
        <v/>
      </c>
      <c r="Q2074">
        <f>OR(AND(I2074&gt;=$T$10,K2074&lt;=$T$11,O2074),M2074)</f>
        <v/>
      </c>
    </row>
    <row r="2075">
      <c r="A2075">
        <f>Data!E2177</f>
        <v/>
      </c>
      <c r="B2075">
        <f>Data!G2177</f>
        <v/>
      </c>
      <c r="C2075">
        <f>Data!H2177</f>
        <v/>
      </c>
      <c r="D2075">
        <f>Data!I2177</f>
        <v/>
      </c>
      <c r="E2075">
        <f>Data!M2177</f>
        <v/>
      </c>
      <c r="F2075">
        <f>Data!O2177</f>
        <v/>
      </c>
      <c r="G2075">
        <f>E2075-F2075</f>
        <v/>
      </c>
      <c r="H2075">
        <f>Data!P2177</f>
        <v/>
      </c>
      <c r="I2075">
        <f>G2075+H2075</f>
        <v/>
      </c>
      <c r="J2075">
        <f>F2075+G2075+H2075</f>
        <v/>
      </c>
      <c r="K2075">
        <f>Data!R2177</f>
        <v/>
      </c>
      <c r="L2075">
        <f>Data!T2177</f>
        <v/>
      </c>
      <c r="M2075">
        <f>AND(E2075=0,F2075=0,G2075=0,H2075=0,I2075=0,J2075=0,K2075=0,L2075=0)</f>
        <v/>
      </c>
      <c r="N2075">
        <f>G2075&lt;=$T$6</f>
        <v/>
      </c>
      <c r="O2075">
        <f>G2075&lt;=$T$12</f>
        <v/>
      </c>
      <c r="P2075">
        <f>OR(AND(H2075&gt;=$T$4,K2075&lt;=$T$5,N2075),M2075)</f>
        <v/>
      </c>
      <c r="Q2075">
        <f>OR(AND(I2075&gt;=$T$10,K2075&lt;=$T$11,O2075),M2075)</f>
        <v/>
      </c>
    </row>
    <row r="2076">
      <c r="A2076">
        <f>Data!E2179</f>
        <v/>
      </c>
      <c r="B2076">
        <f>Data!G2179</f>
        <v/>
      </c>
      <c r="C2076">
        <f>Data!H2179</f>
        <v/>
      </c>
      <c r="D2076">
        <f>Data!I2179</f>
        <v/>
      </c>
      <c r="E2076">
        <f>Data!M2179</f>
        <v/>
      </c>
      <c r="F2076">
        <f>Data!O2179</f>
        <v/>
      </c>
      <c r="G2076">
        <f>E2076-F2076</f>
        <v/>
      </c>
      <c r="H2076">
        <f>Data!P2179</f>
        <v/>
      </c>
      <c r="I2076">
        <f>G2076+H2076</f>
        <v/>
      </c>
      <c r="J2076">
        <f>F2076+G2076+H2076</f>
        <v/>
      </c>
      <c r="K2076">
        <f>Data!R2179</f>
        <v/>
      </c>
      <c r="L2076">
        <f>Data!T2179</f>
        <v/>
      </c>
      <c r="M2076">
        <f>AND(E2076=0,F2076=0,G2076=0,H2076=0,I2076=0,J2076=0,K2076=0,L2076=0)</f>
        <v/>
      </c>
      <c r="N2076">
        <f>G2076&lt;=$T$6</f>
        <v/>
      </c>
      <c r="O2076">
        <f>G2076&lt;=$T$12</f>
        <v/>
      </c>
      <c r="P2076">
        <f>OR(AND(H2076&gt;=$T$4,K2076&lt;=$T$5,N2076),M2076)</f>
        <v/>
      </c>
      <c r="Q2076">
        <f>OR(AND(I2076&gt;=$T$10,K2076&lt;=$T$11,O2076),M2076)</f>
        <v/>
      </c>
    </row>
    <row r="2077">
      <c r="A2077">
        <f>Data!E2180</f>
        <v/>
      </c>
      <c r="B2077">
        <f>Data!G2180</f>
        <v/>
      </c>
      <c r="C2077">
        <f>Data!H2180</f>
        <v/>
      </c>
      <c r="D2077">
        <f>Data!I2180</f>
        <v/>
      </c>
      <c r="E2077">
        <f>Data!M2180</f>
        <v/>
      </c>
      <c r="F2077">
        <f>Data!O2180</f>
        <v/>
      </c>
      <c r="G2077">
        <f>E2077-F2077</f>
        <v/>
      </c>
      <c r="H2077">
        <f>Data!P2180</f>
        <v/>
      </c>
      <c r="I2077">
        <f>G2077+H2077</f>
        <v/>
      </c>
      <c r="J2077">
        <f>F2077+G2077+H2077</f>
        <v/>
      </c>
      <c r="K2077">
        <f>Data!R2180</f>
        <v/>
      </c>
      <c r="L2077">
        <f>Data!T2180</f>
        <v/>
      </c>
      <c r="M2077">
        <f>AND(E2077=0,F2077=0,G2077=0,H2077=0,I2077=0,J2077=0,K2077=0,L2077=0)</f>
        <v/>
      </c>
      <c r="N2077">
        <f>G2077&lt;=$T$6</f>
        <v/>
      </c>
      <c r="O2077">
        <f>G2077&lt;=$T$12</f>
        <v/>
      </c>
      <c r="P2077">
        <f>OR(AND(H2077&gt;=$T$4,K2077&lt;=$T$5,N2077),M2077)</f>
        <v/>
      </c>
      <c r="Q2077">
        <f>OR(AND(I2077&gt;=$T$10,K2077&lt;=$T$11,O2077),M2077)</f>
        <v/>
      </c>
    </row>
    <row r="2078">
      <c r="A2078">
        <f>Data!E2181</f>
        <v/>
      </c>
      <c r="B2078">
        <f>Data!G2181</f>
        <v/>
      </c>
      <c r="C2078">
        <f>Data!H2181</f>
        <v/>
      </c>
      <c r="D2078">
        <f>Data!I2181</f>
        <v/>
      </c>
      <c r="E2078">
        <f>Data!M2181</f>
        <v/>
      </c>
      <c r="F2078">
        <f>Data!O2181</f>
        <v/>
      </c>
      <c r="G2078">
        <f>E2078-F2078</f>
        <v/>
      </c>
      <c r="H2078">
        <f>Data!P2181</f>
        <v/>
      </c>
      <c r="I2078">
        <f>G2078+H2078</f>
        <v/>
      </c>
      <c r="J2078">
        <f>F2078+G2078+H2078</f>
        <v/>
      </c>
      <c r="K2078">
        <f>Data!R2181</f>
        <v/>
      </c>
      <c r="L2078">
        <f>Data!T2181</f>
        <v/>
      </c>
      <c r="M2078">
        <f>AND(E2078=0,F2078=0,G2078=0,H2078=0,I2078=0,J2078=0,K2078=0,L2078=0)</f>
        <v/>
      </c>
      <c r="N2078">
        <f>G2078&lt;=$T$6</f>
        <v/>
      </c>
      <c r="O2078">
        <f>G2078&lt;=$T$12</f>
        <v/>
      </c>
      <c r="P2078">
        <f>OR(AND(H2078&gt;=$T$4,K2078&lt;=$T$5,N2078),M2078)</f>
        <v/>
      </c>
      <c r="Q2078">
        <f>OR(AND(I2078&gt;=$T$10,K2078&lt;=$T$11,O2078),M2078)</f>
        <v/>
      </c>
    </row>
    <row r="2079">
      <c r="A2079">
        <f>Data!E2182</f>
        <v/>
      </c>
      <c r="B2079">
        <f>Data!G2182</f>
        <v/>
      </c>
      <c r="C2079">
        <f>Data!H2182</f>
        <v/>
      </c>
      <c r="D2079">
        <f>Data!I2182</f>
        <v/>
      </c>
      <c r="E2079">
        <f>Data!M2182</f>
        <v/>
      </c>
      <c r="F2079">
        <f>Data!O2182</f>
        <v/>
      </c>
      <c r="G2079">
        <f>E2079-F2079</f>
        <v/>
      </c>
      <c r="H2079">
        <f>Data!P2182</f>
        <v/>
      </c>
      <c r="I2079">
        <f>G2079+H2079</f>
        <v/>
      </c>
      <c r="J2079">
        <f>F2079+G2079+H2079</f>
        <v/>
      </c>
      <c r="K2079">
        <f>Data!R2182</f>
        <v/>
      </c>
      <c r="L2079">
        <f>Data!T2182</f>
        <v/>
      </c>
      <c r="M2079">
        <f>AND(E2079=0,F2079=0,G2079=0,H2079=0,I2079=0,J2079=0,K2079=0,L2079=0)</f>
        <v/>
      </c>
      <c r="N2079">
        <f>G2079&lt;=$T$6</f>
        <v/>
      </c>
      <c r="O2079">
        <f>G2079&lt;=$T$12</f>
        <v/>
      </c>
      <c r="P2079">
        <f>OR(AND(H2079&gt;=$T$4,K2079&lt;=$T$5,N2079),M2079)</f>
        <v/>
      </c>
      <c r="Q2079">
        <f>OR(AND(I2079&gt;=$T$10,K2079&lt;=$T$11,O2079),M2079)</f>
        <v/>
      </c>
    </row>
    <row r="2080">
      <c r="A2080">
        <f>Data!E2183</f>
        <v/>
      </c>
      <c r="B2080">
        <f>Data!G2183</f>
        <v/>
      </c>
      <c r="C2080">
        <f>Data!H2183</f>
        <v/>
      </c>
      <c r="D2080">
        <f>Data!I2183</f>
        <v/>
      </c>
      <c r="E2080">
        <f>Data!M2183</f>
        <v/>
      </c>
      <c r="F2080">
        <f>Data!O2183</f>
        <v/>
      </c>
      <c r="G2080">
        <f>E2080-F2080</f>
        <v/>
      </c>
      <c r="H2080">
        <f>Data!P2183</f>
        <v/>
      </c>
      <c r="I2080">
        <f>G2080+H2080</f>
        <v/>
      </c>
      <c r="J2080">
        <f>F2080+G2080+H2080</f>
        <v/>
      </c>
      <c r="K2080">
        <f>Data!R2183</f>
        <v/>
      </c>
      <c r="L2080">
        <f>Data!T2183</f>
        <v/>
      </c>
      <c r="M2080">
        <f>AND(E2080=0,F2080=0,G2080=0,H2080=0,I2080=0,J2080=0,K2080=0,L2080=0)</f>
        <v/>
      </c>
      <c r="N2080">
        <f>G2080&lt;=$T$6</f>
        <v/>
      </c>
      <c r="O2080">
        <f>G2080&lt;=$T$12</f>
        <v/>
      </c>
      <c r="P2080">
        <f>OR(AND(H2080&gt;=$T$4,K2080&lt;=$T$5,N2080),M2080)</f>
        <v/>
      </c>
      <c r="Q2080">
        <f>OR(AND(I2080&gt;=$T$10,K2080&lt;=$T$11,O2080),M2080)</f>
        <v/>
      </c>
    </row>
    <row r="2081">
      <c r="A2081">
        <f>Data!E2184</f>
        <v/>
      </c>
      <c r="B2081">
        <f>Data!G2184</f>
        <v/>
      </c>
      <c r="C2081">
        <f>Data!H2184</f>
        <v/>
      </c>
      <c r="D2081">
        <f>Data!I2184</f>
        <v/>
      </c>
      <c r="E2081">
        <f>Data!M2184</f>
        <v/>
      </c>
      <c r="F2081">
        <f>Data!O2184</f>
        <v/>
      </c>
      <c r="G2081">
        <f>E2081-F2081</f>
        <v/>
      </c>
      <c r="H2081">
        <f>Data!P2184</f>
        <v/>
      </c>
      <c r="I2081">
        <f>G2081+H2081</f>
        <v/>
      </c>
      <c r="J2081">
        <f>F2081+G2081+H2081</f>
        <v/>
      </c>
      <c r="K2081">
        <f>Data!R2184</f>
        <v/>
      </c>
      <c r="L2081">
        <f>Data!T2184</f>
        <v/>
      </c>
      <c r="M2081">
        <f>AND(E2081=0,F2081=0,G2081=0,H2081=0,I2081=0,J2081=0,K2081=0,L2081=0)</f>
        <v/>
      </c>
      <c r="N2081">
        <f>G2081&lt;=$T$6</f>
        <v/>
      </c>
      <c r="O2081">
        <f>G2081&lt;=$T$12</f>
        <v/>
      </c>
      <c r="P2081">
        <f>OR(AND(H2081&gt;=$T$4,K2081&lt;=$T$5,N2081),M2081)</f>
        <v/>
      </c>
      <c r="Q2081">
        <f>OR(AND(I2081&gt;=$T$10,K2081&lt;=$T$11,O2081),M2081)</f>
        <v/>
      </c>
    </row>
    <row r="2082">
      <c r="A2082">
        <f>Data!E2185</f>
        <v/>
      </c>
      <c r="B2082">
        <f>Data!G2185</f>
        <v/>
      </c>
      <c r="C2082">
        <f>Data!H2185</f>
        <v/>
      </c>
      <c r="D2082">
        <f>Data!I2185</f>
        <v/>
      </c>
      <c r="E2082">
        <f>Data!M2185</f>
        <v/>
      </c>
      <c r="F2082">
        <f>Data!O2185</f>
        <v/>
      </c>
      <c r="G2082">
        <f>E2082-F2082</f>
        <v/>
      </c>
      <c r="H2082">
        <f>Data!P2185</f>
        <v/>
      </c>
      <c r="I2082">
        <f>G2082+H2082</f>
        <v/>
      </c>
      <c r="J2082">
        <f>F2082+G2082+H2082</f>
        <v/>
      </c>
      <c r="K2082">
        <f>Data!R2185</f>
        <v/>
      </c>
      <c r="L2082">
        <f>Data!T2185</f>
        <v/>
      </c>
      <c r="M2082">
        <f>AND(E2082=0,F2082=0,G2082=0,H2082=0,I2082=0,J2082=0,K2082=0,L2082=0)</f>
        <v/>
      </c>
      <c r="N2082">
        <f>G2082&lt;=$T$6</f>
        <v/>
      </c>
      <c r="O2082">
        <f>G2082&lt;=$T$12</f>
        <v/>
      </c>
      <c r="P2082">
        <f>OR(AND(H2082&gt;=$T$4,K2082&lt;=$T$5,N2082),M2082)</f>
        <v/>
      </c>
      <c r="Q2082">
        <f>OR(AND(I2082&gt;=$T$10,K2082&lt;=$T$11,O2082),M2082)</f>
        <v/>
      </c>
    </row>
    <row r="2083">
      <c r="A2083">
        <f>Data!E2186</f>
        <v/>
      </c>
      <c r="B2083">
        <f>Data!G2186</f>
        <v/>
      </c>
      <c r="C2083">
        <f>Data!H2186</f>
        <v/>
      </c>
      <c r="D2083">
        <f>Data!I2186</f>
        <v/>
      </c>
      <c r="E2083">
        <f>Data!M2186</f>
        <v/>
      </c>
      <c r="F2083">
        <f>Data!O2186</f>
        <v/>
      </c>
      <c r="G2083">
        <f>E2083-F2083</f>
        <v/>
      </c>
      <c r="H2083">
        <f>Data!P2186</f>
        <v/>
      </c>
      <c r="I2083">
        <f>G2083+H2083</f>
        <v/>
      </c>
      <c r="J2083">
        <f>F2083+G2083+H2083</f>
        <v/>
      </c>
      <c r="K2083">
        <f>Data!R2186</f>
        <v/>
      </c>
      <c r="L2083">
        <f>Data!T2186</f>
        <v/>
      </c>
      <c r="M2083">
        <f>AND(E2083=0,F2083=0,G2083=0,H2083=0,I2083=0,J2083=0,K2083=0,L2083=0)</f>
        <v/>
      </c>
      <c r="N2083">
        <f>G2083&lt;=$T$6</f>
        <v/>
      </c>
      <c r="O2083">
        <f>G2083&lt;=$T$12</f>
        <v/>
      </c>
      <c r="P2083">
        <f>OR(AND(H2083&gt;=$T$4,K2083&lt;=$T$5,N2083),M2083)</f>
        <v/>
      </c>
      <c r="Q2083">
        <f>OR(AND(I2083&gt;=$T$10,K2083&lt;=$T$11,O2083),M2083)</f>
        <v/>
      </c>
    </row>
    <row r="2084">
      <c r="A2084">
        <f>Data!E2187</f>
        <v/>
      </c>
      <c r="B2084">
        <f>Data!G2187</f>
        <v/>
      </c>
      <c r="C2084">
        <f>Data!H2187</f>
        <v/>
      </c>
      <c r="D2084">
        <f>Data!I2187</f>
        <v/>
      </c>
      <c r="E2084">
        <f>Data!M2187</f>
        <v/>
      </c>
      <c r="F2084">
        <f>Data!O2187</f>
        <v/>
      </c>
      <c r="G2084">
        <f>E2084-F2084</f>
        <v/>
      </c>
      <c r="H2084">
        <f>Data!P2187</f>
        <v/>
      </c>
      <c r="I2084">
        <f>G2084+H2084</f>
        <v/>
      </c>
      <c r="J2084">
        <f>F2084+G2084+H2084</f>
        <v/>
      </c>
      <c r="K2084">
        <f>Data!R2187</f>
        <v/>
      </c>
      <c r="L2084">
        <f>Data!T2187</f>
        <v/>
      </c>
      <c r="M2084">
        <f>AND(E2084=0,F2084=0,G2084=0,H2084=0,I2084=0,J2084=0,K2084=0,L2084=0)</f>
        <v/>
      </c>
      <c r="N2084">
        <f>G2084&lt;=$T$6</f>
        <v/>
      </c>
      <c r="O2084">
        <f>G2084&lt;=$T$12</f>
        <v/>
      </c>
      <c r="P2084">
        <f>OR(AND(H2084&gt;=$T$4,K2084&lt;=$T$5,N2084),M2084)</f>
        <v/>
      </c>
      <c r="Q2084">
        <f>OR(AND(I2084&gt;=$T$10,K2084&lt;=$T$11,O2084),M2084)</f>
        <v/>
      </c>
    </row>
    <row r="2085">
      <c r="A2085">
        <f>Data!E2188</f>
        <v/>
      </c>
      <c r="B2085">
        <f>Data!G2188</f>
        <v/>
      </c>
      <c r="C2085">
        <f>Data!H2188</f>
        <v/>
      </c>
      <c r="D2085">
        <f>Data!I2188</f>
        <v/>
      </c>
      <c r="E2085">
        <f>Data!M2188</f>
        <v/>
      </c>
      <c r="F2085">
        <f>Data!O2188</f>
        <v/>
      </c>
      <c r="G2085">
        <f>E2085-F2085</f>
        <v/>
      </c>
      <c r="H2085">
        <f>Data!P2188</f>
        <v/>
      </c>
      <c r="I2085">
        <f>G2085+H2085</f>
        <v/>
      </c>
      <c r="J2085">
        <f>F2085+G2085+H2085</f>
        <v/>
      </c>
      <c r="K2085">
        <f>Data!R2188</f>
        <v/>
      </c>
      <c r="L2085">
        <f>Data!T2188</f>
        <v/>
      </c>
      <c r="M2085">
        <f>AND(E2085=0,F2085=0,G2085=0,H2085=0,I2085=0,J2085=0,K2085=0,L2085=0)</f>
        <v/>
      </c>
      <c r="N2085">
        <f>G2085&lt;=$T$6</f>
        <v/>
      </c>
      <c r="O2085">
        <f>G2085&lt;=$T$12</f>
        <v/>
      </c>
      <c r="P2085">
        <f>OR(AND(H2085&gt;=$T$4,K2085&lt;=$T$5,N2085),M2085)</f>
        <v/>
      </c>
      <c r="Q2085">
        <f>OR(AND(I2085&gt;=$T$10,K2085&lt;=$T$11,O2085),M2085)</f>
        <v/>
      </c>
    </row>
    <row r="2086">
      <c r="A2086">
        <f>Data!E2189</f>
        <v/>
      </c>
      <c r="B2086">
        <f>Data!G2189</f>
        <v/>
      </c>
      <c r="C2086">
        <f>Data!H2189</f>
        <v/>
      </c>
      <c r="D2086">
        <f>Data!I2189</f>
        <v/>
      </c>
      <c r="E2086">
        <f>Data!M2189</f>
        <v/>
      </c>
      <c r="F2086">
        <f>Data!O2189</f>
        <v/>
      </c>
      <c r="G2086">
        <f>E2086-F2086</f>
        <v/>
      </c>
      <c r="H2086">
        <f>Data!P2189</f>
        <v/>
      </c>
      <c r="I2086">
        <f>G2086+H2086</f>
        <v/>
      </c>
      <c r="J2086">
        <f>F2086+G2086+H2086</f>
        <v/>
      </c>
      <c r="K2086">
        <f>Data!R2189</f>
        <v/>
      </c>
      <c r="L2086">
        <f>Data!T2189</f>
        <v/>
      </c>
      <c r="M2086">
        <f>AND(E2086=0,F2086=0,G2086=0,H2086=0,I2086=0,J2086=0,K2086=0,L2086=0)</f>
        <v/>
      </c>
      <c r="N2086">
        <f>G2086&lt;=$T$6</f>
        <v/>
      </c>
      <c r="O2086">
        <f>G2086&lt;=$T$12</f>
        <v/>
      </c>
      <c r="P2086">
        <f>OR(AND(H2086&gt;=$T$4,K2086&lt;=$T$5,N2086),M2086)</f>
        <v/>
      </c>
      <c r="Q2086">
        <f>OR(AND(I2086&gt;=$T$10,K2086&lt;=$T$11,O2086),M2086)</f>
        <v/>
      </c>
    </row>
    <row r="2087">
      <c r="A2087">
        <f>Data!E2190</f>
        <v/>
      </c>
      <c r="B2087">
        <f>Data!G2190</f>
        <v/>
      </c>
      <c r="C2087">
        <f>Data!H2190</f>
        <v/>
      </c>
      <c r="D2087">
        <f>Data!I2190</f>
        <v/>
      </c>
      <c r="E2087">
        <f>Data!M2190</f>
        <v/>
      </c>
      <c r="F2087">
        <f>Data!O2190</f>
        <v/>
      </c>
      <c r="G2087">
        <f>E2087-F2087</f>
        <v/>
      </c>
      <c r="H2087">
        <f>Data!P2190</f>
        <v/>
      </c>
      <c r="I2087">
        <f>G2087+H2087</f>
        <v/>
      </c>
      <c r="J2087">
        <f>F2087+G2087+H2087</f>
        <v/>
      </c>
      <c r="K2087">
        <f>Data!R2190</f>
        <v/>
      </c>
      <c r="L2087">
        <f>Data!T2190</f>
        <v/>
      </c>
      <c r="M2087">
        <f>AND(E2087=0,F2087=0,G2087=0,H2087=0,I2087=0,J2087=0,K2087=0,L2087=0)</f>
        <v/>
      </c>
      <c r="N2087">
        <f>G2087&lt;=$T$6</f>
        <v/>
      </c>
      <c r="O2087">
        <f>G2087&lt;=$T$12</f>
        <v/>
      </c>
      <c r="P2087">
        <f>OR(AND(H2087&gt;=$T$4,K2087&lt;=$T$5,N2087),M2087)</f>
        <v/>
      </c>
      <c r="Q2087">
        <f>OR(AND(I2087&gt;=$T$10,K2087&lt;=$T$11,O2087),M2087)</f>
        <v/>
      </c>
    </row>
    <row r="2088">
      <c r="A2088">
        <f>Data!E2191</f>
        <v/>
      </c>
      <c r="B2088">
        <f>Data!G2191</f>
        <v/>
      </c>
      <c r="C2088">
        <f>Data!H2191</f>
        <v/>
      </c>
      <c r="D2088">
        <f>Data!I2191</f>
        <v/>
      </c>
      <c r="E2088">
        <f>Data!M2191</f>
        <v/>
      </c>
      <c r="F2088">
        <f>Data!O2191</f>
        <v/>
      </c>
      <c r="G2088">
        <f>E2088-F2088</f>
        <v/>
      </c>
      <c r="H2088">
        <f>Data!P2191</f>
        <v/>
      </c>
      <c r="I2088">
        <f>G2088+H2088</f>
        <v/>
      </c>
      <c r="J2088">
        <f>F2088+G2088+H2088</f>
        <v/>
      </c>
      <c r="K2088">
        <f>Data!R2191</f>
        <v/>
      </c>
      <c r="L2088">
        <f>Data!T2191</f>
        <v/>
      </c>
      <c r="M2088">
        <f>AND(E2088=0,F2088=0,G2088=0,H2088=0,I2088=0,J2088=0,K2088=0,L2088=0)</f>
        <v/>
      </c>
      <c r="N2088">
        <f>G2088&lt;=$T$6</f>
        <v/>
      </c>
      <c r="O2088">
        <f>G2088&lt;=$T$12</f>
        <v/>
      </c>
      <c r="P2088">
        <f>OR(AND(H2088&gt;=$T$4,K2088&lt;=$T$5,N2088),M2088)</f>
        <v/>
      </c>
      <c r="Q2088">
        <f>OR(AND(I2088&gt;=$T$10,K2088&lt;=$T$11,O2088),M2088)</f>
        <v/>
      </c>
    </row>
    <row r="2089">
      <c r="A2089">
        <f>Data!E2192</f>
        <v/>
      </c>
      <c r="B2089">
        <f>Data!G2192</f>
        <v/>
      </c>
      <c r="C2089">
        <f>Data!H2192</f>
        <v/>
      </c>
      <c r="D2089">
        <f>Data!I2192</f>
        <v/>
      </c>
      <c r="E2089">
        <f>Data!M2192</f>
        <v/>
      </c>
      <c r="F2089">
        <f>Data!O2192</f>
        <v/>
      </c>
      <c r="G2089">
        <f>E2089-F2089</f>
        <v/>
      </c>
      <c r="H2089">
        <f>Data!P2192</f>
        <v/>
      </c>
      <c r="I2089">
        <f>G2089+H2089</f>
        <v/>
      </c>
      <c r="J2089">
        <f>F2089+G2089+H2089</f>
        <v/>
      </c>
      <c r="K2089">
        <f>Data!R2192</f>
        <v/>
      </c>
      <c r="L2089">
        <f>Data!T2192</f>
        <v/>
      </c>
      <c r="M2089">
        <f>AND(E2089=0,F2089=0,G2089=0,H2089=0,I2089=0,J2089=0,K2089=0,L2089=0)</f>
        <v/>
      </c>
      <c r="N2089">
        <f>G2089&lt;=$T$6</f>
        <v/>
      </c>
      <c r="O2089">
        <f>G2089&lt;=$T$12</f>
        <v/>
      </c>
      <c r="P2089">
        <f>OR(AND(H2089&gt;=$T$4,K2089&lt;=$T$5,N2089),M2089)</f>
        <v/>
      </c>
      <c r="Q2089">
        <f>OR(AND(I2089&gt;=$T$10,K2089&lt;=$T$11,O2089),M2089)</f>
        <v/>
      </c>
    </row>
    <row r="2090">
      <c r="A2090">
        <f>Data!E2193</f>
        <v/>
      </c>
      <c r="B2090">
        <f>Data!G2193</f>
        <v/>
      </c>
      <c r="C2090">
        <f>Data!H2193</f>
        <v/>
      </c>
      <c r="D2090">
        <f>Data!I2193</f>
        <v/>
      </c>
      <c r="E2090">
        <f>Data!M2193</f>
        <v/>
      </c>
      <c r="F2090">
        <f>Data!O2193</f>
        <v/>
      </c>
      <c r="G2090">
        <f>E2090-F2090</f>
        <v/>
      </c>
      <c r="H2090">
        <f>Data!P2193</f>
        <v/>
      </c>
      <c r="I2090">
        <f>G2090+H2090</f>
        <v/>
      </c>
      <c r="J2090">
        <f>F2090+G2090+H2090</f>
        <v/>
      </c>
      <c r="K2090">
        <f>Data!R2193</f>
        <v/>
      </c>
      <c r="L2090">
        <f>Data!T2193</f>
        <v/>
      </c>
      <c r="M2090">
        <f>AND(E2090=0,F2090=0,G2090=0,H2090=0,I2090=0,J2090=0,K2090=0,L2090=0)</f>
        <v/>
      </c>
      <c r="N2090">
        <f>G2090&lt;=$T$6</f>
        <v/>
      </c>
      <c r="O2090">
        <f>G2090&lt;=$T$12</f>
        <v/>
      </c>
      <c r="P2090">
        <f>OR(AND(H2090&gt;=$T$4,K2090&lt;=$T$5,N2090),M2090)</f>
        <v/>
      </c>
      <c r="Q2090">
        <f>OR(AND(I2090&gt;=$T$10,K2090&lt;=$T$11,O2090),M2090)</f>
        <v/>
      </c>
    </row>
    <row r="2091">
      <c r="A2091">
        <f>Data!E2194</f>
        <v/>
      </c>
      <c r="B2091">
        <f>Data!G2194</f>
        <v/>
      </c>
      <c r="C2091">
        <f>Data!H2194</f>
        <v/>
      </c>
      <c r="D2091">
        <f>Data!I2194</f>
        <v/>
      </c>
      <c r="E2091">
        <f>Data!M2194</f>
        <v/>
      </c>
      <c r="F2091">
        <f>Data!O2194</f>
        <v/>
      </c>
      <c r="G2091">
        <f>E2091-F2091</f>
        <v/>
      </c>
      <c r="H2091">
        <f>Data!P2194</f>
        <v/>
      </c>
      <c r="I2091">
        <f>G2091+H2091</f>
        <v/>
      </c>
      <c r="J2091">
        <f>F2091+G2091+H2091</f>
        <v/>
      </c>
      <c r="K2091">
        <f>Data!R2194</f>
        <v/>
      </c>
      <c r="L2091">
        <f>Data!T2194</f>
        <v/>
      </c>
      <c r="M2091">
        <f>AND(E2091=0,F2091=0,G2091=0,H2091=0,I2091=0,J2091=0,K2091=0,L2091=0)</f>
        <v/>
      </c>
      <c r="N2091">
        <f>G2091&lt;=$T$6</f>
        <v/>
      </c>
      <c r="O2091">
        <f>G2091&lt;=$T$12</f>
        <v/>
      </c>
      <c r="P2091">
        <f>OR(AND(H2091&gt;=$T$4,K2091&lt;=$T$5,N2091),M2091)</f>
        <v/>
      </c>
      <c r="Q2091">
        <f>OR(AND(I2091&gt;=$T$10,K2091&lt;=$T$11,O2091),M2091)</f>
        <v/>
      </c>
    </row>
    <row r="2092">
      <c r="A2092">
        <f>Data!E2195</f>
        <v/>
      </c>
      <c r="B2092">
        <f>Data!G2195</f>
        <v/>
      </c>
      <c r="C2092">
        <f>Data!H2195</f>
        <v/>
      </c>
      <c r="D2092">
        <f>Data!I2195</f>
        <v/>
      </c>
      <c r="E2092">
        <f>Data!M2195</f>
        <v/>
      </c>
      <c r="F2092">
        <f>Data!O2195</f>
        <v/>
      </c>
      <c r="G2092">
        <f>E2092-F2092</f>
        <v/>
      </c>
      <c r="H2092">
        <f>Data!P2195</f>
        <v/>
      </c>
      <c r="I2092">
        <f>G2092+H2092</f>
        <v/>
      </c>
      <c r="J2092">
        <f>F2092+G2092+H2092</f>
        <v/>
      </c>
      <c r="K2092">
        <f>Data!R2195</f>
        <v/>
      </c>
      <c r="L2092">
        <f>Data!T2195</f>
        <v/>
      </c>
      <c r="M2092">
        <f>AND(E2092=0,F2092=0,G2092=0,H2092=0,I2092=0,J2092=0,K2092=0,L2092=0)</f>
        <v/>
      </c>
      <c r="N2092">
        <f>G2092&lt;=$T$6</f>
        <v/>
      </c>
      <c r="O2092">
        <f>G2092&lt;=$T$12</f>
        <v/>
      </c>
      <c r="P2092">
        <f>OR(AND(H2092&gt;=$T$4,K2092&lt;=$T$5,N2092),M2092)</f>
        <v/>
      </c>
      <c r="Q2092">
        <f>OR(AND(I2092&gt;=$T$10,K2092&lt;=$T$11,O2092),M2092)</f>
        <v/>
      </c>
    </row>
    <row r="2093">
      <c r="A2093">
        <f>Data!E2196</f>
        <v/>
      </c>
      <c r="B2093">
        <f>Data!G2196</f>
        <v/>
      </c>
      <c r="C2093">
        <f>Data!H2196</f>
        <v/>
      </c>
      <c r="D2093">
        <f>Data!I2196</f>
        <v/>
      </c>
      <c r="E2093">
        <f>Data!M2196</f>
        <v/>
      </c>
      <c r="F2093">
        <f>Data!O2196</f>
        <v/>
      </c>
      <c r="G2093">
        <f>E2093-F2093</f>
        <v/>
      </c>
      <c r="H2093">
        <f>Data!P2196</f>
        <v/>
      </c>
      <c r="I2093">
        <f>G2093+H2093</f>
        <v/>
      </c>
      <c r="J2093">
        <f>F2093+G2093+H2093</f>
        <v/>
      </c>
      <c r="K2093">
        <f>Data!R2196</f>
        <v/>
      </c>
      <c r="L2093">
        <f>Data!T2196</f>
        <v/>
      </c>
      <c r="M2093">
        <f>AND(E2093=0,F2093=0,G2093=0,H2093=0,I2093=0,J2093=0,K2093=0,L2093=0)</f>
        <v/>
      </c>
      <c r="N2093">
        <f>G2093&lt;=$T$6</f>
        <v/>
      </c>
      <c r="O2093">
        <f>G2093&lt;=$T$12</f>
        <v/>
      </c>
      <c r="P2093">
        <f>OR(AND(H2093&gt;=$T$4,K2093&lt;=$T$5,N2093),M2093)</f>
        <v/>
      </c>
      <c r="Q2093">
        <f>OR(AND(I2093&gt;=$T$10,K2093&lt;=$T$11,O2093),M2093)</f>
        <v/>
      </c>
    </row>
    <row r="2094">
      <c r="A2094">
        <f>Data!E2198</f>
        <v/>
      </c>
      <c r="B2094">
        <f>Data!G2198</f>
        <v/>
      </c>
      <c r="C2094">
        <f>Data!H2198</f>
        <v/>
      </c>
      <c r="D2094">
        <f>Data!I2198</f>
        <v/>
      </c>
      <c r="E2094">
        <f>Data!M2198</f>
        <v/>
      </c>
      <c r="F2094">
        <f>Data!O2198</f>
        <v/>
      </c>
      <c r="G2094">
        <f>E2094-F2094</f>
        <v/>
      </c>
      <c r="H2094">
        <f>Data!P2198</f>
        <v/>
      </c>
      <c r="I2094">
        <f>G2094+H2094</f>
        <v/>
      </c>
      <c r="J2094">
        <f>F2094+G2094+H2094</f>
        <v/>
      </c>
      <c r="K2094">
        <f>Data!R2198</f>
        <v/>
      </c>
      <c r="L2094">
        <f>Data!T2198</f>
        <v/>
      </c>
      <c r="M2094">
        <f>AND(E2094=0,F2094=0,G2094=0,H2094=0,I2094=0,J2094=0,K2094=0,L2094=0)</f>
        <v/>
      </c>
      <c r="N2094">
        <f>G2094&lt;=$T$6</f>
        <v/>
      </c>
      <c r="O2094">
        <f>G2094&lt;=$T$12</f>
        <v/>
      </c>
      <c r="P2094">
        <f>OR(AND(H2094&gt;=$T$4,K2094&lt;=$T$5,N2094),M2094)</f>
        <v/>
      </c>
      <c r="Q2094">
        <f>OR(AND(I2094&gt;=$T$10,K2094&lt;=$T$11,O2094),M2094)</f>
        <v/>
      </c>
    </row>
    <row r="2095">
      <c r="A2095">
        <f>Data!E2199</f>
        <v/>
      </c>
      <c r="B2095">
        <f>Data!G2199</f>
        <v/>
      </c>
      <c r="C2095">
        <f>Data!H2199</f>
        <v/>
      </c>
      <c r="D2095">
        <f>Data!I2199</f>
        <v/>
      </c>
      <c r="E2095">
        <f>Data!M2199</f>
        <v/>
      </c>
      <c r="F2095">
        <f>Data!O2199</f>
        <v/>
      </c>
      <c r="G2095">
        <f>E2095-F2095</f>
        <v/>
      </c>
      <c r="H2095">
        <f>Data!P2199</f>
        <v/>
      </c>
      <c r="I2095">
        <f>G2095+H2095</f>
        <v/>
      </c>
      <c r="J2095">
        <f>F2095+G2095+H2095</f>
        <v/>
      </c>
      <c r="K2095">
        <f>Data!R2199</f>
        <v/>
      </c>
      <c r="L2095">
        <f>Data!T2199</f>
        <v/>
      </c>
      <c r="M2095">
        <f>AND(E2095=0,F2095=0,G2095=0,H2095=0,I2095=0,J2095=0,K2095=0,L2095=0)</f>
        <v/>
      </c>
      <c r="N2095">
        <f>G2095&lt;=$T$6</f>
        <v/>
      </c>
      <c r="O2095">
        <f>G2095&lt;=$T$12</f>
        <v/>
      </c>
      <c r="P2095">
        <f>OR(AND(H2095&gt;=$T$4,K2095&lt;=$T$5,N2095),M2095)</f>
        <v/>
      </c>
      <c r="Q2095">
        <f>OR(AND(I2095&gt;=$T$10,K2095&lt;=$T$11,O2095),M2095)</f>
        <v/>
      </c>
    </row>
    <row r="2096">
      <c r="A2096">
        <f>Data!E2200</f>
        <v/>
      </c>
      <c r="B2096">
        <f>Data!G2200</f>
        <v/>
      </c>
      <c r="C2096">
        <f>Data!H2200</f>
        <v/>
      </c>
      <c r="D2096">
        <f>Data!I2200</f>
        <v/>
      </c>
      <c r="E2096">
        <f>Data!M2200</f>
        <v/>
      </c>
      <c r="F2096">
        <f>Data!O2200</f>
        <v/>
      </c>
      <c r="G2096">
        <f>E2096-F2096</f>
        <v/>
      </c>
      <c r="H2096">
        <f>Data!P2200</f>
        <v/>
      </c>
      <c r="I2096">
        <f>G2096+H2096</f>
        <v/>
      </c>
      <c r="J2096">
        <f>F2096+G2096+H2096</f>
        <v/>
      </c>
      <c r="K2096">
        <f>Data!R2200</f>
        <v/>
      </c>
      <c r="L2096">
        <f>Data!T2200</f>
        <v/>
      </c>
      <c r="M2096">
        <f>AND(E2096=0,F2096=0,G2096=0,H2096=0,I2096=0,J2096=0,K2096=0,L2096=0)</f>
        <v/>
      </c>
      <c r="N2096">
        <f>G2096&lt;=$T$6</f>
        <v/>
      </c>
      <c r="O2096">
        <f>G2096&lt;=$T$12</f>
        <v/>
      </c>
      <c r="P2096">
        <f>OR(AND(H2096&gt;=$T$4,K2096&lt;=$T$5,N2096),M2096)</f>
        <v/>
      </c>
      <c r="Q2096">
        <f>OR(AND(I2096&gt;=$T$10,K2096&lt;=$T$11,O2096),M2096)</f>
        <v/>
      </c>
    </row>
    <row r="2097">
      <c r="A2097">
        <f>Data!E2201</f>
        <v/>
      </c>
      <c r="B2097">
        <f>Data!G2201</f>
        <v/>
      </c>
      <c r="C2097">
        <f>Data!H2201</f>
        <v/>
      </c>
      <c r="D2097">
        <f>Data!I2201</f>
        <v/>
      </c>
      <c r="E2097">
        <f>Data!M2201</f>
        <v/>
      </c>
      <c r="F2097">
        <f>Data!O2201</f>
        <v/>
      </c>
      <c r="G2097">
        <f>E2097-F2097</f>
        <v/>
      </c>
      <c r="H2097">
        <f>Data!P2201</f>
        <v/>
      </c>
      <c r="I2097">
        <f>G2097+H2097</f>
        <v/>
      </c>
      <c r="J2097">
        <f>F2097+G2097+H2097</f>
        <v/>
      </c>
      <c r="K2097">
        <f>Data!R2201</f>
        <v/>
      </c>
      <c r="L2097">
        <f>Data!T2201</f>
        <v/>
      </c>
      <c r="M2097">
        <f>AND(E2097=0,F2097=0,G2097=0,H2097=0,I2097=0,J2097=0,K2097=0,L2097=0)</f>
        <v/>
      </c>
      <c r="N2097">
        <f>G2097&lt;=$T$6</f>
        <v/>
      </c>
      <c r="O2097">
        <f>G2097&lt;=$T$12</f>
        <v/>
      </c>
      <c r="P2097">
        <f>OR(AND(H2097&gt;=$T$4,K2097&lt;=$T$5,N2097),M2097)</f>
        <v/>
      </c>
      <c r="Q2097">
        <f>OR(AND(I2097&gt;=$T$10,K2097&lt;=$T$11,O2097),M2097)</f>
        <v/>
      </c>
    </row>
    <row r="2098">
      <c r="A2098">
        <f>Data!E2202</f>
        <v/>
      </c>
      <c r="B2098">
        <f>Data!G2202</f>
        <v/>
      </c>
      <c r="C2098">
        <f>Data!H2202</f>
        <v/>
      </c>
      <c r="D2098">
        <f>Data!I2202</f>
        <v/>
      </c>
      <c r="E2098">
        <f>Data!M2202</f>
        <v/>
      </c>
      <c r="F2098">
        <f>Data!O2202</f>
        <v/>
      </c>
      <c r="G2098">
        <f>E2098-F2098</f>
        <v/>
      </c>
      <c r="H2098">
        <f>Data!P2202</f>
        <v/>
      </c>
      <c r="I2098">
        <f>G2098+H2098</f>
        <v/>
      </c>
      <c r="J2098">
        <f>F2098+G2098+H2098</f>
        <v/>
      </c>
      <c r="K2098">
        <f>Data!R2202</f>
        <v/>
      </c>
      <c r="L2098">
        <f>Data!T2202</f>
        <v/>
      </c>
      <c r="M2098">
        <f>AND(E2098=0,F2098=0,G2098=0,H2098=0,I2098=0,J2098=0,K2098=0,L2098=0)</f>
        <v/>
      </c>
      <c r="N2098">
        <f>G2098&lt;=$T$6</f>
        <v/>
      </c>
      <c r="O2098">
        <f>G2098&lt;=$T$12</f>
        <v/>
      </c>
      <c r="P2098">
        <f>OR(AND(H2098&gt;=$T$4,K2098&lt;=$T$5,N2098),M2098)</f>
        <v/>
      </c>
      <c r="Q2098">
        <f>OR(AND(I2098&gt;=$T$10,K2098&lt;=$T$11,O2098),M2098)</f>
        <v/>
      </c>
    </row>
    <row r="2099">
      <c r="A2099">
        <f>Data!E2203</f>
        <v/>
      </c>
      <c r="B2099">
        <f>Data!G2203</f>
        <v/>
      </c>
      <c r="C2099">
        <f>Data!H2203</f>
        <v/>
      </c>
      <c r="D2099">
        <f>Data!I2203</f>
        <v/>
      </c>
      <c r="E2099">
        <f>Data!M2203</f>
        <v/>
      </c>
      <c r="F2099">
        <f>Data!O2203</f>
        <v/>
      </c>
      <c r="G2099">
        <f>E2099-F2099</f>
        <v/>
      </c>
      <c r="H2099">
        <f>Data!P2203</f>
        <v/>
      </c>
      <c r="I2099">
        <f>G2099+H2099</f>
        <v/>
      </c>
      <c r="J2099">
        <f>F2099+G2099+H2099</f>
        <v/>
      </c>
      <c r="K2099">
        <f>Data!R2203</f>
        <v/>
      </c>
      <c r="L2099">
        <f>Data!T2203</f>
        <v/>
      </c>
      <c r="M2099">
        <f>AND(E2099=0,F2099=0,G2099=0,H2099=0,I2099=0,J2099=0,K2099=0,L2099=0)</f>
        <v/>
      </c>
      <c r="N2099">
        <f>G2099&lt;=$T$6</f>
        <v/>
      </c>
      <c r="O2099">
        <f>G2099&lt;=$T$12</f>
        <v/>
      </c>
      <c r="P2099">
        <f>OR(AND(H2099&gt;=$T$4,K2099&lt;=$T$5,N2099),M2099)</f>
        <v/>
      </c>
      <c r="Q2099">
        <f>OR(AND(I2099&gt;=$T$10,K2099&lt;=$T$11,O2099),M2099)</f>
        <v/>
      </c>
    </row>
    <row r="2100">
      <c r="A2100">
        <f>Data!E2204</f>
        <v/>
      </c>
      <c r="B2100">
        <f>Data!G2204</f>
        <v/>
      </c>
      <c r="C2100">
        <f>Data!H2204</f>
        <v/>
      </c>
      <c r="D2100">
        <f>Data!I2204</f>
        <v/>
      </c>
      <c r="E2100">
        <f>Data!M2204</f>
        <v/>
      </c>
      <c r="F2100">
        <f>Data!O2204</f>
        <v/>
      </c>
      <c r="G2100">
        <f>E2100-F2100</f>
        <v/>
      </c>
      <c r="H2100">
        <f>Data!P2204</f>
        <v/>
      </c>
      <c r="I2100">
        <f>G2100+H2100</f>
        <v/>
      </c>
      <c r="J2100">
        <f>F2100+G2100+H2100</f>
        <v/>
      </c>
      <c r="K2100">
        <f>Data!R2204</f>
        <v/>
      </c>
      <c r="L2100">
        <f>Data!T2204</f>
        <v/>
      </c>
      <c r="M2100">
        <f>AND(E2100=0,F2100=0,G2100=0,H2100=0,I2100=0,J2100=0,K2100=0,L2100=0)</f>
        <v/>
      </c>
      <c r="N2100">
        <f>G2100&lt;=$T$6</f>
        <v/>
      </c>
      <c r="O2100">
        <f>G2100&lt;=$T$12</f>
        <v/>
      </c>
      <c r="P2100">
        <f>OR(AND(H2100&gt;=$T$4,K2100&lt;=$T$5,N2100),M2100)</f>
        <v/>
      </c>
      <c r="Q2100">
        <f>OR(AND(I2100&gt;=$T$10,K2100&lt;=$T$11,O2100),M2100)</f>
        <v/>
      </c>
    </row>
    <row r="2101">
      <c r="A2101">
        <f>Data!E2205</f>
        <v/>
      </c>
      <c r="B2101">
        <f>Data!G2205</f>
        <v/>
      </c>
      <c r="C2101">
        <f>Data!H2205</f>
        <v/>
      </c>
      <c r="D2101">
        <f>Data!I2205</f>
        <v/>
      </c>
      <c r="E2101">
        <f>Data!M2205</f>
        <v/>
      </c>
      <c r="F2101">
        <f>Data!O2205</f>
        <v/>
      </c>
      <c r="G2101">
        <f>E2101-F2101</f>
        <v/>
      </c>
      <c r="H2101">
        <f>Data!P2205</f>
        <v/>
      </c>
      <c r="I2101">
        <f>G2101+H2101</f>
        <v/>
      </c>
      <c r="J2101">
        <f>F2101+G2101+H2101</f>
        <v/>
      </c>
      <c r="K2101">
        <f>Data!R2205</f>
        <v/>
      </c>
      <c r="L2101">
        <f>Data!T2205</f>
        <v/>
      </c>
      <c r="M2101">
        <f>AND(E2101=0,F2101=0,G2101=0,H2101=0,I2101=0,J2101=0,K2101=0,L2101=0)</f>
        <v/>
      </c>
      <c r="N2101">
        <f>G2101&lt;=$T$6</f>
        <v/>
      </c>
      <c r="O2101">
        <f>G2101&lt;=$T$12</f>
        <v/>
      </c>
      <c r="P2101">
        <f>OR(AND(H2101&gt;=$T$4,K2101&lt;=$T$5,N2101),M2101)</f>
        <v/>
      </c>
      <c r="Q2101">
        <f>OR(AND(I2101&gt;=$T$10,K2101&lt;=$T$11,O2101),M2101)</f>
        <v/>
      </c>
    </row>
    <row r="2102">
      <c r="A2102">
        <f>Data!E2206</f>
        <v/>
      </c>
      <c r="B2102">
        <f>Data!G2206</f>
        <v/>
      </c>
      <c r="C2102">
        <f>Data!H2206</f>
        <v/>
      </c>
      <c r="D2102">
        <f>Data!I2206</f>
        <v/>
      </c>
      <c r="E2102">
        <f>Data!M2206</f>
        <v/>
      </c>
      <c r="F2102">
        <f>Data!O2206</f>
        <v/>
      </c>
      <c r="G2102">
        <f>E2102-F2102</f>
        <v/>
      </c>
      <c r="H2102">
        <f>Data!P2206</f>
        <v/>
      </c>
      <c r="I2102">
        <f>G2102+H2102</f>
        <v/>
      </c>
      <c r="J2102">
        <f>F2102+G2102+H2102</f>
        <v/>
      </c>
      <c r="K2102">
        <f>Data!R2206</f>
        <v/>
      </c>
      <c r="L2102">
        <f>Data!T2206</f>
        <v/>
      </c>
      <c r="M2102">
        <f>AND(E2102=0,F2102=0,G2102=0,H2102=0,I2102=0,J2102=0,K2102=0,L2102=0)</f>
        <v/>
      </c>
      <c r="N2102">
        <f>G2102&lt;=$T$6</f>
        <v/>
      </c>
      <c r="O2102">
        <f>G2102&lt;=$T$12</f>
        <v/>
      </c>
      <c r="P2102">
        <f>OR(AND(H2102&gt;=$T$4,K2102&lt;=$T$5,N2102),M2102)</f>
        <v/>
      </c>
      <c r="Q2102">
        <f>OR(AND(I2102&gt;=$T$10,K2102&lt;=$T$11,O2102),M2102)</f>
        <v/>
      </c>
    </row>
    <row r="2103">
      <c r="A2103">
        <f>Data!E2207</f>
        <v/>
      </c>
      <c r="B2103">
        <f>Data!G2207</f>
        <v/>
      </c>
      <c r="C2103">
        <f>Data!H2207</f>
        <v/>
      </c>
      <c r="D2103">
        <f>Data!I2207</f>
        <v/>
      </c>
      <c r="E2103">
        <f>Data!M2207</f>
        <v/>
      </c>
      <c r="F2103">
        <f>Data!O2207</f>
        <v/>
      </c>
      <c r="G2103">
        <f>E2103-F2103</f>
        <v/>
      </c>
      <c r="H2103">
        <f>Data!P2207</f>
        <v/>
      </c>
      <c r="I2103">
        <f>G2103+H2103</f>
        <v/>
      </c>
      <c r="J2103">
        <f>F2103+G2103+H2103</f>
        <v/>
      </c>
      <c r="K2103">
        <f>Data!R2207</f>
        <v/>
      </c>
      <c r="L2103">
        <f>Data!T2207</f>
        <v/>
      </c>
      <c r="M2103">
        <f>AND(E2103=0,F2103=0,G2103=0,H2103=0,I2103=0,J2103=0,K2103=0,L2103=0)</f>
        <v/>
      </c>
      <c r="N2103">
        <f>G2103&lt;=$T$6</f>
        <v/>
      </c>
      <c r="O2103">
        <f>G2103&lt;=$T$12</f>
        <v/>
      </c>
      <c r="P2103">
        <f>OR(AND(H2103&gt;=$T$4,K2103&lt;=$T$5,N2103),M2103)</f>
        <v/>
      </c>
      <c r="Q2103">
        <f>OR(AND(I2103&gt;=$T$10,K2103&lt;=$T$11,O2103),M2103)</f>
        <v/>
      </c>
    </row>
    <row r="2104">
      <c r="A2104">
        <f>Data!E2208</f>
        <v/>
      </c>
      <c r="B2104">
        <f>Data!G2208</f>
        <v/>
      </c>
      <c r="C2104">
        <f>Data!H2208</f>
        <v/>
      </c>
      <c r="D2104">
        <f>Data!I2208</f>
        <v/>
      </c>
      <c r="E2104">
        <f>Data!M2208</f>
        <v/>
      </c>
      <c r="F2104">
        <f>Data!O2208</f>
        <v/>
      </c>
      <c r="G2104">
        <f>E2104-F2104</f>
        <v/>
      </c>
      <c r="H2104">
        <f>Data!P2208</f>
        <v/>
      </c>
      <c r="I2104">
        <f>G2104+H2104</f>
        <v/>
      </c>
      <c r="J2104">
        <f>F2104+G2104+H2104</f>
        <v/>
      </c>
      <c r="K2104">
        <f>Data!R2208</f>
        <v/>
      </c>
      <c r="L2104">
        <f>Data!T2208</f>
        <v/>
      </c>
      <c r="M2104">
        <f>AND(E2104=0,F2104=0,G2104=0,H2104=0,I2104=0,J2104=0,K2104=0,L2104=0)</f>
        <v/>
      </c>
      <c r="N2104">
        <f>G2104&lt;=$T$6</f>
        <v/>
      </c>
      <c r="O2104">
        <f>G2104&lt;=$T$12</f>
        <v/>
      </c>
      <c r="P2104">
        <f>OR(AND(H2104&gt;=$T$4,K2104&lt;=$T$5,N2104),M2104)</f>
        <v/>
      </c>
      <c r="Q2104">
        <f>OR(AND(I2104&gt;=$T$10,K2104&lt;=$T$11,O2104),M2104)</f>
        <v/>
      </c>
    </row>
    <row r="2105">
      <c r="A2105">
        <f>Data!E2209</f>
        <v/>
      </c>
      <c r="B2105">
        <f>Data!G2209</f>
        <v/>
      </c>
      <c r="C2105">
        <f>Data!H2209</f>
        <v/>
      </c>
      <c r="D2105">
        <f>Data!I2209</f>
        <v/>
      </c>
      <c r="E2105">
        <f>Data!M2209</f>
        <v/>
      </c>
      <c r="F2105">
        <f>Data!O2209</f>
        <v/>
      </c>
      <c r="G2105">
        <f>E2105-F2105</f>
        <v/>
      </c>
      <c r="H2105">
        <f>Data!P2209</f>
        <v/>
      </c>
      <c r="I2105">
        <f>G2105+H2105</f>
        <v/>
      </c>
      <c r="J2105">
        <f>F2105+G2105+H2105</f>
        <v/>
      </c>
      <c r="K2105">
        <f>Data!R2209</f>
        <v/>
      </c>
      <c r="L2105">
        <f>Data!T2209</f>
        <v/>
      </c>
      <c r="M2105">
        <f>AND(E2105=0,F2105=0,G2105=0,H2105=0,I2105=0,J2105=0,K2105=0,L2105=0)</f>
        <v/>
      </c>
      <c r="N2105">
        <f>G2105&lt;=$T$6</f>
        <v/>
      </c>
      <c r="O2105">
        <f>G2105&lt;=$T$12</f>
        <v/>
      </c>
      <c r="P2105">
        <f>OR(AND(H2105&gt;=$T$4,K2105&lt;=$T$5,N2105),M2105)</f>
        <v/>
      </c>
      <c r="Q2105">
        <f>OR(AND(I2105&gt;=$T$10,K2105&lt;=$T$11,O2105),M2105)</f>
        <v/>
      </c>
    </row>
    <row r="2106">
      <c r="A2106">
        <f>Data!E2210</f>
        <v/>
      </c>
      <c r="B2106">
        <f>Data!G2210</f>
        <v/>
      </c>
      <c r="C2106">
        <f>Data!H2210</f>
        <v/>
      </c>
      <c r="D2106">
        <f>Data!I2210</f>
        <v/>
      </c>
      <c r="E2106">
        <f>Data!M2210</f>
        <v/>
      </c>
      <c r="F2106">
        <f>Data!O2210</f>
        <v/>
      </c>
      <c r="G2106">
        <f>E2106-F2106</f>
        <v/>
      </c>
      <c r="H2106">
        <f>Data!P2210</f>
        <v/>
      </c>
      <c r="I2106">
        <f>G2106+H2106</f>
        <v/>
      </c>
      <c r="J2106">
        <f>F2106+G2106+H2106</f>
        <v/>
      </c>
      <c r="K2106">
        <f>Data!R2210</f>
        <v/>
      </c>
      <c r="L2106">
        <f>Data!T2210</f>
        <v/>
      </c>
      <c r="M2106">
        <f>AND(E2106=0,F2106=0,G2106=0,H2106=0,I2106=0,J2106=0,K2106=0,L2106=0)</f>
        <v/>
      </c>
      <c r="N2106">
        <f>G2106&lt;=$T$6</f>
        <v/>
      </c>
      <c r="O2106">
        <f>G2106&lt;=$T$12</f>
        <v/>
      </c>
      <c r="P2106">
        <f>OR(AND(H2106&gt;=$T$4,K2106&lt;=$T$5,N2106),M2106)</f>
        <v/>
      </c>
      <c r="Q2106">
        <f>OR(AND(I2106&gt;=$T$10,K2106&lt;=$T$11,O2106),M2106)</f>
        <v/>
      </c>
    </row>
    <row r="2107">
      <c r="A2107">
        <f>Data!E2211</f>
        <v/>
      </c>
      <c r="B2107">
        <f>Data!G2211</f>
        <v/>
      </c>
      <c r="C2107">
        <f>Data!H2211</f>
        <v/>
      </c>
      <c r="D2107">
        <f>Data!I2211</f>
        <v/>
      </c>
      <c r="E2107">
        <f>Data!M2211</f>
        <v/>
      </c>
      <c r="F2107">
        <f>Data!O2211</f>
        <v/>
      </c>
      <c r="G2107">
        <f>E2107-F2107</f>
        <v/>
      </c>
      <c r="H2107">
        <f>Data!P2211</f>
        <v/>
      </c>
      <c r="I2107">
        <f>G2107+H2107</f>
        <v/>
      </c>
      <c r="J2107">
        <f>F2107+G2107+H2107</f>
        <v/>
      </c>
      <c r="K2107">
        <f>Data!R2211</f>
        <v/>
      </c>
      <c r="L2107">
        <f>Data!T2211</f>
        <v/>
      </c>
      <c r="M2107">
        <f>AND(E2107=0,F2107=0,G2107=0,H2107=0,I2107=0,J2107=0,K2107=0,L2107=0)</f>
        <v/>
      </c>
      <c r="N2107">
        <f>G2107&lt;=$T$6</f>
        <v/>
      </c>
      <c r="O2107">
        <f>G2107&lt;=$T$12</f>
        <v/>
      </c>
      <c r="P2107">
        <f>OR(AND(H2107&gt;=$T$4,K2107&lt;=$T$5,N2107),M2107)</f>
        <v/>
      </c>
      <c r="Q2107">
        <f>OR(AND(I2107&gt;=$T$10,K2107&lt;=$T$11,O2107),M2107)</f>
        <v/>
      </c>
    </row>
    <row r="2108">
      <c r="A2108">
        <f>Data!E2212</f>
        <v/>
      </c>
      <c r="B2108">
        <f>Data!G2212</f>
        <v/>
      </c>
      <c r="C2108">
        <f>Data!H2212</f>
        <v/>
      </c>
      <c r="D2108">
        <f>Data!I2212</f>
        <v/>
      </c>
      <c r="E2108">
        <f>Data!M2212</f>
        <v/>
      </c>
      <c r="F2108">
        <f>Data!O2212</f>
        <v/>
      </c>
      <c r="G2108">
        <f>E2108-F2108</f>
        <v/>
      </c>
      <c r="H2108">
        <f>Data!P2212</f>
        <v/>
      </c>
      <c r="I2108">
        <f>G2108+H2108</f>
        <v/>
      </c>
      <c r="J2108">
        <f>F2108+G2108+H2108</f>
        <v/>
      </c>
      <c r="K2108">
        <f>Data!R2212</f>
        <v/>
      </c>
      <c r="L2108">
        <f>Data!T2212</f>
        <v/>
      </c>
      <c r="M2108">
        <f>AND(E2108=0,F2108=0,G2108=0,H2108=0,I2108=0,J2108=0,K2108=0,L2108=0)</f>
        <v/>
      </c>
      <c r="N2108">
        <f>G2108&lt;=$T$6</f>
        <v/>
      </c>
      <c r="O2108">
        <f>G2108&lt;=$T$12</f>
        <v/>
      </c>
      <c r="P2108">
        <f>OR(AND(H2108&gt;=$T$4,K2108&lt;=$T$5,N2108),M2108)</f>
        <v/>
      </c>
      <c r="Q2108">
        <f>OR(AND(I2108&gt;=$T$10,K2108&lt;=$T$11,O2108),M2108)</f>
        <v/>
      </c>
    </row>
    <row r="2109">
      <c r="A2109">
        <f>Data!E2213</f>
        <v/>
      </c>
      <c r="B2109">
        <f>Data!G2213</f>
        <v/>
      </c>
      <c r="C2109">
        <f>Data!H2213</f>
        <v/>
      </c>
      <c r="D2109">
        <f>Data!I2213</f>
        <v/>
      </c>
      <c r="E2109">
        <f>Data!M2213</f>
        <v/>
      </c>
      <c r="F2109">
        <f>Data!O2213</f>
        <v/>
      </c>
      <c r="G2109">
        <f>E2109-F2109</f>
        <v/>
      </c>
      <c r="H2109">
        <f>Data!P2213</f>
        <v/>
      </c>
      <c r="I2109">
        <f>G2109+H2109</f>
        <v/>
      </c>
      <c r="J2109">
        <f>F2109+G2109+H2109</f>
        <v/>
      </c>
      <c r="K2109">
        <f>Data!R2213</f>
        <v/>
      </c>
      <c r="L2109">
        <f>Data!T2213</f>
        <v/>
      </c>
      <c r="M2109">
        <f>AND(E2109=0,F2109=0,G2109=0,H2109=0,I2109=0,J2109=0,K2109=0,L2109=0)</f>
        <v/>
      </c>
      <c r="N2109">
        <f>G2109&lt;=$T$6</f>
        <v/>
      </c>
      <c r="O2109">
        <f>G2109&lt;=$T$12</f>
        <v/>
      </c>
      <c r="P2109">
        <f>OR(AND(H2109&gt;=$T$4,K2109&lt;=$T$5,N2109),M2109)</f>
        <v/>
      </c>
      <c r="Q2109">
        <f>OR(AND(I2109&gt;=$T$10,K2109&lt;=$T$11,O2109),M2109)</f>
        <v/>
      </c>
    </row>
    <row r="2110">
      <c r="A2110">
        <f>Data!E2214</f>
        <v/>
      </c>
      <c r="B2110">
        <f>Data!G2214</f>
        <v/>
      </c>
      <c r="C2110">
        <f>Data!H2214</f>
        <v/>
      </c>
      <c r="D2110">
        <f>Data!I2214</f>
        <v/>
      </c>
      <c r="E2110">
        <f>Data!M2214</f>
        <v/>
      </c>
      <c r="F2110">
        <f>Data!O2214</f>
        <v/>
      </c>
      <c r="G2110">
        <f>E2110-F2110</f>
        <v/>
      </c>
      <c r="H2110">
        <f>Data!P2214</f>
        <v/>
      </c>
      <c r="I2110">
        <f>G2110+H2110</f>
        <v/>
      </c>
      <c r="J2110">
        <f>F2110+G2110+H2110</f>
        <v/>
      </c>
      <c r="K2110">
        <f>Data!R2214</f>
        <v/>
      </c>
      <c r="L2110">
        <f>Data!T2214</f>
        <v/>
      </c>
      <c r="M2110">
        <f>AND(E2110=0,F2110=0,G2110=0,H2110=0,I2110=0,J2110=0,K2110=0,L2110=0)</f>
        <v/>
      </c>
      <c r="N2110">
        <f>G2110&lt;=$T$6</f>
        <v/>
      </c>
      <c r="O2110">
        <f>G2110&lt;=$T$12</f>
        <v/>
      </c>
      <c r="P2110">
        <f>OR(AND(H2110&gt;=$T$4,K2110&lt;=$T$5,N2110),M2110)</f>
        <v/>
      </c>
      <c r="Q2110">
        <f>OR(AND(I2110&gt;=$T$10,K2110&lt;=$T$11,O2110),M2110)</f>
        <v/>
      </c>
    </row>
    <row r="2111">
      <c r="A2111">
        <f>Data!E2215</f>
        <v/>
      </c>
      <c r="B2111">
        <f>Data!G2215</f>
        <v/>
      </c>
      <c r="C2111">
        <f>Data!H2215</f>
        <v/>
      </c>
      <c r="D2111">
        <f>Data!I2215</f>
        <v/>
      </c>
      <c r="E2111">
        <f>Data!M2215</f>
        <v/>
      </c>
      <c r="F2111">
        <f>Data!O2215</f>
        <v/>
      </c>
      <c r="G2111">
        <f>E2111-F2111</f>
        <v/>
      </c>
      <c r="H2111">
        <f>Data!P2215</f>
        <v/>
      </c>
      <c r="I2111">
        <f>G2111+H2111</f>
        <v/>
      </c>
      <c r="J2111">
        <f>F2111+G2111+H2111</f>
        <v/>
      </c>
      <c r="K2111">
        <f>Data!R2215</f>
        <v/>
      </c>
      <c r="L2111">
        <f>Data!T2215</f>
        <v/>
      </c>
      <c r="M2111">
        <f>AND(E2111=0,F2111=0,G2111=0,H2111=0,I2111=0,J2111=0,K2111=0,L2111=0)</f>
        <v/>
      </c>
      <c r="N2111">
        <f>G2111&lt;=$T$6</f>
        <v/>
      </c>
      <c r="O2111">
        <f>G2111&lt;=$T$12</f>
        <v/>
      </c>
      <c r="P2111">
        <f>OR(AND(H2111&gt;=$T$4,K2111&lt;=$T$5,N2111),M2111)</f>
        <v/>
      </c>
      <c r="Q2111">
        <f>OR(AND(I2111&gt;=$T$10,K2111&lt;=$T$11,O2111),M2111)</f>
        <v/>
      </c>
    </row>
    <row r="2112">
      <c r="A2112">
        <f>Data!E2216</f>
        <v/>
      </c>
      <c r="B2112">
        <f>Data!G2216</f>
        <v/>
      </c>
      <c r="C2112">
        <f>Data!H2216</f>
        <v/>
      </c>
      <c r="D2112">
        <f>Data!I2216</f>
        <v/>
      </c>
      <c r="E2112">
        <f>Data!M2216</f>
        <v/>
      </c>
      <c r="F2112">
        <f>Data!O2216</f>
        <v/>
      </c>
      <c r="G2112">
        <f>E2112-F2112</f>
        <v/>
      </c>
      <c r="H2112">
        <f>Data!P2216</f>
        <v/>
      </c>
      <c r="I2112">
        <f>G2112+H2112</f>
        <v/>
      </c>
      <c r="J2112">
        <f>F2112+G2112+H2112</f>
        <v/>
      </c>
      <c r="K2112">
        <f>Data!R2216</f>
        <v/>
      </c>
      <c r="L2112">
        <f>Data!T2216</f>
        <v/>
      </c>
      <c r="M2112">
        <f>AND(E2112=0,F2112=0,G2112=0,H2112=0,I2112=0,J2112=0,K2112=0,L2112=0)</f>
        <v/>
      </c>
      <c r="N2112">
        <f>G2112&lt;=$T$6</f>
        <v/>
      </c>
      <c r="O2112">
        <f>G2112&lt;=$T$12</f>
        <v/>
      </c>
      <c r="P2112">
        <f>OR(AND(H2112&gt;=$T$4,K2112&lt;=$T$5,N2112),M2112)</f>
        <v/>
      </c>
      <c r="Q2112">
        <f>OR(AND(I2112&gt;=$T$10,K2112&lt;=$T$11,O2112),M2112)</f>
        <v/>
      </c>
    </row>
    <row r="2113">
      <c r="A2113">
        <f>Data!E2217</f>
        <v/>
      </c>
      <c r="B2113">
        <f>Data!G2217</f>
        <v/>
      </c>
      <c r="C2113">
        <f>Data!H2217</f>
        <v/>
      </c>
      <c r="D2113">
        <f>Data!I2217</f>
        <v/>
      </c>
      <c r="E2113">
        <f>Data!M2217</f>
        <v/>
      </c>
      <c r="F2113">
        <f>Data!O2217</f>
        <v/>
      </c>
      <c r="G2113">
        <f>E2113-F2113</f>
        <v/>
      </c>
      <c r="H2113">
        <f>Data!P2217</f>
        <v/>
      </c>
      <c r="I2113">
        <f>G2113+H2113</f>
        <v/>
      </c>
      <c r="J2113">
        <f>F2113+G2113+H2113</f>
        <v/>
      </c>
      <c r="K2113">
        <f>Data!R2217</f>
        <v/>
      </c>
      <c r="L2113">
        <f>Data!T2217</f>
        <v/>
      </c>
      <c r="M2113">
        <f>AND(E2113=0,F2113=0,G2113=0,H2113=0,I2113=0,J2113=0,K2113=0,L2113=0)</f>
        <v/>
      </c>
      <c r="N2113">
        <f>G2113&lt;=$T$6</f>
        <v/>
      </c>
      <c r="O2113">
        <f>G2113&lt;=$T$12</f>
        <v/>
      </c>
      <c r="P2113">
        <f>OR(AND(H2113&gt;=$T$4,K2113&lt;=$T$5,N2113),M2113)</f>
        <v/>
      </c>
      <c r="Q2113">
        <f>OR(AND(I2113&gt;=$T$10,K2113&lt;=$T$11,O2113),M2113)</f>
        <v/>
      </c>
    </row>
    <row r="2114">
      <c r="A2114">
        <f>Data!E2218</f>
        <v/>
      </c>
      <c r="B2114">
        <f>Data!G2218</f>
        <v/>
      </c>
      <c r="C2114">
        <f>Data!H2218</f>
        <v/>
      </c>
      <c r="D2114">
        <f>Data!I2218</f>
        <v/>
      </c>
      <c r="E2114">
        <f>Data!M2218</f>
        <v/>
      </c>
      <c r="F2114">
        <f>Data!O2218</f>
        <v/>
      </c>
      <c r="G2114">
        <f>E2114-F2114</f>
        <v/>
      </c>
      <c r="H2114">
        <f>Data!P2218</f>
        <v/>
      </c>
      <c r="I2114">
        <f>G2114+H2114</f>
        <v/>
      </c>
      <c r="J2114">
        <f>F2114+G2114+H2114</f>
        <v/>
      </c>
      <c r="K2114">
        <f>Data!R2218</f>
        <v/>
      </c>
      <c r="L2114">
        <f>Data!T2218</f>
        <v/>
      </c>
      <c r="M2114">
        <f>AND(E2114=0,F2114=0,G2114=0,H2114=0,I2114=0,J2114=0,K2114=0,L2114=0)</f>
        <v/>
      </c>
      <c r="N2114">
        <f>G2114&lt;=$T$6</f>
        <v/>
      </c>
      <c r="O2114">
        <f>G2114&lt;=$T$12</f>
        <v/>
      </c>
      <c r="P2114">
        <f>OR(AND(H2114&gt;=$T$4,K2114&lt;=$T$5,N2114),M2114)</f>
        <v/>
      </c>
      <c r="Q2114">
        <f>OR(AND(I2114&gt;=$T$10,K2114&lt;=$T$11,O2114),M2114)</f>
        <v/>
      </c>
    </row>
    <row r="2115">
      <c r="A2115">
        <f>Data!E2220</f>
        <v/>
      </c>
      <c r="B2115">
        <f>Data!G2220</f>
        <v/>
      </c>
      <c r="C2115">
        <f>Data!H2220</f>
        <v/>
      </c>
      <c r="D2115">
        <f>Data!I2220</f>
        <v/>
      </c>
      <c r="E2115">
        <f>Data!M2220</f>
        <v/>
      </c>
      <c r="F2115">
        <f>Data!O2220</f>
        <v/>
      </c>
      <c r="G2115">
        <f>E2115-F2115</f>
        <v/>
      </c>
      <c r="H2115">
        <f>Data!P2220</f>
        <v/>
      </c>
      <c r="I2115">
        <f>G2115+H2115</f>
        <v/>
      </c>
      <c r="J2115">
        <f>F2115+G2115+H2115</f>
        <v/>
      </c>
      <c r="K2115">
        <f>Data!R2220</f>
        <v/>
      </c>
      <c r="L2115">
        <f>Data!T2220</f>
        <v/>
      </c>
      <c r="M2115">
        <f>AND(E2115=0,F2115=0,G2115=0,H2115=0,I2115=0,J2115=0,K2115=0,L2115=0)</f>
        <v/>
      </c>
      <c r="N2115">
        <f>G2115&lt;=$T$6</f>
        <v/>
      </c>
      <c r="O2115">
        <f>G2115&lt;=$T$12</f>
        <v/>
      </c>
      <c r="P2115">
        <f>OR(AND(H2115&gt;=$T$4,K2115&lt;=$T$5,N2115),M2115)</f>
        <v/>
      </c>
      <c r="Q2115">
        <f>OR(AND(I2115&gt;=$T$10,K2115&lt;=$T$11,O2115),M2115)</f>
        <v/>
      </c>
    </row>
    <row r="2116">
      <c r="A2116">
        <f>Data!E2221</f>
        <v/>
      </c>
      <c r="B2116">
        <f>Data!G2221</f>
        <v/>
      </c>
      <c r="C2116">
        <f>Data!H2221</f>
        <v/>
      </c>
      <c r="D2116">
        <f>Data!I2221</f>
        <v/>
      </c>
      <c r="E2116">
        <f>Data!M2221</f>
        <v/>
      </c>
      <c r="F2116">
        <f>Data!O2221</f>
        <v/>
      </c>
      <c r="G2116">
        <f>E2116-F2116</f>
        <v/>
      </c>
      <c r="H2116">
        <f>Data!P2221</f>
        <v/>
      </c>
      <c r="I2116">
        <f>G2116+H2116</f>
        <v/>
      </c>
      <c r="J2116">
        <f>F2116+G2116+H2116</f>
        <v/>
      </c>
      <c r="K2116">
        <f>Data!R2221</f>
        <v/>
      </c>
      <c r="L2116">
        <f>Data!T2221</f>
        <v/>
      </c>
      <c r="M2116">
        <f>AND(E2116=0,F2116=0,G2116=0,H2116=0,I2116=0,J2116=0,K2116=0,L2116=0)</f>
        <v/>
      </c>
      <c r="N2116">
        <f>G2116&lt;=$T$6</f>
        <v/>
      </c>
      <c r="O2116">
        <f>G2116&lt;=$T$12</f>
        <v/>
      </c>
      <c r="P2116">
        <f>OR(AND(H2116&gt;=$T$4,K2116&lt;=$T$5,N2116),M2116)</f>
        <v/>
      </c>
      <c r="Q2116">
        <f>OR(AND(I2116&gt;=$T$10,K2116&lt;=$T$11,O2116),M2116)</f>
        <v/>
      </c>
    </row>
    <row r="2117">
      <c r="A2117">
        <f>Data!E2222</f>
        <v/>
      </c>
      <c r="B2117">
        <f>Data!G2222</f>
        <v/>
      </c>
      <c r="C2117">
        <f>Data!H2222</f>
        <v/>
      </c>
      <c r="D2117">
        <f>Data!I2222</f>
        <v/>
      </c>
      <c r="E2117">
        <f>Data!M2222</f>
        <v/>
      </c>
      <c r="F2117">
        <f>Data!O2222</f>
        <v/>
      </c>
      <c r="G2117">
        <f>E2117-F2117</f>
        <v/>
      </c>
      <c r="H2117">
        <f>Data!P2222</f>
        <v/>
      </c>
      <c r="I2117">
        <f>G2117+H2117</f>
        <v/>
      </c>
      <c r="J2117">
        <f>F2117+G2117+H2117</f>
        <v/>
      </c>
      <c r="K2117">
        <f>Data!R2222</f>
        <v/>
      </c>
      <c r="L2117">
        <f>Data!T2222</f>
        <v/>
      </c>
      <c r="M2117">
        <f>AND(E2117=0,F2117=0,G2117=0,H2117=0,I2117=0,J2117=0,K2117=0,L2117=0)</f>
        <v/>
      </c>
      <c r="N2117">
        <f>G2117&lt;=$T$6</f>
        <v/>
      </c>
      <c r="O2117">
        <f>G2117&lt;=$T$12</f>
        <v/>
      </c>
      <c r="P2117">
        <f>OR(AND(H2117&gt;=$T$4,K2117&lt;=$T$5,N2117),M2117)</f>
        <v/>
      </c>
      <c r="Q2117">
        <f>OR(AND(I2117&gt;=$T$10,K2117&lt;=$T$11,O2117),M2117)</f>
        <v/>
      </c>
    </row>
    <row r="2118">
      <c r="A2118">
        <f>Data!E2223</f>
        <v/>
      </c>
      <c r="B2118">
        <f>Data!G2223</f>
        <v/>
      </c>
      <c r="C2118">
        <f>Data!H2223</f>
        <v/>
      </c>
      <c r="D2118">
        <f>Data!I2223</f>
        <v/>
      </c>
      <c r="E2118">
        <f>Data!M2223</f>
        <v/>
      </c>
      <c r="F2118">
        <f>Data!O2223</f>
        <v/>
      </c>
      <c r="G2118">
        <f>E2118-F2118</f>
        <v/>
      </c>
      <c r="H2118">
        <f>Data!P2223</f>
        <v/>
      </c>
      <c r="I2118">
        <f>G2118+H2118</f>
        <v/>
      </c>
      <c r="J2118">
        <f>F2118+G2118+H2118</f>
        <v/>
      </c>
      <c r="K2118">
        <f>Data!R2223</f>
        <v/>
      </c>
      <c r="L2118">
        <f>Data!T2223</f>
        <v/>
      </c>
      <c r="M2118">
        <f>AND(E2118=0,F2118=0,G2118=0,H2118=0,I2118=0,J2118=0,K2118=0,L2118=0)</f>
        <v/>
      </c>
      <c r="N2118">
        <f>G2118&lt;=$T$6</f>
        <v/>
      </c>
      <c r="O2118">
        <f>G2118&lt;=$T$12</f>
        <v/>
      </c>
      <c r="P2118">
        <f>OR(AND(H2118&gt;=$T$4,K2118&lt;=$T$5,N2118),M2118)</f>
        <v/>
      </c>
      <c r="Q2118">
        <f>OR(AND(I2118&gt;=$T$10,K2118&lt;=$T$11,O2118),M2118)</f>
        <v/>
      </c>
    </row>
    <row r="2119">
      <c r="A2119">
        <f>Data!E2224</f>
        <v/>
      </c>
      <c r="B2119">
        <f>Data!G2224</f>
        <v/>
      </c>
      <c r="C2119">
        <f>Data!H2224</f>
        <v/>
      </c>
      <c r="D2119">
        <f>Data!I2224</f>
        <v/>
      </c>
      <c r="E2119">
        <f>Data!M2224</f>
        <v/>
      </c>
      <c r="F2119">
        <f>Data!O2224</f>
        <v/>
      </c>
      <c r="G2119">
        <f>E2119-F2119</f>
        <v/>
      </c>
      <c r="H2119">
        <f>Data!P2224</f>
        <v/>
      </c>
      <c r="I2119">
        <f>G2119+H2119</f>
        <v/>
      </c>
      <c r="J2119">
        <f>F2119+G2119+H2119</f>
        <v/>
      </c>
      <c r="K2119">
        <f>Data!R2224</f>
        <v/>
      </c>
      <c r="L2119">
        <f>Data!T2224</f>
        <v/>
      </c>
      <c r="M2119">
        <f>AND(E2119=0,F2119=0,G2119=0,H2119=0,I2119=0,J2119=0,K2119=0,L2119=0)</f>
        <v/>
      </c>
      <c r="N2119">
        <f>G2119&lt;=$T$6</f>
        <v/>
      </c>
      <c r="O2119">
        <f>G2119&lt;=$T$12</f>
        <v/>
      </c>
      <c r="P2119">
        <f>OR(AND(H2119&gt;=$T$4,K2119&lt;=$T$5,N2119),M2119)</f>
        <v/>
      </c>
      <c r="Q2119">
        <f>OR(AND(I2119&gt;=$T$10,K2119&lt;=$T$11,O2119),M2119)</f>
        <v/>
      </c>
    </row>
    <row r="2120">
      <c r="A2120">
        <f>Data!E2225</f>
        <v/>
      </c>
      <c r="B2120">
        <f>Data!G2225</f>
        <v/>
      </c>
      <c r="C2120">
        <f>Data!H2225</f>
        <v/>
      </c>
      <c r="D2120">
        <f>Data!I2225</f>
        <v/>
      </c>
      <c r="E2120">
        <f>Data!M2225</f>
        <v/>
      </c>
      <c r="F2120">
        <f>Data!O2225</f>
        <v/>
      </c>
      <c r="G2120">
        <f>E2120-F2120</f>
        <v/>
      </c>
      <c r="H2120">
        <f>Data!P2225</f>
        <v/>
      </c>
      <c r="I2120">
        <f>G2120+H2120</f>
        <v/>
      </c>
      <c r="J2120">
        <f>F2120+G2120+H2120</f>
        <v/>
      </c>
      <c r="K2120">
        <f>Data!R2225</f>
        <v/>
      </c>
      <c r="L2120">
        <f>Data!T2225</f>
        <v/>
      </c>
      <c r="M2120">
        <f>AND(E2120=0,F2120=0,G2120=0,H2120=0,I2120=0,J2120=0,K2120=0,L2120=0)</f>
        <v/>
      </c>
      <c r="N2120">
        <f>G2120&lt;=$T$6</f>
        <v/>
      </c>
      <c r="O2120">
        <f>G2120&lt;=$T$12</f>
        <v/>
      </c>
      <c r="P2120">
        <f>OR(AND(H2120&gt;=$T$4,K2120&lt;=$T$5,N2120),M2120)</f>
        <v/>
      </c>
      <c r="Q2120">
        <f>OR(AND(I2120&gt;=$T$10,K2120&lt;=$T$11,O2120),M2120)</f>
        <v/>
      </c>
    </row>
    <row r="2121">
      <c r="A2121">
        <f>Data!E2226</f>
        <v/>
      </c>
      <c r="B2121">
        <f>Data!G2226</f>
        <v/>
      </c>
      <c r="C2121">
        <f>Data!H2226</f>
        <v/>
      </c>
      <c r="D2121">
        <f>Data!I2226</f>
        <v/>
      </c>
      <c r="E2121">
        <f>Data!M2226</f>
        <v/>
      </c>
      <c r="F2121">
        <f>Data!O2226</f>
        <v/>
      </c>
      <c r="G2121">
        <f>E2121-F2121</f>
        <v/>
      </c>
      <c r="H2121">
        <f>Data!P2226</f>
        <v/>
      </c>
      <c r="I2121">
        <f>G2121+H2121</f>
        <v/>
      </c>
      <c r="J2121">
        <f>F2121+G2121+H2121</f>
        <v/>
      </c>
      <c r="K2121">
        <f>Data!R2226</f>
        <v/>
      </c>
      <c r="L2121">
        <f>Data!T2226</f>
        <v/>
      </c>
      <c r="M2121">
        <f>AND(E2121=0,F2121=0,G2121=0,H2121=0,I2121=0,J2121=0,K2121=0,L2121=0)</f>
        <v/>
      </c>
      <c r="N2121">
        <f>G2121&lt;=$T$6</f>
        <v/>
      </c>
      <c r="O2121">
        <f>G2121&lt;=$T$12</f>
        <v/>
      </c>
      <c r="P2121">
        <f>OR(AND(H2121&gt;=$T$4,K2121&lt;=$T$5,N2121),M2121)</f>
        <v/>
      </c>
      <c r="Q2121">
        <f>OR(AND(I2121&gt;=$T$10,K2121&lt;=$T$11,O2121),M2121)</f>
        <v/>
      </c>
    </row>
    <row r="2122">
      <c r="A2122">
        <f>Data!E2227</f>
        <v/>
      </c>
      <c r="B2122">
        <f>Data!G2227</f>
        <v/>
      </c>
      <c r="C2122">
        <f>Data!H2227</f>
        <v/>
      </c>
      <c r="D2122">
        <f>Data!I2227</f>
        <v/>
      </c>
      <c r="E2122">
        <f>Data!M2227</f>
        <v/>
      </c>
      <c r="F2122">
        <f>Data!O2227</f>
        <v/>
      </c>
      <c r="G2122">
        <f>E2122-F2122</f>
        <v/>
      </c>
      <c r="H2122">
        <f>Data!P2227</f>
        <v/>
      </c>
      <c r="I2122">
        <f>G2122+H2122</f>
        <v/>
      </c>
      <c r="J2122">
        <f>F2122+G2122+H2122</f>
        <v/>
      </c>
      <c r="K2122">
        <f>Data!R2227</f>
        <v/>
      </c>
      <c r="L2122">
        <f>Data!T2227</f>
        <v/>
      </c>
      <c r="M2122">
        <f>AND(E2122=0,F2122=0,G2122=0,H2122=0,I2122=0,J2122=0,K2122=0,L2122=0)</f>
        <v/>
      </c>
      <c r="N2122">
        <f>G2122&lt;=$T$6</f>
        <v/>
      </c>
      <c r="O2122">
        <f>G2122&lt;=$T$12</f>
        <v/>
      </c>
      <c r="P2122">
        <f>OR(AND(H2122&gt;=$T$4,K2122&lt;=$T$5,N2122),M2122)</f>
        <v/>
      </c>
      <c r="Q2122">
        <f>OR(AND(I2122&gt;=$T$10,K2122&lt;=$T$11,O2122),M2122)</f>
        <v/>
      </c>
    </row>
    <row r="2123">
      <c r="A2123">
        <f>Data!E2228</f>
        <v/>
      </c>
      <c r="B2123">
        <f>Data!G2228</f>
        <v/>
      </c>
      <c r="C2123">
        <f>Data!H2228</f>
        <v/>
      </c>
      <c r="D2123">
        <f>Data!I2228</f>
        <v/>
      </c>
      <c r="E2123">
        <f>Data!M2228</f>
        <v/>
      </c>
      <c r="F2123">
        <f>Data!O2228</f>
        <v/>
      </c>
      <c r="G2123">
        <f>E2123-F2123</f>
        <v/>
      </c>
      <c r="H2123">
        <f>Data!P2228</f>
        <v/>
      </c>
      <c r="I2123">
        <f>G2123+H2123</f>
        <v/>
      </c>
      <c r="J2123">
        <f>F2123+G2123+H2123</f>
        <v/>
      </c>
      <c r="K2123">
        <f>Data!R2228</f>
        <v/>
      </c>
      <c r="L2123">
        <f>Data!T2228</f>
        <v/>
      </c>
      <c r="M2123">
        <f>AND(E2123=0,F2123=0,G2123=0,H2123=0,I2123=0,J2123=0,K2123=0,L2123=0)</f>
        <v/>
      </c>
      <c r="N2123">
        <f>G2123&lt;=$T$6</f>
        <v/>
      </c>
      <c r="O2123">
        <f>G2123&lt;=$T$12</f>
        <v/>
      </c>
      <c r="P2123">
        <f>OR(AND(H2123&gt;=$T$4,K2123&lt;=$T$5,N2123),M2123)</f>
        <v/>
      </c>
      <c r="Q2123">
        <f>OR(AND(I2123&gt;=$T$10,K2123&lt;=$T$11,O2123),M2123)</f>
        <v/>
      </c>
    </row>
    <row r="2124">
      <c r="A2124">
        <f>Data!E2229</f>
        <v/>
      </c>
      <c r="B2124">
        <f>Data!G2229</f>
        <v/>
      </c>
      <c r="C2124">
        <f>Data!H2229</f>
        <v/>
      </c>
      <c r="D2124">
        <f>Data!I2229</f>
        <v/>
      </c>
      <c r="E2124">
        <f>Data!M2229</f>
        <v/>
      </c>
      <c r="F2124">
        <f>Data!O2229</f>
        <v/>
      </c>
      <c r="G2124">
        <f>E2124-F2124</f>
        <v/>
      </c>
      <c r="H2124">
        <f>Data!P2229</f>
        <v/>
      </c>
      <c r="I2124">
        <f>G2124+H2124</f>
        <v/>
      </c>
      <c r="J2124">
        <f>F2124+G2124+H2124</f>
        <v/>
      </c>
      <c r="K2124">
        <f>Data!R2229</f>
        <v/>
      </c>
      <c r="L2124">
        <f>Data!T2229</f>
        <v/>
      </c>
      <c r="M2124">
        <f>AND(E2124=0,F2124=0,G2124=0,H2124=0,I2124=0,J2124=0,K2124=0,L2124=0)</f>
        <v/>
      </c>
      <c r="N2124">
        <f>G2124&lt;=$T$6</f>
        <v/>
      </c>
      <c r="O2124">
        <f>G2124&lt;=$T$12</f>
        <v/>
      </c>
      <c r="P2124">
        <f>OR(AND(H2124&gt;=$T$4,K2124&lt;=$T$5,N2124),M2124)</f>
        <v/>
      </c>
      <c r="Q2124">
        <f>OR(AND(I2124&gt;=$T$10,K2124&lt;=$T$11,O2124),M2124)</f>
        <v/>
      </c>
    </row>
    <row r="2125">
      <c r="A2125">
        <f>Data!E2230</f>
        <v/>
      </c>
      <c r="B2125">
        <f>Data!G2230</f>
        <v/>
      </c>
      <c r="C2125">
        <f>Data!H2230</f>
        <v/>
      </c>
      <c r="D2125">
        <f>Data!I2230</f>
        <v/>
      </c>
      <c r="E2125">
        <f>Data!M2230</f>
        <v/>
      </c>
      <c r="F2125">
        <f>Data!O2230</f>
        <v/>
      </c>
      <c r="G2125">
        <f>E2125-F2125</f>
        <v/>
      </c>
      <c r="H2125">
        <f>Data!P2230</f>
        <v/>
      </c>
      <c r="I2125">
        <f>G2125+H2125</f>
        <v/>
      </c>
      <c r="J2125">
        <f>F2125+G2125+H2125</f>
        <v/>
      </c>
      <c r="K2125">
        <f>Data!R2230</f>
        <v/>
      </c>
      <c r="L2125">
        <f>Data!T2230</f>
        <v/>
      </c>
      <c r="M2125">
        <f>AND(E2125=0,F2125=0,G2125=0,H2125=0,I2125=0,J2125=0,K2125=0,L2125=0)</f>
        <v/>
      </c>
      <c r="N2125">
        <f>G2125&lt;=$T$6</f>
        <v/>
      </c>
      <c r="O2125">
        <f>G2125&lt;=$T$12</f>
        <v/>
      </c>
      <c r="P2125">
        <f>OR(AND(H2125&gt;=$T$4,K2125&lt;=$T$5,N2125),M2125)</f>
        <v/>
      </c>
      <c r="Q2125">
        <f>OR(AND(I2125&gt;=$T$10,K2125&lt;=$T$11,O2125),M2125)</f>
        <v/>
      </c>
    </row>
    <row r="2126">
      <c r="A2126">
        <f>Data!E2231</f>
        <v/>
      </c>
      <c r="B2126">
        <f>Data!G2231</f>
        <v/>
      </c>
      <c r="C2126">
        <f>Data!H2231</f>
        <v/>
      </c>
      <c r="D2126">
        <f>Data!I2231</f>
        <v/>
      </c>
      <c r="E2126">
        <f>Data!M2231</f>
        <v/>
      </c>
      <c r="F2126">
        <f>Data!O2231</f>
        <v/>
      </c>
      <c r="G2126">
        <f>E2126-F2126</f>
        <v/>
      </c>
      <c r="H2126">
        <f>Data!P2231</f>
        <v/>
      </c>
      <c r="I2126">
        <f>G2126+H2126</f>
        <v/>
      </c>
      <c r="J2126">
        <f>F2126+G2126+H2126</f>
        <v/>
      </c>
      <c r="K2126">
        <f>Data!R2231</f>
        <v/>
      </c>
      <c r="L2126">
        <f>Data!T2231</f>
        <v/>
      </c>
      <c r="M2126">
        <f>AND(E2126=0,F2126=0,G2126=0,H2126=0,I2126=0,J2126=0,K2126=0,L2126=0)</f>
        <v/>
      </c>
      <c r="N2126">
        <f>G2126&lt;=$T$6</f>
        <v/>
      </c>
      <c r="O2126">
        <f>G2126&lt;=$T$12</f>
        <v/>
      </c>
      <c r="P2126">
        <f>OR(AND(H2126&gt;=$T$4,K2126&lt;=$T$5,N2126),M2126)</f>
        <v/>
      </c>
      <c r="Q2126">
        <f>OR(AND(I2126&gt;=$T$10,K2126&lt;=$T$11,O2126),M2126)</f>
        <v/>
      </c>
    </row>
    <row r="2127">
      <c r="A2127">
        <f>Data!E2232</f>
        <v/>
      </c>
      <c r="B2127">
        <f>Data!G2232</f>
        <v/>
      </c>
      <c r="C2127">
        <f>Data!H2232</f>
        <v/>
      </c>
      <c r="D2127">
        <f>Data!I2232</f>
        <v/>
      </c>
      <c r="E2127">
        <f>Data!M2232</f>
        <v/>
      </c>
      <c r="F2127">
        <f>Data!O2232</f>
        <v/>
      </c>
      <c r="G2127">
        <f>E2127-F2127</f>
        <v/>
      </c>
      <c r="H2127">
        <f>Data!P2232</f>
        <v/>
      </c>
      <c r="I2127">
        <f>G2127+H2127</f>
        <v/>
      </c>
      <c r="J2127">
        <f>F2127+G2127+H2127</f>
        <v/>
      </c>
      <c r="K2127">
        <f>Data!R2232</f>
        <v/>
      </c>
      <c r="L2127">
        <f>Data!T2232</f>
        <v/>
      </c>
      <c r="M2127">
        <f>AND(E2127=0,F2127=0,G2127=0,H2127=0,I2127=0,J2127=0,K2127=0,L2127=0)</f>
        <v/>
      </c>
      <c r="N2127">
        <f>G2127&lt;=$T$6</f>
        <v/>
      </c>
      <c r="O2127">
        <f>G2127&lt;=$T$12</f>
        <v/>
      </c>
      <c r="P2127">
        <f>OR(AND(H2127&gt;=$T$4,K2127&lt;=$T$5,N2127),M2127)</f>
        <v/>
      </c>
      <c r="Q2127">
        <f>OR(AND(I2127&gt;=$T$10,K2127&lt;=$T$11,O2127),M2127)</f>
        <v/>
      </c>
    </row>
    <row r="2128">
      <c r="A2128">
        <f>Data!E2233</f>
        <v/>
      </c>
      <c r="B2128">
        <f>Data!G2233</f>
        <v/>
      </c>
      <c r="C2128">
        <f>Data!H2233</f>
        <v/>
      </c>
      <c r="D2128">
        <f>Data!I2233</f>
        <v/>
      </c>
      <c r="E2128">
        <f>Data!M2233</f>
        <v/>
      </c>
      <c r="F2128">
        <f>Data!O2233</f>
        <v/>
      </c>
      <c r="G2128">
        <f>E2128-F2128</f>
        <v/>
      </c>
      <c r="H2128">
        <f>Data!P2233</f>
        <v/>
      </c>
      <c r="I2128">
        <f>G2128+H2128</f>
        <v/>
      </c>
      <c r="J2128">
        <f>F2128+G2128+H2128</f>
        <v/>
      </c>
      <c r="K2128">
        <f>Data!R2233</f>
        <v/>
      </c>
      <c r="L2128">
        <f>Data!T2233</f>
        <v/>
      </c>
      <c r="M2128">
        <f>AND(E2128=0,F2128=0,G2128=0,H2128=0,I2128=0,J2128=0,K2128=0,L2128=0)</f>
        <v/>
      </c>
      <c r="N2128">
        <f>G2128&lt;=$T$6</f>
        <v/>
      </c>
      <c r="O2128">
        <f>G2128&lt;=$T$12</f>
        <v/>
      </c>
      <c r="P2128">
        <f>OR(AND(H2128&gt;=$T$4,K2128&lt;=$T$5,N2128),M2128)</f>
        <v/>
      </c>
      <c r="Q2128">
        <f>OR(AND(I2128&gt;=$T$10,K2128&lt;=$T$11,O2128),M2128)</f>
        <v/>
      </c>
    </row>
    <row r="2129">
      <c r="A2129">
        <f>Data!E2234</f>
        <v/>
      </c>
      <c r="B2129">
        <f>Data!G2234</f>
        <v/>
      </c>
      <c r="C2129">
        <f>Data!H2234</f>
        <v/>
      </c>
      <c r="D2129">
        <f>Data!I2234</f>
        <v/>
      </c>
      <c r="E2129">
        <f>Data!M2234</f>
        <v/>
      </c>
      <c r="F2129">
        <f>Data!O2234</f>
        <v/>
      </c>
      <c r="G2129">
        <f>E2129-F2129</f>
        <v/>
      </c>
      <c r="H2129">
        <f>Data!P2234</f>
        <v/>
      </c>
      <c r="I2129">
        <f>G2129+H2129</f>
        <v/>
      </c>
      <c r="J2129">
        <f>F2129+G2129+H2129</f>
        <v/>
      </c>
      <c r="K2129">
        <f>Data!R2234</f>
        <v/>
      </c>
      <c r="L2129">
        <f>Data!T2234</f>
        <v/>
      </c>
      <c r="M2129">
        <f>AND(E2129=0,F2129=0,G2129=0,H2129=0,I2129=0,J2129=0,K2129=0,L2129=0)</f>
        <v/>
      </c>
      <c r="N2129">
        <f>G2129&lt;=$T$6</f>
        <v/>
      </c>
      <c r="O2129">
        <f>G2129&lt;=$T$12</f>
        <v/>
      </c>
      <c r="P2129">
        <f>OR(AND(H2129&gt;=$T$4,K2129&lt;=$T$5,N2129),M2129)</f>
        <v/>
      </c>
      <c r="Q2129">
        <f>OR(AND(I2129&gt;=$T$10,K2129&lt;=$T$11,O2129),M2129)</f>
        <v/>
      </c>
    </row>
    <row r="2130">
      <c r="A2130">
        <f>Data!E2235</f>
        <v/>
      </c>
      <c r="B2130">
        <f>Data!G2235</f>
        <v/>
      </c>
      <c r="C2130">
        <f>Data!H2235</f>
        <v/>
      </c>
      <c r="D2130">
        <f>Data!I2235</f>
        <v/>
      </c>
      <c r="E2130">
        <f>Data!M2235</f>
        <v/>
      </c>
      <c r="F2130">
        <f>Data!O2235</f>
        <v/>
      </c>
      <c r="G2130">
        <f>E2130-F2130</f>
        <v/>
      </c>
      <c r="H2130">
        <f>Data!P2235</f>
        <v/>
      </c>
      <c r="I2130">
        <f>G2130+H2130</f>
        <v/>
      </c>
      <c r="J2130">
        <f>F2130+G2130+H2130</f>
        <v/>
      </c>
      <c r="K2130">
        <f>Data!R2235</f>
        <v/>
      </c>
      <c r="L2130">
        <f>Data!T2235</f>
        <v/>
      </c>
      <c r="M2130">
        <f>AND(E2130=0,F2130=0,G2130=0,H2130=0,I2130=0,J2130=0,K2130=0,L2130=0)</f>
        <v/>
      </c>
      <c r="N2130">
        <f>G2130&lt;=$T$6</f>
        <v/>
      </c>
      <c r="O2130">
        <f>G2130&lt;=$T$12</f>
        <v/>
      </c>
      <c r="P2130">
        <f>OR(AND(H2130&gt;=$T$4,K2130&lt;=$T$5,N2130),M2130)</f>
        <v/>
      </c>
      <c r="Q2130">
        <f>OR(AND(I2130&gt;=$T$10,K2130&lt;=$T$11,O2130),M2130)</f>
        <v/>
      </c>
    </row>
    <row r="2131">
      <c r="A2131">
        <f>Data!E2236</f>
        <v/>
      </c>
      <c r="B2131">
        <f>Data!G2236</f>
        <v/>
      </c>
      <c r="C2131">
        <f>Data!H2236</f>
        <v/>
      </c>
      <c r="D2131">
        <f>Data!I2236</f>
        <v/>
      </c>
      <c r="E2131">
        <f>Data!M2236</f>
        <v/>
      </c>
      <c r="F2131">
        <f>Data!O2236</f>
        <v/>
      </c>
      <c r="G2131">
        <f>E2131-F2131</f>
        <v/>
      </c>
      <c r="H2131">
        <f>Data!P2236</f>
        <v/>
      </c>
      <c r="I2131">
        <f>G2131+H2131</f>
        <v/>
      </c>
      <c r="J2131">
        <f>F2131+G2131+H2131</f>
        <v/>
      </c>
      <c r="K2131">
        <f>Data!R2236</f>
        <v/>
      </c>
      <c r="L2131">
        <f>Data!T2236</f>
        <v/>
      </c>
      <c r="M2131">
        <f>AND(E2131=0,F2131=0,G2131=0,H2131=0,I2131=0,J2131=0,K2131=0,L2131=0)</f>
        <v/>
      </c>
      <c r="N2131">
        <f>G2131&lt;=$T$6</f>
        <v/>
      </c>
      <c r="O2131">
        <f>G2131&lt;=$T$12</f>
        <v/>
      </c>
      <c r="P2131">
        <f>OR(AND(H2131&gt;=$T$4,K2131&lt;=$T$5,N2131),M2131)</f>
        <v/>
      </c>
      <c r="Q2131">
        <f>OR(AND(I2131&gt;=$T$10,K2131&lt;=$T$11,O2131),M2131)</f>
        <v/>
      </c>
    </row>
    <row r="2132">
      <c r="A2132">
        <f>Data!E2237</f>
        <v/>
      </c>
      <c r="B2132">
        <f>Data!G2237</f>
        <v/>
      </c>
      <c r="C2132">
        <f>Data!H2237</f>
        <v/>
      </c>
      <c r="D2132">
        <f>Data!I2237</f>
        <v/>
      </c>
      <c r="E2132">
        <f>Data!M2237</f>
        <v/>
      </c>
      <c r="F2132">
        <f>Data!O2237</f>
        <v/>
      </c>
      <c r="G2132">
        <f>E2132-F2132</f>
        <v/>
      </c>
      <c r="H2132">
        <f>Data!P2237</f>
        <v/>
      </c>
      <c r="I2132">
        <f>G2132+H2132</f>
        <v/>
      </c>
      <c r="J2132">
        <f>F2132+G2132+H2132</f>
        <v/>
      </c>
      <c r="K2132">
        <f>Data!R2237</f>
        <v/>
      </c>
      <c r="L2132">
        <f>Data!T2237</f>
        <v/>
      </c>
      <c r="M2132">
        <f>AND(E2132=0,F2132=0,G2132=0,H2132=0,I2132=0,J2132=0,K2132=0,L2132=0)</f>
        <v/>
      </c>
      <c r="N2132">
        <f>G2132&lt;=$T$6</f>
        <v/>
      </c>
      <c r="O2132">
        <f>G2132&lt;=$T$12</f>
        <v/>
      </c>
      <c r="P2132">
        <f>OR(AND(H2132&gt;=$T$4,K2132&lt;=$T$5,N2132),M2132)</f>
        <v/>
      </c>
      <c r="Q2132">
        <f>OR(AND(I2132&gt;=$T$10,K2132&lt;=$T$11,O2132),M2132)</f>
        <v/>
      </c>
    </row>
    <row r="2133">
      <c r="A2133">
        <f>Data!E2238</f>
        <v/>
      </c>
      <c r="B2133">
        <f>Data!G2238</f>
        <v/>
      </c>
      <c r="C2133">
        <f>Data!H2238</f>
        <v/>
      </c>
      <c r="D2133">
        <f>Data!I2238</f>
        <v/>
      </c>
      <c r="E2133">
        <f>Data!M2238</f>
        <v/>
      </c>
      <c r="F2133">
        <f>Data!O2238</f>
        <v/>
      </c>
      <c r="G2133">
        <f>E2133-F2133</f>
        <v/>
      </c>
      <c r="H2133">
        <f>Data!P2238</f>
        <v/>
      </c>
      <c r="I2133">
        <f>G2133+H2133</f>
        <v/>
      </c>
      <c r="J2133">
        <f>F2133+G2133+H2133</f>
        <v/>
      </c>
      <c r="K2133">
        <f>Data!R2238</f>
        <v/>
      </c>
      <c r="L2133">
        <f>Data!T2238</f>
        <v/>
      </c>
      <c r="M2133">
        <f>AND(E2133=0,F2133=0,G2133=0,H2133=0,I2133=0,J2133=0,K2133=0,L2133=0)</f>
        <v/>
      </c>
      <c r="N2133">
        <f>G2133&lt;=$T$6</f>
        <v/>
      </c>
      <c r="O2133">
        <f>G2133&lt;=$T$12</f>
        <v/>
      </c>
      <c r="P2133">
        <f>OR(AND(H2133&gt;=$T$4,K2133&lt;=$T$5,N2133),M2133)</f>
        <v/>
      </c>
      <c r="Q2133">
        <f>OR(AND(I2133&gt;=$T$10,K2133&lt;=$T$11,O2133),M2133)</f>
        <v/>
      </c>
    </row>
    <row r="2134">
      <c r="A2134">
        <f>Data!E2239</f>
        <v/>
      </c>
      <c r="B2134">
        <f>Data!G2239</f>
        <v/>
      </c>
      <c r="C2134">
        <f>Data!H2239</f>
        <v/>
      </c>
      <c r="D2134">
        <f>Data!I2239</f>
        <v/>
      </c>
      <c r="E2134">
        <f>Data!M2239</f>
        <v/>
      </c>
      <c r="F2134">
        <f>Data!O2239</f>
        <v/>
      </c>
      <c r="G2134">
        <f>E2134-F2134</f>
        <v/>
      </c>
      <c r="H2134">
        <f>Data!P2239</f>
        <v/>
      </c>
      <c r="I2134">
        <f>G2134+H2134</f>
        <v/>
      </c>
      <c r="J2134">
        <f>F2134+G2134+H2134</f>
        <v/>
      </c>
      <c r="K2134">
        <f>Data!R2239</f>
        <v/>
      </c>
      <c r="L2134">
        <f>Data!T2239</f>
        <v/>
      </c>
      <c r="M2134">
        <f>AND(E2134=0,F2134=0,G2134=0,H2134=0,I2134=0,J2134=0,K2134=0,L2134=0)</f>
        <v/>
      </c>
      <c r="N2134">
        <f>G2134&lt;=$T$6</f>
        <v/>
      </c>
      <c r="O2134">
        <f>G2134&lt;=$T$12</f>
        <v/>
      </c>
      <c r="P2134">
        <f>OR(AND(H2134&gt;=$T$4,K2134&lt;=$T$5,N2134),M2134)</f>
        <v/>
      </c>
      <c r="Q2134">
        <f>OR(AND(I2134&gt;=$T$10,K2134&lt;=$T$11,O2134),M2134)</f>
        <v/>
      </c>
    </row>
    <row r="2135">
      <c r="A2135">
        <f>Data!E2240</f>
        <v/>
      </c>
      <c r="B2135">
        <f>Data!G2240</f>
        <v/>
      </c>
      <c r="C2135">
        <f>Data!H2240</f>
        <v/>
      </c>
      <c r="D2135">
        <f>Data!I2240</f>
        <v/>
      </c>
      <c r="E2135">
        <f>Data!M2240</f>
        <v/>
      </c>
      <c r="F2135">
        <f>Data!O2240</f>
        <v/>
      </c>
      <c r="G2135">
        <f>E2135-F2135</f>
        <v/>
      </c>
      <c r="H2135">
        <f>Data!P2240</f>
        <v/>
      </c>
      <c r="I2135">
        <f>G2135+H2135</f>
        <v/>
      </c>
      <c r="J2135">
        <f>F2135+G2135+H2135</f>
        <v/>
      </c>
      <c r="K2135">
        <f>Data!R2240</f>
        <v/>
      </c>
      <c r="L2135">
        <f>Data!T2240</f>
        <v/>
      </c>
      <c r="M2135">
        <f>AND(E2135=0,F2135=0,G2135=0,H2135=0,I2135=0,J2135=0,K2135=0,L2135=0)</f>
        <v/>
      </c>
      <c r="N2135">
        <f>G2135&lt;=$T$6</f>
        <v/>
      </c>
      <c r="O2135">
        <f>G2135&lt;=$T$12</f>
        <v/>
      </c>
      <c r="P2135">
        <f>OR(AND(H2135&gt;=$T$4,K2135&lt;=$T$5,N2135),M2135)</f>
        <v/>
      </c>
      <c r="Q2135">
        <f>OR(AND(I2135&gt;=$T$10,K2135&lt;=$T$11,O2135),M2135)</f>
        <v/>
      </c>
    </row>
    <row r="2136">
      <c r="A2136">
        <f>Data!E2241</f>
        <v/>
      </c>
      <c r="B2136">
        <f>Data!G2241</f>
        <v/>
      </c>
      <c r="C2136">
        <f>Data!H2241</f>
        <v/>
      </c>
      <c r="D2136">
        <f>Data!I2241</f>
        <v/>
      </c>
      <c r="E2136">
        <f>Data!M2241</f>
        <v/>
      </c>
      <c r="F2136">
        <f>Data!O2241</f>
        <v/>
      </c>
      <c r="G2136">
        <f>E2136-F2136</f>
        <v/>
      </c>
      <c r="H2136">
        <f>Data!P2241</f>
        <v/>
      </c>
      <c r="I2136">
        <f>G2136+H2136</f>
        <v/>
      </c>
      <c r="J2136">
        <f>F2136+G2136+H2136</f>
        <v/>
      </c>
      <c r="K2136">
        <f>Data!R2241</f>
        <v/>
      </c>
      <c r="L2136">
        <f>Data!T2241</f>
        <v/>
      </c>
      <c r="M2136">
        <f>AND(E2136=0,F2136=0,G2136=0,H2136=0,I2136=0,J2136=0,K2136=0,L2136=0)</f>
        <v/>
      </c>
      <c r="N2136">
        <f>G2136&lt;=$T$6</f>
        <v/>
      </c>
      <c r="O2136">
        <f>G2136&lt;=$T$12</f>
        <v/>
      </c>
      <c r="P2136">
        <f>OR(AND(H2136&gt;=$T$4,K2136&lt;=$T$5,N2136),M2136)</f>
        <v/>
      </c>
      <c r="Q2136">
        <f>OR(AND(I2136&gt;=$T$10,K2136&lt;=$T$11,O2136),M2136)</f>
        <v/>
      </c>
    </row>
    <row r="2137">
      <c r="A2137">
        <f>Data!E2242</f>
        <v/>
      </c>
      <c r="B2137">
        <f>Data!G2242</f>
        <v/>
      </c>
      <c r="C2137">
        <f>Data!H2242</f>
        <v/>
      </c>
      <c r="D2137">
        <f>Data!I2242</f>
        <v/>
      </c>
      <c r="E2137">
        <f>Data!M2242</f>
        <v/>
      </c>
      <c r="F2137">
        <f>Data!O2242</f>
        <v/>
      </c>
      <c r="G2137">
        <f>E2137-F2137</f>
        <v/>
      </c>
      <c r="H2137">
        <f>Data!P2242</f>
        <v/>
      </c>
      <c r="I2137">
        <f>G2137+H2137</f>
        <v/>
      </c>
      <c r="J2137">
        <f>F2137+G2137+H2137</f>
        <v/>
      </c>
      <c r="K2137">
        <f>Data!R2242</f>
        <v/>
      </c>
      <c r="L2137">
        <f>Data!T2242</f>
        <v/>
      </c>
      <c r="M2137">
        <f>AND(E2137=0,F2137=0,G2137=0,H2137=0,I2137=0,J2137=0,K2137=0,L2137=0)</f>
        <v/>
      </c>
      <c r="N2137">
        <f>G2137&lt;=$T$6</f>
        <v/>
      </c>
      <c r="O2137">
        <f>G2137&lt;=$T$12</f>
        <v/>
      </c>
      <c r="P2137">
        <f>OR(AND(H2137&gt;=$T$4,K2137&lt;=$T$5,N2137),M2137)</f>
        <v/>
      </c>
      <c r="Q2137">
        <f>OR(AND(I2137&gt;=$T$10,K2137&lt;=$T$11,O2137),M2137)</f>
        <v/>
      </c>
    </row>
    <row r="2138">
      <c r="A2138">
        <f>Data!E2243</f>
        <v/>
      </c>
      <c r="B2138">
        <f>Data!G2243</f>
        <v/>
      </c>
      <c r="C2138">
        <f>Data!H2243</f>
        <v/>
      </c>
      <c r="D2138">
        <f>Data!I2243</f>
        <v/>
      </c>
      <c r="E2138">
        <f>Data!M2243</f>
        <v/>
      </c>
      <c r="F2138">
        <f>Data!O2243</f>
        <v/>
      </c>
      <c r="G2138">
        <f>E2138-F2138</f>
        <v/>
      </c>
      <c r="H2138">
        <f>Data!P2243</f>
        <v/>
      </c>
      <c r="I2138">
        <f>G2138+H2138</f>
        <v/>
      </c>
      <c r="J2138">
        <f>F2138+G2138+H2138</f>
        <v/>
      </c>
      <c r="K2138">
        <f>Data!R2243</f>
        <v/>
      </c>
      <c r="L2138">
        <f>Data!T2243</f>
        <v/>
      </c>
      <c r="M2138">
        <f>AND(E2138=0,F2138=0,G2138=0,H2138=0,I2138=0,J2138=0,K2138=0,L2138=0)</f>
        <v/>
      </c>
      <c r="N2138">
        <f>G2138&lt;=$T$6</f>
        <v/>
      </c>
      <c r="O2138">
        <f>G2138&lt;=$T$12</f>
        <v/>
      </c>
      <c r="P2138">
        <f>OR(AND(H2138&gt;=$T$4,K2138&lt;=$T$5,N2138),M2138)</f>
        <v/>
      </c>
      <c r="Q2138">
        <f>OR(AND(I2138&gt;=$T$10,K2138&lt;=$T$11,O2138),M2138)</f>
        <v/>
      </c>
    </row>
    <row r="2139">
      <c r="A2139">
        <f>Data!E2244</f>
        <v/>
      </c>
      <c r="B2139">
        <f>Data!G2244</f>
        <v/>
      </c>
      <c r="C2139">
        <f>Data!H2244</f>
        <v/>
      </c>
      <c r="D2139">
        <f>Data!I2244</f>
        <v/>
      </c>
      <c r="E2139">
        <f>Data!M2244</f>
        <v/>
      </c>
      <c r="F2139">
        <f>Data!O2244</f>
        <v/>
      </c>
      <c r="G2139">
        <f>E2139-F2139</f>
        <v/>
      </c>
      <c r="H2139">
        <f>Data!P2244</f>
        <v/>
      </c>
      <c r="I2139">
        <f>G2139+H2139</f>
        <v/>
      </c>
      <c r="J2139">
        <f>F2139+G2139+H2139</f>
        <v/>
      </c>
      <c r="K2139">
        <f>Data!R2244</f>
        <v/>
      </c>
      <c r="L2139">
        <f>Data!T2244</f>
        <v/>
      </c>
      <c r="M2139">
        <f>AND(E2139=0,F2139=0,G2139=0,H2139=0,I2139=0,J2139=0,K2139=0,L2139=0)</f>
        <v/>
      </c>
      <c r="N2139">
        <f>G2139&lt;=$T$6</f>
        <v/>
      </c>
      <c r="O2139">
        <f>G2139&lt;=$T$12</f>
        <v/>
      </c>
      <c r="P2139">
        <f>OR(AND(H2139&gt;=$T$4,K2139&lt;=$T$5,N2139),M2139)</f>
        <v/>
      </c>
      <c r="Q2139">
        <f>OR(AND(I2139&gt;=$T$10,K2139&lt;=$T$11,O2139),M2139)</f>
        <v/>
      </c>
    </row>
    <row r="2140">
      <c r="A2140">
        <f>Data!E2245</f>
        <v/>
      </c>
      <c r="B2140">
        <f>Data!G2245</f>
        <v/>
      </c>
      <c r="C2140">
        <f>Data!H2245</f>
        <v/>
      </c>
      <c r="D2140">
        <f>Data!I2245</f>
        <v/>
      </c>
      <c r="E2140">
        <f>Data!M2245</f>
        <v/>
      </c>
      <c r="F2140">
        <f>Data!O2245</f>
        <v/>
      </c>
      <c r="G2140">
        <f>E2140-F2140</f>
        <v/>
      </c>
      <c r="H2140">
        <f>Data!P2245</f>
        <v/>
      </c>
      <c r="I2140">
        <f>G2140+H2140</f>
        <v/>
      </c>
      <c r="J2140">
        <f>F2140+G2140+H2140</f>
        <v/>
      </c>
      <c r="K2140">
        <f>Data!R2245</f>
        <v/>
      </c>
      <c r="L2140">
        <f>Data!T2245</f>
        <v/>
      </c>
      <c r="M2140">
        <f>AND(E2140=0,F2140=0,G2140=0,H2140=0,I2140=0,J2140=0,K2140=0,L2140=0)</f>
        <v/>
      </c>
      <c r="N2140">
        <f>G2140&lt;=$T$6</f>
        <v/>
      </c>
      <c r="O2140">
        <f>G2140&lt;=$T$12</f>
        <v/>
      </c>
      <c r="P2140">
        <f>OR(AND(H2140&gt;=$T$4,K2140&lt;=$T$5,N2140),M2140)</f>
        <v/>
      </c>
      <c r="Q2140">
        <f>OR(AND(I2140&gt;=$T$10,K2140&lt;=$T$11,O2140),M2140)</f>
        <v/>
      </c>
    </row>
    <row r="2141">
      <c r="A2141">
        <f>Data!E2246</f>
        <v/>
      </c>
      <c r="B2141">
        <f>Data!G2246</f>
        <v/>
      </c>
      <c r="C2141">
        <f>Data!H2246</f>
        <v/>
      </c>
      <c r="D2141">
        <f>Data!I2246</f>
        <v/>
      </c>
      <c r="E2141">
        <f>Data!M2246</f>
        <v/>
      </c>
      <c r="F2141">
        <f>Data!O2246</f>
        <v/>
      </c>
      <c r="G2141">
        <f>E2141-F2141</f>
        <v/>
      </c>
      <c r="H2141">
        <f>Data!P2246</f>
        <v/>
      </c>
      <c r="I2141">
        <f>G2141+H2141</f>
        <v/>
      </c>
      <c r="J2141">
        <f>F2141+G2141+H2141</f>
        <v/>
      </c>
      <c r="K2141">
        <f>Data!R2246</f>
        <v/>
      </c>
      <c r="L2141">
        <f>Data!T2246</f>
        <v/>
      </c>
      <c r="M2141">
        <f>AND(E2141=0,F2141=0,G2141=0,H2141=0,I2141=0,J2141=0,K2141=0,L2141=0)</f>
        <v/>
      </c>
      <c r="N2141">
        <f>G2141&lt;=$T$6</f>
        <v/>
      </c>
      <c r="O2141">
        <f>G2141&lt;=$T$12</f>
        <v/>
      </c>
      <c r="P2141">
        <f>OR(AND(H2141&gt;=$T$4,K2141&lt;=$T$5,N2141),M2141)</f>
        <v/>
      </c>
      <c r="Q2141">
        <f>OR(AND(I2141&gt;=$T$10,K2141&lt;=$T$11,O2141),M2141)</f>
        <v/>
      </c>
    </row>
    <row r="2142">
      <c r="A2142">
        <f>Data!E2247</f>
        <v/>
      </c>
      <c r="B2142">
        <f>Data!G2247</f>
        <v/>
      </c>
      <c r="C2142">
        <f>Data!H2247</f>
        <v/>
      </c>
      <c r="D2142">
        <f>Data!I2247</f>
        <v/>
      </c>
      <c r="E2142">
        <f>Data!M2247</f>
        <v/>
      </c>
      <c r="F2142">
        <f>Data!O2247</f>
        <v/>
      </c>
      <c r="G2142">
        <f>E2142-F2142</f>
        <v/>
      </c>
      <c r="H2142">
        <f>Data!P2247</f>
        <v/>
      </c>
      <c r="I2142">
        <f>G2142+H2142</f>
        <v/>
      </c>
      <c r="J2142">
        <f>F2142+G2142+H2142</f>
        <v/>
      </c>
      <c r="K2142">
        <f>Data!R2247</f>
        <v/>
      </c>
      <c r="L2142">
        <f>Data!T2247</f>
        <v/>
      </c>
      <c r="M2142">
        <f>AND(E2142=0,F2142=0,G2142=0,H2142=0,I2142=0,J2142=0,K2142=0,L2142=0)</f>
        <v/>
      </c>
      <c r="N2142">
        <f>G2142&lt;=$T$6</f>
        <v/>
      </c>
      <c r="O2142">
        <f>G2142&lt;=$T$12</f>
        <v/>
      </c>
      <c r="P2142">
        <f>OR(AND(H2142&gt;=$T$4,K2142&lt;=$T$5,N2142),M2142)</f>
        <v/>
      </c>
      <c r="Q2142">
        <f>OR(AND(I2142&gt;=$T$10,K2142&lt;=$T$11,O2142),M2142)</f>
        <v/>
      </c>
    </row>
    <row r="2143">
      <c r="A2143">
        <f>Data!E2248</f>
        <v/>
      </c>
      <c r="B2143">
        <f>Data!G2248</f>
        <v/>
      </c>
      <c r="C2143">
        <f>Data!H2248</f>
        <v/>
      </c>
      <c r="D2143">
        <f>Data!I2248</f>
        <v/>
      </c>
      <c r="E2143">
        <f>Data!M2248</f>
        <v/>
      </c>
      <c r="F2143">
        <f>Data!O2248</f>
        <v/>
      </c>
      <c r="G2143">
        <f>E2143-F2143</f>
        <v/>
      </c>
      <c r="H2143">
        <f>Data!P2248</f>
        <v/>
      </c>
      <c r="I2143">
        <f>G2143+H2143</f>
        <v/>
      </c>
      <c r="J2143">
        <f>F2143+G2143+H2143</f>
        <v/>
      </c>
      <c r="K2143">
        <f>Data!R2248</f>
        <v/>
      </c>
      <c r="L2143">
        <f>Data!T2248</f>
        <v/>
      </c>
      <c r="M2143">
        <f>AND(E2143=0,F2143=0,G2143=0,H2143=0,I2143=0,J2143=0,K2143=0,L2143=0)</f>
        <v/>
      </c>
      <c r="N2143">
        <f>G2143&lt;=$T$6</f>
        <v/>
      </c>
      <c r="O2143">
        <f>G2143&lt;=$T$12</f>
        <v/>
      </c>
      <c r="P2143">
        <f>OR(AND(H2143&gt;=$T$4,K2143&lt;=$T$5,N2143),M2143)</f>
        <v/>
      </c>
      <c r="Q2143">
        <f>OR(AND(I2143&gt;=$T$10,K2143&lt;=$T$11,O2143),M2143)</f>
        <v/>
      </c>
    </row>
    <row r="2144">
      <c r="A2144">
        <f>Data!E2249</f>
        <v/>
      </c>
      <c r="B2144">
        <f>Data!G2249</f>
        <v/>
      </c>
      <c r="C2144">
        <f>Data!H2249</f>
        <v/>
      </c>
      <c r="D2144">
        <f>Data!I2249</f>
        <v/>
      </c>
      <c r="E2144">
        <f>Data!M2249</f>
        <v/>
      </c>
      <c r="F2144">
        <f>Data!O2249</f>
        <v/>
      </c>
      <c r="G2144">
        <f>E2144-F2144</f>
        <v/>
      </c>
      <c r="H2144">
        <f>Data!P2249</f>
        <v/>
      </c>
      <c r="I2144">
        <f>G2144+H2144</f>
        <v/>
      </c>
      <c r="J2144">
        <f>F2144+G2144+H2144</f>
        <v/>
      </c>
      <c r="K2144">
        <f>Data!R2249</f>
        <v/>
      </c>
      <c r="L2144">
        <f>Data!T2249</f>
        <v/>
      </c>
      <c r="M2144">
        <f>AND(E2144=0,F2144=0,G2144=0,H2144=0,I2144=0,J2144=0,K2144=0,L2144=0)</f>
        <v/>
      </c>
      <c r="N2144">
        <f>G2144&lt;=$T$6</f>
        <v/>
      </c>
      <c r="O2144">
        <f>G2144&lt;=$T$12</f>
        <v/>
      </c>
      <c r="P2144">
        <f>OR(AND(H2144&gt;=$T$4,K2144&lt;=$T$5,N2144),M2144)</f>
        <v/>
      </c>
      <c r="Q2144">
        <f>OR(AND(I2144&gt;=$T$10,K2144&lt;=$T$11,O2144),M2144)</f>
        <v/>
      </c>
    </row>
    <row r="2145">
      <c r="A2145">
        <f>Data!E2250</f>
        <v/>
      </c>
      <c r="B2145">
        <f>Data!G2250</f>
        <v/>
      </c>
      <c r="C2145">
        <f>Data!H2250</f>
        <v/>
      </c>
      <c r="D2145">
        <f>Data!I2250</f>
        <v/>
      </c>
      <c r="E2145">
        <f>Data!M2250</f>
        <v/>
      </c>
      <c r="F2145">
        <f>Data!O2250</f>
        <v/>
      </c>
      <c r="G2145">
        <f>E2145-F2145</f>
        <v/>
      </c>
      <c r="H2145">
        <f>Data!P2250</f>
        <v/>
      </c>
      <c r="I2145">
        <f>G2145+H2145</f>
        <v/>
      </c>
      <c r="J2145">
        <f>F2145+G2145+H2145</f>
        <v/>
      </c>
      <c r="K2145">
        <f>Data!R2250</f>
        <v/>
      </c>
      <c r="L2145">
        <f>Data!T2250</f>
        <v/>
      </c>
      <c r="M2145">
        <f>AND(E2145=0,F2145=0,G2145=0,H2145=0,I2145=0,J2145=0,K2145=0,L2145=0)</f>
        <v/>
      </c>
      <c r="N2145">
        <f>G2145&lt;=$T$6</f>
        <v/>
      </c>
      <c r="O2145">
        <f>G2145&lt;=$T$12</f>
        <v/>
      </c>
      <c r="P2145">
        <f>OR(AND(H2145&gt;=$T$4,K2145&lt;=$T$5,N2145),M2145)</f>
        <v/>
      </c>
      <c r="Q2145">
        <f>OR(AND(I2145&gt;=$T$10,K2145&lt;=$T$11,O2145),M2145)</f>
        <v/>
      </c>
    </row>
    <row r="2146">
      <c r="A2146">
        <f>Data!E2251</f>
        <v/>
      </c>
      <c r="B2146">
        <f>Data!G2251</f>
        <v/>
      </c>
      <c r="C2146">
        <f>Data!H2251</f>
        <v/>
      </c>
      <c r="D2146">
        <f>Data!I2251</f>
        <v/>
      </c>
      <c r="E2146">
        <f>Data!M2251</f>
        <v/>
      </c>
      <c r="F2146">
        <f>Data!O2251</f>
        <v/>
      </c>
      <c r="G2146">
        <f>E2146-F2146</f>
        <v/>
      </c>
      <c r="H2146">
        <f>Data!P2251</f>
        <v/>
      </c>
      <c r="I2146">
        <f>G2146+H2146</f>
        <v/>
      </c>
      <c r="J2146">
        <f>F2146+G2146+H2146</f>
        <v/>
      </c>
      <c r="K2146">
        <f>Data!R2251</f>
        <v/>
      </c>
      <c r="L2146">
        <f>Data!T2251</f>
        <v/>
      </c>
      <c r="M2146">
        <f>AND(E2146=0,F2146=0,G2146=0,H2146=0,I2146=0,J2146=0,K2146=0,L2146=0)</f>
        <v/>
      </c>
      <c r="N2146">
        <f>G2146&lt;=$T$6</f>
        <v/>
      </c>
      <c r="O2146">
        <f>G2146&lt;=$T$12</f>
        <v/>
      </c>
      <c r="P2146">
        <f>OR(AND(H2146&gt;=$T$4,K2146&lt;=$T$5,N2146),M2146)</f>
        <v/>
      </c>
      <c r="Q2146">
        <f>OR(AND(I2146&gt;=$T$10,K2146&lt;=$T$11,O2146),M2146)</f>
        <v/>
      </c>
    </row>
    <row r="2147">
      <c r="A2147">
        <f>Data!E2252</f>
        <v/>
      </c>
      <c r="B2147">
        <f>Data!G2252</f>
        <v/>
      </c>
      <c r="C2147">
        <f>Data!H2252</f>
        <v/>
      </c>
      <c r="D2147">
        <f>Data!I2252</f>
        <v/>
      </c>
      <c r="E2147">
        <f>Data!M2252</f>
        <v/>
      </c>
      <c r="F2147">
        <f>Data!O2252</f>
        <v/>
      </c>
      <c r="G2147">
        <f>E2147-F2147</f>
        <v/>
      </c>
      <c r="H2147">
        <f>Data!P2252</f>
        <v/>
      </c>
      <c r="I2147">
        <f>G2147+H2147</f>
        <v/>
      </c>
      <c r="J2147">
        <f>F2147+G2147+H2147</f>
        <v/>
      </c>
      <c r="K2147">
        <f>Data!R2252</f>
        <v/>
      </c>
      <c r="L2147">
        <f>Data!T2252</f>
        <v/>
      </c>
      <c r="M2147">
        <f>AND(E2147=0,F2147=0,G2147=0,H2147=0,I2147=0,J2147=0,K2147=0,L2147=0)</f>
        <v/>
      </c>
      <c r="N2147">
        <f>G2147&lt;=$T$6</f>
        <v/>
      </c>
      <c r="O2147">
        <f>G2147&lt;=$T$12</f>
        <v/>
      </c>
      <c r="P2147">
        <f>OR(AND(H2147&gt;=$T$4,K2147&lt;=$T$5,N2147),M2147)</f>
        <v/>
      </c>
      <c r="Q2147">
        <f>OR(AND(I2147&gt;=$T$10,K2147&lt;=$T$11,O2147),M2147)</f>
        <v/>
      </c>
    </row>
    <row r="2148">
      <c r="A2148">
        <f>Data!E2253</f>
        <v/>
      </c>
      <c r="B2148">
        <f>Data!G2253</f>
        <v/>
      </c>
      <c r="C2148">
        <f>Data!H2253</f>
        <v/>
      </c>
      <c r="D2148">
        <f>Data!I2253</f>
        <v/>
      </c>
      <c r="E2148">
        <f>Data!M2253</f>
        <v/>
      </c>
      <c r="F2148">
        <f>Data!O2253</f>
        <v/>
      </c>
      <c r="G2148">
        <f>E2148-F2148</f>
        <v/>
      </c>
      <c r="H2148">
        <f>Data!P2253</f>
        <v/>
      </c>
      <c r="I2148">
        <f>G2148+H2148</f>
        <v/>
      </c>
      <c r="J2148">
        <f>F2148+G2148+H2148</f>
        <v/>
      </c>
      <c r="K2148">
        <f>Data!R2253</f>
        <v/>
      </c>
      <c r="L2148">
        <f>Data!T2253</f>
        <v/>
      </c>
      <c r="M2148">
        <f>AND(E2148=0,F2148=0,G2148=0,H2148=0,I2148=0,J2148=0,K2148=0,L2148=0)</f>
        <v/>
      </c>
      <c r="N2148">
        <f>G2148&lt;=$T$6</f>
        <v/>
      </c>
      <c r="O2148">
        <f>G2148&lt;=$T$12</f>
        <v/>
      </c>
      <c r="P2148">
        <f>OR(AND(H2148&gt;=$T$4,K2148&lt;=$T$5,N2148),M2148)</f>
        <v/>
      </c>
      <c r="Q2148">
        <f>OR(AND(I2148&gt;=$T$10,K2148&lt;=$T$11,O2148),M2148)</f>
        <v/>
      </c>
    </row>
    <row r="2149">
      <c r="A2149">
        <f>Data!E2254</f>
        <v/>
      </c>
      <c r="B2149">
        <f>Data!G2254</f>
        <v/>
      </c>
      <c r="C2149">
        <f>Data!H2254</f>
        <v/>
      </c>
      <c r="D2149">
        <f>Data!I2254</f>
        <v/>
      </c>
      <c r="E2149">
        <f>Data!M2254</f>
        <v/>
      </c>
      <c r="F2149">
        <f>Data!O2254</f>
        <v/>
      </c>
      <c r="G2149">
        <f>E2149-F2149</f>
        <v/>
      </c>
      <c r="H2149">
        <f>Data!P2254</f>
        <v/>
      </c>
      <c r="I2149">
        <f>G2149+H2149</f>
        <v/>
      </c>
      <c r="J2149">
        <f>F2149+G2149+H2149</f>
        <v/>
      </c>
      <c r="K2149">
        <f>Data!R2254</f>
        <v/>
      </c>
      <c r="L2149">
        <f>Data!T2254</f>
        <v/>
      </c>
      <c r="M2149">
        <f>AND(E2149=0,F2149=0,G2149=0,H2149=0,I2149=0,J2149=0,K2149=0,L2149=0)</f>
        <v/>
      </c>
      <c r="N2149">
        <f>G2149&lt;=$T$6</f>
        <v/>
      </c>
      <c r="O2149">
        <f>G2149&lt;=$T$12</f>
        <v/>
      </c>
      <c r="P2149">
        <f>OR(AND(H2149&gt;=$T$4,K2149&lt;=$T$5,N2149),M2149)</f>
        <v/>
      </c>
      <c r="Q2149">
        <f>OR(AND(I2149&gt;=$T$10,K2149&lt;=$T$11,O2149),M2149)</f>
        <v/>
      </c>
    </row>
    <row r="2150">
      <c r="A2150">
        <f>Data!E2255</f>
        <v/>
      </c>
      <c r="B2150">
        <f>Data!G2255</f>
        <v/>
      </c>
      <c r="C2150">
        <f>Data!H2255</f>
        <v/>
      </c>
      <c r="D2150">
        <f>Data!I2255</f>
        <v/>
      </c>
      <c r="E2150">
        <f>Data!M2255</f>
        <v/>
      </c>
      <c r="F2150">
        <f>Data!O2255</f>
        <v/>
      </c>
      <c r="G2150">
        <f>E2150-F2150</f>
        <v/>
      </c>
      <c r="H2150">
        <f>Data!P2255</f>
        <v/>
      </c>
      <c r="I2150">
        <f>G2150+H2150</f>
        <v/>
      </c>
      <c r="J2150">
        <f>F2150+G2150+H2150</f>
        <v/>
      </c>
      <c r="K2150">
        <f>Data!R2255</f>
        <v/>
      </c>
      <c r="L2150">
        <f>Data!T2255</f>
        <v/>
      </c>
      <c r="M2150">
        <f>AND(E2150=0,F2150=0,G2150=0,H2150=0,I2150=0,J2150=0,K2150=0,L2150=0)</f>
        <v/>
      </c>
      <c r="N2150">
        <f>G2150&lt;=$T$6</f>
        <v/>
      </c>
      <c r="O2150">
        <f>G2150&lt;=$T$12</f>
        <v/>
      </c>
      <c r="P2150">
        <f>OR(AND(H2150&gt;=$T$4,K2150&lt;=$T$5,N2150),M2150)</f>
        <v/>
      </c>
      <c r="Q2150">
        <f>OR(AND(I2150&gt;=$T$10,K2150&lt;=$T$11,O2150),M2150)</f>
        <v/>
      </c>
    </row>
    <row r="2151">
      <c r="A2151">
        <f>Data!E2256</f>
        <v/>
      </c>
      <c r="B2151">
        <f>Data!G2256</f>
        <v/>
      </c>
      <c r="C2151">
        <f>Data!H2256</f>
        <v/>
      </c>
      <c r="D2151">
        <f>Data!I2256</f>
        <v/>
      </c>
      <c r="E2151">
        <f>Data!M2256</f>
        <v/>
      </c>
      <c r="F2151">
        <f>Data!O2256</f>
        <v/>
      </c>
      <c r="G2151">
        <f>E2151-F2151</f>
        <v/>
      </c>
      <c r="H2151">
        <f>Data!P2256</f>
        <v/>
      </c>
      <c r="I2151">
        <f>G2151+H2151</f>
        <v/>
      </c>
      <c r="J2151">
        <f>F2151+G2151+H2151</f>
        <v/>
      </c>
      <c r="K2151">
        <f>Data!R2256</f>
        <v/>
      </c>
      <c r="L2151">
        <f>Data!T2256</f>
        <v/>
      </c>
      <c r="M2151">
        <f>AND(E2151=0,F2151=0,G2151=0,H2151=0,I2151=0,J2151=0,K2151=0,L2151=0)</f>
        <v/>
      </c>
      <c r="N2151">
        <f>G2151&lt;=$T$6</f>
        <v/>
      </c>
      <c r="O2151">
        <f>G2151&lt;=$T$12</f>
        <v/>
      </c>
      <c r="P2151">
        <f>OR(AND(H2151&gt;=$T$4,K2151&lt;=$T$5,N2151),M2151)</f>
        <v/>
      </c>
      <c r="Q2151">
        <f>OR(AND(I2151&gt;=$T$10,K2151&lt;=$T$11,O2151),M2151)</f>
        <v/>
      </c>
    </row>
    <row r="2152">
      <c r="A2152">
        <f>Data!E2257</f>
        <v/>
      </c>
      <c r="B2152">
        <f>Data!G2257</f>
        <v/>
      </c>
      <c r="C2152">
        <f>Data!H2257</f>
        <v/>
      </c>
      <c r="D2152">
        <f>Data!I2257</f>
        <v/>
      </c>
      <c r="E2152">
        <f>Data!M2257</f>
        <v/>
      </c>
      <c r="F2152">
        <f>Data!O2257</f>
        <v/>
      </c>
      <c r="G2152">
        <f>E2152-F2152</f>
        <v/>
      </c>
      <c r="H2152">
        <f>Data!P2257</f>
        <v/>
      </c>
      <c r="I2152">
        <f>G2152+H2152</f>
        <v/>
      </c>
      <c r="J2152">
        <f>F2152+G2152+H2152</f>
        <v/>
      </c>
      <c r="K2152">
        <f>Data!R2257</f>
        <v/>
      </c>
      <c r="L2152">
        <f>Data!T2257</f>
        <v/>
      </c>
      <c r="M2152">
        <f>AND(E2152=0,F2152=0,G2152=0,H2152=0,I2152=0,J2152=0,K2152=0,L2152=0)</f>
        <v/>
      </c>
      <c r="N2152">
        <f>G2152&lt;=$T$6</f>
        <v/>
      </c>
      <c r="O2152">
        <f>G2152&lt;=$T$12</f>
        <v/>
      </c>
      <c r="P2152">
        <f>OR(AND(H2152&gt;=$T$4,K2152&lt;=$T$5,N2152),M2152)</f>
        <v/>
      </c>
      <c r="Q2152">
        <f>OR(AND(I2152&gt;=$T$10,K2152&lt;=$T$11,O2152),M2152)</f>
        <v/>
      </c>
    </row>
    <row r="2153">
      <c r="A2153">
        <f>Data!E2258</f>
        <v/>
      </c>
      <c r="B2153">
        <f>Data!G2258</f>
        <v/>
      </c>
      <c r="C2153">
        <f>Data!H2258</f>
        <v/>
      </c>
      <c r="D2153">
        <f>Data!I2258</f>
        <v/>
      </c>
      <c r="E2153">
        <f>Data!M2258</f>
        <v/>
      </c>
      <c r="F2153">
        <f>Data!O2258</f>
        <v/>
      </c>
      <c r="G2153">
        <f>E2153-F2153</f>
        <v/>
      </c>
      <c r="H2153">
        <f>Data!P2258</f>
        <v/>
      </c>
      <c r="I2153">
        <f>G2153+H2153</f>
        <v/>
      </c>
      <c r="J2153">
        <f>F2153+G2153+H2153</f>
        <v/>
      </c>
      <c r="K2153">
        <f>Data!R2258</f>
        <v/>
      </c>
      <c r="L2153">
        <f>Data!T2258</f>
        <v/>
      </c>
      <c r="M2153">
        <f>AND(E2153=0,F2153=0,G2153=0,H2153=0,I2153=0,J2153=0,K2153=0,L2153=0)</f>
        <v/>
      </c>
      <c r="N2153">
        <f>G2153&lt;=$T$6</f>
        <v/>
      </c>
      <c r="O2153">
        <f>G2153&lt;=$T$12</f>
        <v/>
      </c>
      <c r="P2153">
        <f>OR(AND(H2153&gt;=$T$4,K2153&lt;=$T$5,N2153),M2153)</f>
        <v/>
      </c>
      <c r="Q2153">
        <f>OR(AND(I2153&gt;=$T$10,K2153&lt;=$T$11,O2153),M2153)</f>
        <v/>
      </c>
    </row>
    <row r="2154">
      <c r="A2154">
        <f>Data!E2259</f>
        <v/>
      </c>
      <c r="B2154">
        <f>Data!G2259</f>
        <v/>
      </c>
      <c r="C2154">
        <f>Data!H2259</f>
        <v/>
      </c>
      <c r="D2154">
        <f>Data!I2259</f>
        <v/>
      </c>
      <c r="E2154">
        <f>Data!M2259</f>
        <v/>
      </c>
      <c r="F2154">
        <f>Data!O2259</f>
        <v/>
      </c>
      <c r="G2154">
        <f>E2154-F2154</f>
        <v/>
      </c>
      <c r="H2154">
        <f>Data!P2259</f>
        <v/>
      </c>
      <c r="I2154">
        <f>G2154+H2154</f>
        <v/>
      </c>
      <c r="J2154">
        <f>F2154+G2154+H2154</f>
        <v/>
      </c>
      <c r="K2154">
        <f>Data!R2259</f>
        <v/>
      </c>
      <c r="L2154">
        <f>Data!T2259</f>
        <v/>
      </c>
      <c r="M2154">
        <f>AND(E2154=0,F2154=0,G2154=0,H2154=0,I2154=0,J2154=0,K2154=0,L2154=0)</f>
        <v/>
      </c>
      <c r="N2154">
        <f>G2154&lt;=$T$6</f>
        <v/>
      </c>
      <c r="O2154">
        <f>G2154&lt;=$T$12</f>
        <v/>
      </c>
      <c r="P2154">
        <f>OR(AND(H2154&gt;=$T$4,K2154&lt;=$T$5,N2154),M2154)</f>
        <v/>
      </c>
      <c r="Q2154">
        <f>OR(AND(I2154&gt;=$T$10,K2154&lt;=$T$11,O2154),M2154)</f>
        <v/>
      </c>
    </row>
    <row r="2155">
      <c r="A2155">
        <f>Data!E2260</f>
        <v/>
      </c>
      <c r="B2155">
        <f>Data!G2260</f>
        <v/>
      </c>
      <c r="C2155">
        <f>Data!H2260</f>
        <v/>
      </c>
      <c r="D2155">
        <f>Data!I2260</f>
        <v/>
      </c>
      <c r="E2155">
        <f>Data!M2260</f>
        <v/>
      </c>
      <c r="F2155">
        <f>Data!O2260</f>
        <v/>
      </c>
      <c r="G2155">
        <f>E2155-F2155</f>
        <v/>
      </c>
      <c r="H2155">
        <f>Data!P2260</f>
        <v/>
      </c>
      <c r="I2155">
        <f>G2155+H2155</f>
        <v/>
      </c>
      <c r="J2155">
        <f>F2155+G2155+H2155</f>
        <v/>
      </c>
      <c r="K2155">
        <f>Data!R2260</f>
        <v/>
      </c>
      <c r="L2155">
        <f>Data!T2260</f>
        <v/>
      </c>
      <c r="M2155">
        <f>AND(E2155=0,F2155=0,G2155=0,H2155=0,I2155=0,J2155=0,K2155=0,L2155=0)</f>
        <v/>
      </c>
      <c r="N2155">
        <f>G2155&lt;=$T$6</f>
        <v/>
      </c>
      <c r="O2155">
        <f>G2155&lt;=$T$12</f>
        <v/>
      </c>
      <c r="P2155">
        <f>OR(AND(H2155&gt;=$T$4,K2155&lt;=$T$5,N2155),M2155)</f>
        <v/>
      </c>
      <c r="Q2155">
        <f>OR(AND(I2155&gt;=$T$10,K2155&lt;=$T$11,O2155),M2155)</f>
        <v/>
      </c>
    </row>
    <row r="2156">
      <c r="A2156">
        <f>Data!E2261</f>
        <v/>
      </c>
      <c r="B2156">
        <f>Data!G2261</f>
        <v/>
      </c>
      <c r="C2156">
        <f>Data!H2261</f>
        <v/>
      </c>
      <c r="D2156">
        <f>Data!I2261</f>
        <v/>
      </c>
      <c r="E2156">
        <f>Data!M2261</f>
        <v/>
      </c>
      <c r="F2156">
        <f>Data!O2261</f>
        <v/>
      </c>
      <c r="G2156">
        <f>E2156-F2156</f>
        <v/>
      </c>
      <c r="H2156">
        <f>Data!P2261</f>
        <v/>
      </c>
      <c r="I2156">
        <f>G2156+H2156</f>
        <v/>
      </c>
      <c r="J2156">
        <f>F2156+G2156+H2156</f>
        <v/>
      </c>
      <c r="K2156">
        <f>Data!R2261</f>
        <v/>
      </c>
      <c r="L2156">
        <f>Data!T2261</f>
        <v/>
      </c>
      <c r="M2156">
        <f>AND(E2156=0,F2156=0,G2156=0,H2156=0,I2156=0,J2156=0,K2156=0,L2156=0)</f>
        <v/>
      </c>
      <c r="N2156">
        <f>G2156&lt;=$T$6</f>
        <v/>
      </c>
      <c r="O2156">
        <f>G2156&lt;=$T$12</f>
        <v/>
      </c>
      <c r="P2156">
        <f>OR(AND(H2156&gt;=$T$4,K2156&lt;=$T$5,N2156),M2156)</f>
        <v/>
      </c>
      <c r="Q2156">
        <f>OR(AND(I2156&gt;=$T$10,K2156&lt;=$T$11,O2156),M2156)</f>
        <v/>
      </c>
    </row>
    <row r="2157">
      <c r="A2157">
        <f>Data!E2262</f>
        <v/>
      </c>
      <c r="B2157">
        <f>Data!G2262</f>
        <v/>
      </c>
      <c r="C2157">
        <f>Data!H2262</f>
        <v/>
      </c>
      <c r="D2157">
        <f>Data!I2262</f>
        <v/>
      </c>
      <c r="E2157">
        <f>Data!M2262</f>
        <v/>
      </c>
      <c r="F2157">
        <f>Data!O2262</f>
        <v/>
      </c>
      <c r="G2157">
        <f>E2157-F2157</f>
        <v/>
      </c>
      <c r="H2157">
        <f>Data!P2262</f>
        <v/>
      </c>
      <c r="I2157">
        <f>G2157+H2157</f>
        <v/>
      </c>
      <c r="J2157">
        <f>F2157+G2157+H2157</f>
        <v/>
      </c>
      <c r="K2157">
        <f>Data!R2262</f>
        <v/>
      </c>
      <c r="L2157">
        <f>Data!T2262</f>
        <v/>
      </c>
      <c r="M2157">
        <f>AND(E2157=0,F2157=0,G2157=0,H2157=0,I2157=0,J2157=0,K2157=0,L2157=0)</f>
        <v/>
      </c>
      <c r="N2157">
        <f>G2157&lt;=$T$6</f>
        <v/>
      </c>
      <c r="O2157">
        <f>G2157&lt;=$T$12</f>
        <v/>
      </c>
      <c r="P2157">
        <f>OR(AND(H2157&gt;=$T$4,K2157&lt;=$T$5,N2157),M2157)</f>
        <v/>
      </c>
      <c r="Q2157">
        <f>OR(AND(I2157&gt;=$T$10,K2157&lt;=$T$11,O2157),M2157)</f>
        <v/>
      </c>
    </row>
    <row r="2158">
      <c r="A2158">
        <f>Data!E2263</f>
        <v/>
      </c>
      <c r="B2158">
        <f>Data!G2263</f>
        <v/>
      </c>
      <c r="C2158">
        <f>Data!H2263</f>
        <v/>
      </c>
      <c r="D2158">
        <f>Data!I2263</f>
        <v/>
      </c>
      <c r="E2158">
        <f>Data!M2263</f>
        <v/>
      </c>
      <c r="F2158">
        <f>Data!O2263</f>
        <v/>
      </c>
      <c r="G2158">
        <f>E2158-F2158</f>
        <v/>
      </c>
      <c r="H2158">
        <f>Data!P2263</f>
        <v/>
      </c>
      <c r="I2158">
        <f>G2158+H2158</f>
        <v/>
      </c>
      <c r="J2158">
        <f>F2158+G2158+H2158</f>
        <v/>
      </c>
      <c r="K2158">
        <f>Data!R2263</f>
        <v/>
      </c>
      <c r="L2158">
        <f>Data!T2263</f>
        <v/>
      </c>
      <c r="M2158">
        <f>AND(E2158=0,F2158=0,G2158=0,H2158=0,I2158=0,J2158=0,K2158=0,L2158=0)</f>
        <v/>
      </c>
      <c r="N2158">
        <f>G2158&lt;=$T$6</f>
        <v/>
      </c>
      <c r="O2158">
        <f>G2158&lt;=$T$12</f>
        <v/>
      </c>
      <c r="P2158">
        <f>OR(AND(H2158&gt;=$T$4,K2158&lt;=$T$5,N2158),M2158)</f>
        <v/>
      </c>
      <c r="Q2158">
        <f>OR(AND(I2158&gt;=$T$10,K2158&lt;=$T$11,O2158),M2158)</f>
        <v/>
      </c>
    </row>
    <row r="2159">
      <c r="A2159">
        <f>Data!E2264</f>
        <v/>
      </c>
      <c r="B2159">
        <f>Data!G2264</f>
        <v/>
      </c>
      <c r="C2159">
        <f>Data!H2264</f>
        <v/>
      </c>
      <c r="D2159">
        <f>Data!I2264</f>
        <v/>
      </c>
      <c r="E2159">
        <f>Data!M2264</f>
        <v/>
      </c>
      <c r="F2159">
        <f>Data!O2264</f>
        <v/>
      </c>
      <c r="G2159">
        <f>E2159-F2159</f>
        <v/>
      </c>
      <c r="H2159">
        <f>Data!P2264</f>
        <v/>
      </c>
      <c r="I2159">
        <f>G2159+H2159</f>
        <v/>
      </c>
      <c r="J2159">
        <f>F2159+G2159+H2159</f>
        <v/>
      </c>
      <c r="K2159">
        <f>Data!R2264</f>
        <v/>
      </c>
      <c r="L2159">
        <f>Data!T2264</f>
        <v/>
      </c>
      <c r="M2159">
        <f>AND(E2159=0,F2159=0,G2159=0,H2159=0,I2159=0,J2159=0,K2159=0,L2159=0)</f>
        <v/>
      </c>
      <c r="N2159">
        <f>G2159&lt;=$T$6</f>
        <v/>
      </c>
      <c r="O2159">
        <f>G2159&lt;=$T$12</f>
        <v/>
      </c>
      <c r="P2159">
        <f>OR(AND(H2159&gt;=$T$4,K2159&lt;=$T$5,N2159),M2159)</f>
        <v/>
      </c>
      <c r="Q2159">
        <f>OR(AND(I2159&gt;=$T$10,K2159&lt;=$T$11,O2159),M2159)</f>
        <v/>
      </c>
    </row>
    <row r="2160">
      <c r="A2160">
        <f>Data!E2265</f>
        <v/>
      </c>
      <c r="B2160">
        <f>Data!G2265</f>
        <v/>
      </c>
      <c r="C2160">
        <f>Data!H2265</f>
        <v/>
      </c>
      <c r="D2160">
        <f>Data!I2265</f>
        <v/>
      </c>
      <c r="E2160">
        <f>Data!M2265</f>
        <v/>
      </c>
      <c r="F2160">
        <f>Data!O2265</f>
        <v/>
      </c>
      <c r="G2160">
        <f>E2160-F2160</f>
        <v/>
      </c>
      <c r="H2160">
        <f>Data!P2265</f>
        <v/>
      </c>
      <c r="I2160">
        <f>G2160+H2160</f>
        <v/>
      </c>
      <c r="J2160">
        <f>F2160+G2160+H2160</f>
        <v/>
      </c>
      <c r="K2160">
        <f>Data!R2265</f>
        <v/>
      </c>
      <c r="L2160">
        <f>Data!T2265</f>
        <v/>
      </c>
      <c r="M2160">
        <f>AND(E2160=0,F2160=0,G2160=0,H2160=0,I2160=0,J2160=0,K2160=0,L2160=0)</f>
        <v/>
      </c>
      <c r="N2160">
        <f>G2160&lt;=$T$6</f>
        <v/>
      </c>
      <c r="O2160">
        <f>G2160&lt;=$T$12</f>
        <v/>
      </c>
      <c r="P2160">
        <f>OR(AND(H2160&gt;=$T$4,K2160&lt;=$T$5,N2160),M2160)</f>
        <v/>
      </c>
      <c r="Q2160">
        <f>OR(AND(I2160&gt;=$T$10,K2160&lt;=$T$11,O2160),M2160)</f>
        <v/>
      </c>
    </row>
    <row r="2161">
      <c r="A2161">
        <f>Data!E2266</f>
        <v/>
      </c>
      <c r="B2161">
        <f>Data!G2266</f>
        <v/>
      </c>
      <c r="C2161">
        <f>Data!H2266</f>
        <v/>
      </c>
      <c r="D2161">
        <f>Data!I2266</f>
        <v/>
      </c>
      <c r="E2161">
        <f>Data!M2266</f>
        <v/>
      </c>
      <c r="F2161">
        <f>Data!O2266</f>
        <v/>
      </c>
      <c r="G2161">
        <f>E2161-F2161</f>
        <v/>
      </c>
      <c r="H2161">
        <f>Data!P2266</f>
        <v/>
      </c>
      <c r="I2161">
        <f>G2161+H2161</f>
        <v/>
      </c>
      <c r="J2161">
        <f>F2161+G2161+H2161</f>
        <v/>
      </c>
      <c r="K2161">
        <f>Data!R2266</f>
        <v/>
      </c>
      <c r="L2161">
        <f>Data!T2266</f>
        <v/>
      </c>
      <c r="M2161">
        <f>AND(E2161=0,F2161=0,G2161=0,H2161=0,I2161=0,J2161=0,K2161=0,L2161=0)</f>
        <v/>
      </c>
      <c r="N2161">
        <f>G2161&lt;=$T$6</f>
        <v/>
      </c>
      <c r="O2161">
        <f>G2161&lt;=$T$12</f>
        <v/>
      </c>
      <c r="P2161">
        <f>OR(AND(H2161&gt;=$T$4,K2161&lt;=$T$5,N2161),M2161)</f>
        <v/>
      </c>
      <c r="Q2161">
        <f>OR(AND(I2161&gt;=$T$10,K2161&lt;=$T$11,O2161),M2161)</f>
        <v/>
      </c>
    </row>
    <row r="2162">
      <c r="A2162">
        <f>Data!E2268</f>
        <v/>
      </c>
      <c r="B2162">
        <f>Data!G2268</f>
        <v/>
      </c>
      <c r="C2162">
        <f>Data!H2268</f>
        <v/>
      </c>
      <c r="D2162">
        <f>Data!I2268</f>
        <v/>
      </c>
      <c r="E2162">
        <f>Data!M2268</f>
        <v/>
      </c>
      <c r="F2162">
        <f>Data!O2268</f>
        <v/>
      </c>
      <c r="G2162">
        <f>E2162-F2162</f>
        <v/>
      </c>
      <c r="H2162">
        <f>Data!P2268</f>
        <v/>
      </c>
      <c r="I2162">
        <f>G2162+H2162</f>
        <v/>
      </c>
      <c r="J2162">
        <f>F2162+G2162+H2162</f>
        <v/>
      </c>
      <c r="K2162">
        <f>Data!R2268</f>
        <v/>
      </c>
      <c r="L2162">
        <f>Data!T2268</f>
        <v/>
      </c>
      <c r="M2162">
        <f>AND(E2162=0,F2162=0,G2162=0,H2162=0,I2162=0,J2162=0,K2162=0,L2162=0)</f>
        <v/>
      </c>
      <c r="N2162">
        <f>G2162&lt;=$T$6</f>
        <v/>
      </c>
      <c r="O2162">
        <f>G2162&lt;=$T$12</f>
        <v/>
      </c>
      <c r="P2162">
        <f>OR(AND(H2162&gt;=$T$4,K2162&lt;=$T$5,N2162),M2162)</f>
        <v/>
      </c>
      <c r="Q2162">
        <f>OR(AND(I2162&gt;=$T$10,K2162&lt;=$T$11,O2162),M2162)</f>
        <v/>
      </c>
    </row>
    <row r="2163">
      <c r="A2163">
        <f>Data!E2269</f>
        <v/>
      </c>
      <c r="B2163">
        <f>Data!G2269</f>
        <v/>
      </c>
      <c r="C2163">
        <f>Data!H2269</f>
        <v/>
      </c>
      <c r="D2163">
        <f>Data!I2269</f>
        <v/>
      </c>
      <c r="E2163">
        <f>Data!M2269</f>
        <v/>
      </c>
      <c r="F2163">
        <f>Data!O2269</f>
        <v/>
      </c>
      <c r="G2163">
        <f>E2163-F2163</f>
        <v/>
      </c>
      <c r="H2163">
        <f>Data!P2269</f>
        <v/>
      </c>
      <c r="I2163">
        <f>G2163+H2163</f>
        <v/>
      </c>
      <c r="J2163">
        <f>F2163+G2163+H2163</f>
        <v/>
      </c>
      <c r="K2163">
        <f>Data!R2269</f>
        <v/>
      </c>
      <c r="L2163">
        <f>Data!T2269</f>
        <v/>
      </c>
      <c r="M2163">
        <f>AND(E2163=0,F2163=0,G2163=0,H2163=0,I2163=0,J2163=0,K2163=0,L2163=0)</f>
        <v/>
      </c>
      <c r="N2163">
        <f>G2163&lt;=$T$6</f>
        <v/>
      </c>
      <c r="O2163">
        <f>G2163&lt;=$T$12</f>
        <v/>
      </c>
      <c r="P2163">
        <f>OR(AND(H2163&gt;=$T$4,K2163&lt;=$T$5,N2163),M2163)</f>
        <v/>
      </c>
      <c r="Q2163">
        <f>OR(AND(I2163&gt;=$T$10,K2163&lt;=$T$11,O2163),M2163)</f>
        <v/>
      </c>
    </row>
    <row r="2164">
      <c r="A2164">
        <f>Data!E2270</f>
        <v/>
      </c>
      <c r="B2164">
        <f>Data!G2270</f>
        <v/>
      </c>
      <c r="C2164">
        <f>Data!H2270</f>
        <v/>
      </c>
      <c r="D2164">
        <f>Data!I2270</f>
        <v/>
      </c>
      <c r="E2164">
        <f>Data!M2270</f>
        <v/>
      </c>
      <c r="F2164">
        <f>Data!O2270</f>
        <v/>
      </c>
      <c r="G2164">
        <f>E2164-F2164</f>
        <v/>
      </c>
      <c r="H2164">
        <f>Data!P2270</f>
        <v/>
      </c>
      <c r="I2164">
        <f>G2164+H2164</f>
        <v/>
      </c>
      <c r="J2164">
        <f>F2164+G2164+H2164</f>
        <v/>
      </c>
      <c r="K2164">
        <f>Data!R2270</f>
        <v/>
      </c>
      <c r="L2164">
        <f>Data!T2270</f>
        <v/>
      </c>
      <c r="M2164">
        <f>AND(E2164=0,F2164=0,G2164=0,H2164=0,I2164=0,J2164=0,K2164=0,L2164=0)</f>
        <v/>
      </c>
      <c r="N2164">
        <f>G2164&lt;=$T$6</f>
        <v/>
      </c>
      <c r="O2164">
        <f>G2164&lt;=$T$12</f>
        <v/>
      </c>
      <c r="P2164">
        <f>OR(AND(H2164&gt;=$T$4,K2164&lt;=$T$5,N2164),M2164)</f>
        <v/>
      </c>
      <c r="Q2164">
        <f>OR(AND(I2164&gt;=$T$10,K2164&lt;=$T$11,O2164),M2164)</f>
        <v/>
      </c>
    </row>
    <row r="2165">
      <c r="A2165">
        <f>Data!E2271</f>
        <v/>
      </c>
      <c r="B2165">
        <f>Data!G2271</f>
        <v/>
      </c>
      <c r="C2165">
        <f>Data!H2271</f>
        <v/>
      </c>
      <c r="D2165">
        <f>Data!I2271</f>
        <v/>
      </c>
      <c r="E2165">
        <f>Data!M2271</f>
        <v/>
      </c>
      <c r="F2165">
        <f>Data!O2271</f>
        <v/>
      </c>
      <c r="G2165">
        <f>E2165-F2165</f>
        <v/>
      </c>
      <c r="H2165">
        <f>Data!P2271</f>
        <v/>
      </c>
      <c r="I2165">
        <f>G2165+H2165</f>
        <v/>
      </c>
      <c r="J2165">
        <f>F2165+G2165+H2165</f>
        <v/>
      </c>
      <c r="K2165">
        <f>Data!R2271</f>
        <v/>
      </c>
      <c r="L2165">
        <f>Data!T2271</f>
        <v/>
      </c>
      <c r="M2165">
        <f>AND(E2165=0,F2165=0,G2165=0,H2165=0,I2165=0,J2165=0,K2165=0,L2165=0)</f>
        <v/>
      </c>
      <c r="N2165">
        <f>G2165&lt;=$T$6</f>
        <v/>
      </c>
      <c r="O2165">
        <f>G2165&lt;=$T$12</f>
        <v/>
      </c>
      <c r="P2165">
        <f>OR(AND(H2165&gt;=$T$4,K2165&lt;=$T$5,N2165),M2165)</f>
        <v/>
      </c>
      <c r="Q2165">
        <f>OR(AND(I2165&gt;=$T$10,K2165&lt;=$T$11,O2165),M2165)</f>
        <v/>
      </c>
    </row>
    <row r="2166">
      <c r="A2166">
        <f>Data!E2272</f>
        <v/>
      </c>
      <c r="B2166">
        <f>Data!G2272</f>
        <v/>
      </c>
      <c r="C2166">
        <f>Data!H2272</f>
        <v/>
      </c>
      <c r="D2166">
        <f>Data!I2272</f>
        <v/>
      </c>
      <c r="E2166">
        <f>Data!M2272</f>
        <v/>
      </c>
      <c r="F2166">
        <f>Data!O2272</f>
        <v/>
      </c>
      <c r="G2166">
        <f>E2166-F2166</f>
        <v/>
      </c>
      <c r="H2166">
        <f>Data!P2272</f>
        <v/>
      </c>
      <c r="I2166">
        <f>G2166+H2166</f>
        <v/>
      </c>
      <c r="J2166">
        <f>F2166+G2166+H2166</f>
        <v/>
      </c>
      <c r="K2166">
        <f>Data!R2272</f>
        <v/>
      </c>
      <c r="L2166">
        <f>Data!T2272</f>
        <v/>
      </c>
      <c r="M2166">
        <f>AND(E2166=0,F2166=0,G2166=0,H2166=0,I2166=0,J2166=0,K2166=0,L2166=0)</f>
        <v/>
      </c>
      <c r="N2166">
        <f>G2166&lt;=$T$6</f>
        <v/>
      </c>
      <c r="O2166">
        <f>G2166&lt;=$T$12</f>
        <v/>
      </c>
      <c r="P2166">
        <f>OR(AND(H2166&gt;=$T$4,K2166&lt;=$T$5,N2166),M2166)</f>
        <v/>
      </c>
      <c r="Q2166">
        <f>OR(AND(I2166&gt;=$T$10,K2166&lt;=$T$11,O2166),M2166)</f>
        <v/>
      </c>
    </row>
    <row r="2167">
      <c r="A2167">
        <f>Data!E2273</f>
        <v/>
      </c>
      <c r="B2167">
        <f>Data!G2273</f>
        <v/>
      </c>
      <c r="C2167">
        <f>Data!H2273</f>
        <v/>
      </c>
      <c r="D2167">
        <f>Data!I2273</f>
        <v/>
      </c>
      <c r="E2167">
        <f>Data!M2273</f>
        <v/>
      </c>
      <c r="F2167">
        <f>Data!O2273</f>
        <v/>
      </c>
      <c r="G2167">
        <f>E2167-F2167</f>
        <v/>
      </c>
      <c r="H2167">
        <f>Data!P2273</f>
        <v/>
      </c>
      <c r="I2167">
        <f>G2167+H2167</f>
        <v/>
      </c>
      <c r="J2167">
        <f>F2167+G2167+H2167</f>
        <v/>
      </c>
      <c r="K2167">
        <f>Data!R2273</f>
        <v/>
      </c>
      <c r="L2167">
        <f>Data!T2273</f>
        <v/>
      </c>
      <c r="M2167">
        <f>AND(E2167=0,F2167=0,G2167=0,H2167=0,I2167=0,J2167=0,K2167=0,L2167=0)</f>
        <v/>
      </c>
      <c r="N2167">
        <f>G2167&lt;=$T$6</f>
        <v/>
      </c>
      <c r="O2167">
        <f>G2167&lt;=$T$12</f>
        <v/>
      </c>
      <c r="P2167">
        <f>OR(AND(H2167&gt;=$T$4,K2167&lt;=$T$5,N2167),M2167)</f>
        <v/>
      </c>
      <c r="Q2167">
        <f>OR(AND(I2167&gt;=$T$10,K2167&lt;=$T$11,O2167),M2167)</f>
        <v/>
      </c>
    </row>
    <row r="2168">
      <c r="A2168">
        <f>Data!E2274</f>
        <v/>
      </c>
      <c r="B2168">
        <f>Data!G2274</f>
        <v/>
      </c>
      <c r="C2168">
        <f>Data!H2274</f>
        <v/>
      </c>
      <c r="D2168">
        <f>Data!I2274</f>
        <v/>
      </c>
      <c r="E2168">
        <f>Data!M2274</f>
        <v/>
      </c>
      <c r="F2168">
        <f>Data!O2274</f>
        <v/>
      </c>
      <c r="G2168">
        <f>E2168-F2168</f>
        <v/>
      </c>
      <c r="H2168">
        <f>Data!P2274</f>
        <v/>
      </c>
      <c r="I2168">
        <f>G2168+H2168</f>
        <v/>
      </c>
      <c r="J2168">
        <f>F2168+G2168+H2168</f>
        <v/>
      </c>
      <c r="K2168">
        <f>Data!R2274</f>
        <v/>
      </c>
      <c r="L2168">
        <f>Data!T2274</f>
        <v/>
      </c>
      <c r="M2168">
        <f>AND(E2168=0,F2168=0,G2168=0,H2168=0,I2168=0,J2168=0,K2168=0,L2168=0)</f>
        <v/>
      </c>
      <c r="N2168">
        <f>G2168&lt;=$T$6</f>
        <v/>
      </c>
      <c r="O2168">
        <f>G2168&lt;=$T$12</f>
        <v/>
      </c>
      <c r="P2168">
        <f>OR(AND(H2168&gt;=$T$4,K2168&lt;=$T$5,N2168),M2168)</f>
        <v/>
      </c>
      <c r="Q2168">
        <f>OR(AND(I2168&gt;=$T$10,K2168&lt;=$T$11,O2168),M2168)</f>
        <v/>
      </c>
    </row>
    <row r="2169">
      <c r="A2169">
        <f>Data!E2275</f>
        <v/>
      </c>
      <c r="B2169">
        <f>Data!G2275</f>
        <v/>
      </c>
      <c r="C2169">
        <f>Data!H2275</f>
        <v/>
      </c>
      <c r="D2169">
        <f>Data!I2275</f>
        <v/>
      </c>
      <c r="E2169">
        <f>Data!M2275</f>
        <v/>
      </c>
      <c r="F2169">
        <f>Data!O2275</f>
        <v/>
      </c>
      <c r="G2169">
        <f>E2169-F2169</f>
        <v/>
      </c>
      <c r="H2169">
        <f>Data!P2275</f>
        <v/>
      </c>
      <c r="I2169">
        <f>G2169+H2169</f>
        <v/>
      </c>
      <c r="J2169">
        <f>F2169+G2169+H2169</f>
        <v/>
      </c>
      <c r="K2169">
        <f>Data!R2275</f>
        <v/>
      </c>
      <c r="L2169">
        <f>Data!T2275</f>
        <v/>
      </c>
      <c r="M2169">
        <f>AND(E2169=0,F2169=0,G2169=0,H2169=0,I2169=0,J2169=0,K2169=0,L2169=0)</f>
        <v/>
      </c>
      <c r="N2169">
        <f>G2169&lt;=$T$6</f>
        <v/>
      </c>
      <c r="O2169">
        <f>G2169&lt;=$T$12</f>
        <v/>
      </c>
      <c r="P2169">
        <f>OR(AND(H2169&gt;=$T$4,K2169&lt;=$T$5,N2169),M2169)</f>
        <v/>
      </c>
      <c r="Q2169">
        <f>OR(AND(I2169&gt;=$T$10,K2169&lt;=$T$11,O2169),M2169)</f>
        <v/>
      </c>
    </row>
    <row r="2170">
      <c r="A2170">
        <f>Data!E2276</f>
        <v/>
      </c>
      <c r="B2170">
        <f>Data!G2276</f>
        <v/>
      </c>
      <c r="C2170">
        <f>Data!H2276</f>
        <v/>
      </c>
      <c r="D2170">
        <f>Data!I2276</f>
        <v/>
      </c>
      <c r="E2170">
        <f>Data!M2276</f>
        <v/>
      </c>
      <c r="F2170">
        <f>Data!O2276</f>
        <v/>
      </c>
      <c r="G2170">
        <f>E2170-F2170</f>
        <v/>
      </c>
      <c r="H2170">
        <f>Data!P2276</f>
        <v/>
      </c>
      <c r="I2170">
        <f>G2170+H2170</f>
        <v/>
      </c>
      <c r="J2170">
        <f>F2170+G2170+H2170</f>
        <v/>
      </c>
      <c r="K2170">
        <f>Data!R2276</f>
        <v/>
      </c>
      <c r="L2170">
        <f>Data!T2276</f>
        <v/>
      </c>
      <c r="M2170">
        <f>AND(E2170=0,F2170=0,G2170=0,H2170=0,I2170=0,J2170=0,K2170=0,L2170=0)</f>
        <v/>
      </c>
      <c r="N2170">
        <f>G2170&lt;=$T$6</f>
        <v/>
      </c>
      <c r="O2170">
        <f>G2170&lt;=$T$12</f>
        <v/>
      </c>
      <c r="P2170">
        <f>OR(AND(H2170&gt;=$T$4,K2170&lt;=$T$5,N2170),M2170)</f>
        <v/>
      </c>
      <c r="Q2170">
        <f>OR(AND(I2170&gt;=$T$10,K2170&lt;=$T$11,O2170),M2170)</f>
        <v/>
      </c>
    </row>
    <row r="2171">
      <c r="A2171">
        <f>Data!E2277</f>
        <v/>
      </c>
      <c r="B2171">
        <f>Data!G2277</f>
        <v/>
      </c>
      <c r="C2171">
        <f>Data!H2277</f>
        <v/>
      </c>
      <c r="D2171">
        <f>Data!I2277</f>
        <v/>
      </c>
      <c r="E2171">
        <f>Data!M2277</f>
        <v/>
      </c>
      <c r="F2171">
        <f>Data!O2277</f>
        <v/>
      </c>
      <c r="G2171">
        <f>E2171-F2171</f>
        <v/>
      </c>
      <c r="H2171">
        <f>Data!P2277</f>
        <v/>
      </c>
      <c r="I2171">
        <f>G2171+H2171</f>
        <v/>
      </c>
      <c r="J2171">
        <f>F2171+G2171+H2171</f>
        <v/>
      </c>
      <c r="K2171">
        <f>Data!R2277</f>
        <v/>
      </c>
      <c r="L2171">
        <f>Data!T2277</f>
        <v/>
      </c>
      <c r="M2171">
        <f>AND(E2171=0,F2171=0,G2171=0,H2171=0,I2171=0,J2171=0,K2171=0,L2171=0)</f>
        <v/>
      </c>
      <c r="N2171">
        <f>G2171&lt;=$T$6</f>
        <v/>
      </c>
      <c r="O2171">
        <f>G2171&lt;=$T$12</f>
        <v/>
      </c>
      <c r="P2171">
        <f>OR(AND(H2171&gt;=$T$4,K2171&lt;=$T$5,N2171),M2171)</f>
        <v/>
      </c>
      <c r="Q2171">
        <f>OR(AND(I2171&gt;=$T$10,K2171&lt;=$T$11,O2171),M2171)</f>
        <v/>
      </c>
    </row>
    <row r="2172">
      <c r="A2172">
        <f>Data!E2278</f>
        <v/>
      </c>
      <c r="B2172">
        <f>Data!G2278</f>
        <v/>
      </c>
      <c r="C2172">
        <f>Data!H2278</f>
        <v/>
      </c>
      <c r="D2172">
        <f>Data!I2278</f>
        <v/>
      </c>
      <c r="E2172">
        <f>Data!M2278</f>
        <v/>
      </c>
      <c r="F2172">
        <f>Data!O2278</f>
        <v/>
      </c>
      <c r="G2172">
        <f>E2172-F2172</f>
        <v/>
      </c>
      <c r="H2172">
        <f>Data!P2278</f>
        <v/>
      </c>
      <c r="I2172">
        <f>G2172+H2172</f>
        <v/>
      </c>
      <c r="J2172">
        <f>F2172+G2172+H2172</f>
        <v/>
      </c>
      <c r="K2172">
        <f>Data!R2278</f>
        <v/>
      </c>
      <c r="L2172">
        <f>Data!T2278</f>
        <v/>
      </c>
      <c r="M2172">
        <f>AND(E2172=0,F2172=0,G2172=0,H2172=0,I2172=0,J2172=0,K2172=0,L2172=0)</f>
        <v/>
      </c>
      <c r="N2172">
        <f>G2172&lt;=$T$6</f>
        <v/>
      </c>
      <c r="O2172">
        <f>G2172&lt;=$T$12</f>
        <v/>
      </c>
      <c r="P2172">
        <f>OR(AND(H2172&gt;=$T$4,K2172&lt;=$T$5,N2172),M2172)</f>
        <v/>
      </c>
      <c r="Q2172">
        <f>OR(AND(I2172&gt;=$T$10,K2172&lt;=$T$11,O2172),M2172)</f>
        <v/>
      </c>
    </row>
    <row r="2173">
      <c r="A2173">
        <f>Data!E2279</f>
        <v/>
      </c>
      <c r="B2173">
        <f>Data!G2279</f>
        <v/>
      </c>
      <c r="C2173">
        <f>Data!H2279</f>
        <v/>
      </c>
      <c r="D2173">
        <f>Data!I2279</f>
        <v/>
      </c>
      <c r="E2173">
        <f>Data!M2279</f>
        <v/>
      </c>
      <c r="F2173">
        <f>Data!O2279</f>
        <v/>
      </c>
      <c r="G2173">
        <f>E2173-F2173</f>
        <v/>
      </c>
      <c r="H2173">
        <f>Data!P2279</f>
        <v/>
      </c>
      <c r="I2173">
        <f>G2173+H2173</f>
        <v/>
      </c>
      <c r="J2173">
        <f>F2173+G2173+H2173</f>
        <v/>
      </c>
      <c r="K2173">
        <f>Data!R2279</f>
        <v/>
      </c>
      <c r="L2173">
        <f>Data!T2279</f>
        <v/>
      </c>
      <c r="M2173">
        <f>AND(E2173=0,F2173=0,G2173=0,H2173=0,I2173=0,J2173=0,K2173=0,L2173=0)</f>
        <v/>
      </c>
      <c r="N2173">
        <f>G2173&lt;=$T$6</f>
        <v/>
      </c>
      <c r="O2173">
        <f>G2173&lt;=$T$12</f>
        <v/>
      </c>
      <c r="P2173">
        <f>OR(AND(H2173&gt;=$T$4,K2173&lt;=$T$5,N2173),M2173)</f>
        <v/>
      </c>
      <c r="Q2173">
        <f>OR(AND(I2173&gt;=$T$10,K2173&lt;=$T$11,O2173),M2173)</f>
        <v/>
      </c>
    </row>
    <row r="2174">
      <c r="A2174">
        <f>Data!E2280</f>
        <v/>
      </c>
      <c r="B2174">
        <f>Data!G2280</f>
        <v/>
      </c>
      <c r="C2174">
        <f>Data!H2280</f>
        <v/>
      </c>
      <c r="D2174">
        <f>Data!I2280</f>
        <v/>
      </c>
      <c r="E2174">
        <f>Data!M2280</f>
        <v/>
      </c>
      <c r="F2174">
        <f>Data!O2280</f>
        <v/>
      </c>
      <c r="G2174">
        <f>E2174-F2174</f>
        <v/>
      </c>
      <c r="H2174">
        <f>Data!P2280</f>
        <v/>
      </c>
      <c r="I2174">
        <f>G2174+H2174</f>
        <v/>
      </c>
      <c r="J2174">
        <f>F2174+G2174+H2174</f>
        <v/>
      </c>
      <c r="K2174">
        <f>Data!R2280</f>
        <v/>
      </c>
      <c r="L2174">
        <f>Data!T2280</f>
        <v/>
      </c>
      <c r="M2174">
        <f>AND(E2174=0,F2174=0,G2174=0,H2174=0,I2174=0,J2174=0,K2174=0,L2174=0)</f>
        <v/>
      </c>
      <c r="N2174">
        <f>G2174&lt;=$T$6</f>
        <v/>
      </c>
      <c r="O2174">
        <f>G2174&lt;=$T$12</f>
        <v/>
      </c>
      <c r="P2174">
        <f>OR(AND(H2174&gt;=$T$4,K2174&lt;=$T$5,N2174),M2174)</f>
        <v/>
      </c>
      <c r="Q2174">
        <f>OR(AND(I2174&gt;=$T$10,K2174&lt;=$T$11,O2174),M2174)</f>
        <v/>
      </c>
    </row>
    <row r="2175">
      <c r="A2175">
        <f>Data!E2281</f>
        <v/>
      </c>
      <c r="B2175">
        <f>Data!G2281</f>
        <v/>
      </c>
      <c r="C2175">
        <f>Data!H2281</f>
        <v/>
      </c>
      <c r="D2175">
        <f>Data!I2281</f>
        <v/>
      </c>
      <c r="E2175">
        <f>Data!M2281</f>
        <v/>
      </c>
      <c r="F2175">
        <f>Data!O2281</f>
        <v/>
      </c>
      <c r="G2175">
        <f>E2175-F2175</f>
        <v/>
      </c>
      <c r="H2175">
        <f>Data!P2281</f>
        <v/>
      </c>
      <c r="I2175">
        <f>G2175+H2175</f>
        <v/>
      </c>
      <c r="J2175">
        <f>F2175+G2175+H2175</f>
        <v/>
      </c>
      <c r="K2175">
        <f>Data!R2281</f>
        <v/>
      </c>
      <c r="L2175">
        <f>Data!T2281</f>
        <v/>
      </c>
      <c r="M2175">
        <f>AND(E2175=0,F2175=0,G2175=0,H2175=0,I2175=0,J2175=0,K2175=0,L2175=0)</f>
        <v/>
      </c>
      <c r="N2175">
        <f>G2175&lt;=$T$6</f>
        <v/>
      </c>
      <c r="O2175">
        <f>G2175&lt;=$T$12</f>
        <v/>
      </c>
      <c r="P2175">
        <f>OR(AND(H2175&gt;=$T$4,K2175&lt;=$T$5,N2175),M2175)</f>
        <v/>
      </c>
      <c r="Q2175">
        <f>OR(AND(I2175&gt;=$T$10,K2175&lt;=$T$11,O2175),M2175)</f>
        <v/>
      </c>
    </row>
    <row r="2176">
      <c r="A2176">
        <f>Data!E2282</f>
        <v/>
      </c>
      <c r="B2176">
        <f>Data!G2282</f>
        <v/>
      </c>
      <c r="C2176">
        <f>Data!H2282</f>
        <v/>
      </c>
      <c r="D2176">
        <f>Data!I2282</f>
        <v/>
      </c>
      <c r="E2176">
        <f>Data!M2282</f>
        <v/>
      </c>
      <c r="F2176">
        <f>Data!O2282</f>
        <v/>
      </c>
      <c r="G2176">
        <f>E2176-F2176</f>
        <v/>
      </c>
      <c r="H2176">
        <f>Data!P2282</f>
        <v/>
      </c>
      <c r="I2176">
        <f>G2176+H2176</f>
        <v/>
      </c>
      <c r="J2176">
        <f>F2176+G2176+H2176</f>
        <v/>
      </c>
      <c r="K2176">
        <f>Data!R2282</f>
        <v/>
      </c>
      <c r="L2176">
        <f>Data!T2282</f>
        <v/>
      </c>
      <c r="M2176">
        <f>AND(E2176=0,F2176=0,G2176=0,H2176=0,I2176=0,J2176=0,K2176=0,L2176=0)</f>
        <v/>
      </c>
      <c r="N2176">
        <f>G2176&lt;=$T$6</f>
        <v/>
      </c>
      <c r="O2176">
        <f>G2176&lt;=$T$12</f>
        <v/>
      </c>
      <c r="P2176">
        <f>OR(AND(H2176&gt;=$T$4,K2176&lt;=$T$5,N2176),M2176)</f>
        <v/>
      </c>
      <c r="Q2176">
        <f>OR(AND(I2176&gt;=$T$10,K2176&lt;=$T$11,O2176),M2176)</f>
        <v/>
      </c>
    </row>
    <row r="2177">
      <c r="A2177">
        <f>Data!E2283</f>
        <v/>
      </c>
      <c r="B2177">
        <f>Data!G2283</f>
        <v/>
      </c>
      <c r="C2177">
        <f>Data!H2283</f>
        <v/>
      </c>
      <c r="D2177">
        <f>Data!I2283</f>
        <v/>
      </c>
      <c r="E2177">
        <f>Data!M2283</f>
        <v/>
      </c>
      <c r="F2177">
        <f>Data!O2283</f>
        <v/>
      </c>
      <c r="G2177">
        <f>E2177-F2177</f>
        <v/>
      </c>
      <c r="H2177">
        <f>Data!P2283</f>
        <v/>
      </c>
      <c r="I2177">
        <f>G2177+H2177</f>
        <v/>
      </c>
      <c r="J2177">
        <f>F2177+G2177+H2177</f>
        <v/>
      </c>
      <c r="K2177">
        <f>Data!R2283</f>
        <v/>
      </c>
      <c r="L2177">
        <f>Data!T2283</f>
        <v/>
      </c>
      <c r="M2177">
        <f>AND(E2177=0,F2177=0,G2177=0,H2177=0,I2177=0,J2177=0,K2177=0,L2177=0)</f>
        <v/>
      </c>
      <c r="N2177">
        <f>G2177&lt;=$T$6</f>
        <v/>
      </c>
      <c r="O2177">
        <f>G2177&lt;=$T$12</f>
        <v/>
      </c>
      <c r="P2177">
        <f>OR(AND(H2177&gt;=$T$4,K2177&lt;=$T$5,N2177),M2177)</f>
        <v/>
      </c>
      <c r="Q2177">
        <f>OR(AND(I2177&gt;=$T$10,K2177&lt;=$T$11,O2177),M2177)</f>
        <v/>
      </c>
    </row>
    <row r="2178">
      <c r="A2178">
        <f>Data!E2284</f>
        <v/>
      </c>
      <c r="B2178">
        <f>Data!G2284</f>
        <v/>
      </c>
      <c r="C2178">
        <f>Data!H2284</f>
        <v/>
      </c>
      <c r="D2178">
        <f>Data!I2284</f>
        <v/>
      </c>
      <c r="E2178">
        <f>Data!M2284</f>
        <v/>
      </c>
      <c r="F2178">
        <f>Data!O2284</f>
        <v/>
      </c>
      <c r="G2178">
        <f>E2178-F2178</f>
        <v/>
      </c>
      <c r="H2178">
        <f>Data!P2284</f>
        <v/>
      </c>
      <c r="I2178">
        <f>G2178+H2178</f>
        <v/>
      </c>
      <c r="J2178">
        <f>F2178+G2178+H2178</f>
        <v/>
      </c>
      <c r="K2178">
        <f>Data!R2284</f>
        <v/>
      </c>
      <c r="L2178">
        <f>Data!T2284</f>
        <v/>
      </c>
      <c r="M2178">
        <f>AND(E2178=0,F2178=0,G2178=0,H2178=0,I2178=0,J2178=0,K2178=0,L2178=0)</f>
        <v/>
      </c>
      <c r="N2178">
        <f>G2178&lt;=$T$6</f>
        <v/>
      </c>
      <c r="O2178">
        <f>G2178&lt;=$T$12</f>
        <v/>
      </c>
      <c r="P2178">
        <f>OR(AND(H2178&gt;=$T$4,K2178&lt;=$T$5,N2178),M2178)</f>
        <v/>
      </c>
      <c r="Q2178">
        <f>OR(AND(I2178&gt;=$T$10,K2178&lt;=$T$11,O2178),M2178)</f>
        <v/>
      </c>
    </row>
    <row r="2179">
      <c r="A2179">
        <f>Data!E2285</f>
        <v/>
      </c>
      <c r="B2179">
        <f>Data!G2285</f>
        <v/>
      </c>
      <c r="C2179">
        <f>Data!H2285</f>
        <v/>
      </c>
      <c r="D2179">
        <f>Data!I2285</f>
        <v/>
      </c>
      <c r="E2179">
        <f>Data!M2285</f>
        <v/>
      </c>
      <c r="F2179">
        <f>Data!O2285</f>
        <v/>
      </c>
      <c r="G2179">
        <f>E2179-F2179</f>
        <v/>
      </c>
      <c r="H2179">
        <f>Data!P2285</f>
        <v/>
      </c>
      <c r="I2179">
        <f>G2179+H2179</f>
        <v/>
      </c>
      <c r="J2179">
        <f>F2179+G2179+H2179</f>
        <v/>
      </c>
      <c r="K2179">
        <f>Data!R2285</f>
        <v/>
      </c>
      <c r="L2179">
        <f>Data!T2285</f>
        <v/>
      </c>
      <c r="M2179">
        <f>AND(E2179=0,F2179=0,G2179=0,H2179=0,I2179=0,J2179=0,K2179=0,L2179=0)</f>
        <v/>
      </c>
      <c r="N2179">
        <f>G2179&lt;=$T$6</f>
        <v/>
      </c>
      <c r="O2179">
        <f>G2179&lt;=$T$12</f>
        <v/>
      </c>
      <c r="P2179">
        <f>OR(AND(H2179&gt;=$T$4,K2179&lt;=$T$5,N2179),M2179)</f>
        <v/>
      </c>
      <c r="Q2179">
        <f>OR(AND(I2179&gt;=$T$10,K2179&lt;=$T$11,O2179),M2179)</f>
        <v/>
      </c>
    </row>
    <row r="2180">
      <c r="A2180">
        <f>Data!E2286</f>
        <v/>
      </c>
      <c r="B2180">
        <f>Data!G2286</f>
        <v/>
      </c>
      <c r="C2180">
        <f>Data!H2286</f>
        <v/>
      </c>
      <c r="D2180">
        <f>Data!I2286</f>
        <v/>
      </c>
      <c r="E2180">
        <f>Data!M2286</f>
        <v/>
      </c>
      <c r="F2180">
        <f>Data!O2286</f>
        <v/>
      </c>
      <c r="G2180">
        <f>E2180-F2180</f>
        <v/>
      </c>
      <c r="H2180">
        <f>Data!P2286</f>
        <v/>
      </c>
      <c r="I2180">
        <f>G2180+H2180</f>
        <v/>
      </c>
      <c r="J2180">
        <f>F2180+G2180+H2180</f>
        <v/>
      </c>
      <c r="K2180">
        <f>Data!R2286</f>
        <v/>
      </c>
      <c r="L2180">
        <f>Data!T2286</f>
        <v/>
      </c>
      <c r="M2180">
        <f>AND(E2180=0,F2180=0,G2180=0,H2180=0,I2180=0,J2180=0,K2180=0,L2180=0)</f>
        <v/>
      </c>
      <c r="N2180">
        <f>G2180&lt;=$T$6</f>
        <v/>
      </c>
      <c r="O2180">
        <f>G2180&lt;=$T$12</f>
        <v/>
      </c>
      <c r="P2180">
        <f>OR(AND(H2180&gt;=$T$4,K2180&lt;=$T$5,N2180),M2180)</f>
        <v/>
      </c>
      <c r="Q2180">
        <f>OR(AND(I2180&gt;=$T$10,K2180&lt;=$T$11,O2180),M2180)</f>
        <v/>
      </c>
    </row>
    <row r="2181">
      <c r="A2181">
        <f>Data!E2287</f>
        <v/>
      </c>
      <c r="B2181">
        <f>Data!G2287</f>
        <v/>
      </c>
      <c r="C2181">
        <f>Data!H2287</f>
        <v/>
      </c>
      <c r="D2181">
        <f>Data!I2287</f>
        <v/>
      </c>
      <c r="E2181">
        <f>Data!M2287</f>
        <v/>
      </c>
      <c r="F2181">
        <f>Data!O2287</f>
        <v/>
      </c>
      <c r="G2181">
        <f>E2181-F2181</f>
        <v/>
      </c>
      <c r="H2181">
        <f>Data!P2287</f>
        <v/>
      </c>
      <c r="I2181">
        <f>G2181+H2181</f>
        <v/>
      </c>
      <c r="J2181">
        <f>F2181+G2181+H2181</f>
        <v/>
      </c>
      <c r="K2181">
        <f>Data!R2287</f>
        <v/>
      </c>
      <c r="L2181">
        <f>Data!T2287</f>
        <v/>
      </c>
      <c r="M2181">
        <f>AND(E2181=0,F2181=0,G2181=0,H2181=0,I2181=0,J2181=0,K2181=0,L2181=0)</f>
        <v/>
      </c>
      <c r="N2181">
        <f>G2181&lt;=$T$6</f>
        <v/>
      </c>
      <c r="O2181">
        <f>G2181&lt;=$T$12</f>
        <v/>
      </c>
      <c r="P2181">
        <f>OR(AND(H2181&gt;=$T$4,K2181&lt;=$T$5,N2181),M2181)</f>
        <v/>
      </c>
      <c r="Q2181">
        <f>OR(AND(I2181&gt;=$T$10,K2181&lt;=$T$11,O2181),M2181)</f>
        <v/>
      </c>
    </row>
    <row r="2182">
      <c r="A2182">
        <f>Data!E2288</f>
        <v/>
      </c>
      <c r="B2182">
        <f>Data!G2288</f>
        <v/>
      </c>
      <c r="C2182">
        <f>Data!H2288</f>
        <v/>
      </c>
      <c r="D2182">
        <f>Data!I2288</f>
        <v/>
      </c>
      <c r="E2182">
        <f>Data!M2288</f>
        <v/>
      </c>
      <c r="F2182">
        <f>Data!O2288</f>
        <v/>
      </c>
      <c r="G2182">
        <f>E2182-F2182</f>
        <v/>
      </c>
      <c r="H2182">
        <f>Data!P2288</f>
        <v/>
      </c>
      <c r="I2182">
        <f>G2182+H2182</f>
        <v/>
      </c>
      <c r="J2182">
        <f>F2182+G2182+H2182</f>
        <v/>
      </c>
      <c r="K2182">
        <f>Data!R2288</f>
        <v/>
      </c>
      <c r="L2182">
        <f>Data!T2288</f>
        <v/>
      </c>
      <c r="M2182">
        <f>AND(E2182=0,F2182=0,G2182=0,H2182=0,I2182=0,J2182=0,K2182=0,L2182=0)</f>
        <v/>
      </c>
      <c r="N2182">
        <f>G2182&lt;=$T$6</f>
        <v/>
      </c>
      <c r="O2182">
        <f>G2182&lt;=$T$12</f>
        <v/>
      </c>
      <c r="P2182">
        <f>OR(AND(H2182&gt;=$T$4,K2182&lt;=$T$5,N2182),M2182)</f>
        <v/>
      </c>
      <c r="Q2182">
        <f>OR(AND(I2182&gt;=$T$10,K2182&lt;=$T$11,O2182),M2182)</f>
        <v/>
      </c>
    </row>
    <row r="2183">
      <c r="A2183">
        <f>Data!E2289</f>
        <v/>
      </c>
      <c r="B2183">
        <f>Data!G2289</f>
        <v/>
      </c>
      <c r="C2183">
        <f>Data!H2289</f>
        <v/>
      </c>
      <c r="D2183">
        <f>Data!I2289</f>
        <v/>
      </c>
      <c r="E2183">
        <f>Data!M2289</f>
        <v/>
      </c>
      <c r="F2183">
        <f>Data!O2289</f>
        <v/>
      </c>
      <c r="G2183">
        <f>E2183-F2183</f>
        <v/>
      </c>
      <c r="H2183">
        <f>Data!P2289</f>
        <v/>
      </c>
      <c r="I2183">
        <f>G2183+H2183</f>
        <v/>
      </c>
      <c r="J2183">
        <f>F2183+G2183+H2183</f>
        <v/>
      </c>
      <c r="K2183">
        <f>Data!R2289</f>
        <v/>
      </c>
      <c r="L2183">
        <f>Data!T2289</f>
        <v/>
      </c>
      <c r="M2183">
        <f>AND(E2183=0,F2183=0,G2183=0,H2183=0,I2183=0,J2183=0,K2183=0,L2183=0)</f>
        <v/>
      </c>
      <c r="N2183">
        <f>G2183&lt;=$T$6</f>
        <v/>
      </c>
      <c r="O2183">
        <f>G2183&lt;=$T$12</f>
        <v/>
      </c>
      <c r="P2183">
        <f>OR(AND(H2183&gt;=$T$4,K2183&lt;=$T$5,N2183),M2183)</f>
        <v/>
      </c>
      <c r="Q2183">
        <f>OR(AND(I2183&gt;=$T$10,K2183&lt;=$T$11,O2183),M2183)</f>
        <v/>
      </c>
    </row>
    <row r="2184">
      <c r="A2184">
        <f>Data!E2290</f>
        <v/>
      </c>
      <c r="B2184">
        <f>Data!G2290</f>
        <v/>
      </c>
      <c r="C2184">
        <f>Data!H2290</f>
        <v/>
      </c>
      <c r="D2184">
        <f>Data!I2290</f>
        <v/>
      </c>
      <c r="E2184">
        <f>Data!M2290</f>
        <v/>
      </c>
      <c r="F2184">
        <f>Data!O2290</f>
        <v/>
      </c>
      <c r="G2184">
        <f>E2184-F2184</f>
        <v/>
      </c>
      <c r="H2184">
        <f>Data!P2290</f>
        <v/>
      </c>
      <c r="I2184">
        <f>G2184+H2184</f>
        <v/>
      </c>
      <c r="J2184">
        <f>F2184+G2184+H2184</f>
        <v/>
      </c>
      <c r="K2184">
        <f>Data!R2290</f>
        <v/>
      </c>
      <c r="L2184">
        <f>Data!T2290</f>
        <v/>
      </c>
      <c r="M2184">
        <f>AND(E2184=0,F2184=0,G2184=0,H2184=0,I2184=0,J2184=0,K2184=0,L2184=0)</f>
        <v/>
      </c>
      <c r="N2184">
        <f>G2184&lt;=$T$6</f>
        <v/>
      </c>
      <c r="O2184">
        <f>G2184&lt;=$T$12</f>
        <v/>
      </c>
      <c r="P2184">
        <f>OR(AND(H2184&gt;=$T$4,K2184&lt;=$T$5,N2184),M2184)</f>
        <v/>
      </c>
      <c r="Q2184">
        <f>OR(AND(I2184&gt;=$T$10,K2184&lt;=$T$11,O2184),M2184)</f>
        <v/>
      </c>
    </row>
    <row r="2185">
      <c r="A2185">
        <f>Data!E2291</f>
        <v/>
      </c>
      <c r="B2185">
        <f>Data!G2291</f>
        <v/>
      </c>
      <c r="C2185">
        <f>Data!H2291</f>
        <v/>
      </c>
      <c r="D2185">
        <f>Data!I2291</f>
        <v/>
      </c>
      <c r="E2185">
        <f>Data!M2291</f>
        <v/>
      </c>
      <c r="F2185">
        <f>Data!O2291</f>
        <v/>
      </c>
      <c r="G2185">
        <f>E2185-F2185</f>
        <v/>
      </c>
      <c r="H2185">
        <f>Data!P2291</f>
        <v/>
      </c>
      <c r="I2185">
        <f>G2185+H2185</f>
        <v/>
      </c>
      <c r="J2185">
        <f>F2185+G2185+H2185</f>
        <v/>
      </c>
      <c r="K2185">
        <f>Data!R2291</f>
        <v/>
      </c>
      <c r="L2185">
        <f>Data!T2291</f>
        <v/>
      </c>
      <c r="M2185">
        <f>AND(E2185=0,F2185=0,G2185=0,H2185=0,I2185=0,J2185=0,K2185=0,L2185=0)</f>
        <v/>
      </c>
      <c r="N2185">
        <f>G2185&lt;=$T$6</f>
        <v/>
      </c>
      <c r="O2185">
        <f>G2185&lt;=$T$12</f>
        <v/>
      </c>
      <c r="P2185">
        <f>OR(AND(H2185&gt;=$T$4,K2185&lt;=$T$5,N2185),M2185)</f>
        <v/>
      </c>
      <c r="Q2185">
        <f>OR(AND(I2185&gt;=$T$10,K2185&lt;=$T$11,O2185),M2185)</f>
        <v/>
      </c>
    </row>
    <row r="2186">
      <c r="A2186">
        <f>Data!E2292</f>
        <v/>
      </c>
      <c r="B2186">
        <f>Data!G2292</f>
        <v/>
      </c>
      <c r="C2186">
        <f>Data!H2292</f>
        <v/>
      </c>
      <c r="D2186">
        <f>Data!I2292</f>
        <v/>
      </c>
      <c r="E2186">
        <f>Data!M2292</f>
        <v/>
      </c>
      <c r="F2186">
        <f>Data!O2292</f>
        <v/>
      </c>
      <c r="G2186">
        <f>E2186-F2186</f>
        <v/>
      </c>
      <c r="H2186">
        <f>Data!P2292</f>
        <v/>
      </c>
      <c r="I2186">
        <f>G2186+H2186</f>
        <v/>
      </c>
      <c r="J2186">
        <f>F2186+G2186+H2186</f>
        <v/>
      </c>
      <c r="K2186">
        <f>Data!R2292</f>
        <v/>
      </c>
      <c r="L2186">
        <f>Data!T2292</f>
        <v/>
      </c>
      <c r="M2186">
        <f>AND(E2186=0,F2186=0,G2186=0,H2186=0,I2186=0,J2186=0,K2186=0,L2186=0)</f>
        <v/>
      </c>
      <c r="N2186">
        <f>G2186&lt;=$T$6</f>
        <v/>
      </c>
      <c r="O2186">
        <f>G2186&lt;=$T$12</f>
        <v/>
      </c>
      <c r="P2186">
        <f>OR(AND(H2186&gt;=$T$4,K2186&lt;=$T$5,N2186),M2186)</f>
        <v/>
      </c>
      <c r="Q2186">
        <f>OR(AND(I2186&gt;=$T$10,K2186&lt;=$T$11,O2186),M2186)</f>
        <v/>
      </c>
    </row>
    <row r="2187">
      <c r="A2187">
        <f>Data!E2293</f>
        <v/>
      </c>
      <c r="B2187">
        <f>Data!G2293</f>
        <v/>
      </c>
      <c r="C2187">
        <f>Data!H2293</f>
        <v/>
      </c>
      <c r="D2187">
        <f>Data!I2293</f>
        <v/>
      </c>
      <c r="E2187">
        <f>Data!M2293</f>
        <v/>
      </c>
      <c r="F2187">
        <f>Data!O2293</f>
        <v/>
      </c>
      <c r="G2187">
        <f>E2187-F2187</f>
        <v/>
      </c>
      <c r="H2187">
        <f>Data!P2293</f>
        <v/>
      </c>
      <c r="I2187">
        <f>G2187+H2187</f>
        <v/>
      </c>
      <c r="J2187">
        <f>F2187+G2187+H2187</f>
        <v/>
      </c>
      <c r="K2187">
        <f>Data!R2293</f>
        <v/>
      </c>
      <c r="L2187">
        <f>Data!T2293</f>
        <v/>
      </c>
      <c r="M2187">
        <f>AND(E2187=0,F2187=0,G2187=0,H2187=0,I2187=0,J2187=0,K2187=0,L2187=0)</f>
        <v/>
      </c>
      <c r="N2187">
        <f>G2187&lt;=$T$6</f>
        <v/>
      </c>
      <c r="O2187">
        <f>G2187&lt;=$T$12</f>
        <v/>
      </c>
      <c r="P2187">
        <f>OR(AND(H2187&gt;=$T$4,K2187&lt;=$T$5,N2187),M2187)</f>
        <v/>
      </c>
      <c r="Q2187">
        <f>OR(AND(I2187&gt;=$T$10,K2187&lt;=$T$11,O2187),M2187)</f>
        <v/>
      </c>
    </row>
    <row r="2188">
      <c r="A2188">
        <f>Data!E2294</f>
        <v/>
      </c>
      <c r="B2188">
        <f>Data!G2294</f>
        <v/>
      </c>
      <c r="C2188">
        <f>Data!H2294</f>
        <v/>
      </c>
      <c r="D2188">
        <f>Data!I2294</f>
        <v/>
      </c>
      <c r="E2188">
        <f>Data!M2294</f>
        <v/>
      </c>
      <c r="F2188">
        <f>Data!O2294</f>
        <v/>
      </c>
      <c r="G2188">
        <f>E2188-F2188</f>
        <v/>
      </c>
      <c r="H2188">
        <f>Data!P2294</f>
        <v/>
      </c>
      <c r="I2188">
        <f>G2188+H2188</f>
        <v/>
      </c>
      <c r="J2188">
        <f>F2188+G2188+H2188</f>
        <v/>
      </c>
      <c r="K2188">
        <f>Data!R2294</f>
        <v/>
      </c>
      <c r="L2188">
        <f>Data!T2294</f>
        <v/>
      </c>
      <c r="M2188">
        <f>AND(E2188=0,F2188=0,G2188=0,H2188=0,I2188=0,J2188=0,K2188=0,L2188=0)</f>
        <v/>
      </c>
      <c r="N2188">
        <f>G2188&lt;=$T$6</f>
        <v/>
      </c>
      <c r="O2188">
        <f>G2188&lt;=$T$12</f>
        <v/>
      </c>
      <c r="P2188">
        <f>OR(AND(H2188&gt;=$T$4,K2188&lt;=$T$5,N2188),M2188)</f>
        <v/>
      </c>
      <c r="Q2188">
        <f>OR(AND(I2188&gt;=$T$10,K2188&lt;=$T$11,O2188),M2188)</f>
        <v/>
      </c>
    </row>
    <row r="2189">
      <c r="A2189">
        <f>Data!E2295</f>
        <v/>
      </c>
      <c r="B2189">
        <f>Data!G2295</f>
        <v/>
      </c>
      <c r="C2189">
        <f>Data!H2295</f>
        <v/>
      </c>
      <c r="D2189">
        <f>Data!I2295</f>
        <v/>
      </c>
      <c r="E2189">
        <f>Data!M2295</f>
        <v/>
      </c>
      <c r="F2189">
        <f>Data!O2295</f>
        <v/>
      </c>
      <c r="G2189">
        <f>E2189-F2189</f>
        <v/>
      </c>
      <c r="H2189">
        <f>Data!P2295</f>
        <v/>
      </c>
      <c r="I2189">
        <f>G2189+H2189</f>
        <v/>
      </c>
      <c r="J2189">
        <f>F2189+G2189+H2189</f>
        <v/>
      </c>
      <c r="K2189">
        <f>Data!R2295</f>
        <v/>
      </c>
      <c r="L2189">
        <f>Data!T2295</f>
        <v/>
      </c>
      <c r="M2189">
        <f>AND(E2189=0,F2189=0,G2189=0,H2189=0,I2189=0,J2189=0,K2189=0,L2189=0)</f>
        <v/>
      </c>
      <c r="N2189">
        <f>G2189&lt;=$T$6</f>
        <v/>
      </c>
      <c r="O2189">
        <f>G2189&lt;=$T$12</f>
        <v/>
      </c>
      <c r="P2189">
        <f>OR(AND(H2189&gt;=$T$4,K2189&lt;=$T$5,N2189),M2189)</f>
        <v/>
      </c>
      <c r="Q2189">
        <f>OR(AND(I2189&gt;=$T$10,K2189&lt;=$T$11,O2189),M2189)</f>
        <v/>
      </c>
    </row>
    <row r="2190">
      <c r="A2190">
        <f>Data!E2296</f>
        <v/>
      </c>
      <c r="B2190">
        <f>Data!G2296</f>
        <v/>
      </c>
      <c r="C2190">
        <f>Data!H2296</f>
        <v/>
      </c>
      <c r="D2190">
        <f>Data!I2296</f>
        <v/>
      </c>
      <c r="E2190">
        <f>Data!M2296</f>
        <v/>
      </c>
      <c r="F2190">
        <f>Data!O2296</f>
        <v/>
      </c>
      <c r="G2190">
        <f>E2190-F2190</f>
        <v/>
      </c>
      <c r="H2190">
        <f>Data!P2296</f>
        <v/>
      </c>
      <c r="I2190">
        <f>G2190+H2190</f>
        <v/>
      </c>
      <c r="J2190">
        <f>F2190+G2190+H2190</f>
        <v/>
      </c>
      <c r="K2190">
        <f>Data!R2296</f>
        <v/>
      </c>
      <c r="L2190">
        <f>Data!T2296</f>
        <v/>
      </c>
      <c r="M2190">
        <f>AND(E2190=0,F2190=0,G2190=0,H2190=0,I2190=0,J2190=0,K2190=0,L2190=0)</f>
        <v/>
      </c>
      <c r="N2190">
        <f>G2190&lt;=$T$6</f>
        <v/>
      </c>
      <c r="O2190">
        <f>G2190&lt;=$T$12</f>
        <v/>
      </c>
      <c r="P2190">
        <f>OR(AND(H2190&gt;=$T$4,K2190&lt;=$T$5,N2190),M2190)</f>
        <v/>
      </c>
      <c r="Q2190">
        <f>OR(AND(I2190&gt;=$T$10,K2190&lt;=$T$11,O2190),M2190)</f>
        <v/>
      </c>
    </row>
    <row r="2191">
      <c r="A2191">
        <f>Data!E2297</f>
        <v/>
      </c>
      <c r="B2191">
        <f>Data!G2297</f>
        <v/>
      </c>
      <c r="C2191">
        <f>Data!H2297</f>
        <v/>
      </c>
      <c r="D2191">
        <f>Data!I2297</f>
        <v/>
      </c>
      <c r="E2191">
        <f>Data!M2297</f>
        <v/>
      </c>
      <c r="F2191">
        <f>Data!O2297</f>
        <v/>
      </c>
      <c r="G2191">
        <f>E2191-F2191</f>
        <v/>
      </c>
      <c r="H2191">
        <f>Data!P2297</f>
        <v/>
      </c>
      <c r="I2191">
        <f>G2191+H2191</f>
        <v/>
      </c>
      <c r="J2191">
        <f>F2191+G2191+H2191</f>
        <v/>
      </c>
      <c r="K2191">
        <f>Data!R2297</f>
        <v/>
      </c>
      <c r="L2191">
        <f>Data!T2297</f>
        <v/>
      </c>
      <c r="M2191">
        <f>AND(E2191=0,F2191=0,G2191=0,H2191=0,I2191=0,J2191=0,K2191=0,L2191=0)</f>
        <v/>
      </c>
      <c r="N2191">
        <f>G2191&lt;=$T$6</f>
        <v/>
      </c>
      <c r="O2191">
        <f>G2191&lt;=$T$12</f>
        <v/>
      </c>
      <c r="P2191">
        <f>OR(AND(H2191&gt;=$T$4,K2191&lt;=$T$5,N2191),M2191)</f>
        <v/>
      </c>
      <c r="Q2191">
        <f>OR(AND(I2191&gt;=$T$10,K2191&lt;=$T$11,O2191),M2191)</f>
        <v/>
      </c>
    </row>
    <row r="2192">
      <c r="A2192">
        <f>Data!E2298</f>
        <v/>
      </c>
      <c r="B2192">
        <f>Data!G2298</f>
        <v/>
      </c>
      <c r="C2192">
        <f>Data!H2298</f>
        <v/>
      </c>
      <c r="D2192">
        <f>Data!I2298</f>
        <v/>
      </c>
      <c r="E2192">
        <f>Data!M2298</f>
        <v/>
      </c>
      <c r="F2192">
        <f>Data!O2298</f>
        <v/>
      </c>
      <c r="G2192">
        <f>E2192-F2192</f>
        <v/>
      </c>
      <c r="H2192">
        <f>Data!P2298</f>
        <v/>
      </c>
      <c r="I2192">
        <f>G2192+H2192</f>
        <v/>
      </c>
      <c r="J2192">
        <f>F2192+G2192+H2192</f>
        <v/>
      </c>
      <c r="K2192">
        <f>Data!R2298</f>
        <v/>
      </c>
      <c r="L2192">
        <f>Data!T2298</f>
        <v/>
      </c>
      <c r="M2192">
        <f>AND(E2192=0,F2192=0,G2192=0,H2192=0,I2192=0,J2192=0,K2192=0,L2192=0)</f>
        <v/>
      </c>
      <c r="N2192">
        <f>G2192&lt;=$T$6</f>
        <v/>
      </c>
      <c r="O2192">
        <f>G2192&lt;=$T$12</f>
        <v/>
      </c>
      <c r="P2192">
        <f>OR(AND(H2192&gt;=$T$4,K2192&lt;=$T$5,N2192),M2192)</f>
        <v/>
      </c>
      <c r="Q2192">
        <f>OR(AND(I2192&gt;=$T$10,K2192&lt;=$T$11,O2192),M2192)</f>
        <v/>
      </c>
    </row>
    <row r="2193">
      <c r="A2193">
        <f>Data!E2299</f>
        <v/>
      </c>
      <c r="B2193">
        <f>Data!G2299</f>
        <v/>
      </c>
      <c r="C2193">
        <f>Data!H2299</f>
        <v/>
      </c>
      <c r="D2193">
        <f>Data!I2299</f>
        <v/>
      </c>
      <c r="E2193">
        <f>Data!M2299</f>
        <v/>
      </c>
      <c r="F2193">
        <f>Data!O2299</f>
        <v/>
      </c>
      <c r="G2193">
        <f>E2193-F2193</f>
        <v/>
      </c>
      <c r="H2193">
        <f>Data!P2299</f>
        <v/>
      </c>
      <c r="I2193">
        <f>G2193+H2193</f>
        <v/>
      </c>
      <c r="J2193">
        <f>F2193+G2193+H2193</f>
        <v/>
      </c>
      <c r="K2193">
        <f>Data!R2299</f>
        <v/>
      </c>
      <c r="L2193">
        <f>Data!T2299</f>
        <v/>
      </c>
      <c r="M2193">
        <f>AND(E2193=0,F2193=0,G2193=0,H2193=0,I2193=0,J2193=0,K2193=0,L2193=0)</f>
        <v/>
      </c>
      <c r="N2193">
        <f>G2193&lt;=$T$6</f>
        <v/>
      </c>
      <c r="O2193">
        <f>G2193&lt;=$T$12</f>
        <v/>
      </c>
      <c r="P2193">
        <f>OR(AND(H2193&gt;=$T$4,K2193&lt;=$T$5,N2193),M2193)</f>
        <v/>
      </c>
      <c r="Q2193">
        <f>OR(AND(I2193&gt;=$T$10,K2193&lt;=$T$11,O2193),M2193)</f>
        <v/>
      </c>
    </row>
    <row r="2194">
      <c r="A2194">
        <f>Data!E2300</f>
        <v/>
      </c>
      <c r="B2194">
        <f>Data!G2300</f>
        <v/>
      </c>
      <c r="C2194">
        <f>Data!H2300</f>
        <v/>
      </c>
      <c r="D2194">
        <f>Data!I2300</f>
        <v/>
      </c>
      <c r="E2194">
        <f>Data!M2300</f>
        <v/>
      </c>
      <c r="F2194">
        <f>Data!O2300</f>
        <v/>
      </c>
      <c r="G2194">
        <f>E2194-F2194</f>
        <v/>
      </c>
      <c r="H2194">
        <f>Data!P2300</f>
        <v/>
      </c>
      <c r="I2194">
        <f>G2194+H2194</f>
        <v/>
      </c>
      <c r="J2194">
        <f>F2194+G2194+H2194</f>
        <v/>
      </c>
      <c r="K2194">
        <f>Data!R2300</f>
        <v/>
      </c>
      <c r="L2194">
        <f>Data!T2300</f>
        <v/>
      </c>
      <c r="M2194">
        <f>AND(E2194=0,F2194=0,G2194=0,H2194=0,I2194=0,J2194=0,K2194=0,L2194=0)</f>
        <v/>
      </c>
      <c r="N2194">
        <f>G2194&lt;=$T$6</f>
        <v/>
      </c>
      <c r="O2194">
        <f>G2194&lt;=$T$12</f>
        <v/>
      </c>
      <c r="P2194">
        <f>OR(AND(H2194&gt;=$T$4,K2194&lt;=$T$5,N2194),M2194)</f>
        <v/>
      </c>
      <c r="Q2194">
        <f>OR(AND(I2194&gt;=$T$10,K2194&lt;=$T$11,O2194),M2194)</f>
        <v/>
      </c>
    </row>
    <row r="2195">
      <c r="A2195">
        <f>Data!E2301</f>
        <v/>
      </c>
      <c r="B2195">
        <f>Data!G2301</f>
        <v/>
      </c>
      <c r="C2195">
        <f>Data!H2301</f>
        <v/>
      </c>
      <c r="D2195">
        <f>Data!I2301</f>
        <v/>
      </c>
      <c r="E2195">
        <f>Data!M2301</f>
        <v/>
      </c>
      <c r="F2195">
        <f>Data!O2301</f>
        <v/>
      </c>
      <c r="G2195">
        <f>E2195-F2195</f>
        <v/>
      </c>
      <c r="H2195">
        <f>Data!P2301</f>
        <v/>
      </c>
      <c r="I2195">
        <f>G2195+H2195</f>
        <v/>
      </c>
      <c r="J2195">
        <f>F2195+G2195+H2195</f>
        <v/>
      </c>
      <c r="K2195">
        <f>Data!R2301</f>
        <v/>
      </c>
      <c r="L2195">
        <f>Data!T2301</f>
        <v/>
      </c>
      <c r="M2195">
        <f>AND(E2195=0,F2195=0,G2195=0,H2195=0,I2195=0,J2195=0,K2195=0,L2195=0)</f>
        <v/>
      </c>
      <c r="N2195">
        <f>G2195&lt;=$T$6</f>
        <v/>
      </c>
      <c r="O2195">
        <f>G2195&lt;=$T$12</f>
        <v/>
      </c>
      <c r="P2195">
        <f>OR(AND(H2195&gt;=$T$4,K2195&lt;=$T$5,N2195),M2195)</f>
        <v/>
      </c>
      <c r="Q2195">
        <f>OR(AND(I2195&gt;=$T$10,K2195&lt;=$T$11,O2195),M2195)</f>
        <v/>
      </c>
    </row>
    <row r="2196">
      <c r="A2196">
        <f>Data!E2302</f>
        <v/>
      </c>
      <c r="B2196">
        <f>Data!G2302</f>
        <v/>
      </c>
      <c r="C2196">
        <f>Data!H2302</f>
        <v/>
      </c>
      <c r="D2196">
        <f>Data!I2302</f>
        <v/>
      </c>
      <c r="E2196">
        <f>Data!M2302</f>
        <v/>
      </c>
      <c r="F2196">
        <f>Data!O2302</f>
        <v/>
      </c>
      <c r="G2196">
        <f>E2196-F2196</f>
        <v/>
      </c>
      <c r="H2196">
        <f>Data!P2302</f>
        <v/>
      </c>
      <c r="I2196">
        <f>G2196+H2196</f>
        <v/>
      </c>
      <c r="J2196">
        <f>F2196+G2196+H2196</f>
        <v/>
      </c>
      <c r="K2196">
        <f>Data!R2302</f>
        <v/>
      </c>
      <c r="L2196">
        <f>Data!T2302</f>
        <v/>
      </c>
      <c r="M2196">
        <f>AND(E2196=0,F2196=0,G2196=0,H2196=0,I2196=0,J2196=0,K2196=0,L2196=0)</f>
        <v/>
      </c>
      <c r="N2196">
        <f>G2196&lt;=$T$6</f>
        <v/>
      </c>
      <c r="O2196">
        <f>G2196&lt;=$T$12</f>
        <v/>
      </c>
      <c r="P2196">
        <f>OR(AND(H2196&gt;=$T$4,K2196&lt;=$T$5,N2196),M2196)</f>
        <v/>
      </c>
      <c r="Q2196">
        <f>OR(AND(I2196&gt;=$T$10,K2196&lt;=$T$11,O2196),M2196)</f>
        <v/>
      </c>
    </row>
    <row r="2197">
      <c r="A2197">
        <f>Data!E2303</f>
        <v/>
      </c>
      <c r="B2197">
        <f>Data!G2303</f>
        <v/>
      </c>
      <c r="C2197">
        <f>Data!H2303</f>
        <v/>
      </c>
      <c r="D2197">
        <f>Data!I2303</f>
        <v/>
      </c>
      <c r="E2197">
        <f>Data!M2303</f>
        <v/>
      </c>
      <c r="F2197">
        <f>Data!O2303</f>
        <v/>
      </c>
      <c r="G2197">
        <f>E2197-F2197</f>
        <v/>
      </c>
      <c r="H2197">
        <f>Data!P2303</f>
        <v/>
      </c>
      <c r="I2197">
        <f>G2197+H2197</f>
        <v/>
      </c>
      <c r="J2197">
        <f>F2197+G2197+H2197</f>
        <v/>
      </c>
      <c r="K2197">
        <f>Data!R2303</f>
        <v/>
      </c>
      <c r="L2197">
        <f>Data!T2303</f>
        <v/>
      </c>
      <c r="M2197">
        <f>AND(E2197=0,F2197=0,G2197=0,H2197=0,I2197=0,J2197=0,K2197=0,L2197=0)</f>
        <v/>
      </c>
      <c r="N2197">
        <f>G2197&lt;=$T$6</f>
        <v/>
      </c>
      <c r="O2197">
        <f>G2197&lt;=$T$12</f>
        <v/>
      </c>
      <c r="P2197">
        <f>OR(AND(H2197&gt;=$T$4,K2197&lt;=$T$5,N2197),M2197)</f>
        <v/>
      </c>
      <c r="Q2197">
        <f>OR(AND(I2197&gt;=$T$10,K2197&lt;=$T$11,O2197),M2197)</f>
        <v/>
      </c>
    </row>
    <row r="2198">
      <c r="A2198">
        <f>Data!E2304</f>
        <v/>
      </c>
      <c r="B2198">
        <f>Data!G2304</f>
        <v/>
      </c>
      <c r="C2198">
        <f>Data!H2304</f>
        <v/>
      </c>
      <c r="D2198">
        <f>Data!I2304</f>
        <v/>
      </c>
      <c r="E2198">
        <f>Data!M2304</f>
        <v/>
      </c>
      <c r="F2198">
        <f>Data!O2304</f>
        <v/>
      </c>
      <c r="G2198">
        <f>E2198-F2198</f>
        <v/>
      </c>
      <c r="H2198">
        <f>Data!P2304</f>
        <v/>
      </c>
      <c r="I2198">
        <f>G2198+H2198</f>
        <v/>
      </c>
      <c r="J2198">
        <f>F2198+G2198+H2198</f>
        <v/>
      </c>
      <c r="K2198">
        <f>Data!R2304</f>
        <v/>
      </c>
      <c r="L2198">
        <f>Data!T2304</f>
        <v/>
      </c>
      <c r="M2198">
        <f>AND(E2198=0,F2198=0,G2198=0,H2198=0,I2198=0,J2198=0,K2198=0,L2198=0)</f>
        <v/>
      </c>
      <c r="N2198">
        <f>G2198&lt;=$T$6</f>
        <v/>
      </c>
      <c r="O2198">
        <f>G2198&lt;=$T$12</f>
        <v/>
      </c>
      <c r="P2198">
        <f>OR(AND(H2198&gt;=$T$4,K2198&lt;=$T$5,N2198),M2198)</f>
        <v/>
      </c>
      <c r="Q2198">
        <f>OR(AND(I2198&gt;=$T$10,K2198&lt;=$T$11,O2198),M2198)</f>
        <v/>
      </c>
    </row>
    <row r="2199">
      <c r="A2199">
        <f>Data!E2305</f>
        <v/>
      </c>
      <c r="B2199">
        <f>Data!G2305</f>
        <v/>
      </c>
      <c r="C2199">
        <f>Data!H2305</f>
        <v/>
      </c>
      <c r="D2199">
        <f>Data!I2305</f>
        <v/>
      </c>
      <c r="E2199">
        <f>Data!M2305</f>
        <v/>
      </c>
      <c r="F2199">
        <f>Data!O2305</f>
        <v/>
      </c>
      <c r="G2199">
        <f>E2199-F2199</f>
        <v/>
      </c>
      <c r="H2199">
        <f>Data!P2305</f>
        <v/>
      </c>
      <c r="I2199">
        <f>G2199+H2199</f>
        <v/>
      </c>
      <c r="J2199">
        <f>F2199+G2199+H2199</f>
        <v/>
      </c>
      <c r="K2199">
        <f>Data!R2305</f>
        <v/>
      </c>
      <c r="L2199">
        <f>Data!T2305</f>
        <v/>
      </c>
      <c r="M2199">
        <f>AND(E2199=0,F2199=0,G2199=0,H2199=0,I2199=0,J2199=0,K2199=0,L2199=0)</f>
        <v/>
      </c>
      <c r="N2199">
        <f>G2199&lt;=$T$6</f>
        <v/>
      </c>
      <c r="O2199">
        <f>G2199&lt;=$T$12</f>
        <v/>
      </c>
      <c r="P2199">
        <f>OR(AND(H2199&gt;=$T$4,K2199&lt;=$T$5,N2199),M2199)</f>
        <v/>
      </c>
      <c r="Q2199">
        <f>OR(AND(I2199&gt;=$T$10,K2199&lt;=$T$11,O2199),M2199)</f>
        <v/>
      </c>
    </row>
    <row r="2200">
      <c r="A2200">
        <f>Data!E2306</f>
        <v/>
      </c>
      <c r="B2200">
        <f>Data!G2306</f>
        <v/>
      </c>
      <c r="C2200">
        <f>Data!H2306</f>
        <v/>
      </c>
      <c r="D2200">
        <f>Data!I2306</f>
        <v/>
      </c>
      <c r="E2200">
        <f>Data!M2306</f>
        <v/>
      </c>
      <c r="F2200">
        <f>Data!O2306</f>
        <v/>
      </c>
      <c r="G2200">
        <f>E2200-F2200</f>
        <v/>
      </c>
      <c r="H2200">
        <f>Data!P2306</f>
        <v/>
      </c>
      <c r="I2200">
        <f>G2200+H2200</f>
        <v/>
      </c>
      <c r="J2200">
        <f>F2200+G2200+H2200</f>
        <v/>
      </c>
      <c r="K2200">
        <f>Data!R2306</f>
        <v/>
      </c>
      <c r="L2200">
        <f>Data!T2306</f>
        <v/>
      </c>
      <c r="M2200">
        <f>AND(E2200=0,F2200=0,G2200=0,H2200=0,I2200=0,J2200=0,K2200=0,L2200=0)</f>
        <v/>
      </c>
      <c r="N2200">
        <f>G2200&lt;=$T$6</f>
        <v/>
      </c>
      <c r="O2200">
        <f>G2200&lt;=$T$12</f>
        <v/>
      </c>
      <c r="P2200">
        <f>OR(AND(H2200&gt;=$T$4,K2200&lt;=$T$5,N2200),M2200)</f>
        <v/>
      </c>
      <c r="Q2200">
        <f>OR(AND(I2200&gt;=$T$10,K2200&lt;=$T$11,O2200),M2200)</f>
        <v/>
      </c>
    </row>
    <row r="2201">
      <c r="A2201">
        <f>Data!E2307</f>
        <v/>
      </c>
      <c r="B2201">
        <f>Data!G2307</f>
        <v/>
      </c>
      <c r="C2201">
        <f>Data!H2307</f>
        <v/>
      </c>
      <c r="D2201">
        <f>Data!I2307</f>
        <v/>
      </c>
      <c r="E2201">
        <f>Data!M2307</f>
        <v/>
      </c>
      <c r="F2201">
        <f>Data!O2307</f>
        <v/>
      </c>
      <c r="G2201">
        <f>E2201-F2201</f>
        <v/>
      </c>
      <c r="H2201">
        <f>Data!P2307</f>
        <v/>
      </c>
      <c r="I2201">
        <f>G2201+H2201</f>
        <v/>
      </c>
      <c r="J2201">
        <f>F2201+G2201+H2201</f>
        <v/>
      </c>
      <c r="K2201">
        <f>Data!R2307</f>
        <v/>
      </c>
      <c r="L2201">
        <f>Data!T2307</f>
        <v/>
      </c>
      <c r="M2201">
        <f>AND(E2201=0,F2201=0,G2201=0,H2201=0,I2201=0,J2201=0,K2201=0,L2201=0)</f>
        <v/>
      </c>
      <c r="N2201">
        <f>G2201&lt;=$T$6</f>
        <v/>
      </c>
      <c r="O2201">
        <f>G2201&lt;=$T$12</f>
        <v/>
      </c>
      <c r="P2201">
        <f>OR(AND(H2201&gt;=$T$4,K2201&lt;=$T$5,N2201),M2201)</f>
        <v/>
      </c>
      <c r="Q2201">
        <f>OR(AND(I2201&gt;=$T$10,K2201&lt;=$T$11,O2201),M2201)</f>
        <v/>
      </c>
    </row>
    <row r="2202">
      <c r="A2202">
        <f>Data!E2308</f>
        <v/>
      </c>
      <c r="B2202">
        <f>Data!G2308</f>
        <v/>
      </c>
      <c r="C2202">
        <f>Data!H2308</f>
        <v/>
      </c>
      <c r="D2202">
        <f>Data!I2308</f>
        <v/>
      </c>
      <c r="E2202">
        <f>Data!M2308</f>
        <v/>
      </c>
      <c r="F2202">
        <f>Data!O2308</f>
        <v/>
      </c>
      <c r="G2202">
        <f>E2202-F2202</f>
        <v/>
      </c>
      <c r="H2202">
        <f>Data!P2308</f>
        <v/>
      </c>
      <c r="I2202">
        <f>G2202+H2202</f>
        <v/>
      </c>
      <c r="J2202">
        <f>F2202+G2202+H2202</f>
        <v/>
      </c>
      <c r="K2202">
        <f>Data!R2308</f>
        <v/>
      </c>
      <c r="L2202">
        <f>Data!T2308</f>
        <v/>
      </c>
      <c r="M2202">
        <f>AND(E2202=0,F2202=0,G2202=0,H2202=0,I2202=0,J2202=0,K2202=0,L2202=0)</f>
        <v/>
      </c>
      <c r="N2202">
        <f>G2202&lt;=$T$6</f>
        <v/>
      </c>
      <c r="O2202">
        <f>G2202&lt;=$T$12</f>
        <v/>
      </c>
      <c r="P2202">
        <f>OR(AND(H2202&gt;=$T$4,K2202&lt;=$T$5,N2202),M2202)</f>
        <v/>
      </c>
      <c r="Q2202">
        <f>OR(AND(I2202&gt;=$T$10,K2202&lt;=$T$11,O2202),M2202)</f>
        <v/>
      </c>
    </row>
    <row r="2203">
      <c r="A2203">
        <f>Data!E2309</f>
        <v/>
      </c>
      <c r="B2203">
        <f>Data!G2309</f>
        <v/>
      </c>
      <c r="C2203">
        <f>Data!H2309</f>
        <v/>
      </c>
      <c r="D2203">
        <f>Data!I2309</f>
        <v/>
      </c>
      <c r="E2203">
        <f>Data!M2309</f>
        <v/>
      </c>
      <c r="F2203">
        <f>Data!O2309</f>
        <v/>
      </c>
      <c r="G2203">
        <f>E2203-F2203</f>
        <v/>
      </c>
      <c r="H2203">
        <f>Data!P2309</f>
        <v/>
      </c>
      <c r="I2203">
        <f>G2203+H2203</f>
        <v/>
      </c>
      <c r="J2203">
        <f>F2203+G2203+H2203</f>
        <v/>
      </c>
      <c r="K2203">
        <f>Data!R2309</f>
        <v/>
      </c>
      <c r="L2203">
        <f>Data!T2309</f>
        <v/>
      </c>
      <c r="M2203">
        <f>AND(E2203=0,F2203=0,G2203=0,H2203=0,I2203=0,J2203=0,K2203=0,L2203=0)</f>
        <v/>
      </c>
      <c r="N2203">
        <f>G2203&lt;=$T$6</f>
        <v/>
      </c>
      <c r="O2203">
        <f>G2203&lt;=$T$12</f>
        <v/>
      </c>
      <c r="P2203">
        <f>OR(AND(H2203&gt;=$T$4,K2203&lt;=$T$5,N2203),M2203)</f>
        <v/>
      </c>
      <c r="Q2203">
        <f>OR(AND(I2203&gt;=$T$10,K2203&lt;=$T$11,O2203),M2203)</f>
        <v/>
      </c>
    </row>
    <row r="2204">
      <c r="A2204">
        <f>Data!E2310</f>
        <v/>
      </c>
      <c r="B2204">
        <f>Data!G2310</f>
        <v/>
      </c>
      <c r="C2204">
        <f>Data!H2310</f>
        <v/>
      </c>
      <c r="D2204">
        <f>Data!I2310</f>
        <v/>
      </c>
      <c r="E2204">
        <f>Data!M2310</f>
        <v/>
      </c>
      <c r="F2204">
        <f>Data!O2310</f>
        <v/>
      </c>
      <c r="G2204">
        <f>E2204-F2204</f>
        <v/>
      </c>
      <c r="H2204">
        <f>Data!P2310</f>
        <v/>
      </c>
      <c r="I2204">
        <f>G2204+H2204</f>
        <v/>
      </c>
      <c r="J2204">
        <f>F2204+G2204+H2204</f>
        <v/>
      </c>
      <c r="K2204">
        <f>Data!R2310</f>
        <v/>
      </c>
      <c r="L2204">
        <f>Data!T2310</f>
        <v/>
      </c>
      <c r="M2204">
        <f>AND(E2204=0,F2204=0,G2204=0,H2204=0,I2204=0,J2204=0,K2204=0,L2204=0)</f>
        <v/>
      </c>
      <c r="N2204">
        <f>G2204&lt;=$T$6</f>
        <v/>
      </c>
      <c r="O2204">
        <f>G2204&lt;=$T$12</f>
        <v/>
      </c>
      <c r="P2204">
        <f>OR(AND(H2204&gt;=$T$4,K2204&lt;=$T$5,N2204),M2204)</f>
        <v/>
      </c>
      <c r="Q2204">
        <f>OR(AND(I2204&gt;=$T$10,K2204&lt;=$T$11,O2204),M2204)</f>
        <v/>
      </c>
    </row>
    <row r="2205">
      <c r="A2205">
        <f>Data!E2311</f>
        <v/>
      </c>
      <c r="B2205">
        <f>Data!G2311</f>
        <v/>
      </c>
      <c r="C2205">
        <f>Data!H2311</f>
        <v/>
      </c>
      <c r="D2205">
        <f>Data!I2311</f>
        <v/>
      </c>
      <c r="E2205">
        <f>Data!M2311</f>
        <v/>
      </c>
      <c r="F2205">
        <f>Data!O2311</f>
        <v/>
      </c>
      <c r="G2205">
        <f>E2205-F2205</f>
        <v/>
      </c>
      <c r="H2205">
        <f>Data!P2311</f>
        <v/>
      </c>
      <c r="I2205">
        <f>G2205+H2205</f>
        <v/>
      </c>
      <c r="J2205">
        <f>F2205+G2205+H2205</f>
        <v/>
      </c>
      <c r="K2205">
        <f>Data!R2311</f>
        <v/>
      </c>
      <c r="L2205">
        <f>Data!T2311</f>
        <v/>
      </c>
      <c r="M2205">
        <f>AND(E2205=0,F2205=0,G2205=0,H2205=0,I2205=0,J2205=0,K2205=0,L2205=0)</f>
        <v/>
      </c>
      <c r="N2205">
        <f>G2205&lt;=$T$6</f>
        <v/>
      </c>
      <c r="O2205">
        <f>G2205&lt;=$T$12</f>
        <v/>
      </c>
      <c r="P2205">
        <f>OR(AND(H2205&gt;=$T$4,K2205&lt;=$T$5,N2205),M2205)</f>
        <v/>
      </c>
      <c r="Q2205">
        <f>OR(AND(I2205&gt;=$T$10,K2205&lt;=$T$11,O2205),M2205)</f>
        <v/>
      </c>
    </row>
    <row r="2206">
      <c r="A2206">
        <f>Data!E2312</f>
        <v/>
      </c>
      <c r="B2206">
        <f>Data!G2312</f>
        <v/>
      </c>
      <c r="C2206">
        <f>Data!H2312</f>
        <v/>
      </c>
      <c r="D2206">
        <f>Data!I2312</f>
        <v/>
      </c>
      <c r="E2206">
        <f>Data!M2312</f>
        <v/>
      </c>
      <c r="F2206">
        <f>Data!O2312</f>
        <v/>
      </c>
      <c r="G2206">
        <f>E2206-F2206</f>
        <v/>
      </c>
      <c r="H2206">
        <f>Data!P2312</f>
        <v/>
      </c>
      <c r="I2206">
        <f>G2206+H2206</f>
        <v/>
      </c>
      <c r="J2206">
        <f>F2206+G2206+H2206</f>
        <v/>
      </c>
      <c r="K2206">
        <f>Data!R2312</f>
        <v/>
      </c>
      <c r="L2206">
        <f>Data!T2312</f>
        <v/>
      </c>
      <c r="M2206">
        <f>AND(E2206=0,F2206=0,G2206=0,H2206=0,I2206=0,J2206=0,K2206=0,L2206=0)</f>
        <v/>
      </c>
      <c r="N2206">
        <f>G2206&lt;=$T$6</f>
        <v/>
      </c>
      <c r="O2206">
        <f>G2206&lt;=$T$12</f>
        <v/>
      </c>
      <c r="P2206">
        <f>OR(AND(H2206&gt;=$T$4,K2206&lt;=$T$5,N2206),M2206)</f>
        <v/>
      </c>
      <c r="Q2206">
        <f>OR(AND(I2206&gt;=$T$10,K2206&lt;=$T$11,O2206),M2206)</f>
        <v/>
      </c>
    </row>
    <row r="2207">
      <c r="A2207">
        <f>Data!E2313</f>
        <v/>
      </c>
      <c r="B2207">
        <f>Data!G2313</f>
        <v/>
      </c>
      <c r="C2207">
        <f>Data!H2313</f>
        <v/>
      </c>
      <c r="D2207">
        <f>Data!I2313</f>
        <v/>
      </c>
      <c r="E2207">
        <f>Data!M2313</f>
        <v/>
      </c>
      <c r="F2207">
        <f>Data!O2313</f>
        <v/>
      </c>
      <c r="G2207">
        <f>E2207-F2207</f>
        <v/>
      </c>
      <c r="H2207">
        <f>Data!P2313</f>
        <v/>
      </c>
      <c r="I2207">
        <f>G2207+H2207</f>
        <v/>
      </c>
      <c r="J2207">
        <f>F2207+G2207+H2207</f>
        <v/>
      </c>
      <c r="K2207">
        <f>Data!R2313</f>
        <v/>
      </c>
      <c r="L2207">
        <f>Data!T2313</f>
        <v/>
      </c>
      <c r="M2207">
        <f>AND(E2207=0,F2207=0,G2207=0,H2207=0,I2207=0,J2207=0,K2207=0,L2207=0)</f>
        <v/>
      </c>
      <c r="N2207">
        <f>G2207&lt;=$T$6</f>
        <v/>
      </c>
      <c r="O2207">
        <f>G2207&lt;=$T$12</f>
        <v/>
      </c>
      <c r="P2207">
        <f>OR(AND(H2207&gt;=$T$4,K2207&lt;=$T$5,N2207),M2207)</f>
        <v/>
      </c>
      <c r="Q2207">
        <f>OR(AND(I2207&gt;=$T$10,K2207&lt;=$T$11,O2207),M2207)</f>
        <v/>
      </c>
    </row>
    <row r="2208">
      <c r="A2208">
        <f>Data!E2314</f>
        <v/>
      </c>
      <c r="B2208">
        <f>Data!G2314</f>
        <v/>
      </c>
      <c r="C2208">
        <f>Data!H2314</f>
        <v/>
      </c>
      <c r="D2208">
        <f>Data!I2314</f>
        <v/>
      </c>
      <c r="E2208">
        <f>Data!M2314</f>
        <v/>
      </c>
      <c r="F2208">
        <f>Data!O2314</f>
        <v/>
      </c>
      <c r="G2208">
        <f>E2208-F2208</f>
        <v/>
      </c>
      <c r="H2208">
        <f>Data!P2314</f>
        <v/>
      </c>
      <c r="I2208">
        <f>G2208+H2208</f>
        <v/>
      </c>
      <c r="J2208">
        <f>F2208+G2208+H2208</f>
        <v/>
      </c>
      <c r="K2208">
        <f>Data!R2314</f>
        <v/>
      </c>
      <c r="L2208">
        <f>Data!T2314</f>
        <v/>
      </c>
      <c r="M2208">
        <f>AND(E2208=0,F2208=0,G2208=0,H2208=0,I2208=0,J2208=0,K2208=0,L2208=0)</f>
        <v/>
      </c>
      <c r="N2208">
        <f>G2208&lt;=$T$6</f>
        <v/>
      </c>
      <c r="O2208">
        <f>G2208&lt;=$T$12</f>
        <v/>
      </c>
      <c r="P2208">
        <f>OR(AND(H2208&gt;=$T$4,K2208&lt;=$T$5,N2208),M2208)</f>
        <v/>
      </c>
      <c r="Q2208">
        <f>OR(AND(I2208&gt;=$T$10,K2208&lt;=$T$11,O2208),M2208)</f>
        <v/>
      </c>
    </row>
    <row r="2209">
      <c r="A2209">
        <f>Data!E2316</f>
        <v/>
      </c>
      <c r="B2209">
        <f>Data!G2316</f>
        <v/>
      </c>
      <c r="C2209">
        <f>Data!H2316</f>
        <v/>
      </c>
      <c r="D2209">
        <f>Data!I2316</f>
        <v/>
      </c>
      <c r="E2209">
        <f>Data!M2316</f>
        <v/>
      </c>
      <c r="F2209">
        <f>Data!O2316</f>
        <v/>
      </c>
      <c r="G2209">
        <f>E2209-F2209</f>
        <v/>
      </c>
      <c r="H2209">
        <f>Data!P2316</f>
        <v/>
      </c>
      <c r="I2209">
        <f>G2209+H2209</f>
        <v/>
      </c>
      <c r="J2209">
        <f>F2209+G2209+H2209</f>
        <v/>
      </c>
      <c r="K2209">
        <f>Data!R2316</f>
        <v/>
      </c>
      <c r="L2209">
        <f>Data!T2316</f>
        <v/>
      </c>
      <c r="M2209">
        <f>AND(E2209=0,F2209=0,G2209=0,H2209=0,I2209=0,J2209=0,K2209=0,L2209=0)</f>
        <v/>
      </c>
      <c r="N2209">
        <f>G2209&lt;=$T$6</f>
        <v/>
      </c>
      <c r="O2209">
        <f>G2209&lt;=$T$12</f>
        <v/>
      </c>
      <c r="P2209">
        <f>OR(AND(H2209&gt;=$T$4,K2209&lt;=$T$5,N2209),M2209)</f>
        <v/>
      </c>
      <c r="Q2209">
        <f>OR(AND(I2209&gt;=$T$10,K2209&lt;=$T$11,O2209),M2209)</f>
        <v/>
      </c>
    </row>
    <row r="2210">
      <c r="A2210">
        <f>Data!E2317</f>
        <v/>
      </c>
      <c r="B2210">
        <f>Data!G2317</f>
        <v/>
      </c>
      <c r="C2210">
        <f>Data!H2317</f>
        <v/>
      </c>
      <c r="D2210">
        <f>Data!I2317</f>
        <v/>
      </c>
      <c r="E2210">
        <f>Data!M2317</f>
        <v/>
      </c>
      <c r="F2210">
        <f>Data!O2317</f>
        <v/>
      </c>
      <c r="G2210">
        <f>E2210-F2210</f>
        <v/>
      </c>
      <c r="H2210">
        <f>Data!P2317</f>
        <v/>
      </c>
      <c r="I2210">
        <f>G2210+H2210</f>
        <v/>
      </c>
      <c r="J2210">
        <f>F2210+G2210+H2210</f>
        <v/>
      </c>
      <c r="K2210">
        <f>Data!R2317</f>
        <v/>
      </c>
      <c r="L2210">
        <f>Data!T2317</f>
        <v/>
      </c>
      <c r="M2210">
        <f>AND(E2210=0,F2210=0,G2210=0,H2210=0,I2210=0,J2210=0,K2210=0,L2210=0)</f>
        <v/>
      </c>
      <c r="N2210">
        <f>G2210&lt;=$T$6</f>
        <v/>
      </c>
      <c r="O2210">
        <f>G2210&lt;=$T$12</f>
        <v/>
      </c>
      <c r="P2210">
        <f>OR(AND(H2210&gt;=$T$4,K2210&lt;=$T$5,N2210),M2210)</f>
        <v/>
      </c>
      <c r="Q2210">
        <f>OR(AND(I2210&gt;=$T$10,K2210&lt;=$T$11,O2210),M2210)</f>
        <v/>
      </c>
    </row>
    <row r="2211">
      <c r="A2211">
        <f>Data!E2318</f>
        <v/>
      </c>
      <c r="B2211">
        <f>Data!G2318</f>
        <v/>
      </c>
      <c r="C2211">
        <f>Data!H2318</f>
        <v/>
      </c>
      <c r="D2211">
        <f>Data!I2318</f>
        <v/>
      </c>
      <c r="E2211">
        <f>Data!M2318</f>
        <v/>
      </c>
      <c r="F2211">
        <f>Data!O2318</f>
        <v/>
      </c>
      <c r="G2211">
        <f>E2211-F2211</f>
        <v/>
      </c>
      <c r="H2211">
        <f>Data!P2318</f>
        <v/>
      </c>
      <c r="I2211">
        <f>G2211+H2211</f>
        <v/>
      </c>
      <c r="J2211">
        <f>F2211+G2211+H2211</f>
        <v/>
      </c>
      <c r="K2211">
        <f>Data!R2318</f>
        <v/>
      </c>
      <c r="L2211">
        <f>Data!T2318</f>
        <v/>
      </c>
      <c r="M2211">
        <f>AND(E2211=0,F2211=0,G2211=0,H2211=0,I2211=0,J2211=0,K2211=0,L2211=0)</f>
        <v/>
      </c>
      <c r="N2211">
        <f>G2211&lt;=$T$6</f>
        <v/>
      </c>
      <c r="O2211">
        <f>G2211&lt;=$T$12</f>
        <v/>
      </c>
      <c r="P2211">
        <f>OR(AND(H2211&gt;=$T$4,K2211&lt;=$T$5,N2211),M2211)</f>
        <v/>
      </c>
      <c r="Q2211">
        <f>OR(AND(I2211&gt;=$T$10,K2211&lt;=$T$11,O2211),M2211)</f>
        <v/>
      </c>
    </row>
    <row r="2212">
      <c r="A2212">
        <f>Data!E2319</f>
        <v/>
      </c>
      <c r="B2212">
        <f>Data!G2319</f>
        <v/>
      </c>
      <c r="C2212">
        <f>Data!H2319</f>
        <v/>
      </c>
      <c r="D2212">
        <f>Data!I2319</f>
        <v/>
      </c>
      <c r="E2212">
        <f>Data!M2319</f>
        <v/>
      </c>
      <c r="F2212">
        <f>Data!O2319</f>
        <v/>
      </c>
      <c r="G2212">
        <f>E2212-F2212</f>
        <v/>
      </c>
      <c r="H2212">
        <f>Data!P2319</f>
        <v/>
      </c>
      <c r="I2212">
        <f>G2212+H2212</f>
        <v/>
      </c>
      <c r="J2212">
        <f>F2212+G2212+H2212</f>
        <v/>
      </c>
      <c r="K2212">
        <f>Data!R2319</f>
        <v/>
      </c>
      <c r="L2212">
        <f>Data!T2319</f>
        <v/>
      </c>
      <c r="M2212">
        <f>AND(E2212=0,F2212=0,G2212=0,H2212=0,I2212=0,J2212=0,K2212=0,L2212=0)</f>
        <v/>
      </c>
      <c r="N2212">
        <f>G2212&lt;=$T$6</f>
        <v/>
      </c>
      <c r="O2212">
        <f>G2212&lt;=$T$12</f>
        <v/>
      </c>
      <c r="P2212">
        <f>OR(AND(H2212&gt;=$T$4,K2212&lt;=$T$5,N2212),M2212)</f>
        <v/>
      </c>
      <c r="Q2212">
        <f>OR(AND(I2212&gt;=$T$10,K2212&lt;=$T$11,O2212),M2212)</f>
        <v/>
      </c>
    </row>
    <row r="2213">
      <c r="A2213">
        <f>Data!E2320</f>
        <v/>
      </c>
      <c r="B2213">
        <f>Data!G2320</f>
        <v/>
      </c>
      <c r="C2213">
        <f>Data!H2320</f>
        <v/>
      </c>
      <c r="D2213">
        <f>Data!I2320</f>
        <v/>
      </c>
      <c r="E2213">
        <f>Data!M2320</f>
        <v/>
      </c>
      <c r="F2213">
        <f>Data!O2320</f>
        <v/>
      </c>
      <c r="G2213">
        <f>E2213-F2213</f>
        <v/>
      </c>
      <c r="H2213">
        <f>Data!P2320</f>
        <v/>
      </c>
      <c r="I2213">
        <f>G2213+H2213</f>
        <v/>
      </c>
      <c r="J2213">
        <f>F2213+G2213+H2213</f>
        <v/>
      </c>
      <c r="K2213">
        <f>Data!R2320</f>
        <v/>
      </c>
      <c r="L2213">
        <f>Data!T2320</f>
        <v/>
      </c>
      <c r="M2213">
        <f>AND(E2213=0,F2213=0,G2213=0,H2213=0,I2213=0,J2213=0,K2213=0,L2213=0)</f>
        <v/>
      </c>
      <c r="N2213">
        <f>G2213&lt;=$T$6</f>
        <v/>
      </c>
      <c r="O2213">
        <f>G2213&lt;=$T$12</f>
        <v/>
      </c>
      <c r="P2213">
        <f>OR(AND(H2213&gt;=$T$4,K2213&lt;=$T$5,N2213),M2213)</f>
        <v/>
      </c>
      <c r="Q2213">
        <f>OR(AND(I2213&gt;=$T$10,K2213&lt;=$T$11,O2213),M2213)</f>
        <v/>
      </c>
    </row>
    <row r="2214">
      <c r="A2214">
        <f>Data!E2321</f>
        <v/>
      </c>
      <c r="B2214">
        <f>Data!G2321</f>
        <v/>
      </c>
      <c r="C2214">
        <f>Data!H2321</f>
        <v/>
      </c>
      <c r="D2214">
        <f>Data!I2321</f>
        <v/>
      </c>
      <c r="E2214">
        <f>Data!M2321</f>
        <v/>
      </c>
      <c r="F2214">
        <f>Data!O2321</f>
        <v/>
      </c>
      <c r="G2214">
        <f>E2214-F2214</f>
        <v/>
      </c>
      <c r="H2214">
        <f>Data!P2321</f>
        <v/>
      </c>
      <c r="I2214">
        <f>G2214+H2214</f>
        <v/>
      </c>
      <c r="J2214">
        <f>F2214+G2214+H2214</f>
        <v/>
      </c>
      <c r="K2214">
        <f>Data!R2321</f>
        <v/>
      </c>
      <c r="L2214">
        <f>Data!T2321</f>
        <v/>
      </c>
      <c r="M2214">
        <f>AND(E2214=0,F2214=0,G2214=0,H2214=0,I2214=0,J2214=0,K2214=0,L2214=0)</f>
        <v/>
      </c>
      <c r="N2214">
        <f>G2214&lt;=$T$6</f>
        <v/>
      </c>
      <c r="O2214">
        <f>G2214&lt;=$T$12</f>
        <v/>
      </c>
      <c r="P2214">
        <f>OR(AND(H2214&gt;=$T$4,K2214&lt;=$T$5,N2214),M2214)</f>
        <v/>
      </c>
      <c r="Q2214">
        <f>OR(AND(I2214&gt;=$T$10,K2214&lt;=$T$11,O2214),M2214)</f>
        <v/>
      </c>
    </row>
    <row r="2215">
      <c r="A2215">
        <f>Data!E2322</f>
        <v/>
      </c>
      <c r="B2215">
        <f>Data!G2322</f>
        <v/>
      </c>
      <c r="C2215">
        <f>Data!H2322</f>
        <v/>
      </c>
      <c r="D2215">
        <f>Data!I2322</f>
        <v/>
      </c>
      <c r="E2215">
        <f>Data!M2322</f>
        <v/>
      </c>
      <c r="F2215">
        <f>Data!O2322</f>
        <v/>
      </c>
      <c r="G2215">
        <f>E2215-F2215</f>
        <v/>
      </c>
      <c r="H2215">
        <f>Data!P2322</f>
        <v/>
      </c>
      <c r="I2215">
        <f>G2215+H2215</f>
        <v/>
      </c>
      <c r="J2215">
        <f>F2215+G2215+H2215</f>
        <v/>
      </c>
      <c r="K2215">
        <f>Data!R2322</f>
        <v/>
      </c>
      <c r="L2215">
        <f>Data!T2322</f>
        <v/>
      </c>
      <c r="M2215">
        <f>AND(E2215=0,F2215=0,G2215=0,H2215=0,I2215=0,J2215=0,K2215=0,L2215=0)</f>
        <v/>
      </c>
      <c r="N2215">
        <f>G2215&lt;=$T$6</f>
        <v/>
      </c>
      <c r="O2215">
        <f>G2215&lt;=$T$12</f>
        <v/>
      </c>
      <c r="P2215">
        <f>OR(AND(H2215&gt;=$T$4,K2215&lt;=$T$5,N2215),M2215)</f>
        <v/>
      </c>
      <c r="Q2215">
        <f>OR(AND(I2215&gt;=$T$10,K2215&lt;=$T$11,O2215),M2215)</f>
        <v/>
      </c>
    </row>
    <row r="2216">
      <c r="A2216">
        <f>Data!E2323</f>
        <v/>
      </c>
      <c r="B2216">
        <f>Data!G2323</f>
        <v/>
      </c>
      <c r="C2216">
        <f>Data!H2323</f>
        <v/>
      </c>
      <c r="D2216">
        <f>Data!I2323</f>
        <v/>
      </c>
      <c r="E2216">
        <f>Data!M2323</f>
        <v/>
      </c>
      <c r="F2216">
        <f>Data!O2323</f>
        <v/>
      </c>
      <c r="G2216">
        <f>E2216-F2216</f>
        <v/>
      </c>
      <c r="H2216">
        <f>Data!P2323</f>
        <v/>
      </c>
      <c r="I2216">
        <f>G2216+H2216</f>
        <v/>
      </c>
      <c r="J2216">
        <f>F2216+G2216+H2216</f>
        <v/>
      </c>
      <c r="K2216">
        <f>Data!R2323</f>
        <v/>
      </c>
      <c r="L2216">
        <f>Data!T2323</f>
        <v/>
      </c>
      <c r="M2216">
        <f>AND(E2216=0,F2216=0,G2216=0,H2216=0,I2216=0,J2216=0,K2216=0,L2216=0)</f>
        <v/>
      </c>
      <c r="N2216">
        <f>G2216&lt;=$T$6</f>
        <v/>
      </c>
      <c r="O2216">
        <f>G2216&lt;=$T$12</f>
        <v/>
      </c>
      <c r="P2216">
        <f>OR(AND(H2216&gt;=$T$4,K2216&lt;=$T$5,N2216),M2216)</f>
        <v/>
      </c>
      <c r="Q2216">
        <f>OR(AND(I2216&gt;=$T$10,K2216&lt;=$T$11,O2216),M2216)</f>
        <v/>
      </c>
    </row>
    <row r="2217">
      <c r="A2217">
        <f>Data!E2324</f>
        <v/>
      </c>
      <c r="B2217">
        <f>Data!G2324</f>
        <v/>
      </c>
      <c r="C2217">
        <f>Data!H2324</f>
        <v/>
      </c>
      <c r="D2217">
        <f>Data!I2324</f>
        <v/>
      </c>
      <c r="E2217">
        <f>Data!M2324</f>
        <v/>
      </c>
      <c r="F2217">
        <f>Data!O2324</f>
        <v/>
      </c>
      <c r="G2217">
        <f>E2217-F2217</f>
        <v/>
      </c>
      <c r="H2217">
        <f>Data!P2324</f>
        <v/>
      </c>
      <c r="I2217">
        <f>G2217+H2217</f>
        <v/>
      </c>
      <c r="J2217">
        <f>F2217+G2217+H2217</f>
        <v/>
      </c>
      <c r="K2217">
        <f>Data!R2324</f>
        <v/>
      </c>
      <c r="L2217">
        <f>Data!T2324</f>
        <v/>
      </c>
      <c r="M2217">
        <f>AND(E2217=0,F2217=0,G2217=0,H2217=0,I2217=0,J2217=0,K2217=0,L2217=0)</f>
        <v/>
      </c>
      <c r="N2217">
        <f>G2217&lt;=$T$6</f>
        <v/>
      </c>
      <c r="O2217">
        <f>G2217&lt;=$T$12</f>
        <v/>
      </c>
      <c r="P2217">
        <f>OR(AND(H2217&gt;=$T$4,K2217&lt;=$T$5,N2217),M2217)</f>
        <v/>
      </c>
      <c r="Q2217">
        <f>OR(AND(I2217&gt;=$T$10,K2217&lt;=$T$11,O2217),M2217)</f>
        <v/>
      </c>
    </row>
    <row r="2218">
      <c r="A2218">
        <f>Data!E2325</f>
        <v/>
      </c>
      <c r="B2218">
        <f>Data!G2325</f>
        <v/>
      </c>
      <c r="C2218">
        <f>Data!H2325</f>
        <v/>
      </c>
      <c r="D2218">
        <f>Data!I2325</f>
        <v/>
      </c>
      <c r="E2218">
        <f>Data!M2325</f>
        <v/>
      </c>
      <c r="F2218">
        <f>Data!O2325</f>
        <v/>
      </c>
      <c r="G2218">
        <f>E2218-F2218</f>
        <v/>
      </c>
      <c r="H2218">
        <f>Data!P2325</f>
        <v/>
      </c>
      <c r="I2218">
        <f>G2218+H2218</f>
        <v/>
      </c>
      <c r="J2218">
        <f>F2218+G2218+H2218</f>
        <v/>
      </c>
      <c r="K2218">
        <f>Data!R2325</f>
        <v/>
      </c>
      <c r="L2218">
        <f>Data!T2325</f>
        <v/>
      </c>
      <c r="M2218">
        <f>AND(E2218=0,F2218=0,G2218=0,H2218=0,I2218=0,J2218=0,K2218=0,L2218=0)</f>
        <v/>
      </c>
      <c r="N2218">
        <f>G2218&lt;=$T$6</f>
        <v/>
      </c>
      <c r="O2218">
        <f>G2218&lt;=$T$12</f>
        <v/>
      </c>
      <c r="P2218">
        <f>OR(AND(H2218&gt;=$T$4,K2218&lt;=$T$5,N2218),M2218)</f>
        <v/>
      </c>
      <c r="Q2218">
        <f>OR(AND(I2218&gt;=$T$10,K2218&lt;=$T$11,O2218),M2218)</f>
        <v/>
      </c>
    </row>
    <row r="2219">
      <c r="A2219">
        <f>Data!E2326</f>
        <v/>
      </c>
      <c r="B2219">
        <f>Data!G2326</f>
        <v/>
      </c>
      <c r="C2219">
        <f>Data!H2326</f>
        <v/>
      </c>
      <c r="D2219">
        <f>Data!I2326</f>
        <v/>
      </c>
      <c r="E2219">
        <f>Data!M2326</f>
        <v/>
      </c>
      <c r="F2219">
        <f>Data!O2326</f>
        <v/>
      </c>
      <c r="G2219">
        <f>E2219-F2219</f>
        <v/>
      </c>
      <c r="H2219">
        <f>Data!P2326</f>
        <v/>
      </c>
      <c r="I2219">
        <f>G2219+H2219</f>
        <v/>
      </c>
      <c r="J2219">
        <f>F2219+G2219+H2219</f>
        <v/>
      </c>
      <c r="K2219">
        <f>Data!R2326</f>
        <v/>
      </c>
      <c r="L2219">
        <f>Data!T2326</f>
        <v/>
      </c>
      <c r="M2219">
        <f>AND(E2219=0,F2219=0,G2219=0,H2219=0,I2219=0,J2219=0,K2219=0,L2219=0)</f>
        <v/>
      </c>
      <c r="N2219">
        <f>G2219&lt;=$T$6</f>
        <v/>
      </c>
      <c r="O2219">
        <f>G2219&lt;=$T$12</f>
        <v/>
      </c>
      <c r="P2219">
        <f>OR(AND(H2219&gt;=$T$4,K2219&lt;=$T$5,N2219),M2219)</f>
        <v/>
      </c>
      <c r="Q2219">
        <f>OR(AND(I2219&gt;=$T$10,K2219&lt;=$T$11,O2219),M2219)</f>
        <v/>
      </c>
    </row>
    <row r="2220">
      <c r="A2220">
        <f>Data!E2327</f>
        <v/>
      </c>
      <c r="B2220">
        <f>Data!G2327</f>
        <v/>
      </c>
      <c r="C2220">
        <f>Data!H2327</f>
        <v/>
      </c>
      <c r="D2220">
        <f>Data!I2327</f>
        <v/>
      </c>
      <c r="E2220">
        <f>Data!M2327</f>
        <v/>
      </c>
      <c r="F2220">
        <f>Data!O2327</f>
        <v/>
      </c>
      <c r="G2220">
        <f>E2220-F2220</f>
        <v/>
      </c>
      <c r="H2220">
        <f>Data!P2327</f>
        <v/>
      </c>
      <c r="I2220">
        <f>G2220+H2220</f>
        <v/>
      </c>
      <c r="J2220">
        <f>F2220+G2220+H2220</f>
        <v/>
      </c>
      <c r="K2220">
        <f>Data!R2327</f>
        <v/>
      </c>
      <c r="L2220">
        <f>Data!T2327</f>
        <v/>
      </c>
      <c r="M2220">
        <f>AND(E2220=0,F2220=0,G2220=0,H2220=0,I2220=0,J2220=0,K2220=0,L2220=0)</f>
        <v/>
      </c>
      <c r="N2220">
        <f>G2220&lt;=$T$6</f>
        <v/>
      </c>
      <c r="O2220">
        <f>G2220&lt;=$T$12</f>
        <v/>
      </c>
      <c r="P2220">
        <f>OR(AND(H2220&gt;=$T$4,K2220&lt;=$T$5,N2220),M2220)</f>
        <v/>
      </c>
      <c r="Q2220">
        <f>OR(AND(I2220&gt;=$T$10,K2220&lt;=$T$11,O2220),M2220)</f>
        <v/>
      </c>
    </row>
    <row r="2221">
      <c r="A2221">
        <f>Data!E2328</f>
        <v/>
      </c>
      <c r="B2221">
        <f>Data!G2328</f>
        <v/>
      </c>
      <c r="C2221">
        <f>Data!H2328</f>
        <v/>
      </c>
      <c r="D2221">
        <f>Data!I2328</f>
        <v/>
      </c>
      <c r="E2221">
        <f>Data!M2328</f>
        <v/>
      </c>
      <c r="F2221">
        <f>Data!O2328</f>
        <v/>
      </c>
      <c r="G2221">
        <f>E2221-F2221</f>
        <v/>
      </c>
      <c r="H2221">
        <f>Data!P2328</f>
        <v/>
      </c>
      <c r="I2221">
        <f>G2221+H2221</f>
        <v/>
      </c>
      <c r="J2221">
        <f>F2221+G2221+H2221</f>
        <v/>
      </c>
      <c r="K2221">
        <f>Data!R2328</f>
        <v/>
      </c>
      <c r="L2221">
        <f>Data!T2328</f>
        <v/>
      </c>
      <c r="M2221">
        <f>AND(E2221=0,F2221=0,G2221=0,H2221=0,I2221=0,J2221=0,K2221=0,L2221=0)</f>
        <v/>
      </c>
      <c r="N2221">
        <f>G2221&lt;=$T$6</f>
        <v/>
      </c>
      <c r="O2221">
        <f>G2221&lt;=$T$12</f>
        <v/>
      </c>
      <c r="P2221">
        <f>OR(AND(H2221&gt;=$T$4,K2221&lt;=$T$5,N2221),M2221)</f>
        <v/>
      </c>
      <c r="Q2221">
        <f>OR(AND(I2221&gt;=$T$10,K2221&lt;=$T$11,O2221),M2221)</f>
        <v/>
      </c>
    </row>
    <row r="2222">
      <c r="A2222">
        <f>Data!E2329</f>
        <v/>
      </c>
      <c r="B2222">
        <f>Data!G2329</f>
        <v/>
      </c>
      <c r="C2222">
        <f>Data!H2329</f>
        <v/>
      </c>
      <c r="D2222">
        <f>Data!I2329</f>
        <v/>
      </c>
      <c r="E2222">
        <f>Data!M2329</f>
        <v/>
      </c>
      <c r="F2222">
        <f>Data!O2329</f>
        <v/>
      </c>
      <c r="G2222">
        <f>E2222-F2222</f>
        <v/>
      </c>
      <c r="H2222">
        <f>Data!P2329</f>
        <v/>
      </c>
      <c r="I2222">
        <f>G2222+H2222</f>
        <v/>
      </c>
      <c r="J2222">
        <f>F2222+G2222+H2222</f>
        <v/>
      </c>
      <c r="K2222">
        <f>Data!R2329</f>
        <v/>
      </c>
      <c r="L2222">
        <f>Data!T2329</f>
        <v/>
      </c>
      <c r="M2222">
        <f>AND(E2222=0,F2222=0,G2222=0,H2222=0,I2222=0,J2222=0,K2222=0,L2222=0)</f>
        <v/>
      </c>
      <c r="N2222">
        <f>G2222&lt;=$T$6</f>
        <v/>
      </c>
      <c r="O2222">
        <f>G2222&lt;=$T$12</f>
        <v/>
      </c>
      <c r="P2222">
        <f>OR(AND(H2222&gt;=$T$4,K2222&lt;=$T$5,N2222),M2222)</f>
        <v/>
      </c>
      <c r="Q2222">
        <f>OR(AND(I2222&gt;=$T$10,K2222&lt;=$T$11,O2222),M2222)</f>
        <v/>
      </c>
    </row>
    <row r="2223">
      <c r="A2223">
        <f>Data!E2330</f>
        <v/>
      </c>
      <c r="B2223">
        <f>Data!G2330</f>
        <v/>
      </c>
      <c r="C2223">
        <f>Data!H2330</f>
        <v/>
      </c>
      <c r="D2223">
        <f>Data!I2330</f>
        <v/>
      </c>
      <c r="E2223">
        <f>Data!M2330</f>
        <v/>
      </c>
      <c r="F2223">
        <f>Data!O2330</f>
        <v/>
      </c>
      <c r="G2223">
        <f>E2223-F2223</f>
        <v/>
      </c>
      <c r="H2223">
        <f>Data!P2330</f>
        <v/>
      </c>
      <c r="I2223">
        <f>G2223+H2223</f>
        <v/>
      </c>
      <c r="J2223">
        <f>F2223+G2223+H2223</f>
        <v/>
      </c>
      <c r="K2223">
        <f>Data!R2330</f>
        <v/>
      </c>
      <c r="L2223">
        <f>Data!T2330</f>
        <v/>
      </c>
      <c r="M2223">
        <f>AND(E2223=0,F2223=0,G2223=0,H2223=0,I2223=0,J2223=0,K2223=0,L2223=0)</f>
        <v/>
      </c>
      <c r="N2223">
        <f>G2223&lt;=$T$6</f>
        <v/>
      </c>
      <c r="O2223">
        <f>G2223&lt;=$T$12</f>
        <v/>
      </c>
      <c r="P2223">
        <f>OR(AND(H2223&gt;=$T$4,K2223&lt;=$T$5,N2223),M2223)</f>
        <v/>
      </c>
      <c r="Q2223">
        <f>OR(AND(I2223&gt;=$T$10,K2223&lt;=$T$11,O2223),M2223)</f>
        <v/>
      </c>
    </row>
    <row r="2224">
      <c r="A2224">
        <f>Data!E2331</f>
        <v/>
      </c>
      <c r="B2224">
        <f>Data!G2331</f>
        <v/>
      </c>
      <c r="C2224">
        <f>Data!H2331</f>
        <v/>
      </c>
      <c r="D2224">
        <f>Data!I2331</f>
        <v/>
      </c>
      <c r="E2224">
        <f>Data!M2331</f>
        <v/>
      </c>
      <c r="F2224">
        <f>Data!O2331</f>
        <v/>
      </c>
      <c r="G2224">
        <f>E2224-F2224</f>
        <v/>
      </c>
      <c r="H2224">
        <f>Data!P2331</f>
        <v/>
      </c>
      <c r="I2224">
        <f>G2224+H2224</f>
        <v/>
      </c>
      <c r="J2224">
        <f>F2224+G2224+H2224</f>
        <v/>
      </c>
      <c r="K2224">
        <f>Data!R2331</f>
        <v/>
      </c>
      <c r="L2224">
        <f>Data!T2331</f>
        <v/>
      </c>
      <c r="M2224">
        <f>AND(E2224=0,F2224=0,G2224=0,H2224=0,I2224=0,J2224=0,K2224=0,L2224=0)</f>
        <v/>
      </c>
      <c r="N2224">
        <f>G2224&lt;=$T$6</f>
        <v/>
      </c>
      <c r="O2224">
        <f>G2224&lt;=$T$12</f>
        <v/>
      </c>
      <c r="P2224">
        <f>OR(AND(H2224&gt;=$T$4,K2224&lt;=$T$5,N2224),M2224)</f>
        <v/>
      </c>
      <c r="Q2224">
        <f>OR(AND(I2224&gt;=$T$10,K2224&lt;=$T$11,O2224),M2224)</f>
        <v/>
      </c>
    </row>
    <row r="2225">
      <c r="A2225">
        <f>Data!E2332</f>
        <v/>
      </c>
      <c r="B2225">
        <f>Data!G2332</f>
        <v/>
      </c>
      <c r="C2225">
        <f>Data!H2332</f>
        <v/>
      </c>
      <c r="D2225">
        <f>Data!I2332</f>
        <v/>
      </c>
      <c r="E2225">
        <f>Data!M2332</f>
        <v/>
      </c>
      <c r="F2225">
        <f>Data!O2332</f>
        <v/>
      </c>
      <c r="G2225">
        <f>E2225-F2225</f>
        <v/>
      </c>
      <c r="H2225">
        <f>Data!P2332</f>
        <v/>
      </c>
      <c r="I2225">
        <f>G2225+H2225</f>
        <v/>
      </c>
      <c r="J2225">
        <f>F2225+G2225+H2225</f>
        <v/>
      </c>
      <c r="K2225">
        <f>Data!R2332</f>
        <v/>
      </c>
      <c r="L2225">
        <f>Data!T2332</f>
        <v/>
      </c>
      <c r="M2225">
        <f>AND(E2225=0,F2225=0,G2225=0,H2225=0,I2225=0,J2225=0,K2225=0,L2225=0)</f>
        <v/>
      </c>
      <c r="N2225">
        <f>G2225&lt;=$T$6</f>
        <v/>
      </c>
      <c r="O2225">
        <f>G2225&lt;=$T$12</f>
        <v/>
      </c>
      <c r="P2225">
        <f>OR(AND(H2225&gt;=$T$4,K2225&lt;=$T$5,N2225),M2225)</f>
        <v/>
      </c>
      <c r="Q2225">
        <f>OR(AND(I2225&gt;=$T$10,K2225&lt;=$T$11,O2225),M2225)</f>
        <v/>
      </c>
    </row>
    <row r="2226">
      <c r="A2226">
        <f>Data!E2333</f>
        <v/>
      </c>
      <c r="B2226">
        <f>Data!G2333</f>
        <v/>
      </c>
      <c r="C2226">
        <f>Data!H2333</f>
        <v/>
      </c>
      <c r="D2226">
        <f>Data!I2333</f>
        <v/>
      </c>
      <c r="E2226">
        <f>Data!M2333</f>
        <v/>
      </c>
      <c r="F2226">
        <f>Data!O2333</f>
        <v/>
      </c>
      <c r="G2226">
        <f>E2226-F2226</f>
        <v/>
      </c>
      <c r="H2226">
        <f>Data!P2333</f>
        <v/>
      </c>
      <c r="I2226">
        <f>G2226+H2226</f>
        <v/>
      </c>
      <c r="J2226">
        <f>F2226+G2226+H2226</f>
        <v/>
      </c>
      <c r="K2226">
        <f>Data!R2333</f>
        <v/>
      </c>
      <c r="L2226">
        <f>Data!T2333</f>
        <v/>
      </c>
      <c r="M2226">
        <f>AND(E2226=0,F2226=0,G2226=0,H2226=0,I2226=0,J2226=0,K2226=0,L2226=0)</f>
        <v/>
      </c>
      <c r="N2226">
        <f>G2226&lt;=$T$6</f>
        <v/>
      </c>
      <c r="O2226">
        <f>G2226&lt;=$T$12</f>
        <v/>
      </c>
      <c r="P2226">
        <f>OR(AND(H2226&gt;=$T$4,K2226&lt;=$T$5,N2226),M2226)</f>
        <v/>
      </c>
      <c r="Q2226">
        <f>OR(AND(I2226&gt;=$T$10,K2226&lt;=$T$11,O2226),M2226)</f>
        <v/>
      </c>
    </row>
    <row r="2227">
      <c r="A2227">
        <f>Data!E2334</f>
        <v/>
      </c>
      <c r="B2227">
        <f>Data!G2334</f>
        <v/>
      </c>
      <c r="C2227">
        <f>Data!H2334</f>
        <v/>
      </c>
      <c r="D2227">
        <f>Data!I2334</f>
        <v/>
      </c>
      <c r="E2227">
        <f>Data!M2334</f>
        <v/>
      </c>
      <c r="F2227">
        <f>Data!O2334</f>
        <v/>
      </c>
      <c r="G2227">
        <f>E2227-F2227</f>
        <v/>
      </c>
      <c r="H2227">
        <f>Data!P2334</f>
        <v/>
      </c>
      <c r="I2227">
        <f>G2227+H2227</f>
        <v/>
      </c>
      <c r="J2227">
        <f>F2227+G2227+H2227</f>
        <v/>
      </c>
      <c r="K2227">
        <f>Data!R2334</f>
        <v/>
      </c>
      <c r="L2227">
        <f>Data!T2334</f>
        <v/>
      </c>
      <c r="M2227">
        <f>AND(E2227=0,F2227=0,G2227=0,H2227=0,I2227=0,J2227=0,K2227=0,L2227=0)</f>
        <v/>
      </c>
      <c r="N2227">
        <f>G2227&lt;=$T$6</f>
        <v/>
      </c>
      <c r="O2227">
        <f>G2227&lt;=$T$12</f>
        <v/>
      </c>
      <c r="P2227">
        <f>OR(AND(H2227&gt;=$T$4,K2227&lt;=$T$5,N2227),M2227)</f>
        <v/>
      </c>
      <c r="Q2227">
        <f>OR(AND(I2227&gt;=$T$10,K2227&lt;=$T$11,O2227),M2227)</f>
        <v/>
      </c>
    </row>
    <row r="2228">
      <c r="A2228">
        <f>Data!E2335</f>
        <v/>
      </c>
      <c r="B2228">
        <f>Data!G2335</f>
        <v/>
      </c>
      <c r="C2228">
        <f>Data!H2335</f>
        <v/>
      </c>
      <c r="D2228">
        <f>Data!I2335</f>
        <v/>
      </c>
      <c r="E2228">
        <f>Data!M2335</f>
        <v/>
      </c>
      <c r="F2228">
        <f>Data!O2335</f>
        <v/>
      </c>
      <c r="G2228">
        <f>E2228-F2228</f>
        <v/>
      </c>
      <c r="H2228">
        <f>Data!P2335</f>
        <v/>
      </c>
      <c r="I2228">
        <f>G2228+H2228</f>
        <v/>
      </c>
      <c r="J2228">
        <f>F2228+G2228+H2228</f>
        <v/>
      </c>
      <c r="K2228">
        <f>Data!R2335</f>
        <v/>
      </c>
      <c r="L2228">
        <f>Data!T2335</f>
        <v/>
      </c>
      <c r="M2228">
        <f>AND(E2228=0,F2228=0,G2228=0,H2228=0,I2228=0,J2228=0,K2228=0,L2228=0)</f>
        <v/>
      </c>
      <c r="N2228">
        <f>G2228&lt;=$T$6</f>
        <v/>
      </c>
      <c r="O2228">
        <f>G2228&lt;=$T$12</f>
        <v/>
      </c>
      <c r="P2228">
        <f>OR(AND(H2228&gt;=$T$4,K2228&lt;=$T$5,N2228),M2228)</f>
        <v/>
      </c>
      <c r="Q2228">
        <f>OR(AND(I2228&gt;=$T$10,K2228&lt;=$T$11,O2228),M2228)</f>
        <v/>
      </c>
    </row>
    <row r="2229">
      <c r="A2229">
        <f>Data!E2336</f>
        <v/>
      </c>
      <c r="B2229">
        <f>Data!G2336</f>
        <v/>
      </c>
      <c r="C2229">
        <f>Data!H2336</f>
        <v/>
      </c>
      <c r="D2229">
        <f>Data!I2336</f>
        <v/>
      </c>
      <c r="E2229">
        <f>Data!M2336</f>
        <v/>
      </c>
      <c r="F2229">
        <f>Data!O2336</f>
        <v/>
      </c>
      <c r="G2229">
        <f>E2229-F2229</f>
        <v/>
      </c>
      <c r="H2229">
        <f>Data!P2336</f>
        <v/>
      </c>
      <c r="I2229">
        <f>G2229+H2229</f>
        <v/>
      </c>
      <c r="J2229">
        <f>F2229+G2229+H2229</f>
        <v/>
      </c>
      <c r="K2229">
        <f>Data!R2336</f>
        <v/>
      </c>
      <c r="L2229">
        <f>Data!T2336</f>
        <v/>
      </c>
      <c r="M2229">
        <f>AND(E2229=0,F2229=0,G2229=0,H2229=0,I2229=0,J2229=0,K2229=0,L2229=0)</f>
        <v/>
      </c>
      <c r="N2229">
        <f>G2229&lt;=$T$6</f>
        <v/>
      </c>
      <c r="O2229">
        <f>G2229&lt;=$T$12</f>
        <v/>
      </c>
      <c r="P2229">
        <f>OR(AND(H2229&gt;=$T$4,K2229&lt;=$T$5,N2229),M2229)</f>
        <v/>
      </c>
      <c r="Q2229">
        <f>OR(AND(I2229&gt;=$T$10,K2229&lt;=$T$11,O2229),M2229)</f>
        <v/>
      </c>
    </row>
    <row r="2230">
      <c r="A2230">
        <f>Data!E2337</f>
        <v/>
      </c>
      <c r="B2230">
        <f>Data!G2337</f>
        <v/>
      </c>
      <c r="C2230">
        <f>Data!H2337</f>
        <v/>
      </c>
      <c r="D2230">
        <f>Data!I2337</f>
        <v/>
      </c>
      <c r="E2230">
        <f>Data!M2337</f>
        <v/>
      </c>
      <c r="F2230">
        <f>Data!O2337</f>
        <v/>
      </c>
      <c r="G2230">
        <f>E2230-F2230</f>
        <v/>
      </c>
      <c r="H2230">
        <f>Data!P2337</f>
        <v/>
      </c>
      <c r="I2230">
        <f>G2230+H2230</f>
        <v/>
      </c>
      <c r="J2230">
        <f>F2230+G2230+H2230</f>
        <v/>
      </c>
      <c r="K2230">
        <f>Data!R2337</f>
        <v/>
      </c>
      <c r="L2230">
        <f>Data!T2337</f>
        <v/>
      </c>
      <c r="M2230">
        <f>AND(E2230=0,F2230=0,G2230=0,H2230=0,I2230=0,J2230=0,K2230=0,L2230=0)</f>
        <v/>
      </c>
      <c r="N2230">
        <f>G2230&lt;=$T$6</f>
        <v/>
      </c>
      <c r="O2230">
        <f>G2230&lt;=$T$12</f>
        <v/>
      </c>
      <c r="P2230">
        <f>OR(AND(H2230&gt;=$T$4,K2230&lt;=$T$5,N2230),M2230)</f>
        <v/>
      </c>
      <c r="Q2230">
        <f>OR(AND(I2230&gt;=$T$10,K2230&lt;=$T$11,O2230),M2230)</f>
        <v/>
      </c>
    </row>
    <row r="2231">
      <c r="A2231">
        <f>Data!E2338</f>
        <v/>
      </c>
      <c r="B2231">
        <f>Data!G2338</f>
        <v/>
      </c>
      <c r="C2231">
        <f>Data!H2338</f>
        <v/>
      </c>
      <c r="D2231">
        <f>Data!I2338</f>
        <v/>
      </c>
      <c r="E2231">
        <f>Data!M2338</f>
        <v/>
      </c>
      <c r="F2231">
        <f>Data!O2338</f>
        <v/>
      </c>
      <c r="G2231">
        <f>E2231-F2231</f>
        <v/>
      </c>
      <c r="H2231">
        <f>Data!P2338</f>
        <v/>
      </c>
      <c r="I2231">
        <f>G2231+H2231</f>
        <v/>
      </c>
      <c r="J2231">
        <f>F2231+G2231+H2231</f>
        <v/>
      </c>
      <c r="K2231">
        <f>Data!R2338</f>
        <v/>
      </c>
      <c r="L2231">
        <f>Data!T2338</f>
        <v/>
      </c>
      <c r="M2231">
        <f>AND(E2231=0,F2231=0,G2231=0,H2231=0,I2231=0,J2231=0,K2231=0,L2231=0)</f>
        <v/>
      </c>
      <c r="N2231">
        <f>G2231&lt;=$T$6</f>
        <v/>
      </c>
      <c r="O2231">
        <f>G2231&lt;=$T$12</f>
        <v/>
      </c>
      <c r="P2231">
        <f>OR(AND(H2231&gt;=$T$4,K2231&lt;=$T$5,N2231),M2231)</f>
        <v/>
      </c>
      <c r="Q2231">
        <f>OR(AND(I2231&gt;=$T$10,K2231&lt;=$T$11,O2231),M2231)</f>
        <v/>
      </c>
    </row>
    <row r="2232">
      <c r="A2232">
        <f>Data!E2339</f>
        <v/>
      </c>
      <c r="B2232">
        <f>Data!G2339</f>
        <v/>
      </c>
      <c r="C2232">
        <f>Data!H2339</f>
        <v/>
      </c>
      <c r="D2232">
        <f>Data!I2339</f>
        <v/>
      </c>
      <c r="E2232">
        <f>Data!M2339</f>
        <v/>
      </c>
      <c r="F2232">
        <f>Data!O2339</f>
        <v/>
      </c>
      <c r="G2232">
        <f>E2232-F2232</f>
        <v/>
      </c>
      <c r="H2232">
        <f>Data!P2339</f>
        <v/>
      </c>
      <c r="I2232">
        <f>G2232+H2232</f>
        <v/>
      </c>
      <c r="J2232">
        <f>F2232+G2232+H2232</f>
        <v/>
      </c>
      <c r="K2232">
        <f>Data!R2339</f>
        <v/>
      </c>
      <c r="L2232">
        <f>Data!T2339</f>
        <v/>
      </c>
      <c r="M2232">
        <f>AND(E2232=0,F2232=0,G2232=0,H2232=0,I2232=0,J2232=0,K2232=0,L2232=0)</f>
        <v/>
      </c>
      <c r="N2232">
        <f>G2232&lt;=$T$6</f>
        <v/>
      </c>
      <c r="O2232">
        <f>G2232&lt;=$T$12</f>
        <v/>
      </c>
      <c r="P2232">
        <f>OR(AND(H2232&gt;=$T$4,K2232&lt;=$T$5,N2232),M2232)</f>
        <v/>
      </c>
      <c r="Q2232">
        <f>OR(AND(I2232&gt;=$T$10,K2232&lt;=$T$11,O2232),M2232)</f>
        <v/>
      </c>
    </row>
    <row r="2233">
      <c r="A2233">
        <f>Data!E2340</f>
        <v/>
      </c>
      <c r="B2233">
        <f>Data!G2340</f>
        <v/>
      </c>
      <c r="C2233">
        <f>Data!H2340</f>
        <v/>
      </c>
      <c r="D2233">
        <f>Data!I2340</f>
        <v/>
      </c>
      <c r="E2233">
        <f>Data!M2340</f>
        <v/>
      </c>
      <c r="F2233">
        <f>Data!O2340</f>
        <v/>
      </c>
      <c r="G2233">
        <f>E2233-F2233</f>
        <v/>
      </c>
      <c r="H2233">
        <f>Data!P2340</f>
        <v/>
      </c>
      <c r="I2233">
        <f>G2233+H2233</f>
        <v/>
      </c>
      <c r="J2233">
        <f>F2233+G2233+H2233</f>
        <v/>
      </c>
      <c r="K2233">
        <f>Data!R2340</f>
        <v/>
      </c>
      <c r="L2233">
        <f>Data!T2340</f>
        <v/>
      </c>
      <c r="M2233">
        <f>AND(E2233=0,F2233=0,G2233=0,H2233=0,I2233=0,J2233=0,K2233=0,L2233=0)</f>
        <v/>
      </c>
      <c r="N2233">
        <f>G2233&lt;=$T$6</f>
        <v/>
      </c>
      <c r="O2233">
        <f>G2233&lt;=$T$12</f>
        <v/>
      </c>
      <c r="P2233">
        <f>OR(AND(H2233&gt;=$T$4,K2233&lt;=$T$5,N2233),M2233)</f>
        <v/>
      </c>
      <c r="Q2233">
        <f>OR(AND(I2233&gt;=$T$10,K2233&lt;=$T$11,O2233),M2233)</f>
        <v/>
      </c>
    </row>
    <row r="2234">
      <c r="A2234">
        <f>Data!E2341</f>
        <v/>
      </c>
      <c r="B2234">
        <f>Data!G2341</f>
        <v/>
      </c>
      <c r="C2234">
        <f>Data!H2341</f>
        <v/>
      </c>
      <c r="D2234">
        <f>Data!I2341</f>
        <v/>
      </c>
      <c r="E2234">
        <f>Data!M2341</f>
        <v/>
      </c>
      <c r="F2234">
        <f>Data!O2341</f>
        <v/>
      </c>
      <c r="G2234">
        <f>E2234-F2234</f>
        <v/>
      </c>
      <c r="H2234">
        <f>Data!P2341</f>
        <v/>
      </c>
      <c r="I2234">
        <f>G2234+H2234</f>
        <v/>
      </c>
      <c r="J2234">
        <f>F2234+G2234+H2234</f>
        <v/>
      </c>
      <c r="K2234">
        <f>Data!R2341</f>
        <v/>
      </c>
      <c r="L2234">
        <f>Data!T2341</f>
        <v/>
      </c>
      <c r="M2234">
        <f>AND(E2234=0,F2234=0,G2234=0,H2234=0,I2234=0,J2234=0,K2234=0,L2234=0)</f>
        <v/>
      </c>
      <c r="N2234">
        <f>G2234&lt;=$T$6</f>
        <v/>
      </c>
      <c r="O2234">
        <f>G2234&lt;=$T$12</f>
        <v/>
      </c>
      <c r="P2234">
        <f>OR(AND(H2234&gt;=$T$4,K2234&lt;=$T$5,N2234),M2234)</f>
        <v/>
      </c>
      <c r="Q2234">
        <f>OR(AND(I2234&gt;=$T$10,K2234&lt;=$T$11,O2234),M2234)</f>
        <v/>
      </c>
    </row>
    <row r="2235">
      <c r="A2235">
        <f>Data!E2342</f>
        <v/>
      </c>
      <c r="B2235">
        <f>Data!G2342</f>
        <v/>
      </c>
      <c r="C2235">
        <f>Data!H2342</f>
        <v/>
      </c>
      <c r="D2235">
        <f>Data!I2342</f>
        <v/>
      </c>
      <c r="E2235">
        <f>Data!M2342</f>
        <v/>
      </c>
      <c r="F2235">
        <f>Data!O2342</f>
        <v/>
      </c>
      <c r="G2235">
        <f>E2235-F2235</f>
        <v/>
      </c>
      <c r="H2235">
        <f>Data!P2342</f>
        <v/>
      </c>
      <c r="I2235">
        <f>G2235+H2235</f>
        <v/>
      </c>
      <c r="J2235">
        <f>F2235+G2235+H2235</f>
        <v/>
      </c>
      <c r="K2235">
        <f>Data!R2342</f>
        <v/>
      </c>
      <c r="L2235">
        <f>Data!T2342</f>
        <v/>
      </c>
      <c r="M2235">
        <f>AND(E2235=0,F2235=0,G2235=0,H2235=0,I2235=0,J2235=0,K2235=0,L2235=0)</f>
        <v/>
      </c>
      <c r="N2235">
        <f>G2235&lt;=$T$6</f>
        <v/>
      </c>
      <c r="O2235">
        <f>G2235&lt;=$T$12</f>
        <v/>
      </c>
      <c r="P2235">
        <f>OR(AND(H2235&gt;=$T$4,K2235&lt;=$T$5,N2235),M2235)</f>
        <v/>
      </c>
      <c r="Q2235">
        <f>OR(AND(I2235&gt;=$T$10,K2235&lt;=$T$11,O2235),M2235)</f>
        <v/>
      </c>
    </row>
    <row r="2236">
      <c r="A2236">
        <f>Data!E2343</f>
        <v/>
      </c>
      <c r="B2236">
        <f>Data!G2343</f>
        <v/>
      </c>
      <c r="C2236">
        <f>Data!H2343</f>
        <v/>
      </c>
      <c r="D2236">
        <f>Data!I2343</f>
        <v/>
      </c>
      <c r="E2236">
        <f>Data!M2343</f>
        <v/>
      </c>
      <c r="F2236">
        <f>Data!O2343</f>
        <v/>
      </c>
      <c r="G2236">
        <f>E2236-F2236</f>
        <v/>
      </c>
      <c r="H2236">
        <f>Data!P2343</f>
        <v/>
      </c>
      <c r="I2236">
        <f>G2236+H2236</f>
        <v/>
      </c>
      <c r="J2236">
        <f>F2236+G2236+H2236</f>
        <v/>
      </c>
      <c r="K2236">
        <f>Data!R2343</f>
        <v/>
      </c>
      <c r="L2236">
        <f>Data!T2343</f>
        <v/>
      </c>
      <c r="M2236">
        <f>AND(E2236=0,F2236=0,G2236=0,H2236=0,I2236=0,J2236=0,K2236=0,L2236=0)</f>
        <v/>
      </c>
      <c r="N2236">
        <f>G2236&lt;=$T$6</f>
        <v/>
      </c>
      <c r="O2236">
        <f>G2236&lt;=$T$12</f>
        <v/>
      </c>
      <c r="P2236">
        <f>OR(AND(H2236&gt;=$T$4,K2236&lt;=$T$5,N2236),M2236)</f>
        <v/>
      </c>
      <c r="Q2236">
        <f>OR(AND(I2236&gt;=$T$10,K2236&lt;=$T$11,O2236),M2236)</f>
        <v/>
      </c>
    </row>
    <row r="2237">
      <c r="A2237">
        <f>Data!E2344</f>
        <v/>
      </c>
      <c r="B2237">
        <f>Data!G2344</f>
        <v/>
      </c>
      <c r="C2237">
        <f>Data!H2344</f>
        <v/>
      </c>
      <c r="D2237">
        <f>Data!I2344</f>
        <v/>
      </c>
      <c r="E2237">
        <f>Data!M2344</f>
        <v/>
      </c>
      <c r="F2237">
        <f>Data!O2344</f>
        <v/>
      </c>
      <c r="G2237">
        <f>E2237-F2237</f>
        <v/>
      </c>
      <c r="H2237">
        <f>Data!P2344</f>
        <v/>
      </c>
      <c r="I2237">
        <f>G2237+H2237</f>
        <v/>
      </c>
      <c r="J2237">
        <f>F2237+G2237+H2237</f>
        <v/>
      </c>
      <c r="K2237">
        <f>Data!R2344</f>
        <v/>
      </c>
      <c r="L2237">
        <f>Data!T2344</f>
        <v/>
      </c>
      <c r="M2237">
        <f>AND(E2237=0,F2237=0,G2237=0,H2237=0,I2237=0,J2237=0,K2237=0,L2237=0)</f>
        <v/>
      </c>
      <c r="N2237">
        <f>G2237&lt;=$T$6</f>
        <v/>
      </c>
      <c r="O2237">
        <f>G2237&lt;=$T$12</f>
        <v/>
      </c>
      <c r="P2237">
        <f>OR(AND(H2237&gt;=$T$4,K2237&lt;=$T$5,N2237),M2237)</f>
        <v/>
      </c>
      <c r="Q2237">
        <f>OR(AND(I2237&gt;=$T$10,K2237&lt;=$T$11,O2237),M2237)</f>
        <v/>
      </c>
    </row>
    <row r="2238">
      <c r="A2238">
        <f>Data!E2345</f>
        <v/>
      </c>
      <c r="B2238">
        <f>Data!G2345</f>
        <v/>
      </c>
      <c r="C2238">
        <f>Data!H2345</f>
        <v/>
      </c>
      <c r="D2238">
        <f>Data!I2345</f>
        <v/>
      </c>
      <c r="E2238">
        <f>Data!M2345</f>
        <v/>
      </c>
      <c r="F2238">
        <f>Data!O2345</f>
        <v/>
      </c>
      <c r="G2238">
        <f>E2238-F2238</f>
        <v/>
      </c>
      <c r="H2238">
        <f>Data!P2345</f>
        <v/>
      </c>
      <c r="I2238">
        <f>G2238+H2238</f>
        <v/>
      </c>
      <c r="J2238">
        <f>F2238+G2238+H2238</f>
        <v/>
      </c>
      <c r="K2238">
        <f>Data!R2345</f>
        <v/>
      </c>
      <c r="L2238">
        <f>Data!T2345</f>
        <v/>
      </c>
      <c r="M2238">
        <f>AND(E2238=0,F2238=0,G2238=0,H2238=0,I2238=0,J2238=0,K2238=0,L2238=0)</f>
        <v/>
      </c>
      <c r="N2238">
        <f>G2238&lt;=$T$6</f>
        <v/>
      </c>
      <c r="O2238">
        <f>G2238&lt;=$T$12</f>
        <v/>
      </c>
      <c r="P2238">
        <f>OR(AND(H2238&gt;=$T$4,K2238&lt;=$T$5,N2238),M2238)</f>
        <v/>
      </c>
      <c r="Q2238">
        <f>OR(AND(I2238&gt;=$T$10,K2238&lt;=$T$11,O2238),M2238)</f>
        <v/>
      </c>
    </row>
    <row r="2239">
      <c r="A2239">
        <f>Data!E2346</f>
        <v/>
      </c>
      <c r="B2239">
        <f>Data!G2346</f>
        <v/>
      </c>
      <c r="C2239">
        <f>Data!H2346</f>
        <v/>
      </c>
      <c r="D2239">
        <f>Data!I2346</f>
        <v/>
      </c>
      <c r="E2239">
        <f>Data!M2346</f>
        <v/>
      </c>
      <c r="F2239">
        <f>Data!O2346</f>
        <v/>
      </c>
      <c r="G2239">
        <f>E2239-F2239</f>
        <v/>
      </c>
      <c r="H2239">
        <f>Data!P2346</f>
        <v/>
      </c>
      <c r="I2239">
        <f>G2239+H2239</f>
        <v/>
      </c>
      <c r="J2239">
        <f>F2239+G2239+H2239</f>
        <v/>
      </c>
      <c r="K2239">
        <f>Data!R2346</f>
        <v/>
      </c>
      <c r="L2239">
        <f>Data!T2346</f>
        <v/>
      </c>
      <c r="M2239">
        <f>AND(E2239=0,F2239=0,G2239=0,H2239=0,I2239=0,J2239=0,K2239=0,L2239=0)</f>
        <v/>
      </c>
      <c r="N2239">
        <f>G2239&lt;=$T$6</f>
        <v/>
      </c>
      <c r="O2239">
        <f>G2239&lt;=$T$12</f>
        <v/>
      </c>
      <c r="P2239">
        <f>OR(AND(H2239&gt;=$T$4,K2239&lt;=$T$5,N2239),M2239)</f>
        <v/>
      </c>
      <c r="Q2239">
        <f>OR(AND(I2239&gt;=$T$10,K2239&lt;=$T$11,O2239),M2239)</f>
        <v/>
      </c>
    </row>
    <row r="2240">
      <c r="A2240">
        <f>Data!E2347</f>
        <v/>
      </c>
      <c r="B2240">
        <f>Data!G2347</f>
        <v/>
      </c>
      <c r="C2240">
        <f>Data!H2347</f>
        <v/>
      </c>
      <c r="D2240">
        <f>Data!I2347</f>
        <v/>
      </c>
      <c r="E2240">
        <f>Data!M2347</f>
        <v/>
      </c>
      <c r="F2240">
        <f>Data!O2347</f>
        <v/>
      </c>
      <c r="G2240">
        <f>E2240-F2240</f>
        <v/>
      </c>
      <c r="H2240">
        <f>Data!P2347</f>
        <v/>
      </c>
      <c r="I2240">
        <f>G2240+H2240</f>
        <v/>
      </c>
      <c r="J2240">
        <f>F2240+G2240+H2240</f>
        <v/>
      </c>
      <c r="K2240">
        <f>Data!R2347</f>
        <v/>
      </c>
      <c r="L2240">
        <f>Data!T2347</f>
        <v/>
      </c>
      <c r="M2240">
        <f>AND(E2240=0,F2240=0,G2240=0,H2240=0,I2240=0,J2240=0,K2240=0,L2240=0)</f>
        <v/>
      </c>
      <c r="N2240">
        <f>G2240&lt;=$T$6</f>
        <v/>
      </c>
      <c r="O2240">
        <f>G2240&lt;=$T$12</f>
        <v/>
      </c>
      <c r="P2240">
        <f>OR(AND(H2240&gt;=$T$4,K2240&lt;=$T$5,N2240),M2240)</f>
        <v/>
      </c>
      <c r="Q2240">
        <f>OR(AND(I2240&gt;=$T$10,K2240&lt;=$T$11,O2240),M2240)</f>
        <v/>
      </c>
    </row>
    <row r="2241">
      <c r="A2241">
        <f>Data!E2348</f>
        <v/>
      </c>
      <c r="B2241">
        <f>Data!G2348</f>
        <v/>
      </c>
      <c r="C2241">
        <f>Data!H2348</f>
        <v/>
      </c>
      <c r="D2241">
        <f>Data!I2348</f>
        <v/>
      </c>
      <c r="E2241">
        <f>Data!M2348</f>
        <v/>
      </c>
      <c r="F2241">
        <f>Data!O2348</f>
        <v/>
      </c>
      <c r="G2241">
        <f>E2241-F2241</f>
        <v/>
      </c>
      <c r="H2241">
        <f>Data!P2348</f>
        <v/>
      </c>
      <c r="I2241">
        <f>G2241+H2241</f>
        <v/>
      </c>
      <c r="J2241">
        <f>F2241+G2241+H2241</f>
        <v/>
      </c>
      <c r="K2241">
        <f>Data!R2348</f>
        <v/>
      </c>
      <c r="L2241">
        <f>Data!T2348</f>
        <v/>
      </c>
      <c r="M2241">
        <f>AND(E2241=0,F2241=0,G2241=0,H2241=0,I2241=0,J2241=0,K2241=0,L2241=0)</f>
        <v/>
      </c>
      <c r="N2241">
        <f>G2241&lt;=$T$6</f>
        <v/>
      </c>
      <c r="O2241">
        <f>G2241&lt;=$T$12</f>
        <v/>
      </c>
      <c r="P2241">
        <f>OR(AND(H2241&gt;=$T$4,K2241&lt;=$T$5,N2241),M2241)</f>
        <v/>
      </c>
      <c r="Q2241">
        <f>OR(AND(I2241&gt;=$T$10,K2241&lt;=$T$11,O2241),M2241)</f>
        <v/>
      </c>
    </row>
    <row r="2242">
      <c r="A2242">
        <f>Data!E2349</f>
        <v/>
      </c>
      <c r="B2242">
        <f>Data!G2349</f>
        <v/>
      </c>
      <c r="C2242">
        <f>Data!H2349</f>
        <v/>
      </c>
      <c r="D2242">
        <f>Data!I2349</f>
        <v/>
      </c>
      <c r="E2242">
        <f>Data!M2349</f>
        <v/>
      </c>
      <c r="F2242">
        <f>Data!O2349</f>
        <v/>
      </c>
      <c r="G2242">
        <f>E2242-F2242</f>
        <v/>
      </c>
      <c r="H2242">
        <f>Data!P2349</f>
        <v/>
      </c>
      <c r="I2242">
        <f>G2242+H2242</f>
        <v/>
      </c>
      <c r="J2242">
        <f>F2242+G2242+H2242</f>
        <v/>
      </c>
      <c r="K2242">
        <f>Data!R2349</f>
        <v/>
      </c>
      <c r="L2242">
        <f>Data!T2349</f>
        <v/>
      </c>
      <c r="M2242">
        <f>AND(E2242=0,F2242=0,G2242=0,H2242=0,I2242=0,J2242=0,K2242=0,L2242=0)</f>
        <v/>
      </c>
      <c r="N2242">
        <f>G2242&lt;=$T$6</f>
        <v/>
      </c>
      <c r="O2242">
        <f>G2242&lt;=$T$12</f>
        <v/>
      </c>
      <c r="P2242">
        <f>OR(AND(H2242&gt;=$T$4,K2242&lt;=$T$5,N2242),M2242)</f>
        <v/>
      </c>
      <c r="Q2242">
        <f>OR(AND(I2242&gt;=$T$10,K2242&lt;=$T$11,O2242),M2242)</f>
        <v/>
      </c>
    </row>
    <row r="2243">
      <c r="A2243">
        <f>Data!E2350</f>
        <v/>
      </c>
      <c r="B2243">
        <f>Data!G2350</f>
        <v/>
      </c>
      <c r="C2243">
        <f>Data!H2350</f>
        <v/>
      </c>
      <c r="D2243">
        <f>Data!I2350</f>
        <v/>
      </c>
      <c r="E2243">
        <f>Data!M2350</f>
        <v/>
      </c>
      <c r="F2243">
        <f>Data!O2350</f>
        <v/>
      </c>
      <c r="G2243">
        <f>E2243-F2243</f>
        <v/>
      </c>
      <c r="H2243">
        <f>Data!P2350</f>
        <v/>
      </c>
      <c r="I2243">
        <f>G2243+H2243</f>
        <v/>
      </c>
      <c r="J2243">
        <f>F2243+G2243+H2243</f>
        <v/>
      </c>
      <c r="K2243">
        <f>Data!R2350</f>
        <v/>
      </c>
      <c r="L2243">
        <f>Data!T2350</f>
        <v/>
      </c>
      <c r="M2243">
        <f>AND(E2243=0,F2243=0,G2243=0,H2243=0,I2243=0,J2243=0,K2243=0,L2243=0)</f>
        <v/>
      </c>
      <c r="N2243">
        <f>G2243&lt;=$T$6</f>
        <v/>
      </c>
      <c r="O2243">
        <f>G2243&lt;=$T$12</f>
        <v/>
      </c>
      <c r="P2243">
        <f>OR(AND(H2243&gt;=$T$4,K2243&lt;=$T$5,N2243),M2243)</f>
        <v/>
      </c>
      <c r="Q2243">
        <f>OR(AND(I2243&gt;=$T$10,K2243&lt;=$T$11,O2243),M2243)</f>
        <v/>
      </c>
    </row>
    <row r="2244">
      <c r="A2244">
        <f>Data!E2351</f>
        <v/>
      </c>
      <c r="B2244">
        <f>Data!G2351</f>
        <v/>
      </c>
      <c r="C2244">
        <f>Data!H2351</f>
        <v/>
      </c>
      <c r="D2244">
        <f>Data!I2351</f>
        <v/>
      </c>
      <c r="E2244">
        <f>Data!M2351</f>
        <v/>
      </c>
      <c r="F2244">
        <f>Data!O2351</f>
        <v/>
      </c>
      <c r="G2244">
        <f>E2244-F2244</f>
        <v/>
      </c>
      <c r="H2244">
        <f>Data!P2351</f>
        <v/>
      </c>
      <c r="I2244">
        <f>G2244+H2244</f>
        <v/>
      </c>
      <c r="J2244">
        <f>F2244+G2244+H2244</f>
        <v/>
      </c>
      <c r="K2244">
        <f>Data!R2351</f>
        <v/>
      </c>
      <c r="L2244">
        <f>Data!T2351</f>
        <v/>
      </c>
      <c r="M2244">
        <f>AND(E2244=0,F2244=0,G2244=0,H2244=0,I2244=0,J2244=0,K2244=0,L2244=0)</f>
        <v/>
      </c>
      <c r="N2244">
        <f>G2244&lt;=$T$6</f>
        <v/>
      </c>
      <c r="O2244">
        <f>G2244&lt;=$T$12</f>
        <v/>
      </c>
      <c r="P2244">
        <f>OR(AND(H2244&gt;=$T$4,K2244&lt;=$T$5,N2244),M2244)</f>
        <v/>
      </c>
      <c r="Q2244">
        <f>OR(AND(I2244&gt;=$T$10,K2244&lt;=$T$11,O2244),M2244)</f>
        <v/>
      </c>
    </row>
    <row r="2245">
      <c r="A2245">
        <f>Data!E2352</f>
        <v/>
      </c>
      <c r="B2245">
        <f>Data!G2352</f>
        <v/>
      </c>
      <c r="C2245">
        <f>Data!H2352</f>
        <v/>
      </c>
      <c r="D2245">
        <f>Data!I2352</f>
        <v/>
      </c>
      <c r="E2245">
        <f>Data!M2352</f>
        <v/>
      </c>
      <c r="F2245">
        <f>Data!O2352</f>
        <v/>
      </c>
      <c r="G2245">
        <f>E2245-F2245</f>
        <v/>
      </c>
      <c r="H2245">
        <f>Data!P2352</f>
        <v/>
      </c>
      <c r="I2245">
        <f>G2245+H2245</f>
        <v/>
      </c>
      <c r="J2245">
        <f>F2245+G2245+H2245</f>
        <v/>
      </c>
      <c r="K2245">
        <f>Data!R2352</f>
        <v/>
      </c>
      <c r="L2245">
        <f>Data!T2352</f>
        <v/>
      </c>
      <c r="M2245">
        <f>AND(E2245=0,F2245=0,G2245=0,H2245=0,I2245=0,J2245=0,K2245=0,L2245=0)</f>
        <v/>
      </c>
      <c r="N2245">
        <f>G2245&lt;=$T$6</f>
        <v/>
      </c>
      <c r="O2245">
        <f>G2245&lt;=$T$12</f>
        <v/>
      </c>
      <c r="P2245">
        <f>OR(AND(H2245&gt;=$T$4,K2245&lt;=$T$5,N2245),M2245)</f>
        <v/>
      </c>
      <c r="Q2245">
        <f>OR(AND(I2245&gt;=$T$10,K2245&lt;=$T$11,O2245),M2245)</f>
        <v/>
      </c>
    </row>
    <row r="2246">
      <c r="A2246">
        <f>Data!E2353</f>
        <v/>
      </c>
      <c r="B2246">
        <f>Data!G2353</f>
        <v/>
      </c>
      <c r="C2246">
        <f>Data!H2353</f>
        <v/>
      </c>
      <c r="D2246">
        <f>Data!I2353</f>
        <v/>
      </c>
      <c r="E2246">
        <f>Data!M2353</f>
        <v/>
      </c>
      <c r="F2246">
        <f>Data!O2353</f>
        <v/>
      </c>
      <c r="G2246">
        <f>E2246-F2246</f>
        <v/>
      </c>
      <c r="H2246">
        <f>Data!P2353</f>
        <v/>
      </c>
      <c r="I2246">
        <f>G2246+H2246</f>
        <v/>
      </c>
      <c r="J2246">
        <f>F2246+G2246+H2246</f>
        <v/>
      </c>
      <c r="K2246">
        <f>Data!R2353</f>
        <v/>
      </c>
      <c r="L2246">
        <f>Data!T2353</f>
        <v/>
      </c>
      <c r="M2246">
        <f>AND(E2246=0,F2246=0,G2246=0,H2246=0,I2246=0,J2246=0,K2246=0,L2246=0)</f>
        <v/>
      </c>
      <c r="N2246">
        <f>G2246&lt;=$T$6</f>
        <v/>
      </c>
      <c r="O2246">
        <f>G2246&lt;=$T$12</f>
        <v/>
      </c>
      <c r="P2246">
        <f>OR(AND(H2246&gt;=$T$4,K2246&lt;=$T$5,N2246),M2246)</f>
        <v/>
      </c>
      <c r="Q2246">
        <f>OR(AND(I2246&gt;=$T$10,K2246&lt;=$T$11,O2246),M2246)</f>
        <v/>
      </c>
    </row>
    <row r="2247">
      <c r="A2247">
        <f>Data!E2354</f>
        <v/>
      </c>
      <c r="B2247">
        <f>Data!G2354</f>
        <v/>
      </c>
      <c r="C2247">
        <f>Data!H2354</f>
        <v/>
      </c>
      <c r="D2247">
        <f>Data!I2354</f>
        <v/>
      </c>
      <c r="E2247">
        <f>Data!M2354</f>
        <v/>
      </c>
      <c r="F2247">
        <f>Data!O2354</f>
        <v/>
      </c>
      <c r="G2247">
        <f>E2247-F2247</f>
        <v/>
      </c>
      <c r="H2247">
        <f>Data!P2354</f>
        <v/>
      </c>
      <c r="I2247">
        <f>G2247+H2247</f>
        <v/>
      </c>
      <c r="J2247">
        <f>F2247+G2247+H2247</f>
        <v/>
      </c>
      <c r="K2247">
        <f>Data!R2354</f>
        <v/>
      </c>
      <c r="L2247">
        <f>Data!T2354</f>
        <v/>
      </c>
      <c r="M2247">
        <f>AND(E2247=0,F2247=0,G2247=0,H2247=0,I2247=0,J2247=0,K2247=0,L2247=0)</f>
        <v/>
      </c>
      <c r="N2247">
        <f>G2247&lt;=$T$6</f>
        <v/>
      </c>
      <c r="O2247">
        <f>G2247&lt;=$T$12</f>
        <v/>
      </c>
      <c r="P2247">
        <f>OR(AND(H2247&gt;=$T$4,K2247&lt;=$T$5,N2247),M2247)</f>
        <v/>
      </c>
      <c r="Q2247">
        <f>OR(AND(I2247&gt;=$T$10,K2247&lt;=$T$11,O2247),M2247)</f>
        <v/>
      </c>
    </row>
    <row r="2248">
      <c r="A2248">
        <f>Data!E2355</f>
        <v/>
      </c>
      <c r="B2248">
        <f>Data!G2355</f>
        <v/>
      </c>
      <c r="C2248">
        <f>Data!H2355</f>
        <v/>
      </c>
      <c r="D2248">
        <f>Data!I2355</f>
        <v/>
      </c>
      <c r="E2248">
        <f>Data!M2355</f>
        <v/>
      </c>
      <c r="F2248">
        <f>Data!O2355</f>
        <v/>
      </c>
      <c r="G2248">
        <f>E2248-F2248</f>
        <v/>
      </c>
      <c r="H2248">
        <f>Data!P2355</f>
        <v/>
      </c>
      <c r="I2248">
        <f>G2248+H2248</f>
        <v/>
      </c>
      <c r="J2248">
        <f>F2248+G2248+H2248</f>
        <v/>
      </c>
      <c r="K2248">
        <f>Data!R2355</f>
        <v/>
      </c>
      <c r="L2248">
        <f>Data!T2355</f>
        <v/>
      </c>
      <c r="M2248">
        <f>AND(E2248=0,F2248=0,G2248=0,H2248=0,I2248=0,J2248=0,K2248=0,L2248=0)</f>
        <v/>
      </c>
      <c r="N2248">
        <f>G2248&lt;=$T$6</f>
        <v/>
      </c>
      <c r="O2248">
        <f>G2248&lt;=$T$12</f>
        <v/>
      </c>
      <c r="P2248">
        <f>OR(AND(H2248&gt;=$T$4,K2248&lt;=$T$5,N2248),M2248)</f>
        <v/>
      </c>
      <c r="Q2248">
        <f>OR(AND(I2248&gt;=$T$10,K2248&lt;=$T$11,O2248),M2248)</f>
        <v/>
      </c>
    </row>
    <row r="2249">
      <c r="A2249">
        <f>Data!E2356</f>
        <v/>
      </c>
      <c r="B2249">
        <f>Data!G2356</f>
        <v/>
      </c>
      <c r="C2249">
        <f>Data!H2356</f>
        <v/>
      </c>
      <c r="D2249">
        <f>Data!I2356</f>
        <v/>
      </c>
      <c r="E2249">
        <f>Data!M2356</f>
        <v/>
      </c>
      <c r="F2249">
        <f>Data!O2356</f>
        <v/>
      </c>
      <c r="G2249">
        <f>E2249-F2249</f>
        <v/>
      </c>
      <c r="H2249">
        <f>Data!P2356</f>
        <v/>
      </c>
      <c r="I2249">
        <f>G2249+H2249</f>
        <v/>
      </c>
      <c r="J2249">
        <f>F2249+G2249+H2249</f>
        <v/>
      </c>
      <c r="K2249">
        <f>Data!R2356</f>
        <v/>
      </c>
      <c r="L2249">
        <f>Data!T2356</f>
        <v/>
      </c>
      <c r="M2249">
        <f>AND(E2249=0,F2249=0,G2249=0,H2249=0,I2249=0,J2249=0,K2249=0,L2249=0)</f>
        <v/>
      </c>
      <c r="N2249">
        <f>G2249&lt;=$T$6</f>
        <v/>
      </c>
      <c r="O2249">
        <f>G2249&lt;=$T$12</f>
        <v/>
      </c>
      <c r="P2249">
        <f>OR(AND(H2249&gt;=$T$4,K2249&lt;=$T$5,N2249),M2249)</f>
        <v/>
      </c>
      <c r="Q2249">
        <f>OR(AND(I2249&gt;=$T$10,K2249&lt;=$T$11,O2249),M2249)</f>
        <v/>
      </c>
    </row>
    <row r="2250">
      <c r="A2250">
        <f>Data!E2357</f>
        <v/>
      </c>
      <c r="B2250">
        <f>Data!G2357</f>
        <v/>
      </c>
      <c r="C2250">
        <f>Data!H2357</f>
        <v/>
      </c>
      <c r="D2250">
        <f>Data!I2357</f>
        <v/>
      </c>
      <c r="E2250">
        <f>Data!M2357</f>
        <v/>
      </c>
      <c r="F2250">
        <f>Data!O2357</f>
        <v/>
      </c>
      <c r="G2250">
        <f>E2250-F2250</f>
        <v/>
      </c>
      <c r="H2250">
        <f>Data!P2357</f>
        <v/>
      </c>
      <c r="I2250">
        <f>G2250+H2250</f>
        <v/>
      </c>
      <c r="J2250">
        <f>F2250+G2250+H2250</f>
        <v/>
      </c>
      <c r="K2250">
        <f>Data!R2357</f>
        <v/>
      </c>
      <c r="L2250">
        <f>Data!T2357</f>
        <v/>
      </c>
      <c r="M2250">
        <f>AND(E2250=0,F2250=0,G2250=0,H2250=0,I2250=0,J2250=0,K2250=0,L2250=0)</f>
        <v/>
      </c>
      <c r="N2250">
        <f>G2250&lt;=$T$6</f>
        <v/>
      </c>
      <c r="O2250">
        <f>G2250&lt;=$T$12</f>
        <v/>
      </c>
      <c r="P2250">
        <f>OR(AND(H2250&gt;=$T$4,K2250&lt;=$T$5,N2250),M2250)</f>
        <v/>
      </c>
      <c r="Q2250">
        <f>OR(AND(I2250&gt;=$T$10,K2250&lt;=$T$11,O2250),M2250)</f>
        <v/>
      </c>
    </row>
    <row r="2251">
      <c r="A2251">
        <f>Data!E2358</f>
        <v/>
      </c>
      <c r="B2251">
        <f>Data!G2358</f>
        <v/>
      </c>
      <c r="C2251">
        <f>Data!H2358</f>
        <v/>
      </c>
      <c r="D2251">
        <f>Data!I2358</f>
        <v/>
      </c>
      <c r="E2251">
        <f>Data!M2358</f>
        <v/>
      </c>
      <c r="F2251">
        <f>Data!O2358</f>
        <v/>
      </c>
      <c r="G2251">
        <f>E2251-F2251</f>
        <v/>
      </c>
      <c r="H2251">
        <f>Data!P2358</f>
        <v/>
      </c>
      <c r="I2251">
        <f>G2251+H2251</f>
        <v/>
      </c>
      <c r="J2251">
        <f>F2251+G2251+H2251</f>
        <v/>
      </c>
      <c r="K2251">
        <f>Data!R2358</f>
        <v/>
      </c>
      <c r="L2251">
        <f>Data!T2358</f>
        <v/>
      </c>
      <c r="M2251">
        <f>AND(E2251=0,F2251=0,G2251=0,H2251=0,I2251=0,J2251=0,K2251=0,L2251=0)</f>
        <v/>
      </c>
      <c r="N2251">
        <f>G2251&lt;=$T$6</f>
        <v/>
      </c>
      <c r="O2251">
        <f>G2251&lt;=$T$12</f>
        <v/>
      </c>
      <c r="P2251">
        <f>OR(AND(H2251&gt;=$T$4,K2251&lt;=$T$5,N2251),M2251)</f>
        <v/>
      </c>
      <c r="Q2251">
        <f>OR(AND(I2251&gt;=$T$10,K2251&lt;=$T$11,O2251),M2251)</f>
        <v/>
      </c>
    </row>
    <row r="2252">
      <c r="A2252">
        <f>Data!E2359</f>
        <v/>
      </c>
      <c r="B2252">
        <f>Data!G2359</f>
        <v/>
      </c>
      <c r="C2252">
        <f>Data!H2359</f>
        <v/>
      </c>
      <c r="D2252">
        <f>Data!I2359</f>
        <v/>
      </c>
      <c r="E2252">
        <f>Data!M2359</f>
        <v/>
      </c>
      <c r="F2252">
        <f>Data!O2359</f>
        <v/>
      </c>
      <c r="G2252">
        <f>E2252-F2252</f>
        <v/>
      </c>
      <c r="H2252">
        <f>Data!P2359</f>
        <v/>
      </c>
      <c r="I2252">
        <f>G2252+H2252</f>
        <v/>
      </c>
      <c r="J2252">
        <f>F2252+G2252+H2252</f>
        <v/>
      </c>
      <c r="K2252">
        <f>Data!R2359</f>
        <v/>
      </c>
      <c r="L2252">
        <f>Data!T2359</f>
        <v/>
      </c>
      <c r="M2252">
        <f>AND(E2252=0,F2252=0,G2252=0,H2252=0,I2252=0,J2252=0,K2252=0,L2252=0)</f>
        <v/>
      </c>
      <c r="N2252">
        <f>G2252&lt;=$T$6</f>
        <v/>
      </c>
      <c r="O2252">
        <f>G2252&lt;=$T$12</f>
        <v/>
      </c>
      <c r="P2252">
        <f>OR(AND(H2252&gt;=$T$4,K2252&lt;=$T$5,N2252),M2252)</f>
        <v/>
      </c>
      <c r="Q2252">
        <f>OR(AND(I2252&gt;=$T$10,K2252&lt;=$T$11,O2252),M2252)</f>
        <v/>
      </c>
    </row>
    <row r="2253">
      <c r="A2253">
        <f>Data!E2360</f>
        <v/>
      </c>
      <c r="B2253">
        <f>Data!G2360</f>
        <v/>
      </c>
      <c r="C2253">
        <f>Data!H2360</f>
        <v/>
      </c>
      <c r="D2253">
        <f>Data!I2360</f>
        <v/>
      </c>
      <c r="E2253">
        <f>Data!M2360</f>
        <v/>
      </c>
      <c r="F2253">
        <f>Data!O2360</f>
        <v/>
      </c>
      <c r="G2253">
        <f>E2253-F2253</f>
        <v/>
      </c>
      <c r="H2253">
        <f>Data!P2360</f>
        <v/>
      </c>
      <c r="I2253">
        <f>G2253+H2253</f>
        <v/>
      </c>
      <c r="J2253">
        <f>F2253+G2253+H2253</f>
        <v/>
      </c>
      <c r="K2253">
        <f>Data!R2360</f>
        <v/>
      </c>
      <c r="L2253">
        <f>Data!T2360</f>
        <v/>
      </c>
      <c r="M2253">
        <f>AND(E2253=0,F2253=0,G2253=0,H2253=0,I2253=0,J2253=0,K2253=0,L2253=0)</f>
        <v/>
      </c>
      <c r="N2253">
        <f>G2253&lt;=$T$6</f>
        <v/>
      </c>
      <c r="O2253">
        <f>G2253&lt;=$T$12</f>
        <v/>
      </c>
      <c r="P2253">
        <f>OR(AND(H2253&gt;=$T$4,K2253&lt;=$T$5,N2253),M2253)</f>
        <v/>
      </c>
      <c r="Q2253">
        <f>OR(AND(I2253&gt;=$T$10,K2253&lt;=$T$11,O2253),M2253)</f>
        <v/>
      </c>
    </row>
    <row r="2254">
      <c r="A2254">
        <f>Data!E2361</f>
        <v/>
      </c>
      <c r="B2254">
        <f>Data!G2361</f>
        <v/>
      </c>
      <c r="C2254">
        <f>Data!H2361</f>
        <v/>
      </c>
      <c r="D2254">
        <f>Data!I2361</f>
        <v/>
      </c>
      <c r="E2254">
        <f>Data!M2361</f>
        <v/>
      </c>
      <c r="F2254">
        <f>Data!O2361</f>
        <v/>
      </c>
      <c r="G2254">
        <f>E2254-F2254</f>
        <v/>
      </c>
      <c r="H2254">
        <f>Data!P2361</f>
        <v/>
      </c>
      <c r="I2254">
        <f>G2254+H2254</f>
        <v/>
      </c>
      <c r="J2254">
        <f>F2254+G2254+H2254</f>
        <v/>
      </c>
      <c r="K2254">
        <f>Data!R2361</f>
        <v/>
      </c>
      <c r="L2254">
        <f>Data!T2361</f>
        <v/>
      </c>
      <c r="M2254">
        <f>AND(E2254=0,F2254=0,G2254=0,H2254=0,I2254=0,J2254=0,K2254=0,L2254=0)</f>
        <v/>
      </c>
      <c r="N2254">
        <f>G2254&lt;=$T$6</f>
        <v/>
      </c>
      <c r="O2254">
        <f>G2254&lt;=$T$12</f>
        <v/>
      </c>
      <c r="P2254">
        <f>OR(AND(H2254&gt;=$T$4,K2254&lt;=$T$5,N2254),M2254)</f>
        <v/>
      </c>
      <c r="Q2254">
        <f>OR(AND(I2254&gt;=$T$10,K2254&lt;=$T$11,O2254),M2254)</f>
        <v/>
      </c>
    </row>
    <row r="2255">
      <c r="A2255">
        <f>Data!E2362</f>
        <v/>
      </c>
      <c r="B2255">
        <f>Data!G2362</f>
        <v/>
      </c>
      <c r="C2255">
        <f>Data!H2362</f>
        <v/>
      </c>
      <c r="D2255">
        <f>Data!I2362</f>
        <v/>
      </c>
      <c r="E2255">
        <f>Data!M2362</f>
        <v/>
      </c>
      <c r="F2255">
        <f>Data!O2362</f>
        <v/>
      </c>
      <c r="G2255">
        <f>E2255-F2255</f>
        <v/>
      </c>
      <c r="H2255">
        <f>Data!P2362</f>
        <v/>
      </c>
      <c r="I2255">
        <f>G2255+H2255</f>
        <v/>
      </c>
      <c r="J2255">
        <f>F2255+G2255+H2255</f>
        <v/>
      </c>
      <c r="K2255">
        <f>Data!R2362</f>
        <v/>
      </c>
      <c r="L2255">
        <f>Data!T2362</f>
        <v/>
      </c>
      <c r="M2255">
        <f>AND(E2255=0,F2255=0,G2255=0,H2255=0,I2255=0,J2255=0,K2255=0,L2255=0)</f>
        <v/>
      </c>
      <c r="N2255">
        <f>G2255&lt;=$T$6</f>
        <v/>
      </c>
      <c r="O2255">
        <f>G2255&lt;=$T$12</f>
        <v/>
      </c>
      <c r="P2255">
        <f>OR(AND(H2255&gt;=$T$4,K2255&lt;=$T$5,N2255),M2255)</f>
        <v/>
      </c>
      <c r="Q2255">
        <f>OR(AND(I2255&gt;=$T$10,K2255&lt;=$T$11,O2255),M2255)</f>
        <v/>
      </c>
    </row>
    <row r="2256">
      <c r="A2256">
        <f>Data!E2364</f>
        <v/>
      </c>
      <c r="B2256">
        <f>Data!G2364</f>
        <v/>
      </c>
      <c r="C2256">
        <f>Data!H2364</f>
        <v/>
      </c>
      <c r="D2256">
        <f>Data!I2364</f>
        <v/>
      </c>
      <c r="E2256">
        <f>Data!M2364</f>
        <v/>
      </c>
      <c r="F2256">
        <f>Data!O2364</f>
        <v/>
      </c>
      <c r="G2256">
        <f>E2256-F2256</f>
        <v/>
      </c>
      <c r="H2256">
        <f>Data!P2364</f>
        <v/>
      </c>
      <c r="I2256">
        <f>G2256+H2256</f>
        <v/>
      </c>
      <c r="J2256">
        <f>F2256+G2256+H2256</f>
        <v/>
      </c>
      <c r="K2256">
        <f>Data!R2364</f>
        <v/>
      </c>
      <c r="L2256">
        <f>Data!T2364</f>
        <v/>
      </c>
      <c r="M2256">
        <f>AND(E2256=0,F2256=0,G2256=0,H2256=0,I2256=0,J2256=0,K2256=0,L2256=0)</f>
        <v/>
      </c>
      <c r="N2256">
        <f>G2256&lt;=$T$6</f>
        <v/>
      </c>
      <c r="O2256">
        <f>G2256&lt;=$T$12</f>
        <v/>
      </c>
      <c r="P2256">
        <f>OR(AND(H2256&gt;=$T$4,K2256&lt;=$T$5,N2256),M2256)</f>
        <v/>
      </c>
      <c r="Q2256">
        <f>OR(AND(I2256&gt;=$T$10,K2256&lt;=$T$11,O2256),M2256)</f>
        <v/>
      </c>
    </row>
    <row r="2257">
      <c r="A2257">
        <f>Data!E2365</f>
        <v/>
      </c>
      <c r="B2257">
        <f>Data!G2365</f>
        <v/>
      </c>
      <c r="C2257">
        <f>Data!H2365</f>
        <v/>
      </c>
      <c r="D2257">
        <f>Data!I2365</f>
        <v/>
      </c>
      <c r="E2257">
        <f>Data!M2365</f>
        <v/>
      </c>
      <c r="F2257">
        <f>Data!O2365</f>
        <v/>
      </c>
      <c r="G2257">
        <f>E2257-F2257</f>
        <v/>
      </c>
      <c r="H2257">
        <f>Data!P2365</f>
        <v/>
      </c>
      <c r="I2257">
        <f>G2257+H2257</f>
        <v/>
      </c>
      <c r="J2257">
        <f>F2257+G2257+H2257</f>
        <v/>
      </c>
      <c r="K2257">
        <f>Data!R2365</f>
        <v/>
      </c>
      <c r="L2257">
        <f>Data!T2365</f>
        <v/>
      </c>
      <c r="M2257">
        <f>AND(E2257=0,F2257=0,G2257=0,H2257=0,I2257=0,J2257=0,K2257=0,L2257=0)</f>
        <v/>
      </c>
      <c r="N2257">
        <f>G2257&lt;=$T$6</f>
        <v/>
      </c>
      <c r="O2257">
        <f>G2257&lt;=$T$12</f>
        <v/>
      </c>
      <c r="P2257">
        <f>OR(AND(H2257&gt;=$T$4,K2257&lt;=$T$5,N2257),M2257)</f>
        <v/>
      </c>
      <c r="Q2257">
        <f>OR(AND(I2257&gt;=$T$10,K2257&lt;=$T$11,O2257),M2257)</f>
        <v/>
      </c>
    </row>
    <row r="2258">
      <c r="A2258">
        <f>Data!E2366</f>
        <v/>
      </c>
      <c r="B2258">
        <f>Data!G2366</f>
        <v/>
      </c>
      <c r="C2258">
        <f>Data!H2366</f>
        <v/>
      </c>
      <c r="D2258">
        <f>Data!I2366</f>
        <v/>
      </c>
      <c r="E2258">
        <f>Data!M2366</f>
        <v/>
      </c>
      <c r="F2258">
        <f>Data!O2366</f>
        <v/>
      </c>
      <c r="G2258">
        <f>E2258-F2258</f>
        <v/>
      </c>
      <c r="H2258">
        <f>Data!P2366</f>
        <v/>
      </c>
      <c r="I2258">
        <f>G2258+H2258</f>
        <v/>
      </c>
      <c r="J2258">
        <f>F2258+G2258+H2258</f>
        <v/>
      </c>
      <c r="K2258">
        <f>Data!R2366</f>
        <v/>
      </c>
      <c r="L2258">
        <f>Data!T2366</f>
        <v/>
      </c>
      <c r="M2258">
        <f>AND(E2258=0,F2258=0,G2258=0,H2258=0,I2258=0,J2258=0,K2258=0,L2258=0)</f>
        <v/>
      </c>
      <c r="N2258">
        <f>G2258&lt;=$T$6</f>
        <v/>
      </c>
      <c r="O2258">
        <f>G2258&lt;=$T$12</f>
        <v/>
      </c>
      <c r="P2258">
        <f>OR(AND(H2258&gt;=$T$4,K2258&lt;=$T$5,N2258),M2258)</f>
        <v/>
      </c>
      <c r="Q2258">
        <f>OR(AND(I2258&gt;=$T$10,K2258&lt;=$T$11,O2258),M2258)</f>
        <v/>
      </c>
    </row>
    <row r="2259">
      <c r="A2259">
        <f>Data!E2367</f>
        <v/>
      </c>
      <c r="B2259">
        <f>Data!G2367</f>
        <v/>
      </c>
      <c r="C2259">
        <f>Data!H2367</f>
        <v/>
      </c>
      <c r="D2259">
        <f>Data!I2367</f>
        <v/>
      </c>
      <c r="E2259">
        <f>Data!M2367</f>
        <v/>
      </c>
      <c r="F2259">
        <f>Data!O2367</f>
        <v/>
      </c>
      <c r="G2259">
        <f>E2259-F2259</f>
        <v/>
      </c>
      <c r="H2259">
        <f>Data!P2367</f>
        <v/>
      </c>
      <c r="I2259">
        <f>G2259+H2259</f>
        <v/>
      </c>
      <c r="J2259">
        <f>F2259+G2259+H2259</f>
        <v/>
      </c>
      <c r="K2259">
        <f>Data!R2367</f>
        <v/>
      </c>
      <c r="L2259">
        <f>Data!T2367</f>
        <v/>
      </c>
      <c r="M2259">
        <f>AND(E2259=0,F2259=0,G2259=0,H2259=0,I2259=0,J2259=0,K2259=0,L2259=0)</f>
        <v/>
      </c>
      <c r="N2259">
        <f>G2259&lt;=$T$6</f>
        <v/>
      </c>
      <c r="O2259">
        <f>G2259&lt;=$T$12</f>
        <v/>
      </c>
      <c r="P2259">
        <f>OR(AND(H2259&gt;=$T$4,K2259&lt;=$T$5,N2259),M2259)</f>
        <v/>
      </c>
      <c r="Q2259">
        <f>OR(AND(I2259&gt;=$T$10,K2259&lt;=$T$11,O2259),M2259)</f>
        <v/>
      </c>
    </row>
    <row r="2260">
      <c r="A2260">
        <f>Data!E2368</f>
        <v/>
      </c>
      <c r="B2260">
        <f>Data!G2368</f>
        <v/>
      </c>
      <c r="C2260">
        <f>Data!H2368</f>
        <v/>
      </c>
      <c r="D2260">
        <f>Data!I2368</f>
        <v/>
      </c>
      <c r="E2260">
        <f>Data!M2368</f>
        <v/>
      </c>
      <c r="F2260">
        <f>Data!O2368</f>
        <v/>
      </c>
      <c r="G2260">
        <f>E2260-F2260</f>
        <v/>
      </c>
      <c r="H2260">
        <f>Data!P2368</f>
        <v/>
      </c>
      <c r="I2260">
        <f>G2260+H2260</f>
        <v/>
      </c>
      <c r="J2260">
        <f>F2260+G2260+H2260</f>
        <v/>
      </c>
      <c r="K2260">
        <f>Data!R2368</f>
        <v/>
      </c>
      <c r="L2260">
        <f>Data!T2368</f>
        <v/>
      </c>
      <c r="M2260">
        <f>AND(E2260=0,F2260=0,G2260=0,H2260=0,I2260=0,J2260=0,K2260=0,L2260=0)</f>
        <v/>
      </c>
      <c r="N2260">
        <f>G2260&lt;=$T$6</f>
        <v/>
      </c>
      <c r="O2260">
        <f>G2260&lt;=$T$12</f>
        <v/>
      </c>
      <c r="P2260">
        <f>OR(AND(H2260&gt;=$T$4,K2260&lt;=$T$5,N2260),M2260)</f>
        <v/>
      </c>
      <c r="Q2260">
        <f>OR(AND(I2260&gt;=$T$10,K2260&lt;=$T$11,O2260),M2260)</f>
        <v/>
      </c>
    </row>
    <row r="2261">
      <c r="A2261">
        <f>Data!E2369</f>
        <v/>
      </c>
      <c r="B2261">
        <f>Data!G2369</f>
        <v/>
      </c>
      <c r="C2261">
        <f>Data!H2369</f>
        <v/>
      </c>
      <c r="D2261">
        <f>Data!I2369</f>
        <v/>
      </c>
      <c r="E2261">
        <f>Data!M2369</f>
        <v/>
      </c>
      <c r="F2261">
        <f>Data!O2369</f>
        <v/>
      </c>
      <c r="G2261">
        <f>E2261-F2261</f>
        <v/>
      </c>
      <c r="H2261">
        <f>Data!P2369</f>
        <v/>
      </c>
      <c r="I2261">
        <f>G2261+H2261</f>
        <v/>
      </c>
      <c r="J2261">
        <f>F2261+G2261+H2261</f>
        <v/>
      </c>
      <c r="K2261">
        <f>Data!R2369</f>
        <v/>
      </c>
      <c r="L2261">
        <f>Data!T2369</f>
        <v/>
      </c>
      <c r="M2261">
        <f>AND(E2261=0,F2261=0,G2261=0,H2261=0,I2261=0,J2261=0,K2261=0,L2261=0)</f>
        <v/>
      </c>
      <c r="N2261">
        <f>G2261&lt;=$T$6</f>
        <v/>
      </c>
      <c r="O2261">
        <f>G2261&lt;=$T$12</f>
        <v/>
      </c>
      <c r="P2261">
        <f>OR(AND(H2261&gt;=$T$4,K2261&lt;=$T$5,N2261),M2261)</f>
        <v/>
      </c>
      <c r="Q2261">
        <f>OR(AND(I2261&gt;=$T$10,K2261&lt;=$T$11,O2261),M2261)</f>
        <v/>
      </c>
    </row>
    <row r="2262">
      <c r="A2262">
        <f>Data!E2370</f>
        <v/>
      </c>
      <c r="B2262">
        <f>Data!G2370</f>
        <v/>
      </c>
      <c r="C2262">
        <f>Data!H2370</f>
        <v/>
      </c>
      <c r="D2262">
        <f>Data!I2370</f>
        <v/>
      </c>
      <c r="E2262">
        <f>Data!M2370</f>
        <v/>
      </c>
      <c r="F2262">
        <f>Data!O2370</f>
        <v/>
      </c>
      <c r="G2262">
        <f>E2262-F2262</f>
        <v/>
      </c>
      <c r="H2262">
        <f>Data!P2370</f>
        <v/>
      </c>
      <c r="I2262">
        <f>G2262+H2262</f>
        <v/>
      </c>
      <c r="J2262">
        <f>F2262+G2262+H2262</f>
        <v/>
      </c>
      <c r="K2262">
        <f>Data!R2370</f>
        <v/>
      </c>
      <c r="L2262">
        <f>Data!T2370</f>
        <v/>
      </c>
      <c r="M2262">
        <f>AND(E2262=0,F2262=0,G2262=0,H2262=0,I2262=0,J2262=0,K2262=0,L2262=0)</f>
        <v/>
      </c>
      <c r="N2262">
        <f>G2262&lt;=$T$6</f>
        <v/>
      </c>
      <c r="O2262">
        <f>G2262&lt;=$T$12</f>
        <v/>
      </c>
      <c r="P2262">
        <f>OR(AND(H2262&gt;=$T$4,K2262&lt;=$T$5,N2262),M2262)</f>
        <v/>
      </c>
      <c r="Q2262">
        <f>OR(AND(I2262&gt;=$T$10,K2262&lt;=$T$11,O2262),M2262)</f>
        <v/>
      </c>
    </row>
    <row r="2263">
      <c r="A2263">
        <f>Data!E2371</f>
        <v/>
      </c>
      <c r="B2263">
        <f>Data!G2371</f>
        <v/>
      </c>
      <c r="C2263">
        <f>Data!H2371</f>
        <v/>
      </c>
      <c r="D2263">
        <f>Data!I2371</f>
        <v/>
      </c>
      <c r="E2263">
        <f>Data!M2371</f>
        <v/>
      </c>
      <c r="F2263">
        <f>Data!O2371</f>
        <v/>
      </c>
      <c r="G2263">
        <f>E2263-F2263</f>
        <v/>
      </c>
      <c r="H2263">
        <f>Data!P2371</f>
        <v/>
      </c>
      <c r="I2263">
        <f>G2263+H2263</f>
        <v/>
      </c>
      <c r="J2263">
        <f>F2263+G2263+H2263</f>
        <v/>
      </c>
      <c r="K2263">
        <f>Data!R2371</f>
        <v/>
      </c>
      <c r="L2263">
        <f>Data!T2371</f>
        <v/>
      </c>
      <c r="M2263">
        <f>AND(E2263=0,F2263=0,G2263=0,H2263=0,I2263=0,J2263=0,K2263=0,L2263=0)</f>
        <v/>
      </c>
      <c r="N2263">
        <f>G2263&lt;=$T$6</f>
        <v/>
      </c>
      <c r="O2263">
        <f>G2263&lt;=$T$12</f>
        <v/>
      </c>
      <c r="P2263">
        <f>OR(AND(H2263&gt;=$T$4,K2263&lt;=$T$5,N2263),M2263)</f>
        <v/>
      </c>
      <c r="Q2263">
        <f>OR(AND(I2263&gt;=$T$10,K2263&lt;=$T$11,O2263),M2263)</f>
        <v/>
      </c>
    </row>
    <row r="2264">
      <c r="A2264">
        <f>Data!E2372</f>
        <v/>
      </c>
      <c r="B2264">
        <f>Data!G2372</f>
        <v/>
      </c>
      <c r="C2264">
        <f>Data!H2372</f>
        <v/>
      </c>
      <c r="D2264">
        <f>Data!I2372</f>
        <v/>
      </c>
      <c r="E2264">
        <f>Data!M2372</f>
        <v/>
      </c>
      <c r="F2264">
        <f>Data!O2372</f>
        <v/>
      </c>
      <c r="G2264">
        <f>E2264-F2264</f>
        <v/>
      </c>
      <c r="H2264">
        <f>Data!P2372</f>
        <v/>
      </c>
      <c r="I2264">
        <f>G2264+H2264</f>
        <v/>
      </c>
      <c r="J2264">
        <f>F2264+G2264+H2264</f>
        <v/>
      </c>
      <c r="K2264">
        <f>Data!R2372</f>
        <v/>
      </c>
      <c r="L2264">
        <f>Data!T2372</f>
        <v/>
      </c>
      <c r="M2264">
        <f>AND(E2264=0,F2264=0,G2264=0,H2264=0,I2264=0,J2264=0,K2264=0,L2264=0)</f>
        <v/>
      </c>
      <c r="N2264">
        <f>G2264&lt;=$T$6</f>
        <v/>
      </c>
      <c r="O2264">
        <f>G2264&lt;=$T$12</f>
        <v/>
      </c>
      <c r="P2264">
        <f>OR(AND(H2264&gt;=$T$4,K2264&lt;=$T$5,N2264),M2264)</f>
        <v/>
      </c>
      <c r="Q2264">
        <f>OR(AND(I2264&gt;=$T$10,K2264&lt;=$T$11,O2264),M2264)</f>
        <v/>
      </c>
    </row>
    <row r="2265">
      <c r="A2265">
        <f>Data!E2373</f>
        <v/>
      </c>
      <c r="B2265">
        <f>Data!G2373</f>
        <v/>
      </c>
      <c r="C2265">
        <f>Data!H2373</f>
        <v/>
      </c>
      <c r="D2265">
        <f>Data!I2373</f>
        <v/>
      </c>
      <c r="E2265">
        <f>Data!M2373</f>
        <v/>
      </c>
      <c r="F2265">
        <f>Data!O2373</f>
        <v/>
      </c>
      <c r="G2265">
        <f>E2265-F2265</f>
        <v/>
      </c>
      <c r="H2265">
        <f>Data!P2373</f>
        <v/>
      </c>
      <c r="I2265">
        <f>G2265+H2265</f>
        <v/>
      </c>
      <c r="J2265">
        <f>F2265+G2265+H2265</f>
        <v/>
      </c>
      <c r="K2265">
        <f>Data!R2373</f>
        <v/>
      </c>
      <c r="L2265">
        <f>Data!T2373</f>
        <v/>
      </c>
      <c r="M2265">
        <f>AND(E2265=0,F2265=0,G2265=0,H2265=0,I2265=0,J2265=0,K2265=0,L2265=0)</f>
        <v/>
      </c>
      <c r="N2265">
        <f>G2265&lt;=$T$6</f>
        <v/>
      </c>
      <c r="O2265">
        <f>G2265&lt;=$T$12</f>
        <v/>
      </c>
      <c r="P2265">
        <f>OR(AND(H2265&gt;=$T$4,K2265&lt;=$T$5,N2265),M2265)</f>
        <v/>
      </c>
      <c r="Q2265">
        <f>OR(AND(I2265&gt;=$T$10,K2265&lt;=$T$11,O2265),M2265)</f>
        <v/>
      </c>
    </row>
    <row r="2266">
      <c r="A2266">
        <f>Data!E2375</f>
        <v/>
      </c>
      <c r="B2266">
        <f>Data!G2375</f>
        <v/>
      </c>
      <c r="C2266">
        <f>Data!H2375</f>
        <v/>
      </c>
      <c r="D2266">
        <f>Data!I2375</f>
        <v/>
      </c>
      <c r="E2266">
        <f>Data!M2375</f>
        <v/>
      </c>
      <c r="F2266">
        <f>Data!O2375</f>
        <v/>
      </c>
      <c r="G2266">
        <f>E2266-F2266</f>
        <v/>
      </c>
      <c r="H2266">
        <f>Data!P2375</f>
        <v/>
      </c>
      <c r="I2266">
        <f>G2266+H2266</f>
        <v/>
      </c>
      <c r="J2266">
        <f>F2266+G2266+H2266</f>
        <v/>
      </c>
      <c r="K2266">
        <f>Data!R2375</f>
        <v/>
      </c>
      <c r="L2266">
        <f>Data!T2375</f>
        <v/>
      </c>
      <c r="M2266">
        <f>AND(E2266=0,F2266=0,G2266=0,H2266=0,I2266=0,J2266=0,K2266=0,L2266=0)</f>
        <v/>
      </c>
      <c r="N2266">
        <f>G2266&lt;=$T$6</f>
        <v/>
      </c>
      <c r="O2266">
        <f>G2266&lt;=$T$12</f>
        <v/>
      </c>
      <c r="P2266">
        <f>OR(AND(H2266&gt;=$T$4,K2266&lt;=$T$5,N2266),M2266)</f>
        <v/>
      </c>
      <c r="Q2266">
        <f>OR(AND(I2266&gt;=$T$10,K2266&lt;=$T$11,O2266),M2266)</f>
        <v/>
      </c>
    </row>
    <row r="2267">
      <c r="A2267">
        <f>Data!E2376</f>
        <v/>
      </c>
      <c r="B2267">
        <f>Data!G2376</f>
        <v/>
      </c>
      <c r="C2267">
        <f>Data!H2376</f>
        <v/>
      </c>
      <c r="D2267">
        <f>Data!I2376</f>
        <v/>
      </c>
      <c r="E2267">
        <f>Data!M2376</f>
        <v/>
      </c>
      <c r="F2267">
        <f>Data!O2376</f>
        <v/>
      </c>
      <c r="G2267">
        <f>E2267-F2267</f>
        <v/>
      </c>
      <c r="H2267">
        <f>Data!P2376</f>
        <v/>
      </c>
      <c r="I2267">
        <f>G2267+H2267</f>
        <v/>
      </c>
      <c r="J2267">
        <f>F2267+G2267+H2267</f>
        <v/>
      </c>
      <c r="K2267">
        <f>Data!R2376</f>
        <v/>
      </c>
      <c r="L2267">
        <f>Data!T2376</f>
        <v/>
      </c>
      <c r="M2267">
        <f>AND(E2267=0,F2267=0,G2267=0,H2267=0,I2267=0,J2267=0,K2267=0,L2267=0)</f>
        <v/>
      </c>
      <c r="N2267">
        <f>G2267&lt;=$T$6</f>
        <v/>
      </c>
      <c r="O2267">
        <f>G2267&lt;=$T$12</f>
        <v/>
      </c>
      <c r="P2267">
        <f>OR(AND(H2267&gt;=$T$4,K2267&lt;=$T$5,N2267),M2267)</f>
        <v/>
      </c>
      <c r="Q2267">
        <f>OR(AND(I2267&gt;=$T$10,K2267&lt;=$T$11,O2267),M2267)</f>
        <v/>
      </c>
    </row>
    <row r="2268">
      <c r="A2268">
        <f>Data!E2377</f>
        <v/>
      </c>
      <c r="B2268">
        <f>Data!G2377</f>
        <v/>
      </c>
      <c r="C2268">
        <f>Data!H2377</f>
        <v/>
      </c>
      <c r="D2268">
        <f>Data!I2377</f>
        <v/>
      </c>
      <c r="E2268">
        <f>Data!M2377</f>
        <v/>
      </c>
      <c r="F2268">
        <f>Data!O2377</f>
        <v/>
      </c>
      <c r="G2268">
        <f>E2268-F2268</f>
        <v/>
      </c>
      <c r="H2268">
        <f>Data!P2377</f>
        <v/>
      </c>
      <c r="I2268">
        <f>G2268+H2268</f>
        <v/>
      </c>
      <c r="J2268">
        <f>F2268+G2268+H2268</f>
        <v/>
      </c>
      <c r="K2268">
        <f>Data!R2377</f>
        <v/>
      </c>
      <c r="L2268">
        <f>Data!T2377</f>
        <v/>
      </c>
      <c r="M2268">
        <f>AND(E2268=0,F2268=0,G2268=0,H2268=0,I2268=0,J2268=0,K2268=0,L2268=0)</f>
        <v/>
      </c>
      <c r="N2268">
        <f>G2268&lt;=$T$6</f>
        <v/>
      </c>
      <c r="O2268">
        <f>G2268&lt;=$T$12</f>
        <v/>
      </c>
      <c r="P2268">
        <f>OR(AND(H2268&gt;=$T$4,K2268&lt;=$T$5,N2268),M2268)</f>
        <v/>
      </c>
      <c r="Q2268">
        <f>OR(AND(I2268&gt;=$T$10,K2268&lt;=$T$11,O2268),M2268)</f>
        <v/>
      </c>
    </row>
    <row r="2269">
      <c r="A2269">
        <f>Data!E2378</f>
        <v/>
      </c>
      <c r="B2269">
        <f>Data!G2378</f>
        <v/>
      </c>
      <c r="C2269">
        <f>Data!H2378</f>
        <v/>
      </c>
      <c r="D2269">
        <f>Data!I2378</f>
        <v/>
      </c>
      <c r="E2269">
        <f>Data!M2378</f>
        <v/>
      </c>
      <c r="F2269">
        <f>Data!O2378</f>
        <v/>
      </c>
      <c r="G2269">
        <f>E2269-F2269</f>
        <v/>
      </c>
      <c r="H2269">
        <f>Data!P2378</f>
        <v/>
      </c>
      <c r="I2269">
        <f>G2269+H2269</f>
        <v/>
      </c>
      <c r="J2269">
        <f>F2269+G2269+H2269</f>
        <v/>
      </c>
      <c r="K2269">
        <f>Data!R2378</f>
        <v/>
      </c>
      <c r="L2269">
        <f>Data!T2378</f>
        <v/>
      </c>
      <c r="M2269">
        <f>AND(E2269=0,F2269=0,G2269=0,H2269=0,I2269=0,J2269=0,K2269=0,L2269=0)</f>
        <v/>
      </c>
      <c r="N2269">
        <f>G2269&lt;=$T$6</f>
        <v/>
      </c>
      <c r="O2269">
        <f>G2269&lt;=$T$12</f>
        <v/>
      </c>
      <c r="P2269">
        <f>OR(AND(H2269&gt;=$T$4,K2269&lt;=$T$5,N2269),M2269)</f>
        <v/>
      </c>
      <c r="Q2269">
        <f>OR(AND(I2269&gt;=$T$10,K2269&lt;=$T$11,O2269),M2269)</f>
        <v/>
      </c>
    </row>
    <row r="2270">
      <c r="A2270">
        <f>Data!E2379</f>
        <v/>
      </c>
      <c r="B2270">
        <f>Data!G2379</f>
        <v/>
      </c>
      <c r="C2270">
        <f>Data!H2379</f>
        <v/>
      </c>
      <c r="D2270">
        <f>Data!I2379</f>
        <v/>
      </c>
      <c r="E2270">
        <f>Data!M2379</f>
        <v/>
      </c>
      <c r="F2270">
        <f>Data!O2379</f>
        <v/>
      </c>
      <c r="G2270">
        <f>E2270-F2270</f>
        <v/>
      </c>
      <c r="H2270">
        <f>Data!P2379</f>
        <v/>
      </c>
      <c r="I2270">
        <f>G2270+H2270</f>
        <v/>
      </c>
      <c r="J2270">
        <f>F2270+G2270+H2270</f>
        <v/>
      </c>
      <c r="K2270">
        <f>Data!R2379</f>
        <v/>
      </c>
      <c r="L2270">
        <f>Data!T2379</f>
        <v/>
      </c>
      <c r="M2270">
        <f>AND(E2270=0,F2270=0,G2270=0,H2270=0,I2270=0,J2270=0,K2270=0,L2270=0)</f>
        <v/>
      </c>
      <c r="N2270">
        <f>G2270&lt;=$T$6</f>
        <v/>
      </c>
      <c r="O2270">
        <f>G2270&lt;=$T$12</f>
        <v/>
      </c>
      <c r="P2270">
        <f>OR(AND(H2270&gt;=$T$4,K2270&lt;=$T$5,N2270),M2270)</f>
        <v/>
      </c>
      <c r="Q2270">
        <f>OR(AND(I2270&gt;=$T$10,K2270&lt;=$T$11,O2270),M2270)</f>
        <v/>
      </c>
    </row>
    <row r="2271">
      <c r="A2271">
        <f>Data!E2380</f>
        <v/>
      </c>
      <c r="B2271">
        <f>Data!G2380</f>
        <v/>
      </c>
      <c r="C2271">
        <f>Data!H2380</f>
        <v/>
      </c>
      <c r="D2271">
        <f>Data!I2380</f>
        <v/>
      </c>
      <c r="E2271">
        <f>Data!M2380</f>
        <v/>
      </c>
      <c r="F2271">
        <f>Data!O2380</f>
        <v/>
      </c>
      <c r="G2271">
        <f>E2271-F2271</f>
        <v/>
      </c>
      <c r="H2271">
        <f>Data!P2380</f>
        <v/>
      </c>
      <c r="I2271">
        <f>G2271+H2271</f>
        <v/>
      </c>
      <c r="J2271">
        <f>F2271+G2271+H2271</f>
        <v/>
      </c>
      <c r="K2271">
        <f>Data!R2380</f>
        <v/>
      </c>
      <c r="L2271">
        <f>Data!T2380</f>
        <v/>
      </c>
      <c r="M2271">
        <f>AND(E2271=0,F2271=0,G2271=0,H2271=0,I2271=0,J2271=0,K2271=0,L2271=0)</f>
        <v/>
      </c>
      <c r="N2271">
        <f>G2271&lt;=$T$6</f>
        <v/>
      </c>
      <c r="O2271">
        <f>G2271&lt;=$T$12</f>
        <v/>
      </c>
      <c r="P2271">
        <f>OR(AND(H2271&gt;=$T$4,K2271&lt;=$T$5,N2271),M2271)</f>
        <v/>
      </c>
      <c r="Q2271">
        <f>OR(AND(I2271&gt;=$T$10,K2271&lt;=$T$11,O2271),M2271)</f>
        <v/>
      </c>
    </row>
    <row r="2272">
      <c r="A2272">
        <f>Data!E2381</f>
        <v/>
      </c>
      <c r="B2272">
        <f>Data!G2381</f>
        <v/>
      </c>
      <c r="C2272">
        <f>Data!H2381</f>
        <v/>
      </c>
      <c r="D2272">
        <f>Data!I2381</f>
        <v/>
      </c>
      <c r="E2272">
        <f>Data!M2381</f>
        <v/>
      </c>
      <c r="F2272">
        <f>Data!O2381</f>
        <v/>
      </c>
      <c r="G2272">
        <f>E2272-F2272</f>
        <v/>
      </c>
      <c r="H2272">
        <f>Data!P2381</f>
        <v/>
      </c>
      <c r="I2272">
        <f>G2272+H2272</f>
        <v/>
      </c>
      <c r="J2272">
        <f>F2272+G2272+H2272</f>
        <v/>
      </c>
      <c r="K2272">
        <f>Data!R2381</f>
        <v/>
      </c>
      <c r="L2272">
        <f>Data!T2381</f>
        <v/>
      </c>
      <c r="M2272">
        <f>AND(E2272=0,F2272=0,G2272=0,H2272=0,I2272=0,J2272=0,K2272=0,L2272=0)</f>
        <v/>
      </c>
      <c r="N2272">
        <f>G2272&lt;=$T$6</f>
        <v/>
      </c>
      <c r="O2272">
        <f>G2272&lt;=$T$12</f>
        <v/>
      </c>
      <c r="P2272">
        <f>OR(AND(H2272&gt;=$T$4,K2272&lt;=$T$5,N2272),M2272)</f>
        <v/>
      </c>
      <c r="Q2272">
        <f>OR(AND(I2272&gt;=$T$10,K2272&lt;=$T$11,O2272),M2272)</f>
        <v/>
      </c>
    </row>
    <row r="2273">
      <c r="A2273">
        <f>Data!E2382</f>
        <v/>
      </c>
      <c r="B2273">
        <f>Data!G2382</f>
        <v/>
      </c>
      <c r="C2273">
        <f>Data!H2382</f>
        <v/>
      </c>
      <c r="D2273">
        <f>Data!I2382</f>
        <v/>
      </c>
      <c r="E2273">
        <f>Data!M2382</f>
        <v/>
      </c>
      <c r="F2273">
        <f>Data!O2382</f>
        <v/>
      </c>
      <c r="G2273">
        <f>E2273-F2273</f>
        <v/>
      </c>
      <c r="H2273">
        <f>Data!P2382</f>
        <v/>
      </c>
      <c r="I2273">
        <f>G2273+H2273</f>
        <v/>
      </c>
      <c r="J2273">
        <f>F2273+G2273+H2273</f>
        <v/>
      </c>
      <c r="K2273">
        <f>Data!R2382</f>
        <v/>
      </c>
      <c r="L2273">
        <f>Data!T2382</f>
        <v/>
      </c>
      <c r="M2273">
        <f>AND(E2273=0,F2273=0,G2273=0,H2273=0,I2273=0,J2273=0,K2273=0,L2273=0)</f>
        <v/>
      </c>
      <c r="N2273">
        <f>G2273&lt;=$T$6</f>
        <v/>
      </c>
      <c r="O2273">
        <f>G2273&lt;=$T$12</f>
        <v/>
      </c>
      <c r="P2273">
        <f>OR(AND(H2273&gt;=$T$4,K2273&lt;=$T$5,N2273),M2273)</f>
        <v/>
      </c>
      <c r="Q2273">
        <f>OR(AND(I2273&gt;=$T$10,K2273&lt;=$T$11,O2273),M2273)</f>
        <v/>
      </c>
    </row>
    <row r="2274">
      <c r="A2274">
        <f>Data!E2383</f>
        <v/>
      </c>
      <c r="B2274">
        <f>Data!G2383</f>
        <v/>
      </c>
      <c r="C2274">
        <f>Data!H2383</f>
        <v/>
      </c>
      <c r="D2274">
        <f>Data!I2383</f>
        <v/>
      </c>
      <c r="E2274">
        <f>Data!M2383</f>
        <v/>
      </c>
      <c r="F2274">
        <f>Data!O2383</f>
        <v/>
      </c>
      <c r="G2274">
        <f>E2274-F2274</f>
        <v/>
      </c>
      <c r="H2274">
        <f>Data!P2383</f>
        <v/>
      </c>
      <c r="I2274">
        <f>G2274+H2274</f>
        <v/>
      </c>
      <c r="J2274">
        <f>F2274+G2274+H2274</f>
        <v/>
      </c>
      <c r="K2274">
        <f>Data!R2383</f>
        <v/>
      </c>
      <c r="L2274">
        <f>Data!T2383</f>
        <v/>
      </c>
      <c r="M2274">
        <f>AND(E2274=0,F2274=0,G2274=0,H2274=0,I2274=0,J2274=0,K2274=0,L2274=0)</f>
        <v/>
      </c>
      <c r="N2274">
        <f>G2274&lt;=$T$6</f>
        <v/>
      </c>
      <c r="O2274">
        <f>G2274&lt;=$T$12</f>
        <v/>
      </c>
      <c r="P2274">
        <f>OR(AND(H2274&gt;=$T$4,K2274&lt;=$T$5,N2274),M2274)</f>
        <v/>
      </c>
      <c r="Q2274">
        <f>OR(AND(I2274&gt;=$T$10,K2274&lt;=$T$11,O2274),M2274)</f>
        <v/>
      </c>
    </row>
    <row r="2275">
      <c r="A2275">
        <f>Data!E2384</f>
        <v/>
      </c>
      <c r="B2275">
        <f>Data!G2384</f>
        <v/>
      </c>
      <c r="C2275">
        <f>Data!H2384</f>
        <v/>
      </c>
      <c r="D2275">
        <f>Data!I2384</f>
        <v/>
      </c>
      <c r="E2275">
        <f>Data!M2384</f>
        <v/>
      </c>
      <c r="F2275">
        <f>Data!O2384</f>
        <v/>
      </c>
      <c r="G2275">
        <f>E2275-F2275</f>
        <v/>
      </c>
      <c r="H2275">
        <f>Data!P2384</f>
        <v/>
      </c>
      <c r="I2275">
        <f>G2275+H2275</f>
        <v/>
      </c>
      <c r="J2275">
        <f>F2275+G2275+H2275</f>
        <v/>
      </c>
      <c r="K2275">
        <f>Data!R2384</f>
        <v/>
      </c>
      <c r="L2275">
        <f>Data!T2384</f>
        <v/>
      </c>
      <c r="M2275">
        <f>AND(E2275=0,F2275=0,G2275=0,H2275=0,I2275=0,J2275=0,K2275=0,L2275=0)</f>
        <v/>
      </c>
      <c r="N2275">
        <f>G2275&lt;=$T$6</f>
        <v/>
      </c>
      <c r="O2275">
        <f>G2275&lt;=$T$12</f>
        <v/>
      </c>
      <c r="P2275">
        <f>OR(AND(H2275&gt;=$T$4,K2275&lt;=$T$5,N2275),M2275)</f>
        <v/>
      </c>
      <c r="Q2275">
        <f>OR(AND(I2275&gt;=$T$10,K2275&lt;=$T$11,O2275),M2275)</f>
        <v/>
      </c>
    </row>
    <row r="2276">
      <c r="A2276">
        <f>Data!E2385</f>
        <v/>
      </c>
      <c r="B2276">
        <f>Data!G2385</f>
        <v/>
      </c>
      <c r="C2276">
        <f>Data!H2385</f>
        <v/>
      </c>
      <c r="D2276">
        <f>Data!I2385</f>
        <v/>
      </c>
      <c r="E2276">
        <f>Data!M2385</f>
        <v/>
      </c>
      <c r="F2276">
        <f>Data!O2385</f>
        <v/>
      </c>
      <c r="G2276">
        <f>E2276-F2276</f>
        <v/>
      </c>
      <c r="H2276">
        <f>Data!P2385</f>
        <v/>
      </c>
      <c r="I2276">
        <f>G2276+H2276</f>
        <v/>
      </c>
      <c r="J2276">
        <f>F2276+G2276+H2276</f>
        <v/>
      </c>
      <c r="K2276">
        <f>Data!R2385</f>
        <v/>
      </c>
      <c r="L2276">
        <f>Data!T2385</f>
        <v/>
      </c>
      <c r="M2276">
        <f>AND(E2276=0,F2276=0,G2276=0,H2276=0,I2276=0,J2276=0,K2276=0,L2276=0)</f>
        <v/>
      </c>
      <c r="N2276">
        <f>G2276&lt;=$T$6</f>
        <v/>
      </c>
      <c r="O2276">
        <f>G2276&lt;=$T$12</f>
        <v/>
      </c>
      <c r="P2276">
        <f>OR(AND(H2276&gt;=$T$4,K2276&lt;=$T$5,N2276),M2276)</f>
        <v/>
      </c>
      <c r="Q2276">
        <f>OR(AND(I2276&gt;=$T$10,K2276&lt;=$T$11,O2276),M2276)</f>
        <v/>
      </c>
    </row>
    <row r="2277">
      <c r="A2277">
        <f>Data!E2386</f>
        <v/>
      </c>
      <c r="B2277">
        <f>Data!G2386</f>
        <v/>
      </c>
      <c r="C2277">
        <f>Data!H2386</f>
        <v/>
      </c>
      <c r="D2277">
        <f>Data!I2386</f>
        <v/>
      </c>
      <c r="E2277">
        <f>Data!M2386</f>
        <v/>
      </c>
      <c r="F2277">
        <f>Data!O2386</f>
        <v/>
      </c>
      <c r="G2277">
        <f>E2277-F2277</f>
        <v/>
      </c>
      <c r="H2277">
        <f>Data!P2386</f>
        <v/>
      </c>
      <c r="I2277">
        <f>G2277+H2277</f>
        <v/>
      </c>
      <c r="J2277">
        <f>F2277+G2277+H2277</f>
        <v/>
      </c>
      <c r="K2277">
        <f>Data!R2386</f>
        <v/>
      </c>
      <c r="L2277">
        <f>Data!T2386</f>
        <v/>
      </c>
      <c r="M2277">
        <f>AND(E2277=0,F2277=0,G2277=0,H2277=0,I2277=0,J2277=0,K2277=0,L2277=0)</f>
        <v/>
      </c>
      <c r="N2277">
        <f>G2277&lt;=$T$6</f>
        <v/>
      </c>
      <c r="O2277">
        <f>G2277&lt;=$T$12</f>
        <v/>
      </c>
      <c r="P2277">
        <f>OR(AND(H2277&gt;=$T$4,K2277&lt;=$T$5,N2277),M2277)</f>
        <v/>
      </c>
      <c r="Q2277">
        <f>OR(AND(I2277&gt;=$T$10,K2277&lt;=$T$11,O2277),M2277)</f>
        <v/>
      </c>
    </row>
    <row r="2278">
      <c r="A2278">
        <f>Data!E2387</f>
        <v/>
      </c>
      <c r="B2278">
        <f>Data!G2387</f>
        <v/>
      </c>
      <c r="C2278">
        <f>Data!H2387</f>
        <v/>
      </c>
      <c r="D2278">
        <f>Data!I2387</f>
        <v/>
      </c>
      <c r="E2278">
        <f>Data!M2387</f>
        <v/>
      </c>
      <c r="F2278">
        <f>Data!O2387</f>
        <v/>
      </c>
      <c r="G2278">
        <f>E2278-F2278</f>
        <v/>
      </c>
      <c r="H2278">
        <f>Data!P2387</f>
        <v/>
      </c>
      <c r="I2278">
        <f>G2278+H2278</f>
        <v/>
      </c>
      <c r="J2278">
        <f>F2278+G2278+H2278</f>
        <v/>
      </c>
      <c r="K2278">
        <f>Data!R2387</f>
        <v/>
      </c>
      <c r="L2278">
        <f>Data!T2387</f>
        <v/>
      </c>
      <c r="M2278">
        <f>AND(E2278=0,F2278=0,G2278=0,H2278=0,I2278=0,J2278=0,K2278=0,L2278=0)</f>
        <v/>
      </c>
      <c r="N2278">
        <f>G2278&lt;=$T$6</f>
        <v/>
      </c>
      <c r="O2278">
        <f>G2278&lt;=$T$12</f>
        <v/>
      </c>
      <c r="P2278">
        <f>OR(AND(H2278&gt;=$T$4,K2278&lt;=$T$5,N2278),M2278)</f>
        <v/>
      </c>
      <c r="Q2278">
        <f>OR(AND(I2278&gt;=$T$10,K2278&lt;=$T$11,O2278),M2278)</f>
        <v/>
      </c>
    </row>
    <row r="2279">
      <c r="A2279">
        <f>Data!E2388</f>
        <v/>
      </c>
      <c r="B2279">
        <f>Data!G2388</f>
        <v/>
      </c>
      <c r="C2279">
        <f>Data!H2388</f>
        <v/>
      </c>
      <c r="D2279">
        <f>Data!I2388</f>
        <v/>
      </c>
      <c r="E2279">
        <f>Data!M2388</f>
        <v/>
      </c>
      <c r="F2279">
        <f>Data!O2388</f>
        <v/>
      </c>
      <c r="G2279">
        <f>E2279-F2279</f>
        <v/>
      </c>
      <c r="H2279">
        <f>Data!P2388</f>
        <v/>
      </c>
      <c r="I2279">
        <f>G2279+H2279</f>
        <v/>
      </c>
      <c r="J2279">
        <f>F2279+G2279+H2279</f>
        <v/>
      </c>
      <c r="K2279">
        <f>Data!R2388</f>
        <v/>
      </c>
      <c r="L2279">
        <f>Data!T2388</f>
        <v/>
      </c>
      <c r="M2279">
        <f>AND(E2279=0,F2279=0,G2279=0,H2279=0,I2279=0,J2279=0,K2279=0,L2279=0)</f>
        <v/>
      </c>
      <c r="N2279">
        <f>G2279&lt;=$T$6</f>
        <v/>
      </c>
      <c r="O2279">
        <f>G2279&lt;=$T$12</f>
        <v/>
      </c>
      <c r="P2279">
        <f>OR(AND(H2279&gt;=$T$4,K2279&lt;=$T$5,N2279),M2279)</f>
        <v/>
      </c>
      <c r="Q2279">
        <f>OR(AND(I2279&gt;=$T$10,K2279&lt;=$T$11,O2279),M2279)</f>
        <v/>
      </c>
    </row>
    <row r="2280">
      <c r="A2280">
        <f>Data!E2389</f>
        <v/>
      </c>
      <c r="B2280">
        <f>Data!G2389</f>
        <v/>
      </c>
      <c r="C2280">
        <f>Data!H2389</f>
        <v/>
      </c>
      <c r="D2280">
        <f>Data!I2389</f>
        <v/>
      </c>
      <c r="E2280">
        <f>Data!M2389</f>
        <v/>
      </c>
      <c r="F2280">
        <f>Data!O2389</f>
        <v/>
      </c>
      <c r="G2280">
        <f>E2280-F2280</f>
        <v/>
      </c>
      <c r="H2280">
        <f>Data!P2389</f>
        <v/>
      </c>
      <c r="I2280">
        <f>G2280+H2280</f>
        <v/>
      </c>
      <c r="J2280">
        <f>F2280+G2280+H2280</f>
        <v/>
      </c>
      <c r="K2280">
        <f>Data!R2389</f>
        <v/>
      </c>
      <c r="L2280">
        <f>Data!T2389</f>
        <v/>
      </c>
      <c r="M2280">
        <f>AND(E2280=0,F2280=0,G2280=0,H2280=0,I2280=0,J2280=0,K2280=0,L2280=0)</f>
        <v/>
      </c>
      <c r="N2280">
        <f>G2280&lt;=$T$6</f>
        <v/>
      </c>
      <c r="O2280">
        <f>G2280&lt;=$T$12</f>
        <v/>
      </c>
      <c r="P2280">
        <f>OR(AND(H2280&gt;=$T$4,K2280&lt;=$T$5,N2280),M2280)</f>
        <v/>
      </c>
      <c r="Q2280">
        <f>OR(AND(I2280&gt;=$T$10,K2280&lt;=$T$11,O2280),M2280)</f>
        <v/>
      </c>
    </row>
    <row r="2281">
      <c r="A2281">
        <f>Data!E2391</f>
        <v/>
      </c>
      <c r="B2281">
        <f>Data!G2391</f>
        <v/>
      </c>
      <c r="C2281">
        <f>Data!H2391</f>
        <v/>
      </c>
      <c r="D2281">
        <f>Data!I2391</f>
        <v/>
      </c>
      <c r="E2281">
        <f>Data!M2391</f>
        <v/>
      </c>
      <c r="F2281">
        <f>Data!O2391</f>
        <v/>
      </c>
      <c r="G2281">
        <f>E2281-F2281</f>
        <v/>
      </c>
      <c r="H2281">
        <f>Data!P2391</f>
        <v/>
      </c>
      <c r="I2281">
        <f>G2281+H2281</f>
        <v/>
      </c>
      <c r="J2281">
        <f>F2281+G2281+H2281</f>
        <v/>
      </c>
      <c r="K2281">
        <f>Data!R2391</f>
        <v/>
      </c>
      <c r="L2281">
        <f>Data!T2391</f>
        <v/>
      </c>
      <c r="M2281">
        <f>AND(E2281=0,F2281=0,G2281=0,H2281=0,I2281=0,J2281=0,K2281=0,L2281=0)</f>
        <v/>
      </c>
      <c r="N2281">
        <f>G2281&lt;=$T$6</f>
        <v/>
      </c>
      <c r="O2281">
        <f>G2281&lt;=$T$12</f>
        <v/>
      </c>
      <c r="P2281">
        <f>OR(AND(H2281&gt;=$T$4,K2281&lt;=$T$5,N2281),M2281)</f>
        <v/>
      </c>
      <c r="Q2281">
        <f>OR(AND(I2281&gt;=$T$10,K2281&lt;=$T$11,O2281),M2281)</f>
        <v/>
      </c>
    </row>
    <row r="2282">
      <c r="A2282">
        <f>Data!E2392</f>
        <v/>
      </c>
      <c r="B2282">
        <f>Data!G2392</f>
        <v/>
      </c>
      <c r="C2282">
        <f>Data!H2392</f>
        <v/>
      </c>
      <c r="D2282">
        <f>Data!I2392</f>
        <v/>
      </c>
      <c r="E2282">
        <f>Data!M2392</f>
        <v/>
      </c>
      <c r="F2282">
        <f>Data!O2392</f>
        <v/>
      </c>
      <c r="G2282">
        <f>E2282-F2282</f>
        <v/>
      </c>
      <c r="H2282">
        <f>Data!P2392</f>
        <v/>
      </c>
      <c r="I2282">
        <f>G2282+H2282</f>
        <v/>
      </c>
      <c r="J2282">
        <f>F2282+G2282+H2282</f>
        <v/>
      </c>
      <c r="K2282">
        <f>Data!R2392</f>
        <v/>
      </c>
      <c r="L2282">
        <f>Data!T2392</f>
        <v/>
      </c>
      <c r="M2282">
        <f>AND(E2282=0,F2282=0,G2282=0,H2282=0,I2282=0,J2282=0,K2282=0,L2282=0)</f>
        <v/>
      </c>
      <c r="N2282">
        <f>G2282&lt;=$T$6</f>
        <v/>
      </c>
      <c r="O2282">
        <f>G2282&lt;=$T$12</f>
        <v/>
      </c>
      <c r="P2282">
        <f>OR(AND(H2282&gt;=$T$4,K2282&lt;=$T$5,N2282),M2282)</f>
        <v/>
      </c>
      <c r="Q2282">
        <f>OR(AND(I2282&gt;=$T$10,K2282&lt;=$T$11,O2282),M2282)</f>
        <v/>
      </c>
    </row>
    <row r="2283">
      <c r="A2283">
        <f>Data!E2393</f>
        <v/>
      </c>
      <c r="B2283">
        <f>Data!G2393</f>
        <v/>
      </c>
      <c r="C2283">
        <f>Data!H2393</f>
        <v/>
      </c>
      <c r="D2283">
        <f>Data!I2393</f>
        <v/>
      </c>
      <c r="E2283">
        <f>Data!M2393</f>
        <v/>
      </c>
      <c r="F2283">
        <f>Data!O2393</f>
        <v/>
      </c>
      <c r="G2283">
        <f>E2283-F2283</f>
        <v/>
      </c>
      <c r="H2283">
        <f>Data!P2393</f>
        <v/>
      </c>
      <c r="I2283">
        <f>G2283+H2283</f>
        <v/>
      </c>
      <c r="J2283">
        <f>F2283+G2283+H2283</f>
        <v/>
      </c>
      <c r="K2283">
        <f>Data!R2393</f>
        <v/>
      </c>
      <c r="L2283">
        <f>Data!T2393</f>
        <v/>
      </c>
      <c r="M2283">
        <f>AND(E2283=0,F2283=0,G2283=0,H2283=0,I2283=0,J2283=0,K2283=0,L2283=0)</f>
        <v/>
      </c>
      <c r="N2283">
        <f>G2283&lt;=$T$6</f>
        <v/>
      </c>
      <c r="O2283">
        <f>G2283&lt;=$T$12</f>
        <v/>
      </c>
      <c r="P2283">
        <f>OR(AND(H2283&gt;=$T$4,K2283&lt;=$T$5,N2283),M2283)</f>
        <v/>
      </c>
      <c r="Q2283">
        <f>OR(AND(I2283&gt;=$T$10,K2283&lt;=$T$11,O2283),M2283)</f>
        <v/>
      </c>
    </row>
    <row r="2284">
      <c r="A2284">
        <f>Data!E2394</f>
        <v/>
      </c>
      <c r="B2284">
        <f>Data!G2394</f>
        <v/>
      </c>
      <c r="C2284">
        <f>Data!H2394</f>
        <v/>
      </c>
      <c r="D2284">
        <f>Data!I2394</f>
        <v/>
      </c>
      <c r="E2284">
        <f>Data!M2394</f>
        <v/>
      </c>
      <c r="F2284">
        <f>Data!O2394</f>
        <v/>
      </c>
      <c r="G2284">
        <f>E2284-F2284</f>
        <v/>
      </c>
      <c r="H2284">
        <f>Data!P2394</f>
        <v/>
      </c>
      <c r="I2284">
        <f>G2284+H2284</f>
        <v/>
      </c>
      <c r="J2284">
        <f>F2284+G2284+H2284</f>
        <v/>
      </c>
      <c r="K2284">
        <f>Data!R2394</f>
        <v/>
      </c>
      <c r="L2284">
        <f>Data!T2394</f>
        <v/>
      </c>
      <c r="M2284">
        <f>AND(E2284=0,F2284=0,G2284=0,H2284=0,I2284=0,J2284=0,K2284=0,L2284=0)</f>
        <v/>
      </c>
      <c r="N2284">
        <f>G2284&lt;=$T$6</f>
        <v/>
      </c>
      <c r="O2284">
        <f>G2284&lt;=$T$12</f>
        <v/>
      </c>
      <c r="P2284">
        <f>OR(AND(H2284&gt;=$T$4,K2284&lt;=$T$5,N2284),M2284)</f>
        <v/>
      </c>
      <c r="Q2284">
        <f>OR(AND(I2284&gt;=$T$10,K2284&lt;=$T$11,O2284),M2284)</f>
        <v/>
      </c>
    </row>
    <row r="2285">
      <c r="A2285">
        <f>Data!E2395</f>
        <v/>
      </c>
      <c r="B2285">
        <f>Data!G2395</f>
        <v/>
      </c>
      <c r="C2285">
        <f>Data!H2395</f>
        <v/>
      </c>
      <c r="D2285">
        <f>Data!I2395</f>
        <v/>
      </c>
      <c r="E2285">
        <f>Data!M2395</f>
        <v/>
      </c>
      <c r="F2285">
        <f>Data!O2395</f>
        <v/>
      </c>
      <c r="G2285">
        <f>E2285-F2285</f>
        <v/>
      </c>
      <c r="H2285">
        <f>Data!P2395</f>
        <v/>
      </c>
      <c r="I2285">
        <f>G2285+H2285</f>
        <v/>
      </c>
      <c r="J2285">
        <f>F2285+G2285+H2285</f>
        <v/>
      </c>
      <c r="K2285">
        <f>Data!R2395</f>
        <v/>
      </c>
      <c r="L2285">
        <f>Data!T2395</f>
        <v/>
      </c>
      <c r="M2285">
        <f>AND(E2285=0,F2285=0,G2285=0,H2285=0,I2285=0,J2285=0,K2285=0,L2285=0)</f>
        <v/>
      </c>
      <c r="N2285">
        <f>G2285&lt;=$T$6</f>
        <v/>
      </c>
      <c r="O2285">
        <f>G2285&lt;=$T$12</f>
        <v/>
      </c>
      <c r="P2285">
        <f>OR(AND(H2285&gt;=$T$4,K2285&lt;=$T$5,N2285),M2285)</f>
        <v/>
      </c>
      <c r="Q2285">
        <f>OR(AND(I2285&gt;=$T$10,K2285&lt;=$T$11,O2285),M2285)</f>
        <v/>
      </c>
    </row>
    <row r="2286">
      <c r="A2286">
        <f>Data!E2396</f>
        <v/>
      </c>
      <c r="B2286">
        <f>Data!G2396</f>
        <v/>
      </c>
      <c r="C2286">
        <f>Data!H2396</f>
        <v/>
      </c>
      <c r="D2286">
        <f>Data!I2396</f>
        <v/>
      </c>
      <c r="E2286">
        <f>Data!M2396</f>
        <v/>
      </c>
      <c r="F2286">
        <f>Data!O2396</f>
        <v/>
      </c>
      <c r="G2286">
        <f>E2286-F2286</f>
        <v/>
      </c>
      <c r="H2286">
        <f>Data!P2396</f>
        <v/>
      </c>
      <c r="I2286">
        <f>G2286+H2286</f>
        <v/>
      </c>
      <c r="J2286">
        <f>F2286+G2286+H2286</f>
        <v/>
      </c>
      <c r="K2286">
        <f>Data!R2396</f>
        <v/>
      </c>
      <c r="L2286">
        <f>Data!T2396</f>
        <v/>
      </c>
      <c r="M2286">
        <f>AND(E2286=0,F2286=0,G2286=0,H2286=0,I2286=0,J2286=0,K2286=0,L2286=0)</f>
        <v/>
      </c>
      <c r="N2286">
        <f>G2286&lt;=$T$6</f>
        <v/>
      </c>
      <c r="O2286">
        <f>G2286&lt;=$T$12</f>
        <v/>
      </c>
      <c r="P2286">
        <f>OR(AND(H2286&gt;=$T$4,K2286&lt;=$T$5,N2286),M2286)</f>
        <v/>
      </c>
      <c r="Q2286">
        <f>OR(AND(I2286&gt;=$T$10,K2286&lt;=$T$11,O2286),M2286)</f>
        <v/>
      </c>
    </row>
    <row r="2287">
      <c r="A2287">
        <f>Data!E2397</f>
        <v/>
      </c>
      <c r="B2287">
        <f>Data!G2397</f>
        <v/>
      </c>
      <c r="C2287">
        <f>Data!H2397</f>
        <v/>
      </c>
      <c r="D2287">
        <f>Data!I2397</f>
        <v/>
      </c>
      <c r="E2287">
        <f>Data!M2397</f>
        <v/>
      </c>
      <c r="F2287">
        <f>Data!O2397</f>
        <v/>
      </c>
      <c r="G2287">
        <f>E2287-F2287</f>
        <v/>
      </c>
      <c r="H2287">
        <f>Data!P2397</f>
        <v/>
      </c>
      <c r="I2287">
        <f>G2287+H2287</f>
        <v/>
      </c>
      <c r="J2287">
        <f>F2287+G2287+H2287</f>
        <v/>
      </c>
      <c r="K2287">
        <f>Data!R2397</f>
        <v/>
      </c>
      <c r="L2287">
        <f>Data!T2397</f>
        <v/>
      </c>
      <c r="M2287">
        <f>AND(E2287=0,F2287=0,G2287=0,H2287=0,I2287=0,J2287=0,K2287=0,L2287=0)</f>
        <v/>
      </c>
      <c r="N2287">
        <f>G2287&lt;=$T$6</f>
        <v/>
      </c>
      <c r="O2287">
        <f>G2287&lt;=$T$12</f>
        <v/>
      </c>
      <c r="P2287">
        <f>OR(AND(H2287&gt;=$T$4,K2287&lt;=$T$5,N2287),M2287)</f>
        <v/>
      </c>
      <c r="Q2287">
        <f>OR(AND(I2287&gt;=$T$10,K2287&lt;=$T$11,O2287),M2287)</f>
        <v/>
      </c>
    </row>
    <row r="2288">
      <c r="A2288">
        <f>Data!E2398</f>
        <v/>
      </c>
      <c r="B2288">
        <f>Data!G2398</f>
        <v/>
      </c>
      <c r="C2288">
        <f>Data!H2398</f>
        <v/>
      </c>
      <c r="D2288">
        <f>Data!I2398</f>
        <v/>
      </c>
      <c r="E2288">
        <f>Data!M2398</f>
        <v/>
      </c>
      <c r="F2288">
        <f>Data!O2398</f>
        <v/>
      </c>
      <c r="G2288">
        <f>E2288-F2288</f>
        <v/>
      </c>
      <c r="H2288">
        <f>Data!P2398</f>
        <v/>
      </c>
      <c r="I2288">
        <f>G2288+H2288</f>
        <v/>
      </c>
      <c r="J2288">
        <f>F2288+G2288+H2288</f>
        <v/>
      </c>
      <c r="K2288">
        <f>Data!R2398</f>
        <v/>
      </c>
      <c r="L2288">
        <f>Data!T2398</f>
        <v/>
      </c>
      <c r="M2288">
        <f>AND(E2288=0,F2288=0,G2288=0,H2288=0,I2288=0,J2288=0,K2288=0,L2288=0)</f>
        <v/>
      </c>
      <c r="N2288">
        <f>G2288&lt;=$T$6</f>
        <v/>
      </c>
      <c r="O2288">
        <f>G2288&lt;=$T$12</f>
        <v/>
      </c>
      <c r="P2288">
        <f>OR(AND(H2288&gt;=$T$4,K2288&lt;=$T$5,N2288),M2288)</f>
        <v/>
      </c>
      <c r="Q2288">
        <f>OR(AND(I2288&gt;=$T$10,K2288&lt;=$T$11,O2288),M2288)</f>
        <v/>
      </c>
    </row>
    <row r="2289">
      <c r="A2289">
        <f>Data!E2399</f>
        <v/>
      </c>
      <c r="B2289">
        <f>Data!G2399</f>
        <v/>
      </c>
      <c r="C2289">
        <f>Data!H2399</f>
        <v/>
      </c>
      <c r="D2289">
        <f>Data!I2399</f>
        <v/>
      </c>
      <c r="E2289">
        <f>Data!M2399</f>
        <v/>
      </c>
      <c r="F2289">
        <f>Data!O2399</f>
        <v/>
      </c>
      <c r="G2289">
        <f>E2289-F2289</f>
        <v/>
      </c>
      <c r="H2289">
        <f>Data!P2399</f>
        <v/>
      </c>
      <c r="I2289">
        <f>G2289+H2289</f>
        <v/>
      </c>
      <c r="J2289">
        <f>F2289+G2289+H2289</f>
        <v/>
      </c>
      <c r="K2289">
        <f>Data!R2399</f>
        <v/>
      </c>
      <c r="L2289">
        <f>Data!T2399</f>
        <v/>
      </c>
      <c r="M2289">
        <f>AND(E2289=0,F2289=0,G2289=0,H2289=0,I2289=0,J2289=0,K2289=0,L2289=0)</f>
        <v/>
      </c>
      <c r="N2289">
        <f>G2289&lt;=$T$6</f>
        <v/>
      </c>
      <c r="O2289">
        <f>G2289&lt;=$T$12</f>
        <v/>
      </c>
      <c r="P2289">
        <f>OR(AND(H2289&gt;=$T$4,K2289&lt;=$T$5,N2289),M2289)</f>
        <v/>
      </c>
      <c r="Q2289">
        <f>OR(AND(I2289&gt;=$T$10,K2289&lt;=$T$11,O2289),M2289)</f>
        <v/>
      </c>
    </row>
    <row r="2290">
      <c r="A2290">
        <f>Data!E2400</f>
        <v/>
      </c>
      <c r="B2290">
        <f>Data!G2400</f>
        <v/>
      </c>
      <c r="C2290">
        <f>Data!H2400</f>
        <v/>
      </c>
      <c r="D2290">
        <f>Data!I2400</f>
        <v/>
      </c>
      <c r="E2290">
        <f>Data!M2400</f>
        <v/>
      </c>
      <c r="F2290">
        <f>Data!O2400</f>
        <v/>
      </c>
      <c r="G2290">
        <f>E2290-F2290</f>
        <v/>
      </c>
      <c r="H2290">
        <f>Data!P2400</f>
        <v/>
      </c>
      <c r="I2290">
        <f>G2290+H2290</f>
        <v/>
      </c>
      <c r="J2290">
        <f>F2290+G2290+H2290</f>
        <v/>
      </c>
      <c r="K2290">
        <f>Data!R2400</f>
        <v/>
      </c>
      <c r="L2290">
        <f>Data!T2400</f>
        <v/>
      </c>
      <c r="M2290">
        <f>AND(E2290=0,F2290=0,G2290=0,H2290=0,I2290=0,J2290=0,K2290=0,L2290=0)</f>
        <v/>
      </c>
      <c r="N2290">
        <f>G2290&lt;=$T$6</f>
        <v/>
      </c>
      <c r="O2290">
        <f>G2290&lt;=$T$12</f>
        <v/>
      </c>
      <c r="P2290">
        <f>OR(AND(H2290&gt;=$T$4,K2290&lt;=$T$5,N2290),M2290)</f>
        <v/>
      </c>
      <c r="Q2290">
        <f>OR(AND(I2290&gt;=$T$10,K2290&lt;=$T$11,O2290),M2290)</f>
        <v/>
      </c>
    </row>
    <row r="2291">
      <c r="A2291">
        <f>Data!E2401</f>
        <v/>
      </c>
      <c r="B2291">
        <f>Data!G2401</f>
        <v/>
      </c>
      <c r="C2291">
        <f>Data!H2401</f>
        <v/>
      </c>
      <c r="D2291">
        <f>Data!I2401</f>
        <v/>
      </c>
      <c r="E2291">
        <f>Data!M2401</f>
        <v/>
      </c>
      <c r="F2291">
        <f>Data!O2401</f>
        <v/>
      </c>
      <c r="G2291">
        <f>E2291-F2291</f>
        <v/>
      </c>
      <c r="H2291">
        <f>Data!P2401</f>
        <v/>
      </c>
      <c r="I2291">
        <f>G2291+H2291</f>
        <v/>
      </c>
      <c r="J2291">
        <f>F2291+G2291+H2291</f>
        <v/>
      </c>
      <c r="K2291">
        <f>Data!R2401</f>
        <v/>
      </c>
      <c r="L2291">
        <f>Data!T2401</f>
        <v/>
      </c>
      <c r="M2291">
        <f>AND(E2291=0,F2291=0,G2291=0,H2291=0,I2291=0,J2291=0,K2291=0,L2291=0)</f>
        <v/>
      </c>
      <c r="N2291">
        <f>G2291&lt;=$T$6</f>
        <v/>
      </c>
      <c r="O2291">
        <f>G2291&lt;=$T$12</f>
        <v/>
      </c>
      <c r="P2291">
        <f>OR(AND(H2291&gt;=$T$4,K2291&lt;=$T$5,N2291),M2291)</f>
        <v/>
      </c>
      <c r="Q2291">
        <f>OR(AND(I2291&gt;=$T$10,K2291&lt;=$T$11,O2291),M2291)</f>
        <v/>
      </c>
    </row>
    <row r="2292">
      <c r="A2292">
        <f>Data!E2402</f>
        <v/>
      </c>
      <c r="B2292">
        <f>Data!G2402</f>
        <v/>
      </c>
      <c r="C2292">
        <f>Data!H2402</f>
        <v/>
      </c>
      <c r="D2292">
        <f>Data!I2402</f>
        <v/>
      </c>
      <c r="E2292">
        <f>Data!M2402</f>
        <v/>
      </c>
      <c r="F2292">
        <f>Data!O2402</f>
        <v/>
      </c>
      <c r="G2292">
        <f>E2292-F2292</f>
        <v/>
      </c>
      <c r="H2292">
        <f>Data!P2402</f>
        <v/>
      </c>
      <c r="I2292">
        <f>G2292+H2292</f>
        <v/>
      </c>
      <c r="J2292">
        <f>F2292+G2292+H2292</f>
        <v/>
      </c>
      <c r="K2292">
        <f>Data!R2402</f>
        <v/>
      </c>
      <c r="L2292">
        <f>Data!T2402</f>
        <v/>
      </c>
      <c r="M2292">
        <f>AND(E2292=0,F2292=0,G2292=0,H2292=0,I2292=0,J2292=0,K2292=0,L2292=0)</f>
        <v/>
      </c>
      <c r="N2292">
        <f>G2292&lt;=$T$6</f>
        <v/>
      </c>
      <c r="O2292">
        <f>G2292&lt;=$T$12</f>
        <v/>
      </c>
      <c r="P2292">
        <f>OR(AND(H2292&gt;=$T$4,K2292&lt;=$T$5,N2292),M2292)</f>
        <v/>
      </c>
      <c r="Q2292">
        <f>OR(AND(I2292&gt;=$T$10,K2292&lt;=$T$11,O2292),M2292)</f>
        <v/>
      </c>
    </row>
    <row r="2293">
      <c r="A2293">
        <f>Data!E2403</f>
        <v/>
      </c>
      <c r="B2293">
        <f>Data!G2403</f>
        <v/>
      </c>
      <c r="C2293">
        <f>Data!H2403</f>
        <v/>
      </c>
      <c r="D2293">
        <f>Data!I2403</f>
        <v/>
      </c>
      <c r="E2293">
        <f>Data!M2403</f>
        <v/>
      </c>
      <c r="F2293">
        <f>Data!O2403</f>
        <v/>
      </c>
      <c r="G2293">
        <f>E2293-F2293</f>
        <v/>
      </c>
      <c r="H2293">
        <f>Data!P2403</f>
        <v/>
      </c>
      <c r="I2293">
        <f>G2293+H2293</f>
        <v/>
      </c>
      <c r="J2293">
        <f>F2293+G2293+H2293</f>
        <v/>
      </c>
      <c r="K2293">
        <f>Data!R2403</f>
        <v/>
      </c>
      <c r="L2293">
        <f>Data!T2403</f>
        <v/>
      </c>
      <c r="M2293">
        <f>AND(E2293=0,F2293=0,G2293=0,H2293=0,I2293=0,J2293=0,K2293=0,L2293=0)</f>
        <v/>
      </c>
      <c r="N2293">
        <f>G2293&lt;=$T$6</f>
        <v/>
      </c>
      <c r="O2293">
        <f>G2293&lt;=$T$12</f>
        <v/>
      </c>
      <c r="P2293">
        <f>OR(AND(H2293&gt;=$T$4,K2293&lt;=$T$5,N2293),M2293)</f>
        <v/>
      </c>
      <c r="Q2293">
        <f>OR(AND(I2293&gt;=$T$10,K2293&lt;=$T$11,O2293),M2293)</f>
        <v/>
      </c>
    </row>
    <row r="2294">
      <c r="A2294">
        <f>Data!E2404</f>
        <v/>
      </c>
      <c r="B2294">
        <f>Data!G2404</f>
        <v/>
      </c>
      <c r="C2294">
        <f>Data!H2404</f>
        <v/>
      </c>
      <c r="D2294">
        <f>Data!I2404</f>
        <v/>
      </c>
      <c r="E2294">
        <f>Data!M2404</f>
        <v/>
      </c>
      <c r="F2294">
        <f>Data!O2404</f>
        <v/>
      </c>
      <c r="G2294">
        <f>E2294-F2294</f>
        <v/>
      </c>
      <c r="H2294">
        <f>Data!P2404</f>
        <v/>
      </c>
      <c r="I2294">
        <f>G2294+H2294</f>
        <v/>
      </c>
      <c r="J2294">
        <f>F2294+G2294+H2294</f>
        <v/>
      </c>
      <c r="K2294">
        <f>Data!R2404</f>
        <v/>
      </c>
      <c r="L2294">
        <f>Data!T2404</f>
        <v/>
      </c>
      <c r="M2294">
        <f>AND(E2294=0,F2294=0,G2294=0,H2294=0,I2294=0,J2294=0,K2294=0,L2294=0)</f>
        <v/>
      </c>
      <c r="N2294">
        <f>G2294&lt;=$T$6</f>
        <v/>
      </c>
      <c r="O2294">
        <f>G2294&lt;=$T$12</f>
        <v/>
      </c>
      <c r="P2294">
        <f>OR(AND(H2294&gt;=$T$4,K2294&lt;=$T$5,N2294),M2294)</f>
        <v/>
      </c>
      <c r="Q2294">
        <f>OR(AND(I2294&gt;=$T$10,K2294&lt;=$T$11,O2294),M2294)</f>
        <v/>
      </c>
    </row>
    <row r="2295">
      <c r="A2295">
        <f>Data!E2405</f>
        <v/>
      </c>
      <c r="B2295">
        <f>Data!G2405</f>
        <v/>
      </c>
      <c r="C2295">
        <f>Data!H2405</f>
        <v/>
      </c>
      <c r="D2295">
        <f>Data!I2405</f>
        <v/>
      </c>
      <c r="E2295">
        <f>Data!M2405</f>
        <v/>
      </c>
      <c r="F2295">
        <f>Data!O2405</f>
        <v/>
      </c>
      <c r="G2295">
        <f>E2295-F2295</f>
        <v/>
      </c>
      <c r="H2295">
        <f>Data!P2405</f>
        <v/>
      </c>
      <c r="I2295">
        <f>G2295+H2295</f>
        <v/>
      </c>
      <c r="J2295">
        <f>F2295+G2295+H2295</f>
        <v/>
      </c>
      <c r="K2295">
        <f>Data!R2405</f>
        <v/>
      </c>
      <c r="L2295">
        <f>Data!T2405</f>
        <v/>
      </c>
      <c r="M2295">
        <f>AND(E2295=0,F2295=0,G2295=0,H2295=0,I2295=0,J2295=0,K2295=0,L2295=0)</f>
        <v/>
      </c>
      <c r="N2295">
        <f>G2295&lt;=$T$6</f>
        <v/>
      </c>
      <c r="O2295">
        <f>G2295&lt;=$T$12</f>
        <v/>
      </c>
      <c r="P2295">
        <f>OR(AND(H2295&gt;=$T$4,K2295&lt;=$T$5,N2295),M2295)</f>
        <v/>
      </c>
      <c r="Q2295">
        <f>OR(AND(I2295&gt;=$T$10,K2295&lt;=$T$11,O2295),M2295)</f>
        <v/>
      </c>
    </row>
    <row r="2296">
      <c r="A2296">
        <f>Data!E2406</f>
        <v/>
      </c>
      <c r="B2296">
        <f>Data!G2406</f>
        <v/>
      </c>
      <c r="C2296">
        <f>Data!H2406</f>
        <v/>
      </c>
      <c r="D2296">
        <f>Data!I2406</f>
        <v/>
      </c>
      <c r="E2296">
        <f>Data!M2406</f>
        <v/>
      </c>
      <c r="F2296">
        <f>Data!O2406</f>
        <v/>
      </c>
      <c r="G2296">
        <f>E2296-F2296</f>
        <v/>
      </c>
      <c r="H2296">
        <f>Data!P2406</f>
        <v/>
      </c>
      <c r="I2296">
        <f>G2296+H2296</f>
        <v/>
      </c>
      <c r="J2296">
        <f>F2296+G2296+H2296</f>
        <v/>
      </c>
      <c r="K2296">
        <f>Data!R2406</f>
        <v/>
      </c>
      <c r="L2296">
        <f>Data!T2406</f>
        <v/>
      </c>
      <c r="M2296">
        <f>AND(E2296=0,F2296=0,G2296=0,H2296=0,I2296=0,J2296=0,K2296=0,L2296=0)</f>
        <v/>
      </c>
      <c r="N2296">
        <f>G2296&lt;=$T$6</f>
        <v/>
      </c>
      <c r="O2296">
        <f>G2296&lt;=$T$12</f>
        <v/>
      </c>
      <c r="P2296">
        <f>OR(AND(H2296&gt;=$T$4,K2296&lt;=$T$5,N2296),M2296)</f>
        <v/>
      </c>
      <c r="Q2296">
        <f>OR(AND(I2296&gt;=$T$10,K2296&lt;=$T$11,O2296),M2296)</f>
        <v/>
      </c>
    </row>
    <row r="2297">
      <c r="A2297">
        <f>Data!E2407</f>
        <v/>
      </c>
      <c r="B2297">
        <f>Data!G2407</f>
        <v/>
      </c>
      <c r="C2297">
        <f>Data!H2407</f>
        <v/>
      </c>
      <c r="D2297">
        <f>Data!I2407</f>
        <v/>
      </c>
      <c r="E2297">
        <f>Data!M2407</f>
        <v/>
      </c>
      <c r="F2297">
        <f>Data!O2407</f>
        <v/>
      </c>
      <c r="G2297">
        <f>E2297-F2297</f>
        <v/>
      </c>
      <c r="H2297">
        <f>Data!P2407</f>
        <v/>
      </c>
      <c r="I2297">
        <f>G2297+H2297</f>
        <v/>
      </c>
      <c r="J2297">
        <f>F2297+G2297+H2297</f>
        <v/>
      </c>
      <c r="K2297">
        <f>Data!R2407</f>
        <v/>
      </c>
      <c r="L2297">
        <f>Data!T2407</f>
        <v/>
      </c>
      <c r="M2297">
        <f>AND(E2297=0,F2297=0,G2297=0,H2297=0,I2297=0,J2297=0,K2297=0,L2297=0)</f>
        <v/>
      </c>
      <c r="N2297">
        <f>G2297&lt;=$T$6</f>
        <v/>
      </c>
      <c r="O2297">
        <f>G2297&lt;=$T$12</f>
        <v/>
      </c>
      <c r="P2297">
        <f>OR(AND(H2297&gt;=$T$4,K2297&lt;=$T$5,N2297),M2297)</f>
        <v/>
      </c>
      <c r="Q2297">
        <f>OR(AND(I2297&gt;=$T$10,K2297&lt;=$T$11,O2297),M2297)</f>
        <v/>
      </c>
    </row>
    <row r="2298">
      <c r="A2298">
        <f>Data!E2408</f>
        <v/>
      </c>
      <c r="B2298">
        <f>Data!G2408</f>
        <v/>
      </c>
      <c r="C2298">
        <f>Data!H2408</f>
        <v/>
      </c>
      <c r="D2298">
        <f>Data!I2408</f>
        <v/>
      </c>
      <c r="E2298">
        <f>Data!M2408</f>
        <v/>
      </c>
      <c r="F2298">
        <f>Data!O2408</f>
        <v/>
      </c>
      <c r="G2298">
        <f>E2298-F2298</f>
        <v/>
      </c>
      <c r="H2298">
        <f>Data!P2408</f>
        <v/>
      </c>
      <c r="I2298">
        <f>G2298+H2298</f>
        <v/>
      </c>
      <c r="J2298">
        <f>F2298+G2298+H2298</f>
        <v/>
      </c>
      <c r="K2298">
        <f>Data!R2408</f>
        <v/>
      </c>
      <c r="L2298">
        <f>Data!T2408</f>
        <v/>
      </c>
      <c r="M2298">
        <f>AND(E2298=0,F2298=0,G2298=0,H2298=0,I2298=0,J2298=0,K2298=0,L2298=0)</f>
        <v/>
      </c>
      <c r="N2298">
        <f>G2298&lt;=$T$6</f>
        <v/>
      </c>
      <c r="O2298">
        <f>G2298&lt;=$T$12</f>
        <v/>
      </c>
      <c r="P2298">
        <f>OR(AND(H2298&gt;=$T$4,K2298&lt;=$T$5,N2298),M2298)</f>
        <v/>
      </c>
      <c r="Q2298">
        <f>OR(AND(I2298&gt;=$T$10,K2298&lt;=$T$11,O2298),M2298)</f>
        <v/>
      </c>
    </row>
    <row r="2299">
      <c r="A2299">
        <f>Data!E2410</f>
        <v/>
      </c>
      <c r="B2299">
        <f>Data!G2410</f>
        <v/>
      </c>
      <c r="C2299">
        <f>Data!H2410</f>
        <v/>
      </c>
      <c r="D2299">
        <f>Data!I2410</f>
        <v/>
      </c>
      <c r="E2299">
        <f>Data!M2410</f>
        <v/>
      </c>
      <c r="F2299">
        <f>Data!O2410</f>
        <v/>
      </c>
      <c r="G2299">
        <f>E2299-F2299</f>
        <v/>
      </c>
      <c r="H2299">
        <f>Data!P2410</f>
        <v/>
      </c>
      <c r="I2299">
        <f>G2299+H2299</f>
        <v/>
      </c>
      <c r="J2299">
        <f>F2299+G2299+H2299</f>
        <v/>
      </c>
      <c r="K2299">
        <f>Data!R2410</f>
        <v/>
      </c>
      <c r="L2299">
        <f>Data!T2410</f>
        <v/>
      </c>
      <c r="M2299">
        <f>AND(E2299=0,F2299=0,G2299=0,H2299=0,I2299=0,J2299=0,K2299=0,L2299=0)</f>
        <v/>
      </c>
      <c r="N2299">
        <f>G2299&lt;=$T$6</f>
        <v/>
      </c>
      <c r="O2299">
        <f>G2299&lt;=$T$12</f>
        <v/>
      </c>
      <c r="P2299">
        <f>OR(AND(H2299&gt;=$T$4,K2299&lt;=$T$5,N2299),M2299)</f>
        <v/>
      </c>
      <c r="Q2299">
        <f>OR(AND(I2299&gt;=$T$10,K2299&lt;=$T$11,O2299),M2299)</f>
        <v/>
      </c>
    </row>
    <row r="2300">
      <c r="A2300">
        <f>Data!E2411</f>
        <v/>
      </c>
      <c r="B2300">
        <f>Data!G2411</f>
        <v/>
      </c>
      <c r="C2300">
        <f>Data!H2411</f>
        <v/>
      </c>
      <c r="D2300">
        <f>Data!I2411</f>
        <v/>
      </c>
      <c r="E2300">
        <f>Data!M2411</f>
        <v/>
      </c>
      <c r="F2300">
        <f>Data!O2411</f>
        <v/>
      </c>
      <c r="G2300">
        <f>E2300-F2300</f>
        <v/>
      </c>
      <c r="H2300">
        <f>Data!P2411</f>
        <v/>
      </c>
      <c r="I2300">
        <f>G2300+H2300</f>
        <v/>
      </c>
      <c r="J2300">
        <f>F2300+G2300+H2300</f>
        <v/>
      </c>
      <c r="K2300">
        <f>Data!R2411</f>
        <v/>
      </c>
      <c r="L2300">
        <f>Data!T2411</f>
        <v/>
      </c>
      <c r="M2300">
        <f>AND(E2300=0,F2300=0,G2300=0,H2300=0,I2300=0,J2300=0,K2300=0,L2300=0)</f>
        <v/>
      </c>
      <c r="N2300">
        <f>G2300&lt;=$T$6</f>
        <v/>
      </c>
      <c r="O2300">
        <f>G2300&lt;=$T$12</f>
        <v/>
      </c>
      <c r="P2300">
        <f>OR(AND(H2300&gt;=$T$4,K2300&lt;=$T$5,N2300),M2300)</f>
        <v/>
      </c>
      <c r="Q2300">
        <f>OR(AND(I2300&gt;=$T$10,K2300&lt;=$T$11,O2300),M2300)</f>
        <v/>
      </c>
    </row>
    <row r="2301">
      <c r="A2301">
        <f>Data!E2412</f>
        <v/>
      </c>
      <c r="B2301">
        <f>Data!G2412</f>
        <v/>
      </c>
      <c r="C2301">
        <f>Data!H2412</f>
        <v/>
      </c>
      <c r="D2301">
        <f>Data!I2412</f>
        <v/>
      </c>
      <c r="E2301">
        <f>Data!M2412</f>
        <v/>
      </c>
      <c r="F2301">
        <f>Data!O2412</f>
        <v/>
      </c>
      <c r="G2301">
        <f>E2301-F2301</f>
        <v/>
      </c>
      <c r="H2301">
        <f>Data!P2412</f>
        <v/>
      </c>
      <c r="I2301">
        <f>G2301+H2301</f>
        <v/>
      </c>
      <c r="J2301">
        <f>F2301+G2301+H2301</f>
        <v/>
      </c>
      <c r="K2301">
        <f>Data!R2412</f>
        <v/>
      </c>
      <c r="L2301">
        <f>Data!T2412</f>
        <v/>
      </c>
      <c r="M2301">
        <f>AND(E2301=0,F2301=0,G2301=0,H2301=0,I2301=0,J2301=0,K2301=0,L2301=0)</f>
        <v/>
      </c>
      <c r="N2301">
        <f>G2301&lt;=$T$6</f>
        <v/>
      </c>
      <c r="O2301">
        <f>G2301&lt;=$T$12</f>
        <v/>
      </c>
      <c r="P2301">
        <f>OR(AND(H2301&gt;=$T$4,K2301&lt;=$T$5,N2301),M2301)</f>
        <v/>
      </c>
      <c r="Q2301">
        <f>OR(AND(I2301&gt;=$T$10,K2301&lt;=$T$11,O2301),M2301)</f>
        <v/>
      </c>
    </row>
    <row r="2302">
      <c r="A2302">
        <f>Data!E2413</f>
        <v/>
      </c>
      <c r="B2302">
        <f>Data!G2413</f>
        <v/>
      </c>
      <c r="C2302">
        <f>Data!H2413</f>
        <v/>
      </c>
      <c r="D2302">
        <f>Data!I2413</f>
        <v/>
      </c>
      <c r="E2302">
        <f>Data!M2413</f>
        <v/>
      </c>
      <c r="F2302">
        <f>Data!O2413</f>
        <v/>
      </c>
      <c r="G2302">
        <f>E2302-F2302</f>
        <v/>
      </c>
      <c r="H2302">
        <f>Data!P2413</f>
        <v/>
      </c>
      <c r="I2302">
        <f>G2302+H2302</f>
        <v/>
      </c>
      <c r="J2302">
        <f>F2302+G2302+H2302</f>
        <v/>
      </c>
      <c r="K2302">
        <f>Data!R2413</f>
        <v/>
      </c>
      <c r="L2302">
        <f>Data!T2413</f>
        <v/>
      </c>
      <c r="M2302">
        <f>AND(E2302=0,F2302=0,G2302=0,H2302=0,I2302=0,J2302=0,K2302=0,L2302=0)</f>
        <v/>
      </c>
      <c r="N2302">
        <f>G2302&lt;=$T$6</f>
        <v/>
      </c>
      <c r="O2302">
        <f>G2302&lt;=$T$12</f>
        <v/>
      </c>
      <c r="P2302">
        <f>OR(AND(H2302&gt;=$T$4,K2302&lt;=$T$5,N2302),M2302)</f>
        <v/>
      </c>
      <c r="Q2302">
        <f>OR(AND(I2302&gt;=$T$10,K2302&lt;=$T$11,O2302),M2302)</f>
        <v/>
      </c>
    </row>
    <row r="2303">
      <c r="A2303">
        <f>Data!E2414</f>
        <v/>
      </c>
      <c r="B2303">
        <f>Data!G2414</f>
        <v/>
      </c>
      <c r="C2303">
        <f>Data!H2414</f>
        <v/>
      </c>
      <c r="D2303">
        <f>Data!I2414</f>
        <v/>
      </c>
      <c r="E2303">
        <f>Data!M2414</f>
        <v/>
      </c>
      <c r="F2303">
        <f>Data!O2414</f>
        <v/>
      </c>
      <c r="G2303">
        <f>E2303-F2303</f>
        <v/>
      </c>
      <c r="H2303">
        <f>Data!P2414</f>
        <v/>
      </c>
      <c r="I2303">
        <f>G2303+H2303</f>
        <v/>
      </c>
      <c r="J2303">
        <f>F2303+G2303+H2303</f>
        <v/>
      </c>
      <c r="K2303">
        <f>Data!R2414</f>
        <v/>
      </c>
      <c r="L2303">
        <f>Data!T2414</f>
        <v/>
      </c>
      <c r="M2303">
        <f>AND(E2303=0,F2303=0,G2303=0,H2303=0,I2303=0,J2303=0,K2303=0,L2303=0)</f>
        <v/>
      </c>
      <c r="N2303">
        <f>G2303&lt;=$T$6</f>
        <v/>
      </c>
      <c r="O2303">
        <f>G2303&lt;=$T$12</f>
        <v/>
      </c>
      <c r="P2303">
        <f>OR(AND(H2303&gt;=$T$4,K2303&lt;=$T$5,N2303),M2303)</f>
        <v/>
      </c>
      <c r="Q2303">
        <f>OR(AND(I2303&gt;=$T$10,K2303&lt;=$T$11,O2303),M2303)</f>
        <v/>
      </c>
    </row>
    <row r="2304">
      <c r="A2304">
        <f>Data!E2415</f>
        <v/>
      </c>
      <c r="B2304">
        <f>Data!G2415</f>
        <v/>
      </c>
      <c r="C2304">
        <f>Data!H2415</f>
        <v/>
      </c>
      <c r="D2304">
        <f>Data!I2415</f>
        <v/>
      </c>
      <c r="E2304">
        <f>Data!M2415</f>
        <v/>
      </c>
      <c r="F2304">
        <f>Data!O2415</f>
        <v/>
      </c>
      <c r="G2304">
        <f>E2304-F2304</f>
        <v/>
      </c>
      <c r="H2304">
        <f>Data!P2415</f>
        <v/>
      </c>
      <c r="I2304">
        <f>G2304+H2304</f>
        <v/>
      </c>
      <c r="J2304">
        <f>F2304+G2304+H2304</f>
        <v/>
      </c>
      <c r="K2304">
        <f>Data!R2415</f>
        <v/>
      </c>
      <c r="L2304">
        <f>Data!T2415</f>
        <v/>
      </c>
      <c r="M2304">
        <f>AND(E2304=0,F2304=0,G2304=0,H2304=0,I2304=0,J2304=0,K2304=0,L2304=0)</f>
        <v/>
      </c>
      <c r="N2304">
        <f>G2304&lt;=$T$6</f>
        <v/>
      </c>
      <c r="O2304">
        <f>G2304&lt;=$T$12</f>
        <v/>
      </c>
      <c r="P2304">
        <f>OR(AND(H2304&gt;=$T$4,K2304&lt;=$T$5,N2304),M2304)</f>
        <v/>
      </c>
      <c r="Q2304">
        <f>OR(AND(I2304&gt;=$T$10,K2304&lt;=$T$11,O2304),M2304)</f>
        <v/>
      </c>
    </row>
    <row r="2305">
      <c r="A2305">
        <f>Data!E2416</f>
        <v/>
      </c>
      <c r="B2305">
        <f>Data!G2416</f>
        <v/>
      </c>
      <c r="C2305">
        <f>Data!H2416</f>
        <v/>
      </c>
      <c r="D2305">
        <f>Data!I2416</f>
        <v/>
      </c>
      <c r="E2305">
        <f>Data!M2416</f>
        <v/>
      </c>
      <c r="F2305">
        <f>Data!O2416</f>
        <v/>
      </c>
      <c r="G2305">
        <f>E2305-F2305</f>
        <v/>
      </c>
      <c r="H2305">
        <f>Data!P2416</f>
        <v/>
      </c>
      <c r="I2305">
        <f>G2305+H2305</f>
        <v/>
      </c>
      <c r="J2305">
        <f>F2305+G2305+H2305</f>
        <v/>
      </c>
      <c r="K2305">
        <f>Data!R2416</f>
        <v/>
      </c>
      <c r="L2305">
        <f>Data!T2416</f>
        <v/>
      </c>
      <c r="M2305">
        <f>AND(E2305=0,F2305=0,G2305=0,H2305=0,I2305=0,J2305=0,K2305=0,L2305=0)</f>
        <v/>
      </c>
      <c r="N2305">
        <f>G2305&lt;=$T$6</f>
        <v/>
      </c>
      <c r="O2305">
        <f>G2305&lt;=$T$12</f>
        <v/>
      </c>
      <c r="P2305">
        <f>OR(AND(H2305&gt;=$T$4,K2305&lt;=$T$5,N2305),M2305)</f>
        <v/>
      </c>
      <c r="Q2305">
        <f>OR(AND(I2305&gt;=$T$10,K2305&lt;=$T$11,O2305),M2305)</f>
        <v/>
      </c>
    </row>
    <row r="2306">
      <c r="A2306">
        <f>Data!E2417</f>
        <v/>
      </c>
      <c r="B2306">
        <f>Data!G2417</f>
        <v/>
      </c>
      <c r="C2306">
        <f>Data!H2417</f>
        <v/>
      </c>
      <c r="D2306">
        <f>Data!I2417</f>
        <v/>
      </c>
      <c r="E2306">
        <f>Data!M2417</f>
        <v/>
      </c>
      <c r="F2306">
        <f>Data!O2417</f>
        <v/>
      </c>
      <c r="G2306">
        <f>E2306-F2306</f>
        <v/>
      </c>
      <c r="H2306">
        <f>Data!P2417</f>
        <v/>
      </c>
      <c r="I2306">
        <f>G2306+H2306</f>
        <v/>
      </c>
      <c r="J2306">
        <f>F2306+G2306+H2306</f>
        <v/>
      </c>
      <c r="K2306">
        <f>Data!R2417</f>
        <v/>
      </c>
      <c r="L2306">
        <f>Data!T2417</f>
        <v/>
      </c>
      <c r="M2306">
        <f>AND(E2306=0,F2306=0,G2306=0,H2306=0,I2306=0,J2306=0,K2306=0,L2306=0)</f>
        <v/>
      </c>
      <c r="N2306">
        <f>G2306&lt;=$T$6</f>
        <v/>
      </c>
      <c r="O2306">
        <f>G2306&lt;=$T$12</f>
        <v/>
      </c>
      <c r="P2306">
        <f>OR(AND(H2306&gt;=$T$4,K2306&lt;=$T$5,N2306),M2306)</f>
        <v/>
      </c>
      <c r="Q2306">
        <f>OR(AND(I2306&gt;=$T$10,K2306&lt;=$T$11,O2306),M2306)</f>
        <v/>
      </c>
    </row>
    <row r="2307">
      <c r="A2307">
        <f>Data!E2418</f>
        <v/>
      </c>
      <c r="B2307">
        <f>Data!G2418</f>
        <v/>
      </c>
      <c r="C2307">
        <f>Data!H2418</f>
        <v/>
      </c>
      <c r="D2307">
        <f>Data!I2418</f>
        <v/>
      </c>
      <c r="E2307">
        <f>Data!M2418</f>
        <v/>
      </c>
      <c r="F2307">
        <f>Data!O2418</f>
        <v/>
      </c>
      <c r="G2307">
        <f>E2307-F2307</f>
        <v/>
      </c>
      <c r="H2307">
        <f>Data!P2418</f>
        <v/>
      </c>
      <c r="I2307">
        <f>G2307+H2307</f>
        <v/>
      </c>
      <c r="J2307">
        <f>F2307+G2307+H2307</f>
        <v/>
      </c>
      <c r="K2307">
        <f>Data!R2418</f>
        <v/>
      </c>
      <c r="L2307">
        <f>Data!T2418</f>
        <v/>
      </c>
      <c r="M2307">
        <f>AND(E2307=0,F2307=0,G2307=0,H2307=0,I2307=0,J2307=0,K2307=0,L2307=0)</f>
        <v/>
      </c>
      <c r="N2307">
        <f>G2307&lt;=$T$6</f>
        <v/>
      </c>
      <c r="O2307">
        <f>G2307&lt;=$T$12</f>
        <v/>
      </c>
      <c r="P2307">
        <f>OR(AND(H2307&gt;=$T$4,K2307&lt;=$T$5,N2307),M2307)</f>
        <v/>
      </c>
      <c r="Q2307">
        <f>OR(AND(I2307&gt;=$T$10,K2307&lt;=$T$11,O2307),M2307)</f>
        <v/>
      </c>
    </row>
    <row r="2308">
      <c r="A2308">
        <f>Data!E2419</f>
        <v/>
      </c>
      <c r="B2308">
        <f>Data!G2419</f>
        <v/>
      </c>
      <c r="C2308">
        <f>Data!H2419</f>
        <v/>
      </c>
      <c r="D2308">
        <f>Data!I2419</f>
        <v/>
      </c>
      <c r="E2308">
        <f>Data!M2419</f>
        <v/>
      </c>
      <c r="F2308">
        <f>Data!O2419</f>
        <v/>
      </c>
      <c r="G2308">
        <f>E2308-F2308</f>
        <v/>
      </c>
      <c r="H2308">
        <f>Data!P2419</f>
        <v/>
      </c>
      <c r="I2308">
        <f>G2308+H2308</f>
        <v/>
      </c>
      <c r="J2308">
        <f>F2308+G2308+H2308</f>
        <v/>
      </c>
      <c r="K2308">
        <f>Data!R2419</f>
        <v/>
      </c>
      <c r="L2308">
        <f>Data!T2419</f>
        <v/>
      </c>
      <c r="M2308">
        <f>AND(E2308=0,F2308=0,G2308=0,H2308=0,I2308=0,J2308=0,K2308=0,L2308=0)</f>
        <v/>
      </c>
      <c r="N2308">
        <f>G2308&lt;=$T$6</f>
        <v/>
      </c>
      <c r="O2308">
        <f>G2308&lt;=$T$12</f>
        <v/>
      </c>
      <c r="P2308">
        <f>OR(AND(H2308&gt;=$T$4,K2308&lt;=$T$5,N2308),M2308)</f>
        <v/>
      </c>
      <c r="Q2308">
        <f>OR(AND(I2308&gt;=$T$10,K2308&lt;=$T$11,O2308),M2308)</f>
        <v/>
      </c>
    </row>
    <row r="2309">
      <c r="A2309">
        <f>Data!E2421</f>
        <v/>
      </c>
      <c r="B2309">
        <f>Data!G2421</f>
        <v/>
      </c>
      <c r="C2309">
        <f>Data!H2421</f>
        <v/>
      </c>
      <c r="D2309">
        <f>Data!I2421</f>
        <v/>
      </c>
      <c r="E2309">
        <f>Data!M2421</f>
        <v/>
      </c>
      <c r="F2309">
        <f>Data!O2421</f>
        <v/>
      </c>
      <c r="G2309">
        <f>E2309-F2309</f>
        <v/>
      </c>
      <c r="H2309">
        <f>Data!P2421</f>
        <v/>
      </c>
      <c r="I2309">
        <f>G2309+H2309</f>
        <v/>
      </c>
      <c r="J2309">
        <f>F2309+G2309+H2309</f>
        <v/>
      </c>
      <c r="K2309">
        <f>Data!R2421</f>
        <v/>
      </c>
      <c r="L2309">
        <f>Data!T2421</f>
        <v/>
      </c>
      <c r="M2309">
        <f>AND(E2309=0,F2309=0,G2309=0,H2309=0,I2309=0,J2309=0,K2309=0,L2309=0)</f>
        <v/>
      </c>
      <c r="N2309">
        <f>G2309&lt;=$T$6</f>
        <v/>
      </c>
      <c r="O2309">
        <f>G2309&lt;=$T$12</f>
        <v/>
      </c>
      <c r="P2309">
        <f>OR(AND(H2309&gt;=$T$4,K2309&lt;=$T$5,N2309),M2309)</f>
        <v/>
      </c>
      <c r="Q2309">
        <f>OR(AND(I2309&gt;=$T$10,K2309&lt;=$T$11,O2309),M2309)</f>
        <v/>
      </c>
    </row>
    <row r="2310">
      <c r="A2310">
        <f>Data!E2422</f>
        <v/>
      </c>
      <c r="B2310">
        <f>Data!G2422</f>
        <v/>
      </c>
      <c r="C2310">
        <f>Data!H2422</f>
        <v/>
      </c>
      <c r="D2310">
        <f>Data!I2422</f>
        <v/>
      </c>
      <c r="E2310">
        <f>Data!M2422</f>
        <v/>
      </c>
      <c r="F2310">
        <f>Data!O2422</f>
        <v/>
      </c>
      <c r="G2310">
        <f>E2310-F2310</f>
        <v/>
      </c>
      <c r="H2310">
        <f>Data!P2422</f>
        <v/>
      </c>
      <c r="I2310">
        <f>G2310+H2310</f>
        <v/>
      </c>
      <c r="J2310">
        <f>F2310+G2310+H2310</f>
        <v/>
      </c>
      <c r="K2310">
        <f>Data!R2422</f>
        <v/>
      </c>
      <c r="L2310">
        <f>Data!T2422</f>
        <v/>
      </c>
      <c r="M2310">
        <f>AND(E2310=0,F2310=0,G2310=0,H2310=0,I2310=0,J2310=0,K2310=0,L2310=0)</f>
        <v/>
      </c>
      <c r="N2310">
        <f>G2310&lt;=$T$6</f>
        <v/>
      </c>
      <c r="O2310">
        <f>G2310&lt;=$T$12</f>
        <v/>
      </c>
      <c r="P2310">
        <f>OR(AND(H2310&gt;=$T$4,K2310&lt;=$T$5,N2310),M2310)</f>
        <v/>
      </c>
      <c r="Q2310">
        <f>OR(AND(I2310&gt;=$T$10,K2310&lt;=$T$11,O2310),M2310)</f>
        <v/>
      </c>
    </row>
    <row r="2311">
      <c r="A2311">
        <f>Data!E2423</f>
        <v/>
      </c>
      <c r="B2311">
        <f>Data!G2423</f>
        <v/>
      </c>
      <c r="C2311">
        <f>Data!H2423</f>
        <v/>
      </c>
      <c r="D2311">
        <f>Data!I2423</f>
        <v/>
      </c>
      <c r="E2311">
        <f>Data!M2423</f>
        <v/>
      </c>
      <c r="F2311">
        <f>Data!O2423</f>
        <v/>
      </c>
      <c r="G2311">
        <f>E2311-F2311</f>
        <v/>
      </c>
      <c r="H2311">
        <f>Data!P2423</f>
        <v/>
      </c>
      <c r="I2311">
        <f>G2311+H2311</f>
        <v/>
      </c>
      <c r="J2311">
        <f>F2311+G2311+H2311</f>
        <v/>
      </c>
      <c r="K2311">
        <f>Data!R2423</f>
        <v/>
      </c>
      <c r="L2311">
        <f>Data!T2423</f>
        <v/>
      </c>
      <c r="M2311">
        <f>AND(E2311=0,F2311=0,G2311=0,H2311=0,I2311=0,J2311=0,K2311=0,L2311=0)</f>
        <v/>
      </c>
      <c r="N2311">
        <f>G2311&lt;=$T$6</f>
        <v/>
      </c>
      <c r="O2311">
        <f>G2311&lt;=$T$12</f>
        <v/>
      </c>
      <c r="P2311">
        <f>OR(AND(H2311&gt;=$T$4,K2311&lt;=$T$5,N2311),M2311)</f>
        <v/>
      </c>
      <c r="Q2311">
        <f>OR(AND(I2311&gt;=$T$10,K2311&lt;=$T$11,O2311),M2311)</f>
        <v/>
      </c>
    </row>
    <row r="2312">
      <c r="A2312">
        <f>Data!E2424</f>
        <v/>
      </c>
      <c r="B2312">
        <f>Data!G2424</f>
        <v/>
      </c>
      <c r="C2312">
        <f>Data!H2424</f>
        <v/>
      </c>
      <c r="D2312">
        <f>Data!I2424</f>
        <v/>
      </c>
      <c r="E2312">
        <f>Data!M2424</f>
        <v/>
      </c>
      <c r="F2312">
        <f>Data!O2424</f>
        <v/>
      </c>
      <c r="G2312">
        <f>E2312-F2312</f>
        <v/>
      </c>
      <c r="H2312">
        <f>Data!P2424</f>
        <v/>
      </c>
      <c r="I2312">
        <f>G2312+H2312</f>
        <v/>
      </c>
      <c r="J2312">
        <f>F2312+G2312+H2312</f>
        <v/>
      </c>
      <c r="K2312">
        <f>Data!R2424</f>
        <v/>
      </c>
      <c r="L2312">
        <f>Data!T2424</f>
        <v/>
      </c>
      <c r="M2312">
        <f>AND(E2312=0,F2312=0,G2312=0,H2312=0,I2312=0,J2312=0,K2312=0,L2312=0)</f>
        <v/>
      </c>
      <c r="N2312">
        <f>G2312&lt;=$T$6</f>
        <v/>
      </c>
      <c r="O2312">
        <f>G2312&lt;=$T$12</f>
        <v/>
      </c>
      <c r="P2312">
        <f>OR(AND(H2312&gt;=$T$4,K2312&lt;=$T$5,N2312),M2312)</f>
        <v/>
      </c>
      <c r="Q2312">
        <f>OR(AND(I2312&gt;=$T$10,K2312&lt;=$T$11,O2312),M2312)</f>
        <v/>
      </c>
    </row>
    <row r="2313">
      <c r="A2313">
        <f>Data!E2425</f>
        <v/>
      </c>
      <c r="B2313">
        <f>Data!G2425</f>
        <v/>
      </c>
      <c r="C2313">
        <f>Data!H2425</f>
        <v/>
      </c>
      <c r="D2313">
        <f>Data!I2425</f>
        <v/>
      </c>
      <c r="E2313">
        <f>Data!M2425</f>
        <v/>
      </c>
      <c r="F2313">
        <f>Data!O2425</f>
        <v/>
      </c>
      <c r="G2313">
        <f>E2313-F2313</f>
        <v/>
      </c>
      <c r="H2313">
        <f>Data!P2425</f>
        <v/>
      </c>
      <c r="I2313">
        <f>G2313+H2313</f>
        <v/>
      </c>
      <c r="J2313">
        <f>F2313+G2313+H2313</f>
        <v/>
      </c>
      <c r="K2313">
        <f>Data!R2425</f>
        <v/>
      </c>
      <c r="L2313">
        <f>Data!T2425</f>
        <v/>
      </c>
      <c r="M2313">
        <f>AND(E2313=0,F2313=0,G2313=0,H2313=0,I2313=0,J2313=0,K2313=0,L2313=0)</f>
        <v/>
      </c>
      <c r="N2313">
        <f>G2313&lt;=$T$6</f>
        <v/>
      </c>
      <c r="O2313">
        <f>G2313&lt;=$T$12</f>
        <v/>
      </c>
      <c r="P2313">
        <f>OR(AND(H2313&gt;=$T$4,K2313&lt;=$T$5,N2313),M2313)</f>
        <v/>
      </c>
      <c r="Q2313">
        <f>OR(AND(I2313&gt;=$T$10,K2313&lt;=$T$11,O2313),M2313)</f>
        <v/>
      </c>
    </row>
    <row r="2314">
      <c r="A2314">
        <f>Data!E2426</f>
        <v/>
      </c>
      <c r="B2314">
        <f>Data!G2426</f>
        <v/>
      </c>
      <c r="C2314">
        <f>Data!H2426</f>
        <v/>
      </c>
      <c r="D2314">
        <f>Data!I2426</f>
        <v/>
      </c>
      <c r="E2314">
        <f>Data!M2426</f>
        <v/>
      </c>
      <c r="F2314">
        <f>Data!O2426</f>
        <v/>
      </c>
      <c r="G2314">
        <f>E2314-F2314</f>
        <v/>
      </c>
      <c r="H2314">
        <f>Data!P2426</f>
        <v/>
      </c>
      <c r="I2314">
        <f>G2314+H2314</f>
        <v/>
      </c>
      <c r="J2314">
        <f>F2314+G2314+H2314</f>
        <v/>
      </c>
      <c r="K2314">
        <f>Data!R2426</f>
        <v/>
      </c>
      <c r="L2314">
        <f>Data!T2426</f>
        <v/>
      </c>
      <c r="M2314">
        <f>AND(E2314=0,F2314=0,G2314=0,H2314=0,I2314=0,J2314=0,K2314=0,L2314=0)</f>
        <v/>
      </c>
      <c r="N2314">
        <f>G2314&lt;=$T$6</f>
        <v/>
      </c>
      <c r="O2314">
        <f>G2314&lt;=$T$12</f>
        <v/>
      </c>
      <c r="P2314">
        <f>OR(AND(H2314&gt;=$T$4,K2314&lt;=$T$5,N2314),M2314)</f>
        <v/>
      </c>
      <c r="Q2314">
        <f>OR(AND(I2314&gt;=$T$10,K2314&lt;=$T$11,O2314),M2314)</f>
        <v/>
      </c>
    </row>
    <row r="2315">
      <c r="A2315">
        <f>Data!E2427</f>
        <v/>
      </c>
      <c r="B2315">
        <f>Data!G2427</f>
        <v/>
      </c>
      <c r="C2315">
        <f>Data!H2427</f>
        <v/>
      </c>
      <c r="D2315">
        <f>Data!I2427</f>
        <v/>
      </c>
      <c r="E2315">
        <f>Data!M2427</f>
        <v/>
      </c>
      <c r="F2315">
        <f>Data!O2427</f>
        <v/>
      </c>
      <c r="G2315">
        <f>E2315-F2315</f>
        <v/>
      </c>
      <c r="H2315">
        <f>Data!P2427</f>
        <v/>
      </c>
      <c r="I2315">
        <f>G2315+H2315</f>
        <v/>
      </c>
      <c r="J2315">
        <f>F2315+G2315+H2315</f>
        <v/>
      </c>
      <c r="K2315">
        <f>Data!R2427</f>
        <v/>
      </c>
      <c r="L2315">
        <f>Data!T2427</f>
        <v/>
      </c>
      <c r="M2315">
        <f>AND(E2315=0,F2315=0,G2315=0,H2315=0,I2315=0,J2315=0,K2315=0,L2315=0)</f>
        <v/>
      </c>
      <c r="N2315">
        <f>G2315&lt;=$T$6</f>
        <v/>
      </c>
      <c r="O2315">
        <f>G2315&lt;=$T$12</f>
        <v/>
      </c>
      <c r="P2315">
        <f>OR(AND(H2315&gt;=$T$4,K2315&lt;=$T$5,N2315),M2315)</f>
        <v/>
      </c>
      <c r="Q2315">
        <f>OR(AND(I2315&gt;=$T$10,K2315&lt;=$T$11,O2315),M2315)</f>
        <v/>
      </c>
    </row>
    <row r="2316">
      <c r="A2316">
        <f>Data!E2428</f>
        <v/>
      </c>
      <c r="B2316">
        <f>Data!G2428</f>
        <v/>
      </c>
      <c r="C2316">
        <f>Data!H2428</f>
        <v/>
      </c>
      <c r="D2316">
        <f>Data!I2428</f>
        <v/>
      </c>
      <c r="E2316">
        <f>Data!M2428</f>
        <v/>
      </c>
      <c r="F2316">
        <f>Data!O2428</f>
        <v/>
      </c>
      <c r="G2316">
        <f>E2316-F2316</f>
        <v/>
      </c>
      <c r="H2316">
        <f>Data!P2428</f>
        <v/>
      </c>
      <c r="I2316">
        <f>G2316+H2316</f>
        <v/>
      </c>
      <c r="J2316">
        <f>F2316+G2316+H2316</f>
        <v/>
      </c>
      <c r="K2316">
        <f>Data!R2428</f>
        <v/>
      </c>
      <c r="L2316">
        <f>Data!T2428</f>
        <v/>
      </c>
      <c r="M2316">
        <f>AND(E2316=0,F2316=0,G2316=0,H2316=0,I2316=0,J2316=0,K2316=0,L2316=0)</f>
        <v/>
      </c>
      <c r="N2316">
        <f>G2316&lt;=$T$6</f>
        <v/>
      </c>
      <c r="O2316">
        <f>G2316&lt;=$T$12</f>
        <v/>
      </c>
      <c r="P2316">
        <f>OR(AND(H2316&gt;=$T$4,K2316&lt;=$T$5,N2316),M2316)</f>
        <v/>
      </c>
      <c r="Q2316">
        <f>OR(AND(I2316&gt;=$T$10,K2316&lt;=$T$11,O2316),M2316)</f>
        <v/>
      </c>
    </row>
    <row r="2317">
      <c r="A2317">
        <f>Data!E2429</f>
        <v/>
      </c>
      <c r="B2317">
        <f>Data!G2429</f>
        <v/>
      </c>
      <c r="C2317">
        <f>Data!H2429</f>
        <v/>
      </c>
      <c r="D2317">
        <f>Data!I2429</f>
        <v/>
      </c>
      <c r="E2317">
        <f>Data!M2429</f>
        <v/>
      </c>
      <c r="F2317">
        <f>Data!O2429</f>
        <v/>
      </c>
      <c r="G2317">
        <f>E2317-F2317</f>
        <v/>
      </c>
      <c r="H2317">
        <f>Data!P2429</f>
        <v/>
      </c>
      <c r="I2317">
        <f>G2317+H2317</f>
        <v/>
      </c>
      <c r="J2317">
        <f>F2317+G2317+H2317</f>
        <v/>
      </c>
      <c r="K2317">
        <f>Data!R2429</f>
        <v/>
      </c>
      <c r="L2317">
        <f>Data!T2429</f>
        <v/>
      </c>
      <c r="M2317">
        <f>AND(E2317=0,F2317=0,G2317=0,H2317=0,I2317=0,J2317=0,K2317=0,L2317=0)</f>
        <v/>
      </c>
      <c r="N2317">
        <f>G2317&lt;=$T$6</f>
        <v/>
      </c>
      <c r="O2317">
        <f>G2317&lt;=$T$12</f>
        <v/>
      </c>
      <c r="P2317">
        <f>OR(AND(H2317&gt;=$T$4,K2317&lt;=$T$5,N2317),M2317)</f>
        <v/>
      </c>
      <c r="Q2317">
        <f>OR(AND(I2317&gt;=$T$10,K2317&lt;=$T$11,O2317),M2317)</f>
        <v/>
      </c>
    </row>
    <row r="2318">
      <c r="A2318">
        <f>Data!E2430</f>
        <v/>
      </c>
      <c r="B2318">
        <f>Data!G2430</f>
        <v/>
      </c>
      <c r="C2318">
        <f>Data!H2430</f>
        <v/>
      </c>
      <c r="D2318">
        <f>Data!I2430</f>
        <v/>
      </c>
      <c r="E2318">
        <f>Data!M2430</f>
        <v/>
      </c>
      <c r="F2318">
        <f>Data!O2430</f>
        <v/>
      </c>
      <c r="G2318">
        <f>E2318-F2318</f>
        <v/>
      </c>
      <c r="H2318">
        <f>Data!P2430</f>
        <v/>
      </c>
      <c r="I2318">
        <f>G2318+H2318</f>
        <v/>
      </c>
      <c r="J2318">
        <f>F2318+G2318+H2318</f>
        <v/>
      </c>
      <c r="K2318">
        <f>Data!R2430</f>
        <v/>
      </c>
      <c r="L2318">
        <f>Data!T2430</f>
        <v/>
      </c>
      <c r="M2318">
        <f>AND(E2318=0,F2318=0,G2318=0,H2318=0,I2318=0,J2318=0,K2318=0,L2318=0)</f>
        <v/>
      </c>
      <c r="N2318">
        <f>G2318&lt;=$T$6</f>
        <v/>
      </c>
      <c r="O2318">
        <f>G2318&lt;=$T$12</f>
        <v/>
      </c>
      <c r="P2318">
        <f>OR(AND(H2318&gt;=$T$4,K2318&lt;=$T$5,N2318),M2318)</f>
        <v/>
      </c>
      <c r="Q2318">
        <f>OR(AND(I2318&gt;=$T$10,K2318&lt;=$T$11,O2318),M2318)</f>
        <v/>
      </c>
    </row>
    <row r="2319">
      <c r="A2319">
        <f>Data!E2431</f>
        <v/>
      </c>
      <c r="B2319">
        <f>Data!G2431</f>
        <v/>
      </c>
      <c r="C2319">
        <f>Data!H2431</f>
        <v/>
      </c>
      <c r="D2319">
        <f>Data!I2431</f>
        <v/>
      </c>
      <c r="E2319">
        <f>Data!M2431</f>
        <v/>
      </c>
      <c r="F2319">
        <f>Data!O2431</f>
        <v/>
      </c>
      <c r="G2319">
        <f>E2319-F2319</f>
        <v/>
      </c>
      <c r="H2319">
        <f>Data!P2431</f>
        <v/>
      </c>
      <c r="I2319">
        <f>G2319+H2319</f>
        <v/>
      </c>
      <c r="J2319">
        <f>F2319+G2319+H2319</f>
        <v/>
      </c>
      <c r="K2319">
        <f>Data!R2431</f>
        <v/>
      </c>
      <c r="L2319">
        <f>Data!T2431</f>
        <v/>
      </c>
      <c r="M2319">
        <f>AND(E2319=0,F2319=0,G2319=0,H2319=0,I2319=0,J2319=0,K2319=0,L2319=0)</f>
        <v/>
      </c>
      <c r="N2319">
        <f>G2319&lt;=$T$6</f>
        <v/>
      </c>
      <c r="O2319">
        <f>G2319&lt;=$T$12</f>
        <v/>
      </c>
      <c r="P2319">
        <f>OR(AND(H2319&gt;=$T$4,K2319&lt;=$T$5,N2319),M2319)</f>
        <v/>
      </c>
      <c r="Q2319">
        <f>OR(AND(I2319&gt;=$T$10,K2319&lt;=$T$11,O2319),M2319)</f>
        <v/>
      </c>
    </row>
    <row r="2320">
      <c r="A2320">
        <f>Data!E2432</f>
        <v/>
      </c>
      <c r="B2320">
        <f>Data!G2432</f>
        <v/>
      </c>
      <c r="C2320">
        <f>Data!H2432</f>
        <v/>
      </c>
      <c r="D2320">
        <f>Data!I2432</f>
        <v/>
      </c>
      <c r="E2320">
        <f>Data!M2432</f>
        <v/>
      </c>
      <c r="F2320">
        <f>Data!O2432</f>
        <v/>
      </c>
      <c r="G2320">
        <f>E2320-F2320</f>
        <v/>
      </c>
      <c r="H2320">
        <f>Data!P2432</f>
        <v/>
      </c>
      <c r="I2320">
        <f>G2320+H2320</f>
        <v/>
      </c>
      <c r="J2320">
        <f>F2320+G2320+H2320</f>
        <v/>
      </c>
      <c r="K2320">
        <f>Data!R2432</f>
        <v/>
      </c>
      <c r="L2320">
        <f>Data!T2432</f>
        <v/>
      </c>
      <c r="M2320">
        <f>AND(E2320=0,F2320=0,G2320=0,H2320=0,I2320=0,J2320=0,K2320=0,L2320=0)</f>
        <v/>
      </c>
      <c r="N2320">
        <f>G2320&lt;=$T$6</f>
        <v/>
      </c>
      <c r="O2320">
        <f>G2320&lt;=$T$12</f>
        <v/>
      </c>
      <c r="P2320">
        <f>OR(AND(H2320&gt;=$T$4,K2320&lt;=$T$5,N2320),M2320)</f>
        <v/>
      </c>
      <c r="Q2320">
        <f>OR(AND(I2320&gt;=$T$10,K2320&lt;=$T$11,O2320),M2320)</f>
        <v/>
      </c>
    </row>
    <row r="2321">
      <c r="A2321">
        <f>Data!E2433</f>
        <v/>
      </c>
      <c r="B2321">
        <f>Data!G2433</f>
        <v/>
      </c>
      <c r="C2321">
        <f>Data!H2433</f>
        <v/>
      </c>
      <c r="D2321">
        <f>Data!I2433</f>
        <v/>
      </c>
      <c r="E2321">
        <f>Data!M2433</f>
        <v/>
      </c>
      <c r="F2321">
        <f>Data!O2433</f>
        <v/>
      </c>
      <c r="G2321">
        <f>E2321-F2321</f>
        <v/>
      </c>
      <c r="H2321">
        <f>Data!P2433</f>
        <v/>
      </c>
      <c r="I2321">
        <f>G2321+H2321</f>
        <v/>
      </c>
      <c r="J2321">
        <f>F2321+G2321+H2321</f>
        <v/>
      </c>
      <c r="K2321">
        <f>Data!R2433</f>
        <v/>
      </c>
      <c r="L2321">
        <f>Data!T2433</f>
        <v/>
      </c>
      <c r="M2321">
        <f>AND(E2321=0,F2321=0,G2321=0,H2321=0,I2321=0,J2321=0,K2321=0,L2321=0)</f>
        <v/>
      </c>
      <c r="N2321">
        <f>G2321&lt;=$T$6</f>
        <v/>
      </c>
      <c r="O2321">
        <f>G2321&lt;=$T$12</f>
        <v/>
      </c>
      <c r="P2321">
        <f>OR(AND(H2321&gt;=$T$4,K2321&lt;=$T$5,N2321),M2321)</f>
        <v/>
      </c>
      <c r="Q2321">
        <f>OR(AND(I2321&gt;=$T$10,K2321&lt;=$T$11,O2321),M2321)</f>
        <v/>
      </c>
    </row>
    <row r="2322">
      <c r="A2322">
        <f>Data!E2434</f>
        <v/>
      </c>
      <c r="B2322">
        <f>Data!G2434</f>
        <v/>
      </c>
      <c r="C2322">
        <f>Data!H2434</f>
        <v/>
      </c>
      <c r="D2322">
        <f>Data!I2434</f>
        <v/>
      </c>
      <c r="E2322">
        <f>Data!M2434</f>
        <v/>
      </c>
      <c r="F2322">
        <f>Data!O2434</f>
        <v/>
      </c>
      <c r="G2322">
        <f>E2322-F2322</f>
        <v/>
      </c>
      <c r="H2322">
        <f>Data!P2434</f>
        <v/>
      </c>
      <c r="I2322">
        <f>G2322+H2322</f>
        <v/>
      </c>
      <c r="J2322">
        <f>F2322+G2322+H2322</f>
        <v/>
      </c>
      <c r="K2322">
        <f>Data!R2434</f>
        <v/>
      </c>
      <c r="L2322">
        <f>Data!T2434</f>
        <v/>
      </c>
      <c r="M2322">
        <f>AND(E2322=0,F2322=0,G2322=0,H2322=0,I2322=0,J2322=0,K2322=0,L2322=0)</f>
        <v/>
      </c>
      <c r="N2322">
        <f>G2322&lt;=$T$6</f>
        <v/>
      </c>
      <c r="O2322">
        <f>G2322&lt;=$T$12</f>
        <v/>
      </c>
      <c r="P2322">
        <f>OR(AND(H2322&gt;=$T$4,K2322&lt;=$T$5,N2322),M2322)</f>
        <v/>
      </c>
      <c r="Q2322">
        <f>OR(AND(I2322&gt;=$T$10,K2322&lt;=$T$11,O2322),M2322)</f>
        <v/>
      </c>
    </row>
    <row r="2323">
      <c r="A2323">
        <f>Data!E2435</f>
        <v/>
      </c>
      <c r="B2323">
        <f>Data!G2435</f>
        <v/>
      </c>
      <c r="C2323">
        <f>Data!H2435</f>
        <v/>
      </c>
      <c r="D2323">
        <f>Data!I2435</f>
        <v/>
      </c>
      <c r="E2323">
        <f>Data!M2435</f>
        <v/>
      </c>
      <c r="F2323">
        <f>Data!O2435</f>
        <v/>
      </c>
      <c r="G2323">
        <f>E2323-F2323</f>
        <v/>
      </c>
      <c r="H2323">
        <f>Data!P2435</f>
        <v/>
      </c>
      <c r="I2323">
        <f>G2323+H2323</f>
        <v/>
      </c>
      <c r="J2323">
        <f>F2323+G2323+H2323</f>
        <v/>
      </c>
      <c r="K2323">
        <f>Data!R2435</f>
        <v/>
      </c>
      <c r="L2323">
        <f>Data!T2435</f>
        <v/>
      </c>
      <c r="M2323">
        <f>AND(E2323=0,F2323=0,G2323=0,H2323=0,I2323=0,J2323=0,K2323=0,L2323=0)</f>
        <v/>
      </c>
      <c r="N2323">
        <f>G2323&lt;=$T$6</f>
        <v/>
      </c>
      <c r="O2323">
        <f>G2323&lt;=$T$12</f>
        <v/>
      </c>
      <c r="P2323">
        <f>OR(AND(H2323&gt;=$T$4,K2323&lt;=$T$5,N2323),M2323)</f>
        <v/>
      </c>
      <c r="Q2323">
        <f>OR(AND(I2323&gt;=$T$10,K2323&lt;=$T$11,O2323),M2323)</f>
        <v/>
      </c>
    </row>
    <row r="2324">
      <c r="A2324">
        <f>Data!E2437</f>
        <v/>
      </c>
      <c r="B2324">
        <f>Data!G2437</f>
        <v/>
      </c>
      <c r="C2324">
        <f>Data!H2437</f>
        <v/>
      </c>
      <c r="D2324">
        <f>Data!I2437</f>
        <v/>
      </c>
      <c r="E2324">
        <f>Data!M2437</f>
        <v/>
      </c>
      <c r="F2324">
        <f>Data!O2437</f>
        <v/>
      </c>
      <c r="G2324">
        <f>E2324-F2324</f>
        <v/>
      </c>
      <c r="H2324">
        <f>Data!P2437</f>
        <v/>
      </c>
      <c r="I2324">
        <f>G2324+H2324</f>
        <v/>
      </c>
      <c r="J2324">
        <f>F2324+G2324+H2324</f>
        <v/>
      </c>
      <c r="K2324">
        <f>Data!R2437</f>
        <v/>
      </c>
      <c r="L2324">
        <f>Data!T2437</f>
        <v/>
      </c>
      <c r="M2324">
        <f>AND(E2324=0,F2324=0,G2324=0,H2324=0,I2324=0,J2324=0,K2324=0,L2324=0)</f>
        <v/>
      </c>
      <c r="N2324">
        <f>G2324&lt;=$T$6</f>
        <v/>
      </c>
      <c r="O2324">
        <f>G2324&lt;=$T$12</f>
        <v/>
      </c>
      <c r="P2324">
        <f>OR(AND(H2324&gt;=$T$4,K2324&lt;=$T$5,N2324),M2324)</f>
        <v/>
      </c>
      <c r="Q2324">
        <f>OR(AND(I2324&gt;=$T$10,K2324&lt;=$T$11,O2324),M2324)</f>
        <v/>
      </c>
    </row>
    <row r="2325">
      <c r="A2325">
        <f>Data!E2438</f>
        <v/>
      </c>
      <c r="B2325">
        <f>Data!G2438</f>
        <v/>
      </c>
      <c r="C2325">
        <f>Data!H2438</f>
        <v/>
      </c>
      <c r="D2325">
        <f>Data!I2438</f>
        <v/>
      </c>
      <c r="E2325">
        <f>Data!M2438</f>
        <v/>
      </c>
      <c r="F2325">
        <f>Data!O2438</f>
        <v/>
      </c>
      <c r="G2325">
        <f>E2325-F2325</f>
        <v/>
      </c>
      <c r="H2325">
        <f>Data!P2438</f>
        <v/>
      </c>
      <c r="I2325">
        <f>G2325+H2325</f>
        <v/>
      </c>
      <c r="J2325">
        <f>F2325+G2325+H2325</f>
        <v/>
      </c>
      <c r="K2325">
        <f>Data!R2438</f>
        <v/>
      </c>
      <c r="L2325">
        <f>Data!T2438</f>
        <v/>
      </c>
      <c r="M2325">
        <f>AND(E2325=0,F2325=0,G2325=0,H2325=0,I2325=0,J2325=0,K2325=0,L2325=0)</f>
        <v/>
      </c>
      <c r="N2325">
        <f>G2325&lt;=$T$6</f>
        <v/>
      </c>
      <c r="O2325">
        <f>G2325&lt;=$T$12</f>
        <v/>
      </c>
      <c r="P2325">
        <f>OR(AND(H2325&gt;=$T$4,K2325&lt;=$T$5,N2325),M2325)</f>
        <v/>
      </c>
      <c r="Q2325">
        <f>OR(AND(I2325&gt;=$T$10,K2325&lt;=$T$11,O2325),M2325)</f>
        <v/>
      </c>
    </row>
    <row r="2326">
      <c r="A2326">
        <f>Data!E2439</f>
        <v/>
      </c>
      <c r="B2326">
        <f>Data!G2439</f>
        <v/>
      </c>
      <c r="C2326">
        <f>Data!H2439</f>
        <v/>
      </c>
      <c r="D2326">
        <f>Data!I2439</f>
        <v/>
      </c>
      <c r="E2326">
        <f>Data!M2439</f>
        <v/>
      </c>
      <c r="F2326">
        <f>Data!O2439</f>
        <v/>
      </c>
      <c r="G2326">
        <f>E2326-F2326</f>
        <v/>
      </c>
      <c r="H2326">
        <f>Data!P2439</f>
        <v/>
      </c>
      <c r="I2326">
        <f>G2326+H2326</f>
        <v/>
      </c>
      <c r="J2326">
        <f>F2326+G2326+H2326</f>
        <v/>
      </c>
      <c r="K2326">
        <f>Data!R2439</f>
        <v/>
      </c>
      <c r="L2326">
        <f>Data!T2439</f>
        <v/>
      </c>
      <c r="M2326">
        <f>AND(E2326=0,F2326=0,G2326=0,H2326=0,I2326=0,J2326=0,K2326=0,L2326=0)</f>
        <v/>
      </c>
      <c r="N2326">
        <f>G2326&lt;=$T$6</f>
        <v/>
      </c>
      <c r="O2326">
        <f>G2326&lt;=$T$12</f>
        <v/>
      </c>
      <c r="P2326">
        <f>OR(AND(H2326&gt;=$T$4,K2326&lt;=$T$5,N2326),M2326)</f>
        <v/>
      </c>
      <c r="Q2326">
        <f>OR(AND(I2326&gt;=$T$10,K2326&lt;=$T$11,O2326),M2326)</f>
        <v/>
      </c>
    </row>
    <row r="2327">
      <c r="A2327">
        <f>Data!E2440</f>
        <v/>
      </c>
      <c r="B2327">
        <f>Data!G2440</f>
        <v/>
      </c>
      <c r="C2327">
        <f>Data!H2440</f>
        <v/>
      </c>
      <c r="D2327">
        <f>Data!I2440</f>
        <v/>
      </c>
      <c r="E2327">
        <f>Data!M2440</f>
        <v/>
      </c>
      <c r="F2327">
        <f>Data!O2440</f>
        <v/>
      </c>
      <c r="G2327">
        <f>E2327-F2327</f>
        <v/>
      </c>
      <c r="H2327">
        <f>Data!P2440</f>
        <v/>
      </c>
      <c r="I2327">
        <f>G2327+H2327</f>
        <v/>
      </c>
      <c r="J2327">
        <f>F2327+G2327+H2327</f>
        <v/>
      </c>
      <c r="K2327">
        <f>Data!R2440</f>
        <v/>
      </c>
      <c r="L2327">
        <f>Data!T2440</f>
        <v/>
      </c>
      <c r="M2327">
        <f>AND(E2327=0,F2327=0,G2327=0,H2327=0,I2327=0,J2327=0,K2327=0,L2327=0)</f>
        <v/>
      </c>
      <c r="N2327">
        <f>G2327&lt;=$T$6</f>
        <v/>
      </c>
      <c r="O2327">
        <f>G2327&lt;=$T$12</f>
        <v/>
      </c>
      <c r="P2327">
        <f>OR(AND(H2327&gt;=$T$4,K2327&lt;=$T$5,N2327),M2327)</f>
        <v/>
      </c>
      <c r="Q2327">
        <f>OR(AND(I2327&gt;=$T$10,K2327&lt;=$T$11,O2327),M2327)</f>
        <v/>
      </c>
    </row>
    <row r="2328">
      <c r="A2328">
        <f>Data!E2441</f>
        <v/>
      </c>
      <c r="B2328">
        <f>Data!G2441</f>
        <v/>
      </c>
      <c r="C2328">
        <f>Data!H2441</f>
        <v/>
      </c>
      <c r="D2328">
        <f>Data!I2441</f>
        <v/>
      </c>
      <c r="E2328">
        <f>Data!M2441</f>
        <v/>
      </c>
      <c r="F2328">
        <f>Data!O2441</f>
        <v/>
      </c>
      <c r="G2328">
        <f>E2328-F2328</f>
        <v/>
      </c>
      <c r="H2328">
        <f>Data!P2441</f>
        <v/>
      </c>
      <c r="I2328">
        <f>G2328+H2328</f>
        <v/>
      </c>
      <c r="J2328">
        <f>F2328+G2328+H2328</f>
        <v/>
      </c>
      <c r="K2328">
        <f>Data!R2441</f>
        <v/>
      </c>
      <c r="L2328">
        <f>Data!T2441</f>
        <v/>
      </c>
      <c r="M2328">
        <f>AND(E2328=0,F2328=0,G2328=0,H2328=0,I2328=0,J2328=0,K2328=0,L2328=0)</f>
        <v/>
      </c>
      <c r="N2328">
        <f>G2328&lt;=$T$6</f>
        <v/>
      </c>
      <c r="O2328">
        <f>G2328&lt;=$T$12</f>
        <v/>
      </c>
      <c r="P2328">
        <f>OR(AND(H2328&gt;=$T$4,K2328&lt;=$T$5,N2328),M2328)</f>
        <v/>
      </c>
      <c r="Q2328">
        <f>OR(AND(I2328&gt;=$T$10,K2328&lt;=$T$11,O2328),M2328)</f>
        <v/>
      </c>
    </row>
    <row r="2329">
      <c r="A2329">
        <f>Data!E2442</f>
        <v/>
      </c>
      <c r="B2329">
        <f>Data!G2442</f>
        <v/>
      </c>
      <c r="C2329">
        <f>Data!H2442</f>
        <v/>
      </c>
      <c r="D2329">
        <f>Data!I2442</f>
        <v/>
      </c>
      <c r="E2329">
        <f>Data!M2442</f>
        <v/>
      </c>
      <c r="F2329">
        <f>Data!O2442</f>
        <v/>
      </c>
      <c r="G2329">
        <f>E2329-F2329</f>
        <v/>
      </c>
      <c r="H2329">
        <f>Data!P2442</f>
        <v/>
      </c>
      <c r="I2329">
        <f>G2329+H2329</f>
        <v/>
      </c>
      <c r="J2329">
        <f>F2329+G2329+H2329</f>
        <v/>
      </c>
      <c r="K2329">
        <f>Data!R2442</f>
        <v/>
      </c>
      <c r="L2329">
        <f>Data!T2442</f>
        <v/>
      </c>
      <c r="M2329">
        <f>AND(E2329=0,F2329=0,G2329=0,H2329=0,I2329=0,J2329=0,K2329=0,L2329=0)</f>
        <v/>
      </c>
      <c r="N2329">
        <f>G2329&lt;=$T$6</f>
        <v/>
      </c>
      <c r="O2329">
        <f>G2329&lt;=$T$12</f>
        <v/>
      </c>
      <c r="P2329">
        <f>OR(AND(H2329&gt;=$T$4,K2329&lt;=$T$5,N2329),M2329)</f>
        <v/>
      </c>
      <c r="Q2329">
        <f>OR(AND(I2329&gt;=$T$10,K2329&lt;=$T$11,O2329),M2329)</f>
        <v/>
      </c>
    </row>
    <row r="2330">
      <c r="A2330">
        <f>Data!E2443</f>
        <v/>
      </c>
      <c r="B2330">
        <f>Data!G2443</f>
        <v/>
      </c>
      <c r="C2330">
        <f>Data!H2443</f>
        <v/>
      </c>
      <c r="D2330">
        <f>Data!I2443</f>
        <v/>
      </c>
      <c r="E2330">
        <f>Data!M2443</f>
        <v/>
      </c>
      <c r="F2330">
        <f>Data!O2443</f>
        <v/>
      </c>
      <c r="G2330">
        <f>E2330-F2330</f>
        <v/>
      </c>
      <c r="H2330">
        <f>Data!P2443</f>
        <v/>
      </c>
      <c r="I2330">
        <f>G2330+H2330</f>
        <v/>
      </c>
      <c r="J2330">
        <f>F2330+G2330+H2330</f>
        <v/>
      </c>
      <c r="K2330">
        <f>Data!R2443</f>
        <v/>
      </c>
      <c r="L2330">
        <f>Data!T2443</f>
        <v/>
      </c>
      <c r="M2330">
        <f>AND(E2330=0,F2330=0,G2330=0,H2330=0,I2330=0,J2330=0,K2330=0,L2330=0)</f>
        <v/>
      </c>
      <c r="N2330">
        <f>G2330&lt;=$T$6</f>
        <v/>
      </c>
      <c r="O2330">
        <f>G2330&lt;=$T$12</f>
        <v/>
      </c>
      <c r="P2330">
        <f>OR(AND(H2330&gt;=$T$4,K2330&lt;=$T$5,N2330),M2330)</f>
        <v/>
      </c>
      <c r="Q2330">
        <f>OR(AND(I2330&gt;=$T$10,K2330&lt;=$T$11,O2330),M2330)</f>
        <v/>
      </c>
    </row>
    <row r="2331">
      <c r="A2331">
        <f>Data!E2444</f>
        <v/>
      </c>
      <c r="B2331">
        <f>Data!G2444</f>
        <v/>
      </c>
      <c r="C2331">
        <f>Data!H2444</f>
        <v/>
      </c>
      <c r="D2331">
        <f>Data!I2444</f>
        <v/>
      </c>
      <c r="E2331">
        <f>Data!M2444</f>
        <v/>
      </c>
      <c r="F2331">
        <f>Data!O2444</f>
        <v/>
      </c>
      <c r="G2331">
        <f>E2331-F2331</f>
        <v/>
      </c>
      <c r="H2331">
        <f>Data!P2444</f>
        <v/>
      </c>
      <c r="I2331">
        <f>G2331+H2331</f>
        <v/>
      </c>
      <c r="J2331">
        <f>F2331+G2331+H2331</f>
        <v/>
      </c>
      <c r="K2331">
        <f>Data!R2444</f>
        <v/>
      </c>
      <c r="L2331">
        <f>Data!T2444</f>
        <v/>
      </c>
      <c r="M2331">
        <f>AND(E2331=0,F2331=0,G2331=0,H2331=0,I2331=0,J2331=0,K2331=0,L2331=0)</f>
        <v/>
      </c>
      <c r="N2331">
        <f>G2331&lt;=$T$6</f>
        <v/>
      </c>
      <c r="O2331">
        <f>G2331&lt;=$T$12</f>
        <v/>
      </c>
      <c r="P2331">
        <f>OR(AND(H2331&gt;=$T$4,K2331&lt;=$T$5,N2331),M2331)</f>
        <v/>
      </c>
      <c r="Q2331">
        <f>OR(AND(I2331&gt;=$T$10,K2331&lt;=$T$11,O2331),M2331)</f>
        <v/>
      </c>
    </row>
    <row r="2332">
      <c r="A2332">
        <f>Data!E2445</f>
        <v/>
      </c>
      <c r="B2332">
        <f>Data!G2445</f>
        <v/>
      </c>
      <c r="C2332">
        <f>Data!H2445</f>
        <v/>
      </c>
      <c r="D2332">
        <f>Data!I2445</f>
        <v/>
      </c>
      <c r="E2332">
        <f>Data!M2445</f>
        <v/>
      </c>
      <c r="F2332">
        <f>Data!O2445</f>
        <v/>
      </c>
      <c r="G2332">
        <f>E2332-F2332</f>
        <v/>
      </c>
      <c r="H2332">
        <f>Data!P2445</f>
        <v/>
      </c>
      <c r="I2332">
        <f>G2332+H2332</f>
        <v/>
      </c>
      <c r="J2332">
        <f>F2332+G2332+H2332</f>
        <v/>
      </c>
      <c r="K2332">
        <f>Data!R2445</f>
        <v/>
      </c>
      <c r="L2332">
        <f>Data!T2445</f>
        <v/>
      </c>
      <c r="M2332">
        <f>AND(E2332=0,F2332=0,G2332=0,H2332=0,I2332=0,J2332=0,K2332=0,L2332=0)</f>
        <v/>
      </c>
      <c r="N2332">
        <f>G2332&lt;=$T$6</f>
        <v/>
      </c>
      <c r="O2332">
        <f>G2332&lt;=$T$12</f>
        <v/>
      </c>
      <c r="P2332">
        <f>OR(AND(H2332&gt;=$T$4,K2332&lt;=$T$5,N2332),M2332)</f>
        <v/>
      </c>
      <c r="Q2332">
        <f>OR(AND(I2332&gt;=$T$10,K2332&lt;=$T$11,O2332),M2332)</f>
        <v/>
      </c>
    </row>
    <row r="2333">
      <c r="A2333">
        <f>Data!E2446</f>
        <v/>
      </c>
      <c r="B2333">
        <f>Data!G2446</f>
        <v/>
      </c>
      <c r="C2333">
        <f>Data!H2446</f>
        <v/>
      </c>
      <c r="D2333">
        <f>Data!I2446</f>
        <v/>
      </c>
      <c r="E2333">
        <f>Data!M2446</f>
        <v/>
      </c>
      <c r="F2333">
        <f>Data!O2446</f>
        <v/>
      </c>
      <c r="G2333">
        <f>E2333-F2333</f>
        <v/>
      </c>
      <c r="H2333">
        <f>Data!P2446</f>
        <v/>
      </c>
      <c r="I2333">
        <f>G2333+H2333</f>
        <v/>
      </c>
      <c r="J2333">
        <f>F2333+G2333+H2333</f>
        <v/>
      </c>
      <c r="K2333">
        <f>Data!R2446</f>
        <v/>
      </c>
      <c r="L2333">
        <f>Data!T2446</f>
        <v/>
      </c>
      <c r="M2333">
        <f>AND(E2333=0,F2333=0,G2333=0,H2333=0,I2333=0,J2333=0,K2333=0,L2333=0)</f>
        <v/>
      </c>
      <c r="N2333">
        <f>G2333&lt;=$T$6</f>
        <v/>
      </c>
      <c r="O2333">
        <f>G2333&lt;=$T$12</f>
        <v/>
      </c>
      <c r="P2333">
        <f>OR(AND(H2333&gt;=$T$4,K2333&lt;=$T$5,N2333),M2333)</f>
        <v/>
      </c>
      <c r="Q2333">
        <f>OR(AND(I2333&gt;=$T$10,K2333&lt;=$T$11,O2333),M2333)</f>
        <v/>
      </c>
    </row>
    <row r="2334">
      <c r="A2334">
        <f>Data!E2447</f>
        <v/>
      </c>
      <c r="B2334">
        <f>Data!G2447</f>
        <v/>
      </c>
      <c r="C2334">
        <f>Data!H2447</f>
        <v/>
      </c>
      <c r="D2334">
        <f>Data!I2447</f>
        <v/>
      </c>
      <c r="E2334">
        <f>Data!M2447</f>
        <v/>
      </c>
      <c r="F2334">
        <f>Data!O2447</f>
        <v/>
      </c>
      <c r="G2334">
        <f>E2334-F2334</f>
        <v/>
      </c>
      <c r="H2334">
        <f>Data!P2447</f>
        <v/>
      </c>
      <c r="I2334">
        <f>G2334+H2334</f>
        <v/>
      </c>
      <c r="J2334">
        <f>F2334+G2334+H2334</f>
        <v/>
      </c>
      <c r="K2334">
        <f>Data!R2447</f>
        <v/>
      </c>
      <c r="L2334">
        <f>Data!T2447</f>
        <v/>
      </c>
      <c r="M2334">
        <f>AND(E2334=0,F2334=0,G2334=0,H2334=0,I2334=0,J2334=0,K2334=0,L2334=0)</f>
        <v/>
      </c>
      <c r="N2334">
        <f>G2334&lt;=$T$6</f>
        <v/>
      </c>
      <c r="O2334">
        <f>G2334&lt;=$T$12</f>
        <v/>
      </c>
      <c r="P2334">
        <f>OR(AND(H2334&gt;=$T$4,K2334&lt;=$T$5,N2334),M2334)</f>
        <v/>
      </c>
      <c r="Q2334">
        <f>OR(AND(I2334&gt;=$T$10,K2334&lt;=$T$11,O2334),M2334)</f>
        <v/>
      </c>
    </row>
    <row r="2335">
      <c r="A2335">
        <f>Data!E2448</f>
        <v/>
      </c>
      <c r="B2335">
        <f>Data!G2448</f>
        <v/>
      </c>
      <c r="C2335">
        <f>Data!H2448</f>
        <v/>
      </c>
      <c r="D2335">
        <f>Data!I2448</f>
        <v/>
      </c>
      <c r="E2335">
        <f>Data!M2448</f>
        <v/>
      </c>
      <c r="F2335">
        <f>Data!O2448</f>
        <v/>
      </c>
      <c r="G2335">
        <f>E2335-F2335</f>
        <v/>
      </c>
      <c r="H2335">
        <f>Data!P2448</f>
        <v/>
      </c>
      <c r="I2335">
        <f>G2335+H2335</f>
        <v/>
      </c>
      <c r="J2335">
        <f>F2335+G2335+H2335</f>
        <v/>
      </c>
      <c r="K2335">
        <f>Data!R2448</f>
        <v/>
      </c>
      <c r="L2335">
        <f>Data!T2448</f>
        <v/>
      </c>
      <c r="M2335">
        <f>AND(E2335=0,F2335=0,G2335=0,H2335=0,I2335=0,J2335=0,K2335=0,L2335=0)</f>
        <v/>
      </c>
      <c r="N2335">
        <f>G2335&lt;=$T$6</f>
        <v/>
      </c>
      <c r="O2335">
        <f>G2335&lt;=$T$12</f>
        <v/>
      </c>
      <c r="P2335">
        <f>OR(AND(H2335&gt;=$T$4,K2335&lt;=$T$5,N2335),M2335)</f>
        <v/>
      </c>
      <c r="Q2335">
        <f>OR(AND(I2335&gt;=$T$10,K2335&lt;=$T$11,O2335),M2335)</f>
        <v/>
      </c>
    </row>
    <row r="2336">
      <c r="A2336">
        <f>Data!E2449</f>
        <v/>
      </c>
      <c r="B2336">
        <f>Data!G2449</f>
        <v/>
      </c>
      <c r="C2336">
        <f>Data!H2449</f>
        <v/>
      </c>
      <c r="D2336">
        <f>Data!I2449</f>
        <v/>
      </c>
      <c r="E2336">
        <f>Data!M2449</f>
        <v/>
      </c>
      <c r="F2336">
        <f>Data!O2449</f>
        <v/>
      </c>
      <c r="G2336">
        <f>E2336-F2336</f>
        <v/>
      </c>
      <c r="H2336">
        <f>Data!P2449</f>
        <v/>
      </c>
      <c r="I2336">
        <f>G2336+H2336</f>
        <v/>
      </c>
      <c r="J2336">
        <f>F2336+G2336+H2336</f>
        <v/>
      </c>
      <c r="K2336">
        <f>Data!R2449</f>
        <v/>
      </c>
      <c r="L2336">
        <f>Data!T2449</f>
        <v/>
      </c>
      <c r="M2336">
        <f>AND(E2336=0,F2336=0,G2336=0,H2336=0,I2336=0,J2336=0,K2336=0,L2336=0)</f>
        <v/>
      </c>
      <c r="N2336">
        <f>G2336&lt;=$T$6</f>
        <v/>
      </c>
      <c r="O2336">
        <f>G2336&lt;=$T$12</f>
        <v/>
      </c>
      <c r="P2336">
        <f>OR(AND(H2336&gt;=$T$4,K2336&lt;=$T$5,N2336),M2336)</f>
        <v/>
      </c>
      <c r="Q2336">
        <f>OR(AND(I2336&gt;=$T$10,K2336&lt;=$T$11,O2336),M2336)</f>
        <v/>
      </c>
    </row>
    <row r="2337">
      <c r="A2337">
        <f>Data!E2450</f>
        <v/>
      </c>
      <c r="B2337">
        <f>Data!G2450</f>
        <v/>
      </c>
      <c r="C2337">
        <f>Data!H2450</f>
        <v/>
      </c>
      <c r="D2337">
        <f>Data!I2450</f>
        <v/>
      </c>
      <c r="E2337">
        <f>Data!M2450</f>
        <v/>
      </c>
      <c r="F2337">
        <f>Data!O2450</f>
        <v/>
      </c>
      <c r="G2337">
        <f>E2337-F2337</f>
        <v/>
      </c>
      <c r="H2337">
        <f>Data!P2450</f>
        <v/>
      </c>
      <c r="I2337">
        <f>G2337+H2337</f>
        <v/>
      </c>
      <c r="J2337">
        <f>F2337+G2337+H2337</f>
        <v/>
      </c>
      <c r="K2337">
        <f>Data!R2450</f>
        <v/>
      </c>
      <c r="L2337">
        <f>Data!T2450</f>
        <v/>
      </c>
      <c r="M2337">
        <f>AND(E2337=0,F2337=0,G2337=0,H2337=0,I2337=0,J2337=0,K2337=0,L2337=0)</f>
        <v/>
      </c>
      <c r="N2337">
        <f>G2337&lt;=$T$6</f>
        <v/>
      </c>
      <c r="O2337">
        <f>G2337&lt;=$T$12</f>
        <v/>
      </c>
      <c r="P2337">
        <f>OR(AND(H2337&gt;=$T$4,K2337&lt;=$T$5,N2337),M2337)</f>
        <v/>
      </c>
      <c r="Q2337">
        <f>OR(AND(I2337&gt;=$T$10,K2337&lt;=$T$11,O2337),M2337)</f>
        <v/>
      </c>
    </row>
    <row r="2338">
      <c r="A2338">
        <f>Data!E2451</f>
        <v/>
      </c>
      <c r="B2338">
        <f>Data!G2451</f>
        <v/>
      </c>
      <c r="C2338">
        <f>Data!H2451</f>
        <v/>
      </c>
      <c r="D2338">
        <f>Data!I2451</f>
        <v/>
      </c>
      <c r="E2338">
        <f>Data!M2451</f>
        <v/>
      </c>
      <c r="F2338">
        <f>Data!O2451</f>
        <v/>
      </c>
      <c r="G2338">
        <f>E2338-F2338</f>
        <v/>
      </c>
      <c r="H2338">
        <f>Data!P2451</f>
        <v/>
      </c>
      <c r="I2338">
        <f>G2338+H2338</f>
        <v/>
      </c>
      <c r="J2338">
        <f>F2338+G2338+H2338</f>
        <v/>
      </c>
      <c r="K2338">
        <f>Data!R2451</f>
        <v/>
      </c>
      <c r="L2338">
        <f>Data!T2451</f>
        <v/>
      </c>
      <c r="M2338">
        <f>AND(E2338=0,F2338=0,G2338=0,H2338=0,I2338=0,J2338=0,K2338=0,L2338=0)</f>
        <v/>
      </c>
      <c r="N2338">
        <f>G2338&lt;=$T$6</f>
        <v/>
      </c>
      <c r="O2338">
        <f>G2338&lt;=$T$12</f>
        <v/>
      </c>
      <c r="P2338">
        <f>OR(AND(H2338&gt;=$T$4,K2338&lt;=$T$5,N2338),M2338)</f>
        <v/>
      </c>
      <c r="Q2338">
        <f>OR(AND(I2338&gt;=$T$10,K2338&lt;=$T$11,O2338),M2338)</f>
        <v/>
      </c>
    </row>
    <row r="2339">
      <c r="A2339">
        <f>Data!E2452</f>
        <v/>
      </c>
      <c r="B2339">
        <f>Data!G2452</f>
        <v/>
      </c>
      <c r="C2339">
        <f>Data!H2452</f>
        <v/>
      </c>
      <c r="D2339">
        <f>Data!I2452</f>
        <v/>
      </c>
      <c r="E2339">
        <f>Data!M2452</f>
        <v/>
      </c>
      <c r="F2339">
        <f>Data!O2452</f>
        <v/>
      </c>
      <c r="G2339">
        <f>E2339-F2339</f>
        <v/>
      </c>
      <c r="H2339">
        <f>Data!P2452</f>
        <v/>
      </c>
      <c r="I2339">
        <f>G2339+H2339</f>
        <v/>
      </c>
      <c r="J2339">
        <f>F2339+G2339+H2339</f>
        <v/>
      </c>
      <c r="K2339">
        <f>Data!R2452</f>
        <v/>
      </c>
      <c r="L2339">
        <f>Data!T2452</f>
        <v/>
      </c>
      <c r="M2339">
        <f>AND(E2339=0,F2339=0,G2339=0,H2339=0,I2339=0,J2339=0,K2339=0,L2339=0)</f>
        <v/>
      </c>
      <c r="N2339">
        <f>G2339&lt;=$T$6</f>
        <v/>
      </c>
      <c r="O2339">
        <f>G2339&lt;=$T$12</f>
        <v/>
      </c>
      <c r="P2339">
        <f>OR(AND(H2339&gt;=$T$4,K2339&lt;=$T$5,N2339),M2339)</f>
        <v/>
      </c>
      <c r="Q2339">
        <f>OR(AND(I2339&gt;=$T$10,K2339&lt;=$T$11,O2339),M2339)</f>
        <v/>
      </c>
    </row>
    <row r="2340">
      <c r="A2340">
        <f>Data!E2453</f>
        <v/>
      </c>
      <c r="B2340">
        <f>Data!G2453</f>
        <v/>
      </c>
      <c r="C2340">
        <f>Data!H2453</f>
        <v/>
      </c>
      <c r="D2340">
        <f>Data!I2453</f>
        <v/>
      </c>
      <c r="E2340">
        <f>Data!M2453</f>
        <v/>
      </c>
      <c r="F2340">
        <f>Data!O2453</f>
        <v/>
      </c>
      <c r="G2340">
        <f>E2340-F2340</f>
        <v/>
      </c>
      <c r="H2340">
        <f>Data!P2453</f>
        <v/>
      </c>
      <c r="I2340">
        <f>G2340+H2340</f>
        <v/>
      </c>
      <c r="J2340">
        <f>F2340+G2340+H2340</f>
        <v/>
      </c>
      <c r="K2340">
        <f>Data!R2453</f>
        <v/>
      </c>
      <c r="L2340">
        <f>Data!T2453</f>
        <v/>
      </c>
      <c r="M2340">
        <f>AND(E2340=0,F2340=0,G2340=0,H2340=0,I2340=0,J2340=0,K2340=0,L2340=0)</f>
        <v/>
      </c>
      <c r="N2340">
        <f>G2340&lt;=$T$6</f>
        <v/>
      </c>
      <c r="O2340">
        <f>G2340&lt;=$T$12</f>
        <v/>
      </c>
      <c r="P2340">
        <f>OR(AND(H2340&gt;=$T$4,K2340&lt;=$T$5,N2340),M2340)</f>
        <v/>
      </c>
      <c r="Q2340">
        <f>OR(AND(I2340&gt;=$T$10,K2340&lt;=$T$11,O2340),M2340)</f>
        <v/>
      </c>
    </row>
    <row r="2341">
      <c r="A2341">
        <f>Data!E2454</f>
        <v/>
      </c>
      <c r="B2341">
        <f>Data!G2454</f>
        <v/>
      </c>
      <c r="C2341">
        <f>Data!H2454</f>
        <v/>
      </c>
      <c r="D2341">
        <f>Data!I2454</f>
        <v/>
      </c>
      <c r="E2341">
        <f>Data!M2454</f>
        <v/>
      </c>
      <c r="F2341">
        <f>Data!O2454</f>
        <v/>
      </c>
      <c r="G2341">
        <f>E2341-F2341</f>
        <v/>
      </c>
      <c r="H2341">
        <f>Data!P2454</f>
        <v/>
      </c>
      <c r="I2341">
        <f>G2341+H2341</f>
        <v/>
      </c>
      <c r="J2341">
        <f>F2341+G2341+H2341</f>
        <v/>
      </c>
      <c r="K2341">
        <f>Data!R2454</f>
        <v/>
      </c>
      <c r="L2341">
        <f>Data!T2454</f>
        <v/>
      </c>
      <c r="M2341">
        <f>AND(E2341=0,F2341=0,G2341=0,H2341=0,I2341=0,J2341=0,K2341=0,L2341=0)</f>
        <v/>
      </c>
      <c r="N2341">
        <f>G2341&lt;=$T$6</f>
        <v/>
      </c>
      <c r="O2341">
        <f>G2341&lt;=$T$12</f>
        <v/>
      </c>
      <c r="P2341">
        <f>OR(AND(H2341&gt;=$T$4,K2341&lt;=$T$5,N2341),M2341)</f>
        <v/>
      </c>
      <c r="Q2341">
        <f>OR(AND(I2341&gt;=$T$10,K2341&lt;=$T$11,O2341),M2341)</f>
        <v/>
      </c>
    </row>
    <row r="2342">
      <c r="A2342">
        <f>Data!E2456</f>
        <v/>
      </c>
      <c r="B2342">
        <f>Data!G2456</f>
        <v/>
      </c>
      <c r="C2342">
        <f>Data!H2456</f>
        <v/>
      </c>
      <c r="D2342">
        <f>Data!I2456</f>
        <v/>
      </c>
      <c r="E2342">
        <f>Data!M2456</f>
        <v/>
      </c>
      <c r="F2342">
        <f>Data!O2456</f>
        <v/>
      </c>
      <c r="G2342">
        <f>E2342-F2342</f>
        <v/>
      </c>
      <c r="H2342">
        <f>Data!P2456</f>
        <v/>
      </c>
      <c r="I2342">
        <f>G2342+H2342</f>
        <v/>
      </c>
      <c r="J2342">
        <f>F2342+G2342+H2342</f>
        <v/>
      </c>
      <c r="K2342">
        <f>Data!R2456</f>
        <v/>
      </c>
      <c r="L2342">
        <f>Data!T2456</f>
        <v/>
      </c>
      <c r="M2342">
        <f>AND(E2342=0,F2342=0,G2342=0,H2342=0,I2342=0,J2342=0,K2342=0,L2342=0)</f>
        <v/>
      </c>
      <c r="N2342">
        <f>G2342&lt;=$T$6</f>
        <v/>
      </c>
      <c r="O2342">
        <f>G2342&lt;=$T$12</f>
        <v/>
      </c>
      <c r="P2342">
        <f>OR(AND(H2342&gt;=$T$4,K2342&lt;=$T$5,N2342),M2342)</f>
        <v/>
      </c>
      <c r="Q2342">
        <f>OR(AND(I2342&gt;=$T$10,K2342&lt;=$T$11,O2342),M2342)</f>
        <v/>
      </c>
    </row>
    <row r="2343">
      <c r="A2343">
        <f>Data!E2457</f>
        <v/>
      </c>
      <c r="B2343">
        <f>Data!G2457</f>
        <v/>
      </c>
      <c r="C2343">
        <f>Data!H2457</f>
        <v/>
      </c>
      <c r="D2343">
        <f>Data!I2457</f>
        <v/>
      </c>
      <c r="E2343">
        <f>Data!M2457</f>
        <v/>
      </c>
      <c r="F2343">
        <f>Data!O2457</f>
        <v/>
      </c>
      <c r="G2343">
        <f>E2343-F2343</f>
        <v/>
      </c>
      <c r="H2343">
        <f>Data!P2457</f>
        <v/>
      </c>
      <c r="I2343">
        <f>G2343+H2343</f>
        <v/>
      </c>
      <c r="J2343">
        <f>F2343+G2343+H2343</f>
        <v/>
      </c>
      <c r="K2343">
        <f>Data!R2457</f>
        <v/>
      </c>
      <c r="L2343">
        <f>Data!T2457</f>
        <v/>
      </c>
      <c r="M2343">
        <f>AND(E2343=0,F2343=0,G2343=0,H2343=0,I2343=0,J2343=0,K2343=0,L2343=0)</f>
        <v/>
      </c>
      <c r="N2343">
        <f>G2343&lt;=$T$6</f>
        <v/>
      </c>
      <c r="O2343">
        <f>G2343&lt;=$T$12</f>
        <v/>
      </c>
      <c r="P2343">
        <f>OR(AND(H2343&gt;=$T$4,K2343&lt;=$T$5,N2343),M2343)</f>
        <v/>
      </c>
      <c r="Q2343">
        <f>OR(AND(I2343&gt;=$T$10,K2343&lt;=$T$11,O2343),M2343)</f>
        <v/>
      </c>
    </row>
    <row r="2344">
      <c r="A2344">
        <f>Data!E2458</f>
        <v/>
      </c>
      <c r="B2344">
        <f>Data!G2458</f>
        <v/>
      </c>
      <c r="C2344">
        <f>Data!H2458</f>
        <v/>
      </c>
      <c r="D2344">
        <f>Data!I2458</f>
        <v/>
      </c>
      <c r="E2344">
        <f>Data!M2458</f>
        <v/>
      </c>
      <c r="F2344">
        <f>Data!O2458</f>
        <v/>
      </c>
      <c r="G2344">
        <f>E2344-F2344</f>
        <v/>
      </c>
      <c r="H2344">
        <f>Data!P2458</f>
        <v/>
      </c>
      <c r="I2344">
        <f>G2344+H2344</f>
        <v/>
      </c>
      <c r="J2344">
        <f>F2344+G2344+H2344</f>
        <v/>
      </c>
      <c r="K2344">
        <f>Data!R2458</f>
        <v/>
      </c>
      <c r="L2344">
        <f>Data!T2458</f>
        <v/>
      </c>
      <c r="M2344">
        <f>AND(E2344=0,F2344=0,G2344=0,H2344=0,I2344=0,J2344=0,K2344=0,L2344=0)</f>
        <v/>
      </c>
      <c r="N2344">
        <f>G2344&lt;=$T$6</f>
        <v/>
      </c>
      <c r="O2344">
        <f>G2344&lt;=$T$12</f>
        <v/>
      </c>
      <c r="P2344">
        <f>OR(AND(H2344&gt;=$T$4,K2344&lt;=$T$5,N2344),M2344)</f>
        <v/>
      </c>
      <c r="Q2344">
        <f>OR(AND(I2344&gt;=$T$10,K2344&lt;=$T$11,O2344),M2344)</f>
        <v/>
      </c>
    </row>
    <row r="2345">
      <c r="A2345">
        <f>Data!E2459</f>
        <v/>
      </c>
      <c r="B2345">
        <f>Data!G2459</f>
        <v/>
      </c>
      <c r="C2345">
        <f>Data!H2459</f>
        <v/>
      </c>
      <c r="D2345">
        <f>Data!I2459</f>
        <v/>
      </c>
      <c r="E2345">
        <f>Data!M2459</f>
        <v/>
      </c>
      <c r="F2345">
        <f>Data!O2459</f>
        <v/>
      </c>
      <c r="G2345">
        <f>E2345-F2345</f>
        <v/>
      </c>
      <c r="H2345">
        <f>Data!P2459</f>
        <v/>
      </c>
      <c r="I2345">
        <f>G2345+H2345</f>
        <v/>
      </c>
      <c r="J2345">
        <f>F2345+G2345+H2345</f>
        <v/>
      </c>
      <c r="K2345">
        <f>Data!R2459</f>
        <v/>
      </c>
      <c r="L2345">
        <f>Data!T2459</f>
        <v/>
      </c>
      <c r="M2345">
        <f>AND(E2345=0,F2345=0,G2345=0,H2345=0,I2345=0,J2345=0,K2345=0,L2345=0)</f>
        <v/>
      </c>
      <c r="N2345">
        <f>G2345&lt;=$T$6</f>
        <v/>
      </c>
      <c r="O2345">
        <f>G2345&lt;=$T$12</f>
        <v/>
      </c>
      <c r="P2345">
        <f>OR(AND(H2345&gt;=$T$4,K2345&lt;=$T$5,N2345),M2345)</f>
        <v/>
      </c>
      <c r="Q2345">
        <f>OR(AND(I2345&gt;=$T$10,K2345&lt;=$T$11,O2345),M2345)</f>
        <v/>
      </c>
    </row>
    <row r="2346">
      <c r="A2346">
        <f>Data!E2460</f>
        <v/>
      </c>
      <c r="B2346">
        <f>Data!G2460</f>
        <v/>
      </c>
      <c r="C2346">
        <f>Data!H2460</f>
        <v/>
      </c>
      <c r="D2346">
        <f>Data!I2460</f>
        <v/>
      </c>
      <c r="E2346">
        <f>Data!M2460</f>
        <v/>
      </c>
      <c r="F2346">
        <f>Data!O2460</f>
        <v/>
      </c>
      <c r="G2346">
        <f>E2346-F2346</f>
        <v/>
      </c>
      <c r="H2346">
        <f>Data!P2460</f>
        <v/>
      </c>
      <c r="I2346">
        <f>G2346+H2346</f>
        <v/>
      </c>
      <c r="J2346">
        <f>F2346+G2346+H2346</f>
        <v/>
      </c>
      <c r="K2346">
        <f>Data!R2460</f>
        <v/>
      </c>
      <c r="L2346">
        <f>Data!T2460</f>
        <v/>
      </c>
      <c r="M2346">
        <f>AND(E2346=0,F2346=0,G2346=0,H2346=0,I2346=0,J2346=0,K2346=0,L2346=0)</f>
        <v/>
      </c>
      <c r="N2346">
        <f>G2346&lt;=$T$6</f>
        <v/>
      </c>
      <c r="O2346">
        <f>G2346&lt;=$T$12</f>
        <v/>
      </c>
      <c r="P2346">
        <f>OR(AND(H2346&gt;=$T$4,K2346&lt;=$T$5,N2346),M2346)</f>
        <v/>
      </c>
      <c r="Q2346">
        <f>OR(AND(I2346&gt;=$T$10,K2346&lt;=$T$11,O2346),M2346)</f>
        <v/>
      </c>
    </row>
    <row r="2347">
      <c r="A2347">
        <f>Data!E2461</f>
        <v/>
      </c>
      <c r="B2347">
        <f>Data!G2461</f>
        <v/>
      </c>
      <c r="C2347">
        <f>Data!H2461</f>
        <v/>
      </c>
      <c r="D2347">
        <f>Data!I2461</f>
        <v/>
      </c>
      <c r="E2347">
        <f>Data!M2461</f>
        <v/>
      </c>
      <c r="F2347">
        <f>Data!O2461</f>
        <v/>
      </c>
      <c r="G2347">
        <f>E2347-F2347</f>
        <v/>
      </c>
      <c r="H2347">
        <f>Data!P2461</f>
        <v/>
      </c>
      <c r="I2347">
        <f>G2347+H2347</f>
        <v/>
      </c>
      <c r="J2347">
        <f>F2347+G2347+H2347</f>
        <v/>
      </c>
      <c r="K2347">
        <f>Data!R2461</f>
        <v/>
      </c>
      <c r="L2347">
        <f>Data!T2461</f>
        <v/>
      </c>
      <c r="M2347">
        <f>AND(E2347=0,F2347=0,G2347=0,H2347=0,I2347=0,J2347=0,K2347=0,L2347=0)</f>
        <v/>
      </c>
      <c r="N2347">
        <f>G2347&lt;=$T$6</f>
        <v/>
      </c>
      <c r="O2347">
        <f>G2347&lt;=$T$12</f>
        <v/>
      </c>
      <c r="P2347">
        <f>OR(AND(H2347&gt;=$T$4,K2347&lt;=$T$5,N2347),M2347)</f>
        <v/>
      </c>
      <c r="Q2347">
        <f>OR(AND(I2347&gt;=$T$10,K2347&lt;=$T$11,O2347),M2347)</f>
        <v/>
      </c>
    </row>
    <row r="2348">
      <c r="A2348">
        <f>Data!E2462</f>
        <v/>
      </c>
      <c r="B2348">
        <f>Data!G2462</f>
        <v/>
      </c>
      <c r="C2348">
        <f>Data!H2462</f>
        <v/>
      </c>
      <c r="D2348">
        <f>Data!I2462</f>
        <v/>
      </c>
      <c r="E2348">
        <f>Data!M2462</f>
        <v/>
      </c>
      <c r="F2348">
        <f>Data!O2462</f>
        <v/>
      </c>
      <c r="G2348">
        <f>E2348-F2348</f>
        <v/>
      </c>
      <c r="H2348">
        <f>Data!P2462</f>
        <v/>
      </c>
      <c r="I2348">
        <f>G2348+H2348</f>
        <v/>
      </c>
      <c r="J2348">
        <f>F2348+G2348+H2348</f>
        <v/>
      </c>
      <c r="K2348">
        <f>Data!R2462</f>
        <v/>
      </c>
      <c r="L2348">
        <f>Data!T2462</f>
        <v/>
      </c>
      <c r="M2348">
        <f>AND(E2348=0,F2348=0,G2348=0,H2348=0,I2348=0,J2348=0,K2348=0,L2348=0)</f>
        <v/>
      </c>
      <c r="N2348">
        <f>G2348&lt;=$T$6</f>
        <v/>
      </c>
      <c r="O2348">
        <f>G2348&lt;=$T$12</f>
        <v/>
      </c>
      <c r="P2348">
        <f>OR(AND(H2348&gt;=$T$4,K2348&lt;=$T$5,N2348),M2348)</f>
        <v/>
      </c>
      <c r="Q2348">
        <f>OR(AND(I2348&gt;=$T$10,K2348&lt;=$T$11,O2348),M2348)</f>
        <v/>
      </c>
    </row>
    <row r="2349">
      <c r="A2349">
        <f>Data!E2463</f>
        <v/>
      </c>
      <c r="B2349">
        <f>Data!G2463</f>
        <v/>
      </c>
      <c r="C2349">
        <f>Data!H2463</f>
        <v/>
      </c>
      <c r="D2349">
        <f>Data!I2463</f>
        <v/>
      </c>
      <c r="E2349">
        <f>Data!M2463</f>
        <v/>
      </c>
      <c r="F2349">
        <f>Data!O2463</f>
        <v/>
      </c>
      <c r="G2349">
        <f>E2349-F2349</f>
        <v/>
      </c>
      <c r="H2349">
        <f>Data!P2463</f>
        <v/>
      </c>
      <c r="I2349">
        <f>G2349+H2349</f>
        <v/>
      </c>
      <c r="J2349">
        <f>F2349+G2349+H2349</f>
        <v/>
      </c>
      <c r="K2349">
        <f>Data!R2463</f>
        <v/>
      </c>
      <c r="L2349">
        <f>Data!T2463</f>
        <v/>
      </c>
      <c r="M2349">
        <f>AND(E2349=0,F2349=0,G2349=0,H2349=0,I2349=0,J2349=0,K2349=0,L2349=0)</f>
        <v/>
      </c>
      <c r="N2349">
        <f>G2349&lt;=$T$6</f>
        <v/>
      </c>
      <c r="O2349">
        <f>G2349&lt;=$T$12</f>
        <v/>
      </c>
      <c r="P2349">
        <f>OR(AND(H2349&gt;=$T$4,K2349&lt;=$T$5,N2349),M2349)</f>
        <v/>
      </c>
      <c r="Q2349">
        <f>OR(AND(I2349&gt;=$T$10,K2349&lt;=$T$11,O2349),M2349)</f>
        <v/>
      </c>
    </row>
    <row r="2350">
      <c r="A2350">
        <f>Data!E2464</f>
        <v/>
      </c>
      <c r="B2350">
        <f>Data!G2464</f>
        <v/>
      </c>
      <c r="C2350">
        <f>Data!H2464</f>
        <v/>
      </c>
      <c r="D2350">
        <f>Data!I2464</f>
        <v/>
      </c>
      <c r="E2350">
        <f>Data!M2464</f>
        <v/>
      </c>
      <c r="F2350">
        <f>Data!O2464</f>
        <v/>
      </c>
      <c r="G2350">
        <f>E2350-F2350</f>
        <v/>
      </c>
      <c r="H2350">
        <f>Data!P2464</f>
        <v/>
      </c>
      <c r="I2350">
        <f>G2350+H2350</f>
        <v/>
      </c>
      <c r="J2350">
        <f>F2350+G2350+H2350</f>
        <v/>
      </c>
      <c r="K2350">
        <f>Data!R2464</f>
        <v/>
      </c>
      <c r="L2350">
        <f>Data!T2464</f>
        <v/>
      </c>
      <c r="M2350">
        <f>AND(E2350=0,F2350=0,G2350=0,H2350=0,I2350=0,J2350=0,K2350=0,L2350=0)</f>
        <v/>
      </c>
      <c r="N2350">
        <f>G2350&lt;=$T$6</f>
        <v/>
      </c>
      <c r="O2350">
        <f>G2350&lt;=$T$12</f>
        <v/>
      </c>
      <c r="P2350">
        <f>OR(AND(H2350&gt;=$T$4,K2350&lt;=$T$5,N2350),M2350)</f>
        <v/>
      </c>
      <c r="Q2350">
        <f>OR(AND(I2350&gt;=$T$10,K2350&lt;=$T$11,O2350),M2350)</f>
        <v/>
      </c>
    </row>
    <row r="2351">
      <c r="A2351">
        <f>Data!E2465</f>
        <v/>
      </c>
      <c r="B2351">
        <f>Data!G2465</f>
        <v/>
      </c>
      <c r="C2351">
        <f>Data!H2465</f>
        <v/>
      </c>
      <c r="D2351">
        <f>Data!I2465</f>
        <v/>
      </c>
      <c r="E2351">
        <f>Data!M2465</f>
        <v/>
      </c>
      <c r="F2351">
        <f>Data!O2465</f>
        <v/>
      </c>
      <c r="G2351">
        <f>E2351-F2351</f>
        <v/>
      </c>
      <c r="H2351">
        <f>Data!P2465</f>
        <v/>
      </c>
      <c r="I2351">
        <f>G2351+H2351</f>
        <v/>
      </c>
      <c r="J2351">
        <f>F2351+G2351+H2351</f>
        <v/>
      </c>
      <c r="K2351">
        <f>Data!R2465</f>
        <v/>
      </c>
      <c r="L2351">
        <f>Data!T2465</f>
        <v/>
      </c>
      <c r="M2351">
        <f>AND(E2351=0,F2351=0,G2351=0,H2351=0,I2351=0,J2351=0,K2351=0,L2351=0)</f>
        <v/>
      </c>
      <c r="N2351">
        <f>G2351&lt;=$T$6</f>
        <v/>
      </c>
      <c r="O2351">
        <f>G2351&lt;=$T$12</f>
        <v/>
      </c>
      <c r="P2351">
        <f>OR(AND(H2351&gt;=$T$4,K2351&lt;=$T$5,N2351),M2351)</f>
        <v/>
      </c>
      <c r="Q2351">
        <f>OR(AND(I2351&gt;=$T$10,K2351&lt;=$T$11,O2351),M2351)</f>
        <v/>
      </c>
    </row>
    <row r="2352">
      <c r="A2352">
        <f>Data!E2466</f>
        <v/>
      </c>
      <c r="B2352">
        <f>Data!G2466</f>
        <v/>
      </c>
      <c r="C2352">
        <f>Data!H2466</f>
        <v/>
      </c>
      <c r="D2352">
        <f>Data!I2466</f>
        <v/>
      </c>
      <c r="E2352">
        <f>Data!M2466</f>
        <v/>
      </c>
      <c r="F2352">
        <f>Data!O2466</f>
        <v/>
      </c>
      <c r="G2352">
        <f>E2352-F2352</f>
        <v/>
      </c>
      <c r="H2352">
        <f>Data!P2466</f>
        <v/>
      </c>
      <c r="I2352">
        <f>G2352+H2352</f>
        <v/>
      </c>
      <c r="J2352">
        <f>F2352+G2352+H2352</f>
        <v/>
      </c>
      <c r="K2352">
        <f>Data!R2466</f>
        <v/>
      </c>
      <c r="L2352">
        <f>Data!T2466</f>
        <v/>
      </c>
      <c r="M2352">
        <f>AND(E2352=0,F2352=0,G2352=0,H2352=0,I2352=0,J2352=0,K2352=0,L2352=0)</f>
        <v/>
      </c>
      <c r="N2352">
        <f>G2352&lt;=$T$6</f>
        <v/>
      </c>
      <c r="O2352">
        <f>G2352&lt;=$T$12</f>
        <v/>
      </c>
      <c r="P2352">
        <f>OR(AND(H2352&gt;=$T$4,K2352&lt;=$T$5,N2352),M2352)</f>
        <v/>
      </c>
      <c r="Q2352">
        <f>OR(AND(I2352&gt;=$T$10,K2352&lt;=$T$11,O2352),M2352)</f>
        <v/>
      </c>
    </row>
    <row r="2353">
      <c r="A2353">
        <f>Data!E2467</f>
        <v/>
      </c>
      <c r="B2353">
        <f>Data!G2467</f>
        <v/>
      </c>
      <c r="C2353">
        <f>Data!H2467</f>
        <v/>
      </c>
      <c r="D2353">
        <f>Data!I2467</f>
        <v/>
      </c>
      <c r="E2353">
        <f>Data!M2467</f>
        <v/>
      </c>
      <c r="F2353">
        <f>Data!O2467</f>
        <v/>
      </c>
      <c r="G2353">
        <f>E2353-F2353</f>
        <v/>
      </c>
      <c r="H2353">
        <f>Data!P2467</f>
        <v/>
      </c>
      <c r="I2353">
        <f>G2353+H2353</f>
        <v/>
      </c>
      <c r="J2353">
        <f>F2353+G2353+H2353</f>
        <v/>
      </c>
      <c r="K2353">
        <f>Data!R2467</f>
        <v/>
      </c>
      <c r="L2353">
        <f>Data!T2467</f>
        <v/>
      </c>
      <c r="M2353">
        <f>AND(E2353=0,F2353=0,G2353=0,H2353=0,I2353=0,J2353=0,K2353=0,L2353=0)</f>
        <v/>
      </c>
      <c r="N2353">
        <f>G2353&lt;=$T$6</f>
        <v/>
      </c>
      <c r="O2353">
        <f>G2353&lt;=$T$12</f>
        <v/>
      </c>
      <c r="P2353">
        <f>OR(AND(H2353&gt;=$T$4,K2353&lt;=$T$5,N2353),M2353)</f>
        <v/>
      </c>
      <c r="Q2353">
        <f>OR(AND(I2353&gt;=$T$10,K2353&lt;=$T$11,O2353),M2353)</f>
        <v/>
      </c>
    </row>
    <row r="2354">
      <c r="A2354">
        <f>Data!E2468</f>
        <v/>
      </c>
      <c r="B2354">
        <f>Data!G2468</f>
        <v/>
      </c>
      <c r="C2354">
        <f>Data!H2468</f>
        <v/>
      </c>
      <c r="D2354">
        <f>Data!I2468</f>
        <v/>
      </c>
      <c r="E2354">
        <f>Data!M2468</f>
        <v/>
      </c>
      <c r="F2354">
        <f>Data!O2468</f>
        <v/>
      </c>
      <c r="G2354">
        <f>E2354-F2354</f>
        <v/>
      </c>
      <c r="H2354">
        <f>Data!P2468</f>
        <v/>
      </c>
      <c r="I2354">
        <f>G2354+H2354</f>
        <v/>
      </c>
      <c r="J2354">
        <f>F2354+G2354+H2354</f>
        <v/>
      </c>
      <c r="K2354">
        <f>Data!R2468</f>
        <v/>
      </c>
      <c r="L2354">
        <f>Data!T2468</f>
        <v/>
      </c>
      <c r="M2354">
        <f>AND(E2354=0,F2354=0,G2354=0,H2354=0,I2354=0,J2354=0,K2354=0,L2354=0)</f>
        <v/>
      </c>
      <c r="N2354">
        <f>G2354&lt;=$T$6</f>
        <v/>
      </c>
      <c r="O2354">
        <f>G2354&lt;=$T$12</f>
        <v/>
      </c>
      <c r="P2354">
        <f>OR(AND(H2354&gt;=$T$4,K2354&lt;=$T$5,N2354),M2354)</f>
        <v/>
      </c>
      <c r="Q2354">
        <f>OR(AND(I2354&gt;=$T$10,K2354&lt;=$T$11,O2354),M2354)</f>
        <v/>
      </c>
    </row>
    <row r="2355">
      <c r="A2355">
        <f>Data!E2470</f>
        <v/>
      </c>
      <c r="B2355">
        <f>Data!G2470</f>
        <v/>
      </c>
      <c r="C2355">
        <f>Data!H2470</f>
        <v/>
      </c>
      <c r="D2355">
        <f>Data!I2470</f>
        <v/>
      </c>
      <c r="E2355">
        <f>Data!M2470</f>
        <v/>
      </c>
      <c r="F2355">
        <f>Data!O2470</f>
        <v/>
      </c>
      <c r="G2355">
        <f>E2355-F2355</f>
        <v/>
      </c>
      <c r="H2355">
        <f>Data!P2470</f>
        <v/>
      </c>
      <c r="I2355">
        <f>G2355+H2355</f>
        <v/>
      </c>
      <c r="J2355">
        <f>F2355+G2355+H2355</f>
        <v/>
      </c>
      <c r="K2355">
        <f>Data!R2470</f>
        <v/>
      </c>
      <c r="L2355">
        <f>Data!T2470</f>
        <v/>
      </c>
      <c r="M2355">
        <f>AND(E2355=0,F2355=0,G2355=0,H2355=0,I2355=0,J2355=0,K2355=0,L2355=0)</f>
        <v/>
      </c>
      <c r="N2355">
        <f>G2355&lt;=$T$6</f>
        <v/>
      </c>
      <c r="O2355">
        <f>G2355&lt;=$T$12</f>
        <v/>
      </c>
      <c r="P2355">
        <f>OR(AND(H2355&gt;=$T$4,K2355&lt;=$T$5,N2355),M2355)</f>
        <v/>
      </c>
      <c r="Q2355">
        <f>OR(AND(I2355&gt;=$T$10,K2355&lt;=$T$11,O2355),M2355)</f>
        <v/>
      </c>
    </row>
    <row r="2356">
      <c r="A2356">
        <f>Data!E2471</f>
        <v/>
      </c>
      <c r="B2356">
        <f>Data!G2471</f>
        <v/>
      </c>
      <c r="C2356">
        <f>Data!H2471</f>
        <v/>
      </c>
      <c r="D2356">
        <f>Data!I2471</f>
        <v/>
      </c>
      <c r="E2356">
        <f>Data!M2471</f>
        <v/>
      </c>
      <c r="F2356">
        <f>Data!O2471</f>
        <v/>
      </c>
      <c r="G2356">
        <f>E2356-F2356</f>
        <v/>
      </c>
      <c r="H2356">
        <f>Data!P2471</f>
        <v/>
      </c>
      <c r="I2356">
        <f>G2356+H2356</f>
        <v/>
      </c>
      <c r="J2356">
        <f>F2356+G2356+H2356</f>
        <v/>
      </c>
      <c r="K2356">
        <f>Data!R2471</f>
        <v/>
      </c>
      <c r="L2356">
        <f>Data!T2471</f>
        <v/>
      </c>
      <c r="M2356">
        <f>AND(E2356=0,F2356=0,G2356=0,H2356=0,I2356=0,J2356=0,K2356=0,L2356=0)</f>
        <v/>
      </c>
      <c r="N2356">
        <f>G2356&lt;=$T$6</f>
        <v/>
      </c>
      <c r="O2356">
        <f>G2356&lt;=$T$12</f>
        <v/>
      </c>
      <c r="P2356">
        <f>OR(AND(H2356&gt;=$T$4,K2356&lt;=$T$5,N2356),M2356)</f>
        <v/>
      </c>
      <c r="Q2356">
        <f>OR(AND(I2356&gt;=$T$10,K2356&lt;=$T$11,O2356),M2356)</f>
        <v/>
      </c>
    </row>
    <row r="2357">
      <c r="A2357">
        <f>Data!E2472</f>
        <v/>
      </c>
      <c r="B2357">
        <f>Data!G2472</f>
        <v/>
      </c>
      <c r="C2357">
        <f>Data!H2472</f>
        <v/>
      </c>
      <c r="D2357">
        <f>Data!I2472</f>
        <v/>
      </c>
      <c r="E2357">
        <f>Data!M2472</f>
        <v/>
      </c>
      <c r="F2357">
        <f>Data!O2472</f>
        <v/>
      </c>
      <c r="G2357">
        <f>E2357-F2357</f>
        <v/>
      </c>
      <c r="H2357">
        <f>Data!P2472</f>
        <v/>
      </c>
      <c r="I2357">
        <f>G2357+H2357</f>
        <v/>
      </c>
      <c r="J2357">
        <f>F2357+G2357+H2357</f>
        <v/>
      </c>
      <c r="K2357">
        <f>Data!R2472</f>
        <v/>
      </c>
      <c r="L2357">
        <f>Data!T2472</f>
        <v/>
      </c>
      <c r="M2357">
        <f>AND(E2357=0,F2357=0,G2357=0,H2357=0,I2357=0,J2357=0,K2357=0,L2357=0)</f>
        <v/>
      </c>
      <c r="N2357">
        <f>G2357&lt;=$T$6</f>
        <v/>
      </c>
      <c r="O2357">
        <f>G2357&lt;=$T$12</f>
        <v/>
      </c>
      <c r="P2357">
        <f>OR(AND(H2357&gt;=$T$4,K2357&lt;=$T$5,N2357),M2357)</f>
        <v/>
      </c>
      <c r="Q2357">
        <f>OR(AND(I2357&gt;=$T$10,K2357&lt;=$T$11,O2357),M2357)</f>
        <v/>
      </c>
    </row>
    <row r="2358">
      <c r="A2358">
        <f>Data!E2473</f>
        <v/>
      </c>
      <c r="B2358">
        <f>Data!G2473</f>
        <v/>
      </c>
      <c r="C2358">
        <f>Data!H2473</f>
        <v/>
      </c>
      <c r="D2358">
        <f>Data!I2473</f>
        <v/>
      </c>
      <c r="E2358">
        <f>Data!M2473</f>
        <v/>
      </c>
      <c r="F2358">
        <f>Data!O2473</f>
        <v/>
      </c>
      <c r="G2358">
        <f>E2358-F2358</f>
        <v/>
      </c>
      <c r="H2358">
        <f>Data!P2473</f>
        <v/>
      </c>
      <c r="I2358">
        <f>G2358+H2358</f>
        <v/>
      </c>
      <c r="J2358">
        <f>F2358+G2358+H2358</f>
        <v/>
      </c>
      <c r="K2358">
        <f>Data!R2473</f>
        <v/>
      </c>
      <c r="L2358">
        <f>Data!T2473</f>
        <v/>
      </c>
      <c r="M2358">
        <f>AND(E2358=0,F2358=0,G2358=0,H2358=0,I2358=0,J2358=0,K2358=0,L2358=0)</f>
        <v/>
      </c>
      <c r="N2358">
        <f>G2358&lt;=$T$6</f>
        <v/>
      </c>
      <c r="O2358">
        <f>G2358&lt;=$T$12</f>
        <v/>
      </c>
      <c r="P2358">
        <f>OR(AND(H2358&gt;=$T$4,K2358&lt;=$T$5,N2358),M2358)</f>
        <v/>
      </c>
      <c r="Q2358">
        <f>OR(AND(I2358&gt;=$T$10,K2358&lt;=$T$11,O2358),M2358)</f>
        <v/>
      </c>
    </row>
    <row r="2359">
      <c r="A2359">
        <f>Data!E2474</f>
        <v/>
      </c>
      <c r="B2359">
        <f>Data!G2474</f>
        <v/>
      </c>
      <c r="C2359">
        <f>Data!H2474</f>
        <v/>
      </c>
      <c r="D2359">
        <f>Data!I2474</f>
        <v/>
      </c>
      <c r="E2359">
        <f>Data!M2474</f>
        <v/>
      </c>
      <c r="F2359">
        <f>Data!O2474</f>
        <v/>
      </c>
      <c r="G2359">
        <f>E2359-F2359</f>
        <v/>
      </c>
      <c r="H2359">
        <f>Data!P2474</f>
        <v/>
      </c>
      <c r="I2359">
        <f>G2359+H2359</f>
        <v/>
      </c>
      <c r="J2359">
        <f>F2359+G2359+H2359</f>
        <v/>
      </c>
      <c r="K2359">
        <f>Data!R2474</f>
        <v/>
      </c>
      <c r="L2359">
        <f>Data!T2474</f>
        <v/>
      </c>
      <c r="M2359">
        <f>AND(E2359=0,F2359=0,G2359=0,H2359=0,I2359=0,J2359=0,K2359=0,L2359=0)</f>
        <v/>
      </c>
      <c r="N2359">
        <f>G2359&lt;=$T$6</f>
        <v/>
      </c>
      <c r="O2359">
        <f>G2359&lt;=$T$12</f>
        <v/>
      </c>
      <c r="P2359">
        <f>OR(AND(H2359&gt;=$T$4,K2359&lt;=$T$5,N2359),M2359)</f>
        <v/>
      </c>
      <c r="Q2359">
        <f>OR(AND(I2359&gt;=$T$10,K2359&lt;=$T$11,O2359),M2359)</f>
        <v/>
      </c>
    </row>
    <row r="2360">
      <c r="A2360">
        <f>Data!E2475</f>
        <v/>
      </c>
      <c r="B2360">
        <f>Data!G2475</f>
        <v/>
      </c>
      <c r="C2360">
        <f>Data!H2475</f>
        <v/>
      </c>
      <c r="D2360">
        <f>Data!I2475</f>
        <v/>
      </c>
      <c r="E2360">
        <f>Data!M2475</f>
        <v/>
      </c>
      <c r="F2360">
        <f>Data!O2475</f>
        <v/>
      </c>
      <c r="G2360">
        <f>E2360-F2360</f>
        <v/>
      </c>
      <c r="H2360">
        <f>Data!P2475</f>
        <v/>
      </c>
      <c r="I2360">
        <f>G2360+H2360</f>
        <v/>
      </c>
      <c r="J2360">
        <f>F2360+G2360+H2360</f>
        <v/>
      </c>
      <c r="K2360">
        <f>Data!R2475</f>
        <v/>
      </c>
      <c r="L2360">
        <f>Data!T2475</f>
        <v/>
      </c>
      <c r="M2360">
        <f>AND(E2360=0,F2360=0,G2360=0,H2360=0,I2360=0,J2360=0,K2360=0,L2360=0)</f>
        <v/>
      </c>
      <c r="N2360">
        <f>G2360&lt;=$T$6</f>
        <v/>
      </c>
      <c r="O2360">
        <f>G2360&lt;=$T$12</f>
        <v/>
      </c>
      <c r="P2360">
        <f>OR(AND(H2360&gt;=$T$4,K2360&lt;=$T$5,N2360),M2360)</f>
        <v/>
      </c>
      <c r="Q2360">
        <f>OR(AND(I2360&gt;=$T$10,K2360&lt;=$T$11,O2360),M2360)</f>
        <v/>
      </c>
    </row>
    <row r="2361">
      <c r="A2361">
        <f>Data!E2476</f>
        <v/>
      </c>
      <c r="B2361">
        <f>Data!G2476</f>
        <v/>
      </c>
      <c r="C2361">
        <f>Data!H2476</f>
        <v/>
      </c>
      <c r="D2361">
        <f>Data!I2476</f>
        <v/>
      </c>
      <c r="E2361">
        <f>Data!M2476</f>
        <v/>
      </c>
      <c r="F2361">
        <f>Data!O2476</f>
        <v/>
      </c>
      <c r="G2361">
        <f>E2361-F2361</f>
        <v/>
      </c>
      <c r="H2361">
        <f>Data!P2476</f>
        <v/>
      </c>
      <c r="I2361">
        <f>G2361+H2361</f>
        <v/>
      </c>
      <c r="J2361">
        <f>F2361+G2361+H2361</f>
        <v/>
      </c>
      <c r="K2361">
        <f>Data!R2476</f>
        <v/>
      </c>
      <c r="L2361">
        <f>Data!T2476</f>
        <v/>
      </c>
      <c r="M2361">
        <f>AND(E2361=0,F2361=0,G2361=0,H2361=0,I2361=0,J2361=0,K2361=0,L2361=0)</f>
        <v/>
      </c>
      <c r="N2361">
        <f>G2361&lt;=$T$6</f>
        <v/>
      </c>
      <c r="O2361">
        <f>G2361&lt;=$T$12</f>
        <v/>
      </c>
      <c r="P2361">
        <f>OR(AND(H2361&gt;=$T$4,K2361&lt;=$T$5,N2361),M2361)</f>
        <v/>
      </c>
      <c r="Q2361">
        <f>OR(AND(I2361&gt;=$T$10,K2361&lt;=$T$11,O2361),M2361)</f>
        <v/>
      </c>
    </row>
    <row r="2362">
      <c r="A2362">
        <f>Data!E2477</f>
        <v/>
      </c>
      <c r="B2362">
        <f>Data!G2477</f>
        <v/>
      </c>
      <c r="C2362">
        <f>Data!H2477</f>
        <v/>
      </c>
      <c r="D2362">
        <f>Data!I2477</f>
        <v/>
      </c>
      <c r="E2362">
        <f>Data!M2477</f>
        <v/>
      </c>
      <c r="F2362">
        <f>Data!O2477</f>
        <v/>
      </c>
      <c r="G2362">
        <f>E2362-F2362</f>
        <v/>
      </c>
      <c r="H2362">
        <f>Data!P2477</f>
        <v/>
      </c>
      <c r="I2362">
        <f>G2362+H2362</f>
        <v/>
      </c>
      <c r="J2362">
        <f>F2362+G2362+H2362</f>
        <v/>
      </c>
      <c r="K2362">
        <f>Data!R2477</f>
        <v/>
      </c>
      <c r="L2362">
        <f>Data!T2477</f>
        <v/>
      </c>
      <c r="M2362">
        <f>AND(E2362=0,F2362=0,G2362=0,H2362=0,I2362=0,J2362=0,K2362=0,L2362=0)</f>
        <v/>
      </c>
      <c r="N2362">
        <f>G2362&lt;=$T$6</f>
        <v/>
      </c>
      <c r="O2362">
        <f>G2362&lt;=$T$12</f>
        <v/>
      </c>
      <c r="P2362">
        <f>OR(AND(H2362&gt;=$T$4,K2362&lt;=$T$5,N2362),M2362)</f>
        <v/>
      </c>
      <c r="Q2362">
        <f>OR(AND(I2362&gt;=$T$10,K2362&lt;=$T$11,O2362),M2362)</f>
        <v/>
      </c>
    </row>
    <row r="2363">
      <c r="A2363">
        <f>Data!E2478</f>
        <v/>
      </c>
      <c r="B2363">
        <f>Data!G2478</f>
        <v/>
      </c>
      <c r="C2363">
        <f>Data!H2478</f>
        <v/>
      </c>
      <c r="D2363">
        <f>Data!I2478</f>
        <v/>
      </c>
      <c r="E2363">
        <f>Data!M2478</f>
        <v/>
      </c>
      <c r="F2363">
        <f>Data!O2478</f>
        <v/>
      </c>
      <c r="G2363">
        <f>E2363-F2363</f>
        <v/>
      </c>
      <c r="H2363">
        <f>Data!P2478</f>
        <v/>
      </c>
      <c r="I2363">
        <f>G2363+H2363</f>
        <v/>
      </c>
      <c r="J2363">
        <f>F2363+G2363+H2363</f>
        <v/>
      </c>
      <c r="K2363">
        <f>Data!R2478</f>
        <v/>
      </c>
      <c r="L2363">
        <f>Data!T2478</f>
        <v/>
      </c>
      <c r="M2363">
        <f>AND(E2363=0,F2363=0,G2363=0,H2363=0,I2363=0,J2363=0,K2363=0,L2363=0)</f>
        <v/>
      </c>
      <c r="N2363">
        <f>G2363&lt;=$T$6</f>
        <v/>
      </c>
      <c r="O2363">
        <f>G2363&lt;=$T$12</f>
        <v/>
      </c>
      <c r="P2363">
        <f>OR(AND(H2363&gt;=$T$4,K2363&lt;=$T$5,N2363),M2363)</f>
        <v/>
      </c>
      <c r="Q2363">
        <f>OR(AND(I2363&gt;=$T$10,K2363&lt;=$T$11,O2363),M2363)</f>
        <v/>
      </c>
    </row>
    <row r="2364">
      <c r="A2364">
        <f>Data!E2479</f>
        <v/>
      </c>
      <c r="B2364">
        <f>Data!G2479</f>
        <v/>
      </c>
      <c r="C2364">
        <f>Data!H2479</f>
        <v/>
      </c>
      <c r="D2364">
        <f>Data!I2479</f>
        <v/>
      </c>
      <c r="E2364">
        <f>Data!M2479</f>
        <v/>
      </c>
      <c r="F2364">
        <f>Data!O2479</f>
        <v/>
      </c>
      <c r="G2364">
        <f>E2364-F2364</f>
        <v/>
      </c>
      <c r="H2364">
        <f>Data!P2479</f>
        <v/>
      </c>
      <c r="I2364">
        <f>G2364+H2364</f>
        <v/>
      </c>
      <c r="J2364">
        <f>F2364+G2364+H2364</f>
        <v/>
      </c>
      <c r="K2364">
        <f>Data!R2479</f>
        <v/>
      </c>
      <c r="L2364">
        <f>Data!T2479</f>
        <v/>
      </c>
      <c r="M2364">
        <f>AND(E2364=0,F2364=0,G2364=0,H2364=0,I2364=0,J2364=0,K2364=0,L2364=0)</f>
        <v/>
      </c>
      <c r="N2364">
        <f>G2364&lt;=$T$6</f>
        <v/>
      </c>
      <c r="O2364">
        <f>G2364&lt;=$T$12</f>
        <v/>
      </c>
      <c r="P2364">
        <f>OR(AND(H2364&gt;=$T$4,K2364&lt;=$T$5,N2364),M2364)</f>
        <v/>
      </c>
      <c r="Q2364">
        <f>OR(AND(I2364&gt;=$T$10,K2364&lt;=$T$11,O2364),M2364)</f>
        <v/>
      </c>
    </row>
    <row r="2365">
      <c r="A2365">
        <f>Data!E2480</f>
        <v/>
      </c>
      <c r="B2365">
        <f>Data!G2480</f>
        <v/>
      </c>
      <c r="C2365">
        <f>Data!H2480</f>
        <v/>
      </c>
      <c r="D2365">
        <f>Data!I2480</f>
        <v/>
      </c>
      <c r="E2365">
        <f>Data!M2480</f>
        <v/>
      </c>
      <c r="F2365">
        <f>Data!O2480</f>
        <v/>
      </c>
      <c r="G2365">
        <f>E2365-F2365</f>
        <v/>
      </c>
      <c r="H2365">
        <f>Data!P2480</f>
        <v/>
      </c>
      <c r="I2365">
        <f>G2365+H2365</f>
        <v/>
      </c>
      <c r="J2365">
        <f>F2365+G2365+H2365</f>
        <v/>
      </c>
      <c r="K2365">
        <f>Data!R2480</f>
        <v/>
      </c>
      <c r="L2365">
        <f>Data!T2480</f>
        <v/>
      </c>
      <c r="M2365">
        <f>AND(E2365=0,F2365=0,G2365=0,H2365=0,I2365=0,J2365=0,K2365=0,L2365=0)</f>
        <v/>
      </c>
      <c r="N2365">
        <f>G2365&lt;=$T$6</f>
        <v/>
      </c>
      <c r="O2365">
        <f>G2365&lt;=$T$12</f>
        <v/>
      </c>
      <c r="P2365">
        <f>OR(AND(H2365&gt;=$T$4,K2365&lt;=$T$5,N2365),M2365)</f>
        <v/>
      </c>
      <c r="Q2365">
        <f>OR(AND(I2365&gt;=$T$10,K2365&lt;=$T$11,O2365),M2365)</f>
        <v/>
      </c>
    </row>
    <row r="2366">
      <c r="A2366">
        <f>Data!E2481</f>
        <v/>
      </c>
      <c r="B2366">
        <f>Data!G2481</f>
        <v/>
      </c>
      <c r="C2366">
        <f>Data!H2481</f>
        <v/>
      </c>
      <c r="D2366">
        <f>Data!I2481</f>
        <v/>
      </c>
      <c r="E2366">
        <f>Data!M2481</f>
        <v/>
      </c>
      <c r="F2366">
        <f>Data!O2481</f>
        <v/>
      </c>
      <c r="G2366">
        <f>E2366-F2366</f>
        <v/>
      </c>
      <c r="H2366">
        <f>Data!P2481</f>
        <v/>
      </c>
      <c r="I2366">
        <f>G2366+H2366</f>
        <v/>
      </c>
      <c r="J2366">
        <f>F2366+G2366+H2366</f>
        <v/>
      </c>
      <c r="K2366">
        <f>Data!R2481</f>
        <v/>
      </c>
      <c r="L2366">
        <f>Data!T2481</f>
        <v/>
      </c>
      <c r="M2366">
        <f>AND(E2366=0,F2366=0,G2366=0,H2366=0,I2366=0,J2366=0,K2366=0,L2366=0)</f>
        <v/>
      </c>
      <c r="N2366">
        <f>G2366&lt;=$T$6</f>
        <v/>
      </c>
      <c r="O2366">
        <f>G2366&lt;=$T$12</f>
        <v/>
      </c>
      <c r="P2366">
        <f>OR(AND(H2366&gt;=$T$4,K2366&lt;=$T$5,N2366),M2366)</f>
        <v/>
      </c>
      <c r="Q2366">
        <f>OR(AND(I2366&gt;=$T$10,K2366&lt;=$T$11,O2366),M2366)</f>
        <v/>
      </c>
    </row>
    <row r="2367">
      <c r="A2367">
        <f>Data!E2482</f>
        <v/>
      </c>
      <c r="B2367">
        <f>Data!G2482</f>
        <v/>
      </c>
      <c r="C2367">
        <f>Data!H2482</f>
        <v/>
      </c>
      <c r="D2367">
        <f>Data!I2482</f>
        <v/>
      </c>
      <c r="E2367">
        <f>Data!M2482</f>
        <v/>
      </c>
      <c r="F2367">
        <f>Data!O2482</f>
        <v/>
      </c>
      <c r="G2367">
        <f>E2367-F2367</f>
        <v/>
      </c>
      <c r="H2367">
        <f>Data!P2482</f>
        <v/>
      </c>
      <c r="I2367">
        <f>G2367+H2367</f>
        <v/>
      </c>
      <c r="J2367">
        <f>F2367+G2367+H2367</f>
        <v/>
      </c>
      <c r="K2367">
        <f>Data!R2482</f>
        <v/>
      </c>
      <c r="L2367">
        <f>Data!T2482</f>
        <v/>
      </c>
      <c r="M2367">
        <f>AND(E2367=0,F2367=0,G2367=0,H2367=0,I2367=0,J2367=0,K2367=0,L2367=0)</f>
        <v/>
      </c>
      <c r="N2367">
        <f>G2367&lt;=$T$6</f>
        <v/>
      </c>
      <c r="O2367">
        <f>G2367&lt;=$T$12</f>
        <v/>
      </c>
      <c r="P2367">
        <f>OR(AND(H2367&gt;=$T$4,K2367&lt;=$T$5,N2367),M2367)</f>
        <v/>
      </c>
      <c r="Q2367">
        <f>OR(AND(I2367&gt;=$T$10,K2367&lt;=$T$11,O2367),M2367)</f>
        <v/>
      </c>
    </row>
    <row r="2368">
      <c r="A2368">
        <f>Data!E2483</f>
        <v/>
      </c>
      <c r="B2368">
        <f>Data!G2483</f>
        <v/>
      </c>
      <c r="C2368">
        <f>Data!H2483</f>
        <v/>
      </c>
      <c r="D2368">
        <f>Data!I2483</f>
        <v/>
      </c>
      <c r="E2368">
        <f>Data!M2483</f>
        <v/>
      </c>
      <c r="F2368">
        <f>Data!O2483</f>
        <v/>
      </c>
      <c r="G2368">
        <f>E2368-F2368</f>
        <v/>
      </c>
      <c r="H2368">
        <f>Data!P2483</f>
        <v/>
      </c>
      <c r="I2368">
        <f>G2368+H2368</f>
        <v/>
      </c>
      <c r="J2368">
        <f>F2368+G2368+H2368</f>
        <v/>
      </c>
      <c r="K2368">
        <f>Data!R2483</f>
        <v/>
      </c>
      <c r="L2368">
        <f>Data!T2483</f>
        <v/>
      </c>
      <c r="M2368">
        <f>AND(E2368=0,F2368=0,G2368=0,H2368=0,I2368=0,J2368=0,K2368=0,L2368=0)</f>
        <v/>
      </c>
      <c r="N2368">
        <f>G2368&lt;=$T$6</f>
        <v/>
      </c>
      <c r="O2368">
        <f>G2368&lt;=$T$12</f>
        <v/>
      </c>
      <c r="P2368">
        <f>OR(AND(H2368&gt;=$T$4,K2368&lt;=$T$5,N2368),M2368)</f>
        <v/>
      </c>
      <c r="Q2368">
        <f>OR(AND(I2368&gt;=$T$10,K2368&lt;=$T$11,O2368),M2368)</f>
        <v/>
      </c>
    </row>
    <row r="2369">
      <c r="A2369">
        <f>Data!E2484</f>
        <v/>
      </c>
      <c r="B2369">
        <f>Data!G2484</f>
        <v/>
      </c>
      <c r="C2369">
        <f>Data!H2484</f>
        <v/>
      </c>
      <c r="D2369">
        <f>Data!I2484</f>
        <v/>
      </c>
      <c r="E2369">
        <f>Data!M2484</f>
        <v/>
      </c>
      <c r="F2369">
        <f>Data!O2484</f>
        <v/>
      </c>
      <c r="G2369">
        <f>E2369-F2369</f>
        <v/>
      </c>
      <c r="H2369">
        <f>Data!P2484</f>
        <v/>
      </c>
      <c r="I2369">
        <f>G2369+H2369</f>
        <v/>
      </c>
      <c r="J2369">
        <f>F2369+G2369+H2369</f>
        <v/>
      </c>
      <c r="K2369">
        <f>Data!R2484</f>
        <v/>
      </c>
      <c r="L2369">
        <f>Data!T2484</f>
        <v/>
      </c>
      <c r="M2369">
        <f>AND(E2369=0,F2369=0,G2369=0,H2369=0,I2369=0,J2369=0,K2369=0,L2369=0)</f>
        <v/>
      </c>
      <c r="N2369">
        <f>G2369&lt;=$T$6</f>
        <v/>
      </c>
      <c r="O2369">
        <f>G2369&lt;=$T$12</f>
        <v/>
      </c>
      <c r="P2369">
        <f>OR(AND(H2369&gt;=$T$4,K2369&lt;=$T$5,N2369),M2369)</f>
        <v/>
      </c>
      <c r="Q2369">
        <f>OR(AND(I2369&gt;=$T$10,K2369&lt;=$T$11,O2369),M2369)</f>
        <v/>
      </c>
    </row>
    <row r="2370">
      <c r="A2370">
        <f>Data!E2486</f>
        <v/>
      </c>
      <c r="B2370">
        <f>Data!G2486</f>
        <v/>
      </c>
      <c r="C2370">
        <f>Data!H2486</f>
        <v/>
      </c>
      <c r="D2370">
        <f>Data!I2486</f>
        <v/>
      </c>
      <c r="E2370">
        <f>Data!M2486</f>
        <v/>
      </c>
      <c r="F2370">
        <f>Data!O2486</f>
        <v/>
      </c>
      <c r="G2370">
        <f>E2370-F2370</f>
        <v/>
      </c>
      <c r="H2370">
        <f>Data!P2486</f>
        <v/>
      </c>
      <c r="I2370">
        <f>G2370+H2370</f>
        <v/>
      </c>
      <c r="J2370">
        <f>F2370+G2370+H2370</f>
        <v/>
      </c>
      <c r="K2370">
        <f>Data!R2486</f>
        <v/>
      </c>
      <c r="L2370">
        <f>Data!T2486</f>
        <v/>
      </c>
      <c r="M2370">
        <f>AND(E2370=0,F2370=0,G2370=0,H2370=0,I2370=0,J2370=0,K2370=0,L2370=0)</f>
        <v/>
      </c>
      <c r="N2370">
        <f>G2370&lt;=$T$6</f>
        <v/>
      </c>
      <c r="O2370">
        <f>G2370&lt;=$T$12</f>
        <v/>
      </c>
      <c r="P2370">
        <f>OR(AND(H2370&gt;=$T$4,K2370&lt;=$T$5,N2370),M2370)</f>
        <v/>
      </c>
      <c r="Q2370">
        <f>OR(AND(I2370&gt;=$T$10,K2370&lt;=$T$11,O2370),M2370)</f>
        <v/>
      </c>
    </row>
    <row r="2371">
      <c r="A2371">
        <f>Data!E2487</f>
        <v/>
      </c>
      <c r="B2371">
        <f>Data!G2487</f>
        <v/>
      </c>
      <c r="C2371">
        <f>Data!H2487</f>
        <v/>
      </c>
      <c r="D2371">
        <f>Data!I2487</f>
        <v/>
      </c>
      <c r="E2371">
        <f>Data!M2487</f>
        <v/>
      </c>
      <c r="F2371">
        <f>Data!O2487</f>
        <v/>
      </c>
      <c r="G2371">
        <f>E2371-F2371</f>
        <v/>
      </c>
      <c r="H2371">
        <f>Data!P2487</f>
        <v/>
      </c>
      <c r="I2371">
        <f>G2371+H2371</f>
        <v/>
      </c>
      <c r="J2371">
        <f>F2371+G2371+H2371</f>
        <v/>
      </c>
      <c r="K2371">
        <f>Data!R2487</f>
        <v/>
      </c>
      <c r="L2371">
        <f>Data!T2487</f>
        <v/>
      </c>
      <c r="M2371">
        <f>AND(E2371=0,F2371=0,G2371=0,H2371=0,I2371=0,J2371=0,K2371=0,L2371=0)</f>
        <v/>
      </c>
      <c r="N2371">
        <f>G2371&lt;=$T$6</f>
        <v/>
      </c>
      <c r="O2371">
        <f>G2371&lt;=$T$12</f>
        <v/>
      </c>
      <c r="P2371">
        <f>OR(AND(H2371&gt;=$T$4,K2371&lt;=$T$5,N2371),M2371)</f>
        <v/>
      </c>
      <c r="Q2371">
        <f>OR(AND(I2371&gt;=$T$10,K2371&lt;=$T$11,O2371),M2371)</f>
        <v/>
      </c>
    </row>
    <row r="2372">
      <c r="A2372">
        <f>Data!E2488</f>
        <v/>
      </c>
      <c r="B2372">
        <f>Data!G2488</f>
        <v/>
      </c>
      <c r="C2372">
        <f>Data!H2488</f>
        <v/>
      </c>
      <c r="D2372">
        <f>Data!I2488</f>
        <v/>
      </c>
      <c r="E2372">
        <f>Data!M2488</f>
        <v/>
      </c>
      <c r="F2372">
        <f>Data!O2488</f>
        <v/>
      </c>
      <c r="G2372">
        <f>E2372-F2372</f>
        <v/>
      </c>
      <c r="H2372">
        <f>Data!P2488</f>
        <v/>
      </c>
      <c r="I2372">
        <f>G2372+H2372</f>
        <v/>
      </c>
      <c r="J2372">
        <f>F2372+G2372+H2372</f>
        <v/>
      </c>
      <c r="K2372">
        <f>Data!R2488</f>
        <v/>
      </c>
      <c r="L2372">
        <f>Data!T2488</f>
        <v/>
      </c>
      <c r="M2372">
        <f>AND(E2372=0,F2372=0,G2372=0,H2372=0,I2372=0,J2372=0,K2372=0,L2372=0)</f>
        <v/>
      </c>
      <c r="N2372">
        <f>G2372&lt;=$T$6</f>
        <v/>
      </c>
      <c r="O2372">
        <f>G2372&lt;=$T$12</f>
        <v/>
      </c>
      <c r="P2372">
        <f>OR(AND(H2372&gt;=$T$4,K2372&lt;=$T$5,N2372),M2372)</f>
        <v/>
      </c>
      <c r="Q2372">
        <f>OR(AND(I2372&gt;=$T$10,K2372&lt;=$T$11,O2372),M2372)</f>
        <v/>
      </c>
    </row>
    <row r="2373">
      <c r="A2373">
        <f>Data!E2489</f>
        <v/>
      </c>
      <c r="B2373">
        <f>Data!G2489</f>
        <v/>
      </c>
      <c r="C2373">
        <f>Data!H2489</f>
        <v/>
      </c>
      <c r="D2373">
        <f>Data!I2489</f>
        <v/>
      </c>
      <c r="E2373">
        <f>Data!M2489</f>
        <v/>
      </c>
      <c r="F2373">
        <f>Data!O2489</f>
        <v/>
      </c>
      <c r="G2373">
        <f>E2373-F2373</f>
        <v/>
      </c>
      <c r="H2373">
        <f>Data!P2489</f>
        <v/>
      </c>
      <c r="I2373">
        <f>G2373+H2373</f>
        <v/>
      </c>
      <c r="J2373">
        <f>F2373+G2373+H2373</f>
        <v/>
      </c>
      <c r="K2373">
        <f>Data!R2489</f>
        <v/>
      </c>
      <c r="L2373">
        <f>Data!T2489</f>
        <v/>
      </c>
      <c r="M2373">
        <f>AND(E2373=0,F2373=0,G2373=0,H2373=0,I2373=0,J2373=0,K2373=0,L2373=0)</f>
        <v/>
      </c>
      <c r="N2373">
        <f>G2373&lt;=$T$6</f>
        <v/>
      </c>
      <c r="O2373">
        <f>G2373&lt;=$T$12</f>
        <v/>
      </c>
      <c r="P2373">
        <f>OR(AND(H2373&gt;=$T$4,K2373&lt;=$T$5,N2373),M2373)</f>
        <v/>
      </c>
      <c r="Q2373">
        <f>OR(AND(I2373&gt;=$T$10,K2373&lt;=$T$11,O2373),M2373)</f>
        <v/>
      </c>
    </row>
    <row r="2374">
      <c r="A2374">
        <f>Data!E2490</f>
        <v/>
      </c>
      <c r="B2374">
        <f>Data!G2490</f>
        <v/>
      </c>
      <c r="C2374">
        <f>Data!H2490</f>
        <v/>
      </c>
      <c r="D2374">
        <f>Data!I2490</f>
        <v/>
      </c>
      <c r="E2374">
        <f>Data!M2490</f>
        <v/>
      </c>
      <c r="F2374">
        <f>Data!O2490</f>
        <v/>
      </c>
      <c r="G2374">
        <f>E2374-F2374</f>
        <v/>
      </c>
      <c r="H2374">
        <f>Data!P2490</f>
        <v/>
      </c>
      <c r="I2374">
        <f>G2374+H2374</f>
        <v/>
      </c>
      <c r="J2374">
        <f>F2374+G2374+H2374</f>
        <v/>
      </c>
      <c r="K2374">
        <f>Data!R2490</f>
        <v/>
      </c>
      <c r="L2374">
        <f>Data!T2490</f>
        <v/>
      </c>
      <c r="M2374">
        <f>AND(E2374=0,F2374=0,G2374=0,H2374=0,I2374=0,J2374=0,K2374=0,L2374=0)</f>
        <v/>
      </c>
      <c r="N2374">
        <f>G2374&lt;=$T$6</f>
        <v/>
      </c>
      <c r="O2374">
        <f>G2374&lt;=$T$12</f>
        <v/>
      </c>
      <c r="P2374">
        <f>OR(AND(H2374&gt;=$T$4,K2374&lt;=$T$5,N2374),M2374)</f>
        <v/>
      </c>
      <c r="Q2374">
        <f>OR(AND(I2374&gt;=$T$10,K2374&lt;=$T$11,O2374),M2374)</f>
        <v/>
      </c>
    </row>
    <row r="2375">
      <c r="A2375">
        <f>Data!E2491</f>
        <v/>
      </c>
      <c r="B2375">
        <f>Data!G2491</f>
        <v/>
      </c>
      <c r="C2375">
        <f>Data!H2491</f>
        <v/>
      </c>
      <c r="D2375">
        <f>Data!I2491</f>
        <v/>
      </c>
      <c r="E2375">
        <f>Data!M2491</f>
        <v/>
      </c>
      <c r="F2375">
        <f>Data!O2491</f>
        <v/>
      </c>
      <c r="G2375">
        <f>E2375-F2375</f>
        <v/>
      </c>
      <c r="H2375">
        <f>Data!P2491</f>
        <v/>
      </c>
      <c r="I2375">
        <f>G2375+H2375</f>
        <v/>
      </c>
      <c r="J2375">
        <f>F2375+G2375+H2375</f>
        <v/>
      </c>
      <c r="K2375">
        <f>Data!R2491</f>
        <v/>
      </c>
      <c r="L2375">
        <f>Data!T2491</f>
        <v/>
      </c>
      <c r="M2375">
        <f>AND(E2375=0,F2375=0,G2375=0,H2375=0,I2375=0,J2375=0,K2375=0,L2375=0)</f>
        <v/>
      </c>
      <c r="N2375">
        <f>G2375&lt;=$T$6</f>
        <v/>
      </c>
      <c r="O2375">
        <f>G2375&lt;=$T$12</f>
        <v/>
      </c>
      <c r="P2375">
        <f>OR(AND(H2375&gt;=$T$4,K2375&lt;=$T$5,N2375),M2375)</f>
        <v/>
      </c>
      <c r="Q2375">
        <f>OR(AND(I2375&gt;=$T$10,K2375&lt;=$T$11,O2375),M2375)</f>
        <v/>
      </c>
    </row>
    <row r="2376">
      <c r="A2376">
        <f>Data!E2492</f>
        <v/>
      </c>
      <c r="B2376">
        <f>Data!G2492</f>
        <v/>
      </c>
      <c r="C2376">
        <f>Data!H2492</f>
        <v/>
      </c>
      <c r="D2376">
        <f>Data!I2492</f>
        <v/>
      </c>
      <c r="E2376">
        <f>Data!M2492</f>
        <v/>
      </c>
      <c r="F2376">
        <f>Data!O2492</f>
        <v/>
      </c>
      <c r="G2376">
        <f>E2376-F2376</f>
        <v/>
      </c>
      <c r="H2376">
        <f>Data!P2492</f>
        <v/>
      </c>
      <c r="I2376">
        <f>G2376+H2376</f>
        <v/>
      </c>
      <c r="J2376">
        <f>F2376+G2376+H2376</f>
        <v/>
      </c>
      <c r="K2376">
        <f>Data!R2492</f>
        <v/>
      </c>
      <c r="L2376">
        <f>Data!T2492</f>
        <v/>
      </c>
      <c r="M2376">
        <f>AND(E2376=0,F2376=0,G2376=0,H2376=0,I2376=0,J2376=0,K2376=0,L2376=0)</f>
        <v/>
      </c>
      <c r="N2376">
        <f>G2376&lt;=$T$6</f>
        <v/>
      </c>
      <c r="O2376">
        <f>G2376&lt;=$T$12</f>
        <v/>
      </c>
      <c r="P2376">
        <f>OR(AND(H2376&gt;=$T$4,K2376&lt;=$T$5,N2376),M2376)</f>
        <v/>
      </c>
      <c r="Q2376">
        <f>OR(AND(I2376&gt;=$T$10,K2376&lt;=$T$11,O2376),M2376)</f>
        <v/>
      </c>
    </row>
    <row r="2377">
      <c r="A2377">
        <f>Data!E2493</f>
        <v/>
      </c>
      <c r="B2377">
        <f>Data!G2493</f>
        <v/>
      </c>
      <c r="C2377">
        <f>Data!H2493</f>
        <v/>
      </c>
      <c r="D2377">
        <f>Data!I2493</f>
        <v/>
      </c>
      <c r="E2377">
        <f>Data!M2493</f>
        <v/>
      </c>
      <c r="F2377">
        <f>Data!O2493</f>
        <v/>
      </c>
      <c r="G2377">
        <f>E2377-F2377</f>
        <v/>
      </c>
      <c r="H2377">
        <f>Data!P2493</f>
        <v/>
      </c>
      <c r="I2377">
        <f>G2377+H2377</f>
        <v/>
      </c>
      <c r="J2377">
        <f>F2377+G2377+H2377</f>
        <v/>
      </c>
      <c r="K2377">
        <f>Data!R2493</f>
        <v/>
      </c>
      <c r="L2377">
        <f>Data!T2493</f>
        <v/>
      </c>
      <c r="M2377">
        <f>AND(E2377=0,F2377=0,G2377=0,H2377=0,I2377=0,J2377=0,K2377=0,L2377=0)</f>
        <v/>
      </c>
      <c r="N2377">
        <f>G2377&lt;=$T$6</f>
        <v/>
      </c>
      <c r="O2377">
        <f>G2377&lt;=$T$12</f>
        <v/>
      </c>
      <c r="P2377">
        <f>OR(AND(H2377&gt;=$T$4,K2377&lt;=$T$5,N2377),M2377)</f>
        <v/>
      </c>
      <c r="Q2377">
        <f>OR(AND(I2377&gt;=$T$10,K2377&lt;=$T$11,O2377),M2377)</f>
        <v/>
      </c>
    </row>
    <row r="2378">
      <c r="A2378">
        <f>Data!E2494</f>
        <v/>
      </c>
      <c r="B2378">
        <f>Data!G2494</f>
        <v/>
      </c>
      <c r="C2378">
        <f>Data!H2494</f>
        <v/>
      </c>
      <c r="D2378">
        <f>Data!I2494</f>
        <v/>
      </c>
      <c r="E2378">
        <f>Data!M2494</f>
        <v/>
      </c>
      <c r="F2378">
        <f>Data!O2494</f>
        <v/>
      </c>
      <c r="G2378">
        <f>E2378-F2378</f>
        <v/>
      </c>
      <c r="H2378">
        <f>Data!P2494</f>
        <v/>
      </c>
      <c r="I2378">
        <f>G2378+H2378</f>
        <v/>
      </c>
      <c r="J2378">
        <f>F2378+G2378+H2378</f>
        <v/>
      </c>
      <c r="K2378">
        <f>Data!R2494</f>
        <v/>
      </c>
      <c r="L2378">
        <f>Data!T2494</f>
        <v/>
      </c>
      <c r="M2378">
        <f>AND(E2378=0,F2378=0,G2378=0,H2378=0,I2378=0,J2378=0,K2378=0,L2378=0)</f>
        <v/>
      </c>
      <c r="N2378">
        <f>G2378&lt;=$T$6</f>
        <v/>
      </c>
      <c r="O2378">
        <f>G2378&lt;=$T$12</f>
        <v/>
      </c>
      <c r="P2378">
        <f>OR(AND(H2378&gt;=$T$4,K2378&lt;=$T$5,N2378),M2378)</f>
        <v/>
      </c>
      <c r="Q2378">
        <f>OR(AND(I2378&gt;=$T$10,K2378&lt;=$T$11,O2378),M2378)</f>
        <v/>
      </c>
    </row>
    <row r="2379">
      <c r="A2379">
        <f>Data!E2495</f>
        <v/>
      </c>
      <c r="B2379">
        <f>Data!G2495</f>
        <v/>
      </c>
      <c r="C2379">
        <f>Data!H2495</f>
        <v/>
      </c>
      <c r="D2379">
        <f>Data!I2495</f>
        <v/>
      </c>
      <c r="E2379">
        <f>Data!M2495</f>
        <v/>
      </c>
      <c r="F2379">
        <f>Data!O2495</f>
        <v/>
      </c>
      <c r="G2379">
        <f>E2379-F2379</f>
        <v/>
      </c>
      <c r="H2379">
        <f>Data!P2495</f>
        <v/>
      </c>
      <c r="I2379">
        <f>G2379+H2379</f>
        <v/>
      </c>
      <c r="J2379">
        <f>F2379+G2379+H2379</f>
        <v/>
      </c>
      <c r="K2379">
        <f>Data!R2495</f>
        <v/>
      </c>
      <c r="L2379">
        <f>Data!T2495</f>
        <v/>
      </c>
      <c r="M2379">
        <f>AND(E2379=0,F2379=0,G2379=0,H2379=0,I2379=0,J2379=0,K2379=0,L2379=0)</f>
        <v/>
      </c>
      <c r="N2379">
        <f>G2379&lt;=$T$6</f>
        <v/>
      </c>
      <c r="O2379">
        <f>G2379&lt;=$T$12</f>
        <v/>
      </c>
      <c r="P2379">
        <f>OR(AND(H2379&gt;=$T$4,K2379&lt;=$T$5,N2379),M2379)</f>
        <v/>
      </c>
      <c r="Q2379">
        <f>OR(AND(I2379&gt;=$T$10,K2379&lt;=$T$11,O2379),M2379)</f>
        <v/>
      </c>
    </row>
    <row r="2380">
      <c r="A2380">
        <f>Data!E2496</f>
        <v/>
      </c>
      <c r="B2380">
        <f>Data!G2496</f>
        <v/>
      </c>
      <c r="C2380">
        <f>Data!H2496</f>
        <v/>
      </c>
      <c r="D2380">
        <f>Data!I2496</f>
        <v/>
      </c>
      <c r="E2380">
        <f>Data!M2496</f>
        <v/>
      </c>
      <c r="F2380">
        <f>Data!O2496</f>
        <v/>
      </c>
      <c r="G2380">
        <f>E2380-F2380</f>
        <v/>
      </c>
      <c r="H2380">
        <f>Data!P2496</f>
        <v/>
      </c>
      <c r="I2380">
        <f>G2380+H2380</f>
        <v/>
      </c>
      <c r="J2380">
        <f>F2380+G2380+H2380</f>
        <v/>
      </c>
      <c r="K2380">
        <f>Data!R2496</f>
        <v/>
      </c>
      <c r="L2380">
        <f>Data!T2496</f>
        <v/>
      </c>
      <c r="M2380">
        <f>AND(E2380=0,F2380=0,G2380=0,H2380=0,I2380=0,J2380=0,K2380=0,L2380=0)</f>
        <v/>
      </c>
      <c r="N2380">
        <f>G2380&lt;=$T$6</f>
        <v/>
      </c>
      <c r="O2380">
        <f>G2380&lt;=$T$12</f>
        <v/>
      </c>
      <c r="P2380">
        <f>OR(AND(H2380&gt;=$T$4,K2380&lt;=$T$5,N2380),M2380)</f>
        <v/>
      </c>
      <c r="Q2380">
        <f>OR(AND(I2380&gt;=$T$10,K2380&lt;=$T$11,O2380),M2380)</f>
        <v/>
      </c>
    </row>
    <row r="2381">
      <c r="A2381">
        <f>Data!E2497</f>
        <v/>
      </c>
      <c r="B2381">
        <f>Data!G2497</f>
        <v/>
      </c>
      <c r="C2381">
        <f>Data!H2497</f>
        <v/>
      </c>
      <c r="D2381">
        <f>Data!I2497</f>
        <v/>
      </c>
      <c r="E2381">
        <f>Data!M2497</f>
        <v/>
      </c>
      <c r="F2381">
        <f>Data!O2497</f>
        <v/>
      </c>
      <c r="G2381">
        <f>E2381-F2381</f>
        <v/>
      </c>
      <c r="H2381">
        <f>Data!P2497</f>
        <v/>
      </c>
      <c r="I2381">
        <f>G2381+H2381</f>
        <v/>
      </c>
      <c r="J2381">
        <f>F2381+G2381+H2381</f>
        <v/>
      </c>
      <c r="K2381">
        <f>Data!R2497</f>
        <v/>
      </c>
      <c r="L2381">
        <f>Data!T2497</f>
        <v/>
      </c>
      <c r="M2381">
        <f>AND(E2381=0,F2381=0,G2381=0,H2381=0,I2381=0,J2381=0,K2381=0,L2381=0)</f>
        <v/>
      </c>
      <c r="N2381">
        <f>G2381&lt;=$T$6</f>
        <v/>
      </c>
      <c r="O2381">
        <f>G2381&lt;=$T$12</f>
        <v/>
      </c>
      <c r="P2381">
        <f>OR(AND(H2381&gt;=$T$4,K2381&lt;=$T$5,N2381),M2381)</f>
        <v/>
      </c>
      <c r="Q2381">
        <f>OR(AND(I2381&gt;=$T$10,K2381&lt;=$T$11,O2381),M2381)</f>
        <v/>
      </c>
    </row>
    <row r="2382">
      <c r="A2382">
        <f>Data!E2498</f>
        <v/>
      </c>
      <c r="B2382">
        <f>Data!G2498</f>
        <v/>
      </c>
      <c r="C2382">
        <f>Data!H2498</f>
        <v/>
      </c>
      <c r="D2382">
        <f>Data!I2498</f>
        <v/>
      </c>
      <c r="E2382">
        <f>Data!M2498</f>
        <v/>
      </c>
      <c r="F2382">
        <f>Data!O2498</f>
        <v/>
      </c>
      <c r="G2382">
        <f>E2382-F2382</f>
        <v/>
      </c>
      <c r="H2382">
        <f>Data!P2498</f>
        <v/>
      </c>
      <c r="I2382">
        <f>G2382+H2382</f>
        <v/>
      </c>
      <c r="J2382">
        <f>F2382+G2382+H2382</f>
        <v/>
      </c>
      <c r="K2382">
        <f>Data!R2498</f>
        <v/>
      </c>
      <c r="L2382">
        <f>Data!T2498</f>
        <v/>
      </c>
      <c r="M2382">
        <f>AND(E2382=0,F2382=0,G2382=0,H2382=0,I2382=0,J2382=0,K2382=0,L2382=0)</f>
        <v/>
      </c>
      <c r="N2382">
        <f>G2382&lt;=$T$6</f>
        <v/>
      </c>
      <c r="O2382">
        <f>G2382&lt;=$T$12</f>
        <v/>
      </c>
      <c r="P2382">
        <f>OR(AND(H2382&gt;=$T$4,K2382&lt;=$T$5,N2382),M2382)</f>
        <v/>
      </c>
      <c r="Q2382">
        <f>OR(AND(I2382&gt;=$T$10,K2382&lt;=$T$11,O2382),M2382)</f>
        <v/>
      </c>
    </row>
    <row r="2383">
      <c r="A2383">
        <f>Data!E2499</f>
        <v/>
      </c>
      <c r="B2383">
        <f>Data!G2499</f>
        <v/>
      </c>
      <c r="C2383">
        <f>Data!H2499</f>
        <v/>
      </c>
      <c r="D2383">
        <f>Data!I2499</f>
        <v/>
      </c>
      <c r="E2383">
        <f>Data!M2499</f>
        <v/>
      </c>
      <c r="F2383">
        <f>Data!O2499</f>
        <v/>
      </c>
      <c r="G2383">
        <f>E2383-F2383</f>
        <v/>
      </c>
      <c r="H2383">
        <f>Data!P2499</f>
        <v/>
      </c>
      <c r="I2383">
        <f>G2383+H2383</f>
        <v/>
      </c>
      <c r="J2383">
        <f>F2383+G2383+H2383</f>
        <v/>
      </c>
      <c r="K2383">
        <f>Data!R2499</f>
        <v/>
      </c>
      <c r="L2383">
        <f>Data!T2499</f>
        <v/>
      </c>
      <c r="M2383">
        <f>AND(E2383=0,F2383=0,G2383=0,H2383=0,I2383=0,J2383=0,K2383=0,L2383=0)</f>
        <v/>
      </c>
      <c r="N2383">
        <f>G2383&lt;=$T$6</f>
        <v/>
      </c>
      <c r="O2383">
        <f>G2383&lt;=$T$12</f>
        <v/>
      </c>
      <c r="P2383">
        <f>OR(AND(H2383&gt;=$T$4,K2383&lt;=$T$5,N2383),M2383)</f>
        <v/>
      </c>
      <c r="Q2383">
        <f>OR(AND(I2383&gt;=$T$10,K2383&lt;=$T$11,O2383),M2383)</f>
        <v/>
      </c>
    </row>
    <row r="2384">
      <c r="A2384">
        <f>Data!E2500</f>
        <v/>
      </c>
      <c r="B2384">
        <f>Data!G2500</f>
        <v/>
      </c>
      <c r="C2384">
        <f>Data!H2500</f>
        <v/>
      </c>
      <c r="D2384">
        <f>Data!I2500</f>
        <v/>
      </c>
      <c r="E2384">
        <f>Data!M2500</f>
        <v/>
      </c>
      <c r="F2384">
        <f>Data!O2500</f>
        <v/>
      </c>
      <c r="G2384">
        <f>E2384-F2384</f>
        <v/>
      </c>
      <c r="H2384">
        <f>Data!P2500</f>
        <v/>
      </c>
      <c r="I2384">
        <f>G2384+H2384</f>
        <v/>
      </c>
      <c r="J2384">
        <f>F2384+G2384+H2384</f>
        <v/>
      </c>
      <c r="K2384">
        <f>Data!R2500</f>
        <v/>
      </c>
      <c r="L2384">
        <f>Data!T2500</f>
        <v/>
      </c>
      <c r="M2384">
        <f>AND(E2384=0,F2384=0,G2384=0,H2384=0,I2384=0,J2384=0,K2384=0,L2384=0)</f>
        <v/>
      </c>
      <c r="N2384">
        <f>G2384&lt;=$T$6</f>
        <v/>
      </c>
      <c r="O2384">
        <f>G2384&lt;=$T$12</f>
        <v/>
      </c>
      <c r="P2384">
        <f>OR(AND(H2384&gt;=$T$4,K2384&lt;=$T$5,N2384),M2384)</f>
        <v/>
      </c>
      <c r="Q2384">
        <f>OR(AND(I2384&gt;=$T$10,K2384&lt;=$T$11,O2384),M2384)</f>
        <v/>
      </c>
    </row>
    <row r="2385">
      <c r="A2385">
        <f>Data!E2501</f>
        <v/>
      </c>
      <c r="B2385">
        <f>Data!G2501</f>
        <v/>
      </c>
      <c r="C2385">
        <f>Data!H2501</f>
        <v/>
      </c>
      <c r="D2385">
        <f>Data!I2501</f>
        <v/>
      </c>
      <c r="E2385">
        <f>Data!M2501</f>
        <v/>
      </c>
      <c r="F2385">
        <f>Data!O2501</f>
        <v/>
      </c>
      <c r="G2385">
        <f>E2385-F2385</f>
        <v/>
      </c>
      <c r="H2385">
        <f>Data!P2501</f>
        <v/>
      </c>
      <c r="I2385">
        <f>G2385+H2385</f>
        <v/>
      </c>
      <c r="J2385">
        <f>F2385+G2385+H2385</f>
        <v/>
      </c>
      <c r="K2385">
        <f>Data!R2501</f>
        <v/>
      </c>
      <c r="L2385">
        <f>Data!T2501</f>
        <v/>
      </c>
      <c r="M2385">
        <f>AND(E2385=0,F2385=0,G2385=0,H2385=0,I2385=0,J2385=0,K2385=0,L2385=0)</f>
        <v/>
      </c>
      <c r="N2385">
        <f>G2385&lt;=$T$6</f>
        <v/>
      </c>
      <c r="O2385">
        <f>G2385&lt;=$T$12</f>
        <v/>
      </c>
      <c r="P2385">
        <f>OR(AND(H2385&gt;=$T$4,K2385&lt;=$T$5,N2385),M2385)</f>
        <v/>
      </c>
      <c r="Q2385">
        <f>OR(AND(I2385&gt;=$T$10,K2385&lt;=$T$11,O2385),M2385)</f>
        <v/>
      </c>
    </row>
    <row r="2386">
      <c r="A2386">
        <f>Data!E2502</f>
        <v/>
      </c>
      <c r="B2386">
        <f>Data!G2502</f>
        <v/>
      </c>
      <c r="C2386">
        <f>Data!H2502</f>
        <v/>
      </c>
      <c r="D2386">
        <f>Data!I2502</f>
        <v/>
      </c>
      <c r="E2386">
        <f>Data!M2502</f>
        <v/>
      </c>
      <c r="F2386">
        <f>Data!O2502</f>
        <v/>
      </c>
      <c r="G2386">
        <f>E2386-F2386</f>
        <v/>
      </c>
      <c r="H2386">
        <f>Data!P2502</f>
        <v/>
      </c>
      <c r="I2386">
        <f>G2386+H2386</f>
        <v/>
      </c>
      <c r="J2386">
        <f>F2386+G2386+H2386</f>
        <v/>
      </c>
      <c r="K2386">
        <f>Data!R2502</f>
        <v/>
      </c>
      <c r="L2386">
        <f>Data!T2502</f>
        <v/>
      </c>
      <c r="M2386">
        <f>AND(E2386=0,F2386=0,G2386=0,H2386=0,I2386=0,J2386=0,K2386=0,L2386=0)</f>
        <v/>
      </c>
      <c r="N2386">
        <f>G2386&lt;=$T$6</f>
        <v/>
      </c>
      <c r="O2386">
        <f>G2386&lt;=$T$12</f>
        <v/>
      </c>
      <c r="P2386">
        <f>OR(AND(H2386&gt;=$T$4,K2386&lt;=$T$5,N2386),M2386)</f>
        <v/>
      </c>
      <c r="Q2386">
        <f>OR(AND(I2386&gt;=$T$10,K2386&lt;=$T$11,O2386),M2386)</f>
        <v/>
      </c>
    </row>
    <row r="2387">
      <c r="A2387">
        <f>Data!E2503</f>
        <v/>
      </c>
      <c r="B2387">
        <f>Data!G2503</f>
        <v/>
      </c>
      <c r="C2387">
        <f>Data!H2503</f>
        <v/>
      </c>
      <c r="D2387">
        <f>Data!I2503</f>
        <v/>
      </c>
      <c r="E2387">
        <f>Data!M2503</f>
        <v/>
      </c>
      <c r="F2387">
        <f>Data!O2503</f>
        <v/>
      </c>
      <c r="G2387">
        <f>E2387-F2387</f>
        <v/>
      </c>
      <c r="H2387">
        <f>Data!P2503</f>
        <v/>
      </c>
      <c r="I2387">
        <f>G2387+H2387</f>
        <v/>
      </c>
      <c r="J2387">
        <f>F2387+G2387+H2387</f>
        <v/>
      </c>
      <c r="K2387">
        <f>Data!R2503</f>
        <v/>
      </c>
      <c r="L2387">
        <f>Data!T2503</f>
        <v/>
      </c>
      <c r="M2387">
        <f>AND(E2387=0,F2387=0,G2387=0,H2387=0,I2387=0,J2387=0,K2387=0,L2387=0)</f>
        <v/>
      </c>
      <c r="N2387">
        <f>G2387&lt;=$T$6</f>
        <v/>
      </c>
      <c r="O2387">
        <f>G2387&lt;=$T$12</f>
        <v/>
      </c>
      <c r="P2387">
        <f>OR(AND(H2387&gt;=$T$4,K2387&lt;=$T$5,N2387),M2387)</f>
        <v/>
      </c>
      <c r="Q2387">
        <f>OR(AND(I2387&gt;=$T$10,K2387&lt;=$T$11,O2387),M2387)</f>
        <v/>
      </c>
    </row>
    <row r="2388">
      <c r="A2388">
        <f>Data!E2505</f>
        <v/>
      </c>
      <c r="B2388">
        <f>Data!G2505</f>
        <v/>
      </c>
      <c r="C2388">
        <f>Data!H2505</f>
        <v/>
      </c>
      <c r="D2388">
        <f>Data!I2505</f>
        <v/>
      </c>
      <c r="E2388">
        <f>Data!M2505</f>
        <v/>
      </c>
      <c r="F2388">
        <f>Data!O2505</f>
        <v/>
      </c>
      <c r="G2388">
        <f>E2388-F2388</f>
        <v/>
      </c>
      <c r="H2388">
        <f>Data!P2505</f>
        <v/>
      </c>
      <c r="I2388">
        <f>G2388+H2388</f>
        <v/>
      </c>
      <c r="J2388">
        <f>F2388+G2388+H2388</f>
        <v/>
      </c>
      <c r="K2388">
        <f>Data!R2505</f>
        <v/>
      </c>
      <c r="L2388">
        <f>Data!T2505</f>
        <v/>
      </c>
      <c r="M2388">
        <f>AND(E2388=0,F2388=0,G2388=0,H2388=0,I2388=0,J2388=0,K2388=0,L2388=0)</f>
        <v/>
      </c>
      <c r="N2388">
        <f>G2388&lt;=$T$6</f>
        <v/>
      </c>
      <c r="O2388">
        <f>G2388&lt;=$T$12</f>
        <v/>
      </c>
      <c r="P2388">
        <f>OR(AND(H2388&gt;=$T$4,K2388&lt;=$T$5,N2388),M2388)</f>
        <v/>
      </c>
      <c r="Q2388">
        <f>OR(AND(I2388&gt;=$T$10,K2388&lt;=$T$11,O2388),M2388)</f>
        <v/>
      </c>
    </row>
    <row r="2389">
      <c r="A2389">
        <f>Data!E2506</f>
        <v/>
      </c>
      <c r="B2389">
        <f>Data!G2506</f>
        <v/>
      </c>
      <c r="C2389">
        <f>Data!H2506</f>
        <v/>
      </c>
      <c r="D2389">
        <f>Data!I2506</f>
        <v/>
      </c>
      <c r="E2389">
        <f>Data!M2506</f>
        <v/>
      </c>
      <c r="F2389">
        <f>Data!O2506</f>
        <v/>
      </c>
      <c r="G2389">
        <f>E2389-F2389</f>
        <v/>
      </c>
      <c r="H2389">
        <f>Data!P2506</f>
        <v/>
      </c>
      <c r="I2389">
        <f>G2389+H2389</f>
        <v/>
      </c>
      <c r="J2389">
        <f>F2389+G2389+H2389</f>
        <v/>
      </c>
      <c r="K2389">
        <f>Data!R2506</f>
        <v/>
      </c>
      <c r="L2389">
        <f>Data!T2506</f>
        <v/>
      </c>
      <c r="M2389">
        <f>AND(E2389=0,F2389=0,G2389=0,H2389=0,I2389=0,J2389=0,K2389=0,L2389=0)</f>
        <v/>
      </c>
      <c r="N2389">
        <f>G2389&lt;=$T$6</f>
        <v/>
      </c>
      <c r="O2389">
        <f>G2389&lt;=$T$12</f>
        <v/>
      </c>
      <c r="P2389">
        <f>OR(AND(H2389&gt;=$T$4,K2389&lt;=$T$5,N2389),M2389)</f>
        <v/>
      </c>
      <c r="Q2389">
        <f>OR(AND(I2389&gt;=$T$10,K2389&lt;=$T$11,O2389),M2389)</f>
        <v/>
      </c>
    </row>
    <row r="2390">
      <c r="A2390">
        <f>Data!E2507</f>
        <v/>
      </c>
      <c r="B2390">
        <f>Data!G2507</f>
        <v/>
      </c>
      <c r="C2390">
        <f>Data!H2507</f>
        <v/>
      </c>
      <c r="D2390">
        <f>Data!I2507</f>
        <v/>
      </c>
      <c r="E2390">
        <f>Data!M2507</f>
        <v/>
      </c>
      <c r="F2390">
        <f>Data!O2507</f>
        <v/>
      </c>
      <c r="G2390">
        <f>E2390-F2390</f>
        <v/>
      </c>
      <c r="H2390">
        <f>Data!P2507</f>
        <v/>
      </c>
      <c r="I2390">
        <f>G2390+H2390</f>
        <v/>
      </c>
      <c r="J2390">
        <f>F2390+G2390+H2390</f>
        <v/>
      </c>
      <c r="K2390">
        <f>Data!R2507</f>
        <v/>
      </c>
      <c r="L2390">
        <f>Data!T2507</f>
        <v/>
      </c>
      <c r="M2390">
        <f>AND(E2390=0,F2390=0,G2390=0,H2390=0,I2390=0,J2390=0,K2390=0,L2390=0)</f>
        <v/>
      </c>
      <c r="N2390">
        <f>G2390&lt;=$T$6</f>
        <v/>
      </c>
      <c r="O2390">
        <f>G2390&lt;=$T$12</f>
        <v/>
      </c>
      <c r="P2390">
        <f>OR(AND(H2390&gt;=$T$4,K2390&lt;=$T$5,N2390),M2390)</f>
        <v/>
      </c>
      <c r="Q2390">
        <f>OR(AND(I2390&gt;=$T$10,K2390&lt;=$T$11,O2390),M2390)</f>
        <v/>
      </c>
    </row>
    <row r="2391">
      <c r="A2391">
        <f>Data!E2508</f>
        <v/>
      </c>
      <c r="B2391">
        <f>Data!G2508</f>
        <v/>
      </c>
      <c r="C2391">
        <f>Data!H2508</f>
        <v/>
      </c>
      <c r="D2391">
        <f>Data!I2508</f>
        <v/>
      </c>
      <c r="E2391">
        <f>Data!M2508</f>
        <v/>
      </c>
      <c r="F2391">
        <f>Data!O2508</f>
        <v/>
      </c>
      <c r="G2391">
        <f>E2391-F2391</f>
        <v/>
      </c>
      <c r="H2391">
        <f>Data!P2508</f>
        <v/>
      </c>
      <c r="I2391">
        <f>G2391+H2391</f>
        <v/>
      </c>
      <c r="J2391">
        <f>F2391+G2391+H2391</f>
        <v/>
      </c>
      <c r="K2391">
        <f>Data!R2508</f>
        <v/>
      </c>
      <c r="L2391">
        <f>Data!T2508</f>
        <v/>
      </c>
      <c r="M2391">
        <f>AND(E2391=0,F2391=0,G2391=0,H2391=0,I2391=0,J2391=0,K2391=0,L2391=0)</f>
        <v/>
      </c>
      <c r="N2391">
        <f>G2391&lt;=$T$6</f>
        <v/>
      </c>
      <c r="O2391">
        <f>G2391&lt;=$T$12</f>
        <v/>
      </c>
      <c r="P2391">
        <f>OR(AND(H2391&gt;=$T$4,K2391&lt;=$T$5,N2391),M2391)</f>
        <v/>
      </c>
      <c r="Q2391">
        <f>OR(AND(I2391&gt;=$T$10,K2391&lt;=$T$11,O2391),M2391)</f>
        <v/>
      </c>
    </row>
    <row r="2392">
      <c r="A2392">
        <f>Data!E2509</f>
        <v/>
      </c>
      <c r="B2392">
        <f>Data!G2509</f>
        <v/>
      </c>
      <c r="C2392">
        <f>Data!H2509</f>
        <v/>
      </c>
      <c r="D2392">
        <f>Data!I2509</f>
        <v/>
      </c>
      <c r="E2392">
        <f>Data!M2509</f>
        <v/>
      </c>
      <c r="F2392">
        <f>Data!O2509</f>
        <v/>
      </c>
      <c r="G2392">
        <f>E2392-F2392</f>
        <v/>
      </c>
      <c r="H2392">
        <f>Data!P2509</f>
        <v/>
      </c>
      <c r="I2392">
        <f>G2392+H2392</f>
        <v/>
      </c>
      <c r="J2392">
        <f>F2392+G2392+H2392</f>
        <v/>
      </c>
      <c r="K2392">
        <f>Data!R2509</f>
        <v/>
      </c>
      <c r="L2392">
        <f>Data!T2509</f>
        <v/>
      </c>
      <c r="M2392">
        <f>AND(E2392=0,F2392=0,G2392=0,H2392=0,I2392=0,J2392=0,K2392=0,L2392=0)</f>
        <v/>
      </c>
      <c r="N2392">
        <f>G2392&lt;=$T$6</f>
        <v/>
      </c>
      <c r="O2392">
        <f>G2392&lt;=$T$12</f>
        <v/>
      </c>
      <c r="P2392">
        <f>OR(AND(H2392&gt;=$T$4,K2392&lt;=$T$5,N2392),M2392)</f>
        <v/>
      </c>
      <c r="Q2392">
        <f>OR(AND(I2392&gt;=$T$10,K2392&lt;=$T$11,O2392),M2392)</f>
        <v/>
      </c>
    </row>
    <row r="2393">
      <c r="A2393">
        <f>Data!E2510</f>
        <v/>
      </c>
      <c r="B2393">
        <f>Data!G2510</f>
        <v/>
      </c>
      <c r="C2393">
        <f>Data!H2510</f>
        <v/>
      </c>
      <c r="D2393">
        <f>Data!I2510</f>
        <v/>
      </c>
      <c r="E2393">
        <f>Data!M2510</f>
        <v/>
      </c>
      <c r="F2393">
        <f>Data!O2510</f>
        <v/>
      </c>
      <c r="G2393">
        <f>E2393-F2393</f>
        <v/>
      </c>
      <c r="H2393">
        <f>Data!P2510</f>
        <v/>
      </c>
      <c r="I2393">
        <f>G2393+H2393</f>
        <v/>
      </c>
      <c r="J2393">
        <f>F2393+G2393+H2393</f>
        <v/>
      </c>
      <c r="K2393">
        <f>Data!R2510</f>
        <v/>
      </c>
      <c r="L2393">
        <f>Data!T2510</f>
        <v/>
      </c>
      <c r="M2393">
        <f>AND(E2393=0,F2393=0,G2393=0,H2393=0,I2393=0,J2393=0,K2393=0,L2393=0)</f>
        <v/>
      </c>
      <c r="N2393">
        <f>G2393&lt;=$T$6</f>
        <v/>
      </c>
      <c r="O2393">
        <f>G2393&lt;=$T$12</f>
        <v/>
      </c>
      <c r="P2393">
        <f>OR(AND(H2393&gt;=$T$4,K2393&lt;=$T$5,N2393),M2393)</f>
        <v/>
      </c>
      <c r="Q2393">
        <f>OR(AND(I2393&gt;=$T$10,K2393&lt;=$T$11,O2393),M2393)</f>
        <v/>
      </c>
    </row>
    <row r="2394">
      <c r="A2394">
        <f>Data!E2511</f>
        <v/>
      </c>
      <c r="B2394">
        <f>Data!G2511</f>
        <v/>
      </c>
      <c r="C2394">
        <f>Data!H2511</f>
        <v/>
      </c>
      <c r="D2394">
        <f>Data!I2511</f>
        <v/>
      </c>
      <c r="E2394">
        <f>Data!M2511</f>
        <v/>
      </c>
      <c r="F2394">
        <f>Data!O2511</f>
        <v/>
      </c>
      <c r="G2394">
        <f>E2394-F2394</f>
        <v/>
      </c>
      <c r="H2394">
        <f>Data!P2511</f>
        <v/>
      </c>
      <c r="I2394">
        <f>G2394+H2394</f>
        <v/>
      </c>
      <c r="J2394">
        <f>F2394+G2394+H2394</f>
        <v/>
      </c>
      <c r="K2394">
        <f>Data!R2511</f>
        <v/>
      </c>
      <c r="L2394">
        <f>Data!T2511</f>
        <v/>
      </c>
      <c r="M2394">
        <f>AND(E2394=0,F2394=0,G2394=0,H2394=0,I2394=0,J2394=0,K2394=0,L2394=0)</f>
        <v/>
      </c>
      <c r="N2394">
        <f>G2394&lt;=$T$6</f>
        <v/>
      </c>
      <c r="O2394">
        <f>G2394&lt;=$T$12</f>
        <v/>
      </c>
      <c r="P2394">
        <f>OR(AND(H2394&gt;=$T$4,K2394&lt;=$T$5,N2394),M2394)</f>
        <v/>
      </c>
      <c r="Q2394">
        <f>OR(AND(I2394&gt;=$T$10,K2394&lt;=$T$11,O2394),M2394)</f>
        <v/>
      </c>
    </row>
    <row r="2395">
      <c r="A2395">
        <f>Data!E2512</f>
        <v/>
      </c>
      <c r="B2395">
        <f>Data!G2512</f>
        <v/>
      </c>
      <c r="C2395">
        <f>Data!H2512</f>
        <v/>
      </c>
      <c r="D2395">
        <f>Data!I2512</f>
        <v/>
      </c>
      <c r="E2395">
        <f>Data!M2512</f>
        <v/>
      </c>
      <c r="F2395">
        <f>Data!O2512</f>
        <v/>
      </c>
      <c r="G2395">
        <f>E2395-F2395</f>
        <v/>
      </c>
      <c r="H2395">
        <f>Data!P2512</f>
        <v/>
      </c>
      <c r="I2395">
        <f>G2395+H2395</f>
        <v/>
      </c>
      <c r="J2395">
        <f>F2395+G2395+H2395</f>
        <v/>
      </c>
      <c r="K2395">
        <f>Data!R2512</f>
        <v/>
      </c>
      <c r="L2395">
        <f>Data!T2512</f>
        <v/>
      </c>
      <c r="M2395">
        <f>AND(E2395=0,F2395=0,G2395=0,H2395=0,I2395=0,J2395=0,K2395=0,L2395=0)</f>
        <v/>
      </c>
      <c r="N2395">
        <f>G2395&lt;=$T$6</f>
        <v/>
      </c>
      <c r="O2395">
        <f>G2395&lt;=$T$12</f>
        <v/>
      </c>
      <c r="P2395">
        <f>OR(AND(H2395&gt;=$T$4,K2395&lt;=$T$5,N2395),M2395)</f>
        <v/>
      </c>
      <c r="Q2395">
        <f>OR(AND(I2395&gt;=$T$10,K2395&lt;=$T$11,O2395),M2395)</f>
        <v/>
      </c>
    </row>
    <row r="2396">
      <c r="A2396">
        <f>Data!E2513</f>
        <v/>
      </c>
      <c r="B2396">
        <f>Data!G2513</f>
        <v/>
      </c>
      <c r="C2396">
        <f>Data!H2513</f>
        <v/>
      </c>
      <c r="D2396">
        <f>Data!I2513</f>
        <v/>
      </c>
      <c r="E2396">
        <f>Data!M2513</f>
        <v/>
      </c>
      <c r="F2396">
        <f>Data!O2513</f>
        <v/>
      </c>
      <c r="G2396">
        <f>E2396-F2396</f>
        <v/>
      </c>
      <c r="H2396">
        <f>Data!P2513</f>
        <v/>
      </c>
      <c r="I2396">
        <f>G2396+H2396</f>
        <v/>
      </c>
      <c r="J2396">
        <f>F2396+G2396+H2396</f>
        <v/>
      </c>
      <c r="K2396">
        <f>Data!R2513</f>
        <v/>
      </c>
      <c r="L2396">
        <f>Data!T2513</f>
        <v/>
      </c>
      <c r="M2396">
        <f>AND(E2396=0,F2396=0,G2396=0,H2396=0,I2396=0,J2396=0,K2396=0,L2396=0)</f>
        <v/>
      </c>
      <c r="N2396">
        <f>G2396&lt;=$T$6</f>
        <v/>
      </c>
      <c r="O2396">
        <f>G2396&lt;=$T$12</f>
        <v/>
      </c>
      <c r="P2396">
        <f>OR(AND(H2396&gt;=$T$4,K2396&lt;=$T$5,N2396),M2396)</f>
        <v/>
      </c>
      <c r="Q2396">
        <f>OR(AND(I2396&gt;=$T$10,K2396&lt;=$T$11,O2396),M2396)</f>
        <v/>
      </c>
    </row>
    <row r="2397">
      <c r="A2397">
        <f>Data!E2514</f>
        <v/>
      </c>
      <c r="B2397">
        <f>Data!G2514</f>
        <v/>
      </c>
      <c r="C2397">
        <f>Data!H2514</f>
        <v/>
      </c>
      <c r="D2397">
        <f>Data!I2514</f>
        <v/>
      </c>
      <c r="E2397">
        <f>Data!M2514</f>
        <v/>
      </c>
      <c r="F2397">
        <f>Data!O2514</f>
        <v/>
      </c>
      <c r="G2397">
        <f>E2397-F2397</f>
        <v/>
      </c>
      <c r="H2397">
        <f>Data!P2514</f>
        <v/>
      </c>
      <c r="I2397">
        <f>G2397+H2397</f>
        <v/>
      </c>
      <c r="J2397">
        <f>F2397+G2397+H2397</f>
        <v/>
      </c>
      <c r="K2397">
        <f>Data!R2514</f>
        <v/>
      </c>
      <c r="L2397">
        <f>Data!T2514</f>
        <v/>
      </c>
      <c r="M2397">
        <f>AND(E2397=0,F2397=0,G2397=0,H2397=0,I2397=0,J2397=0,K2397=0,L2397=0)</f>
        <v/>
      </c>
      <c r="N2397">
        <f>G2397&lt;=$T$6</f>
        <v/>
      </c>
      <c r="O2397">
        <f>G2397&lt;=$T$12</f>
        <v/>
      </c>
      <c r="P2397">
        <f>OR(AND(H2397&gt;=$T$4,K2397&lt;=$T$5,N2397),M2397)</f>
        <v/>
      </c>
      <c r="Q2397">
        <f>OR(AND(I2397&gt;=$T$10,K2397&lt;=$T$11,O2397),M2397)</f>
        <v/>
      </c>
    </row>
    <row r="2398">
      <c r="A2398">
        <f>Data!E2515</f>
        <v/>
      </c>
      <c r="B2398">
        <f>Data!G2515</f>
        <v/>
      </c>
      <c r="C2398">
        <f>Data!H2515</f>
        <v/>
      </c>
      <c r="D2398">
        <f>Data!I2515</f>
        <v/>
      </c>
      <c r="E2398">
        <f>Data!M2515</f>
        <v/>
      </c>
      <c r="F2398">
        <f>Data!O2515</f>
        <v/>
      </c>
      <c r="G2398">
        <f>E2398-F2398</f>
        <v/>
      </c>
      <c r="H2398">
        <f>Data!P2515</f>
        <v/>
      </c>
      <c r="I2398">
        <f>G2398+H2398</f>
        <v/>
      </c>
      <c r="J2398">
        <f>F2398+G2398+H2398</f>
        <v/>
      </c>
      <c r="K2398">
        <f>Data!R2515</f>
        <v/>
      </c>
      <c r="L2398">
        <f>Data!T2515</f>
        <v/>
      </c>
      <c r="M2398">
        <f>AND(E2398=0,F2398=0,G2398=0,H2398=0,I2398=0,J2398=0,K2398=0,L2398=0)</f>
        <v/>
      </c>
      <c r="N2398">
        <f>G2398&lt;=$T$6</f>
        <v/>
      </c>
      <c r="O2398">
        <f>G2398&lt;=$T$12</f>
        <v/>
      </c>
      <c r="P2398">
        <f>OR(AND(H2398&gt;=$T$4,K2398&lt;=$T$5,N2398),M2398)</f>
        <v/>
      </c>
      <c r="Q2398">
        <f>OR(AND(I2398&gt;=$T$10,K2398&lt;=$T$11,O2398),M2398)</f>
        <v/>
      </c>
    </row>
    <row r="2399">
      <c r="A2399">
        <f>Data!E2516</f>
        <v/>
      </c>
      <c r="B2399">
        <f>Data!G2516</f>
        <v/>
      </c>
      <c r="C2399">
        <f>Data!H2516</f>
        <v/>
      </c>
      <c r="D2399">
        <f>Data!I2516</f>
        <v/>
      </c>
      <c r="E2399">
        <f>Data!M2516</f>
        <v/>
      </c>
      <c r="F2399">
        <f>Data!O2516</f>
        <v/>
      </c>
      <c r="G2399">
        <f>E2399-F2399</f>
        <v/>
      </c>
      <c r="H2399">
        <f>Data!P2516</f>
        <v/>
      </c>
      <c r="I2399">
        <f>G2399+H2399</f>
        <v/>
      </c>
      <c r="J2399">
        <f>F2399+G2399+H2399</f>
        <v/>
      </c>
      <c r="K2399">
        <f>Data!R2516</f>
        <v/>
      </c>
      <c r="L2399">
        <f>Data!T2516</f>
        <v/>
      </c>
      <c r="M2399">
        <f>AND(E2399=0,F2399=0,G2399=0,H2399=0,I2399=0,J2399=0,K2399=0,L2399=0)</f>
        <v/>
      </c>
      <c r="N2399">
        <f>G2399&lt;=$T$6</f>
        <v/>
      </c>
      <c r="O2399">
        <f>G2399&lt;=$T$12</f>
        <v/>
      </c>
      <c r="P2399">
        <f>OR(AND(H2399&gt;=$T$4,K2399&lt;=$T$5,N2399),M2399)</f>
        <v/>
      </c>
      <c r="Q2399">
        <f>OR(AND(I2399&gt;=$T$10,K2399&lt;=$T$11,O2399),M2399)</f>
        <v/>
      </c>
    </row>
    <row r="2400">
      <c r="A2400">
        <f>Data!E2517</f>
        <v/>
      </c>
      <c r="B2400">
        <f>Data!G2517</f>
        <v/>
      </c>
      <c r="C2400">
        <f>Data!H2517</f>
        <v/>
      </c>
      <c r="D2400">
        <f>Data!I2517</f>
        <v/>
      </c>
      <c r="E2400">
        <f>Data!M2517</f>
        <v/>
      </c>
      <c r="F2400">
        <f>Data!O2517</f>
        <v/>
      </c>
      <c r="G2400">
        <f>E2400-F2400</f>
        <v/>
      </c>
      <c r="H2400">
        <f>Data!P2517</f>
        <v/>
      </c>
      <c r="I2400">
        <f>G2400+H2400</f>
        <v/>
      </c>
      <c r="J2400">
        <f>F2400+G2400+H2400</f>
        <v/>
      </c>
      <c r="K2400">
        <f>Data!R2517</f>
        <v/>
      </c>
      <c r="L2400">
        <f>Data!T2517</f>
        <v/>
      </c>
      <c r="M2400">
        <f>AND(E2400=0,F2400=0,G2400=0,H2400=0,I2400=0,J2400=0,K2400=0,L2400=0)</f>
        <v/>
      </c>
      <c r="N2400">
        <f>G2400&lt;=$T$6</f>
        <v/>
      </c>
      <c r="O2400">
        <f>G2400&lt;=$T$12</f>
        <v/>
      </c>
      <c r="P2400">
        <f>OR(AND(H2400&gt;=$T$4,K2400&lt;=$T$5,N2400),M2400)</f>
        <v/>
      </c>
      <c r="Q2400">
        <f>OR(AND(I2400&gt;=$T$10,K2400&lt;=$T$11,O2400),M2400)</f>
        <v/>
      </c>
    </row>
    <row r="2401">
      <c r="A2401">
        <f>Data!E2518</f>
        <v/>
      </c>
      <c r="B2401">
        <f>Data!G2518</f>
        <v/>
      </c>
      <c r="C2401">
        <f>Data!H2518</f>
        <v/>
      </c>
      <c r="D2401">
        <f>Data!I2518</f>
        <v/>
      </c>
      <c r="E2401">
        <f>Data!M2518</f>
        <v/>
      </c>
      <c r="F2401">
        <f>Data!O2518</f>
        <v/>
      </c>
      <c r="G2401">
        <f>E2401-F2401</f>
        <v/>
      </c>
      <c r="H2401">
        <f>Data!P2518</f>
        <v/>
      </c>
      <c r="I2401">
        <f>G2401+H2401</f>
        <v/>
      </c>
      <c r="J2401">
        <f>F2401+G2401+H2401</f>
        <v/>
      </c>
      <c r="K2401">
        <f>Data!R2518</f>
        <v/>
      </c>
      <c r="L2401">
        <f>Data!T2518</f>
        <v/>
      </c>
      <c r="M2401">
        <f>AND(E2401=0,F2401=0,G2401=0,H2401=0,I2401=0,J2401=0,K2401=0,L2401=0)</f>
        <v/>
      </c>
      <c r="N2401">
        <f>G2401&lt;=$T$6</f>
        <v/>
      </c>
      <c r="O2401">
        <f>G2401&lt;=$T$12</f>
        <v/>
      </c>
      <c r="P2401">
        <f>OR(AND(H2401&gt;=$T$4,K2401&lt;=$T$5,N2401),M2401)</f>
        <v/>
      </c>
      <c r="Q2401">
        <f>OR(AND(I2401&gt;=$T$10,K2401&lt;=$T$11,O2401),M2401)</f>
        <v/>
      </c>
    </row>
    <row r="2402">
      <c r="A2402">
        <f>Data!E2519</f>
        <v/>
      </c>
      <c r="B2402">
        <f>Data!G2519</f>
        <v/>
      </c>
      <c r="C2402">
        <f>Data!H2519</f>
        <v/>
      </c>
      <c r="D2402">
        <f>Data!I2519</f>
        <v/>
      </c>
      <c r="E2402">
        <f>Data!M2519</f>
        <v/>
      </c>
      <c r="F2402">
        <f>Data!O2519</f>
        <v/>
      </c>
      <c r="G2402">
        <f>E2402-F2402</f>
        <v/>
      </c>
      <c r="H2402">
        <f>Data!P2519</f>
        <v/>
      </c>
      <c r="I2402">
        <f>G2402+H2402</f>
        <v/>
      </c>
      <c r="J2402">
        <f>F2402+G2402+H2402</f>
        <v/>
      </c>
      <c r="K2402">
        <f>Data!R2519</f>
        <v/>
      </c>
      <c r="L2402">
        <f>Data!T2519</f>
        <v/>
      </c>
      <c r="M2402">
        <f>AND(E2402=0,F2402=0,G2402=0,H2402=0,I2402=0,J2402=0,K2402=0,L2402=0)</f>
        <v/>
      </c>
      <c r="N2402">
        <f>G2402&lt;=$T$6</f>
        <v/>
      </c>
      <c r="O2402">
        <f>G2402&lt;=$T$12</f>
        <v/>
      </c>
      <c r="P2402">
        <f>OR(AND(H2402&gt;=$T$4,K2402&lt;=$T$5,N2402),M2402)</f>
        <v/>
      </c>
      <c r="Q2402">
        <f>OR(AND(I2402&gt;=$T$10,K2402&lt;=$T$11,O2402),M2402)</f>
        <v/>
      </c>
    </row>
    <row r="2403">
      <c r="A2403">
        <f>Data!E2520</f>
        <v/>
      </c>
      <c r="B2403">
        <f>Data!G2520</f>
        <v/>
      </c>
      <c r="C2403">
        <f>Data!H2520</f>
        <v/>
      </c>
      <c r="D2403">
        <f>Data!I2520</f>
        <v/>
      </c>
      <c r="E2403">
        <f>Data!M2520</f>
        <v/>
      </c>
      <c r="F2403">
        <f>Data!O2520</f>
        <v/>
      </c>
      <c r="G2403">
        <f>E2403-F2403</f>
        <v/>
      </c>
      <c r="H2403">
        <f>Data!P2520</f>
        <v/>
      </c>
      <c r="I2403">
        <f>G2403+H2403</f>
        <v/>
      </c>
      <c r="J2403">
        <f>F2403+G2403+H2403</f>
        <v/>
      </c>
      <c r="K2403">
        <f>Data!R2520</f>
        <v/>
      </c>
      <c r="L2403">
        <f>Data!T2520</f>
        <v/>
      </c>
      <c r="M2403">
        <f>AND(E2403=0,F2403=0,G2403=0,H2403=0,I2403=0,J2403=0,K2403=0,L2403=0)</f>
        <v/>
      </c>
      <c r="N2403">
        <f>G2403&lt;=$T$6</f>
        <v/>
      </c>
      <c r="O2403">
        <f>G2403&lt;=$T$12</f>
        <v/>
      </c>
      <c r="P2403">
        <f>OR(AND(H2403&gt;=$T$4,K2403&lt;=$T$5,N2403),M2403)</f>
        <v/>
      </c>
      <c r="Q2403">
        <f>OR(AND(I2403&gt;=$T$10,K2403&lt;=$T$11,O2403),M2403)</f>
        <v/>
      </c>
    </row>
    <row r="2404">
      <c r="A2404">
        <f>Data!E2522</f>
        <v/>
      </c>
      <c r="B2404">
        <f>Data!G2522</f>
        <v/>
      </c>
      <c r="C2404">
        <f>Data!H2522</f>
        <v/>
      </c>
      <c r="D2404">
        <f>Data!I2522</f>
        <v/>
      </c>
      <c r="E2404">
        <f>Data!M2522</f>
        <v/>
      </c>
      <c r="F2404">
        <f>Data!O2522</f>
        <v/>
      </c>
      <c r="G2404">
        <f>E2404-F2404</f>
        <v/>
      </c>
      <c r="H2404">
        <f>Data!P2522</f>
        <v/>
      </c>
      <c r="I2404">
        <f>G2404+H2404</f>
        <v/>
      </c>
      <c r="J2404">
        <f>F2404+G2404+H2404</f>
        <v/>
      </c>
      <c r="K2404">
        <f>Data!R2522</f>
        <v/>
      </c>
      <c r="L2404">
        <f>Data!T2522</f>
        <v/>
      </c>
      <c r="M2404">
        <f>AND(E2404=0,F2404=0,G2404=0,H2404=0,I2404=0,J2404=0,K2404=0,L2404=0)</f>
        <v/>
      </c>
      <c r="N2404">
        <f>G2404&lt;=$T$6</f>
        <v/>
      </c>
      <c r="O2404">
        <f>G2404&lt;=$T$12</f>
        <v/>
      </c>
      <c r="P2404">
        <f>OR(AND(H2404&gt;=$T$4,K2404&lt;=$T$5,N2404),M2404)</f>
        <v/>
      </c>
      <c r="Q2404">
        <f>OR(AND(I2404&gt;=$T$10,K2404&lt;=$T$11,O2404),M2404)</f>
        <v/>
      </c>
    </row>
    <row r="2405">
      <c r="A2405">
        <f>Data!E2523</f>
        <v/>
      </c>
      <c r="B2405">
        <f>Data!G2523</f>
        <v/>
      </c>
      <c r="C2405">
        <f>Data!H2523</f>
        <v/>
      </c>
      <c r="D2405">
        <f>Data!I2523</f>
        <v/>
      </c>
      <c r="E2405">
        <f>Data!M2523</f>
        <v/>
      </c>
      <c r="F2405">
        <f>Data!O2523</f>
        <v/>
      </c>
      <c r="G2405">
        <f>E2405-F2405</f>
        <v/>
      </c>
      <c r="H2405">
        <f>Data!P2523</f>
        <v/>
      </c>
      <c r="I2405">
        <f>G2405+H2405</f>
        <v/>
      </c>
      <c r="J2405">
        <f>F2405+G2405+H2405</f>
        <v/>
      </c>
      <c r="K2405">
        <f>Data!R2523</f>
        <v/>
      </c>
      <c r="L2405">
        <f>Data!T2523</f>
        <v/>
      </c>
      <c r="M2405">
        <f>AND(E2405=0,F2405=0,G2405=0,H2405=0,I2405=0,J2405=0,K2405=0,L2405=0)</f>
        <v/>
      </c>
      <c r="N2405">
        <f>G2405&lt;=$T$6</f>
        <v/>
      </c>
      <c r="O2405">
        <f>G2405&lt;=$T$12</f>
        <v/>
      </c>
      <c r="P2405">
        <f>OR(AND(H2405&gt;=$T$4,K2405&lt;=$T$5,N2405),M2405)</f>
        <v/>
      </c>
      <c r="Q2405">
        <f>OR(AND(I2405&gt;=$T$10,K2405&lt;=$T$11,O2405),M2405)</f>
        <v/>
      </c>
    </row>
    <row r="2406">
      <c r="A2406">
        <f>Data!E2524</f>
        <v/>
      </c>
      <c r="B2406">
        <f>Data!G2524</f>
        <v/>
      </c>
      <c r="C2406">
        <f>Data!H2524</f>
        <v/>
      </c>
      <c r="D2406">
        <f>Data!I2524</f>
        <v/>
      </c>
      <c r="E2406">
        <f>Data!M2524</f>
        <v/>
      </c>
      <c r="F2406">
        <f>Data!O2524</f>
        <v/>
      </c>
      <c r="G2406">
        <f>E2406-F2406</f>
        <v/>
      </c>
      <c r="H2406">
        <f>Data!P2524</f>
        <v/>
      </c>
      <c r="I2406">
        <f>G2406+H2406</f>
        <v/>
      </c>
      <c r="J2406">
        <f>F2406+G2406+H2406</f>
        <v/>
      </c>
      <c r="K2406">
        <f>Data!R2524</f>
        <v/>
      </c>
      <c r="L2406">
        <f>Data!T2524</f>
        <v/>
      </c>
      <c r="M2406">
        <f>AND(E2406=0,F2406=0,G2406=0,H2406=0,I2406=0,J2406=0,K2406=0,L2406=0)</f>
        <v/>
      </c>
      <c r="N2406">
        <f>G2406&lt;=$T$6</f>
        <v/>
      </c>
      <c r="O2406">
        <f>G2406&lt;=$T$12</f>
        <v/>
      </c>
      <c r="P2406">
        <f>OR(AND(H2406&gt;=$T$4,K2406&lt;=$T$5,N2406),M2406)</f>
        <v/>
      </c>
      <c r="Q2406">
        <f>OR(AND(I2406&gt;=$T$10,K2406&lt;=$T$11,O2406),M2406)</f>
        <v/>
      </c>
    </row>
    <row r="2407">
      <c r="A2407">
        <f>Data!E2525</f>
        <v/>
      </c>
      <c r="B2407">
        <f>Data!G2525</f>
        <v/>
      </c>
      <c r="C2407">
        <f>Data!H2525</f>
        <v/>
      </c>
      <c r="D2407">
        <f>Data!I2525</f>
        <v/>
      </c>
      <c r="E2407">
        <f>Data!M2525</f>
        <v/>
      </c>
      <c r="F2407">
        <f>Data!O2525</f>
        <v/>
      </c>
      <c r="G2407">
        <f>E2407-F2407</f>
        <v/>
      </c>
      <c r="H2407">
        <f>Data!P2525</f>
        <v/>
      </c>
      <c r="I2407">
        <f>G2407+H2407</f>
        <v/>
      </c>
      <c r="J2407">
        <f>F2407+G2407+H2407</f>
        <v/>
      </c>
      <c r="K2407">
        <f>Data!R2525</f>
        <v/>
      </c>
      <c r="L2407">
        <f>Data!T2525</f>
        <v/>
      </c>
      <c r="M2407">
        <f>AND(E2407=0,F2407=0,G2407=0,H2407=0,I2407=0,J2407=0,K2407=0,L2407=0)</f>
        <v/>
      </c>
      <c r="N2407">
        <f>G2407&lt;=$T$6</f>
        <v/>
      </c>
      <c r="O2407">
        <f>G2407&lt;=$T$12</f>
        <v/>
      </c>
      <c r="P2407">
        <f>OR(AND(H2407&gt;=$T$4,K2407&lt;=$T$5,N2407),M2407)</f>
        <v/>
      </c>
      <c r="Q2407">
        <f>OR(AND(I2407&gt;=$T$10,K2407&lt;=$T$11,O2407),M2407)</f>
        <v/>
      </c>
    </row>
    <row r="2408">
      <c r="A2408">
        <f>Data!E2526</f>
        <v/>
      </c>
      <c r="B2408">
        <f>Data!G2526</f>
        <v/>
      </c>
      <c r="C2408">
        <f>Data!H2526</f>
        <v/>
      </c>
      <c r="D2408">
        <f>Data!I2526</f>
        <v/>
      </c>
      <c r="E2408">
        <f>Data!M2526</f>
        <v/>
      </c>
      <c r="F2408">
        <f>Data!O2526</f>
        <v/>
      </c>
      <c r="G2408">
        <f>E2408-F2408</f>
        <v/>
      </c>
      <c r="H2408">
        <f>Data!P2526</f>
        <v/>
      </c>
      <c r="I2408">
        <f>G2408+H2408</f>
        <v/>
      </c>
      <c r="J2408">
        <f>F2408+G2408+H2408</f>
        <v/>
      </c>
      <c r="K2408">
        <f>Data!R2526</f>
        <v/>
      </c>
      <c r="L2408">
        <f>Data!T2526</f>
        <v/>
      </c>
      <c r="M2408">
        <f>AND(E2408=0,F2408=0,G2408=0,H2408=0,I2408=0,J2408=0,K2408=0,L2408=0)</f>
        <v/>
      </c>
      <c r="N2408">
        <f>G2408&lt;=$T$6</f>
        <v/>
      </c>
      <c r="O2408">
        <f>G2408&lt;=$T$12</f>
        <v/>
      </c>
      <c r="P2408">
        <f>OR(AND(H2408&gt;=$T$4,K2408&lt;=$T$5,N2408),M2408)</f>
        <v/>
      </c>
      <c r="Q2408">
        <f>OR(AND(I2408&gt;=$T$10,K2408&lt;=$T$11,O2408),M2408)</f>
        <v/>
      </c>
    </row>
    <row r="2409">
      <c r="A2409">
        <f>Data!E2527</f>
        <v/>
      </c>
      <c r="B2409">
        <f>Data!G2527</f>
        <v/>
      </c>
      <c r="C2409">
        <f>Data!H2527</f>
        <v/>
      </c>
      <c r="D2409">
        <f>Data!I2527</f>
        <v/>
      </c>
      <c r="E2409">
        <f>Data!M2527</f>
        <v/>
      </c>
      <c r="F2409">
        <f>Data!O2527</f>
        <v/>
      </c>
      <c r="G2409">
        <f>E2409-F2409</f>
        <v/>
      </c>
      <c r="H2409">
        <f>Data!P2527</f>
        <v/>
      </c>
      <c r="I2409">
        <f>G2409+H2409</f>
        <v/>
      </c>
      <c r="J2409">
        <f>F2409+G2409+H2409</f>
        <v/>
      </c>
      <c r="K2409">
        <f>Data!R2527</f>
        <v/>
      </c>
      <c r="L2409">
        <f>Data!T2527</f>
        <v/>
      </c>
      <c r="M2409">
        <f>AND(E2409=0,F2409=0,G2409=0,H2409=0,I2409=0,J2409=0,K2409=0,L2409=0)</f>
        <v/>
      </c>
      <c r="N2409">
        <f>G2409&lt;=$T$6</f>
        <v/>
      </c>
      <c r="O2409">
        <f>G2409&lt;=$T$12</f>
        <v/>
      </c>
      <c r="P2409">
        <f>OR(AND(H2409&gt;=$T$4,K2409&lt;=$T$5,N2409),M2409)</f>
        <v/>
      </c>
      <c r="Q2409">
        <f>OR(AND(I2409&gt;=$T$10,K2409&lt;=$T$11,O2409),M2409)</f>
        <v/>
      </c>
    </row>
    <row r="2410">
      <c r="A2410">
        <f>Data!E2528</f>
        <v/>
      </c>
      <c r="B2410">
        <f>Data!G2528</f>
        <v/>
      </c>
      <c r="C2410">
        <f>Data!H2528</f>
        <v/>
      </c>
      <c r="D2410">
        <f>Data!I2528</f>
        <v/>
      </c>
      <c r="E2410">
        <f>Data!M2528</f>
        <v/>
      </c>
      <c r="F2410">
        <f>Data!O2528</f>
        <v/>
      </c>
      <c r="G2410">
        <f>E2410-F2410</f>
        <v/>
      </c>
      <c r="H2410">
        <f>Data!P2528</f>
        <v/>
      </c>
      <c r="I2410">
        <f>G2410+H2410</f>
        <v/>
      </c>
      <c r="J2410">
        <f>F2410+G2410+H2410</f>
        <v/>
      </c>
      <c r="K2410">
        <f>Data!R2528</f>
        <v/>
      </c>
      <c r="L2410">
        <f>Data!T2528</f>
        <v/>
      </c>
      <c r="M2410">
        <f>AND(E2410=0,F2410=0,G2410=0,H2410=0,I2410=0,J2410=0,K2410=0,L2410=0)</f>
        <v/>
      </c>
      <c r="N2410">
        <f>G2410&lt;=$T$6</f>
        <v/>
      </c>
      <c r="O2410">
        <f>G2410&lt;=$T$12</f>
        <v/>
      </c>
      <c r="P2410">
        <f>OR(AND(H2410&gt;=$T$4,K2410&lt;=$T$5,N2410),M2410)</f>
        <v/>
      </c>
      <c r="Q2410">
        <f>OR(AND(I2410&gt;=$T$10,K2410&lt;=$T$11,O2410),M2410)</f>
        <v/>
      </c>
    </row>
    <row r="2411">
      <c r="A2411">
        <f>Data!E2529</f>
        <v/>
      </c>
      <c r="B2411">
        <f>Data!G2529</f>
        <v/>
      </c>
      <c r="C2411">
        <f>Data!H2529</f>
        <v/>
      </c>
      <c r="D2411">
        <f>Data!I2529</f>
        <v/>
      </c>
      <c r="E2411">
        <f>Data!M2529</f>
        <v/>
      </c>
      <c r="F2411">
        <f>Data!O2529</f>
        <v/>
      </c>
      <c r="G2411">
        <f>E2411-F2411</f>
        <v/>
      </c>
      <c r="H2411">
        <f>Data!P2529</f>
        <v/>
      </c>
      <c r="I2411">
        <f>G2411+H2411</f>
        <v/>
      </c>
      <c r="J2411">
        <f>F2411+G2411+H2411</f>
        <v/>
      </c>
      <c r="K2411">
        <f>Data!R2529</f>
        <v/>
      </c>
      <c r="L2411">
        <f>Data!T2529</f>
        <v/>
      </c>
      <c r="M2411">
        <f>AND(E2411=0,F2411=0,G2411=0,H2411=0,I2411=0,J2411=0,K2411=0,L2411=0)</f>
        <v/>
      </c>
      <c r="N2411">
        <f>G2411&lt;=$T$6</f>
        <v/>
      </c>
      <c r="O2411">
        <f>G2411&lt;=$T$12</f>
        <v/>
      </c>
      <c r="P2411">
        <f>OR(AND(H2411&gt;=$T$4,K2411&lt;=$T$5,N2411),M2411)</f>
        <v/>
      </c>
      <c r="Q2411">
        <f>OR(AND(I2411&gt;=$T$10,K2411&lt;=$T$11,O2411),M2411)</f>
        <v/>
      </c>
    </row>
    <row r="2412">
      <c r="A2412">
        <f>Data!E2530</f>
        <v/>
      </c>
      <c r="B2412">
        <f>Data!G2530</f>
        <v/>
      </c>
      <c r="C2412">
        <f>Data!H2530</f>
        <v/>
      </c>
      <c r="D2412">
        <f>Data!I2530</f>
        <v/>
      </c>
      <c r="E2412">
        <f>Data!M2530</f>
        <v/>
      </c>
      <c r="F2412">
        <f>Data!O2530</f>
        <v/>
      </c>
      <c r="G2412">
        <f>E2412-F2412</f>
        <v/>
      </c>
      <c r="H2412">
        <f>Data!P2530</f>
        <v/>
      </c>
      <c r="I2412">
        <f>G2412+H2412</f>
        <v/>
      </c>
      <c r="J2412">
        <f>F2412+G2412+H2412</f>
        <v/>
      </c>
      <c r="K2412">
        <f>Data!R2530</f>
        <v/>
      </c>
      <c r="L2412">
        <f>Data!T2530</f>
        <v/>
      </c>
      <c r="M2412">
        <f>AND(E2412=0,F2412=0,G2412=0,H2412=0,I2412=0,J2412=0,K2412=0,L2412=0)</f>
        <v/>
      </c>
      <c r="N2412">
        <f>G2412&lt;=$T$6</f>
        <v/>
      </c>
      <c r="O2412">
        <f>G2412&lt;=$T$12</f>
        <v/>
      </c>
      <c r="P2412">
        <f>OR(AND(H2412&gt;=$T$4,K2412&lt;=$T$5,N2412),M2412)</f>
        <v/>
      </c>
      <c r="Q2412">
        <f>OR(AND(I2412&gt;=$T$10,K2412&lt;=$T$11,O2412),M2412)</f>
        <v/>
      </c>
    </row>
    <row r="2413">
      <c r="A2413">
        <f>Data!E2531</f>
        <v/>
      </c>
      <c r="B2413">
        <f>Data!G2531</f>
        <v/>
      </c>
      <c r="C2413">
        <f>Data!H2531</f>
        <v/>
      </c>
      <c r="D2413">
        <f>Data!I2531</f>
        <v/>
      </c>
      <c r="E2413">
        <f>Data!M2531</f>
        <v/>
      </c>
      <c r="F2413">
        <f>Data!O2531</f>
        <v/>
      </c>
      <c r="G2413">
        <f>E2413-F2413</f>
        <v/>
      </c>
      <c r="H2413">
        <f>Data!P2531</f>
        <v/>
      </c>
      <c r="I2413">
        <f>G2413+H2413</f>
        <v/>
      </c>
      <c r="J2413">
        <f>F2413+G2413+H2413</f>
        <v/>
      </c>
      <c r="K2413">
        <f>Data!R2531</f>
        <v/>
      </c>
      <c r="L2413">
        <f>Data!T2531</f>
        <v/>
      </c>
      <c r="M2413">
        <f>AND(E2413=0,F2413=0,G2413=0,H2413=0,I2413=0,J2413=0,K2413=0,L2413=0)</f>
        <v/>
      </c>
      <c r="N2413">
        <f>G2413&lt;=$T$6</f>
        <v/>
      </c>
      <c r="O2413">
        <f>G2413&lt;=$T$12</f>
        <v/>
      </c>
      <c r="P2413">
        <f>OR(AND(H2413&gt;=$T$4,K2413&lt;=$T$5,N2413),M2413)</f>
        <v/>
      </c>
      <c r="Q2413">
        <f>OR(AND(I2413&gt;=$T$10,K2413&lt;=$T$11,O2413),M2413)</f>
        <v/>
      </c>
    </row>
    <row r="2414">
      <c r="A2414">
        <f>Data!E2532</f>
        <v/>
      </c>
      <c r="B2414">
        <f>Data!G2532</f>
        <v/>
      </c>
      <c r="C2414">
        <f>Data!H2532</f>
        <v/>
      </c>
      <c r="D2414">
        <f>Data!I2532</f>
        <v/>
      </c>
      <c r="E2414">
        <f>Data!M2532</f>
        <v/>
      </c>
      <c r="F2414">
        <f>Data!O2532</f>
        <v/>
      </c>
      <c r="G2414">
        <f>E2414-F2414</f>
        <v/>
      </c>
      <c r="H2414">
        <f>Data!P2532</f>
        <v/>
      </c>
      <c r="I2414">
        <f>G2414+H2414</f>
        <v/>
      </c>
      <c r="J2414">
        <f>F2414+G2414+H2414</f>
        <v/>
      </c>
      <c r="K2414">
        <f>Data!R2532</f>
        <v/>
      </c>
      <c r="L2414">
        <f>Data!T2532</f>
        <v/>
      </c>
      <c r="M2414">
        <f>AND(E2414=0,F2414=0,G2414=0,H2414=0,I2414=0,J2414=0,K2414=0,L2414=0)</f>
        <v/>
      </c>
      <c r="N2414">
        <f>G2414&lt;=$T$6</f>
        <v/>
      </c>
      <c r="O2414">
        <f>G2414&lt;=$T$12</f>
        <v/>
      </c>
      <c r="P2414">
        <f>OR(AND(H2414&gt;=$T$4,K2414&lt;=$T$5,N2414),M2414)</f>
        <v/>
      </c>
      <c r="Q2414">
        <f>OR(AND(I2414&gt;=$T$10,K2414&lt;=$T$11,O2414),M2414)</f>
        <v/>
      </c>
    </row>
    <row r="2415">
      <c r="A2415">
        <f>Data!E2533</f>
        <v/>
      </c>
      <c r="B2415">
        <f>Data!G2533</f>
        <v/>
      </c>
      <c r="C2415">
        <f>Data!H2533</f>
        <v/>
      </c>
      <c r="D2415">
        <f>Data!I2533</f>
        <v/>
      </c>
      <c r="E2415">
        <f>Data!M2533</f>
        <v/>
      </c>
      <c r="F2415">
        <f>Data!O2533</f>
        <v/>
      </c>
      <c r="G2415">
        <f>E2415-F2415</f>
        <v/>
      </c>
      <c r="H2415">
        <f>Data!P2533</f>
        <v/>
      </c>
      <c r="I2415">
        <f>G2415+H2415</f>
        <v/>
      </c>
      <c r="J2415">
        <f>F2415+G2415+H2415</f>
        <v/>
      </c>
      <c r="K2415">
        <f>Data!R2533</f>
        <v/>
      </c>
      <c r="L2415">
        <f>Data!T2533</f>
        <v/>
      </c>
      <c r="M2415">
        <f>AND(E2415=0,F2415=0,G2415=0,H2415=0,I2415=0,J2415=0,K2415=0,L2415=0)</f>
        <v/>
      </c>
      <c r="N2415">
        <f>G2415&lt;=$T$6</f>
        <v/>
      </c>
      <c r="O2415">
        <f>G2415&lt;=$T$12</f>
        <v/>
      </c>
      <c r="P2415">
        <f>OR(AND(H2415&gt;=$T$4,K2415&lt;=$T$5,N2415),M2415)</f>
        <v/>
      </c>
      <c r="Q2415">
        <f>OR(AND(I2415&gt;=$T$10,K2415&lt;=$T$11,O2415),M2415)</f>
        <v/>
      </c>
    </row>
    <row r="2416">
      <c r="A2416">
        <f>Data!E2534</f>
        <v/>
      </c>
      <c r="B2416">
        <f>Data!G2534</f>
        <v/>
      </c>
      <c r="C2416">
        <f>Data!H2534</f>
        <v/>
      </c>
      <c r="D2416">
        <f>Data!I2534</f>
        <v/>
      </c>
      <c r="E2416">
        <f>Data!M2534</f>
        <v/>
      </c>
      <c r="F2416">
        <f>Data!O2534</f>
        <v/>
      </c>
      <c r="G2416">
        <f>E2416-F2416</f>
        <v/>
      </c>
      <c r="H2416">
        <f>Data!P2534</f>
        <v/>
      </c>
      <c r="I2416">
        <f>G2416+H2416</f>
        <v/>
      </c>
      <c r="J2416">
        <f>F2416+G2416+H2416</f>
        <v/>
      </c>
      <c r="K2416">
        <f>Data!R2534</f>
        <v/>
      </c>
      <c r="L2416">
        <f>Data!T2534</f>
        <v/>
      </c>
      <c r="M2416">
        <f>AND(E2416=0,F2416=0,G2416=0,H2416=0,I2416=0,J2416=0,K2416=0,L2416=0)</f>
        <v/>
      </c>
      <c r="N2416">
        <f>G2416&lt;=$T$6</f>
        <v/>
      </c>
      <c r="O2416">
        <f>G2416&lt;=$T$12</f>
        <v/>
      </c>
      <c r="P2416">
        <f>OR(AND(H2416&gt;=$T$4,K2416&lt;=$T$5,N2416),M2416)</f>
        <v/>
      </c>
      <c r="Q2416">
        <f>OR(AND(I2416&gt;=$T$10,K2416&lt;=$T$11,O2416),M2416)</f>
        <v/>
      </c>
    </row>
    <row r="2417">
      <c r="A2417">
        <f>Data!E2535</f>
        <v/>
      </c>
      <c r="B2417">
        <f>Data!G2535</f>
        <v/>
      </c>
      <c r="C2417">
        <f>Data!H2535</f>
        <v/>
      </c>
      <c r="D2417">
        <f>Data!I2535</f>
        <v/>
      </c>
      <c r="E2417">
        <f>Data!M2535</f>
        <v/>
      </c>
      <c r="F2417">
        <f>Data!O2535</f>
        <v/>
      </c>
      <c r="G2417">
        <f>E2417-F2417</f>
        <v/>
      </c>
      <c r="H2417">
        <f>Data!P2535</f>
        <v/>
      </c>
      <c r="I2417">
        <f>G2417+H2417</f>
        <v/>
      </c>
      <c r="J2417">
        <f>F2417+G2417+H2417</f>
        <v/>
      </c>
      <c r="K2417">
        <f>Data!R2535</f>
        <v/>
      </c>
      <c r="L2417">
        <f>Data!T2535</f>
        <v/>
      </c>
      <c r="M2417">
        <f>AND(E2417=0,F2417=0,G2417=0,H2417=0,I2417=0,J2417=0,K2417=0,L2417=0)</f>
        <v/>
      </c>
      <c r="N2417">
        <f>G2417&lt;=$T$6</f>
        <v/>
      </c>
      <c r="O2417">
        <f>G2417&lt;=$T$12</f>
        <v/>
      </c>
      <c r="P2417">
        <f>OR(AND(H2417&gt;=$T$4,K2417&lt;=$T$5,N2417),M2417)</f>
        <v/>
      </c>
      <c r="Q2417">
        <f>OR(AND(I2417&gt;=$T$10,K2417&lt;=$T$11,O2417),M2417)</f>
        <v/>
      </c>
    </row>
    <row r="2418">
      <c r="A2418">
        <f>Data!E2536</f>
        <v/>
      </c>
      <c r="B2418">
        <f>Data!G2536</f>
        <v/>
      </c>
      <c r="C2418">
        <f>Data!H2536</f>
        <v/>
      </c>
      <c r="D2418">
        <f>Data!I2536</f>
        <v/>
      </c>
      <c r="E2418">
        <f>Data!M2536</f>
        <v/>
      </c>
      <c r="F2418">
        <f>Data!O2536</f>
        <v/>
      </c>
      <c r="G2418">
        <f>E2418-F2418</f>
        <v/>
      </c>
      <c r="H2418">
        <f>Data!P2536</f>
        <v/>
      </c>
      <c r="I2418">
        <f>G2418+H2418</f>
        <v/>
      </c>
      <c r="J2418">
        <f>F2418+G2418+H2418</f>
        <v/>
      </c>
      <c r="K2418">
        <f>Data!R2536</f>
        <v/>
      </c>
      <c r="L2418">
        <f>Data!T2536</f>
        <v/>
      </c>
      <c r="M2418">
        <f>AND(E2418=0,F2418=0,G2418=0,H2418=0,I2418=0,J2418=0,K2418=0,L2418=0)</f>
        <v/>
      </c>
      <c r="N2418">
        <f>G2418&lt;=$T$6</f>
        <v/>
      </c>
      <c r="O2418">
        <f>G2418&lt;=$T$12</f>
        <v/>
      </c>
      <c r="P2418">
        <f>OR(AND(H2418&gt;=$T$4,K2418&lt;=$T$5,N2418),M2418)</f>
        <v/>
      </c>
      <c r="Q2418">
        <f>OR(AND(I2418&gt;=$T$10,K2418&lt;=$T$11,O2418),M2418)</f>
        <v/>
      </c>
    </row>
    <row r="2419">
      <c r="A2419">
        <f>Data!E2538</f>
        <v/>
      </c>
      <c r="B2419">
        <f>Data!G2538</f>
        <v/>
      </c>
      <c r="C2419">
        <f>Data!H2538</f>
        <v/>
      </c>
      <c r="D2419">
        <f>Data!I2538</f>
        <v/>
      </c>
      <c r="E2419">
        <f>Data!M2538</f>
        <v/>
      </c>
      <c r="F2419">
        <f>Data!O2538</f>
        <v/>
      </c>
      <c r="G2419">
        <f>E2419-F2419</f>
        <v/>
      </c>
      <c r="H2419">
        <f>Data!P2538</f>
        <v/>
      </c>
      <c r="I2419">
        <f>G2419+H2419</f>
        <v/>
      </c>
      <c r="J2419">
        <f>F2419+G2419+H2419</f>
        <v/>
      </c>
      <c r="K2419">
        <f>Data!R2538</f>
        <v/>
      </c>
      <c r="L2419">
        <f>Data!T2538</f>
        <v/>
      </c>
      <c r="M2419">
        <f>AND(E2419=0,F2419=0,G2419=0,H2419=0,I2419=0,J2419=0,K2419=0,L2419=0)</f>
        <v/>
      </c>
      <c r="N2419">
        <f>G2419&lt;=$T$6</f>
        <v/>
      </c>
      <c r="O2419">
        <f>G2419&lt;=$T$12</f>
        <v/>
      </c>
      <c r="P2419">
        <f>OR(AND(H2419&gt;=$T$4,K2419&lt;=$T$5,N2419),M2419)</f>
        <v/>
      </c>
      <c r="Q2419">
        <f>OR(AND(I2419&gt;=$T$10,K2419&lt;=$T$11,O2419),M2419)</f>
        <v/>
      </c>
    </row>
    <row r="2420">
      <c r="A2420">
        <f>Data!E2539</f>
        <v/>
      </c>
      <c r="B2420">
        <f>Data!G2539</f>
        <v/>
      </c>
      <c r="C2420">
        <f>Data!H2539</f>
        <v/>
      </c>
      <c r="D2420">
        <f>Data!I2539</f>
        <v/>
      </c>
      <c r="E2420">
        <f>Data!M2539</f>
        <v/>
      </c>
      <c r="F2420">
        <f>Data!O2539</f>
        <v/>
      </c>
      <c r="G2420">
        <f>E2420-F2420</f>
        <v/>
      </c>
      <c r="H2420">
        <f>Data!P2539</f>
        <v/>
      </c>
      <c r="I2420">
        <f>G2420+H2420</f>
        <v/>
      </c>
      <c r="J2420">
        <f>F2420+G2420+H2420</f>
        <v/>
      </c>
      <c r="K2420">
        <f>Data!R2539</f>
        <v/>
      </c>
      <c r="L2420">
        <f>Data!T2539</f>
        <v/>
      </c>
      <c r="M2420">
        <f>AND(E2420=0,F2420=0,G2420=0,H2420=0,I2420=0,J2420=0,K2420=0,L2420=0)</f>
        <v/>
      </c>
      <c r="N2420">
        <f>G2420&lt;=$T$6</f>
        <v/>
      </c>
      <c r="O2420">
        <f>G2420&lt;=$T$12</f>
        <v/>
      </c>
      <c r="P2420">
        <f>OR(AND(H2420&gt;=$T$4,K2420&lt;=$T$5,N2420),M2420)</f>
        <v/>
      </c>
      <c r="Q2420">
        <f>OR(AND(I2420&gt;=$T$10,K2420&lt;=$T$11,O2420),M2420)</f>
        <v/>
      </c>
    </row>
    <row r="2421">
      <c r="A2421">
        <f>Data!E2540</f>
        <v/>
      </c>
      <c r="B2421">
        <f>Data!G2540</f>
        <v/>
      </c>
      <c r="C2421">
        <f>Data!H2540</f>
        <v/>
      </c>
      <c r="D2421">
        <f>Data!I2540</f>
        <v/>
      </c>
      <c r="E2421">
        <f>Data!M2540</f>
        <v/>
      </c>
      <c r="F2421">
        <f>Data!O2540</f>
        <v/>
      </c>
      <c r="G2421">
        <f>E2421-F2421</f>
        <v/>
      </c>
      <c r="H2421">
        <f>Data!P2540</f>
        <v/>
      </c>
      <c r="I2421">
        <f>G2421+H2421</f>
        <v/>
      </c>
      <c r="J2421">
        <f>F2421+G2421+H2421</f>
        <v/>
      </c>
      <c r="K2421">
        <f>Data!R2540</f>
        <v/>
      </c>
      <c r="L2421">
        <f>Data!T2540</f>
        <v/>
      </c>
      <c r="M2421">
        <f>AND(E2421=0,F2421=0,G2421=0,H2421=0,I2421=0,J2421=0,K2421=0,L2421=0)</f>
        <v/>
      </c>
      <c r="N2421">
        <f>G2421&lt;=$T$6</f>
        <v/>
      </c>
      <c r="O2421">
        <f>G2421&lt;=$T$12</f>
        <v/>
      </c>
      <c r="P2421">
        <f>OR(AND(H2421&gt;=$T$4,K2421&lt;=$T$5,N2421),M2421)</f>
        <v/>
      </c>
      <c r="Q2421">
        <f>OR(AND(I2421&gt;=$T$10,K2421&lt;=$T$11,O2421),M2421)</f>
        <v/>
      </c>
    </row>
    <row r="2422">
      <c r="A2422">
        <f>Data!E2541</f>
        <v/>
      </c>
      <c r="B2422">
        <f>Data!G2541</f>
        <v/>
      </c>
      <c r="C2422">
        <f>Data!H2541</f>
        <v/>
      </c>
      <c r="D2422">
        <f>Data!I2541</f>
        <v/>
      </c>
      <c r="E2422">
        <f>Data!M2541</f>
        <v/>
      </c>
      <c r="F2422">
        <f>Data!O2541</f>
        <v/>
      </c>
      <c r="G2422">
        <f>E2422-F2422</f>
        <v/>
      </c>
      <c r="H2422">
        <f>Data!P2541</f>
        <v/>
      </c>
      <c r="I2422">
        <f>G2422+H2422</f>
        <v/>
      </c>
      <c r="J2422">
        <f>F2422+G2422+H2422</f>
        <v/>
      </c>
      <c r="K2422">
        <f>Data!R2541</f>
        <v/>
      </c>
      <c r="L2422">
        <f>Data!T2541</f>
        <v/>
      </c>
      <c r="M2422">
        <f>AND(E2422=0,F2422=0,G2422=0,H2422=0,I2422=0,J2422=0,K2422=0,L2422=0)</f>
        <v/>
      </c>
      <c r="N2422">
        <f>G2422&lt;=$T$6</f>
        <v/>
      </c>
      <c r="O2422">
        <f>G2422&lt;=$T$12</f>
        <v/>
      </c>
      <c r="P2422">
        <f>OR(AND(H2422&gt;=$T$4,K2422&lt;=$T$5,N2422),M2422)</f>
        <v/>
      </c>
      <c r="Q2422">
        <f>OR(AND(I2422&gt;=$T$10,K2422&lt;=$T$11,O2422),M2422)</f>
        <v/>
      </c>
    </row>
    <row r="2423">
      <c r="A2423">
        <f>Data!E2542</f>
        <v/>
      </c>
      <c r="B2423">
        <f>Data!G2542</f>
        <v/>
      </c>
      <c r="C2423">
        <f>Data!H2542</f>
        <v/>
      </c>
      <c r="D2423">
        <f>Data!I2542</f>
        <v/>
      </c>
      <c r="E2423">
        <f>Data!M2542</f>
        <v/>
      </c>
      <c r="F2423">
        <f>Data!O2542</f>
        <v/>
      </c>
      <c r="G2423">
        <f>E2423-F2423</f>
        <v/>
      </c>
      <c r="H2423">
        <f>Data!P2542</f>
        <v/>
      </c>
      <c r="I2423">
        <f>G2423+H2423</f>
        <v/>
      </c>
      <c r="J2423">
        <f>F2423+G2423+H2423</f>
        <v/>
      </c>
      <c r="K2423">
        <f>Data!R2542</f>
        <v/>
      </c>
      <c r="L2423">
        <f>Data!T2542</f>
        <v/>
      </c>
      <c r="M2423">
        <f>AND(E2423=0,F2423=0,G2423=0,H2423=0,I2423=0,J2423=0,K2423=0,L2423=0)</f>
        <v/>
      </c>
      <c r="N2423">
        <f>G2423&lt;=$T$6</f>
        <v/>
      </c>
      <c r="O2423">
        <f>G2423&lt;=$T$12</f>
        <v/>
      </c>
      <c r="P2423">
        <f>OR(AND(H2423&gt;=$T$4,K2423&lt;=$T$5,N2423),M2423)</f>
        <v/>
      </c>
      <c r="Q2423">
        <f>OR(AND(I2423&gt;=$T$10,K2423&lt;=$T$11,O2423),M2423)</f>
        <v/>
      </c>
    </row>
    <row r="2424">
      <c r="A2424">
        <f>Data!E2543</f>
        <v/>
      </c>
      <c r="B2424">
        <f>Data!G2543</f>
        <v/>
      </c>
      <c r="C2424">
        <f>Data!H2543</f>
        <v/>
      </c>
      <c r="D2424">
        <f>Data!I2543</f>
        <v/>
      </c>
      <c r="E2424">
        <f>Data!M2543</f>
        <v/>
      </c>
      <c r="F2424">
        <f>Data!O2543</f>
        <v/>
      </c>
      <c r="G2424">
        <f>E2424-F2424</f>
        <v/>
      </c>
      <c r="H2424">
        <f>Data!P2543</f>
        <v/>
      </c>
      <c r="I2424">
        <f>G2424+H2424</f>
        <v/>
      </c>
      <c r="J2424">
        <f>F2424+G2424+H2424</f>
        <v/>
      </c>
      <c r="K2424">
        <f>Data!R2543</f>
        <v/>
      </c>
      <c r="L2424">
        <f>Data!T2543</f>
        <v/>
      </c>
      <c r="M2424">
        <f>AND(E2424=0,F2424=0,G2424=0,H2424=0,I2424=0,J2424=0,K2424=0,L2424=0)</f>
        <v/>
      </c>
      <c r="N2424">
        <f>G2424&lt;=$T$6</f>
        <v/>
      </c>
      <c r="O2424">
        <f>G2424&lt;=$T$12</f>
        <v/>
      </c>
      <c r="P2424">
        <f>OR(AND(H2424&gt;=$T$4,K2424&lt;=$T$5,N2424),M2424)</f>
        <v/>
      </c>
      <c r="Q2424">
        <f>OR(AND(I2424&gt;=$T$10,K2424&lt;=$T$11,O2424),M2424)</f>
        <v/>
      </c>
    </row>
    <row r="2425">
      <c r="A2425">
        <f>Data!E2544</f>
        <v/>
      </c>
      <c r="B2425">
        <f>Data!G2544</f>
        <v/>
      </c>
      <c r="C2425">
        <f>Data!H2544</f>
        <v/>
      </c>
      <c r="D2425">
        <f>Data!I2544</f>
        <v/>
      </c>
      <c r="E2425">
        <f>Data!M2544</f>
        <v/>
      </c>
      <c r="F2425">
        <f>Data!O2544</f>
        <v/>
      </c>
      <c r="G2425">
        <f>E2425-F2425</f>
        <v/>
      </c>
      <c r="H2425">
        <f>Data!P2544</f>
        <v/>
      </c>
      <c r="I2425">
        <f>G2425+H2425</f>
        <v/>
      </c>
      <c r="J2425">
        <f>F2425+G2425+H2425</f>
        <v/>
      </c>
      <c r="K2425">
        <f>Data!R2544</f>
        <v/>
      </c>
      <c r="L2425">
        <f>Data!T2544</f>
        <v/>
      </c>
      <c r="M2425">
        <f>AND(E2425=0,F2425=0,G2425=0,H2425=0,I2425=0,J2425=0,K2425=0,L2425=0)</f>
        <v/>
      </c>
      <c r="N2425">
        <f>G2425&lt;=$T$6</f>
        <v/>
      </c>
      <c r="O2425">
        <f>G2425&lt;=$T$12</f>
        <v/>
      </c>
      <c r="P2425">
        <f>OR(AND(H2425&gt;=$T$4,K2425&lt;=$T$5,N2425),M2425)</f>
        <v/>
      </c>
      <c r="Q2425">
        <f>OR(AND(I2425&gt;=$T$10,K2425&lt;=$T$11,O2425),M2425)</f>
        <v/>
      </c>
    </row>
    <row r="2426">
      <c r="A2426">
        <f>Data!E2545</f>
        <v/>
      </c>
      <c r="B2426">
        <f>Data!G2545</f>
        <v/>
      </c>
      <c r="C2426">
        <f>Data!H2545</f>
        <v/>
      </c>
      <c r="D2426">
        <f>Data!I2545</f>
        <v/>
      </c>
      <c r="E2426">
        <f>Data!M2545</f>
        <v/>
      </c>
      <c r="F2426">
        <f>Data!O2545</f>
        <v/>
      </c>
      <c r="G2426">
        <f>E2426-F2426</f>
        <v/>
      </c>
      <c r="H2426">
        <f>Data!P2545</f>
        <v/>
      </c>
      <c r="I2426">
        <f>G2426+H2426</f>
        <v/>
      </c>
      <c r="J2426">
        <f>F2426+G2426+H2426</f>
        <v/>
      </c>
      <c r="K2426">
        <f>Data!R2545</f>
        <v/>
      </c>
      <c r="L2426">
        <f>Data!T2545</f>
        <v/>
      </c>
      <c r="M2426">
        <f>AND(E2426=0,F2426=0,G2426=0,H2426=0,I2426=0,J2426=0,K2426=0,L2426=0)</f>
        <v/>
      </c>
      <c r="N2426">
        <f>G2426&lt;=$T$6</f>
        <v/>
      </c>
      <c r="O2426">
        <f>G2426&lt;=$T$12</f>
        <v/>
      </c>
      <c r="P2426">
        <f>OR(AND(H2426&gt;=$T$4,K2426&lt;=$T$5,N2426),M2426)</f>
        <v/>
      </c>
      <c r="Q2426">
        <f>OR(AND(I2426&gt;=$T$10,K2426&lt;=$T$11,O2426),M2426)</f>
        <v/>
      </c>
    </row>
    <row r="2427">
      <c r="A2427">
        <f>Data!E2546</f>
        <v/>
      </c>
      <c r="B2427">
        <f>Data!G2546</f>
        <v/>
      </c>
      <c r="C2427">
        <f>Data!H2546</f>
        <v/>
      </c>
      <c r="D2427">
        <f>Data!I2546</f>
        <v/>
      </c>
      <c r="E2427">
        <f>Data!M2546</f>
        <v/>
      </c>
      <c r="F2427">
        <f>Data!O2546</f>
        <v/>
      </c>
      <c r="G2427">
        <f>E2427-F2427</f>
        <v/>
      </c>
      <c r="H2427">
        <f>Data!P2546</f>
        <v/>
      </c>
      <c r="I2427">
        <f>G2427+H2427</f>
        <v/>
      </c>
      <c r="J2427">
        <f>F2427+G2427+H2427</f>
        <v/>
      </c>
      <c r="K2427">
        <f>Data!R2546</f>
        <v/>
      </c>
      <c r="L2427">
        <f>Data!T2546</f>
        <v/>
      </c>
      <c r="M2427">
        <f>AND(E2427=0,F2427=0,G2427=0,H2427=0,I2427=0,J2427=0,K2427=0,L2427=0)</f>
        <v/>
      </c>
      <c r="N2427">
        <f>G2427&lt;=$T$6</f>
        <v/>
      </c>
      <c r="O2427">
        <f>G2427&lt;=$T$12</f>
        <v/>
      </c>
      <c r="P2427">
        <f>OR(AND(H2427&gt;=$T$4,K2427&lt;=$T$5,N2427),M2427)</f>
        <v/>
      </c>
      <c r="Q2427">
        <f>OR(AND(I2427&gt;=$T$10,K2427&lt;=$T$11,O2427),M2427)</f>
        <v/>
      </c>
    </row>
    <row r="2428">
      <c r="A2428">
        <f>Data!E2547</f>
        <v/>
      </c>
      <c r="B2428">
        <f>Data!G2547</f>
        <v/>
      </c>
      <c r="C2428">
        <f>Data!H2547</f>
        <v/>
      </c>
      <c r="D2428">
        <f>Data!I2547</f>
        <v/>
      </c>
      <c r="E2428">
        <f>Data!M2547</f>
        <v/>
      </c>
      <c r="F2428">
        <f>Data!O2547</f>
        <v/>
      </c>
      <c r="G2428">
        <f>E2428-F2428</f>
        <v/>
      </c>
      <c r="H2428">
        <f>Data!P2547</f>
        <v/>
      </c>
      <c r="I2428">
        <f>G2428+H2428</f>
        <v/>
      </c>
      <c r="J2428">
        <f>F2428+G2428+H2428</f>
        <v/>
      </c>
      <c r="K2428">
        <f>Data!R2547</f>
        <v/>
      </c>
      <c r="L2428">
        <f>Data!T2547</f>
        <v/>
      </c>
      <c r="M2428">
        <f>AND(E2428=0,F2428=0,G2428=0,H2428=0,I2428=0,J2428=0,K2428=0,L2428=0)</f>
        <v/>
      </c>
      <c r="N2428">
        <f>G2428&lt;=$T$6</f>
        <v/>
      </c>
      <c r="O2428">
        <f>G2428&lt;=$T$12</f>
        <v/>
      </c>
      <c r="P2428">
        <f>OR(AND(H2428&gt;=$T$4,K2428&lt;=$T$5,N2428),M2428)</f>
        <v/>
      </c>
      <c r="Q2428">
        <f>OR(AND(I2428&gt;=$T$10,K2428&lt;=$T$11,O2428),M2428)</f>
        <v/>
      </c>
    </row>
    <row r="2429">
      <c r="A2429">
        <f>Data!E2548</f>
        <v/>
      </c>
      <c r="B2429">
        <f>Data!G2548</f>
        <v/>
      </c>
      <c r="C2429">
        <f>Data!H2548</f>
        <v/>
      </c>
      <c r="D2429">
        <f>Data!I2548</f>
        <v/>
      </c>
      <c r="E2429">
        <f>Data!M2548</f>
        <v/>
      </c>
      <c r="F2429">
        <f>Data!O2548</f>
        <v/>
      </c>
      <c r="G2429">
        <f>E2429-F2429</f>
        <v/>
      </c>
      <c r="H2429">
        <f>Data!P2548</f>
        <v/>
      </c>
      <c r="I2429">
        <f>G2429+H2429</f>
        <v/>
      </c>
      <c r="J2429">
        <f>F2429+G2429+H2429</f>
        <v/>
      </c>
      <c r="K2429">
        <f>Data!R2548</f>
        <v/>
      </c>
      <c r="L2429">
        <f>Data!T2548</f>
        <v/>
      </c>
      <c r="M2429">
        <f>AND(E2429=0,F2429=0,G2429=0,H2429=0,I2429=0,J2429=0,K2429=0,L2429=0)</f>
        <v/>
      </c>
      <c r="N2429">
        <f>G2429&lt;=$T$6</f>
        <v/>
      </c>
      <c r="O2429">
        <f>G2429&lt;=$T$12</f>
        <v/>
      </c>
      <c r="P2429">
        <f>OR(AND(H2429&gt;=$T$4,K2429&lt;=$T$5,N2429),M2429)</f>
        <v/>
      </c>
      <c r="Q2429">
        <f>OR(AND(I2429&gt;=$T$10,K2429&lt;=$T$11,O2429),M2429)</f>
        <v/>
      </c>
    </row>
    <row r="2430">
      <c r="A2430">
        <f>Data!E2549</f>
        <v/>
      </c>
      <c r="B2430">
        <f>Data!G2549</f>
        <v/>
      </c>
      <c r="C2430">
        <f>Data!H2549</f>
        <v/>
      </c>
      <c r="D2430">
        <f>Data!I2549</f>
        <v/>
      </c>
      <c r="E2430">
        <f>Data!M2549</f>
        <v/>
      </c>
      <c r="F2430">
        <f>Data!O2549</f>
        <v/>
      </c>
      <c r="G2430">
        <f>E2430-F2430</f>
        <v/>
      </c>
      <c r="H2430">
        <f>Data!P2549</f>
        <v/>
      </c>
      <c r="I2430">
        <f>G2430+H2430</f>
        <v/>
      </c>
      <c r="J2430">
        <f>F2430+G2430+H2430</f>
        <v/>
      </c>
      <c r="K2430">
        <f>Data!R2549</f>
        <v/>
      </c>
      <c r="L2430">
        <f>Data!T2549</f>
        <v/>
      </c>
      <c r="M2430">
        <f>AND(E2430=0,F2430=0,G2430=0,H2430=0,I2430=0,J2430=0,K2430=0,L2430=0)</f>
        <v/>
      </c>
      <c r="N2430">
        <f>G2430&lt;=$T$6</f>
        <v/>
      </c>
      <c r="O2430">
        <f>G2430&lt;=$T$12</f>
        <v/>
      </c>
      <c r="P2430">
        <f>OR(AND(H2430&gt;=$T$4,K2430&lt;=$T$5,N2430),M2430)</f>
        <v/>
      </c>
      <c r="Q2430">
        <f>OR(AND(I2430&gt;=$T$10,K2430&lt;=$T$11,O2430),M2430)</f>
        <v/>
      </c>
    </row>
    <row r="2431">
      <c r="A2431">
        <f>Data!E2550</f>
        <v/>
      </c>
      <c r="B2431">
        <f>Data!G2550</f>
        <v/>
      </c>
      <c r="C2431">
        <f>Data!H2550</f>
        <v/>
      </c>
      <c r="D2431">
        <f>Data!I2550</f>
        <v/>
      </c>
      <c r="E2431">
        <f>Data!M2550</f>
        <v/>
      </c>
      <c r="F2431">
        <f>Data!O2550</f>
        <v/>
      </c>
      <c r="G2431">
        <f>E2431-F2431</f>
        <v/>
      </c>
      <c r="H2431">
        <f>Data!P2550</f>
        <v/>
      </c>
      <c r="I2431">
        <f>G2431+H2431</f>
        <v/>
      </c>
      <c r="J2431">
        <f>F2431+G2431+H2431</f>
        <v/>
      </c>
      <c r="K2431">
        <f>Data!R2550</f>
        <v/>
      </c>
      <c r="L2431">
        <f>Data!T2550</f>
        <v/>
      </c>
      <c r="M2431">
        <f>AND(E2431=0,F2431=0,G2431=0,H2431=0,I2431=0,J2431=0,K2431=0,L2431=0)</f>
        <v/>
      </c>
      <c r="N2431">
        <f>G2431&lt;=$T$6</f>
        <v/>
      </c>
      <c r="O2431">
        <f>G2431&lt;=$T$12</f>
        <v/>
      </c>
      <c r="P2431">
        <f>OR(AND(H2431&gt;=$T$4,K2431&lt;=$T$5,N2431),M2431)</f>
        <v/>
      </c>
      <c r="Q2431">
        <f>OR(AND(I2431&gt;=$T$10,K2431&lt;=$T$11,O2431),M2431)</f>
        <v/>
      </c>
    </row>
    <row r="2432">
      <c r="A2432">
        <f>Data!E2551</f>
        <v/>
      </c>
      <c r="B2432">
        <f>Data!G2551</f>
        <v/>
      </c>
      <c r="C2432">
        <f>Data!H2551</f>
        <v/>
      </c>
      <c r="D2432">
        <f>Data!I2551</f>
        <v/>
      </c>
      <c r="E2432">
        <f>Data!M2551</f>
        <v/>
      </c>
      <c r="F2432">
        <f>Data!O2551</f>
        <v/>
      </c>
      <c r="G2432">
        <f>E2432-F2432</f>
        <v/>
      </c>
      <c r="H2432">
        <f>Data!P2551</f>
        <v/>
      </c>
      <c r="I2432">
        <f>G2432+H2432</f>
        <v/>
      </c>
      <c r="J2432">
        <f>F2432+G2432+H2432</f>
        <v/>
      </c>
      <c r="K2432">
        <f>Data!R2551</f>
        <v/>
      </c>
      <c r="L2432">
        <f>Data!T2551</f>
        <v/>
      </c>
      <c r="M2432">
        <f>AND(E2432=0,F2432=0,G2432=0,H2432=0,I2432=0,J2432=0,K2432=0,L2432=0)</f>
        <v/>
      </c>
      <c r="N2432">
        <f>G2432&lt;=$T$6</f>
        <v/>
      </c>
      <c r="O2432">
        <f>G2432&lt;=$T$12</f>
        <v/>
      </c>
      <c r="P2432">
        <f>OR(AND(H2432&gt;=$T$4,K2432&lt;=$T$5,N2432),M2432)</f>
        <v/>
      </c>
      <c r="Q2432">
        <f>OR(AND(I2432&gt;=$T$10,K2432&lt;=$T$11,O2432),M2432)</f>
        <v/>
      </c>
    </row>
    <row r="2433">
      <c r="A2433">
        <f>Data!E2552</f>
        <v/>
      </c>
      <c r="B2433">
        <f>Data!G2552</f>
        <v/>
      </c>
      <c r="C2433">
        <f>Data!H2552</f>
        <v/>
      </c>
      <c r="D2433">
        <f>Data!I2552</f>
        <v/>
      </c>
      <c r="E2433">
        <f>Data!M2552</f>
        <v/>
      </c>
      <c r="F2433">
        <f>Data!O2552</f>
        <v/>
      </c>
      <c r="G2433">
        <f>E2433-F2433</f>
        <v/>
      </c>
      <c r="H2433">
        <f>Data!P2552</f>
        <v/>
      </c>
      <c r="I2433">
        <f>G2433+H2433</f>
        <v/>
      </c>
      <c r="J2433">
        <f>F2433+G2433+H2433</f>
        <v/>
      </c>
      <c r="K2433">
        <f>Data!R2552</f>
        <v/>
      </c>
      <c r="L2433">
        <f>Data!T2552</f>
        <v/>
      </c>
      <c r="M2433">
        <f>AND(E2433=0,F2433=0,G2433=0,H2433=0,I2433=0,J2433=0,K2433=0,L2433=0)</f>
        <v/>
      </c>
      <c r="N2433">
        <f>G2433&lt;=$T$6</f>
        <v/>
      </c>
      <c r="O2433">
        <f>G2433&lt;=$T$12</f>
        <v/>
      </c>
      <c r="P2433">
        <f>OR(AND(H2433&gt;=$T$4,K2433&lt;=$T$5,N2433),M2433)</f>
        <v/>
      </c>
      <c r="Q2433">
        <f>OR(AND(I2433&gt;=$T$10,K2433&lt;=$T$11,O2433),M2433)</f>
        <v/>
      </c>
    </row>
    <row r="2434">
      <c r="A2434">
        <f>Data!E2553</f>
        <v/>
      </c>
      <c r="B2434">
        <f>Data!G2553</f>
        <v/>
      </c>
      <c r="C2434">
        <f>Data!H2553</f>
        <v/>
      </c>
      <c r="D2434">
        <f>Data!I2553</f>
        <v/>
      </c>
      <c r="E2434">
        <f>Data!M2553</f>
        <v/>
      </c>
      <c r="F2434">
        <f>Data!O2553</f>
        <v/>
      </c>
      <c r="G2434">
        <f>E2434-F2434</f>
        <v/>
      </c>
      <c r="H2434">
        <f>Data!P2553</f>
        <v/>
      </c>
      <c r="I2434">
        <f>G2434+H2434</f>
        <v/>
      </c>
      <c r="J2434">
        <f>F2434+G2434+H2434</f>
        <v/>
      </c>
      <c r="K2434">
        <f>Data!R2553</f>
        <v/>
      </c>
      <c r="L2434">
        <f>Data!T2553</f>
        <v/>
      </c>
      <c r="M2434">
        <f>AND(E2434=0,F2434=0,G2434=0,H2434=0,I2434=0,J2434=0,K2434=0,L2434=0)</f>
        <v/>
      </c>
      <c r="N2434">
        <f>G2434&lt;=$T$6</f>
        <v/>
      </c>
      <c r="O2434">
        <f>G2434&lt;=$T$12</f>
        <v/>
      </c>
      <c r="P2434">
        <f>OR(AND(H2434&gt;=$T$4,K2434&lt;=$T$5,N2434),M2434)</f>
        <v/>
      </c>
      <c r="Q2434">
        <f>OR(AND(I2434&gt;=$T$10,K2434&lt;=$T$11,O2434),M2434)</f>
        <v/>
      </c>
    </row>
    <row r="2435">
      <c r="A2435">
        <f>Data!E2554</f>
        <v/>
      </c>
      <c r="B2435">
        <f>Data!G2554</f>
        <v/>
      </c>
      <c r="C2435">
        <f>Data!H2554</f>
        <v/>
      </c>
      <c r="D2435">
        <f>Data!I2554</f>
        <v/>
      </c>
      <c r="E2435">
        <f>Data!M2554</f>
        <v/>
      </c>
      <c r="F2435">
        <f>Data!O2554</f>
        <v/>
      </c>
      <c r="G2435">
        <f>E2435-F2435</f>
        <v/>
      </c>
      <c r="H2435">
        <f>Data!P2554</f>
        <v/>
      </c>
      <c r="I2435">
        <f>G2435+H2435</f>
        <v/>
      </c>
      <c r="J2435">
        <f>F2435+G2435+H2435</f>
        <v/>
      </c>
      <c r="K2435">
        <f>Data!R2554</f>
        <v/>
      </c>
      <c r="L2435">
        <f>Data!T2554</f>
        <v/>
      </c>
      <c r="M2435">
        <f>AND(E2435=0,F2435=0,G2435=0,H2435=0,I2435=0,J2435=0,K2435=0,L2435=0)</f>
        <v/>
      </c>
      <c r="N2435">
        <f>G2435&lt;=$T$6</f>
        <v/>
      </c>
      <c r="O2435">
        <f>G2435&lt;=$T$12</f>
        <v/>
      </c>
      <c r="P2435">
        <f>OR(AND(H2435&gt;=$T$4,K2435&lt;=$T$5,N2435),M2435)</f>
        <v/>
      </c>
      <c r="Q2435">
        <f>OR(AND(I2435&gt;=$T$10,K2435&lt;=$T$11,O2435),M2435)</f>
        <v/>
      </c>
    </row>
    <row r="2436">
      <c r="A2436">
        <f>Data!E2555</f>
        <v/>
      </c>
      <c r="B2436">
        <f>Data!G2555</f>
        <v/>
      </c>
      <c r="C2436">
        <f>Data!H2555</f>
        <v/>
      </c>
      <c r="D2436">
        <f>Data!I2555</f>
        <v/>
      </c>
      <c r="E2436">
        <f>Data!M2555</f>
        <v/>
      </c>
      <c r="F2436">
        <f>Data!O2555</f>
        <v/>
      </c>
      <c r="G2436">
        <f>E2436-F2436</f>
        <v/>
      </c>
      <c r="H2436">
        <f>Data!P2555</f>
        <v/>
      </c>
      <c r="I2436">
        <f>G2436+H2436</f>
        <v/>
      </c>
      <c r="J2436">
        <f>F2436+G2436+H2436</f>
        <v/>
      </c>
      <c r="K2436">
        <f>Data!R2555</f>
        <v/>
      </c>
      <c r="L2436">
        <f>Data!T2555</f>
        <v/>
      </c>
      <c r="M2436">
        <f>AND(E2436=0,F2436=0,G2436=0,H2436=0,I2436=0,J2436=0,K2436=0,L2436=0)</f>
        <v/>
      </c>
      <c r="N2436">
        <f>G2436&lt;=$T$6</f>
        <v/>
      </c>
      <c r="O2436">
        <f>G2436&lt;=$T$12</f>
        <v/>
      </c>
      <c r="P2436">
        <f>OR(AND(H2436&gt;=$T$4,K2436&lt;=$T$5,N2436),M2436)</f>
        <v/>
      </c>
      <c r="Q2436">
        <f>OR(AND(I2436&gt;=$T$10,K2436&lt;=$T$11,O2436),M2436)</f>
        <v/>
      </c>
    </row>
    <row r="2437">
      <c r="A2437">
        <f>Data!E2556</f>
        <v/>
      </c>
      <c r="B2437">
        <f>Data!G2556</f>
        <v/>
      </c>
      <c r="C2437">
        <f>Data!H2556</f>
        <v/>
      </c>
      <c r="D2437">
        <f>Data!I2556</f>
        <v/>
      </c>
      <c r="E2437">
        <f>Data!M2556</f>
        <v/>
      </c>
      <c r="F2437">
        <f>Data!O2556</f>
        <v/>
      </c>
      <c r="G2437">
        <f>E2437-F2437</f>
        <v/>
      </c>
      <c r="H2437">
        <f>Data!P2556</f>
        <v/>
      </c>
      <c r="I2437">
        <f>G2437+H2437</f>
        <v/>
      </c>
      <c r="J2437">
        <f>F2437+G2437+H2437</f>
        <v/>
      </c>
      <c r="K2437">
        <f>Data!R2556</f>
        <v/>
      </c>
      <c r="L2437">
        <f>Data!T2556</f>
        <v/>
      </c>
      <c r="M2437">
        <f>AND(E2437=0,F2437=0,G2437=0,H2437=0,I2437=0,J2437=0,K2437=0,L2437=0)</f>
        <v/>
      </c>
      <c r="N2437">
        <f>G2437&lt;=$T$6</f>
        <v/>
      </c>
      <c r="O2437">
        <f>G2437&lt;=$T$12</f>
        <v/>
      </c>
      <c r="P2437">
        <f>OR(AND(H2437&gt;=$T$4,K2437&lt;=$T$5,N2437),M2437)</f>
        <v/>
      </c>
      <c r="Q2437">
        <f>OR(AND(I2437&gt;=$T$10,K2437&lt;=$T$11,O2437),M2437)</f>
        <v/>
      </c>
    </row>
    <row r="2438">
      <c r="A2438">
        <f>Data!E2557</f>
        <v/>
      </c>
      <c r="B2438">
        <f>Data!G2557</f>
        <v/>
      </c>
      <c r="C2438">
        <f>Data!H2557</f>
        <v/>
      </c>
      <c r="D2438">
        <f>Data!I2557</f>
        <v/>
      </c>
      <c r="E2438">
        <f>Data!M2557</f>
        <v/>
      </c>
      <c r="F2438">
        <f>Data!O2557</f>
        <v/>
      </c>
      <c r="G2438">
        <f>E2438-F2438</f>
        <v/>
      </c>
      <c r="H2438">
        <f>Data!P2557</f>
        <v/>
      </c>
      <c r="I2438">
        <f>G2438+H2438</f>
        <v/>
      </c>
      <c r="J2438">
        <f>F2438+G2438+H2438</f>
        <v/>
      </c>
      <c r="K2438">
        <f>Data!R2557</f>
        <v/>
      </c>
      <c r="L2438">
        <f>Data!T2557</f>
        <v/>
      </c>
      <c r="M2438">
        <f>AND(E2438=0,F2438=0,G2438=0,H2438=0,I2438=0,J2438=0,K2438=0,L2438=0)</f>
        <v/>
      </c>
      <c r="N2438">
        <f>G2438&lt;=$T$6</f>
        <v/>
      </c>
      <c r="O2438">
        <f>G2438&lt;=$T$12</f>
        <v/>
      </c>
      <c r="P2438">
        <f>OR(AND(H2438&gt;=$T$4,K2438&lt;=$T$5,N2438),M2438)</f>
        <v/>
      </c>
      <c r="Q2438">
        <f>OR(AND(I2438&gt;=$T$10,K2438&lt;=$T$11,O2438),M2438)</f>
        <v/>
      </c>
    </row>
    <row r="2439">
      <c r="A2439">
        <f>Data!E2558</f>
        <v/>
      </c>
      <c r="B2439">
        <f>Data!G2558</f>
        <v/>
      </c>
      <c r="C2439">
        <f>Data!H2558</f>
        <v/>
      </c>
      <c r="D2439">
        <f>Data!I2558</f>
        <v/>
      </c>
      <c r="E2439">
        <f>Data!M2558</f>
        <v/>
      </c>
      <c r="F2439">
        <f>Data!O2558</f>
        <v/>
      </c>
      <c r="G2439">
        <f>E2439-F2439</f>
        <v/>
      </c>
      <c r="H2439">
        <f>Data!P2558</f>
        <v/>
      </c>
      <c r="I2439">
        <f>G2439+H2439</f>
        <v/>
      </c>
      <c r="J2439">
        <f>F2439+G2439+H2439</f>
        <v/>
      </c>
      <c r="K2439">
        <f>Data!R2558</f>
        <v/>
      </c>
      <c r="L2439">
        <f>Data!T2558</f>
        <v/>
      </c>
      <c r="M2439">
        <f>AND(E2439=0,F2439=0,G2439=0,H2439=0,I2439=0,J2439=0,K2439=0,L2439=0)</f>
        <v/>
      </c>
      <c r="N2439">
        <f>G2439&lt;=$T$6</f>
        <v/>
      </c>
      <c r="O2439">
        <f>G2439&lt;=$T$12</f>
        <v/>
      </c>
      <c r="P2439">
        <f>OR(AND(H2439&gt;=$T$4,K2439&lt;=$T$5,N2439),M2439)</f>
        <v/>
      </c>
      <c r="Q2439">
        <f>OR(AND(I2439&gt;=$T$10,K2439&lt;=$T$11,O2439),M2439)</f>
        <v/>
      </c>
    </row>
    <row r="2440">
      <c r="A2440">
        <f>Data!E2559</f>
        <v/>
      </c>
      <c r="B2440">
        <f>Data!G2559</f>
        <v/>
      </c>
      <c r="C2440">
        <f>Data!H2559</f>
        <v/>
      </c>
      <c r="D2440">
        <f>Data!I2559</f>
        <v/>
      </c>
      <c r="E2440">
        <f>Data!M2559</f>
        <v/>
      </c>
      <c r="F2440">
        <f>Data!O2559</f>
        <v/>
      </c>
      <c r="G2440">
        <f>E2440-F2440</f>
        <v/>
      </c>
      <c r="H2440">
        <f>Data!P2559</f>
        <v/>
      </c>
      <c r="I2440">
        <f>G2440+H2440</f>
        <v/>
      </c>
      <c r="J2440">
        <f>F2440+G2440+H2440</f>
        <v/>
      </c>
      <c r="K2440">
        <f>Data!R2559</f>
        <v/>
      </c>
      <c r="L2440">
        <f>Data!T2559</f>
        <v/>
      </c>
      <c r="M2440">
        <f>AND(E2440=0,F2440=0,G2440=0,H2440=0,I2440=0,J2440=0,K2440=0,L2440=0)</f>
        <v/>
      </c>
      <c r="N2440">
        <f>G2440&lt;=$T$6</f>
        <v/>
      </c>
      <c r="O2440">
        <f>G2440&lt;=$T$12</f>
        <v/>
      </c>
      <c r="P2440">
        <f>OR(AND(H2440&gt;=$T$4,K2440&lt;=$T$5,N2440),M2440)</f>
        <v/>
      </c>
      <c r="Q2440">
        <f>OR(AND(I2440&gt;=$T$10,K2440&lt;=$T$11,O2440),M2440)</f>
        <v/>
      </c>
    </row>
    <row r="2441">
      <c r="A2441">
        <f>Data!E2561</f>
        <v/>
      </c>
      <c r="B2441">
        <f>Data!G2561</f>
        <v/>
      </c>
      <c r="C2441">
        <f>Data!H2561</f>
        <v/>
      </c>
      <c r="D2441">
        <f>Data!I2561</f>
        <v/>
      </c>
      <c r="E2441">
        <f>Data!M2561</f>
        <v/>
      </c>
      <c r="F2441">
        <f>Data!O2561</f>
        <v/>
      </c>
      <c r="G2441">
        <f>E2441-F2441</f>
        <v/>
      </c>
      <c r="H2441">
        <f>Data!P2561</f>
        <v/>
      </c>
      <c r="I2441">
        <f>G2441+H2441</f>
        <v/>
      </c>
      <c r="J2441">
        <f>F2441+G2441+H2441</f>
        <v/>
      </c>
      <c r="K2441">
        <f>Data!R2561</f>
        <v/>
      </c>
      <c r="L2441">
        <f>Data!T2561</f>
        <v/>
      </c>
      <c r="M2441">
        <f>AND(E2441=0,F2441=0,G2441=0,H2441=0,I2441=0,J2441=0,K2441=0,L2441=0)</f>
        <v/>
      </c>
      <c r="N2441">
        <f>G2441&lt;=$T$6</f>
        <v/>
      </c>
      <c r="O2441">
        <f>G2441&lt;=$T$12</f>
        <v/>
      </c>
      <c r="P2441">
        <f>OR(AND(H2441&gt;=$T$4,K2441&lt;=$T$5,N2441),M2441)</f>
        <v/>
      </c>
      <c r="Q2441">
        <f>OR(AND(I2441&gt;=$T$10,K2441&lt;=$T$11,O2441),M2441)</f>
        <v/>
      </c>
    </row>
    <row r="2442">
      <c r="A2442">
        <f>Data!E2562</f>
        <v/>
      </c>
      <c r="B2442">
        <f>Data!G2562</f>
        <v/>
      </c>
      <c r="C2442">
        <f>Data!H2562</f>
        <v/>
      </c>
      <c r="D2442">
        <f>Data!I2562</f>
        <v/>
      </c>
      <c r="E2442">
        <f>Data!M2562</f>
        <v/>
      </c>
      <c r="F2442">
        <f>Data!O2562</f>
        <v/>
      </c>
      <c r="G2442">
        <f>E2442-F2442</f>
        <v/>
      </c>
      <c r="H2442">
        <f>Data!P2562</f>
        <v/>
      </c>
      <c r="I2442">
        <f>G2442+H2442</f>
        <v/>
      </c>
      <c r="J2442">
        <f>F2442+G2442+H2442</f>
        <v/>
      </c>
      <c r="K2442">
        <f>Data!R2562</f>
        <v/>
      </c>
      <c r="L2442">
        <f>Data!T2562</f>
        <v/>
      </c>
      <c r="M2442">
        <f>AND(E2442=0,F2442=0,G2442=0,H2442=0,I2442=0,J2442=0,K2442=0,L2442=0)</f>
        <v/>
      </c>
      <c r="N2442">
        <f>G2442&lt;=$T$6</f>
        <v/>
      </c>
      <c r="O2442">
        <f>G2442&lt;=$T$12</f>
        <v/>
      </c>
      <c r="P2442">
        <f>OR(AND(H2442&gt;=$T$4,K2442&lt;=$T$5,N2442),M2442)</f>
        <v/>
      </c>
      <c r="Q2442">
        <f>OR(AND(I2442&gt;=$T$10,K2442&lt;=$T$11,O2442),M2442)</f>
        <v/>
      </c>
    </row>
    <row r="2443">
      <c r="A2443">
        <f>Data!E2563</f>
        <v/>
      </c>
      <c r="B2443">
        <f>Data!G2563</f>
        <v/>
      </c>
      <c r="C2443">
        <f>Data!H2563</f>
        <v/>
      </c>
      <c r="D2443">
        <f>Data!I2563</f>
        <v/>
      </c>
      <c r="E2443">
        <f>Data!M2563</f>
        <v/>
      </c>
      <c r="F2443">
        <f>Data!O2563</f>
        <v/>
      </c>
      <c r="G2443">
        <f>E2443-F2443</f>
        <v/>
      </c>
      <c r="H2443">
        <f>Data!P2563</f>
        <v/>
      </c>
      <c r="I2443">
        <f>G2443+H2443</f>
        <v/>
      </c>
      <c r="J2443">
        <f>F2443+G2443+H2443</f>
        <v/>
      </c>
      <c r="K2443">
        <f>Data!R2563</f>
        <v/>
      </c>
      <c r="L2443">
        <f>Data!T2563</f>
        <v/>
      </c>
      <c r="M2443">
        <f>AND(E2443=0,F2443=0,G2443=0,H2443=0,I2443=0,J2443=0,K2443=0,L2443=0)</f>
        <v/>
      </c>
      <c r="N2443">
        <f>G2443&lt;=$T$6</f>
        <v/>
      </c>
      <c r="O2443">
        <f>G2443&lt;=$T$12</f>
        <v/>
      </c>
      <c r="P2443">
        <f>OR(AND(H2443&gt;=$T$4,K2443&lt;=$T$5,N2443),M2443)</f>
        <v/>
      </c>
      <c r="Q2443">
        <f>OR(AND(I2443&gt;=$T$10,K2443&lt;=$T$11,O2443),M2443)</f>
        <v/>
      </c>
    </row>
    <row r="2444">
      <c r="A2444">
        <f>Data!E2564</f>
        <v/>
      </c>
      <c r="B2444">
        <f>Data!G2564</f>
        <v/>
      </c>
      <c r="C2444">
        <f>Data!H2564</f>
        <v/>
      </c>
      <c r="D2444">
        <f>Data!I2564</f>
        <v/>
      </c>
      <c r="E2444">
        <f>Data!M2564</f>
        <v/>
      </c>
      <c r="F2444">
        <f>Data!O2564</f>
        <v/>
      </c>
      <c r="G2444">
        <f>E2444-F2444</f>
        <v/>
      </c>
      <c r="H2444">
        <f>Data!P2564</f>
        <v/>
      </c>
      <c r="I2444">
        <f>G2444+H2444</f>
        <v/>
      </c>
      <c r="J2444">
        <f>F2444+G2444+H2444</f>
        <v/>
      </c>
      <c r="K2444">
        <f>Data!R2564</f>
        <v/>
      </c>
      <c r="L2444">
        <f>Data!T2564</f>
        <v/>
      </c>
      <c r="M2444">
        <f>AND(E2444=0,F2444=0,G2444=0,H2444=0,I2444=0,J2444=0,K2444=0,L2444=0)</f>
        <v/>
      </c>
      <c r="N2444">
        <f>G2444&lt;=$T$6</f>
        <v/>
      </c>
      <c r="O2444">
        <f>G2444&lt;=$T$12</f>
        <v/>
      </c>
      <c r="P2444">
        <f>OR(AND(H2444&gt;=$T$4,K2444&lt;=$T$5,N2444),M2444)</f>
        <v/>
      </c>
      <c r="Q2444">
        <f>OR(AND(I2444&gt;=$T$10,K2444&lt;=$T$11,O2444),M2444)</f>
        <v/>
      </c>
    </row>
    <row r="2445">
      <c r="A2445">
        <f>Data!E2565</f>
        <v/>
      </c>
      <c r="B2445">
        <f>Data!G2565</f>
        <v/>
      </c>
      <c r="C2445">
        <f>Data!H2565</f>
        <v/>
      </c>
      <c r="D2445">
        <f>Data!I2565</f>
        <v/>
      </c>
      <c r="E2445">
        <f>Data!M2565</f>
        <v/>
      </c>
      <c r="F2445">
        <f>Data!O2565</f>
        <v/>
      </c>
      <c r="G2445">
        <f>E2445-F2445</f>
        <v/>
      </c>
      <c r="H2445">
        <f>Data!P2565</f>
        <v/>
      </c>
      <c r="I2445">
        <f>G2445+H2445</f>
        <v/>
      </c>
      <c r="J2445">
        <f>F2445+G2445+H2445</f>
        <v/>
      </c>
      <c r="K2445">
        <f>Data!R2565</f>
        <v/>
      </c>
      <c r="L2445">
        <f>Data!T2565</f>
        <v/>
      </c>
      <c r="M2445">
        <f>AND(E2445=0,F2445=0,G2445=0,H2445=0,I2445=0,J2445=0,K2445=0,L2445=0)</f>
        <v/>
      </c>
      <c r="N2445">
        <f>G2445&lt;=$T$6</f>
        <v/>
      </c>
      <c r="O2445">
        <f>G2445&lt;=$T$12</f>
        <v/>
      </c>
      <c r="P2445">
        <f>OR(AND(H2445&gt;=$T$4,K2445&lt;=$T$5,N2445),M2445)</f>
        <v/>
      </c>
      <c r="Q2445">
        <f>OR(AND(I2445&gt;=$T$10,K2445&lt;=$T$11,O2445),M2445)</f>
        <v/>
      </c>
    </row>
    <row r="2446">
      <c r="A2446">
        <f>Data!E2566</f>
        <v/>
      </c>
      <c r="B2446">
        <f>Data!G2566</f>
        <v/>
      </c>
      <c r="C2446">
        <f>Data!H2566</f>
        <v/>
      </c>
      <c r="D2446">
        <f>Data!I2566</f>
        <v/>
      </c>
      <c r="E2446">
        <f>Data!M2566</f>
        <v/>
      </c>
      <c r="F2446">
        <f>Data!O2566</f>
        <v/>
      </c>
      <c r="G2446">
        <f>E2446-F2446</f>
        <v/>
      </c>
      <c r="H2446">
        <f>Data!P2566</f>
        <v/>
      </c>
      <c r="I2446">
        <f>G2446+H2446</f>
        <v/>
      </c>
      <c r="J2446">
        <f>F2446+G2446+H2446</f>
        <v/>
      </c>
      <c r="K2446">
        <f>Data!R2566</f>
        <v/>
      </c>
      <c r="L2446">
        <f>Data!T2566</f>
        <v/>
      </c>
      <c r="M2446">
        <f>AND(E2446=0,F2446=0,G2446=0,H2446=0,I2446=0,J2446=0,K2446=0,L2446=0)</f>
        <v/>
      </c>
      <c r="N2446">
        <f>G2446&lt;=$T$6</f>
        <v/>
      </c>
      <c r="O2446">
        <f>G2446&lt;=$T$12</f>
        <v/>
      </c>
      <c r="P2446">
        <f>OR(AND(H2446&gt;=$T$4,K2446&lt;=$T$5,N2446),M2446)</f>
        <v/>
      </c>
      <c r="Q2446">
        <f>OR(AND(I2446&gt;=$T$10,K2446&lt;=$T$11,O2446),M2446)</f>
        <v/>
      </c>
    </row>
    <row r="2447">
      <c r="A2447">
        <f>Data!E2567</f>
        <v/>
      </c>
      <c r="B2447">
        <f>Data!G2567</f>
        <v/>
      </c>
      <c r="C2447">
        <f>Data!H2567</f>
        <v/>
      </c>
      <c r="D2447">
        <f>Data!I2567</f>
        <v/>
      </c>
      <c r="E2447">
        <f>Data!M2567</f>
        <v/>
      </c>
      <c r="F2447">
        <f>Data!O2567</f>
        <v/>
      </c>
      <c r="G2447">
        <f>E2447-F2447</f>
        <v/>
      </c>
      <c r="H2447">
        <f>Data!P2567</f>
        <v/>
      </c>
      <c r="I2447">
        <f>G2447+H2447</f>
        <v/>
      </c>
      <c r="J2447">
        <f>F2447+G2447+H2447</f>
        <v/>
      </c>
      <c r="K2447">
        <f>Data!R2567</f>
        <v/>
      </c>
      <c r="L2447">
        <f>Data!T2567</f>
        <v/>
      </c>
      <c r="M2447">
        <f>AND(E2447=0,F2447=0,G2447=0,H2447=0,I2447=0,J2447=0,K2447=0,L2447=0)</f>
        <v/>
      </c>
      <c r="N2447">
        <f>G2447&lt;=$T$6</f>
        <v/>
      </c>
      <c r="O2447">
        <f>G2447&lt;=$T$12</f>
        <v/>
      </c>
      <c r="P2447">
        <f>OR(AND(H2447&gt;=$T$4,K2447&lt;=$T$5,N2447),M2447)</f>
        <v/>
      </c>
      <c r="Q2447">
        <f>OR(AND(I2447&gt;=$T$10,K2447&lt;=$T$11,O2447),M2447)</f>
        <v/>
      </c>
    </row>
    <row r="2448">
      <c r="A2448">
        <f>Data!E2568</f>
        <v/>
      </c>
      <c r="B2448">
        <f>Data!G2568</f>
        <v/>
      </c>
      <c r="C2448">
        <f>Data!H2568</f>
        <v/>
      </c>
      <c r="D2448">
        <f>Data!I2568</f>
        <v/>
      </c>
      <c r="E2448">
        <f>Data!M2568</f>
        <v/>
      </c>
      <c r="F2448">
        <f>Data!O2568</f>
        <v/>
      </c>
      <c r="G2448">
        <f>E2448-F2448</f>
        <v/>
      </c>
      <c r="H2448">
        <f>Data!P2568</f>
        <v/>
      </c>
      <c r="I2448">
        <f>G2448+H2448</f>
        <v/>
      </c>
      <c r="J2448">
        <f>F2448+G2448+H2448</f>
        <v/>
      </c>
      <c r="K2448">
        <f>Data!R2568</f>
        <v/>
      </c>
      <c r="L2448">
        <f>Data!T2568</f>
        <v/>
      </c>
      <c r="M2448">
        <f>AND(E2448=0,F2448=0,G2448=0,H2448=0,I2448=0,J2448=0,K2448=0,L2448=0)</f>
        <v/>
      </c>
      <c r="N2448">
        <f>G2448&lt;=$T$6</f>
        <v/>
      </c>
      <c r="O2448">
        <f>G2448&lt;=$T$12</f>
        <v/>
      </c>
      <c r="P2448">
        <f>OR(AND(H2448&gt;=$T$4,K2448&lt;=$T$5,N2448),M2448)</f>
        <v/>
      </c>
      <c r="Q2448">
        <f>OR(AND(I2448&gt;=$T$10,K2448&lt;=$T$11,O2448),M2448)</f>
        <v/>
      </c>
    </row>
    <row r="2449">
      <c r="A2449">
        <f>Data!E2569</f>
        <v/>
      </c>
      <c r="B2449">
        <f>Data!G2569</f>
        <v/>
      </c>
      <c r="C2449">
        <f>Data!H2569</f>
        <v/>
      </c>
      <c r="D2449">
        <f>Data!I2569</f>
        <v/>
      </c>
      <c r="E2449">
        <f>Data!M2569</f>
        <v/>
      </c>
      <c r="F2449">
        <f>Data!O2569</f>
        <v/>
      </c>
      <c r="G2449">
        <f>E2449-F2449</f>
        <v/>
      </c>
      <c r="H2449">
        <f>Data!P2569</f>
        <v/>
      </c>
      <c r="I2449">
        <f>G2449+H2449</f>
        <v/>
      </c>
      <c r="J2449">
        <f>F2449+G2449+H2449</f>
        <v/>
      </c>
      <c r="K2449">
        <f>Data!R2569</f>
        <v/>
      </c>
      <c r="L2449">
        <f>Data!T2569</f>
        <v/>
      </c>
      <c r="M2449">
        <f>AND(E2449=0,F2449=0,G2449=0,H2449=0,I2449=0,J2449=0,K2449=0,L2449=0)</f>
        <v/>
      </c>
      <c r="N2449">
        <f>G2449&lt;=$T$6</f>
        <v/>
      </c>
      <c r="O2449">
        <f>G2449&lt;=$T$12</f>
        <v/>
      </c>
      <c r="P2449">
        <f>OR(AND(H2449&gt;=$T$4,K2449&lt;=$T$5,N2449),M2449)</f>
        <v/>
      </c>
      <c r="Q2449">
        <f>OR(AND(I2449&gt;=$T$10,K2449&lt;=$T$11,O2449),M2449)</f>
        <v/>
      </c>
    </row>
    <row r="2450">
      <c r="A2450">
        <f>Data!E2570</f>
        <v/>
      </c>
      <c r="B2450">
        <f>Data!G2570</f>
        <v/>
      </c>
      <c r="C2450">
        <f>Data!H2570</f>
        <v/>
      </c>
      <c r="D2450">
        <f>Data!I2570</f>
        <v/>
      </c>
      <c r="E2450">
        <f>Data!M2570</f>
        <v/>
      </c>
      <c r="F2450">
        <f>Data!O2570</f>
        <v/>
      </c>
      <c r="G2450">
        <f>E2450-F2450</f>
        <v/>
      </c>
      <c r="H2450">
        <f>Data!P2570</f>
        <v/>
      </c>
      <c r="I2450">
        <f>G2450+H2450</f>
        <v/>
      </c>
      <c r="J2450">
        <f>F2450+G2450+H2450</f>
        <v/>
      </c>
      <c r="K2450">
        <f>Data!R2570</f>
        <v/>
      </c>
      <c r="L2450">
        <f>Data!T2570</f>
        <v/>
      </c>
      <c r="M2450">
        <f>AND(E2450=0,F2450=0,G2450=0,H2450=0,I2450=0,J2450=0,K2450=0,L2450=0)</f>
        <v/>
      </c>
      <c r="N2450">
        <f>G2450&lt;=$T$6</f>
        <v/>
      </c>
      <c r="O2450">
        <f>G2450&lt;=$T$12</f>
        <v/>
      </c>
      <c r="P2450">
        <f>OR(AND(H2450&gt;=$T$4,K2450&lt;=$T$5,N2450),M2450)</f>
        <v/>
      </c>
      <c r="Q2450">
        <f>OR(AND(I2450&gt;=$T$10,K2450&lt;=$T$11,O2450),M2450)</f>
        <v/>
      </c>
    </row>
    <row r="2451">
      <c r="A2451">
        <f>Data!E2571</f>
        <v/>
      </c>
      <c r="B2451">
        <f>Data!G2571</f>
        <v/>
      </c>
      <c r="C2451">
        <f>Data!H2571</f>
        <v/>
      </c>
      <c r="D2451">
        <f>Data!I2571</f>
        <v/>
      </c>
      <c r="E2451">
        <f>Data!M2571</f>
        <v/>
      </c>
      <c r="F2451">
        <f>Data!O2571</f>
        <v/>
      </c>
      <c r="G2451">
        <f>E2451-F2451</f>
        <v/>
      </c>
      <c r="H2451">
        <f>Data!P2571</f>
        <v/>
      </c>
      <c r="I2451">
        <f>G2451+H2451</f>
        <v/>
      </c>
      <c r="J2451">
        <f>F2451+G2451+H2451</f>
        <v/>
      </c>
      <c r="K2451">
        <f>Data!R2571</f>
        <v/>
      </c>
      <c r="L2451">
        <f>Data!T2571</f>
        <v/>
      </c>
      <c r="M2451">
        <f>AND(E2451=0,F2451=0,G2451=0,H2451=0,I2451=0,J2451=0,K2451=0,L2451=0)</f>
        <v/>
      </c>
      <c r="N2451">
        <f>G2451&lt;=$T$6</f>
        <v/>
      </c>
      <c r="O2451">
        <f>G2451&lt;=$T$12</f>
        <v/>
      </c>
      <c r="P2451">
        <f>OR(AND(H2451&gt;=$T$4,K2451&lt;=$T$5,N2451),M2451)</f>
        <v/>
      </c>
      <c r="Q2451">
        <f>OR(AND(I2451&gt;=$T$10,K2451&lt;=$T$11,O2451),M2451)</f>
        <v/>
      </c>
    </row>
    <row r="2452">
      <c r="A2452">
        <f>Data!E2572</f>
        <v/>
      </c>
      <c r="B2452">
        <f>Data!G2572</f>
        <v/>
      </c>
      <c r="C2452">
        <f>Data!H2572</f>
        <v/>
      </c>
      <c r="D2452">
        <f>Data!I2572</f>
        <v/>
      </c>
      <c r="E2452">
        <f>Data!M2572</f>
        <v/>
      </c>
      <c r="F2452">
        <f>Data!O2572</f>
        <v/>
      </c>
      <c r="G2452">
        <f>E2452-F2452</f>
        <v/>
      </c>
      <c r="H2452">
        <f>Data!P2572</f>
        <v/>
      </c>
      <c r="I2452">
        <f>G2452+H2452</f>
        <v/>
      </c>
      <c r="J2452">
        <f>F2452+G2452+H2452</f>
        <v/>
      </c>
      <c r="K2452">
        <f>Data!R2572</f>
        <v/>
      </c>
      <c r="L2452">
        <f>Data!T2572</f>
        <v/>
      </c>
      <c r="M2452">
        <f>AND(E2452=0,F2452=0,G2452=0,H2452=0,I2452=0,J2452=0,K2452=0,L2452=0)</f>
        <v/>
      </c>
      <c r="N2452">
        <f>G2452&lt;=$T$6</f>
        <v/>
      </c>
      <c r="O2452">
        <f>G2452&lt;=$T$12</f>
        <v/>
      </c>
      <c r="P2452">
        <f>OR(AND(H2452&gt;=$T$4,K2452&lt;=$T$5,N2452),M2452)</f>
        <v/>
      </c>
      <c r="Q2452">
        <f>OR(AND(I2452&gt;=$T$10,K2452&lt;=$T$11,O2452),M2452)</f>
        <v/>
      </c>
    </row>
    <row r="2453">
      <c r="A2453">
        <f>Data!E2573</f>
        <v/>
      </c>
      <c r="B2453">
        <f>Data!G2573</f>
        <v/>
      </c>
      <c r="C2453">
        <f>Data!H2573</f>
        <v/>
      </c>
      <c r="D2453">
        <f>Data!I2573</f>
        <v/>
      </c>
      <c r="E2453">
        <f>Data!M2573</f>
        <v/>
      </c>
      <c r="F2453">
        <f>Data!O2573</f>
        <v/>
      </c>
      <c r="G2453">
        <f>E2453-F2453</f>
        <v/>
      </c>
      <c r="H2453">
        <f>Data!P2573</f>
        <v/>
      </c>
      <c r="I2453">
        <f>G2453+H2453</f>
        <v/>
      </c>
      <c r="J2453">
        <f>F2453+G2453+H2453</f>
        <v/>
      </c>
      <c r="K2453">
        <f>Data!R2573</f>
        <v/>
      </c>
      <c r="L2453">
        <f>Data!T2573</f>
        <v/>
      </c>
      <c r="M2453">
        <f>AND(E2453=0,F2453=0,G2453=0,H2453=0,I2453=0,J2453=0,K2453=0,L2453=0)</f>
        <v/>
      </c>
      <c r="N2453">
        <f>G2453&lt;=$T$6</f>
        <v/>
      </c>
      <c r="O2453">
        <f>G2453&lt;=$T$12</f>
        <v/>
      </c>
      <c r="P2453">
        <f>OR(AND(H2453&gt;=$T$4,K2453&lt;=$T$5,N2453),M2453)</f>
        <v/>
      </c>
      <c r="Q2453">
        <f>OR(AND(I2453&gt;=$T$10,K2453&lt;=$T$11,O2453),M2453)</f>
        <v/>
      </c>
    </row>
    <row r="2454">
      <c r="A2454">
        <f>Data!E2574</f>
        <v/>
      </c>
      <c r="B2454">
        <f>Data!G2574</f>
        <v/>
      </c>
      <c r="C2454">
        <f>Data!H2574</f>
        <v/>
      </c>
      <c r="D2454">
        <f>Data!I2574</f>
        <v/>
      </c>
      <c r="E2454">
        <f>Data!M2574</f>
        <v/>
      </c>
      <c r="F2454">
        <f>Data!O2574</f>
        <v/>
      </c>
      <c r="G2454">
        <f>E2454-F2454</f>
        <v/>
      </c>
      <c r="H2454">
        <f>Data!P2574</f>
        <v/>
      </c>
      <c r="I2454">
        <f>G2454+H2454</f>
        <v/>
      </c>
      <c r="J2454">
        <f>F2454+G2454+H2454</f>
        <v/>
      </c>
      <c r="K2454">
        <f>Data!R2574</f>
        <v/>
      </c>
      <c r="L2454">
        <f>Data!T2574</f>
        <v/>
      </c>
      <c r="M2454">
        <f>AND(E2454=0,F2454=0,G2454=0,H2454=0,I2454=0,J2454=0,K2454=0,L2454=0)</f>
        <v/>
      </c>
      <c r="N2454">
        <f>G2454&lt;=$T$6</f>
        <v/>
      </c>
      <c r="O2454">
        <f>G2454&lt;=$T$12</f>
        <v/>
      </c>
      <c r="P2454">
        <f>OR(AND(H2454&gt;=$T$4,K2454&lt;=$T$5,N2454),M2454)</f>
        <v/>
      </c>
      <c r="Q2454">
        <f>OR(AND(I2454&gt;=$T$10,K2454&lt;=$T$11,O2454),M2454)</f>
        <v/>
      </c>
    </row>
    <row r="2455">
      <c r="A2455">
        <f>Data!E2575</f>
        <v/>
      </c>
      <c r="B2455">
        <f>Data!G2575</f>
        <v/>
      </c>
      <c r="C2455">
        <f>Data!H2575</f>
        <v/>
      </c>
      <c r="D2455">
        <f>Data!I2575</f>
        <v/>
      </c>
      <c r="E2455">
        <f>Data!M2575</f>
        <v/>
      </c>
      <c r="F2455">
        <f>Data!O2575</f>
        <v/>
      </c>
      <c r="G2455">
        <f>E2455-F2455</f>
        <v/>
      </c>
      <c r="H2455">
        <f>Data!P2575</f>
        <v/>
      </c>
      <c r="I2455">
        <f>G2455+H2455</f>
        <v/>
      </c>
      <c r="J2455">
        <f>F2455+G2455+H2455</f>
        <v/>
      </c>
      <c r="K2455">
        <f>Data!R2575</f>
        <v/>
      </c>
      <c r="L2455">
        <f>Data!T2575</f>
        <v/>
      </c>
      <c r="M2455">
        <f>AND(E2455=0,F2455=0,G2455=0,H2455=0,I2455=0,J2455=0,K2455=0,L2455=0)</f>
        <v/>
      </c>
      <c r="N2455">
        <f>G2455&lt;=$T$6</f>
        <v/>
      </c>
      <c r="O2455">
        <f>G2455&lt;=$T$12</f>
        <v/>
      </c>
      <c r="P2455">
        <f>OR(AND(H2455&gt;=$T$4,K2455&lt;=$T$5,N2455),M2455)</f>
        <v/>
      </c>
      <c r="Q2455">
        <f>OR(AND(I2455&gt;=$T$10,K2455&lt;=$T$11,O2455),M2455)</f>
        <v/>
      </c>
    </row>
    <row r="2456">
      <c r="A2456">
        <f>Data!E2576</f>
        <v/>
      </c>
      <c r="B2456">
        <f>Data!G2576</f>
        <v/>
      </c>
      <c r="C2456">
        <f>Data!H2576</f>
        <v/>
      </c>
      <c r="D2456">
        <f>Data!I2576</f>
        <v/>
      </c>
      <c r="E2456">
        <f>Data!M2576</f>
        <v/>
      </c>
      <c r="F2456">
        <f>Data!O2576</f>
        <v/>
      </c>
      <c r="G2456">
        <f>E2456-F2456</f>
        <v/>
      </c>
      <c r="H2456">
        <f>Data!P2576</f>
        <v/>
      </c>
      <c r="I2456">
        <f>G2456+H2456</f>
        <v/>
      </c>
      <c r="J2456">
        <f>F2456+G2456+H2456</f>
        <v/>
      </c>
      <c r="K2456">
        <f>Data!R2576</f>
        <v/>
      </c>
      <c r="L2456">
        <f>Data!T2576</f>
        <v/>
      </c>
      <c r="M2456">
        <f>AND(E2456=0,F2456=0,G2456=0,H2456=0,I2456=0,J2456=0,K2456=0,L2456=0)</f>
        <v/>
      </c>
      <c r="N2456">
        <f>G2456&lt;=$T$6</f>
        <v/>
      </c>
      <c r="O2456">
        <f>G2456&lt;=$T$12</f>
        <v/>
      </c>
      <c r="P2456">
        <f>OR(AND(H2456&gt;=$T$4,K2456&lt;=$T$5,N2456),M2456)</f>
        <v/>
      </c>
      <c r="Q2456">
        <f>OR(AND(I2456&gt;=$T$10,K2456&lt;=$T$11,O2456),M2456)</f>
        <v/>
      </c>
    </row>
    <row r="2457">
      <c r="A2457">
        <f>Data!E2577</f>
        <v/>
      </c>
      <c r="B2457">
        <f>Data!G2577</f>
        <v/>
      </c>
      <c r="C2457">
        <f>Data!H2577</f>
        <v/>
      </c>
      <c r="D2457">
        <f>Data!I2577</f>
        <v/>
      </c>
      <c r="E2457">
        <f>Data!M2577</f>
        <v/>
      </c>
      <c r="F2457">
        <f>Data!O2577</f>
        <v/>
      </c>
      <c r="G2457">
        <f>E2457-F2457</f>
        <v/>
      </c>
      <c r="H2457">
        <f>Data!P2577</f>
        <v/>
      </c>
      <c r="I2457">
        <f>G2457+H2457</f>
        <v/>
      </c>
      <c r="J2457">
        <f>F2457+G2457+H2457</f>
        <v/>
      </c>
      <c r="K2457">
        <f>Data!R2577</f>
        <v/>
      </c>
      <c r="L2457">
        <f>Data!T2577</f>
        <v/>
      </c>
      <c r="M2457">
        <f>AND(E2457=0,F2457=0,G2457=0,H2457=0,I2457=0,J2457=0,K2457=0,L2457=0)</f>
        <v/>
      </c>
      <c r="N2457">
        <f>G2457&lt;=$T$6</f>
        <v/>
      </c>
      <c r="O2457">
        <f>G2457&lt;=$T$12</f>
        <v/>
      </c>
      <c r="P2457">
        <f>OR(AND(H2457&gt;=$T$4,K2457&lt;=$T$5,N2457),M2457)</f>
        <v/>
      </c>
      <c r="Q2457">
        <f>OR(AND(I2457&gt;=$T$10,K2457&lt;=$T$11,O2457),M2457)</f>
        <v/>
      </c>
    </row>
    <row r="2458">
      <c r="A2458">
        <f>Data!E2579</f>
        <v/>
      </c>
      <c r="B2458">
        <f>Data!G2579</f>
        <v/>
      </c>
      <c r="C2458">
        <f>Data!H2579</f>
        <v/>
      </c>
      <c r="D2458">
        <f>Data!I2579</f>
        <v/>
      </c>
      <c r="E2458">
        <f>Data!M2579</f>
        <v/>
      </c>
      <c r="F2458">
        <f>Data!O2579</f>
        <v/>
      </c>
      <c r="G2458">
        <f>E2458-F2458</f>
        <v/>
      </c>
      <c r="H2458">
        <f>Data!P2579</f>
        <v/>
      </c>
      <c r="I2458">
        <f>G2458+H2458</f>
        <v/>
      </c>
      <c r="J2458">
        <f>F2458+G2458+H2458</f>
        <v/>
      </c>
      <c r="K2458">
        <f>Data!R2579</f>
        <v/>
      </c>
      <c r="L2458">
        <f>Data!T2579</f>
        <v/>
      </c>
      <c r="M2458">
        <f>AND(E2458=0,F2458=0,G2458=0,H2458=0,I2458=0,J2458=0,K2458=0,L2458=0)</f>
        <v/>
      </c>
      <c r="N2458">
        <f>G2458&lt;=$T$6</f>
        <v/>
      </c>
      <c r="O2458">
        <f>G2458&lt;=$T$12</f>
        <v/>
      </c>
      <c r="P2458">
        <f>OR(AND(H2458&gt;=$T$4,K2458&lt;=$T$5,N2458),M2458)</f>
        <v/>
      </c>
      <c r="Q2458">
        <f>OR(AND(I2458&gt;=$T$10,K2458&lt;=$T$11,O2458),M2458)</f>
        <v/>
      </c>
    </row>
    <row r="2459">
      <c r="A2459">
        <f>Data!E2580</f>
        <v/>
      </c>
      <c r="B2459">
        <f>Data!G2580</f>
        <v/>
      </c>
      <c r="C2459">
        <f>Data!H2580</f>
        <v/>
      </c>
      <c r="D2459">
        <f>Data!I2580</f>
        <v/>
      </c>
      <c r="E2459">
        <f>Data!M2580</f>
        <v/>
      </c>
      <c r="F2459">
        <f>Data!O2580</f>
        <v/>
      </c>
      <c r="G2459">
        <f>E2459-F2459</f>
        <v/>
      </c>
      <c r="H2459">
        <f>Data!P2580</f>
        <v/>
      </c>
      <c r="I2459">
        <f>G2459+H2459</f>
        <v/>
      </c>
      <c r="J2459">
        <f>F2459+G2459+H2459</f>
        <v/>
      </c>
      <c r="K2459">
        <f>Data!R2580</f>
        <v/>
      </c>
      <c r="L2459">
        <f>Data!T2580</f>
        <v/>
      </c>
      <c r="M2459">
        <f>AND(E2459=0,F2459=0,G2459=0,H2459=0,I2459=0,J2459=0,K2459=0,L2459=0)</f>
        <v/>
      </c>
      <c r="N2459">
        <f>G2459&lt;=$T$6</f>
        <v/>
      </c>
      <c r="O2459">
        <f>G2459&lt;=$T$12</f>
        <v/>
      </c>
      <c r="P2459">
        <f>OR(AND(H2459&gt;=$T$4,K2459&lt;=$T$5,N2459),M2459)</f>
        <v/>
      </c>
      <c r="Q2459">
        <f>OR(AND(I2459&gt;=$T$10,K2459&lt;=$T$11,O2459),M2459)</f>
        <v/>
      </c>
    </row>
    <row r="2460">
      <c r="A2460">
        <f>Data!E2581</f>
        <v/>
      </c>
      <c r="B2460">
        <f>Data!G2581</f>
        <v/>
      </c>
      <c r="C2460">
        <f>Data!H2581</f>
        <v/>
      </c>
      <c r="D2460">
        <f>Data!I2581</f>
        <v/>
      </c>
      <c r="E2460">
        <f>Data!M2581</f>
        <v/>
      </c>
      <c r="F2460">
        <f>Data!O2581</f>
        <v/>
      </c>
      <c r="G2460">
        <f>E2460-F2460</f>
        <v/>
      </c>
      <c r="H2460">
        <f>Data!P2581</f>
        <v/>
      </c>
      <c r="I2460">
        <f>G2460+H2460</f>
        <v/>
      </c>
      <c r="J2460">
        <f>F2460+G2460+H2460</f>
        <v/>
      </c>
      <c r="K2460">
        <f>Data!R2581</f>
        <v/>
      </c>
      <c r="L2460">
        <f>Data!T2581</f>
        <v/>
      </c>
      <c r="M2460">
        <f>AND(E2460=0,F2460=0,G2460=0,H2460=0,I2460=0,J2460=0,K2460=0,L2460=0)</f>
        <v/>
      </c>
      <c r="N2460">
        <f>G2460&lt;=$T$6</f>
        <v/>
      </c>
      <c r="O2460">
        <f>G2460&lt;=$T$12</f>
        <v/>
      </c>
      <c r="P2460">
        <f>OR(AND(H2460&gt;=$T$4,K2460&lt;=$T$5,N2460),M2460)</f>
        <v/>
      </c>
      <c r="Q2460">
        <f>OR(AND(I2460&gt;=$T$10,K2460&lt;=$T$11,O2460),M2460)</f>
        <v/>
      </c>
    </row>
    <row r="2461">
      <c r="A2461">
        <f>Data!E2582</f>
        <v/>
      </c>
      <c r="B2461">
        <f>Data!G2582</f>
        <v/>
      </c>
      <c r="C2461">
        <f>Data!H2582</f>
        <v/>
      </c>
      <c r="D2461">
        <f>Data!I2582</f>
        <v/>
      </c>
      <c r="E2461">
        <f>Data!M2582</f>
        <v/>
      </c>
      <c r="F2461">
        <f>Data!O2582</f>
        <v/>
      </c>
      <c r="G2461">
        <f>E2461-F2461</f>
        <v/>
      </c>
      <c r="H2461">
        <f>Data!P2582</f>
        <v/>
      </c>
      <c r="I2461">
        <f>G2461+H2461</f>
        <v/>
      </c>
      <c r="J2461">
        <f>F2461+G2461+H2461</f>
        <v/>
      </c>
      <c r="K2461">
        <f>Data!R2582</f>
        <v/>
      </c>
      <c r="L2461">
        <f>Data!T2582</f>
        <v/>
      </c>
      <c r="M2461">
        <f>AND(E2461=0,F2461=0,G2461=0,H2461=0,I2461=0,J2461=0,K2461=0,L2461=0)</f>
        <v/>
      </c>
      <c r="N2461">
        <f>G2461&lt;=$T$6</f>
        <v/>
      </c>
      <c r="O2461">
        <f>G2461&lt;=$T$12</f>
        <v/>
      </c>
      <c r="P2461">
        <f>OR(AND(H2461&gt;=$T$4,K2461&lt;=$T$5,N2461),M2461)</f>
        <v/>
      </c>
      <c r="Q2461">
        <f>OR(AND(I2461&gt;=$T$10,K2461&lt;=$T$11,O2461),M2461)</f>
        <v/>
      </c>
    </row>
    <row r="2462">
      <c r="A2462">
        <f>Data!E2583</f>
        <v/>
      </c>
      <c r="B2462">
        <f>Data!G2583</f>
        <v/>
      </c>
      <c r="C2462">
        <f>Data!H2583</f>
        <v/>
      </c>
      <c r="D2462">
        <f>Data!I2583</f>
        <v/>
      </c>
      <c r="E2462">
        <f>Data!M2583</f>
        <v/>
      </c>
      <c r="F2462">
        <f>Data!O2583</f>
        <v/>
      </c>
      <c r="G2462">
        <f>E2462-F2462</f>
        <v/>
      </c>
      <c r="H2462">
        <f>Data!P2583</f>
        <v/>
      </c>
      <c r="I2462">
        <f>G2462+H2462</f>
        <v/>
      </c>
      <c r="J2462">
        <f>F2462+G2462+H2462</f>
        <v/>
      </c>
      <c r="K2462">
        <f>Data!R2583</f>
        <v/>
      </c>
      <c r="L2462">
        <f>Data!T2583</f>
        <v/>
      </c>
      <c r="M2462">
        <f>AND(E2462=0,F2462=0,G2462=0,H2462=0,I2462=0,J2462=0,K2462=0,L2462=0)</f>
        <v/>
      </c>
      <c r="N2462">
        <f>G2462&lt;=$T$6</f>
        <v/>
      </c>
      <c r="O2462">
        <f>G2462&lt;=$T$12</f>
        <v/>
      </c>
      <c r="P2462">
        <f>OR(AND(H2462&gt;=$T$4,K2462&lt;=$T$5,N2462),M2462)</f>
        <v/>
      </c>
      <c r="Q2462">
        <f>OR(AND(I2462&gt;=$T$10,K2462&lt;=$T$11,O2462),M2462)</f>
        <v/>
      </c>
    </row>
    <row r="2463">
      <c r="A2463">
        <f>Data!E2584</f>
        <v/>
      </c>
      <c r="B2463">
        <f>Data!G2584</f>
        <v/>
      </c>
      <c r="C2463">
        <f>Data!H2584</f>
        <v/>
      </c>
      <c r="D2463">
        <f>Data!I2584</f>
        <v/>
      </c>
      <c r="E2463">
        <f>Data!M2584</f>
        <v/>
      </c>
      <c r="F2463">
        <f>Data!O2584</f>
        <v/>
      </c>
      <c r="G2463">
        <f>E2463-F2463</f>
        <v/>
      </c>
      <c r="H2463">
        <f>Data!P2584</f>
        <v/>
      </c>
      <c r="I2463">
        <f>G2463+H2463</f>
        <v/>
      </c>
      <c r="J2463">
        <f>F2463+G2463+H2463</f>
        <v/>
      </c>
      <c r="K2463">
        <f>Data!R2584</f>
        <v/>
      </c>
      <c r="L2463">
        <f>Data!T2584</f>
        <v/>
      </c>
      <c r="M2463">
        <f>AND(E2463=0,F2463=0,G2463=0,H2463=0,I2463=0,J2463=0,K2463=0,L2463=0)</f>
        <v/>
      </c>
      <c r="N2463">
        <f>G2463&lt;=$T$6</f>
        <v/>
      </c>
      <c r="O2463">
        <f>G2463&lt;=$T$12</f>
        <v/>
      </c>
      <c r="P2463">
        <f>OR(AND(H2463&gt;=$T$4,K2463&lt;=$T$5,N2463),M2463)</f>
        <v/>
      </c>
      <c r="Q2463">
        <f>OR(AND(I2463&gt;=$T$10,K2463&lt;=$T$11,O2463),M2463)</f>
        <v/>
      </c>
    </row>
    <row r="2464">
      <c r="A2464">
        <f>Data!E2585</f>
        <v/>
      </c>
      <c r="B2464">
        <f>Data!G2585</f>
        <v/>
      </c>
      <c r="C2464">
        <f>Data!H2585</f>
        <v/>
      </c>
      <c r="D2464">
        <f>Data!I2585</f>
        <v/>
      </c>
      <c r="E2464">
        <f>Data!M2585</f>
        <v/>
      </c>
      <c r="F2464">
        <f>Data!O2585</f>
        <v/>
      </c>
      <c r="G2464">
        <f>E2464-F2464</f>
        <v/>
      </c>
      <c r="H2464">
        <f>Data!P2585</f>
        <v/>
      </c>
      <c r="I2464">
        <f>G2464+H2464</f>
        <v/>
      </c>
      <c r="J2464">
        <f>F2464+G2464+H2464</f>
        <v/>
      </c>
      <c r="K2464">
        <f>Data!R2585</f>
        <v/>
      </c>
      <c r="L2464">
        <f>Data!T2585</f>
        <v/>
      </c>
      <c r="M2464">
        <f>AND(E2464=0,F2464=0,G2464=0,H2464=0,I2464=0,J2464=0,K2464=0,L2464=0)</f>
        <v/>
      </c>
      <c r="N2464">
        <f>G2464&lt;=$T$6</f>
        <v/>
      </c>
      <c r="O2464">
        <f>G2464&lt;=$T$12</f>
        <v/>
      </c>
      <c r="P2464">
        <f>OR(AND(H2464&gt;=$T$4,K2464&lt;=$T$5,N2464),M2464)</f>
        <v/>
      </c>
      <c r="Q2464">
        <f>OR(AND(I2464&gt;=$T$10,K2464&lt;=$T$11,O2464),M2464)</f>
        <v/>
      </c>
    </row>
    <row r="2465">
      <c r="A2465">
        <f>Data!E2586</f>
        <v/>
      </c>
      <c r="B2465">
        <f>Data!G2586</f>
        <v/>
      </c>
      <c r="C2465">
        <f>Data!H2586</f>
        <v/>
      </c>
      <c r="D2465">
        <f>Data!I2586</f>
        <v/>
      </c>
      <c r="E2465">
        <f>Data!M2586</f>
        <v/>
      </c>
      <c r="F2465">
        <f>Data!O2586</f>
        <v/>
      </c>
      <c r="G2465">
        <f>E2465-F2465</f>
        <v/>
      </c>
      <c r="H2465">
        <f>Data!P2586</f>
        <v/>
      </c>
      <c r="I2465">
        <f>G2465+H2465</f>
        <v/>
      </c>
      <c r="J2465">
        <f>F2465+G2465+H2465</f>
        <v/>
      </c>
      <c r="K2465">
        <f>Data!R2586</f>
        <v/>
      </c>
      <c r="L2465">
        <f>Data!T2586</f>
        <v/>
      </c>
      <c r="M2465">
        <f>AND(E2465=0,F2465=0,G2465=0,H2465=0,I2465=0,J2465=0,K2465=0,L2465=0)</f>
        <v/>
      </c>
      <c r="N2465">
        <f>G2465&lt;=$T$6</f>
        <v/>
      </c>
      <c r="O2465">
        <f>G2465&lt;=$T$12</f>
        <v/>
      </c>
      <c r="P2465">
        <f>OR(AND(H2465&gt;=$T$4,K2465&lt;=$T$5,N2465),M2465)</f>
        <v/>
      </c>
      <c r="Q2465">
        <f>OR(AND(I2465&gt;=$T$10,K2465&lt;=$T$11,O2465),M2465)</f>
        <v/>
      </c>
    </row>
    <row r="2466">
      <c r="A2466">
        <f>Data!E2587</f>
        <v/>
      </c>
      <c r="B2466">
        <f>Data!G2587</f>
        <v/>
      </c>
      <c r="C2466">
        <f>Data!H2587</f>
        <v/>
      </c>
      <c r="D2466">
        <f>Data!I2587</f>
        <v/>
      </c>
      <c r="E2466">
        <f>Data!M2587</f>
        <v/>
      </c>
      <c r="F2466">
        <f>Data!O2587</f>
        <v/>
      </c>
      <c r="G2466">
        <f>E2466-F2466</f>
        <v/>
      </c>
      <c r="H2466">
        <f>Data!P2587</f>
        <v/>
      </c>
      <c r="I2466">
        <f>G2466+H2466</f>
        <v/>
      </c>
      <c r="J2466">
        <f>F2466+G2466+H2466</f>
        <v/>
      </c>
      <c r="K2466">
        <f>Data!R2587</f>
        <v/>
      </c>
      <c r="L2466">
        <f>Data!T2587</f>
        <v/>
      </c>
      <c r="M2466">
        <f>AND(E2466=0,F2466=0,G2466=0,H2466=0,I2466=0,J2466=0,K2466=0,L2466=0)</f>
        <v/>
      </c>
      <c r="N2466">
        <f>G2466&lt;=$T$6</f>
        <v/>
      </c>
      <c r="O2466">
        <f>G2466&lt;=$T$12</f>
        <v/>
      </c>
      <c r="P2466">
        <f>OR(AND(H2466&gt;=$T$4,K2466&lt;=$T$5,N2466),M2466)</f>
        <v/>
      </c>
      <c r="Q2466">
        <f>OR(AND(I2466&gt;=$T$10,K2466&lt;=$T$11,O2466),M2466)</f>
        <v/>
      </c>
    </row>
    <row r="2467">
      <c r="A2467">
        <f>Data!E2588</f>
        <v/>
      </c>
      <c r="B2467">
        <f>Data!G2588</f>
        <v/>
      </c>
      <c r="C2467">
        <f>Data!H2588</f>
        <v/>
      </c>
      <c r="D2467">
        <f>Data!I2588</f>
        <v/>
      </c>
      <c r="E2467">
        <f>Data!M2588</f>
        <v/>
      </c>
      <c r="F2467">
        <f>Data!O2588</f>
        <v/>
      </c>
      <c r="G2467">
        <f>E2467-F2467</f>
        <v/>
      </c>
      <c r="H2467">
        <f>Data!P2588</f>
        <v/>
      </c>
      <c r="I2467">
        <f>G2467+H2467</f>
        <v/>
      </c>
      <c r="J2467">
        <f>F2467+G2467+H2467</f>
        <v/>
      </c>
      <c r="K2467">
        <f>Data!R2588</f>
        <v/>
      </c>
      <c r="L2467">
        <f>Data!T2588</f>
        <v/>
      </c>
      <c r="M2467">
        <f>AND(E2467=0,F2467=0,G2467=0,H2467=0,I2467=0,J2467=0,K2467=0,L2467=0)</f>
        <v/>
      </c>
      <c r="N2467">
        <f>G2467&lt;=$T$6</f>
        <v/>
      </c>
      <c r="O2467">
        <f>G2467&lt;=$T$12</f>
        <v/>
      </c>
      <c r="P2467">
        <f>OR(AND(H2467&gt;=$T$4,K2467&lt;=$T$5,N2467),M2467)</f>
        <v/>
      </c>
      <c r="Q2467">
        <f>OR(AND(I2467&gt;=$T$10,K2467&lt;=$T$11,O2467),M2467)</f>
        <v/>
      </c>
    </row>
    <row r="2468">
      <c r="A2468">
        <f>Data!E2589</f>
        <v/>
      </c>
      <c r="B2468">
        <f>Data!G2589</f>
        <v/>
      </c>
      <c r="C2468">
        <f>Data!H2589</f>
        <v/>
      </c>
      <c r="D2468">
        <f>Data!I2589</f>
        <v/>
      </c>
      <c r="E2468">
        <f>Data!M2589</f>
        <v/>
      </c>
      <c r="F2468">
        <f>Data!O2589</f>
        <v/>
      </c>
      <c r="G2468">
        <f>E2468-F2468</f>
        <v/>
      </c>
      <c r="H2468">
        <f>Data!P2589</f>
        <v/>
      </c>
      <c r="I2468">
        <f>G2468+H2468</f>
        <v/>
      </c>
      <c r="J2468">
        <f>F2468+G2468+H2468</f>
        <v/>
      </c>
      <c r="K2468">
        <f>Data!R2589</f>
        <v/>
      </c>
      <c r="L2468">
        <f>Data!T2589</f>
        <v/>
      </c>
      <c r="M2468">
        <f>AND(E2468=0,F2468=0,G2468=0,H2468=0,I2468=0,J2468=0,K2468=0,L2468=0)</f>
        <v/>
      </c>
      <c r="N2468">
        <f>G2468&lt;=$T$6</f>
        <v/>
      </c>
      <c r="O2468">
        <f>G2468&lt;=$T$12</f>
        <v/>
      </c>
      <c r="P2468">
        <f>OR(AND(H2468&gt;=$T$4,K2468&lt;=$T$5,N2468),M2468)</f>
        <v/>
      </c>
      <c r="Q2468">
        <f>OR(AND(I2468&gt;=$T$10,K2468&lt;=$T$11,O2468),M2468)</f>
        <v/>
      </c>
    </row>
    <row r="2469">
      <c r="A2469">
        <f>Data!E2590</f>
        <v/>
      </c>
      <c r="B2469">
        <f>Data!G2590</f>
        <v/>
      </c>
      <c r="C2469">
        <f>Data!H2590</f>
        <v/>
      </c>
      <c r="D2469">
        <f>Data!I2590</f>
        <v/>
      </c>
      <c r="E2469">
        <f>Data!M2590</f>
        <v/>
      </c>
      <c r="F2469">
        <f>Data!O2590</f>
        <v/>
      </c>
      <c r="G2469">
        <f>E2469-F2469</f>
        <v/>
      </c>
      <c r="H2469">
        <f>Data!P2590</f>
        <v/>
      </c>
      <c r="I2469">
        <f>G2469+H2469</f>
        <v/>
      </c>
      <c r="J2469">
        <f>F2469+G2469+H2469</f>
        <v/>
      </c>
      <c r="K2469">
        <f>Data!R2590</f>
        <v/>
      </c>
      <c r="L2469">
        <f>Data!T2590</f>
        <v/>
      </c>
      <c r="M2469">
        <f>AND(E2469=0,F2469=0,G2469=0,H2469=0,I2469=0,J2469=0,K2469=0,L2469=0)</f>
        <v/>
      </c>
      <c r="N2469">
        <f>G2469&lt;=$T$6</f>
        <v/>
      </c>
      <c r="O2469">
        <f>G2469&lt;=$T$12</f>
        <v/>
      </c>
      <c r="P2469">
        <f>OR(AND(H2469&gt;=$T$4,K2469&lt;=$T$5,N2469),M2469)</f>
        <v/>
      </c>
      <c r="Q2469">
        <f>OR(AND(I2469&gt;=$T$10,K2469&lt;=$T$11,O2469),M2469)</f>
        <v/>
      </c>
    </row>
    <row r="2470">
      <c r="A2470">
        <f>Data!E2591</f>
        <v/>
      </c>
      <c r="B2470">
        <f>Data!G2591</f>
        <v/>
      </c>
      <c r="C2470">
        <f>Data!H2591</f>
        <v/>
      </c>
      <c r="D2470">
        <f>Data!I2591</f>
        <v/>
      </c>
      <c r="E2470">
        <f>Data!M2591</f>
        <v/>
      </c>
      <c r="F2470">
        <f>Data!O2591</f>
        <v/>
      </c>
      <c r="G2470">
        <f>E2470-F2470</f>
        <v/>
      </c>
      <c r="H2470">
        <f>Data!P2591</f>
        <v/>
      </c>
      <c r="I2470">
        <f>G2470+H2470</f>
        <v/>
      </c>
      <c r="J2470">
        <f>F2470+G2470+H2470</f>
        <v/>
      </c>
      <c r="K2470">
        <f>Data!R2591</f>
        <v/>
      </c>
      <c r="L2470">
        <f>Data!T2591</f>
        <v/>
      </c>
      <c r="M2470">
        <f>AND(E2470=0,F2470=0,G2470=0,H2470=0,I2470=0,J2470=0,K2470=0,L2470=0)</f>
        <v/>
      </c>
      <c r="N2470">
        <f>G2470&lt;=$T$6</f>
        <v/>
      </c>
      <c r="O2470">
        <f>G2470&lt;=$T$12</f>
        <v/>
      </c>
      <c r="P2470">
        <f>OR(AND(H2470&gt;=$T$4,K2470&lt;=$T$5,N2470),M2470)</f>
        <v/>
      </c>
      <c r="Q2470">
        <f>OR(AND(I2470&gt;=$T$10,K2470&lt;=$T$11,O2470),M2470)</f>
        <v/>
      </c>
    </row>
    <row r="2471">
      <c r="A2471">
        <f>Data!E2592</f>
        <v/>
      </c>
      <c r="B2471">
        <f>Data!G2592</f>
        <v/>
      </c>
      <c r="C2471">
        <f>Data!H2592</f>
        <v/>
      </c>
      <c r="D2471">
        <f>Data!I2592</f>
        <v/>
      </c>
      <c r="E2471">
        <f>Data!M2592</f>
        <v/>
      </c>
      <c r="F2471">
        <f>Data!O2592</f>
        <v/>
      </c>
      <c r="G2471">
        <f>E2471-F2471</f>
        <v/>
      </c>
      <c r="H2471">
        <f>Data!P2592</f>
        <v/>
      </c>
      <c r="I2471">
        <f>G2471+H2471</f>
        <v/>
      </c>
      <c r="J2471">
        <f>F2471+G2471+H2471</f>
        <v/>
      </c>
      <c r="K2471">
        <f>Data!R2592</f>
        <v/>
      </c>
      <c r="L2471">
        <f>Data!T2592</f>
        <v/>
      </c>
      <c r="M2471">
        <f>AND(E2471=0,F2471=0,G2471=0,H2471=0,I2471=0,J2471=0,K2471=0,L2471=0)</f>
        <v/>
      </c>
      <c r="N2471">
        <f>G2471&lt;=$T$6</f>
        <v/>
      </c>
      <c r="O2471">
        <f>G2471&lt;=$T$12</f>
        <v/>
      </c>
      <c r="P2471">
        <f>OR(AND(H2471&gt;=$T$4,K2471&lt;=$T$5,N2471),M2471)</f>
        <v/>
      </c>
      <c r="Q2471">
        <f>OR(AND(I2471&gt;=$T$10,K2471&lt;=$T$11,O2471),M2471)</f>
        <v/>
      </c>
    </row>
    <row r="2472">
      <c r="A2472">
        <f>Data!E2593</f>
        <v/>
      </c>
      <c r="B2472">
        <f>Data!G2593</f>
        <v/>
      </c>
      <c r="C2472">
        <f>Data!H2593</f>
        <v/>
      </c>
      <c r="D2472">
        <f>Data!I2593</f>
        <v/>
      </c>
      <c r="E2472">
        <f>Data!M2593</f>
        <v/>
      </c>
      <c r="F2472">
        <f>Data!O2593</f>
        <v/>
      </c>
      <c r="G2472">
        <f>E2472-F2472</f>
        <v/>
      </c>
      <c r="H2472">
        <f>Data!P2593</f>
        <v/>
      </c>
      <c r="I2472">
        <f>G2472+H2472</f>
        <v/>
      </c>
      <c r="J2472">
        <f>F2472+G2472+H2472</f>
        <v/>
      </c>
      <c r="K2472">
        <f>Data!R2593</f>
        <v/>
      </c>
      <c r="L2472">
        <f>Data!T2593</f>
        <v/>
      </c>
      <c r="M2472">
        <f>AND(E2472=0,F2472=0,G2472=0,H2472=0,I2472=0,J2472=0,K2472=0,L2472=0)</f>
        <v/>
      </c>
      <c r="N2472">
        <f>G2472&lt;=$T$6</f>
        <v/>
      </c>
      <c r="O2472">
        <f>G2472&lt;=$T$12</f>
        <v/>
      </c>
      <c r="P2472">
        <f>OR(AND(H2472&gt;=$T$4,K2472&lt;=$T$5,N2472),M2472)</f>
        <v/>
      </c>
      <c r="Q2472">
        <f>OR(AND(I2472&gt;=$T$10,K2472&lt;=$T$11,O2472),M2472)</f>
        <v/>
      </c>
    </row>
    <row r="2473">
      <c r="A2473">
        <f>Data!E2594</f>
        <v/>
      </c>
      <c r="B2473">
        <f>Data!G2594</f>
        <v/>
      </c>
      <c r="C2473">
        <f>Data!H2594</f>
        <v/>
      </c>
      <c r="D2473">
        <f>Data!I2594</f>
        <v/>
      </c>
      <c r="E2473">
        <f>Data!M2594</f>
        <v/>
      </c>
      <c r="F2473">
        <f>Data!O2594</f>
        <v/>
      </c>
      <c r="G2473">
        <f>E2473-F2473</f>
        <v/>
      </c>
      <c r="H2473">
        <f>Data!P2594</f>
        <v/>
      </c>
      <c r="I2473">
        <f>G2473+H2473</f>
        <v/>
      </c>
      <c r="J2473">
        <f>F2473+G2473+H2473</f>
        <v/>
      </c>
      <c r="K2473">
        <f>Data!R2594</f>
        <v/>
      </c>
      <c r="L2473">
        <f>Data!T2594</f>
        <v/>
      </c>
      <c r="M2473">
        <f>AND(E2473=0,F2473=0,G2473=0,H2473=0,I2473=0,J2473=0,K2473=0,L2473=0)</f>
        <v/>
      </c>
      <c r="N2473">
        <f>G2473&lt;=$T$6</f>
        <v/>
      </c>
      <c r="O2473">
        <f>G2473&lt;=$T$12</f>
        <v/>
      </c>
      <c r="P2473">
        <f>OR(AND(H2473&gt;=$T$4,K2473&lt;=$T$5,N2473),M2473)</f>
        <v/>
      </c>
      <c r="Q2473">
        <f>OR(AND(I2473&gt;=$T$10,K2473&lt;=$T$11,O2473),M2473)</f>
        <v/>
      </c>
    </row>
    <row r="2474">
      <c r="A2474">
        <f>Data!E2595</f>
        <v/>
      </c>
      <c r="B2474">
        <f>Data!G2595</f>
        <v/>
      </c>
      <c r="C2474">
        <f>Data!H2595</f>
        <v/>
      </c>
      <c r="D2474">
        <f>Data!I2595</f>
        <v/>
      </c>
      <c r="E2474">
        <f>Data!M2595</f>
        <v/>
      </c>
      <c r="F2474">
        <f>Data!O2595</f>
        <v/>
      </c>
      <c r="G2474">
        <f>E2474-F2474</f>
        <v/>
      </c>
      <c r="H2474">
        <f>Data!P2595</f>
        <v/>
      </c>
      <c r="I2474">
        <f>G2474+H2474</f>
        <v/>
      </c>
      <c r="J2474">
        <f>F2474+G2474+H2474</f>
        <v/>
      </c>
      <c r="K2474">
        <f>Data!R2595</f>
        <v/>
      </c>
      <c r="L2474">
        <f>Data!T2595</f>
        <v/>
      </c>
      <c r="M2474">
        <f>AND(E2474=0,F2474=0,G2474=0,H2474=0,I2474=0,J2474=0,K2474=0,L2474=0)</f>
        <v/>
      </c>
      <c r="N2474">
        <f>G2474&lt;=$T$6</f>
        <v/>
      </c>
      <c r="O2474">
        <f>G2474&lt;=$T$12</f>
        <v/>
      </c>
      <c r="P2474">
        <f>OR(AND(H2474&gt;=$T$4,K2474&lt;=$T$5,N2474),M2474)</f>
        <v/>
      </c>
      <c r="Q2474">
        <f>OR(AND(I2474&gt;=$T$10,K2474&lt;=$T$11,O2474),M2474)</f>
        <v/>
      </c>
    </row>
    <row r="2475">
      <c r="A2475">
        <f>Data!E2596</f>
        <v/>
      </c>
      <c r="B2475">
        <f>Data!G2596</f>
        <v/>
      </c>
      <c r="C2475">
        <f>Data!H2596</f>
        <v/>
      </c>
      <c r="D2475">
        <f>Data!I2596</f>
        <v/>
      </c>
      <c r="E2475">
        <f>Data!M2596</f>
        <v/>
      </c>
      <c r="F2475">
        <f>Data!O2596</f>
        <v/>
      </c>
      <c r="G2475">
        <f>E2475-F2475</f>
        <v/>
      </c>
      <c r="H2475">
        <f>Data!P2596</f>
        <v/>
      </c>
      <c r="I2475">
        <f>G2475+H2475</f>
        <v/>
      </c>
      <c r="J2475">
        <f>F2475+G2475+H2475</f>
        <v/>
      </c>
      <c r="K2475">
        <f>Data!R2596</f>
        <v/>
      </c>
      <c r="L2475">
        <f>Data!T2596</f>
        <v/>
      </c>
      <c r="M2475">
        <f>AND(E2475=0,F2475=0,G2475=0,H2475=0,I2475=0,J2475=0,K2475=0,L2475=0)</f>
        <v/>
      </c>
      <c r="N2475">
        <f>G2475&lt;=$T$6</f>
        <v/>
      </c>
      <c r="O2475">
        <f>G2475&lt;=$T$12</f>
        <v/>
      </c>
      <c r="P2475">
        <f>OR(AND(H2475&gt;=$T$4,K2475&lt;=$T$5,N2475),M2475)</f>
        <v/>
      </c>
      <c r="Q2475">
        <f>OR(AND(I2475&gt;=$T$10,K2475&lt;=$T$11,O2475),M2475)</f>
        <v/>
      </c>
    </row>
    <row r="2476">
      <c r="A2476">
        <f>Data!E2597</f>
        <v/>
      </c>
      <c r="B2476">
        <f>Data!G2597</f>
        <v/>
      </c>
      <c r="C2476">
        <f>Data!H2597</f>
        <v/>
      </c>
      <c r="D2476">
        <f>Data!I2597</f>
        <v/>
      </c>
      <c r="E2476">
        <f>Data!M2597</f>
        <v/>
      </c>
      <c r="F2476">
        <f>Data!O2597</f>
        <v/>
      </c>
      <c r="G2476">
        <f>E2476-F2476</f>
        <v/>
      </c>
      <c r="H2476">
        <f>Data!P2597</f>
        <v/>
      </c>
      <c r="I2476">
        <f>G2476+H2476</f>
        <v/>
      </c>
      <c r="J2476">
        <f>F2476+G2476+H2476</f>
        <v/>
      </c>
      <c r="K2476">
        <f>Data!R2597</f>
        <v/>
      </c>
      <c r="L2476">
        <f>Data!T2597</f>
        <v/>
      </c>
      <c r="M2476">
        <f>AND(E2476=0,F2476=0,G2476=0,H2476=0,I2476=0,J2476=0,K2476=0,L2476=0)</f>
        <v/>
      </c>
      <c r="N2476">
        <f>G2476&lt;=$T$6</f>
        <v/>
      </c>
      <c r="O2476">
        <f>G2476&lt;=$T$12</f>
        <v/>
      </c>
      <c r="P2476">
        <f>OR(AND(H2476&gt;=$T$4,K2476&lt;=$T$5,N2476),M2476)</f>
        <v/>
      </c>
      <c r="Q2476">
        <f>OR(AND(I2476&gt;=$T$10,K2476&lt;=$T$11,O2476),M2476)</f>
        <v/>
      </c>
    </row>
    <row r="2477">
      <c r="A2477">
        <f>Data!E2599</f>
        <v/>
      </c>
      <c r="B2477">
        <f>Data!G2599</f>
        <v/>
      </c>
      <c r="C2477">
        <f>Data!H2599</f>
        <v/>
      </c>
      <c r="D2477">
        <f>Data!I2599</f>
        <v/>
      </c>
      <c r="E2477">
        <f>Data!M2599</f>
        <v/>
      </c>
      <c r="F2477">
        <f>Data!O2599</f>
        <v/>
      </c>
      <c r="G2477">
        <f>E2477-F2477</f>
        <v/>
      </c>
      <c r="H2477">
        <f>Data!P2599</f>
        <v/>
      </c>
      <c r="I2477">
        <f>G2477+H2477</f>
        <v/>
      </c>
      <c r="J2477">
        <f>F2477+G2477+H2477</f>
        <v/>
      </c>
      <c r="K2477">
        <f>Data!R2599</f>
        <v/>
      </c>
      <c r="L2477">
        <f>Data!T2599</f>
        <v/>
      </c>
      <c r="M2477">
        <f>AND(E2477=0,F2477=0,G2477=0,H2477=0,I2477=0,J2477=0,K2477=0,L2477=0)</f>
        <v/>
      </c>
      <c r="N2477">
        <f>G2477&lt;=$T$6</f>
        <v/>
      </c>
      <c r="O2477">
        <f>G2477&lt;=$T$12</f>
        <v/>
      </c>
      <c r="P2477">
        <f>OR(AND(H2477&gt;=$T$4,K2477&lt;=$T$5,N2477),M2477)</f>
        <v/>
      </c>
      <c r="Q2477">
        <f>OR(AND(I2477&gt;=$T$10,K2477&lt;=$T$11,O2477),M2477)</f>
        <v/>
      </c>
    </row>
    <row r="2478">
      <c r="A2478">
        <f>Data!E2600</f>
        <v/>
      </c>
      <c r="B2478">
        <f>Data!G2600</f>
        <v/>
      </c>
      <c r="C2478">
        <f>Data!H2600</f>
        <v/>
      </c>
      <c r="D2478">
        <f>Data!I2600</f>
        <v/>
      </c>
      <c r="E2478">
        <f>Data!M2600</f>
        <v/>
      </c>
      <c r="F2478">
        <f>Data!O2600</f>
        <v/>
      </c>
      <c r="G2478">
        <f>E2478-F2478</f>
        <v/>
      </c>
      <c r="H2478">
        <f>Data!P2600</f>
        <v/>
      </c>
      <c r="I2478">
        <f>G2478+H2478</f>
        <v/>
      </c>
      <c r="J2478">
        <f>F2478+G2478+H2478</f>
        <v/>
      </c>
      <c r="K2478">
        <f>Data!R2600</f>
        <v/>
      </c>
      <c r="L2478">
        <f>Data!T2600</f>
        <v/>
      </c>
      <c r="M2478">
        <f>AND(E2478=0,F2478=0,G2478=0,H2478=0,I2478=0,J2478=0,K2478=0,L2478=0)</f>
        <v/>
      </c>
      <c r="N2478">
        <f>G2478&lt;=$T$6</f>
        <v/>
      </c>
      <c r="O2478">
        <f>G2478&lt;=$T$12</f>
        <v/>
      </c>
      <c r="P2478">
        <f>OR(AND(H2478&gt;=$T$4,K2478&lt;=$T$5,N2478),M2478)</f>
        <v/>
      </c>
      <c r="Q2478">
        <f>OR(AND(I2478&gt;=$T$10,K2478&lt;=$T$11,O2478),M2478)</f>
        <v/>
      </c>
    </row>
    <row r="2479">
      <c r="A2479">
        <f>Data!E2601</f>
        <v/>
      </c>
      <c r="B2479">
        <f>Data!G2601</f>
        <v/>
      </c>
      <c r="C2479">
        <f>Data!H2601</f>
        <v/>
      </c>
      <c r="D2479">
        <f>Data!I2601</f>
        <v/>
      </c>
      <c r="E2479">
        <f>Data!M2601</f>
        <v/>
      </c>
      <c r="F2479">
        <f>Data!O2601</f>
        <v/>
      </c>
      <c r="G2479">
        <f>E2479-F2479</f>
        <v/>
      </c>
      <c r="H2479">
        <f>Data!P2601</f>
        <v/>
      </c>
      <c r="I2479">
        <f>G2479+H2479</f>
        <v/>
      </c>
      <c r="J2479">
        <f>F2479+G2479+H2479</f>
        <v/>
      </c>
      <c r="K2479">
        <f>Data!R2601</f>
        <v/>
      </c>
      <c r="L2479">
        <f>Data!T2601</f>
        <v/>
      </c>
      <c r="M2479">
        <f>AND(E2479=0,F2479=0,G2479=0,H2479=0,I2479=0,J2479=0,K2479=0,L2479=0)</f>
        <v/>
      </c>
      <c r="N2479">
        <f>G2479&lt;=$T$6</f>
        <v/>
      </c>
      <c r="O2479">
        <f>G2479&lt;=$T$12</f>
        <v/>
      </c>
      <c r="P2479">
        <f>OR(AND(H2479&gt;=$T$4,K2479&lt;=$T$5,N2479),M2479)</f>
        <v/>
      </c>
      <c r="Q2479">
        <f>OR(AND(I2479&gt;=$T$10,K2479&lt;=$T$11,O2479),M2479)</f>
        <v/>
      </c>
    </row>
    <row r="2480">
      <c r="A2480">
        <f>Data!E2602</f>
        <v/>
      </c>
      <c r="B2480">
        <f>Data!G2602</f>
        <v/>
      </c>
      <c r="C2480">
        <f>Data!H2602</f>
        <v/>
      </c>
      <c r="D2480">
        <f>Data!I2602</f>
        <v/>
      </c>
      <c r="E2480">
        <f>Data!M2602</f>
        <v/>
      </c>
      <c r="F2480">
        <f>Data!O2602</f>
        <v/>
      </c>
      <c r="G2480">
        <f>E2480-F2480</f>
        <v/>
      </c>
      <c r="H2480">
        <f>Data!P2602</f>
        <v/>
      </c>
      <c r="I2480">
        <f>G2480+H2480</f>
        <v/>
      </c>
      <c r="J2480">
        <f>F2480+G2480+H2480</f>
        <v/>
      </c>
      <c r="K2480">
        <f>Data!R2602</f>
        <v/>
      </c>
      <c r="L2480">
        <f>Data!T2602</f>
        <v/>
      </c>
      <c r="M2480">
        <f>AND(E2480=0,F2480=0,G2480=0,H2480=0,I2480=0,J2480=0,K2480=0,L2480=0)</f>
        <v/>
      </c>
      <c r="N2480">
        <f>G2480&lt;=$T$6</f>
        <v/>
      </c>
      <c r="O2480">
        <f>G2480&lt;=$T$12</f>
        <v/>
      </c>
      <c r="P2480">
        <f>OR(AND(H2480&gt;=$T$4,K2480&lt;=$T$5,N2480),M2480)</f>
        <v/>
      </c>
      <c r="Q2480">
        <f>OR(AND(I2480&gt;=$T$10,K2480&lt;=$T$11,O2480),M2480)</f>
        <v/>
      </c>
    </row>
    <row r="2481">
      <c r="A2481">
        <f>Data!E2603</f>
        <v/>
      </c>
      <c r="B2481">
        <f>Data!G2603</f>
        <v/>
      </c>
      <c r="C2481">
        <f>Data!H2603</f>
        <v/>
      </c>
      <c r="D2481">
        <f>Data!I2603</f>
        <v/>
      </c>
      <c r="E2481">
        <f>Data!M2603</f>
        <v/>
      </c>
      <c r="F2481">
        <f>Data!O2603</f>
        <v/>
      </c>
      <c r="G2481">
        <f>E2481-F2481</f>
        <v/>
      </c>
      <c r="H2481">
        <f>Data!P2603</f>
        <v/>
      </c>
      <c r="I2481">
        <f>G2481+H2481</f>
        <v/>
      </c>
      <c r="J2481">
        <f>F2481+G2481+H2481</f>
        <v/>
      </c>
      <c r="K2481">
        <f>Data!R2603</f>
        <v/>
      </c>
      <c r="L2481">
        <f>Data!T2603</f>
        <v/>
      </c>
      <c r="M2481">
        <f>AND(E2481=0,F2481=0,G2481=0,H2481=0,I2481=0,J2481=0,K2481=0,L2481=0)</f>
        <v/>
      </c>
      <c r="N2481">
        <f>G2481&lt;=$T$6</f>
        <v/>
      </c>
      <c r="O2481">
        <f>G2481&lt;=$T$12</f>
        <v/>
      </c>
      <c r="P2481">
        <f>OR(AND(H2481&gt;=$T$4,K2481&lt;=$T$5,N2481),M2481)</f>
        <v/>
      </c>
      <c r="Q2481">
        <f>OR(AND(I2481&gt;=$T$10,K2481&lt;=$T$11,O2481),M2481)</f>
        <v/>
      </c>
    </row>
    <row r="2482">
      <c r="A2482">
        <f>Data!E2604</f>
        <v/>
      </c>
      <c r="B2482">
        <f>Data!G2604</f>
        <v/>
      </c>
      <c r="C2482">
        <f>Data!H2604</f>
        <v/>
      </c>
      <c r="D2482">
        <f>Data!I2604</f>
        <v/>
      </c>
      <c r="E2482">
        <f>Data!M2604</f>
        <v/>
      </c>
      <c r="F2482">
        <f>Data!O2604</f>
        <v/>
      </c>
      <c r="G2482">
        <f>E2482-F2482</f>
        <v/>
      </c>
      <c r="H2482">
        <f>Data!P2604</f>
        <v/>
      </c>
      <c r="I2482">
        <f>G2482+H2482</f>
        <v/>
      </c>
      <c r="J2482">
        <f>F2482+G2482+H2482</f>
        <v/>
      </c>
      <c r="K2482">
        <f>Data!R2604</f>
        <v/>
      </c>
      <c r="L2482">
        <f>Data!T2604</f>
        <v/>
      </c>
      <c r="M2482">
        <f>AND(E2482=0,F2482=0,G2482=0,H2482=0,I2482=0,J2482=0,K2482=0,L2482=0)</f>
        <v/>
      </c>
      <c r="N2482">
        <f>G2482&lt;=$T$6</f>
        <v/>
      </c>
      <c r="O2482">
        <f>G2482&lt;=$T$12</f>
        <v/>
      </c>
      <c r="P2482">
        <f>OR(AND(H2482&gt;=$T$4,K2482&lt;=$T$5,N2482),M2482)</f>
        <v/>
      </c>
      <c r="Q2482">
        <f>OR(AND(I2482&gt;=$T$10,K2482&lt;=$T$11,O2482),M2482)</f>
        <v/>
      </c>
    </row>
    <row r="2483">
      <c r="A2483">
        <f>Data!E2605</f>
        <v/>
      </c>
      <c r="B2483">
        <f>Data!G2605</f>
        <v/>
      </c>
      <c r="C2483">
        <f>Data!H2605</f>
        <v/>
      </c>
      <c r="D2483">
        <f>Data!I2605</f>
        <v/>
      </c>
      <c r="E2483">
        <f>Data!M2605</f>
        <v/>
      </c>
      <c r="F2483">
        <f>Data!O2605</f>
        <v/>
      </c>
      <c r="G2483">
        <f>E2483-F2483</f>
        <v/>
      </c>
      <c r="H2483">
        <f>Data!P2605</f>
        <v/>
      </c>
      <c r="I2483">
        <f>G2483+H2483</f>
        <v/>
      </c>
      <c r="J2483">
        <f>F2483+G2483+H2483</f>
        <v/>
      </c>
      <c r="K2483">
        <f>Data!R2605</f>
        <v/>
      </c>
      <c r="L2483">
        <f>Data!T2605</f>
        <v/>
      </c>
      <c r="M2483">
        <f>AND(E2483=0,F2483=0,G2483=0,H2483=0,I2483=0,J2483=0,K2483=0,L2483=0)</f>
        <v/>
      </c>
      <c r="N2483">
        <f>G2483&lt;=$T$6</f>
        <v/>
      </c>
      <c r="O2483">
        <f>G2483&lt;=$T$12</f>
        <v/>
      </c>
      <c r="P2483">
        <f>OR(AND(H2483&gt;=$T$4,K2483&lt;=$T$5,N2483),M2483)</f>
        <v/>
      </c>
      <c r="Q2483">
        <f>OR(AND(I2483&gt;=$T$10,K2483&lt;=$T$11,O2483),M2483)</f>
        <v/>
      </c>
    </row>
    <row r="2484">
      <c r="A2484">
        <f>Data!E2606</f>
        <v/>
      </c>
      <c r="B2484">
        <f>Data!G2606</f>
        <v/>
      </c>
      <c r="C2484">
        <f>Data!H2606</f>
        <v/>
      </c>
      <c r="D2484">
        <f>Data!I2606</f>
        <v/>
      </c>
      <c r="E2484">
        <f>Data!M2606</f>
        <v/>
      </c>
      <c r="F2484">
        <f>Data!O2606</f>
        <v/>
      </c>
      <c r="G2484">
        <f>E2484-F2484</f>
        <v/>
      </c>
      <c r="H2484">
        <f>Data!P2606</f>
        <v/>
      </c>
      <c r="I2484">
        <f>G2484+H2484</f>
        <v/>
      </c>
      <c r="J2484">
        <f>F2484+G2484+H2484</f>
        <v/>
      </c>
      <c r="K2484">
        <f>Data!R2606</f>
        <v/>
      </c>
      <c r="L2484">
        <f>Data!T2606</f>
        <v/>
      </c>
      <c r="M2484">
        <f>AND(E2484=0,F2484=0,G2484=0,H2484=0,I2484=0,J2484=0,K2484=0,L2484=0)</f>
        <v/>
      </c>
      <c r="N2484">
        <f>G2484&lt;=$T$6</f>
        <v/>
      </c>
      <c r="O2484">
        <f>G2484&lt;=$T$12</f>
        <v/>
      </c>
      <c r="P2484">
        <f>OR(AND(H2484&gt;=$T$4,K2484&lt;=$T$5,N2484),M2484)</f>
        <v/>
      </c>
      <c r="Q2484">
        <f>OR(AND(I2484&gt;=$T$10,K2484&lt;=$T$11,O2484),M2484)</f>
        <v/>
      </c>
    </row>
    <row r="2485">
      <c r="A2485">
        <f>Data!E2607</f>
        <v/>
      </c>
      <c r="B2485">
        <f>Data!G2607</f>
        <v/>
      </c>
      <c r="C2485">
        <f>Data!H2607</f>
        <v/>
      </c>
      <c r="D2485">
        <f>Data!I2607</f>
        <v/>
      </c>
      <c r="E2485">
        <f>Data!M2607</f>
        <v/>
      </c>
      <c r="F2485">
        <f>Data!O2607</f>
        <v/>
      </c>
      <c r="G2485">
        <f>E2485-F2485</f>
        <v/>
      </c>
      <c r="H2485">
        <f>Data!P2607</f>
        <v/>
      </c>
      <c r="I2485">
        <f>G2485+H2485</f>
        <v/>
      </c>
      <c r="J2485">
        <f>F2485+G2485+H2485</f>
        <v/>
      </c>
      <c r="K2485">
        <f>Data!R2607</f>
        <v/>
      </c>
      <c r="L2485">
        <f>Data!T2607</f>
        <v/>
      </c>
      <c r="M2485">
        <f>AND(E2485=0,F2485=0,G2485=0,H2485=0,I2485=0,J2485=0,K2485=0,L2485=0)</f>
        <v/>
      </c>
      <c r="N2485">
        <f>G2485&lt;=$T$6</f>
        <v/>
      </c>
      <c r="O2485">
        <f>G2485&lt;=$T$12</f>
        <v/>
      </c>
      <c r="P2485">
        <f>OR(AND(H2485&gt;=$T$4,K2485&lt;=$T$5,N2485),M2485)</f>
        <v/>
      </c>
      <c r="Q2485">
        <f>OR(AND(I2485&gt;=$T$10,K2485&lt;=$T$11,O2485),M2485)</f>
        <v/>
      </c>
    </row>
    <row r="2486">
      <c r="A2486">
        <f>Data!E2608</f>
        <v/>
      </c>
      <c r="B2486">
        <f>Data!G2608</f>
        <v/>
      </c>
      <c r="C2486">
        <f>Data!H2608</f>
        <v/>
      </c>
      <c r="D2486">
        <f>Data!I2608</f>
        <v/>
      </c>
      <c r="E2486">
        <f>Data!M2608</f>
        <v/>
      </c>
      <c r="F2486">
        <f>Data!O2608</f>
        <v/>
      </c>
      <c r="G2486">
        <f>E2486-F2486</f>
        <v/>
      </c>
      <c r="H2486">
        <f>Data!P2608</f>
        <v/>
      </c>
      <c r="I2486">
        <f>G2486+H2486</f>
        <v/>
      </c>
      <c r="J2486">
        <f>F2486+G2486+H2486</f>
        <v/>
      </c>
      <c r="K2486">
        <f>Data!R2608</f>
        <v/>
      </c>
      <c r="L2486">
        <f>Data!T2608</f>
        <v/>
      </c>
      <c r="M2486">
        <f>AND(E2486=0,F2486=0,G2486=0,H2486=0,I2486=0,J2486=0,K2486=0,L2486=0)</f>
        <v/>
      </c>
      <c r="N2486">
        <f>G2486&lt;=$T$6</f>
        <v/>
      </c>
      <c r="O2486">
        <f>G2486&lt;=$T$12</f>
        <v/>
      </c>
      <c r="P2486">
        <f>OR(AND(H2486&gt;=$T$4,K2486&lt;=$T$5,N2486),M2486)</f>
        <v/>
      </c>
      <c r="Q2486">
        <f>OR(AND(I2486&gt;=$T$10,K2486&lt;=$T$11,O2486),M2486)</f>
        <v/>
      </c>
    </row>
    <row r="2487">
      <c r="A2487">
        <f>Data!E2609</f>
        <v/>
      </c>
      <c r="B2487">
        <f>Data!G2609</f>
        <v/>
      </c>
      <c r="C2487">
        <f>Data!H2609</f>
        <v/>
      </c>
      <c r="D2487">
        <f>Data!I2609</f>
        <v/>
      </c>
      <c r="E2487">
        <f>Data!M2609</f>
        <v/>
      </c>
      <c r="F2487">
        <f>Data!O2609</f>
        <v/>
      </c>
      <c r="G2487">
        <f>E2487-F2487</f>
        <v/>
      </c>
      <c r="H2487">
        <f>Data!P2609</f>
        <v/>
      </c>
      <c r="I2487">
        <f>G2487+H2487</f>
        <v/>
      </c>
      <c r="J2487">
        <f>F2487+G2487+H2487</f>
        <v/>
      </c>
      <c r="K2487">
        <f>Data!R2609</f>
        <v/>
      </c>
      <c r="L2487">
        <f>Data!T2609</f>
        <v/>
      </c>
      <c r="M2487">
        <f>AND(E2487=0,F2487=0,G2487=0,H2487=0,I2487=0,J2487=0,K2487=0,L2487=0)</f>
        <v/>
      </c>
      <c r="N2487">
        <f>G2487&lt;=$T$6</f>
        <v/>
      </c>
      <c r="O2487">
        <f>G2487&lt;=$T$12</f>
        <v/>
      </c>
      <c r="P2487">
        <f>OR(AND(H2487&gt;=$T$4,K2487&lt;=$T$5,N2487),M2487)</f>
        <v/>
      </c>
      <c r="Q2487">
        <f>OR(AND(I2487&gt;=$T$10,K2487&lt;=$T$11,O2487),M2487)</f>
        <v/>
      </c>
    </row>
    <row r="2488">
      <c r="A2488">
        <f>Data!E2610</f>
        <v/>
      </c>
      <c r="B2488">
        <f>Data!G2610</f>
        <v/>
      </c>
      <c r="C2488">
        <f>Data!H2610</f>
        <v/>
      </c>
      <c r="D2488">
        <f>Data!I2610</f>
        <v/>
      </c>
      <c r="E2488">
        <f>Data!M2610</f>
        <v/>
      </c>
      <c r="F2488">
        <f>Data!O2610</f>
        <v/>
      </c>
      <c r="G2488">
        <f>E2488-F2488</f>
        <v/>
      </c>
      <c r="H2488">
        <f>Data!P2610</f>
        <v/>
      </c>
      <c r="I2488">
        <f>G2488+H2488</f>
        <v/>
      </c>
      <c r="J2488">
        <f>F2488+G2488+H2488</f>
        <v/>
      </c>
      <c r="K2488">
        <f>Data!R2610</f>
        <v/>
      </c>
      <c r="L2488">
        <f>Data!T2610</f>
        <v/>
      </c>
      <c r="M2488">
        <f>AND(E2488=0,F2488=0,G2488=0,H2488=0,I2488=0,J2488=0,K2488=0,L2488=0)</f>
        <v/>
      </c>
      <c r="N2488">
        <f>G2488&lt;=$T$6</f>
        <v/>
      </c>
      <c r="O2488">
        <f>G2488&lt;=$T$12</f>
        <v/>
      </c>
      <c r="P2488">
        <f>OR(AND(H2488&gt;=$T$4,K2488&lt;=$T$5,N2488),M2488)</f>
        <v/>
      </c>
      <c r="Q2488">
        <f>OR(AND(I2488&gt;=$T$10,K2488&lt;=$T$11,O2488),M2488)</f>
        <v/>
      </c>
    </row>
    <row r="2489">
      <c r="A2489">
        <f>Data!E2611</f>
        <v/>
      </c>
      <c r="B2489">
        <f>Data!G2611</f>
        <v/>
      </c>
      <c r="C2489">
        <f>Data!H2611</f>
        <v/>
      </c>
      <c r="D2489">
        <f>Data!I2611</f>
        <v/>
      </c>
      <c r="E2489">
        <f>Data!M2611</f>
        <v/>
      </c>
      <c r="F2489">
        <f>Data!O2611</f>
        <v/>
      </c>
      <c r="G2489">
        <f>E2489-F2489</f>
        <v/>
      </c>
      <c r="H2489">
        <f>Data!P2611</f>
        <v/>
      </c>
      <c r="I2489">
        <f>G2489+H2489</f>
        <v/>
      </c>
      <c r="J2489">
        <f>F2489+G2489+H2489</f>
        <v/>
      </c>
      <c r="K2489">
        <f>Data!R2611</f>
        <v/>
      </c>
      <c r="L2489">
        <f>Data!T2611</f>
        <v/>
      </c>
      <c r="M2489">
        <f>AND(E2489=0,F2489=0,G2489=0,H2489=0,I2489=0,J2489=0,K2489=0,L2489=0)</f>
        <v/>
      </c>
      <c r="N2489">
        <f>G2489&lt;=$T$6</f>
        <v/>
      </c>
      <c r="O2489">
        <f>G2489&lt;=$T$12</f>
        <v/>
      </c>
      <c r="P2489">
        <f>OR(AND(H2489&gt;=$T$4,K2489&lt;=$T$5,N2489),M2489)</f>
        <v/>
      </c>
      <c r="Q2489">
        <f>OR(AND(I2489&gt;=$T$10,K2489&lt;=$T$11,O2489),M2489)</f>
        <v/>
      </c>
    </row>
    <row r="2490">
      <c r="A2490">
        <f>Data!E2612</f>
        <v/>
      </c>
      <c r="B2490">
        <f>Data!G2612</f>
        <v/>
      </c>
      <c r="C2490">
        <f>Data!H2612</f>
        <v/>
      </c>
      <c r="D2490">
        <f>Data!I2612</f>
        <v/>
      </c>
      <c r="E2490">
        <f>Data!M2612</f>
        <v/>
      </c>
      <c r="F2490">
        <f>Data!O2612</f>
        <v/>
      </c>
      <c r="G2490">
        <f>E2490-F2490</f>
        <v/>
      </c>
      <c r="H2490">
        <f>Data!P2612</f>
        <v/>
      </c>
      <c r="I2490">
        <f>G2490+H2490</f>
        <v/>
      </c>
      <c r="J2490">
        <f>F2490+G2490+H2490</f>
        <v/>
      </c>
      <c r="K2490">
        <f>Data!R2612</f>
        <v/>
      </c>
      <c r="L2490">
        <f>Data!T2612</f>
        <v/>
      </c>
      <c r="M2490">
        <f>AND(E2490=0,F2490=0,G2490=0,H2490=0,I2490=0,J2490=0,K2490=0,L2490=0)</f>
        <v/>
      </c>
      <c r="N2490">
        <f>G2490&lt;=$T$6</f>
        <v/>
      </c>
      <c r="O2490">
        <f>G2490&lt;=$T$12</f>
        <v/>
      </c>
      <c r="P2490">
        <f>OR(AND(H2490&gt;=$T$4,K2490&lt;=$T$5,N2490),M2490)</f>
        <v/>
      </c>
      <c r="Q2490">
        <f>OR(AND(I2490&gt;=$T$10,K2490&lt;=$T$11,O2490),M2490)</f>
        <v/>
      </c>
    </row>
    <row r="2491">
      <c r="A2491">
        <f>Data!E2613</f>
        <v/>
      </c>
      <c r="B2491">
        <f>Data!G2613</f>
        <v/>
      </c>
      <c r="C2491">
        <f>Data!H2613</f>
        <v/>
      </c>
      <c r="D2491">
        <f>Data!I2613</f>
        <v/>
      </c>
      <c r="E2491">
        <f>Data!M2613</f>
        <v/>
      </c>
      <c r="F2491">
        <f>Data!O2613</f>
        <v/>
      </c>
      <c r="G2491">
        <f>E2491-F2491</f>
        <v/>
      </c>
      <c r="H2491">
        <f>Data!P2613</f>
        <v/>
      </c>
      <c r="I2491">
        <f>G2491+H2491</f>
        <v/>
      </c>
      <c r="J2491">
        <f>F2491+G2491+H2491</f>
        <v/>
      </c>
      <c r="K2491">
        <f>Data!R2613</f>
        <v/>
      </c>
      <c r="L2491">
        <f>Data!T2613</f>
        <v/>
      </c>
      <c r="M2491">
        <f>AND(E2491=0,F2491=0,G2491=0,H2491=0,I2491=0,J2491=0,K2491=0,L2491=0)</f>
        <v/>
      </c>
      <c r="N2491">
        <f>G2491&lt;=$T$6</f>
        <v/>
      </c>
      <c r="O2491">
        <f>G2491&lt;=$T$12</f>
        <v/>
      </c>
      <c r="P2491">
        <f>OR(AND(H2491&gt;=$T$4,K2491&lt;=$T$5,N2491),M2491)</f>
        <v/>
      </c>
      <c r="Q2491">
        <f>OR(AND(I2491&gt;=$T$10,K2491&lt;=$T$11,O2491),M2491)</f>
        <v/>
      </c>
    </row>
    <row r="2492">
      <c r="A2492">
        <f>Data!E2614</f>
        <v/>
      </c>
      <c r="B2492">
        <f>Data!G2614</f>
        <v/>
      </c>
      <c r="C2492">
        <f>Data!H2614</f>
        <v/>
      </c>
      <c r="D2492">
        <f>Data!I2614</f>
        <v/>
      </c>
      <c r="E2492">
        <f>Data!M2614</f>
        <v/>
      </c>
      <c r="F2492">
        <f>Data!O2614</f>
        <v/>
      </c>
      <c r="G2492">
        <f>E2492-F2492</f>
        <v/>
      </c>
      <c r="H2492">
        <f>Data!P2614</f>
        <v/>
      </c>
      <c r="I2492">
        <f>G2492+H2492</f>
        <v/>
      </c>
      <c r="J2492">
        <f>F2492+G2492+H2492</f>
        <v/>
      </c>
      <c r="K2492">
        <f>Data!R2614</f>
        <v/>
      </c>
      <c r="L2492">
        <f>Data!T2614</f>
        <v/>
      </c>
      <c r="M2492">
        <f>AND(E2492=0,F2492=0,G2492=0,H2492=0,I2492=0,J2492=0,K2492=0,L2492=0)</f>
        <v/>
      </c>
      <c r="N2492">
        <f>G2492&lt;=$T$6</f>
        <v/>
      </c>
      <c r="O2492">
        <f>G2492&lt;=$T$12</f>
        <v/>
      </c>
      <c r="P2492">
        <f>OR(AND(H2492&gt;=$T$4,K2492&lt;=$T$5,N2492),M2492)</f>
        <v/>
      </c>
      <c r="Q2492">
        <f>OR(AND(I2492&gt;=$T$10,K2492&lt;=$T$11,O2492),M2492)</f>
        <v/>
      </c>
    </row>
    <row r="2493">
      <c r="A2493">
        <f>Data!E2615</f>
        <v/>
      </c>
      <c r="B2493">
        <f>Data!G2615</f>
        <v/>
      </c>
      <c r="C2493">
        <f>Data!H2615</f>
        <v/>
      </c>
      <c r="D2493">
        <f>Data!I2615</f>
        <v/>
      </c>
      <c r="E2493">
        <f>Data!M2615</f>
        <v/>
      </c>
      <c r="F2493">
        <f>Data!O2615</f>
        <v/>
      </c>
      <c r="G2493">
        <f>E2493-F2493</f>
        <v/>
      </c>
      <c r="H2493">
        <f>Data!P2615</f>
        <v/>
      </c>
      <c r="I2493">
        <f>G2493+H2493</f>
        <v/>
      </c>
      <c r="J2493">
        <f>F2493+G2493+H2493</f>
        <v/>
      </c>
      <c r="K2493">
        <f>Data!R2615</f>
        <v/>
      </c>
      <c r="L2493">
        <f>Data!T2615</f>
        <v/>
      </c>
      <c r="M2493">
        <f>AND(E2493=0,F2493=0,G2493=0,H2493=0,I2493=0,J2493=0,K2493=0,L2493=0)</f>
        <v/>
      </c>
      <c r="N2493">
        <f>G2493&lt;=$T$6</f>
        <v/>
      </c>
      <c r="O2493">
        <f>G2493&lt;=$T$12</f>
        <v/>
      </c>
      <c r="P2493">
        <f>OR(AND(H2493&gt;=$T$4,K2493&lt;=$T$5,N2493),M2493)</f>
        <v/>
      </c>
      <c r="Q2493">
        <f>OR(AND(I2493&gt;=$T$10,K2493&lt;=$T$11,O2493),M2493)</f>
        <v/>
      </c>
    </row>
    <row r="2494">
      <c r="A2494">
        <f>Data!E2616</f>
        <v/>
      </c>
      <c r="B2494">
        <f>Data!G2616</f>
        <v/>
      </c>
      <c r="C2494">
        <f>Data!H2616</f>
        <v/>
      </c>
      <c r="D2494">
        <f>Data!I2616</f>
        <v/>
      </c>
      <c r="E2494">
        <f>Data!M2616</f>
        <v/>
      </c>
      <c r="F2494">
        <f>Data!O2616</f>
        <v/>
      </c>
      <c r="G2494">
        <f>E2494-F2494</f>
        <v/>
      </c>
      <c r="H2494">
        <f>Data!P2616</f>
        <v/>
      </c>
      <c r="I2494">
        <f>G2494+H2494</f>
        <v/>
      </c>
      <c r="J2494">
        <f>F2494+G2494+H2494</f>
        <v/>
      </c>
      <c r="K2494">
        <f>Data!R2616</f>
        <v/>
      </c>
      <c r="L2494">
        <f>Data!T2616</f>
        <v/>
      </c>
      <c r="M2494">
        <f>AND(E2494=0,F2494=0,G2494=0,H2494=0,I2494=0,J2494=0,K2494=0,L2494=0)</f>
        <v/>
      </c>
      <c r="N2494">
        <f>G2494&lt;=$T$6</f>
        <v/>
      </c>
      <c r="O2494">
        <f>G2494&lt;=$T$12</f>
        <v/>
      </c>
      <c r="P2494">
        <f>OR(AND(H2494&gt;=$T$4,K2494&lt;=$T$5,N2494),M2494)</f>
        <v/>
      </c>
      <c r="Q2494">
        <f>OR(AND(I2494&gt;=$T$10,K2494&lt;=$T$11,O2494),M2494)</f>
        <v/>
      </c>
    </row>
    <row r="2495">
      <c r="A2495">
        <f>Data!E2617</f>
        <v/>
      </c>
      <c r="B2495">
        <f>Data!G2617</f>
        <v/>
      </c>
      <c r="C2495">
        <f>Data!H2617</f>
        <v/>
      </c>
      <c r="D2495">
        <f>Data!I2617</f>
        <v/>
      </c>
      <c r="E2495">
        <f>Data!M2617</f>
        <v/>
      </c>
      <c r="F2495">
        <f>Data!O2617</f>
        <v/>
      </c>
      <c r="G2495">
        <f>E2495-F2495</f>
        <v/>
      </c>
      <c r="H2495">
        <f>Data!P2617</f>
        <v/>
      </c>
      <c r="I2495">
        <f>G2495+H2495</f>
        <v/>
      </c>
      <c r="J2495">
        <f>F2495+G2495+H2495</f>
        <v/>
      </c>
      <c r="K2495">
        <f>Data!R2617</f>
        <v/>
      </c>
      <c r="L2495">
        <f>Data!T2617</f>
        <v/>
      </c>
      <c r="M2495">
        <f>AND(E2495=0,F2495=0,G2495=0,H2495=0,I2495=0,J2495=0,K2495=0,L2495=0)</f>
        <v/>
      </c>
      <c r="N2495">
        <f>G2495&lt;=$T$6</f>
        <v/>
      </c>
      <c r="O2495">
        <f>G2495&lt;=$T$12</f>
        <v/>
      </c>
      <c r="P2495">
        <f>OR(AND(H2495&gt;=$T$4,K2495&lt;=$T$5,N2495),M2495)</f>
        <v/>
      </c>
      <c r="Q2495">
        <f>OR(AND(I2495&gt;=$T$10,K2495&lt;=$T$11,O2495),M2495)</f>
        <v/>
      </c>
    </row>
    <row r="2496">
      <c r="A2496">
        <f>Data!E2618</f>
        <v/>
      </c>
      <c r="B2496">
        <f>Data!G2618</f>
        <v/>
      </c>
      <c r="C2496">
        <f>Data!H2618</f>
        <v/>
      </c>
      <c r="D2496">
        <f>Data!I2618</f>
        <v/>
      </c>
      <c r="E2496">
        <f>Data!M2618</f>
        <v/>
      </c>
      <c r="F2496">
        <f>Data!O2618</f>
        <v/>
      </c>
      <c r="G2496">
        <f>E2496-F2496</f>
        <v/>
      </c>
      <c r="H2496">
        <f>Data!P2618</f>
        <v/>
      </c>
      <c r="I2496">
        <f>G2496+H2496</f>
        <v/>
      </c>
      <c r="J2496">
        <f>F2496+G2496+H2496</f>
        <v/>
      </c>
      <c r="K2496">
        <f>Data!R2618</f>
        <v/>
      </c>
      <c r="L2496">
        <f>Data!T2618</f>
        <v/>
      </c>
      <c r="M2496">
        <f>AND(E2496=0,F2496=0,G2496=0,H2496=0,I2496=0,J2496=0,K2496=0,L2496=0)</f>
        <v/>
      </c>
      <c r="N2496">
        <f>G2496&lt;=$T$6</f>
        <v/>
      </c>
      <c r="O2496">
        <f>G2496&lt;=$T$12</f>
        <v/>
      </c>
      <c r="P2496">
        <f>OR(AND(H2496&gt;=$T$4,K2496&lt;=$T$5,N2496),M2496)</f>
        <v/>
      </c>
      <c r="Q2496">
        <f>OR(AND(I2496&gt;=$T$10,K2496&lt;=$T$11,O2496),M2496)</f>
        <v/>
      </c>
    </row>
    <row r="2497">
      <c r="A2497">
        <f>Data!E2619</f>
        <v/>
      </c>
      <c r="B2497">
        <f>Data!G2619</f>
        <v/>
      </c>
      <c r="C2497">
        <f>Data!H2619</f>
        <v/>
      </c>
      <c r="D2497">
        <f>Data!I2619</f>
        <v/>
      </c>
      <c r="E2497">
        <f>Data!M2619</f>
        <v/>
      </c>
      <c r="F2497">
        <f>Data!O2619</f>
        <v/>
      </c>
      <c r="G2497">
        <f>E2497-F2497</f>
        <v/>
      </c>
      <c r="H2497">
        <f>Data!P2619</f>
        <v/>
      </c>
      <c r="I2497">
        <f>G2497+H2497</f>
        <v/>
      </c>
      <c r="J2497">
        <f>F2497+G2497+H2497</f>
        <v/>
      </c>
      <c r="K2497">
        <f>Data!R2619</f>
        <v/>
      </c>
      <c r="L2497">
        <f>Data!T2619</f>
        <v/>
      </c>
      <c r="M2497">
        <f>AND(E2497=0,F2497=0,G2497=0,H2497=0,I2497=0,J2497=0,K2497=0,L2497=0)</f>
        <v/>
      </c>
      <c r="N2497">
        <f>G2497&lt;=$T$6</f>
        <v/>
      </c>
      <c r="O2497">
        <f>G2497&lt;=$T$12</f>
        <v/>
      </c>
      <c r="P2497">
        <f>OR(AND(H2497&gt;=$T$4,K2497&lt;=$T$5,N2497),M2497)</f>
        <v/>
      </c>
      <c r="Q2497">
        <f>OR(AND(I2497&gt;=$T$10,K2497&lt;=$T$11,O2497),M2497)</f>
        <v/>
      </c>
    </row>
    <row r="2498">
      <c r="A2498">
        <f>Data!E2620</f>
        <v/>
      </c>
      <c r="B2498">
        <f>Data!G2620</f>
        <v/>
      </c>
      <c r="C2498">
        <f>Data!H2620</f>
        <v/>
      </c>
      <c r="D2498">
        <f>Data!I2620</f>
        <v/>
      </c>
      <c r="E2498">
        <f>Data!M2620</f>
        <v/>
      </c>
      <c r="F2498">
        <f>Data!O2620</f>
        <v/>
      </c>
      <c r="G2498">
        <f>E2498-F2498</f>
        <v/>
      </c>
      <c r="H2498">
        <f>Data!P2620</f>
        <v/>
      </c>
      <c r="I2498">
        <f>G2498+H2498</f>
        <v/>
      </c>
      <c r="J2498">
        <f>F2498+G2498+H2498</f>
        <v/>
      </c>
      <c r="K2498">
        <f>Data!R2620</f>
        <v/>
      </c>
      <c r="L2498">
        <f>Data!T2620</f>
        <v/>
      </c>
      <c r="M2498">
        <f>AND(E2498=0,F2498=0,G2498=0,H2498=0,I2498=0,J2498=0,K2498=0,L2498=0)</f>
        <v/>
      </c>
      <c r="N2498">
        <f>G2498&lt;=$T$6</f>
        <v/>
      </c>
      <c r="O2498">
        <f>G2498&lt;=$T$12</f>
        <v/>
      </c>
      <c r="P2498">
        <f>OR(AND(H2498&gt;=$T$4,K2498&lt;=$T$5,N2498),M2498)</f>
        <v/>
      </c>
      <c r="Q2498">
        <f>OR(AND(I2498&gt;=$T$10,K2498&lt;=$T$11,O2498),M2498)</f>
        <v/>
      </c>
    </row>
    <row r="2499">
      <c r="A2499">
        <f>Data!E2622</f>
        <v/>
      </c>
      <c r="B2499">
        <f>Data!G2622</f>
        <v/>
      </c>
      <c r="C2499">
        <f>Data!H2622</f>
        <v/>
      </c>
      <c r="D2499">
        <f>Data!I2622</f>
        <v/>
      </c>
      <c r="E2499">
        <f>Data!M2622</f>
        <v/>
      </c>
      <c r="F2499">
        <f>Data!O2622</f>
        <v/>
      </c>
      <c r="G2499">
        <f>E2499-F2499</f>
        <v/>
      </c>
      <c r="H2499">
        <f>Data!P2622</f>
        <v/>
      </c>
      <c r="I2499">
        <f>G2499+H2499</f>
        <v/>
      </c>
      <c r="J2499">
        <f>F2499+G2499+H2499</f>
        <v/>
      </c>
      <c r="K2499">
        <f>Data!R2622</f>
        <v/>
      </c>
      <c r="L2499">
        <f>Data!T2622</f>
        <v/>
      </c>
      <c r="M2499">
        <f>AND(E2499=0,F2499=0,G2499=0,H2499=0,I2499=0,J2499=0,K2499=0,L2499=0)</f>
        <v/>
      </c>
      <c r="N2499">
        <f>G2499&lt;=$T$6</f>
        <v/>
      </c>
      <c r="O2499">
        <f>G2499&lt;=$T$12</f>
        <v/>
      </c>
      <c r="P2499">
        <f>OR(AND(H2499&gt;=$T$4,K2499&lt;=$T$5,N2499),M2499)</f>
        <v/>
      </c>
      <c r="Q2499">
        <f>OR(AND(I2499&gt;=$T$10,K2499&lt;=$T$11,O2499),M2499)</f>
        <v/>
      </c>
    </row>
    <row r="2500">
      <c r="A2500">
        <f>Data!E2623</f>
        <v/>
      </c>
      <c r="B2500">
        <f>Data!G2623</f>
        <v/>
      </c>
      <c r="C2500">
        <f>Data!H2623</f>
        <v/>
      </c>
      <c r="D2500">
        <f>Data!I2623</f>
        <v/>
      </c>
      <c r="E2500">
        <f>Data!M2623</f>
        <v/>
      </c>
      <c r="F2500">
        <f>Data!O2623</f>
        <v/>
      </c>
      <c r="G2500">
        <f>E2500-F2500</f>
        <v/>
      </c>
      <c r="H2500">
        <f>Data!P2623</f>
        <v/>
      </c>
      <c r="I2500">
        <f>G2500+H2500</f>
        <v/>
      </c>
      <c r="J2500">
        <f>F2500+G2500+H2500</f>
        <v/>
      </c>
      <c r="K2500">
        <f>Data!R2623</f>
        <v/>
      </c>
      <c r="L2500">
        <f>Data!T2623</f>
        <v/>
      </c>
      <c r="M2500">
        <f>AND(E2500=0,F2500=0,G2500=0,H2500=0,I2500=0,J2500=0,K2500=0,L2500=0)</f>
        <v/>
      </c>
      <c r="N2500">
        <f>G2500&lt;=$T$6</f>
        <v/>
      </c>
      <c r="O2500">
        <f>G2500&lt;=$T$12</f>
        <v/>
      </c>
      <c r="P2500">
        <f>OR(AND(H2500&gt;=$T$4,K2500&lt;=$T$5,N2500),M2500)</f>
        <v/>
      </c>
      <c r="Q2500">
        <f>OR(AND(I2500&gt;=$T$10,K2500&lt;=$T$11,O2500),M2500)</f>
        <v/>
      </c>
    </row>
    <row r="2501">
      <c r="A2501">
        <f>Data!E2624</f>
        <v/>
      </c>
      <c r="B2501">
        <f>Data!G2624</f>
        <v/>
      </c>
      <c r="C2501">
        <f>Data!H2624</f>
        <v/>
      </c>
      <c r="D2501">
        <f>Data!I2624</f>
        <v/>
      </c>
      <c r="E2501">
        <f>Data!M2624</f>
        <v/>
      </c>
      <c r="F2501">
        <f>Data!O2624</f>
        <v/>
      </c>
      <c r="G2501">
        <f>E2501-F2501</f>
        <v/>
      </c>
      <c r="H2501">
        <f>Data!P2624</f>
        <v/>
      </c>
      <c r="I2501">
        <f>G2501+H2501</f>
        <v/>
      </c>
      <c r="J2501">
        <f>F2501+G2501+H2501</f>
        <v/>
      </c>
      <c r="K2501">
        <f>Data!R2624</f>
        <v/>
      </c>
      <c r="L2501">
        <f>Data!T2624</f>
        <v/>
      </c>
      <c r="M2501">
        <f>AND(E2501=0,F2501=0,G2501=0,H2501=0,I2501=0,J2501=0,K2501=0,L2501=0)</f>
        <v/>
      </c>
      <c r="N2501">
        <f>G2501&lt;=$T$6</f>
        <v/>
      </c>
      <c r="O2501">
        <f>G2501&lt;=$T$12</f>
        <v/>
      </c>
      <c r="P2501">
        <f>OR(AND(H2501&gt;=$T$4,K2501&lt;=$T$5,N2501),M2501)</f>
        <v/>
      </c>
      <c r="Q2501">
        <f>OR(AND(I2501&gt;=$T$10,K2501&lt;=$T$11,O2501),M2501)</f>
        <v/>
      </c>
    </row>
    <row r="2502">
      <c r="A2502">
        <f>Data!E2625</f>
        <v/>
      </c>
      <c r="B2502">
        <f>Data!G2625</f>
        <v/>
      </c>
      <c r="C2502">
        <f>Data!H2625</f>
        <v/>
      </c>
      <c r="D2502">
        <f>Data!I2625</f>
        <v/>
      </c>
      <c r="E2502">
        <f>Data!M2625</f>
        <v/>
      </c>
      <c r="F2502">
        <f>Data!O2625</f>
        <v/>
      </c>
      <c r="G2502">
        <f>E2502-F2502</f>
        <v/>
      </c>
      <c r="H2502">
        <f>Data!P2625</f>
        <v/>
      </c>
      <c r="I2502">
        <f>G2502+H2502</f>
        <v/>
      </c>
      <c r="J2502">
        <f>F2502+G2502+H2502</f>
        <v/>
      </c>
      <c r="K2502">
        <f>Data!R2625</f>
        <v/>
      </c>
      <c r="L2502">
        <f>Data!T2625</f>
        <v/>
      </c>
      <c r="M2502">
        <f>AND(E2502=0,F2502=0,G2502=0,H2502=0,I2502=0,J2502=0,K2502=0,L2502=0)</f>
        <v/>
      </c>
      <c r="N2502">
        <f>G2502&lt;=$T$6</f>
        <v/>
      </c>
      <c r="O2502">
        <f>G2502&lt;=$T$12</f>
        <v/>
      </c>
      <c r="P2502">
        <f>OR(AND(H2502&gt;=$T$4,K2502&lt;=$T$5,N2502),M2502)</f>
        <v/>
      </c>
      <c r="Q2502">
        <f>OR(AND(I2502&gt;=$T$10,K2502&lt;=$T$11,O2502),M2502)</f>
        <v/>
      </c>
    </row>
    <row r="2503">
      <c r="A2503">
        <f>Data!E2626</f>
        <v/>
      </c>
      <c r="B2503">
        <f>Data!G2626</f>
        <v/>
      </c>
      <c r="C2503">
        <f>Data!H2626</f>
        <v/>
      </c>
      <c r="D2503">
        <f>Data!I2626</f>
        <v/>
      </c>
      <c r="E2503">
        <f>Data!M2626</f>
        <v/>
      </c>
      <c r="F2503">
        <f>Data!O2626</f>
        <v/>
      </c>
      <c r="G2503">
        <f>E2503-F2503</f>
        <v/>
      </c>
      <c r="H2503">
        <f>Data!P2626</f>
        <v/>
      </c>
      <c r="I2503">
        <f>G2503+H2503</f>
        <v/>
      </c>
      <c r="J2503">
        <f>F2503+G2503+H2503</f>
        <v/>
      </c>
      <c r="K2503">
        <f>Data!R2626</f>
        <v/>
      </c>
      <c r="L2503">
        <f>Data!T2626</f>
        <v/>
      </c>
      <c r="M2503">
        <f>AND(E2503=0,F2503=0,G2503=0,H2503=0,I2503=0,J2503=0,K2503=0,L2503=0)</f>
        <v/>
      </c>
      <c r="N2503">
        <f>G2503&lt;=$T$6</f>
        <v/>
      </c>
      <c r="O2503">
        <f>G2503&lt;=$T$12</f>
        <v/>
      </c>
      <c r="P2503">
        <f>OR(AND(H2503&gt;=$T$4,K2503&lt;=$T$5,N2503),M2503)</f>
        <v/>
      </c>
      <c r="Q2503">
        <f>OR(AND(I2503&gt;=$T$10,K2503&lt;=$T$11,O2503),M2503)</f>
        <v/>
      </c>
    </row>
    <row r="2504">
      <c r="A2504">
        <f>Data!E2627</f>
        <v/>
      </c>
      <c r="B2504">
        <f>Data!G2627</f>
        <v/>
      </c>
      <c r="C2504">
        <f>Data!H2627</f>
        <v/>
      </c>
      <c r="D2504">
        <f>Data!I2627</f>
        <v/>
      </c>
      <c r="E2504">
        <f>Data!M2627</f>
        <v/>
      </c>
      <c r="F2504">
        <f>Data!O2627</f>
        <v/>
      </c>
      <c r="G2504">
        <f>E2504-F2504</f>
        <v/>
      </c>
      <c r="H2504">
        <f>Data!P2627</f>
        <v/>
      </c>
      <c r="I2504">
        <f>G2504+H2504</f>
        <v/>
      </c>
      <c r="J2504">
        <f>F2504+G2504+H2504</f>
        <v/>
      </c>
      <c r="K2504">
        <f>Data!R2627</f>
        <v/>
      </c>
      <c r="L2504">
        <f>Data!T2627</f>
        <v/>
      </c>
      <c r="M2504">
        <f>AND(E2504=0,F2504=0,G2504=0,H2504=0,I2504=0,J2504=0,K2504=0,L2504=0)</f>
        <v/>
      </c>
      <c r="N2504">
        <f>G2504&lt;=$T$6</f>
        <v/>
      </c>
      <c r="O2504">
        <f>G2504&lt;=$T$12</f>
        <v/>
      </c>
      <c r="P2504">
        <f>OR(AND(H2504&gt;=$T$4,K2504&lt;=$T$5,N2504),M2504)</f>
        <v/>
      </c>
      <c r="Q2504">
        <f>OR(AND(I2504&gt;=$T$10,K2504&lt;=$T$11,O2504),M2504)</f>
        <v/>
      </c>
    </row>
    <row r="2505">
      <c r="A2505">
        <f>Data!E2628</f>
        <v/>
      </c>
      <c r="B2505">
        <f>Data!G2628</f>
        <v/>
      </c>
      <c r="C2505">
        <f>Data!H2628</f>
        <v/>
      </c>
      <c r="D2505">
        <f>Data!I2628</f>
        <v/>
      </c>
      <c r="E2505">
        <f>Data!M2628</f>
        <v/>
      </c>
      <c r="F2505">
        <f>Data!O2628</f>
        <v/>
      </c>
      <c r="G2505">
        <f>E2505-F2505</f>
        <v/>
      </c>
      <c r="H2505">
        <f>Data!P2628</f>
        <v/>
      </c>
      <c r="I2505">
        <f>G2505+H2505</f>
        <v/>
      </c>
      <c r="J2505">
        <f>F2505+G2505+H2505</f>
        <v/>
      </c>
      <c r="K2505">
        <f>Data!R2628</f>
        <v/>
      </c>
      <c r="L2505">
        <f>Data!T2628</f>
        <v/>
      </c>
      <c r="M2505">
        <f>AND(E2505=0,F2505=0,G2505=0,H2505=0,I2505=0,J2505=0,K2505=0,L2505=0)</f>
        <v/>
      </c>
      <c r="N2505">
        <f>G2505&lt;=$T$6</f>
        <v/>
      </c>
      <c r="O2505">
        <f>G2505&lt;=$T$12</f>
        <v/>
      </c>
      <c r="P2505">
        <f>OR(AND(H2505&gt;=$T$4,K2505&lt;=$T$5,N2505),M2505)</f>
        <v/>
      </c>
      <c r="Q2505">
        <f>OR(AND(I2505&gt;=$T$10,K2505&lt;=$T$11,O2505),M2505)</f>
        <v/>
      </c>
    </row>
    <row r="2506">
      <c r="A2506">
        <f>Data!E2629</f>
        <v/>
      </c>
      <c r="B2506">
        <f>Data!G2629</f>
        <v/>
      </c>
      <c r="C2506">
        <f>Data!H2629</f>
        <v/>
      </c>
      <c r="D2506">
        <f>Data!I2629</f>
        <v/>
      </c>
      <c r="E2506">
        <f>Data!M2629</f>
        <v/>
      </c>
      <c r="F2506">
        <f>Data!O2629</f>
        <v/>
      </c>
      <c r="G2506">
        <f>E2506-F2506</f>
        <v/>
      </c>
      <c r="H2506">
        <f>Data!P2629</f>
        <v/>
      </c>
      <c r="I2506">
        <f>G2506+H2506</f>
        <v/>
      </c>
      <c r="J2506">
        <f>F2506+G2506+H2506</f>
        <v/>
      </c>
      <c r="K2506">
        <f>Data!R2629</f>
        <v/>
      </c>
      <c r="L2506">
        <f>Data!T2629</f>
        <v/>
      </c>
      <c r="M2506">
        <f>AND(E2506=0,F2506=0,G2506=0,H2506=0,I2506=0,J2506=0,K2506=0,L2506=0)</f>
        <v/>
      </c>
      <c r="N2506">
        <f>G2506&lt;=$T$6</f>
        <v/>
      </c>
      <c r="O2506">
        <f>G2506&lt;=$T$12</f>
        <v/>
      </c>
      <c r="P2506">
        <f>OR(AND(H2506&gt;=$T$4,K2506&lt;=$T$5,N2506),M2506)</f>
        <v/>
      </c>
      <c r="Q2506">
        <f>OR(AND(I2506&gt;=$T$10,K2506&lt;=$T$11,O2506),M2506)</f>
        <v/>
      </c>
    </row>
    <row r="2507">
      <c r="A2507">
        <f>Data!E2630</f>
        <v/>
      </c>
      <c r="B2507">
        <f>Data!G2630</f>
        <v/>
      </c>
      <c r="C2507">
        <f>Data!H2630</f>
        <v/>
      </c>
      <c r="D2507">
        <f>Data!I2630</f>
        <v/>
      </c>
      <c r="E2507">
        <f>Data!M2630</f>
        <v/>
      </c>
      <c r="F2507">
        <f>Data!O2630</f>
        <v/>
      </c>
      <c r="G2507">
        <f>E2507-F2507</f>
        <v/>
      </c>
      <c r="H2507">
        <f>Data!P2630</f>
        <v/>
      </c>
      <c r="I2507">
        <f>G2507+H2507</f>
        <v/>
      </c>
      <c r="J2507">
        <f>F2507+G2507+H2507</f>
        <v/>
      </c>
      <c r="K2507">
        <f>Data!R2630</f>
        <v/>
      </c>
      <c r="L2507">
        <f>Data!T2630</f>
        <v/>
      </c>
      <c r="M2507">
        <f>AND(E2507=0,F2507=0,G2507=0,H2507=0,I2507=0,J2507=0,K2507=0,L2507=0)</f>
        <v/>
      </c>
      <c r="N2507">
        <f>G2507&lt;=$T$6</f>
        <v/>
      </c>
      <c r="O2507">
        <f>G2507&lt;=$T$12</f>
        <v/>
      </c>
      <c r="P2507">
        <f>OR(AND(H2507&gt;=$T$4,K2507&lt;=$T$5,N2507),M2507)</f>
        <v/>
      </c>
      <c r="Q2507">
        <f>OR(AND(I2507&gt;=$T$10,K2507&lt;=$T$11,O2507),M2507)</f>
        <v/>
      </c>
    </row>
    <row r="2508">
      <c r="A2508">
        <f>Data!E2631</f>
        <v/>
      </c>
      <c r="B2508">
        <f>Data!G2631</f>
        <v/>
      </c>
      <c r="C2508">
        <f>Data!H2631</f>
        <v/>
      </c>
      <c r="D2508">
        <f>Data!I2631</f>
        <v/>
      </c>
      <c r="E2508">
        <f>Data!M2631</f>
        <v/>
      </c>
      <c r="F2508">
        <f>Data!O2631</f>
        <v/>
      </c>
      <c r="G2508">
        <f>E2508-F2508</f>
        <v/>
      </c>
      <c r="H2508">
        <f>Data!P2631</f>
        <v/>
      </c>
      <c r="I2508">
        <f>G2508+H2508</f>
        <v/>
      </c>
      <c r="J2508">
        <f>F2508+G2508+H2508</f>
        <v/>
      </c>
      <c r="K2508">
        <f>Data!R2631</f>
        <v/>
      </c>
      <c r="L2508">
        <f>Data!T2631</f>
        <v/>
      </c>
      <c r="M2508">
        <f>AND(E2508=0,F2508=0,G2508=0,H2508=0,I2508=0,J2508=0,K2508=0,L2508=0)</f>
        <v/>
      </c>
      <c r="N2508">
        <f>G2508&lt;=$T$6</f>
        <v/>
      </c>
      <c r="O2508">
        <f>G2508&lt;=$T$12</f>
        <v/>
      </c>
      <c r="P2508">
        <f>OR(AND(H2508&gt;=$T$4,K2508&lt;=$T$5,N2508),M2508)</f>
        <v/>
      </c>
      <c r="Q2508">
        <f>OR(AND(I2508&gt;=$T$10,K2508&lt;=$T$11,O2508),M2508)</f>
        <v/>
      </c>
    </row>
    <row r="2509">
      <c r="A2509">
        <f>Data!E2632</f>
        <v/>
      </c>
      <c r="B2509">
        <f>Data!G2632</f>
        <v/>
      </c>
      <c r="C2509">
        <f>Data!H2632</f>
        <v/>
      </c>
      <c r="D2509">
        <f>Data!I2632</f>
        <v/>
      </c>
      <c r="E2509">
        <f>Data!M2632</f>
        <v/>
      </c>
      <c r="F2509">
        <f>Data!O2632</f>
        <v/>
      </c>
      <c r="G2509">
        <f>E2509-F2509</f>
        <v/>
      </c>
      <c r="H2509">
        <f>Data!P2632</f>
        <v/>
      </c>
      <c r="I2509">
        <f>G2509+H2509</f>
        <v/>
      </c>
      <c r="J2509">
        <f>F2509+G2509+H2509</f>
        <v/>
      </c>
      <c r="K2509">
        <f>Data!R2632</f>
        <v/>
      </c>
      <c r="L2509">
        <f>Data!T2632</f>
        <v/>
      </c>
      <c r="M2509">
        <f>AND(E2509=0,F2509=0,G2509=0,H2509=0,I2509=0,J2509=0,K2509=0,L2509=0)</f>
        <v/>
      </c>
      <c r="N2509">
        <f>G2509&lt;=$T$6</f>
        <v/>
      </c>
      <c r="O2509">
        <f>G2509&lt;=$T$12</f>
        <v/>
      </c>
      <c r="P2509">
        <f>OR(AND(H2509&gt;=$T$4,K2509&lt;=$T$5,N2509),M2509)</f>
        <v/>
      </c>
      <c r="Q2509">
        <f>OR(AND(I2509&gt;=$T$10,K2509&lt;=$T$11,O2509),M2509)</f>
        <v/>
      </c>
    </row>
    <row r="2510">
      <c r="A2510">
        <f>Data!E2633</f>
        <v/>
      </c>
      <c r="B2510">
        <f>Data!G2633</f>
        <v/>
      </c>
      <c r="C2510">
        <f>Data!H2633</f>
        <v/>
      </c>
      <c r="D2510">
        <f>Data!I2633</f>
        <v/>
      </c>
      <c r="E2510">
        <f>Data!M2633</f>
        <v/>
      </c>
      <c r="F2510">
        <f>Data!O2633</f>
        <v/>
      </c>
      <c r="G2510">
        <f>E2510-F2510</f>
        <v/>
      </c>
      <c r="H2510">
        <f>Data!P2633</f>
        <v/>
      </c>
      <c r="I2510">
        <f>G2510+H2510</f>
        <v/>
      </c>
      <c r="J2510">
        <f>F2510+G2510+H2510</f>
        <v/>
      </c>
      <c r="K2510">
        <f>Data!R2633</f>
        <v/>
      </c>
      <c r="L2510">
        <f>Data!T2633</f>
        <v/>
      </c>
      <c r="M2510">
        <f>AND(E2510=0,F2510=0,G2510=0,H2510=0,I2510=0,J2510=0,K2510=0,L2510=0)</f>
        <v/>
      </c>
      <c r="N2510">
        <f>G2510&lt;=$T$6</f>
        <v/>
      </c>
      <c r="O2510">
        <f>G2510&lt;=$T$12</f>
        <v/>
      </c>
      <c r="P2510">
        <f>OR(AND(H2510&gt;=$T$4,K2510&lt;=$T$5,N2510),M2510)</f>
        <v/>
      </c>
      <c r="Q2510">
        <f>OR(AND(I2510&gt;=$T$10,K2510&lt;=$T$11,O2510),M2510)</f>
        <v/>
      </c>
    </row>
    <row r="2511">
      <c r="A2511">
        <f>Data!E2634</f>
        <v/>
      </c>
      <c r="B2511">
        <f>Data!G2634</f>
        <v/>
      </c>
      <c r="C2511">
        <f>Data!H2634</f>
        <v/>
      </c>
      <c r="D2511">
        <f>Data!I2634</f>
        <v/>
      </c>
      <c r="E2511">
        <f>Data!M2634</f>
        <v/>
      </c>
      <c r="F2511">
        <f>Data!O2634</f>
        <v/>
      </c>
      <c r="G2511">
        <f>E2511-F2511</f>
        <v/>
      </c>
      <c r="H2511">
        <f>Data!P2634</f>
        <v/>
      </c>
      <c r="I2511">
        <f>G2511+H2511</f>
        <v/>
      </c>
      <c r="J2511">
        <f>F2511+G2511+H2511</f>
        <v/>
      </c>
      <c r="K2511">
        <f>Data!R2634</f>
        <v/>
      </c>
      <c r="L2511">
        <f>Data!T2634</f>
        <v/>
      </c>
      <c r="M2511">
        <f>AND(E2511=0,F2511=0,G2511=0,H2511=0,I2511=0,J2511=0,K2511=0,L2511=0)</f>
        <v/>
      </c>
      <c r="N2511">
        <f>G2511&lt;=$T$6</f>
        <v/>
      </c>
      <c r="O2511">
        <f>G2511&lt;=$T$12</f>
        <v/>
      </c>
      <c r="P2511">
        <f>OR(AND(H2511&gt;=$T$4,K2511&lt;=$T$5,N2511),M2511)</f>
        <v/>
      </c>
      <c r="Q2511">
        <f>OR(AND(I2511&gt;=$T$10,K2511&lt;=$T$11,O2511),M2511)</f>
        <v/>
      </c>
    </row>
    <row r="2512">
      <c r="A2512">
        <f>Data!E2635</f>
        <v/>
      </c>
      <c r="B2512">
        <f>Data!G2635</f>
        <v/>
      </c>
      <c r="C2512">
        <f>Data!H2635</f>
        <v/>
      </c>
      <c r="D2512">
        <f>Data!I2635</f>
        <v/>
      </c>
      <c r="E2512">
        <f>Data!M2635</f>
        <v/>
      </c>
      <c r="F2512">
        <f>Data!O2635</f>
        <v/>
      </c>
      <c r="G2512">
        <f>E2512-F2512</f>
        <v/>
      </c>
      <c r="H2512">
        <f>Data!P2635</f>
        <v/>
      </c>
      <c r="I2512">
        <f>G2512+H2512</f>
        <v/>
      </c>
      <c r="J2512">
        <f>F2512+G2512+H2512</f>
        <v/>
      </c>
      <c r="K2512">
        <f>Data!R2635</f>
        <v/>
      </c>
      <c r="L2512">
        <f>Data!T2635</f>
        <v/>
      </c>
      <c r="M2512">
        <f>AND(E2512=0,F2512=0,G2512=0,H2512=0,I2512=0,J2512=0,K2512=0,L2512=0)</f>
        <v/>
      </c>
      <c r="N2512">
        <f>G2512&lt;=$T$6</f>
        <v/>
      </c>
      <c r="O2512">
        <f>G2512&lt;=$T$12</f>
        <v/>
      </c>
      <c r="P2512">
        <f>OR(AND(H2512&gt;=$T$4,K2512&lt;=$T$5,N2512),M2512)</f>
        <v/>
      </c>
      <c r="Q2512">
        <f>OR(AND(I2512&gt;=$T$10,K2512&lt;=$T$11,O2512),M2512)</f>
        <v/>
      </c>
    </row>
    <row r="2513">
      <c r="A2513">
        <f>Data!E2636</f>
        <v/>
      </c>
      <c r="B2513">
        <f>Data!G2636</f>
        <v/>
      </c>
      <c r="C2513">
        <f>Data!H2636</f>
        <v/>
      </c>
      <c r="D2513">
        <f>Data!I2636</f>
        <v/>
      </c>
      <c r="E2513">
        <f>Data!M2636</f>
        <v/>
      </c>
      <c r="F2513">
        <f>Data!O2636</f>
        <v/>
      </c>
      <c r="G2513">
        <f>E2513-F2513</f>
        <v/>
      </c>
      <c r="H2513">
        <f>Data!P2636</f>
        <v/>
      </c>
      <c r="I2513">
        <f>G2513+H2513</f>
        <v/>
      </c>
      <c r="J2513">
        <f>F2513+G2513+H2513</f>
        <v/>
      </c>
      <c r="K2513">
        <f>Data!R2636</f>
        <v/>
      </c>
      <c r="L2513">
        <f>Data!T2636</f>
        <v/>
      </c>
      <c r="M2513">
        <f>AND(E2513=0,F2513=0,G2513=0,H2513=0,I2513=0,J2513=0,K2513=0,L2513=0)</f>
        <v/>
      </c>
      <c r="N2513">
        <f>G2513&lt;=$T$6</f>
        <v/>
      </c>
      <c r="O2513">
        <f>G2513&lt;=$T$12</f>
        <v/>
      </c>
      <c r="P2513">
        <f>OR(AND(H2513&gt;=$T$4,K2513&lt;=$T$5,N2513),M2513)</f>
        <v/>
      </c>
      <c r="Q2513">
        <f>OR(AND(I2513&gt;=$T$10,K2513&lt;=$T$11,O2513),M2513)</f>
        <v/>
      </c>
    </row>
    <row r="2514">
      <c r="A2514">
        <f>Data!E2637</f>
        <v/>
      </c>
      <c r="B2514">
        <f>Data!G2637</f>
        <v/>
      </c>
      <c r="C2514">
        <f>Data!H2637</f>
        <v/>
      </c>
      <c r="D2514">
        <f>Data!I2637</f>
        <v/>
      </c>
      <c r="E2514">
        <f>Data!M2637</f>
        <v/>
      </c>
      <c r="F2514">
        <f>Data!O2637</f>
        <v/>
      </c>
      <c r="G2514">
        <f>E2514-F2514</f>
        <v/>
      </c>
      <c r="H2514">
        <f>Data!P2637</f>
        <v/>
      </c>
      <c r="I2514">
        <f>G2514+H2514</f>
        <v/>
      </c>
      <c r="J2514">
        <f>F2514+G2514+H2514</f>
        <v/>
      </c>
      <c r="K2514">
        <f>Data!R2637</f>
        <v/>
      </c>
      <c r="L2514">
        <f>Data!T2637</f>
        <v/>
      </c>
      <c r="M2514">
        <f>AND(E2514=0,F2514=0,G2514=0,H2514=0,I2514=0,J2514=0,K2514=0,L2514=0)</f>
        <v/>
      </c>
      <c r="N2514">
        <f>G2514&lt;=$T$6</f>
        <v/>
      </c>
      <c r="O2514">
        <f>G2514&lt;=$T$12</f>
        <v/>
      </c>
      <c r="P2514">
        <f>OR(AND(H2514&gt;=$T$4,K2514&lt;=$T$5,N2514),M2514)</f>
        <v/>
      </c>
      <c r="Q2514">
        <f>OR(AND(I2514&gt;=$T$10,K2514&lt;=$T$11,O2514),M2514)</f>
        <v/>
      </c>
    </row>
    <row r="2515">
      <c r="A2515">
        <f>Data!E2638</f>
        <v/>
      </c>
      <c r="B2515">
        <f>Data!G2638</f>
        <v/>
      </c>
      <c r="C2515">
        <f>Data!H2638</f>
        <v/>
      </c>
      <c r="D2515">
        <f>Data!I2638</f>
        <v/>
      </c>
      <c r="E2515">
        <f>Data!M2638</f>
        <v/>
      </c>
      <c r="F2515">
        <f>Data!O2638</f>
        <v/>
      </c>
      <c r="G2515">
        <f>E2515-F2515</f>
        <v/>
      </c>
      <c r="H2515">
        <f>Data!P2638</f>
        <v/>
      </c>
      <c r="I2515">
        <f>G2515+H2515</f>
        <v/>
      </c>
      <c r="J2515">
        <f>F2515+G2515+H2515</f>
        <v/>
      </c>
      <c r="K2515">
        <f>Data!R2638</f>
        <v/>
      </c>
      <c r="L2515">
        <f>Data!T2638</f>
        <v/>
      </c>
      <c r="M2515">
        <f>AND(E2515=0,F2515=0,G2515=0,H2515=0,I2515=0,J2515=0,K2515=0,L2515=0)</f>
        <v/>
      </c>
      <c r="N2515">
        <f>G2515&lt;=$T$6</f>
        <v/>
      </c>
      <c r="O2515">
        <f>G2515&lt;=$T$12</f>
        <v/>
      </c>
      <c r="P2515">
        <f>OR(AND(H2515&gt;=$T$4,K2515&lt;=$T$5,N2515),M2515)</f>
        <v/>
      </c>
      <c r="Q2515">
        <f>OR(AND(I2515&gt;=$T$10,K2515&lt;=$T$11,O2515),M2515)</f>
        <v/>
      </c>
    </row>
    <row r="2516">
      <c r="A2516">
        <f>Data!E2639</f>
        <v/>
      </c>
      <c r="B2516">
        <f>Data!G2639</f>
        <v/>
      </c>
      <c r="C2516">
        <f>Data!H2639</f>
        <v/>
      </c>
      <c r="D2516">
        <f>Data!I2639</f>
        <v/>
      </c>
      <c r="E2516">
        <f>Data!M2639</f>
        <v/>
      </c>
      <c r="F2516">
        <f>Data!O2639</f>
        <v/>
      </c>
      <c r="G2516">
        <f>E2516-F2516</f>
        <v/>
      </c>
      <c r="H2516">
        <f>Data!P2639</f>
        <v/>
      </c>
      <c r="I2516">
        <f>G2516+H2516</f>
        <v/>
      </c>
      <c r="J2516">
        <f>F2516+G2516+H2516</f>
        <v/>
      </c>
      <c r="K2516">
        <f>Data!R2639</f>
        <v/>
      </c>
      <c r="L2516">
        <f>Data!T2639</f>
        <v/>
      </c>
      <c r="M2516">
        <f>AND(E2516=0,F2516=0,G2516=0,H2516=0,I2516=0,J2516=0,K2516=0,L2516=0)</f>
        <v/>
      </c>
      <c r="N2516">
        <f>G2516&lt;=$T$6</f>
        <v/>
      </c>
      <c r="O2516">
        <f>G2516&lt;=$T$12</f>
        <v/>
      </c>
      <c r="P2516">
        <f>OR(AND(H2516&gt;=$T$4,K2516&lt;=$T$5,N2516),M2516)</f>
        <v/>
      </c>
      <c r="Q2516">
        <f>OR(AND(I2516&gt;=$T$10,K2516&lt;=$T$11,O2516),M2516)</f>
        <v/>
      </c>
    </row>
    <row r="2517">
      <c r="A2517">
        <f>Data!E2640</f>
        <v/>
      </c>
      <c r="B2517">
        <f>Data!G2640</f>
        <v/>
      </c>
      <c r="C2517">
        <f>Data!H2640</f>
        <v/>
      </c>
      <c r="D2517">
        <f>Data!I2640</f>
        <v/>
      </c>
      <c r="E2517">
        <f>Data!M2640</f>
        <v/>
      </c>
      <c r="F2517">
        <f>Data!O2640</f>
        <v/>
      </c>
      <c r="G2517">
        <f>E2517-F2517</f>
        <v/>
      </c>
      <c r="H2517">
        <f>Data!P2640</f>
        <v/>
      </c>
      <c r="I2517">
        <f>G2517+H2517</f>
        <v/>
      </c>
      <c r="J2517">
        <f>F2517+G2517+H2517</f>
        <v/>
      </c>
      <c r="K2517">
        <f>Data!R2640</f>
        <v/>
      </c>
      <c r="L2517">
        <f>Data!T2640</f>
        <v/>
      </c>
      <c r="M2517">
        <f>AND(E2517=0,F2517=0,G2517=0,H2517=0,I2517=0,J2517=0,K2517=0,L2517=0)</f>
        <v/>
      </c>
      <c r="N2517">
        <f>G2517&lt;=$T$6</f>
        <v/>
      </c>
      <c r="O2517">
        <f>G2517&lt;=$T$12</f>
        <v/>
      </c>
      <c r="P2517">
        <f>OR(AND(H2517&gt;=$T$4,K2517&lt;=$T$5,N2517),M2517)</f>
        <v/>
      </c>
      <c r="Q2517">
        <f>OR(AND(I2517&gt;=$T$10,K2517&lt;=$T$11,O2517),M2517)</f>
        <v/>
      </c>
    </row>
    <row r="2518">
      <c r="A2518">
        <f>Data!E2641</f>
        <v/>
      </c>
      <c r="B2518">
        <f>Data!G2641</f>
        <v/>
      </c>
      <c r="C2518">
        <f>Data!H2641</f>
        <v/>
      </c>
      <c r="D2518">
        <f>Data!I2641</f>
        <v/>
      </c>
      <c r="E2518">
        <f>Data!M2641</f>
        <v/>
      </c>
      <c r="F2518">
        <f>Data!O2641</f>
        <v/>
      </c>
      <c r="G2518">
        <f>E2518-F2518</f>
        <v/>
      </c>
      <c r="H2518">
        <f>Data!P2641</f>
        <v/>
      </c>
      <c r="I2518">
        <f>G2518+H2518</f>
        <v/>
      </c>
      <c r="J2518">
        <f>F2518+G2518+H2518</f>
        <v/>
      </c>
      <c r="K2518">
        <f>Data!R2641</f>
        <v/>
      </c>
      <c r="L2518">
        <f>Data!T2641</f>
        <v/>
      </c>
      <c r="M2518">
        <f>AND(E2518=0,F2518=0,G2518=0,H2518=0,I2518=0,J2518=0,K2518=0,L2518=0)</f>
        <v/>
      </c>
      <c r="N2518">
        <f>G2518&lt;=$T$6</f>
        <v/>
      </c>
      <c r="O2518">
        <f>G2518&lt;=$T$12</f>
        <v/>
      </c>
      <c r="P2518">
        <f>OR(AND(H2518&gt;=$T$4,K2518&lt;=$T$5,N2518),M2518)</f>
        <v/>
      </c>
      <c r="Q2518">
        <f>OR(AND(I2518&gt;=$T$10,K2518&lt;=$T$11,O2518),M2518)</f>
        <v/>
      </c>
    </row>
    <row r="2519">
      <c r="A2519">
        <f>Data!E2642</f>
        <v/>
      </c>
      <c r="B2519">
        <f>Data!G2642</f>
        <v/>
      </c>
      <c r="C2519">
        <f>Data!H2642</f>
        <v/>
      </c>
      <c r="D2519">
        <f>Data!I2642</f>
        <v/>
      </c>
      <c r="E2519">
        <f>Data!M2642</f>
        <v/>
      </c>
      <c r="F2519">
        <f>Data!O2642</f>
        <v/>
      </c>
      <c r="G2519">
        <f>E2519-F2519</f>
        <v/>
      </c>
      <c r="H2519">
        <f>Data!P2642</f>
        <v/>
      </c>
      <c r="I2519">
        <f>G2519+H2519</f>
        <v/>
      </c>
      <c r="J2519">
        <f>F2519+G2519+H2519</f>
        <v/>
      </c>
      <c r="K2519">
        <f>Data!R2642</f>
        <v/>
      </c>
      <c r="L2519">
        <f>Data!T2642</f>
        <v/>
      </c>
      <c r="M2519">
        <f>AND(E2519=0,F2519=0,G2519=0,H2519=0,I2519=0,J2519=0,K2519=0,L2519=0)</f>
        <v/>
      </c>
      <c r="N2519">
        <f>G2519&lt;=$T$6</f>
        <v/>
      </c>
      <c r="O2519">
        <f>G2519&lt;=$T$12</f>
        <v/>
      </c>
      <c r="P2519">
        <f>OR(AND(H2519&gt;=$T$4,K2519&lt;=$T$5,N2519),M2519)</f>
        <v/>
      </c>
      <c r="Q2519">
        <f>OR(AND(I2519&gt;=$T$10,K2519&lt;=$T$11,O2519),M2519)</f>
        <v/>
      </c>
    </row>
    <row r="2520">
      <c r="A2520">
        <f>Data!E2643</f>
        <v/>
      </c>
      <c r="B2520">
        <f>Data!G2643</f>
        <v/>
      </c>
      <c r="C2520">
        <f>Data!H2643</f>
        <v/>
      </c>
      <c r="D2520">
        <f>Data!I2643</f>
        <v/>
      </c>
      <c r="E2520">
        <f>Data!M2643</f>
        <v/>
      </c>
      <c r="F2520">
        <f>Data!O2643</f>
        <v/>
      </c>
      <c r="G2520">
        <f>E2520-F2520</f>
        <v/>
      </c>
      <c r="H2520">
        <f>Data!P2643</f>
        <v/>
      </c>
      <c r="I2520">
        <f>G2520+H2520</f>
        <v/>
      </c>
      <c r="J2520">
        <f>F2520+G2520+H2520</f>
        <v/>
      </c>
      <c r="K2520">
        <f>Data!R2643</f>
        <v/>
      </c>
      <c r="L2520">
        <f>Data!T2643</f>
        <v/>
      </c>
      <c r="M2520">
        <f>AND(E2520=0,F2520=0,G2520=0,H2520=0,I2520=0,J2520=0,K2520=0,L2520=0)</f>
        <v/>
      </c>
      <c r="N2520">
        <f>G2520&lt;=$T$6</f>
        <v/>
      </c>
      <c r="O2520">
        <f>G2520&lt;=$T$12</f>
        <v/>
      </c>
      <c r="P2520">
        <f>OR(AND(H2520&gt;=$T$4,K2520&lt;=$T$5,N2520),M2520)</f>
        <v/>
      </c>
      <c r="Q2520">
        <f>OR(AND(I2520&gt;=$T$10,K2520&lt;=$T$11,O2520),M2520)</f>
        <v/>
      </c>
    </row>
    <row r="2521">
      <c r="A2521">
        <f>Data!E2644</f>
        <v/>
      </c>
      <c r="B2521">
        <f>Data!G2644</f>
        <v/>
      </c>
      <c r="C2521">
        <f>Data!H2644</f>
        <v/>
      </c>
      <c r="D2521">
        <f>Data!I2644</f>
        <v/>
      </c>
      <c r="E2521">
        <f>Data!M2644</f>
        <v/>
      </c>
      <c r="F2521">
        <f>Data!O2644</f>
        <v/>
      </c>
      <c r="G2521">
        <f>E2521-F2521</f>
        <v/>
      </c>
      <c r="H2521">
        <f>Data!P2644</f>
        <v/>
      </c>
      <c r="I2521">
        <f>G2521+H2521</f>
        <v/>
      </c>
      <c r="J2521">
        <f>F2521+G2521+H2521</f>
        <v/>
      </c>
      <c r="K2521">
        <f>Data!R2644</f>
        <v/>
      </c>
      <c r="L2521">
        <f>Data!T2644</f>
        <v/>
      </c>
      <c r="M2521">
        <f>AND(E2521=0,F2521=0,G2521=0,H2521=0,I2521=0,J2521=0,K2521=0,L2521=0)</f>
        <v/>
      </c>
      <c r="N2521">
        <f>G2521&lt;=$T$6</f>
        <v/>
      </c>
      <c r="O2521">
        <f>G2521&lt;=$T$12</f>
        <v/>
      </c>
      <c r="P2521">
        <f>OR(AND(H2521&gt;=$T$4,K2521&lt;=$T$5,N2521),M2521)</f>
        <v/>
      </c>
      <c r="Q2521">
        <f>OR(AND(I2521&gt;=$T$10,K2521&lt;=$T$11,O2521),M2521)</f>
        <v/>
      </c>
    </row>
    <row r="2522">
      <c r="A2522">
        <f>Data!E2645</f>
        <v/>
      </c>
      <c r="B2522">
        <f>Data!G2645</f>
        <v/>
      </c>
      <c r="C2522">
        <f>Data!H2645</f>
        <v/>
      </c>
      <c r="D2522">
        <f>Data!I2645</f>
        <v/>
      </c>
      <c r="E2522">
        <f>Data!M2645</f>
        <v/>
      </c>
      <c r="F2522">
        <f>Data!O2645</f>
        <v/>
      </c>
      <c r="G2522">
        <f>E2522-F2522</f>
        <v/>
      </c>
      <c r="H2522">
        <f>Data!P2645</f>
        <v/>
      </c>
      <c r="I2522">
        <f>G2522+H2522</f>
        <v/>
      </c>
      <c r="J2522">
        <f>F2522+G2522+H2522</f>
        <v/>
      </c>
      <c r="K2522">
        <f>Data!R2645</f>
        <v/>
      </c>
      <c r="L2522">
        <f>Data!T2645</f>
        <v/>
      </c>
      <c r="M2522">
        <f>AND(E2522=0,F2522=0,G2522=0,H2522=0,I2522=0,J2522=0,K2522=0,L2522=0)</f>
        <v/>
      </c>
      <c r="N2522">
        <f>G2522&lt;=$T$6</f>
        <v/>
      </c>
      <c r="O2522">
        <f>G2522&lt;=$T$12</f>
        <v/>
      </c>
      <c r="P2522">
        <f>OR(AND(H2522&gt;=$T$4,K2522&lt;=$T$5,N2522),M2522)</f>
        <v/>
      </c>
      <c r="Q2522">
        <f>OR(AND(I2522&gt;=$T$10,K2522&lt;=$T$11,O2522),M2522)</f>
        <v/>
      </c>
    </row>
    <row r="2523">
      <c r="A2523">
        <f>Data!E2646</f>
        <v/>
      </c>
      <c r="B2523">
        <f>Data!G2646</f>
        <v/>
      </c>
      <c r="C2523">
        <f>Data!H2646</f>
        <v/>
      </c>
      <c r="D2523">
        <f>Data!I2646</f>
        <v/>
      </c>
      <c r="E2523">
        <f>Data!M2646</f>
        <v/>
      </c>
      <c r="F2523">
        <f>Data!O2646</f>
        <v/>
      </c>
      <c r="G2523">
        <f>E2523-F2523</f>
        <v/>
      </c>
      <c r="H2523">
        <f>Data!P2646</f>
        <v/>
      </c>
      <c r="I2523">
        <f>G2523+H2523</f>
        <v/>
      </c>
      <c r="J2523">
        <f>F2523+G2523+H2523</f>
        <v/>
      </c>
      <c r="K2523">
        <f>Data!R2646</f>
        <v/>
      </c>
      <c r="L2523">
        <f>Data!T2646</f>
        <v/>
      </c>
      <c r="M2523">
        <f>AND(E2523=0,F2523=0,G2523=0,H2523=0,I2523=0,J2523=0,K2523=0,L2523=0)</f>
        <v/>
      </c>
      <c r="N2523">
        <f>G2523&lt;=$T$6</f>
        <v/>
      </c>
      <c r="O2523">
        <f>G2523&lt;=$T$12</f>
        <v/>
      </c>
      <c r="P2523">
        <f>OR(AND(H2523&gt;=$T$4,K2523&lt;=$T$5,N2523),M2523)</f>
        <v/>
      </c>
      <c r="Q2523">
        <f>OR(AND(I2523&gt;=$T$10,K2523&lt;=$T$11,O2523),M2523)</f>
        <v/>
      </c>
    </row>
    <row r="2524">
      <c r="A2524">
        <f>Data!E2647</f>
        <v/>
      </c>
      <c r="B2524">
        <f>Data!G2647</f>
        <v/>
      </c>
      <c r="C2524">
        <f>Data!H2647</f>
        <v/>
      </c>
      <c r="D2524">
        <f>Data!I2647</f>
        <v/>
      </c>
      <c r="E2524">
        <f>Data!M2647</f>
        <v/>
      </c>
      <c r="F2524">
        <f>Data!O2647</f>
        <v/>
      </c>
      <c r="G2524">
        <f>E2524-F2524</f>
        <v/>
      </c>
      <c r="H2524">
        <f>Data!P2647</f>
        <v/>
      </c>
      <c r="I2524">
        <f>G2524+H2524</f>
        <v/>
      </c>
      <c r="J2524">
        <f>F2524+G2524+H2524</f>
        <v/>
      </c>
      <c r="K2524">
        <f>Data!R2647</f>
        <v/>
      </c>
      <c r="L2524">
        <f>Data!T2647</f>
        <v/>
      </c>
      <c r="M2524">
        <f>AND(E2524=0,F2524=0,G2524=0,H2524=0,I2524=0,J2524=0,K2524=0,L2524=0)</f>
        <v/>
      </c>
      <c r="N2524">
        <f>G2524&lt;=$T$6</f>
        <v/>
      </c>
      <c r="O2524">
        <f>G2524&lt;=$T$12</f>
        <v/>
      </c>
      <c r="P2524">
        <f>OR(AND(H2524&gt;=$T$4,K2524&lt;=$T$5,N2524),M2524)</f>
        <v/>
      </c>
      <c r="Q2524">
        <f>OR(AND(I2524&gt;=$T$10,K2524&lt;=$T$11,O2524),M2524)</f>
        <v/>
      </c>
    </row>
    <row r="2525">
      <c r="A2525">
        <f>Data!E2648</f>
        <v/>
      </c>
      <c r="B2525">
        <f>Data!G2648</f>
        <v/>
      </c>
      <c r="C2525">
        <f>Data!H2648</f>
        <v/>
      </c>
      <c r="D2525">
        <f>Data!I2648</f>
        <v/>
      </c>
      <c r="E2525">
        <f>Data!M2648</f>
        <v/>
      </c>
      <c r="F2525">
        <f>Data!O2648</f>
        <v/>
      </c>
      <c r="G2525">
        <f>E2525-F2525</f>
        <v/>
      </c>
      <c r="H2525">
        <f>Data!P2648</f>
        <v/>
      </c>
      <c r="I2525">
        <f>G2525+H2525</f>
        <v/>
      </c>
      <c r="J2525">
        <f>F2525+G2525+H2525</f>
        <v/>
      </c>
      <c r="K2525">
        <f>Data!R2648</f>
        <v/>
      </c>
      <c r="L2525">
        <f>Data!T2648</f>
        <v/>
      </c>
      <c r="M2525">
        <f>AND(E2525=0,F2525=0,G2525=0,H2525=0,I2525=0,J2525=0,K2525=0,L2525=0)</f>
        <v/>
      </c>
      <c r="N2525">
        <f>G2525&lt;=$T$6</f>
        <v/>
      </c>
      <c r="O2525">
        <f>G2525&lt;=$T$12</f>
        <v/>
      </c>
      <c r="P2525">
        <f>OR(AND(H2525&gt;=$T$4,K2525&lt;=$T$5,N2525),M2525)</f>
        <v/>
      </c>
      <c r="Q2525">
        <f>OR(AND(I2525&gt;=$T$10,K2525&lt;=$T$11,O2525),M2525)</f>
        <v/>
      </c>
    </row>
    <row r="2526">
      <c r="A2526">
        <f>Data!E2649</f>
        <v/>
      </c>
      <c r="B2526">
        <f>Data!G2649</f>
        <v/>
      </c>
      <c r="C2526">
        <f>Data!H2649</f>
        <v/>
      </c>
      <c r="D2526">
        <f>Data!I2649</f>
        <v/>
      </c>
      <c r="E2526">
        <f>Data!M2649</f>
        <v/>
      </c>
      <c r="F2526">
        <f>Data!O2649</f>
        <v/>
      </c>
      <c r="G2526">
        <f>E2526-F2526</f>
        <v/>
      </c>
      <c r="H2526">
        <f>Data!P2649</f>
        <v/>
      </c>
      <c r="I2526">
        <f>G2526+H2526</f>
        <v/>
      </c>
      <c r="J2526">
        <f>F2526+G2526+H2526</f>
        <v/>
      </c>
      <c r="K2526">
        <f>Data!R2649</f>
        <v/>
      </c>
      <c r="L2526">
        <f>Data!T2649</f>
        <v/>
      </c>
      <c r="M2526">
        <f>AND(E2526=0,F2526=0,G2526=0,H2526=0,I2526=0,J2526=0,K2526=0,L2526=0)</f>
        <v/>
      </c>
      <c r="N2526">
        <f>G2526&lt;=$T$6</f>
        <v/>
      </c>
      <c r="O2526">
        <f>G2526&lt;=$T$12</f>
        <v/>
      </c>
      <c r="P2526">
        <f>OR(AND(H2526&gt;=$T$4,K2526&lt;=$T$5,N2526),M2526)</f>
        <v/>
      </c>
      <c r="Q2526">
        <f>OR(AND(I2526&gt;=$T$10,K2526&lt;=$T$11,O2526),M2526)</f>
        <v/>
      </c>
    </row>
    <row r="2527">
      <c r="A2527">
        <f>Data!E2650</f>
        <v/>
      </c>
      <c r="B2527">
        <f>Data!G2650</f>
        <v/>
      </c>
      <c r="C2527">
        <f>Data!H2650</f>
        <v/>
      </c>
      <c r="D2527">
        <f>Data!I2650</f>
        <v/>
      </c>
      <c r="E2527">
        <f>Data!M2650</f>
        <v/>
      </c>
      <c r="F2527">
        <f>Data!O2650</f>
        <v/>
      </c>
      <c r="G2527">
        <f>E2527-F2527</f>
        <v/>
      </c>
      <c r="H2527">
        <f>Data!P2650</f>
        <v/>
      </c>
      <c r="I2527">
        <f>G2527+H2527</f>
        <v/>
      </c>
      <c r="J2527">
        <f>F2527+G2527+H2527</f>
        <v/>
      </c>
      <c r="K2527">
        <f>Data!R2650</f>
        <v/>
      </c>
      <c r="L2527">
        <f>Data!T2650</f>
        <v/>
      </c>
      <c r="M2527">
        <f>AND(E2527=0,F2527=0,G2527=0,H2527=0,I2527=0,J2527=0,K2527=0,L2527=0)</f>
        <v/>
      </c>
      <c r="N2527">
        <f>G2527&lt;=$T$6</f>
        <v/>
      </c>
      <c r="O2527">
        <f>G2527&lt;=$T$12</f>
        <v/>
      </c>
      <c r="P2527">
        <f>OR(AND(H2527&gt;=$T$4,K2527&lt;=$T$5,N2527),M2527)</f>
        <v/>
      </c>
      <c r="Q2527">
        <f>OR(AND(I2527&gt;=$T$10,K2527&lt;=$T$11,O2527),M2527)</f>
        <v/>
      </c>
    </row>
    <row r="2528">
      <c r="A2528">
        <f>Data!E2651</f>
        <v/>
      </c>
      <c r="B2528">
        <f>Data!G2651</f>
        <v/>
      </c>
      <c r="C2528">
        <f>Data!H2651</f>
        <v/>
      </c>
      <c r="D2528">
        <f>Data!I2651</f>
        <v/>
      </c>
      <c r="E2528">
        <f>Data!M2651</f>
        <v/>
      </c>
      <c r="F2528">
        <f>Data!O2651</f>
        <v/>
      </c>
      <c r="G2528">
        <f>E2528-F2528</f>
        <v/>
      </c>
      <c r="H2528">
        <f>Data!P2651</f>
        <v/>
      </c>
      <c r="I2528">
        <f>G2528+H2528</f>
        <v/>
      </c>
      <c r="J2528">
        <f>F2528+G2528+H2528</f>
        <v/>
      </c>
      <c r="K2528">
        <f>Data!R2651</f>
        <v/>
      </c>
      <c r="L2528">
        <f>Data!T2651</f>
        <v/>
      </c>
      <c r="M2528">
        <f>AND(E2528=0,F2528=0,G2528=0,H2528=0,I2528=0,J2528=0,K2528=0,L2528=0)</f>
        <v/>
      </c>
      <c r="N2528">
        <f>G2528&lt;=$T$6</f>
        <v/>
      </c>
      <c r="O2528">
        <f>G2528&lt;=$T$12</f>
        <v/>
      </c>
      <c r="P2528">
        <f>OR(AND(H2528&gt;=$T$4,K2528&lt;=$T$5,N2528),M2528)</f>
        <v/>
      </c>
      <c r="Q2528">
        <f>OR(AND(I2528&gt;=$T$10,K2528&lt;=$T$11,O2528),M2528)</f>
        <v/>
      </c>
    </row>
    <row r="2529">
      <c r="A2529">
        <f>Data!E2652</f>
        <v/>
      </c>
      <c r="B2529">
        <f>Data!G2652</f>
        <v/>
      </c>
      <c r="C2529">
        <f>Data!H2652</f>
        <v/>
      </c>
      <c r="D2529">
        <f>Data!I2652</f>
        <v/>
      </c>
      <c r="E2529">
        <f>Data!M2652</f>
        <v/>
      </c>
      <c r="F2529">
        <f>Data!O2652</f>
        <v/>
      </c>
      <c r="G2529">
        <f>E2529-F2529</f>
        <v/>
      </c>
      <c r="H2529">
        <f>Data!P2652</f>
        <v/>
      </c>
      <c r="I2529">
        <f>G2529+H2529</f>
        <v/>
      </c>
      <c r="J2529">
        <f>F2529+G2529+H2529</f>
        <v/>
      </c>
      <c r="K2529">
        <f>Data!R2652</f>
        <v/>
      </c>
      <c r="L2529">
        <f>Data!T2652</f>
        <v/>
      </c>
      <c r="M2529">
        <f>AND(E2529=0,F2529=0,G2529=0,H2529=0,I2529=0,J2529=0,K2529=0,L2529=0)</f>
        <v/>
      </c>
      <c r="N2529">
        <f>G2529&lt;=$T$6</f>
        <v/>
      </c>
      <c r="O2529">
        <f>G2529&lt;=$T$12</f>
        <v/>
      </c>
      <c r="P2529">
        <f>OR(AND(H2529&gt;=$T$4,K2529&lt;=$T$5,N2529),M2529)</f>
        <v/>
      </c>
      <c r="Q2529">
        <f>OR(AND(I2529&gt;=$T$10,K2529&lt;=$T$11,O2529),M2529)</f>
        <v/>
      </c>
    </row>
    <row r="2530">
      <c r="A2530">
        <f>Data!E2653</f>
        <v/>
      </c>
      <c r="B2530">
        <f>Data!G2653</f>
        <v/>
      </c>
      <c r="C2530">
        <f>Data!H2653</f>
        <v/>
      </c>
      <c r="D2530">
        <f>Data!I2653</f>
        <v/>
      </c>
      <c r="E2530">
        <f>Data!M2653</f>
        <v/>
      </c>
      <c r="F2530">
        <f>Data!O2653</f>
        <v/>
      </c>
      <c r="G2530">
        <f>E2530-F2530</f>
        <v/>
      </c>
      <c r="H2530">
        <f>Data!P2653</f>
        <v/>
      </c>
      <c r="I2530">
        <f>G2530+H2530</f>
        <v/>
      </c>
      <c r="J2530">
        <f>F2530+G2530+H2530</f>
        <v/>
      </c>
      <c r="K2530">
        <f>Data!R2653</f>
        <v/>
      </c>
      <c r="L2530">
        <f>Data!T2653</f>
        <v/>
      </c>
      <c r="M2530">
        <f>AND(E2530=0,F2530=0,G2530=0,H2530=0,I2530=0,J2530=0,K2530=0,L2530=0)</f>
        <v/>
      </c>
      <c r="N2530">
        <f>G2530&lt;=$T$6</f>
        <v/>
      </c>
      <c r="O2530">
        <f>G2530&lt;=$T$12</f>
        <v/>
      </c>
      <c r="P2530">
        <f>OR(AND(H2530&gt;=$T$4,K2530&lt;=$T$5,N2530),M2530)</f>
        <v/>
      </c>
      <c r="Q2530">
        <f>OR(AND(I2530&gt;=$T$10,K2530&lt;=$T$11,O2530),M2530)</f>
        <v/>
      </c>
    </row>
    <row r="2531">
      <c r="A2531">
        <f>Data!E2654</f>
        <v/>
      </c>
      <c r="B2531">
        <f>Data!G2654</f>
        <v/>
      </c>
      <c r="C2531">
        <f>Data!H2654</f>
        <v/>
      </c>
      <c r="D2531">
        <f>Data!I2654</f>
        <v/>
      </c>
      <c r="E2531">
        <f>Data!M2654</f>
        <v/>
      </c>
      <c r="F2531">
        <f>Data!O2654</f>
        <v/>
      </c>
      <c r="G2531">
        <f>E2531-F2531</f>
        <v/>
      </c>
      <c r="H2531">
        <f>Data!P2654</f>
        <v/>
      </c>
      <c r="I2531">
        <f>G2531+H2531</f>
        <v/>
      </c>
      <c r="J2531">
        <f>F2531+G2531+H2531</f>
        <v/>
      </c>
      <c r="K2531">
        <f>Data!R2654</f>
        <v/>
      </c>
      <c r="L2531">
        <f>Data!T2654</f>
        <v/>
      </c>
      <c r="M2531">
        <f>AND(E2531=0,F2531=0,G2531=0,H2531=0,I2531=0,J2531=0,K2531=0,L2531=0)</f>
        <v/>
      </c>
      <c r="N2531">
        <f>G2531&lt;=$T$6</f>
        <v/>
      </c>
      <c r="O2531">
        <f>G2531&lt;=$T$12</f>
        <v/>
      </c>
      <c r="P2531">
        <f>OR(AND(H2531&gt;=$T$4,K2531&lt;=$T$5,N2531),M2531)</f>
        <v/>
      </c>
      <c r="Q2531">
        <f>OR(AND(I2531&gt;=$T$10,K2531&lt;=$T$11,O2531),M2531)</f>
        <v/>
      </c>
    </row>
    <row r="2532">
      <c r="A2532">
        <f>Data!E2655</f>
        <v/>
      </c>
      <c r="B2532">
        <f>Data!G2655</f>
        <v/>
      </c>
      <c r="C2532">
        <f>Data!H2655</f>
        <v/>
      </c>
      <c r="D2532">
        <f>Data!I2655</f>
        <v/>
      </c>
      <c r="E2532">
        <f>Data!M2655</f>
        <v/>
      </c>
      <c r="F2532">
        <f>Data!O2655</f>
        <v/>
      </c>
      <c r="G2532">
        <f>E2532-F2532</f>
        <v/>
      </c>
      <c r="H2532">
        <f>Data!P2655</f>
        <v/>
      </c>
      <c r="I2532">
        <f>G2532+H2532</f>
        <v/>
      </c>
      <c r="J2532">
        <f>F2532+G2532+H2532</f>
        <v/>
      </c>
      <c r="K2532">
        <f>Data!R2655</f>
        <v/>
      </c>
      <c r="L2532">
        <f>Data!T2655</f>
        <v/>
      </c>
      <c r="M2532">
        <f>AND(E2532=0,F2532=0,G2532=0,H2532=0,I2532=0,J2532=0,K2532=0,L2532=0)</f>
        <v/>
      </c>
      <c r="N2532">
        <f>G2532&lt;=$T$6</f>
        <v/>
      </c>
      <c r="O2532">
        <f>G2532&lt;=$T$12</f>
        <v/>
      </c>
      <c r="P2532">
        <f>OR(AND(H2532&gt;=$T$4,K2532&lt;=$T$5,N2532),M2532)</f>
        <v/>
      </c>
      <c r="Q2532">
        <f>OR(AND(I2532&gt;=$T$10,K2532&lt;=$T$11,O2532),M2532)</f>
        <v/>
      </c>
    </row>
    <row r="2533">
      <c r="A2533">
        <f>Data!E2656</f>
        <v/>
      </c>
      <c r="B2533">
        <f>Data!G2656</f>
        <v/>
      </c>
      <c r="C2533">
        <f>Data!H2656</f>
        <v/>
      </c>
      <c r="D2533">
        <f>Data!I2656</f>
        <v/>
      </c>
      <c r="E2533">
        <f>Data!M2656</f>
        <v/>
      </c>
      <c r="F2533">
        <f>Data!O2656</f>
        <v/>
      </c>
      <c r="G2533">
        <f>E2533-F2533</f>
        <v/>
      </c>
      <c r="H2533">
        <f>Data!P2656</f>
        <v/>
      </c>
      <c r="I2533">
        <f>G2533+H2533</f>
        <v/>
      </c>
      <c r="J2533">
        <f>F2533+G2533+H2533</f>
        <v/>
      </c>
      <c r="K2533">
        <f>Data!R2656</f>
        <v/>
      </c>
      <c r="L2533">
        <f>Data!T2656</f>
        <v/>
      </c>
      <c r="M2533">
        <f>AND(E2533=0,F2533=0,G2533=0,H2533=0,I2533=0,J2533=0,K2533=0,L2533=0)</f>
        <v/>
      </c>
      <c r="N2533">
        <f>G2533&lt;=$T$6</f>
        <v/>
      </c>
      <c r="O2533">
        <f>G2533&lt;=$T$12</f>
        <v/>
      </c>
      <c r="P2533">
        <f>OR(AND(H2533&gt;=$T$4,K2533&lt;=$T$5,N2533),M2533)</f>
        <v/>
      </c>
      <c r="Q2533">
        <f>OR(AND(I2533&gt;=$T$10,K2533&lt;=$T$11,O2533),M2533)</f>
        <v/>
      </c>
    </row>
    <row r="2534">
      <c r="A2534">
        <f>Data!E2657</f>
        <v/>
      </c>
      <c r="B2534">
        <f>Data!G2657</f>
        <v/>
      </c>
      <c r="C2534">
        <f>Data!H2657</f>
        <v/>
      </c>
      <c r="D2534">
        <f>Data!I2657</f>
        <v/>
      </c>
      <c r="E2534">
        <f>Data!M2657</f>
        <v/>
      </c>
      <c r="F2534">
        <f>Data!O2657</f>
        <v/>
      </c>
      <c r="G2534">
        <f>E2534-F2534</f>
        <v/>
      </c>
      <c r="H2534">
        <f>Data!P2657</f>
        <v/>
      </c>
      <c r="I2534">
        <f>G2534+H2534</f>
        <v/>
      </c>
      <c r="J2534">
        <f>F2534+G2534+H2534</f>
        <v/>
      </c>
      <c r="K2534">
        <f>Data!R2657</f>
        <v/>
      </c>
      <c r="L2534">
        <f>Data!T2657</f>
        <v/>
      </c>
      <c r="M2534">
        <f>AND(E2534=0,F2534=0,G2534=0,H2534=0,I2534=0,J2534=0,K2534=0,L2534=0)</f>
        <v/>
      </c>
      <c r="N2534">
        <f>G2534&lt;=$T$6</f>
        <v/>
      </c>
      <c r="O2534">
        <f>G2534&lt;=$T$12</f>
        <v/>
      </c>
      <c r="P2534">
        <f>OR(AND(H2534&gt;=$T$4,K2534&lt;=$T$5,N2534),M2534)</f>
        <v/>
      </c>
      <c r="Q2534">
        <f>OR(AND(I2534&gt;=$T$10,K2534&lt;=$T$11,O2534),M2534)</f>
        <v/>
      </c>
    </row>
    <row r="2535">
      <c r="A2535">
        <f>Data!E2658</f>
        <v/>
      </c>
      <c r="B2535">
        <f>Data!G2658</f>
        <v/>
      </c>
      <c r="C2535">
        <f>Data!H2658</f>
        <v/>
      </c>
      <c r="D2535">
        <f>Data!I2658</f>
        <v/>
      </c>
      <c r="E2535">
        <f>Data!M2658</f>
        <v/>
      </c>
      <c r="F2535">
        <f>Data!O2658</f>
        <v/>
      </c>
      <c r="G2535">
        <f>E2535-F2535</f>
        <v/>
      </c>
      <c r="H2535">
        <f>Data!P2658</f>
        <v/>
      </c>
      <c r="I2535">
        <f>G2535+H2535</f>
        <v/>
      </c>
      <c r="J2535">
        <f>F2535+G2535+H2535</f>
        <v/>
      </c>
      <c r="K2535">
        <f>Data!R2658</f>
        <v/>
      </c>
      <c r="L2535">
        <f>Data!T2658</f>
        <v/>
      </c>
      <c r="M2535">
        <f>AND(E2535=0,F2535=0,G2535=0,H2535=0,I2535=0,J2535=0,K2535=0,L2535=0)</f>
        <v/>
      </c>
      <c r="N2535">
        <f>G2535&lt;=$T$6</f>
        <v/>
      </c>
      <c r="O2535">
        <f>G2535&lt;=$T$12</f>
        <v/>
      </c>
      <c r="P2535">
        <f>OR(AND(H2535&gt;=$T$4,K2535&lt;=$T$5,N2535),M2535)</f>
        <v/>
      </c>
      <c r="Q2535">
        <f>OR(AND(I2535&gt;=$T$10,K2535&lt;=$T$11,O2535),M2535)</f>
        <v/>
      </c>
    </row>
    <row r="2536">
      <c r="A2536">
        <f>Data!E2659</f>
        <v/>
      </c>
      <c r="B2536">
        <f>Data!G2659</f>
        <v/>
      </c>
      <c r="C2536">
        <f>Data!H2659</f>
        <v/>
      </c>
      <c r="D2536">
        <f>Data!I2659</f>
        <v/>
      </c>
      <c r="E2536">
        <f>Data!M2659</f>
        <v/>
      </c>
      <c r="F2536">
        <f>Data!O2659</f>
        <v/>
      </c>
      <c r="G2536">
        <f>E2536-F2536</f>
        <v/>
      </c>
      <c r="H2536">
        <f>Data!P2659</f>
        <v/>
      </c>
      <c r="I2536">
        <f>G2536+H2536</f>
        <v/>
      </c>
      <c r="J2536">
        <f>F2536+G2536+H2536</f>
        <v/>
      </c>
      <c r="K2536">
        <f>Data!R2659</f>
        <v/>
      </c>
      <c r="L2536">
        <f>Data!T2659</f>
        <v/>
      </c>
      <c r="M2536">
        <f>AND(E2536=0,F2536=0,G2536=0,H2536=0,I2536=0,J2536=0,K2536=0,L2536=0)</f>
        <v/>
      </c>
      <c r="N2536">
        <f>G2536&lt;=$T$6</f>
        <v/>
      </c>
      <c r="O2536">
        <f>G2536&lt;=$T$12</f>
        <v/>
      </c>
      <c r="P2536">
        <f>OR(AND(H2536&gt;=$T$4,K2536&lt;=$T$5,N2536),M2536)</f>
        <v/>
      </c>
      <c r="Q2536">
        <f>OR(AND(I2536&gt;=$T$10,K2536&lt;=$T$11,O2536),M2536)</f>
        <v/>
      </c>
    </row>
    <row r="2537">
      <c r="A2537">
        <f>Data!E2660</f>
        <v/>
      </c>
      <c r="B2537">
        <f>Data!G2660</f>
        <v/>
      </c>
      <c r="C2537">
        <f>Data!H2660</f>
        <v/>
      </c>
      <c r="D2537">
        <f>Data!I2660</f>
        <v/>
      </c>
      <c r="E2537">
        <f>Data!M2660</f>
        <v/>
      </c>
      <c r="F2537">
        <f>Data!O2660</f>
        <v/>
      </c>
      <c r="G2537">
        <f>E2537-F2537</f>
        <v/>
      </c>
      <c r="H2537">
        <f>Data!P2660</f>
        <v/>
      </c>
      <c r="I2537">
        <f>G2537+H2537</f>
        <v/>
      </c>
      <c r="J2537">
        <f>F2537+G2537+H2537</f>
        <v/>
      </c>
      <c r="K2537">
        <f>Data!R2660</f>
        <v/>
      </c>
      <c r="L2537">
        <f>Data!T2660</f>
        <v/>
      </c>
      <c r="M2537">
        <f>AND(E2537=0,F2537=0,G2537=0,H2537=0,I2537=0,J2537=0,K2537=0,L2537=0)</f>
        <v/>
      </c>
      <c r="N2537">
        <f>G2537&lt;=$T$6</f>
        <v/>
      </c>
      <c r="O2537">
        <f>G2537&lt;=$T$12</f>
        <v/>
      </c>
      <c r="P2537">
        <f>OR(AND(H2537&gt;=$T$4,K2537&lt;=$T$5,N2537),M2537)</f>
        <v/>
      </c>
      <c r="Q2537">
        <f>OR(AND(I2537&gt;=$T$10,K2537&lt;=$T$11,O2537),M2537)</f>
        <v/>
      </c>
    </row>
    <row r="2538">
      <c r="A2538">
        <f>Data!E2661</f>
        <v/>
      </c>
      <c r="B2538">
        <f>Data!G2661</f>
        <v/>
      </c>
      <c r="C2538">
        <f>Data!H2661</f>
        <v/>
      </c>
      <c r="D2538">
        <f>Data!I2661</f>
        <v/>
      </c>
      <c r="E2538">
        <f>Data!M2661</f>
        <v/>
      </c>
      <c r="F2538">
        <f>Data!O2661</f>
        <v/>
      </c>
      <c r="G2538">
        <f>E2538-F2538</f>
        <v/>
      </c>
      <c r="H2538">
        <f>Data!P2661</f>
        <v/>
      </c>
      <c r="I2538">
        <f>G2538+H2538</f>
        <v/>
      </c>
      <c r="J2538">
        <f>F2538+G2538+H2538</f>
        <v/>
      </c>
      <c r="K2538">
        <f>Data!R2661</f>
        <v/>
      </c>
      <c r="L2538">
        <f>Data!T2661</f>
        <v/>
      </c>
      <c r="M2538">
        <f>AND(E2538=0,F2538=0,G2538=0,H2538=0,I2538=0,J2538=0,K2538=0,L2538=0)</f>
        <v/>
      </c>
      <c r="N2538">
        <f>G2538&lt;=$T$6</f>
        <v/>
      </c>
      <c r="O2538">
        <f>G2538&lt;=$T$12</f>
        <v/>
      </c>
      <c r="P2538">
        <f>OR(AND(H2538&gt;=$T$4,K2538&lt;=$T$5,N2538),M2538)</f>
        <v/>
      </c>
      <c r="Q2538">
        <f>OR(AND(I2538&gt;=$T$10,K2538&lt;=$T$11,O2538),M2538)</f>
        <v/>
      </c>
    </row>
    <row r="2539">
      <c r="A2539">
        <f>Data!E2662</f>
        <v/>
      </c>
      <c r="B2539">
        <f>Data!G2662</f>
        <v/>
      </c>
      <c r="C2539">
        <f>Data!H2662</f>
        <v/>
      </c>
      <c r="D2539">
        <f>Data!I2662</f>
        <v/>
      </c>
      <c r="E2539">
        <f>Data!M2662</f>
        <v/>
      </c>
      <c r="F2539">
        <f>Data!O2662</f>
        <v/>
      </c>
      <c r="G2539">
        <f>E2539-F2539</f>
        <v/>
      </c>
      <c r="H2539">
        <f>Data!P2662</f>
        <v/>
      </c>
      <c r="I2539">
        <f>G2539+H2539</f>
        <v/>
      </c>
      <c r="J2539">
        <f>F2539+G2539+H2539</f>
        <v/>
      </c>
      <c r="K2539">
        <f>Data!R2662</f>
        <v/>
      </c>
      <c r="L2539">
        <f>Data!T2662</f>
        <v/>
      </c>
      <c r="M2539">
        <f>AND(E2539=0,F2539=0,G2539=0,H2539=0,I2539=0,J2539=0,K2539=0,L2539=0)</f>
        <v/>
      </c>
      <c r="N2539">
        <f>G2539&lt;=$T$6</f>
        <v/>
      </c>
      <c r="O2539">
        <f>G2539&lt;=$T$12</f>
        <v/>
      </c>
      <c r="P2539">
        <f>OR(AND(H2539&gt;=$T$4,K2539&lt;=$T$5,N2539),M2539)</f>
        <v/>
      </c>
      <c r="Q2539">
        <f>OR(AND(I2539&gt;=$T$10,K2539&lt;=$T$11,O2539),M2539)</f>
        <v/>
      </c>
    </row>
    <row r="2540">
      <c r="A2540">
        <f>Data!E2663</f>
        <v/>
      </c>
      <c r="B2540">
        <f>Data!G2663</f>
        <v/>
      </c>
      <c r="C2540">
        <f>Data!H2663</f>
        <v/>
      </c>
      <c r="D2540">
        <f>Data!I2663</f>
        <v/>
      </c>
      <c r="E2540">
        <f>Data!M2663</f>
        <v/>
      </c>
      <c r="F2540">
        <f>Data!O2663</f>
        <v/>
      </c>
      <c r="G2540">
        <f>E2540-F2540</f>
        <v/>
      </c>
      <c r="H2540">
        <f>Data!P2663</f>
        <v/>
      </c>
      <c r="I2540">
        <f>G2540+H2540</f>
        <v/>
      </c>
      <c r="J2540">
        <f>F2540+G2540+H2540</f>
        <v/>
      </c>
      <c r="K2540">
        <f>Data!R2663</f>
        <v/>
      </c>
      <c r="L2540">
        <f>Data!T2663</f>
        <v/>
      </c>
      <c r="M2540">
        <f>AND(E2540=0,F2540=0,G2540=0,H2540=0,I2540=0,J2540=0,K2540=0,L2540=0)</f>
        <v/>
      </c>
      <c r="N2540">
        <f>G2540&lt;=$T$6</f>
        <v/>
      </c>
      <c r="O2540">
        <f>G2540&lt;=$T$12</f>
        <v/>
      </c>
      <c r="P2540">
        <f>OR(AND(H2540&gt;=$T$4,K2540&lt;=$T$5,N2540),M2540)</f>
        <v/>
      </c>
      <c r="Q2540">
        <f>OR(AND(I2540&gt;=$T$10,K2540&lt;=$T$11,O2540),M2540)</f>
        <v/>
      </c>
    </row>
    <row r="2541">
      <c r="A2541">
        <f>Data!E2664</f>
        <v/>
      </c>
      <c r="B2541">
        <f>Data!G2664</f>
        <v/>
      </c>
      <c r="C2541">
        <f>Data!H2664</f>
        <v/>
      </c>
      <c r="D2541">
        <f>Data!I2664</f>
        <v/>
      </c>
      <c r="E2541">
        <f>Data!M2664</f>
        <v/>
      </c>
      <c r="F2541">
        <f>Data!O2664</f>
        <v/>
      </c>
      <c r="G2541">
        <f>E2541-F2541</f>
        <v/>
      </c>
      <c r="H2541">
        <f>Data!P2664</f>
        <v/>
      </c>
      <c r="I2541">
        <f>G2541+H2541</f>
        <v/>
      </c>
      <c r="J2541">
        <f>F2541+G2541+H2541</f>
        <v/>
      </c>
      <c r="K2541">
        <f>Data!R2664</f>
        <v/>
      </c>
      <c r="L2541">
        <f>Data!T2664</f>
        <v/>
      </c>
      <c r="M2541">
        <f>AND(E2541=0,F2541=0,G2541=0,H2541=0,I2541=0,J2541=0,K2541=0,L2541=0)</f>
        <v/>
      </c>
      <c r="N2541">
        <f>G2541&lt;=$T$6</f>
        <v/>
      </c>
      <c r="O2541">
        <f>G2541&lt;=$T$12</f>
        <v/>
      </c>
      <c r="P2541">
        <f>OR(AND(H2541&gt;=$T$4,K2541&lt;=$T$5,N2541),M2541)</f>
        <v/>
      </c>
      <c r="Q2541">
        <f>OR(AND(I2541&gt;=$T$10,K2541&lt;=$T$11,O2541),M2541)</f>
        <v/>
      </c>
    </row>
    <row r="2542">
      <c r="A2542">
        <f>Data!E2665</f>
        <v/>
      </c>
      <c r="B2542">
        <f>Data!G2665</f>
        <v/>
      </c>
      <c r="C2542">
        <f>Data!H2665</f>
        <v/>
      </c>
      <c r="D2542">
        <f>Data!I2665</f>
        <v/>
      </c>
      <c r="E2542">
        <f>Data!M2665</f>
        <v/>
      </c>
      <c r="F2542">
        <f>Data!O2665</f>
        <v/>
      </c>
      <c r="G2542">
        <f>E2542-F2542</f>
        <v/>
      </c>
      <c r="H2542">
        <f>Data!P2665</f>
        <v/>
      </c>
      <c r="I2542">
        <f>G2542+H2542</f>
        <v/>
      </c>
      <c r="J2542">
        <f>F2542+G2542+H2542</f>
        <v/>
      </c>
      <c r="K2542">
        <f>Data!R2665</f>
        <v/>
      </c>
      <c r="L2542">
        <f>Data!T2665</f>
        <v/>
      </c>
      <c r="M2542">
        <f>AND(E2542=0,F2542=0,G2542=0,H2542=0,I2542=0,J2542=0,K2542=0,L2542=0)</f>
        <v/>
      </c>
      <c r="N2542">
        <f>G2542&lt;=$T$6</f>
        <v/>
      </c>
      <c r="O2542">
        <f>G2542&lt;=$T$12</f>
        <v/>
      </c>
      <c r="P2542">
        <f>OR(AND(H2542&gt;=$T$4,K2542&lt;=$T$5,N2542),M2542)</f>
        <v/>
      </c>
      <c r="Q2542">
        <f>OR(AND(I2542&gt;=$T$10,K2542&lt;=$T$11,O2542),M2542)</f>
        <v/>
      </c>
    </row>
    <row r="2543">
      <c r="A2543">
        <f>Data!E2666</f>
        <v/>
      </c>
      <c r="B2543">
        <f>Data!G2666</f>
        <v/>
      </c>
      <c r="C2543">
        <f>Data!H2666</f>
        <v/>
      </c>
      <c r="D2543">
        <f>Data!I2666</f>
        <v/>
      </c>
      <c r="E2543">
        <f>Data!M2666</f>
        <v/>
      </c>
      <c r="F2543">
        <f>Data!O2666</f>
        <v/>
      </c>
      <c r="G2543">
        <f>E2543-F2543</f>
        <v/>
      </c>
      <c r="H2543">
        <f>Data!P2666</f>
        <v/>
      </c>
      <c r="I2543">
        <f>G2543+H2543</f>
        <v/>
      </c>
      <c r="J2543">
        <f>F2543+G2543+H2543</f>
        <v/>
      </c>
      <c r="K2543">
        <f>Data!R2666</f>
        <v/>
      </c>
      <c r="L2543">
        <f>Data!T2666</f>
        <v/>
      </c>
      <c r="M2543">
        <f>AND(E2543=0,F2543=0,G2543=0,H2543=0,I2543=0,J2543=0,K2543=0,L2543=0)</f>
        <v/>
      </c>
      <c r="N2543">
        <f>G2543&lt;=$T$6</f>
        <v/>
      </c>
      <c r="O2543">
        <f>G2543&lt;=$T$12</f>
        <v/>
      </c>
      <c r="P2543">
        <f>OR(AND(H2543&gt;=$T$4,K2543&lt;=$T$5,N2543),M2543)</f>
        <v/>
      </c>
      <c r="Q2543">
        <f>OR(AND(I2543&gt;=$T$10,K2543&lt;=$T$11,O2543),M2543)</f>
        <v/>
      </c>
    </row>
    <row r="2544">
      <c r="A2544">
        <f>Data!E2667</f>
        <v/>
      </c>
      <c r="B2544">
        <f>Data!G2667</f>
        <v/>
      </c>
      <c r="C2544">
        <f>Data!H2667</f>
        <v/>
      </c>
      <c r="D2544">
        <f>Data!I2667</f>
        <v/>
      </c>
      <c r="E2544">
        <f>Data!M2667</f>
        <v/>
      </c>
      <c r="F2544">
        <f>Data!O2667</f>
        <v/>
      </c>
      <c r="G2544">
        <f>E2544-F2544</f>
        <v/>
      </c>
      <c r="H2544">
        <f>Data!P2667</f>
        <v/>
      </c>
      <c r="I2544">
        <f>G2544+H2544</f>
        <v/>
      </c>
      <c r="J2544">
        <f>F2544+G2544+H2544</f>
        <v/>
      </c>
      <c r="K2544">
        <f>Data!R2667</f>
        <v/>
      </c>
      <c r="L2544">
        <f>Data!T2667</f>
        <v/>
      </c>
      <c r="M2544">
        <f>AND(E2544=0,F2544=0,G2544=0,H2544=0,I2544=0,J2544=0,K2544=0,L2544=0)</f>
        <v/>
      </c>
      <c r="N2544">
        <f>G2544&lt;=$T$6</f>
        <v/>
      </c>
      <c r="O2544">
        <f>G2544&lt;=$T$12</f>
        <v/>
      </c>
      <c r="P2544">
        <f>OR(AND(H2544&gt;=$T$4,K2544&lt;=$T$5,N2544),M2544)</f>
        <v/>
      </c>
      <c r="Q2544">
        <f>OR(AND(I2544&gt;=$T$10,K2544&lt;=$T$11,O2544),M2544)</f>
        <v/>
      </c>
    </row>
    <row r="2545">
      <c r="A2545">
        <f>Data!E2668</f>
        <v/>
      </c>
      <c r="B2545">
        <f>Data!G2668</f>
        <v/>
      </c>
      <c r="C2545">
        <f>Data!H2668</f>
        <v/>
      </c>
      <c r="D2545">
        <f>Data!I2668</f>
        <v/>
      </c>
      <c r="E2545">
        <f>Data!M2668</f>
        <v/>
      </c>
      <c r="F2545">
        <f>Data!O2668</f>
        <v/>
      </c>
      <c r="G2545">
        <f>E2545-F2545</f>
        <v/>
      </c>
      <c r="H2545">
        <f>Data!P2668</f>
        <v/>
      </c>
      <c r="I2545">
        <f>G2545+H2545</f>
        <v/>
      </c>
      <c r="J2545">
        <f>F2545+G2545+H2545</f>
        <v/>
      </c>
      <c r="K2545">
        <f>Data!R2668</f>
        <v/>
      </c>
      <c r="L2545">
        <f>Data!T2668</f>
        <v/>
      </c>
      <c r="M2545">
        <f>AND(E2545=0,F2545=0,G2545=0,H2545=0,I2545=0,J2545=0,K2545=0,L2545=0)</f>
        <v/>
      </c>
      <c r="N2545">
        <f>G2545&lt;=$T$6</f>
        <v/>
      </c>
      <c r="O2545">
        <f>G2545&lt;=$T$12</f>
        <v/>
      </c>
      <c r="P2545">
        <f>OR(AND(H2545&gt;=$T$4,K2545&lt;=$T$5,N2545),M2545)</f>
        <v/>
      </c>
      <c r="Q2545">
        <f>OR(AND(I2545&gt;=$T$10,K2545&lt;=$T$11,O2545),M2545)</f>
        <v/>
      </c>
    </row>
    <row r="2546">
      <c r="A2546">
        <f>Data!E2670</f>
        <v/>
      </c>
      <c r="B2546">
        <f>Data!G2670</f>
        <v/>
      </c>
      <c r="C2546">
        <f>Data!H2670</f>
        <v/>
      </c>
      <c r="D2546">
        <f>Data!I2670</f>
        <v/>
      </c>
      <c r="E2546">
        <f>Data!M2670</f>
        <v/>
      </c>
      <c r="F2546">
        <f>Data!O2670</f>
        <v/>
      </c>
      <c r="G2546">
        <f>E2546-F2546</f>
        <v/>
      </c>
      <c r="H2546">
        <f>Data!P2670</f>
        <v/>
      </c>
      <c r="I2546">
        <f>G2546+H2546</f>
        <v/>
      </c>
      <c r="J2546">
        <f>F2546+G2546+H2546</f>
        <v/>
      </c>
      <c r="K2546">
        <f>Data!R2670</f>
        <v/>
      </c>
      <c r="L2546">
        <f>Data!T2670</f>
        <v/>
      </c>
      <c r="M2546">
        <f>AND(E2546=0,F2546=0,G2546=0,H2546=0,I2546=0,J2546=0,K2546=0,L2546=0)</f>
        <v/>
      </c>
      <c r="N2546">
        <f>G2546&lt;=$T$6</f>
        <v/>
      </c>
      <c r="O2546">
        <f>G2546&lt;=$T$12</f>
        <v/>
      </c>
      <c r="P2546">
        <f>OR(AND(H2546&gt;=$T$4,K2546&lt;=$T$5,N2546),M2546)</f>
        <v/>
      </c>
      <c r="Q2546">
        <f>OR(AND(I2546&gt;=$T$10,K2546&lt;=$T$11,O2546),M2546)</f>
        <v/>
      </c>
    </row>
    <row r="2547">
      <c r="A2547">
        <f>Data!E2671</f>
        <v/>
      </c>
      <c r="B2547">
        <f>Data!G2671</f>
        <v/>
      </c>
      <c r="C2547">
        <f>Data!H2671</f>
        <v/>
      </c>
      <c r="D2547">
        <f>Data!I2671</f>
        <v/>
      </c>
      <c r="E2547">
        <f>Data!M2671</f>
        <v/>
      </c>
      <c r="F2547">
        <f>Data!O2671</f>
        <v/>
      </c>
      <c r="G2547">
        <f>E2547-F2547</f>
        <v/>
      </c>
      <c r="H2547">
        <f>Data!P2671</f>
        <v/>
      </c>
      <c r="I2547">
        <f>G2547+H2547</f>
        <v/>
      </c>
      <c r="J2547">
        <f>F2547+G2547+H2547</f>
        <v/>
      </c>
      <c r="K2547">
        <f>Data!R2671</f>
        <v/>
      </c>
      <c r="L2547">
        <f>Data!T2671</f>
        <v/>
      </c>
      <c r="M2547">
        <f>AND(E2547=0,F2547=0,G2547=0,H2547=0,I2547=0,J2547=0,K2547=0,L2547=0)</f>
        <v/>
      </c>
      <c r="N2547">
        <f>G2547&lt;=$T$6</f>
        <v/>
      </c>
      <c r="O2547">
        <f>G2547&lt;=$T$12</f>
        <v/>
      </c>
      <c r="P2547">
        <f>OR(AND(H2547&gt;=$T$4,K2547&lt;=$T$5,N2547),M2547)</f>
        <v/>
      </c>
      <c r="Q2547">
        <f>OR(AND(I2547&gt;=$T$10,K2547&lt;=$T$11,O2547),M2547)</f>
        <v/>
      </c>
    </row>
    <row r="2548">
      <c r="A2548">
        <f>Data!E2672</f>
        <v/>
      </c>
      <c r="B2548">
        <f>Data!G2672</f>
        <v/>
      </c>
      <c r="C2548">
        <f>Data!H2672</f>
        <v/>
      </c>
      <c r="D2548">
        <f>Data!I2672</f>
        <v/>
      </c>
      <c r="E2548">
        <f>Data!M2672</f>
        <v/>
      </c>
      <c r="F2548">
        <f>Data!O2672</f>
        <v/>
      </c>
      <c r="G2548">
        <f>E2548-F2548</f>
        <v/>
      </c>
      <c r="H2548">
        <f>Data!P2672</f>
        <v/>
      </c>
      <c r="I2548">
        <f>G2548+H2548</f>
        <v/>
      </c>
      <c r="J2548">
        <f>F2548+G2548+H2548</f>
        <v/>
      </c>
      <c r="K2548">
        <f>Data!R2672</f>
        <v/>
      </c>
      <c r="L2548">
        <f>Data!T2672</f>
        <v/>
      </c>
      <c r="M2548">
        <f>AND(E2548=0,F2548=0,G2548=0,H2548=0,I2548=0,J2548=0,K2548=0,L2548=0)</f>
        <v/>
      </c>
      <c r="N2548">
        <f>G2548&lt;=$T$6</f>
        <v/>
      </c>
      <c r="O2548">
        <f>G2548&lt;=$T$12</f>
        <v/>
      </c>
      <c r="P2548">
        <f>OR(AND(H2548&gt;=$T$4,K2548&lt;=$T$5,N2548),M2548)</f>
        <v/>
      </c>
      <c r="Q2548">
        <f>OR(AND(I2548&gt;=$T$10,K2548&lt;=$T$11,O2548),M2548)</f>
        <v/>
      </c>
    </row>
    <row r="2549">
      <c r="A2549">
        <f>Data!E2673</f>
        <v/>
      </c>
      <c r="B2549">
        <f>Data!G2673</f>
        <v/>
      </c>
      <c r="C2549">
        <f>Data!H2673</f>
        <v/>
      </c>
      <c r="D2549">
        <f>Data!I2673</f>
        <v/>
      </c>
      <c r="E2549">
        <f>Data!M2673</f>
        <v/>
      </c>
      <c r="F2549">
        <f>Data!O2673</f>
        <v/>
      </c>
      <c r="G2549">
        <f>E2549-F2549</f>
        <v/>
      </c>
      <c r="H2549">
        <f>Data!P2673</f>
        <v/>
      </c>
      <c r="I2549">
        <f>G2549+H2549</f>
        <v/>
      </c>
      <c r="J2549">
        <f>F2549+G2549+H2549</f>
        <v/>
      </c>
      <c r="K2549">
        <f>Data!R2673</f>
        <v/>
      </c>
      <c r="L2549">
        <f>Data!T2673</f>
        <v/>
      </c>
      <c r="M2549">
        <f>AND(E2549=0,F2549=0,G2549=0,H2549=0,I2549=0,J2549=0,K2549=0,L2549=0)</f>
        <v/>
      </c>
      <c r="N2549">
        <f>G2549&lt;=$T$6</f>
        <v/>
      </c>
      <c r="O2549">
        <f>G2549&lt;=$T$12</f>
        <v/>
      </c>
      <c r="P2549">
        <f>OR(AND(H2549&gt;=$T$4,K2549&lt;=$T$5,N2549),M2549)</f>
        <v/>
      </c>
      <c r="Q2549">
        <f>OR(AND(I2549&gt;=$T$10,K2549&lt;=$T$11,O2549),M2549)</f>
        <v/>
      </c>
    </row>
    <row r="2550">
      <c r="A2550">
        <f>Data!E2674</f>
        <v/>
      </c>
      <c r="B2550">
        <f>Data!G2674</f>
        <v/>
      </c>
      <c r="C2550">
        <f>Data!H2674</f>
        <v/>
      </c>
      <c r="D2550">
        <f>Data!I2674</f>
        <v/>
      </c>
      <c r="E2550">
        <f>Data!M2674</f>
        <v/>
      </c>
      <c r="F2550">
        <f>Data!O2674</f>
        <v/>
      </c>
      <c r="G2550">
        <f>E2550-F2550</f>
        <v/>
      </c>
      <c r="H2550">
        <f>Data!P2674</f>
        <v/>
      </c>
      <c r="I2550">
        <f>G2550+H2550</f>
        <v/>
      </c>
      <c r="J2550">
        <f>F2550+G2550+H2550</f>
        <v/>
      </c>
      <c r="K2550">
        <f>Data!R2674</f>
        <v/>
      </c>
      <c r="L2550">
        <f>Data!T2674</f>
        <v/>
      </c>
      <c r="M2550">
        <f>AND(E2550=0,F2550=0,G2550=0,H2550=0,I2550=0,J2550=0,K2550=0,L2550=0)</f>
        <v/>
      </c>
      <c r="N2550">
        <f>G2550&lt;=$T$6</f>
        <v/>
      </c>
      <c r="O2550">
        <f>G2550&lt;=$T$12</f>
        <v/>
      </c>
      <c r="P2550">
        <f>OR(AND(H2550&gt;=$T$4,K2550&lt;=$T$5,N2550),M2550)</f>
        <v/>
      </c>
      <c r="Q2550">
        <f>OR(AND(I2550&gt;=$T$10,K2550&lt;=$T$11,O2550),M2550)</f>
        <v/>
      </c>
    </row>
    <row r="2551">
      <c r="A2551">
        <f>Data!E2675</f>
        <v/>
      </c>
      <c r="B2551">
        <f>Data!G2675</f>
        <v/>
      </c>
      <c r="C2551">
        <f>Data!H2675</f>
        <v/>
      </c>
      <c r="D2551">
        <f>Data!I2675</f>
        <v/>
      </c>
      <c r="E2551">
        <f>Data!M2675</f>
        <v/>
      </c>
      <c r="F2551">
        <f>Data!O2675</f>
        <v/>
      </c>
      <c r="G2551">
        <f>E2551-F2551</f>
        <v/>
      </c>
      <c r="H2551">
        <f>Data!P2675</f>
        <v/>
      </c>
      <c r="I2551">
        <f>G2551+H2551</f>
        <v/>
      </c>
      <c r="J2551">
        <f>F2551+G2551+H2551</f>
        <v/>
      </c>
      <c r="K2551">
        <f>Data!R2675</f>
        <v/>
      </c>
      <c r="L2551">
        <f>Data!T2675</f>
        <v/>
      </c>
      <c r="M2551">
        <f>AND(E2551=0,F2551=0,G2551=0,H2551=0,I2551=0,J2551=0,K2551=0,L2551=0)</f>
        <v/>
      </c>
      <c r="N2551">
        <f>G2551&lt;=$T$6</f>
        <v/>
      </c>
      <c r="O2551">
        <f>G2551&lt;=$T$12</f>
        <v/>
      </c>
      <c r="P2551">
        <f>OR(AND(H2551&gt;=$T$4,K2551&lt;=$T$5,N2551),M2551)</f>
        <v/>
      </c>
      <c r="Q2551">
        <f>OR(AND(I2551&gt;=$T$10,K2551&lt;=$T$11,O2551),M2551)</f>
        <v/>
      </c>
    </row>
    <row r="2552">
      <c r="A2552">
        <f>Data!E2676</f>
        <v/>
      </c>
      <c r="B2552">
        <f>Data!G2676</f>
        <v/>
      </c>
      <c r="C2552">
        <f>Data!H2676</f>
        <v/>
      </c>
      <c r="D2552">
        <f>Data!I2676</f>
        <v/>
      </c>
      <c r="E2552">
        <f>Data!M2676</f>
        <v/>
      </c>
      <c r="F2552">
        <f>Data!O2676</f>
        <v/>
      </c>
      <c r="G2552">
        <f>E2552-F2552</f>
        <v/>
      </c>
      <c r="H2552">
        <f>Data!P2676</f>
        <v/>
      </c>
      <c r="I2552">
        <f>G2552+H2552</f>
        <v/>
      </c>
      <c r="J2552">
        <f>F2552+G2552+H2552</f>
        <v/>
      </c>
      <c r="K2552">
        <f>Data!R2676</f>
        <v/>
      </c>
      <c r="L2552">
        <f>Data!T2676</f>
        <v/>
      </c>
      <c r="M2552">
        <f>AND(E2552=0,F2552=0,G2552=0,H2552=0,I2552=0,J2552=0,K2552=0,L2552=0)</f>
        <v/>
      </c>
      <c r="N2552">
        <f>G2552&lt;=$T$6</f>
        <v/>
      </c>
      <c r="O2552">
        <f>G2552&lt;=$T$12</f>
        <v/>
      </c>
      <c r="P2552">
        <f>OR(AND(H2552&gt;=$T$4,K2552&lt;=$T$5,N2552),M2552)</f>
        <v/>
      </c>
      <c r="Q2552">
        <f>OR(AND(I2552&gt;=$T$10,K2552&lt;=$T$11,O2552),M2552)</f>
        <v/>
      </c>
    </row>
    <row r="2553">
      <c r="A2553">
        <f>Data!E2677</f>
        <v/>
      </c>
      <c r="B2553">
        <f>Data!G2677</f>
        <v/>
      </c>
      <c r="C2553">
        <f>Data!H2677</f>
        <v/>
      </c>
      <c r="D2553">
        <f>Data!I2677</f>
        <v/>
      </c>
      <c r="E2553">
        <f>Data!M2677</f>
        <v/>
      </c>
      <c r="F2553">
        <f>Data!O2677</f>
        <v/>
      </c>
      <c r="G2553">
        <f>E2553-F2553</f>
        <v/>
      </c>
      <c r="H2553">
        <f>Data!P2677</f>
        <v/>
      </c>
      <c r="I2553">
        <f>G2553+H2553</f>
        <v/>
      </c>
      <c r="J2553">
        <f>F2553+G2553+H2553</f>
        <v/>
      </c>
      <c r="K2553">
        <f>Data!R2677</f>
        <v/>
      </c>
      <c r="L2553">
        <f>Data!T2677</f>
        <v/>
      </c>
      <c r="M2553">
        <f>AND(E2553=0,F2553=0,G2553=0,H2553=0,I2553=0,J2553=0,K2553=0,L2553=0)</f>
        <v/>
      </c>
      <c r="N2553">
        <f>G2553&lt;=$T$6</f>
        <v/>
      </c>
      <c r="O2553">
        <f>G2553&lt;=$T$12</f>
        <v/>
      </c>
      <c r="P2553">
        <f>OR(AND(H2553&gt;=$T$4,K2553&lt;=$T$5,N2553),M2553)</f>
        <v/>
      </c>
      <c r="Q2553">
        <f>OR(AND(I2553&gt;=$T$10,K2553&lt;=$T$11,O2553),M2553)</f>
        <v/>
      </c>
    </row>
    <row r="2554">
      <c r="A2554">
        <f>Data!E2678</f>
        <v/>
      </c>
      <c r="B2554">
        <f>Data!G2678</f>
        <v/>
      </c>
      <c r="C2554">
        <f>Data!H2678</f>
        <v/>
      </c>
      <c r="D2554">
        <f>Data!I2678</f>
        <v/>
      </c>
      <c r="E2554">
        <f>Data!M2678</f>
        <v/>
      </c>
      <c r="F2554">
        <f>Data!O2678</f>
        <v/>
      </c>
      <c r="G2554">
        <f>E2554-F2554</f>
        <v/>
      </c>
      <c r="H2554">
        <f>Data!P2678</f>
        <v/>
      </c>
      <c r="I2554">
        <f>G2554+H2554</f>
        <v/>
      </c>
      <c r="J2554">
        <f>F2554+G2554+H2554</f>
        <v/>
      </c>
      <c r="K2554">
        <f>Data!R2678</f>
        <v/>
      </c>
      <c r="L2554">
        <f>Data!T2678</f>
        <v/>
      </c>
      <c r="M2554">
        <f>AND(E2554=0,F2554=0,G2554=0,H2554=0,I2554=0,J2554=0,K2554=0,L2554=0)</f>
        <v/>
      </c>
      <c r="N2554">
        <f>G2554&lt;=$T$6</f>
        <v/>
      </c>
      <c r="O2554">
        <f>G2554&lt;=$T$12</f>
        <v/>
      </c>
      <c r="P2554">
        <f>OR(AND(H2554&gt;=$T$4,K2554&lt;=$T$5,N2554),M2554)</f>
        <v/>
      </c>
      <c r="Q2554">
        <f>OR(AND(I2554&gt;=$T$10,K2554&lt;=$T$11,O2554),M2554)</f>
        <v/>
      </c>
    </row>
    <row r="2555">
      <c r="A2555">
        <f>Data!E2679</f>
        <v/>
      </c>
      <c r="B2555">
        <f>Data!G2679</f>
        <v/>
      </c>
      <c r="C2555">
        <f>Data!H2679</f>
        <v/>
      </c>
      <c r="D2555">
        <f>Data!I2679</f>
        <v/>
      </c>
      <c r="E2555">
        <f>Data!M2679</f>
        <v/>
      </c>
      <c r="F2555">
        <f>Data!O2679</f>
        <v/>
      </c>
      <c r="G2555">
        <f>E2555-F2555</f>
        <v/>
      </c>
      <c r="H2555">
        <f>Data!P2679</f>
        <v/>
      </c>
      <c r="I2555">
        <f>G2555+H2555</f>
        <v/>
      </c>
      <c r="J2555">
        <f>F2555+G2555+H2555</f>
        <v/>
      </c>
      <c r="K2555">
        <f>Data!R2679</f>
        <v/>
      </c>
      <c r="L2555">
        <f>Data!T2679</f>
        <v/>
      </c>
      <c r="M2555">
        <f>AND(E2555=0,F2555=0,G2555=0,H2555=0,I2555=0,J2555=0,K2555=0,L2555=0)</f>
        <v/>
      </c>
      <c r="N2555">
        <f>G2555&lt;=$T$6</f>
        <v/>
      </c>
      <c r="O2555">
        <f>G2555&lt;=$T$12</f>
        <v/>
      </c>
      <c r="P2555">
        <f>OR(AND(H2555&gt;=$T$4,K2555&lt;=$T$5,N2555),M2555)</f>
        <v/>
      </c>
      <c r="Q2555">
        <f>OR(AND(I2555&gt;=$T$10,K2555&lt;=$T$11,O2555),M2555)</f>
        <v/>
      </c>
    </row>
    <row r="2556">
      <c r="A2556">
        <f>Data!E2680</f>
        <v/>
      </c>
      <c r="B2556">
        <f>Data!G2680</f>
        <v/>
      </c>
      <c r="C2556">
        <f>Data!H2680</f>
        <v/>
      </c>
      <c r="D2556">
        <f>Data!I2680</f>
        <v/>
      </c>
      <c r="E2556">
        <f>Data!M2680</f>
        <v/>
      </c>
      <c r="F2556">
        <f>Data!O2680</f>
        <v/>
      </c>
      <c r="G2556">
        <f>E2556-F2556</f>
        <v/>
      </c>
      <c r="H2556">
        <f>Data!P2680</f>
        <v/>
      </c>
      <c r="I2556">
        <f>G2556+H2556</f>
        <v/>
      </c>
      <c r="J2556">
        <f>F2556+G2556+H2556</f>
        <v/>
      </c>
      <c r="K2556">
        <f>Data!R2680</f>
        <v/>
      </c>
      <c r="L2556">
        <f>Data!T2680</f>
        <v/>
      </c>
      <c r="M2556">
        <f>AND(E2556=0,F2556=0,G2556=0,H2556=0,I2556=0,J2556=0,K2556=0,L2556=0)</f>
        <v/>
      </c>
      <c r="N2556">
        <f>G2556&lt;=$T$6</f>
        <v/>
      </c>
      <c r="O2556">
        <f>G2556&lt;=$T$12</f>
        <v/>
      </c>
      <c r="P2556">
        <f>OR(AND(H2556&gt;=$T$4,K2556&lt;=$T$5,N2556),M2556)</f>
        <v/>
      </c>
      <c r="Q2556">
        <f>OR(AND(I2556&gt;=$T$10,K2556&lt;=$T$11,O2556),M2556)</f>
        <v/>
      </c>
    </row>
    <row r="2557">
      <c r="A2557">
        <f>Data!E2681</f>
        <v/>
      </c>
      <c r="B2557">
        <f>Data!G2681</f>
        <v/>
      </c>
      <c r="C2557">
        <f>Data!H2681</f>
        <v/>
      </c>
      <c r="D2557">
        <f>Data!I2681</f>
        <v/>
      </c>
      <c r="E2557">
        <f>Data!M2681</f>
        <v/>
      </c>
      <c r="F2557">
        <f>Data!O2681</f>
        <v/>
      </c>
      <c r="G2557">
        <f>E2557-F2557</f>
        <v/>
      </c>
      <c r="H2557">
        <f>Data!P2681</f>
        <v/>
      </c>
      <c r="I2557">
        <f>G2557+H2557</f>
        <v/>
      </c>
      <c r="J2557">
        <f>F2557+G2557+H2557</f>
        <v/>
      </c>
      <c r="K2557">
        <f>Data!R2681</f>
        <v/>
      </c>
      <c r="L2557">
        <f>Data!T2681</f>
        <v/>
      </c>
      <c r="M2557">
        <f>AND(E2557=0,F2557=0,G2557=0,H2557=0,I2557=0,J2557=0,K2557=0,L2557=0)</f>
        <v/>
      </c>
      <c r="N2557">
        <f>G2557&lt;=$T$6</f>
        <v/>
      </c>
      <c r="O2557">
        <f>G2557&lt;=$T$12</f>
        <v/>
      </c>
      <c r="P2557">
        <f>OR(AND(H2557&gt;=$T$4,K2557&lt;=$T$5,N2557),M2557)</f>
        <v/>
      </c>
      <c r="Q2557">
        <f>OR(AND(I2557&gt;=$T$10,K2557&lt;=$T$11,O2557),M2557)</f>
        <v/>
      </c>
    </row>
    <row r="2558">
      <c r="A2558">
        <f>Data!E2682</f>
        <v/>
      </c>
      <c r="B2558">
        <f>Data!G2682</f>
        <v/>
      </c>
      <c r="C2558">
        <f>Data!H2682</f>
        <v/>
      </c>
      <c r="D2558">
        <f>Data!I2682</f>
        <v/>
      </c>
      <c r="E2558">
        <f>Data!M2682</f>
        <v/>
      </c>
      <c r="F2558">
        <f>Data!O2682</f>
        <v/>
      </c>
      <c r="G2558">
        <f>E2558-F2558</f>
        <v/>
      </c>
      <c r="H2558">
        <f>Data!P2682</f>
        <v/>
      </c>
      <c r="I2558">
        <f>G2558+H2558</f>
        <v/>
      </c>
      <c r="J2558">
        <f>F2558+G2558+H2558</f>
        <v/>
      </c>
      <c r="K2558">
        <f>Data!R2682</f>
        <v/>
      </c>
      <c r="L2558">
        <f>Data!T2682</f>
        <v/>
      </c>
      <c r="M2558">
        <f>AND(E2558=0,F2558=0,G2558=0,H2558=0,I2558=0,J2558=0,K2558=0,L2558=0)</f>
        <v/>
      </c>
      <c r="N2558">
        <f>G2558&lt;=$T$6</f>
        <v/>
      </c>
      <c r="O2558">
        <f>G2558&lt;=$T$12</f>
        <v/>
      </c>
      <c r="P2558">
        <f>OR(AND(H2558&gt;=$T$4,K2558&lt;=$T$5,N2558),M2558)</f>
        <v/>
      </c>
      <c r="Q2558">
        <f>OR(AND(I2558&gt;=$T$10,K2558&lt;=$T$11,O2558),M2558)</f>
        <v/>
      </c>
    </row>
    <row r="2559">
      <c r="A2559">
        <f>Data!E2683</f>
        <v/>
      </c>
      <c r="B2559">
        <f>Data!G2683</f>
        <v/>
      </c>
      <c r="C2559">
        <f>Data!H2683</f>
        <v/>
      </c>
      <c r="D2559">
        <f>Data!I2683</f>
        <v/>
      </c>
      <c r="E2559">
        <f>Data!M2683</f>
        <v/>
      </c>
      <c r="F2559">
        <f>Data!O2683</f>
        <v/>
      </c>
      <c r="G2559">
        <f>E2559-F2559</f>
        <v/>
      </c>
      <c r="H2559">
        <f>Data!P2683</f>
        <v/>
      </c>
      <c r="I2559">
        <f>G2559+H2559</f>
        <v/>
      </c>
      <c r="J2559">
        <f>F2559+G2559+H2559</f>
        <v/>
      </c>
      <c r="K2559">
        <f>Data!R2683</f>
        <v/>
      </c>
      <c r="L2559">
        <f>Data!T2683</f>
        <v/>
      </c>
      <c r="M2559">
        <f>AND(E2559=0,F2559=0,G2559=0,H2559=0,I2559=0,J2559=0,K2559=0,L2559=0)</f>
        <v/>
      </c>
      <c r="N2559">
        <f>G2559&lt;=$T$6</f>
        <v/>
      </c>
      <c r="O2559">
        <f>G2559&lt;=$T$12</f>
        <v/>
      </c>
      <c r="P2559">
        <f>OR(AND(H2559&gt;=$T$4,K2559&lt;=$T$5,N2559),M2559)</f>
        <v/>
      </c>
      <c r="Q2559">
        <f>OR(AND(I2559&gt;=$T$10,K2559&lt;=$T$11,O2559),M2559)</f>
        <v/>
      </c>
    </row>
    <row r="2560">
      <c r="A2560">
        <f>Data!E2684</f>
        <v/>
      </c>
      <c r="B2560">
        <f>Data!G2684</f>
        <v/>
      </c>
      <c r="C2560">
        <f>Data!H2684</f>
        <v/>
      </c>
      <c r="D2560">
        <f>Data!I2684</f>
        <v/>
      </c>
      <c r="E2560">
        <f>Data!M2684</f>
        <v/>
      </c>
      <c r="F2560">
        <f>Data!O2684</f>
        <v/>
      </c>
      <c r="G2560">
        <f>E2560-F2560</f>
        <v/>
      </c>
      <c r="H2560">
        <f>Data!P2684</f>
        <v/>
      </c>
      <c r="I2560">
        <f>G2560+H2560</f>
        <v/>
      </c>
      <c r="J2560">
        <f>F2560+G2560+H2560</f>
        <v/>
      </c>
      <c r="K2560">
        <f>Data!R2684</f>
        <v/>
      </c>
      <c r="L2560">
        <f>Data!T2684</f>
        <v/>
      </c>
      <c r="M2560">
        <f>AND(E2560=0,F2560=0,G2560=0,H2560=0,I2560=0,J2560=0,K2560=0,L2560=0)</f>
        <v/>
      </c>
      <c r="N2560">
        <f>G2560&lt;=$T$6</f>
        <v/>
      </c>
      <c r="O2560">
        <f>G2560&lt;=$T$12</f>
        <v/>
      </c>
      <c r="P2560">
        <f>OR(AND(H2560&gt;=$T$4,K2560&lt;=$T$5,N2560),M2560)</f>
        <v/>
      </c>
      <c r="Q2560">
        <f>OR(AND(I2560&gt;=$T$10,K2560&lt;=$T$11,O2560),M2560)</f>
        <v/>
      </c>
    </row>
    <row r="2561">
      <c r="A2561">
        <f>Data!E2685</f>
        <v/>
      </c>
      <c r="B2561">
        <f>Data!G2685</f>
        <v/>
      </c>
      <c r="C2561">
        <f>Data!H2685</f>
        <v/>
      </c>
      <c r="D2561">
        <f>Data!I2685</f>
        <v/>
      </c>
      <c r="E2561">
        <f>Data!M2685</f>
        <v/>
      </c>
      <c r="F2561">
        <f>Data!O2685</f>
        <v/>
      </c>
      <c r="G2561">
        <f>E2561-F2561</f>
        <v/>
      </c>
      <c r="H2561">
        <f>Data!P2685</f>
        <v/>
      </c>
      <c r="I2561">
        <f>G2561+H2561</f>
        <v/>
      </c>
      <c r="J2561">
        <f>F2561+G2561+H2561</f>
        <v/>
      </c>
      <c r="K2561">
        <f>Data!R2685</f>
        <v/>
      </c>
      <c r="L2561">
        <f>Data!T2685</f>
        <v/>
      </c>
      <c r="M2561">
        <f>AND(E2561=0,F2561=0,G2561=0,H2561=0,I2561=0,J2561=0,K2561=0,L2561=0)</f>
        <v/>
      </c>
      <c r="N2561">
        <f>G2561&lt;=$T$6</f>
        <v/>
      </c>
      <c r="O2561">
        <f>G2561&lt;=$T$12</f>
        <v/>
      </c>
      <c r="P2561">
        <f>OR(AND(H2561&gt;=$T$4,K2561&lt;=$T$5,N2561),M2561)</f>
        <v/>
      </c>
      <c r="Q2561">
        <f>OR(AND(I2561&gt;=$T$10,K2561&lt;=$T$11,O2561),M2561)</f>
        <v/>
      </c>
    </row>
    <row r="2562">
      <c r="A2562">
        <f>Data!E2686</f>
        <v/>
      </c>
      <c r="B2562">
        <f>Data!G2686</f>
        <v/>
      </c>
      <c r="C2562">
        <f>Data!H2686</f>
        <v/>
      </c>
      <c r="D2562">
        <f>Data!I2686</f>
        <v/>
      </c>
      <c r="E2562">
        <f>Data!M2686</f>
        <v/>
      </c>
      <c r="F2562">
        <f>Data!O2686</f>
        <v/>
      </c>
      <c r="G2562">
        <f>E2562-F2562</f>
        <v/>
      </c>
      <c r="H2562">
        <f>Data!P2686</f>
        <v/>
      </c>
      <c r="I2562">
        <f>G2562+H2562</f>
        <v/>
      </c>
      <c r="J2562">
        <f>F2562+G2562+H2562</f>
        <v/>
      </c>
      <c r="K2562">
        <f>Data!R2686</f>
        <v/>
      </c>
      <c r="L2562">
        <f>Data!T2686</f>
        <v/>
      </c>
      <c r="M2562">
        <f>AND(E2562=0,F2562=0,G2562=0,H2562=0,I2562=0,J2562=0,K2562=0,L2562=0)</f>
        <v/>
      </c>
      <c r="N2562">
        <f>G2562&lt;=$T$6</f>
        <v/>
      </c>
      <c r="O2562">
        <f>G2562&lt;=$T$12</f>
        <v/>
      </c>
      <c r="P2562">
        <f>OR(AND(H2562&gt;=$T$4,K2562&lt;=$T$5,N2562),M2562)</f>
        <v/>
      </c>
      <c r="Q2562">
        <f>OR(AND(I2562&gt;=$T$10,K2562&lt;=$T$11,O2562),M2562)</f>
        <v/>
      </c>
    </row>
    <row r="2563">
      <c r="A2563">
        <f>Data!E2687</f>
        <v/>
      </c>
      <c r="B2563">
        <f>Data!G2687</f>
        <v/>
      </c>
      <c r="C2563">
        <f>Data!H2687</f>
        <v/>
      </c>
      <c r="D2563">
        <f>Data!I2687</f>
        <v/>
      </c>
      <c r="E2563">
        <f>Data!M2687</f>
        <v/>
      </c>
      <c r="F2563">
        <f>Data!O2687</f>
        <v/>
      </c>
      <c r="G2563">
        <f>E2563-F2563</f>
        <v/>
      </c>
      <c r="H2563">
        <f>Data!P2687</f>
        <v/>
      </c>
      <c r="I2563">
        <f>G2563+H2563</f>
        <v/>
      </c>
      <c r="J2563">
        <f>F2563+G2563+H2563</f>
        <v/>
      </c>
      <c r="K2563">
        <f>Data!R2687</f>
        <v/>
      </c>
      <c r="L2563">
        <f>Data!T2687</f>
        <v/>
      </c>
      <c r="M2563">
        <f>AND(E2563=0,F2563=0,G2563=0,H2563=0,I2563=0,J2563=0,K2563=0,L2563=0)</f>
        <v/>
      </c>
      <c r="N2563">
        <f>G2563&lt;=$T$6</f>
        <v/>
      </c>
      <c r="O2563">
        <f>G2563&lt;=$T$12</f>
        <v/>
      </c>
      <c r="P2563">
        <f>OR(AND(H2563&gt;=$T$4,K2563&lt;=$T$5,N2563),M2563)</f>
        <v/>
      </c>
      <c r="Q2563">
        <f>OR(AND(I2563&gt;=$T$10,K2563&lt;=$T$11,O2563),M2563)</f>
        <v/>
      </c>
    </row>
    <row r="2564">
      <c r="A2564">
        <f>Data!E2688</f>
        <v/>
      </c>
      <c r="B2564">
        <f>Data!G2688</f>
        <v/>
      </c>
      <c r="C2564">
        <f>Data!H2688</f>
        <v/>
      </c>
      <c r="D2564">
        <f>Data!I2688</f>
        <v/>
      </c>
      <c r="E2564">
        <f>Data!M2688</f>
        <v/>
      </c>
      <c r="F2564">
        <f>Data!O2688</f>
        <v/>
      </c>
      <c r="G2564">
        <f>E2564-F2564</f>
        <v/>
      </c>
      <c r="H2564">
        <f>Data!P2688</f>
        <v/>
      </c>
      <c r="I2564">
        <f>G2564+H2564</f>
        <v/>
      </c>
      <c r="J2564">
        <f>F2564+G2564+H2564</f>
        <v/>
      </c>
      <c r="K2564">
        <f>Data!R2688</f>
        <v/>
      </c>
      <c r="L2564">
        <f>Data!T2688</f>
        <v/>
      </c>
      <c r="M2564">
        <f>AND(E2564=0,F2564=0,G2564=0,H2564=0,I2564=0,J2564=0,K2564=0,L2564=0)</f>
        <v/>
      </c>
      <c r="N2564">
        <f>G2564&lt;=$T$6</f>
        <v/>
      </c>
      <c r="O2564">
        <f>G2564&lt;=$T$12</f>
        <v/>
      </c>
      <c r="P2564">
        <f>OR(AND(H2564&gt;=$T$4,K2564&lt;=$T$5,N2564),M2564)</f>
        <v/>
      </c>
      <c r="Q2564">
        <f>OR(AND(I2564&gt;=$T$10,K2564&lt;=$T$11,O2564),M2564)</f>
        <v/>
      </c>
    </row>
    <row r="2565">
      <c r="A2565">
        <f>Data!E2689</f>
        <v/>
      </c>
      <c r="B2565">
        <f>Data!G2689</f>
        <v/>
      </c>
      <c r="C2565">
        <f>Data!H2689</f>
        <v/>
      </c>
      <c r="D2565">
        <f>Data!I2689</f>
        <v/>
      </c>
      <c r="E2565">
        <f>Data!M2689</f>
        <v/>
      </c>
      <c r="F2565">
        <f>Data!O2689</f>
        <v/>
      </c>
      <c r="G2565">
        <f>E2565-F2565</f>
        <v/>
      </c>
      <c r="H2565">
        <f>Data!P2689</f>
        <v/>
      </c>
      <c r="I2565">
        <f>G2565+H2565</f>
        <v/>
      </c>
      <c r="J2565">
        <f>F2565+G2565+H2565</f>
        <v/>
      </c>
      <c r="K2565">
        <f>Data!R2689</f>
        <v/>
      </c>
      <c r="L2565">
        <f>Data!T2689</f>
        <v/>
      </c>
      <c r="M2565">
        <f>AND(E2565=0,F2565=0,G2565=0,H2565=0,I2565=0,J2565=0,K2565=0,L2565=0)</f>
        <v/>
      </c>
      <c r="N2565">
        <f>G2565&lt;=$T$6</f>
        <v/>
      </c>
      <c r="O2565">
        <f>G2565&lt;=$T$12</f>
        <v/>
      </c>
      <c r="P2565">
        <f>OR(AND(H2565&gt;=$T$4,K2565&lt;=$T$5,N2565),M2565)</f>
        <v/>
      </c>
      <c r="Q2565">
        <f>OR(AND(I2565&gt;=$T$10,K2565&lt;=$T$11,O2565),M2565)</f>
        <v/>
      </c>
    </row>
    <row r="2566">
      <c r="A2566">
        <f>Data!E2690</f>
        <v/>
      </c>
      <c r="B2566">
        <f>Data!G2690</f>
        <v/>
      </c>
      <c r="C2566">
        <f>Data!H2690</f>
        <v/>
      </c>
      <c r="D2566">
        <f>Data!I2690</f>
        <v/>
      </c>
      <c r="E2566">
        <f>Data!M2690</f>
        <v/>
      </c>
      <c r="F2566">
        <f>Data!O2690</f>
        <v/>
      </c>
      <c r="G2566">
        <f>E2566-F2566</f>
        <v/>
      </c>
      <c r="H2566">
        <f>Data!P2690</f>
        <v/>
      </c>
      <c r="I2566">
        <f>G2566+H2566</f>
        <v/>
      </c>
      <c r="J2566">
        <f>F2566+G2566+H2566</f>
        <v/>
      </c>
      <c r="K2566">
        <f>Data!R2690</f>
        <v/>
      </c>
      <c r="L2566">
        <f>Data!T2690</f>
        <v/>
      </c>
      <c r="M2566">
        <f>AND(E2566=0,F2566=0,G2566=0,H2566=0,I2566=0,J2566=0,K2566=0,L2566=0)</f>
        <v/>
      </c>
      <c r="N2566">
        <f>G2566&lt;=$T$6</f>
        <v/>
      </c>
      <c r="O2566">
        <f>G2566&lt;=$T$12</f>
        <v/>
      </c>
      <c r="P2566">
        <f>OR(AND(H2566&gt;=$T$4,K2566&lt;=$T$5,N2566),M2566)</f>
        <v/>
      </c>
      <c r="Q2566">
        <f>OR(AND(I2566&gt;=$T$10,K2566&lt;=$T$11,O2566),M2566)</f>
        <v/>
      </c>
    </row>
    <row r="2567">
      <c r="A2567">
        <f>Data!E2691</f>
        <v/>
      </c>
      <c r="B2567">
        <f>Data!G2691</f>
        <v/>
      </c>
      <c r="C2567">
        <f>Data!H2691</f>
        <v/>
      </c>
      <c r="D2567">
        <f>Data!I2691</f>
        <v/>
      </c>
      <c r="E2567">
        <f>Data!M2691</f>
        <v/>
      </c>
      <c r="F2567">
        <f>Data!O2691</f>
        <v/>
      </c>
      <c r="G2567">
        <f>E2567-F2567</f>
        <v/>
      </c>
      <c r="H2567">
        <f>Data!P2691</f>
        <v/>
      </c>
      <c r="I2567">
        <f>G2567+H2567</f>
        <v/>
      </c>
      <c r="J2567">
        <f>F2567+G2567+H2567</f>
        <v/>
      </c>
      <c r="K2567">
        <f>Data!R2691</f>
        <v/>
      </c>
      <c r="L2567">
        <f>Data!T2691</f>
        <v/>
      </c>
      <c r="M2567">
        <f>AND(E2567=0,F2567=0,G2567=0,H2567=0,I2567=0,J2567=0,K2567=0,L2567=0)</f>
        <v/>
      </c>
      <c r="N2567">
        <f>G2567&lt;=$T$6</f>
        <v/>
      </c>
      <c r="O2567">
        <f>G2567&lt;=$T$12</f>
        <v/>
      </c>
      <c r="P2567">
        <f>OR(AND(H2567&gt;=$T$4,K2567&lt;=$T$5,N2567),M2567)</f>
        <v/>
      </c>
      <c r="Q2567">
        <f>OR(AND(I2567&gt;=$T$10,K2567&lt;=$T$11,O2567),M2567)</f>
        <v/>
      </c>
    </row>
    <row r="2568">
      <c r="A2568">
        <f>Data!E2692</f>
        <v/>
      </c>
      <c r="B2568">
        <f>Data!G2692</f>
        <v/>
      </c>
      <c r="C2568">
        <f>Data!H2692</f>
        <v/>
      </c>
      <c r="D2568">
        <f>Data!I2692</f>
        <v/>
      </c>
      <c r="E2568">
        <f>Data!M2692</f>
        <v/>
      </c>
      <c r="F2568">
        <f>Data!O2692</f>
        <v/>
      </c>
      <c r="G2568">
        <f>E2568-F2568</f>
        <v/>
      </c>
      <c r="H2568">
        <f>Data!P2692</f>
        <v/>
      </c>
      <c r="I2568">
        <f>G2568+H2568</f>
        <v/>
      </c>
      <c r="J2568">
        <f>F2568+G2568+H2568</f>
        <v/>
      </c>
      <c r="K2568">
        <f>Data!R2692</f>
        <v/>
      </c>
      <c r="L2568">
        <f>Data!T2692</f>
        <v/>
      </c>
      <c r="M2568">
        <f>AND(E2568=0,F2568=0,G2568=0,H2568=0,I2568=0,J2568=0,K2568=0,L2568=0)</f>
        <v/>
      </c>
      <c r="N2568">
        <f>G2568&lt;=$T$6</f>
        <v/>
      </c>
      <c r="O2568">
        <f>G2568&lt;=$T$12</f>
        <v/>
      </c>
      <c r="P2568">
        <f>OR(AND(H2568&gt;=$T$4,K2568&lt;=$T$5,N2568),M2568)</f>
        <v/>
      </c>
      <c r="Q2568">
        <f>OR(AND(I2568&gt;=$T$10,K2568&lt;=$T$11,O2568),M2568)</f>
        <v/>
      </c>
    </row>
    <row r="2569">
      <c r="A2569">
        <f>Data!E2693</f>
        <v/>
      </c>
      <c r="B2569">
        <f>Data!G2693</f>
        <v/>
      </c>
      <c r="C2569">
        <f>Data!H2693</f>
        <v/>
      </c>
      <c r="D2569">
        <f>Data!I2693</f>
        <v/>
      </c>
      <c r="E2569">
        <f>Data!M2693</f>
        <v/>
      </c>
      <c r="F2569">
        <f>Data!O2693</f>
        <v/>
      </c>
      <c r="G2569">
        <f>E2569-F2569</f>
        <v/>
      </c>
      <c r="H2569">
        <f>Data!P2693</f>
        <v/>
      </c>
      <c r="I2569">
        <f>G2569+H2569</f>
        <v/>
      </c>
      <c r="J2569">
        <f>F2569+G2569+H2569</f>
        <v/>
      </c>
      <c r="K2569">
        <f>Data!R2693</f>
        <v/>
      </c>
      <c r="L2569">
        <f>Data!T2693</f>
        <v/>
      </c>
      <c r="M2569">
        <f>AND(E2569=0,F2569=0,G2569=0,H2569=0,I2569=0,J2569=0,K2569=0,L2569=0)</f>
        <v/>
      </c>
      <c r="N2569">
        <f>G2569&lt;=$T$6</f>
        <v/>
      </c>
      <c r="O2569">
        <f>G2569&lt;=$T$12</f>
        <v/>
      </c>
      <c r="P2569">
        <f>OR(AND(H2569&gt;=$T$4,K2569&lt;=$T$5,N2569),M2569)</f>
        <v/>
      </c>
      <c r="Q2569">
        <f>OR(AND(I2569&gt;=$T$10,K2569&lt;=$T$11,O2569),M2569)</f>
        <v/>
      </c>
    </row>
    <row r="2570">
      <c r="A2570">
        <f>Data!E2694</f>
        <v/>
      </c>
      <c r="B2570">
        <f>Data!G2694</f>
        <v/>
      </c>
      <c r="C2570">
        <f>Data!H2694</f>
        <v/>
      </c>
      <c r="D2570">
        <f>Data!I2694</f>
        <v/>
      </c>
      <c r="E2570">
        <f>Data!M2694</f>
        <v/>
      </c>
      <c r="F2570">
        <f>Data!O2694</f>
        <v/>
      </c>
      <c r="G2570">
        <f>E2570-F2570</f>
        <v/>
      </c>
      <c r="H2570">
        <f>Data!P2694</f>
        <v/>
      </c>
      <c r="I2570">
        <f>G2570+H2570</f>
        <v/>
      </c>
      <c r="J2570">
        <f>F2570+G2570+H2570</f>
        <v/>
      </c>
      <c r="K2570">
        <f>Data!R2694</f>
        <v/>
      </c>
      <c r="L2570">
        <f>Data!T2694</f>
        <v/>
      </c>
      <c r="M2570">
        <f>AND(E2570=0,F2570=0,G2570=0,H2570=0,I2570=0,J2570=0,K2570=0,L2570=0)</f>
        <v/>
      </c>
      <c r="N2570">
        <f>G2570&lt;=$T$6</f>
        <v/>
      </c>
      <c r="O2570">
        <f>G2570&lt;=$T$12</f>
        <v/>
      </c>
      <c r="P2570">
        <f>OR(AND(H2570&gt;=$T$4,K2570&lt;=$T$5,N2570),M2570)</f>
        <v/>
      </c>
      <c r="Q2570">
        <f>OR(AND(I2570&gt;=$T$10,K2570&lt;=$T$11,O2570),M2570)</f>
        <v/>
      </c>
    </row>
    <row r="2571">
      <c r="A2571">
        <f>Data!E2695</f>
        <v/>
      </c>
      <c r="B2571">
        <f>Data!G2695</f>
        <v/>
      </c>
      <c r="C2571">
        <f>Data!H2695</f>
        <v/>
      </c>
      <c r="D2571">
        <f>Data!I2695</f>
        <v/>
      </c>
      <c r="E2571">
        <f>Data!M2695</f>
        <v/>
      </c>
      <c r="F2571">
        <f>Data!O2695</f>
        <v/>
      </c>
      <c r="G2571">
        <f>E2571-F2571</f>
        <v/>
      </c>
      <c r="H2571">
        <f>Data!P2695</f>
        <v/>
      </c>
      <c r="I2571">
        <f>G2571+H2571</f>
        <v/>
      </c>
      <c r="J2571">
        <f>F2571+G2571+H2571</f>
        <v/>
      </c>
      <c r="K2571">
        <f>Data!R2695</f>
        <v/>
      </c>
      <c r="L2571">
        <f>Data!T2695</f>
        <v/>
      </c>
      <c r="M2571">
        <f>AND(E2571=0,F2571=0,G2571=0,H2571=0,I2571=0,J2571=0,K2571=0,L2571=0)</f>
        <v/>
      </c>
      <c r="N2571">
        <f>G2571&lt;=$T$6</f>
        <v/>
      </c>
      <c r="O2571">
        <f>G2571&lt;=$T$12</f>
        <v/>
      </c>
      <c r="P2571">
        <f>OR(AND(H2571&gt;=$T$4,K2571&lt;=$T$5,N2571),M2571)</f>
        <v/>
      </c>
      <c r="Q2571">
        <f>OR(AND(I2571&gt;=$T$10,K2571&lt;=$T$11,O2571),M2571)</f>
        <v/>
      </c>
    </row>
    <row r="2572">
      <c r="A2572">
        <f>Data!E2696</f>
        <v/>
      </c>
      <c r="B2572">
        <f>Data!G2696</f>
        <v/>
      </c>
      <c r="C2572">
        <f>Data!H2696</f>
        <v/>
      </c>
      <c r="D2572">
        <f>Data!I2696</f>
        <v/>
      </c>
      <c r="E2572">
        <f>Data!M2696</f>
        <v/>
      </c>
      <c r="F2572">
        <f>Data!O2696</f>
        <v/>
      </c>
      <c r="G2572">
        <f>E2572-F2572</f>
        <v/>
      </c>
      <c r="H2572">
        <f>Data!P2696</f>
        <v/>
      </c>
      <c r="I2572">
        <f>G2572+H2572</f>
        <v/>
      </c>
      <c r="J2572">
        <f>F2572+G2572+H2572</f>
        <v/>
      </c>
      <c r="K2572">
        <f>Data!R2696</f>
        <v/>
      </c>
      <c r="L2572">
        <f>Data!T2696</f>
        <v/>
      </c>
      <c r="M2572">
        <f>AND(E2572=0,F2572=0,G2572=0,H2572=0,I2572=0,J2572=0,K2572=0,L2572=0)</f>
        <v/>
      </c>
      <c r="N2572">
        <f>G2572&lt;=$T$6</f>
        <v/>
      </c>
      <c r="O2572">
        <f>G2572&lt;=$T$12</f>
        <v/>
      </c>
      <c r="P2572">
        <f>OR(AND(H2572&gt;=$T$4,K2572&lt;=$T$5,N2572),M2572)</f>
        <v/>
      </c>
      <c r="Q2572">
        <f>OR(AND(I2572&gt;=$T$10,K2572&lt;=$T$11,O2572),M2572)</f>
        <v/>
      </c>
    </row>
    <row r="2573">
      <c r="A2573">
        <f>Data!E2697</f>
        <v/>
      </c>
      <c r="B2573">
        <f>Data!G2697</f>
        <v/>
      </c>
      <c r="C2573">
        <f>Data!H2697</f>
        <v/>
      </c>
      <c r="D2573">
        <f>Data!I2697</f>
        <v/>
      </c>
      <c r="E2573">
        <f>Data!M2697</f>
        <v/>
      </c>
      <c r="F2573">
        <f>Data!O2697</f>
        <v/>
      </c>
      <c r="G2573">
        <f>E2573-F2573</f>
        <v/>
      </c>
      <c r="H2573">
        <f>Data!P2697</f>
        <v/>
      </c>
      <c r="I2573">
        <f>G2573+H2573</f>
        <v/>
      </c>
      <c r="J2573">
        <f>F2573+G2573+H2573</f>
        <v/>
      </c>
      <c r="K2573">
        <f>Data!R2697</f>
        <v/>
      </c>
      <c r="L2573">
        <f>Data!T2697</f>
        <v/>
      </c>
      <c r="M2573">
        <f>AND(E2573=0,F2573=0,G2573=0,H2573=0,I2573=0,J2573=0,K2573=0,L2573=0)</f>
        <v/>
      </c>
      <c r="N2573">
        <f>G2573&lt;=$T$6</f>
        <v/>
      </c>
      <c r="O2573">
        <f>G2573&lt;=$T$12</f>
        <v/>
      </c>
      <c r="P2573">
        <f>OR(AND(H2573&gt;=$T$4,K2573&lt;=$T$5,N2573),M2573)</f>
        <v/>
      </c>
      <c r="Q2573">
        <f>OR(AND(I2573&gt;=$T$10,K2573&lt;=$T$11,O2573),M2573)</f>
        <v/>
      </c>
    </row>
    <row r="2574">
      <c r="A2574">
        <f>Data!E2698</f>
        <v/>
      </c>
      <c r="B2574">
        <f>Data!G2698</f>
        <v/>
      </c>
      <c r="C2574">
        <f>Data!H2698</f>
        <v/>
      </c>
      <c r="D2574">
        <f>Data!I2698</f>
        <v/>
      </c>
      <c r="E2574">
        <f>Data!M2698</f>
        <v/>
      </c>
      <c r="F2574">
        <f>Data!O2698</f>
        <v/>
      </c>
      <c r="G2574">
        <f>E2574-F2574</f>
        <v/>
      </c>
      <c r="H2574">
        <f>Data!P2698</f>
        <v/>
      </c>
      <c r="I2574">
        <f>G2574+H2574</f>
        <v/>
      </c>
      <c r="J2574">
        <f>F2574+G2574+H2574</f>
        <v/>
      </c>
      <c r="K2574">
        <f>Data!R2698</f>
        <v/>
      </c>
      <c r="L2574">
        <f>Data!T2698</f>
        <v/>
      </c>
      <c r="M2574">
        <f>AND(E2574=0,F2574=0,G2574=0,H2574=0,I2574=0,J2574=0,K2574=0,L2574=0)</f>
        <v/>
      </c>
      <c r="N2574">
        <f>G2574&lt;=$T$6</f>
        <v/>
      </c>
      <c r="O2574">
        <f>G2574&lt;=$T$12</f>
        <v/>
      </c>
      <c r="P2574">
        <f>OR(AND(H2574&gt;=$T$4,K2574&lt;=$T$5,N2574),M2574)</f>
        <v/>
      </c>
      <c r="Q2574">
        <f>OR(AND(I2574&gt;=$T$10,K2574&lt;=$T$11,O2574),M2574)</f>
        <v/>
      </c>
    </row>
    <row r="2575">
      <c r="A2575">
        <f>Data!E2699</f>
        <v/>
      </c>
      <c r="B2575">
        <f>Data!G2699</f>
        <v/>
      </c>
      <c r="C2575">
        <f>Data!H2699</f>
        <v/>
      </c>
      <c r="D2575">
        <f>Data!I2699</f>
        <v/>
      </c>
      <c r="E2575">
        <f>Data!M2699</f>
        <v/>
      </c>
      <c r="F2575">
        <f>Data!O2699</f>
        <v/>
      </c>
      <c r="G2575">
        <f>E2575-F2575</f>
        <v/>
      </c>
      <c r="H2575">
        <f>Data!P2699</f>
        <v/>
      </c>
      <c r="I2575">
        <f>G2575+H2575</f>
        <v/>
      </c>
      <c r="J2575">
        <f>F2575+G2575+H2575</f>
        <v/>
      </c>
      <c r="K2575">
        <f>Data!R2699</f>
        <v/>
      </c>
      <c r="L2575">
        <f>Data!T2699</f>
        <v/>
      </c>
      <c r="M2575">
        <f>AND(E2575=0,F2575=0,G2575=0,H2575=0,I2575=0,J2575=0,K2575=0,L2575=0)</f>
        <v/>
      </c>
      <c r="N2575">
        <f>G2575&lt;=$T$6</f>
        <v/>
      </c>
      <c r="O2575">
        <f>G2575&lt;=$T$12</f>
        <v/>
      </c>
      <c r="P2575">
        <f>OR(AND(H2575&gt;=$T$4,K2575&lt;=$T$5,N2575),M2575)</f>
        <v/>
      </c>
      <c r="Q2575">
        <f>OR(AND(I2575&gt;=$T$10,K2575&lt;=$T$11,O2575),M2575)</f>
        <v/>
      </c>
    </row>
    <row r="2576">
      <c r="A2576">
        <f>Data!E2700</f>
        <v/>
      </c>
      <c r="B2576">
        <f>Data!G2700</f>
        <v/>
      </c>
      <c r="C2576">
        <f>Data!H2700</f>
        <v/>
      </c>
      <c r="D2576">
        <f>Data!I2700</f>
        <v/>
      </c>
      <c r="E2576">
        <f>Data!M2700</f>
        <v/>
      </c>
      <c r="F2576">
        <f>Data!O2700</f>
        <v/>
      </c>
      <c r="G2576">
        <f>E2576-F2576</f>
        <v/>
      </c>
      <c r="H2576">
        <f>Data!P2700</f>
        <v/>
      </c>
      <c r="I2576">
        <f>G2576+H2576</f>
        <v/>
      </c>
      <c r="J2576">
        <f>F2576+G2576+H2576</f>
        <v/>
      </c>
      <c r="K2576">
        <f>Data!R2700</f>
        <v/>
      </c>
      <c r="L2576">
        <f>Data!T2700</f>
        <v/>
      </c>
      <c r="M2576">
        <f>AND(E2576=0,F2576=0,G2576=0,H2576=0,I2576=0,J2576=0,K2576=0,L2576=0)</f>
        <v/>
      </c>
      <c r="N2576">
        <f>G2576&lt;=$T$6</f>
        <v/>
      </c>
      <c r="O2576">
        <f>G2576&lt;=$T$12</f>
        <v/>
      </c>
      <c r="P2576">
        <f>OR(AND(H2576&gt;=$T$4,K2576&lt;=$T$5,N2576),M2576)</f>
        <v/>
      </c>
      <c r="Q2576">
        <f>OR(AND(I2576&gt;=$T$10,K2576&lt;=$T$11,O2576),M2576)</f>
        <v/>
      </c>
    </row>
    <row r="2577">
      <c r="A2577">
        <f>Data!E2701</f>
        <v/>
      </c>
      <c r="B2577">
        <f>Data!G2701</f>
        <v/>
      </c>
      <c r="C2577">
        <f>Data!H2701</f>
        <v/>
      </c>
      <c r="D2577">
        <f>Data!I2701</f>
        <v/>
      </c>
      <c r="E2577">
        <f>Data!M2701</f>
        <v/>
      </c>
      <c r="F2577">
        <f>Data!O2701</f>
        <v/>
      </c>
      <c r="G2577">
        <f>E2577-F2577</f>
        <v/>
      </c>
      <c r="H2577">
        <f>Data!P2701</f>
        <v/>
      </c>
      <c r="I2577">
        <f>G2577+H2577</f>
        <v/>
      </c>
      <c r="J2577">
        <f>F2577+G2577+H2577</f>
        <v/>
      </c>
      <c r="K2577">
        <f>Data!R2701</f>
        <v/>
      </c>
      <c r="L2577">
        <f>Data!T2701</f>
        <v/>
      </c>
      <c r="M2577">
        <f>AND(E2577=0,F2577=0,G2577=0,H2577=0,I2577=0,J2577=0,K2577=0,L2577=0)</f>
        <v/>
      </c>
      <c r="N2577">
        <f>G2577&lt;=$T$6</f>
        <v/>
      </c>
      <c r="O2577">
        <f>G2577&lt;=$T$12</f>
        <v/>
      </c>
      <c r="P2577">
        <f>OR(AND(H2577&gt;=$T$4,K2577&lt;=$T$5,N2577),M2577)</f>
        <v/>
      </c>
      <c r="Q2577">
        <f>OR(AND(I2577&gt;=$T$10,K2577&lt;=$T$11,O2577),M2577)</f>
        <v/>
      </c>
    </row>
    <row r="2578">
      <c r="A2578">
        <f>Data!E2702</f>
        <v/>
      </c>
      <c r="B2578">
        <f>Data!G2702</f>
        <v/>
      </c>
      <c r="C2578">
        <f>Data!H2702</f>
        <v/>
      </c>
      <c r="D2578">
        <f>Data!I2702</f>
        <v/>
      </c>
      <c r="E2578">
        <f>Data!M2702</f>
        <v/>
      </c>
      <c r="F2578">
        <f>Data!O2702</f>
        <v/>
      </c>
      <c r="G2578">
        <f>E2578-F2578</f>
        <v/>
      </c>
      <c r="H2578">
        <f>Data!P2702</f>
        <v/>
      </c>
      <c r="I2578">
        <f>G2578+H2578</f>
        <v/>
      </c>
      <c r="J2578">
        <f>F2578+G2578+H2578</f>
        <v/>
      </c>
      <c r="K2578">
        <f>Data!R2702</f>
        <v/>
      </c>
      <c r="L2578">
        <f>Data!T2702</f>
        <v/>
      </c>
      <c r="M2578">
        <f>AND(E2578=0,F2578=0,G2578=0,H2578=0,I2578=0,J2578=0,K2578=0,L2578=0)</f>
        <v/>
      </c>
      <c r="N2578">
        <f>G2578&lt;=$T$6</f>
        <v/>
      </c>
      <c r="O2578">
        <f>G2578&lt;=$T$12</f>
        <v/>
      </c>
      <c r="P2578">
        <f>OR(AND(H2578&gt;=$T$4,K2578&lt;=$T$5,N2578),M2578)</f>
        <v/>
      </c>
      <c r="Q2578">
        <f>OR(AND(I2578&gt;=$T$10,K2578&lt;=$T$11,O2578),M2578)</f>
        <v/>
      </c>
    </row>
    <row r="2579">
      <c r="A2579">
        <f>Data!E2703</f>
        <v/>
      </c>
      <c r="B2579">
        <f>Data!G2703</f>
        <v/>
      </c>
      <c r="C2579">
        <f>Data!H2703</f>
        <v/>
      </c>
      <c r="D2579">
        <f>Data!I2703</f>
        <v/>
      </c>
      <c r="E2579">
        <f>Data!M2703</f>
        <v/>
      </c>
      <c r="F2579">
        <f>Data!O2703</f>
        <v/>
      </c>
      <c r="G2579">
        <f>E2579-F2579</f>
        <v/>
      </c>
      <c r="H2579">
        <f>Data!P2703</f>
        <v/>
      </c>
      <c r="I2579">
        <f>G2579+H2579</f>
        <v/>
      </c>
      <c r="J2579">
        <f>F2579+G2579+H2579</f>
        <v/>
      </c>
      <c r="K2579">
        <f>Data!R2703</f>
        <v/>
      </c>
      <c r="L2579">
        <f>Data!T2703</f>
        <v/>
      </c>
      <c r="M2579">
        <f>AND(E2579=0,F2579=0,G2579=0,H2579=0,I2579=0,J2579=0,K2579=0,L2579=0)</f>
        <v/>
      </c>
      <c r="N2579">
        <f>G2579&lt;=$T$6</f>
        <v/>
      </c>
      <c r="O2579">
        <f>G2579&lt;=$T$12</f>
        <v/>
      </c>
      <c r="P2579">
        <f>OR(AND(H2579&gt;=$T$4,K2579&lt;=$T$5,N2579),M2579)</f>
        <v/>
      </c>
      <c r="Q2579">
        <f>OR(AND(I2579&gt;=$T$10,K2579&lt;=$T$11,O2579),M2579)</f>
        <v/>
      </c>
    </row>
    <row r="2580">
      <c r="A2580">
        <f>Data!E2704</f>
        <v/>
      </c>
      <c r="B2580">
        <f>Data!G2704</f>
        <v/>
      </c>
      <c r="C2580">
        <f>Data!H2704</f>
        <v/>
      </c>
      <c r="D2580">
        <f>Data!I2704</f>
        <v/>
      </c>
      <c r="E2580">
        <f>Data!M2704</f>
        <v/>
      </c>
      <c r="F2580">
        <f>Data!O2704</f>
        <v/>
      </c>
      <c r="G2580">
        <f>E2580-F2580</f>
        <v/>
      </c>
      <c r="H2580">
        <f>Data!P2704</f>
        <v/>
      </c>
      <c r="I2580">
        <f>G2580+H2580</f>
        <v/>
      </c>
      <c r="J2580">
        <f>F2580+G2580+H2580</f>
        <v/>
      </c>
      <c r="K2580">
        <f>Data!R2704</f>
        <v/>
      </c>
      <c r="L2580">
        <f>Data!T2704</f>
        <v/>
      </c>
      <c r="M2580">
        <f>AND(E2580=0,F2580=0,G2580=0,H2580=0,I2580=0,J2580=0,K2580=0,L2580=0)</f>
        <v/>
      </c>
      <c r="N2580">
        <f>G2580&lt;=$T$6</f>
        <v/>
      </c>
      <c r="O2580">
        <f>G2580&lt;=$T$12</f>
        <v/>
      </c>
      <c r="P2580">
        <f>OR(AND(H2580&gt;=$T$4,K2580&lt;=$T$5,N2580),M2580)</f>
        <v/>
      </c>
      <c r="Q2580">
        <f>OR(AND(I2580&gt;=$T$10,K2580&lt;=$T$11,O2580),M2580)</f>
        <v/>
      </c>
    </row>
    <row r="2581">
      <c r="A2581">
        <f>Data!E2705</f>
        <v/>
      </c>
      <c r="B2581">
        <f>Data!G2705</f>
        <v/>
      </c>
      <c r="C2581">
        <f>Data!H2705</f>
        <v/>
      </c>
      <c r="D2581">
        <f>Data!I2705</f>
        <v/>
      </c>
      <c r="E2581">
        <f>Data!M2705</f>
        <v/>
      </c>
      <c r="F2581">
        <f>Data!O2705</f>
        <v/>
      </c>
      <c r="G2581">
        <f>E2581-F2581</f>
        <v/>
      </c>
      <c r="H2581">
        <f>Data!P2705</f>
        <v/>
      </c>
      <c r="I2581">
        <f>G2581+H2581</f>
        <v/>
      </c>
      <c r="J2581">
        <f>F2581+G2581+H2581</f>
        <v/>
      </c>
      <c r="K2581">
        <f>Data!R2705</f>
        <v/>
      </c>
      <c r="L2581">
        <f>Data!T2705</f>
        <v/>
      </c>
      <c r="M2581">
        <f>AND(E2581=0,F2581=0,G2581=0,H2581=0,I2581=0,J2581=0,K2581=0,L2581=0)</f>
        <v/>
      </c>
      <c r="N2581">
        <f>G2581&lt;=$T$6</f>
        <v/>
      </c>
      <c r="O2581">
        <f>G2581&lt;=$T$12</f>
        <v/>
      </c>
      <c r="P2581">
        <f>OR(AND(H2581&gt;=$T$4,K2581&lt;=$T$5,N2581),M2581)</f>
        <v/>
      </c>
      <c r="Q2581">
        <f>OR(AND(I2581&gt;=$T$10,K2581&lt;=$T$11,O2581),M2581)</f>
        <v/>
      </c>
    </row>
    <row r="2582">
      <c r="A2582">
        <f>Data!E2706</f>
        <v/>
      </c>
      <c r="B2582">
        <f>Data!G2706</f>
        <v/>
      </c>
      <c r="C2582">
        <f>Data!H2706</f>
        <v/>
      </c>
      <c r="D2582">
        <f>Data!I2706</f>
        <v/>
      </c>
      <c r="E2582">
        <f>Data!M2706</f>
        <v/>
      </c>
      <c r="F2582">
        <f>Data!O2706</f>
        <v/>
      </c>
      <c r="G2582">
        <f>E2582-F2582</f>
        <v/>
      </c>
      <c r="H2582">
        <f>Data!P2706</f>
        <v/>
      </c>
      <c r="I2582">
        <f>G2582+H2582</f>
        <v/>
      </c>
      <c r="J2582">
        <f>F2582+G2582+H2582</f>
        <v/>
      </c>
      <c r="K2582">
        <f>Data!R2706</f>
        <v/>
      </c>
      <c r="L2582">
        <f>Data!T2706</f>
        <v/>
      </c>
      <c r="M2582">
        <f>AND(E2582=0,F2582=0,G2582=0,H2582=0,I2582=0,J2582=0,K2582=0,L2582=0)</f>
        <v/>
      </c>
      <c r="N2582">
        <f>G2582&lt;=$T$6</f>
        <v/>
      </c>
      <c r="O2582">
        <f>G2582&lt;=$T$12</f>
        <v/>
      </c>
      <c r="P2582">
        <f>OR(AND(H2582&gt;=$T$4,K2582&lt;=$T$5,N2582),M2582)</f>
        <v/>
      </c>
      <c r="Q2582">
        <f>OR(AND(I2582&gt;=$T$10,K2582&lt;=$T$11,O2582),M2582)</f>
        <v/>
      </c>
    </row>
    <row r="2583">
      <c r="A2583">
        <f>Data!E2707</f>
        <v/>
      </c>
      <c r="B2583">
        <f>Data!G2707</f>
        <v/>
      </c>
      <c r="C2583">
        <f>Data!H2707</f>
        <v/>
      </c>
      <c r="D2583">
        <f>Data!I2707</f>
        <v/>
      </c>
      <c r="E2583">
        <f>Data!M2707</f>
        <v/>
      </c>
      <c r="F2583">
        <f>Data!O2707</f>
        <v/>
      </c>
      <c r="G2583">
        <f>E2583-F2583</f>
        <v/>
      </c>
      <c r="H2583">
        <f>Data!P2707</f>
        <v/>
      </c>
      <c r="I2583">
        <f>G2583+H2583</f>
        <v/>
      </c>
      <c r="J2583">
        <f>F2583+G2583+H2583</f>
        <v/>
      </c>
      <c r="K2583">
        <f>Data!R2707</f>
        <v/>
      </c>
      <c r="L2583">
        <f>Data!T2707</f>
        <v/>
      </c>
      <c r="M2583">
        <f>AND(E2583=0,F2583=0,G2583=0,H2583=0,I2583=0,J2583=0,K2583=0,L2583=0)</f>
        <v/>
      </c>
      <c r="N2583">
        <f>G2583&lt;=$T$6</f>
        <v/>
      </c>
      <c r="O2583">
        <f>G2583&lt;=$T$12</f>
        <v/>
      </c>
      <c r="P2583">
        <f>OR(AND(H2583&gt;=$T$4,K2583&lt;=$T$5,N2583),M2583)</f>
        <v/>
      </c>
      <c r="Q2583">
        <f>OR(AND(I2583&gt;=$T$10,K2583&lt;=$T$11,O2583),M2583)</f>
        <v/>
      </c>
    </row>
    <row r="2584">
      <c r="A2584">
        <f>Data!E2708</f>
        <v/>
      </c>
      <c r="B2584">
        <f>Data!G2708</f>
        <v/>
      </c>
      <c r="C2584">
        <f>Data!H2708</f>
        <v/>
      </c>
      <c r="D2584">
        <f>Data!I2708</f>
        <v/>
      </c>
      <c r="E2584">
        <f>Data!M2708</f>
        <v/>
      </c>
      <c r="F2584">
        <f>Data!O2708</f>
        <v/>
      </c>
      <c r="G2584">
        <f>E2584-F2584</f>
        <v/>
      </c>
      <c r="H2584">
        <f>Data!P2708</f>
        <v/>
      </c>
      <c r="I2584">
        <f>G2584+H2584</f>
        <v/>
      </c>
      <c r="J2584">
        <f>F2584+G2584+H2584</f>
        <v/>
      </c>
      <c r="K2584">
        <f>Data!R2708</f>
        <v/>
      </c>
      <c r="L2584">
        <f>Data!T2708</f>
        <v/>
      </c>
      <c r="M2584">
        <f>AND(E2584=0,F2584=0,G2584=0,H2584=0,I2584=0,J2584=0,K2584=0,L2584=0)</f>
        <v/>
      </c>
      <c r="N2584">
        <f>G2584&lt;=$T$6</f>
        <v/>
      </c>
      <c r="O2584">
        <f>G2584&lt;=$T$12</f>
        <v/>
      </c>
      <c r="P2584">
        <f>OR(AND(H2584&gt;=$T$4,K2584&lt;=$T$5,N2584),M2584)</f>
        <v/>
      </c>
      <c r="Q2584">
        <f>OR(AND(I2584&gt;=$T$10,K2584&lt;=$T$11,O2584),M2584)</f>
        <v/>
      </c>
    </row>
    <row r="2585">
      <c r="A2585">
        <f>Data!E2709</f>
        <v/>
      </c>
      <c r="B2585">
        <f>Data!G2709</f>
        <v/>
      </c>
      <c r="C2585">
        <f>Data!H2709</f>
        <v/>
      </c>
      <c r="D2585">
        <f>Data!I2709</f>
        <v/>
      </c>
      <c r="E2585">
        <f>Data!M2709</f>
        <v/>
      </c>
      <c r="F2585">
        <f>Data!O2709</f>
        <v/>
      </c>
      <c r="G2585">
        <f>E2585-F2585</f>
        <v/>
      </c>
      <c r="H2585">
        <f>Data!P2709</f>
        <v/>
      </c>
      <c r="I2585">
        <f>G2585+H2585</f>
        <v/>
      </c>
      <c r="J2585">
        <f>F2585+G2585+H2585</f>
        <v/>
      </c>
      <c r="K2585">
        <f>Data!R2709</f>
        <v/>
      </c>
      <c r="L2585">
        <f>Data!T2709</f>
        <v/>
      </c>
      <c r="M2585">
        <f>AND(E2585=0,F2585=0,G2585=0,H2585=0,I2585=0,J2585=0,K2585=0,L2585=0)</f>
        <v/>
      </c>
      <c r="N2585">
        <f>G2585&lt;=$T$6</f>
        <v/>
      </c>
      <c r="O2585">
        <f>G2585&lt;=$T$12</f>
        <v/>
      </c>
      <c r="P2585">
        <f>OR(AND(H2585&gt;=$T$4,K2585&lt;=$T$5,N2585),M2585)</f>
        <v/>
      </c>
      <c r="Q2585">
        <f>OR(AND(I2585&gt;=$T$10,K2585&lt;=$T$11,O2585),M2585)</f>
        <v/>
      </c>
    </row>
    <row r="2586">
      <c r="A2586">
        <f>Data!E2710</f>
        <v/>
      </c>
      <c r="B2586">
        <f>Data!G2710</f>
        <v/>
      </c>
      <c r="C2586">
        <f>Data!H2710</f>
        <v/>
      </c>
      <c r="D2586">
        <f>Data!I2710</f>
        <v/>
      </c>
      <c r="E2586">
        <f>Data!M2710</f>
        <v/>
      </c>
      <c r="F2586">
        <f>Data!O2710</f>
        <v/>
      </c>
      <c r="G2586">
        <f>E2586-F2586</f>
        <v/>
      </c>
      <c r="H2586">
        <f>Data!P2710</f>
        <v/>
      </c>
      <c r="I2586">
        <f>G2586+H2586</f>
        <v/>
      </c>
      <c r="J2586">
        <f>F2586+G2586+H2586</f>
        <v/>
      </c>
      <c r="K2586">
        <f>Data!R2710</f>
        <v/>
      </c>
      <c r="L2586">
        <f>Data!T2710</f>
        <v/>
      </c>
      <c r="M2586">
        <f>AND(E2586=0,F2586=0,G2586=0,H2586=0,I2586=0,J2586=0,K2586=0,L2586=0)</f>
        <v/>
      </c>
      <c r="N2586">
        <f>G2586&lt;=$T$6</f>
        <v/>
      </c>
      <c r="O2586">
        <f>G2586&lt;=$T$12</f>
        <v/>
      </c>
      <c r="P2586">
        <f>OR(AND(H2586&gt;=$T$4,K2586&lt;=$T$5,N2586),M2586)</f>
        <v/>
      </c>
      <c r="Q2586">
        <f>OR(AND(I2586&gt;=$T$10,K2586&lt;=$T$11,O2586),M2586)</f>
        <v/>
      </c>
    </row>
    <row r="2587">
      <c r="A2587">
        <f>Data!E2711</f>
        <v/>
      </c>
      <c r="B2587">
        <f>Data!G2711</f>
        <v/>
      </c>
      <c r="C2587">
        <f>Data!H2711</f>
        <v/>
      </c>
      <c r="D2587">
        <f>Data!I2711</f>
        <v/>
      </c>
      <c r="E2587">
        <f>Data!M2711</f>
        <v/>
      </c>
      <c r="F2587">
        <f>Data!O2711</f>
        <v/>
      </c>
      <c r="G2587">
        <f>E2587-F2587</f>
        <v/>
      </c>
      <c r="H2587">
        <f>Data!P2711</f>
        <v/>
      </c>
      <c r="I2587">
        <f>G2587+H2587</f>
        <v/>
      </c>
      <c r="J2587">
        <f>F2587+G2587+H2587</f>
        <v/>
      </c>
      <c r="K2587">
        <f>Data!R2711</f>
        <v/>
      </c>
      <c r="L2587">
        <f>Data!T2711</f>
        <v/>
      </c>
      <c r="M2587">
        <f>AND(E2587=0,F2587=0,G2587=0,H2587=0,I2587=0,J2587=0,K2587=0,L2587=0)</f>
        <v/>
      </c>
      <c r="N2587">
        <f>G2587&lt;=$T$6</f>
        <v/>
      </c>
      <c r="O2587">
        <f>G2587&lt;=$T$12</f>
        <v/>
      </c>
      <c r="P2587">
        <f>OR(AND(H2587&gt;=$T$4,K2587&lt;=$T$5,N2587),M2587)</f>
        <v/>
      </c>
      <c r="Q2587">
        <f>OR(AND(I2587&gt;=$T$10,K2587&lt;=$T$11,O2587),M2587)</f>
        <v/>
      </c>
    </row>
    <row r="2588">
      <c r="A2588">
        <f>Data!E2712</f>
        <v/>
      </c>
      <c r="B2588">
        <f>Data!G2712</f>
        <v/>
      </c>
      <c r="C2588">
        <f>Data!H2712</f>
        <v/>
      </c>
      <c r="D2588">
        <f>Data!I2712</f>
        <v/>
      </c>
      <c r="E2588">
        <f>Data!M2712</f>
        <v/>
      </c>
      <c r="F2588">
        <f>Data!O2712</f>
        <v/>
      </c>
      <c r="G2588">
        <f>E2588-F2588</f>
        <v/>
      </c>
      <c r="H2588">
        <f>Data!P2712</f>
        <v/>
      </c>
      <c r="I2588">
        <f>G2588+H2588</f>
        <v/>
      </c>
      <c r="J2588">
        <f>F2588+G2588+H2588</f>
        <v/>
      </c>
      <c r="K2588">
        <f>Data!R2712</f>
        <v/>
      </c>
      <c r="L2588">
        <f>Data!T2712</f>
        <v/>
      </c>
      <c r="M2588">
        <f>AND(E2588=0,F2588=0,G2588=0,H2588=0,I2588=0,J2588=0,K2588=0,L2588=0)</f>
        <v/>
      </c>
      <c r="N2588">
        <f>G2588&lt;=$T$6</f>
        <v/>
      </c>
      <c r="O2588">
        <f>G2588&lt;=$T$12</f>
        <v/>
      </c>
      <c r="P2588">
        <f>OR(AND(H2588&gt;=$T$4,K2588&lt;=$T$5,N2588),M2588)</f>
        <v/>
      </c>
      <c r="Q2588">
        <f>OR(AND(I2588&gt;=$T$10,K2588&lt;=$T$11,O2588),M2588)</f>
        <v/>
      </c>
    </row>
    <row r="2589">
      <c r="A2589">
        <f>Data!E2713</f>
        <v/>
      </c>
      <c r="B2589">
        <f>Data!G2713</f>
        <v/>
      </c>
      <c r="C2589">
        <f>Data!H2713</f>
        <v/>
      </c>
      <c r="D2589">
        <f>Data!I2713</f>
        <v/>
      </c>
      <c r="E2589">
        <f>Data!M2713</f>
        <v/>
      </c>
      <c r="F2589">
        <f>Data!O2713</f>
        <v/>
      </c>
      <c r="G2589">
        <f>E2589-F2589</f>
        <v/>
      </c>
      <c r="H2589">
        <f>Data!P2713</f>
        <v/>
      </c>
      <c r="I2589">
        <f>G2589+H2589</f>
        <v/>
      </c>
      <c r="J2589">
        <f>F2589+G2589+H2589</f>
        <v/>
      </c>
      <c r="K2589">
        <f>Data!R2713</f>
        <v/>
      </c>
      <c r="L2589">
        <f>Data!T2713</f>
        <v/>
      </c>
      <c r="M2589">
        <f>AND(E2589=0,F2589=0,G2589=0,H2589=0,I2589=0,J2589=0,K2589=0,L2589=0)</f>
        <v/>
      </c>
      <c r="N2589">
        <f>G2589&lt;=$T$6</f>
        <v/>
      </c>
      <c r="O2589">
        <f>G2589&lt;=$T$12</f>
        <v/>
      </c>
      <c r="P2589">
        <f>OR(AND(H2589&gt;=$T$4,K2589&lt;=$T$5,N2589),M2589)</f>
        <v/>
      </c>
      <c r="Q2589">
        <f>OR(AND(I2589&gt;=$T$10,K2589&lt;=$T$11,O2589),M2589)</f>
        <v/>
      </c>
    </row>
    <row r="2590">
      <c r="A2590">
        <f>Data!E2714</f>
        <v/>
      </c>
      <c r="B2590">
        <f>Data!G2714</f>
        <v/>
      </c>
      <c r="C2590">
        <f>Data!H2714</f>
        <v/>
      </c>
      <c r="D2590">
        <f>Data!I2714</f>
        <v/>
      </c>
      <c r="E2590">
        <f>Data!M2714</f>
        <v/>
      </c>
      <c r="F2590">
        <f>Data!O2714</f>
        <v/>
      </c>
      <c r="G2590">
        <f>E2590-F2590</f>
        <v/>
      </c>
      <c r="H2590">
        <f>Data!P2714</f>
        <v/>
      </c>
      <c r="I2590">
        <f>G2590+H2590</f>
        <v/>
      </c>
      <c r="J2590">
        <f>F2590+G2590+H2590</f>
        <v/>
      </c>
      <c r="K2590">
        <f>Data!R2714</f>
        <v/>
      </c>
      <c r="L2590">
        <f>Data!T2714</f>
        <v/>
      </c>
      <c r="M2590">
        <f>AND(E2590=0,F2590=0,G2590=0,H2590=0,I2590=0,J2590=0,K2590=0,L2590=0)</f>
        <v/>
      </c>
      <c r="N2590">
        <f>G2590&lt;=$T$6</f>
        <v/>
      </c>
      <c r="O2590">
        <f>G2590&lt;=$T$12</f>
        <v/>
      </c>
      <c r="P2590">
        <f>OR(AND(H2590&gt;=$T$4,K2590&lt;=$T$5,N2590),M2590)</f>
        <v/>
      </c>
      <c r="Q2590">
        <f>OR(AND(I2590&gt;=$T$10,K2590&lt;=$T$11,O2590),M2590)</f>
        <v/>
      </c>
    </row>
    <row r="2591">
      <c r="A2591">
        <f>Data!E2715</f>
        <v/>
      </c>
      <c r="B2591">
        <f>Data!G2715</f>
        <v/>
      </c>
      <c r="C2591">
        <f>Data!H2715</f>
        <v/>
      </c>
      <c r="D2591">
        <f>Data!I2715</f>
        <v/>
      </c>
      <c r="E2591">
        <f>Data!M2715</f>
        <v/>
      </c>
      <c r="F2591">
        <f>Data!O2715</f>
        <v/>
      </c>
      <c r="G2591">
        <f>E2591-F2591</f>
        <v/>
      </c>
      <c r="H2591">
        <f>Data!P2715</f>
        <v/>
      </c>
      <c r="I2591">
        <f>G2591+H2591</f>
        <v/>
      </c>
      <c r="J2591">
        <f>F2591+G2591+H2591</f>
        <v/>
      </c>
      <c r="K2591">
        <f>Data!R2715</f>
        <v/>
      </c>
      <c r="L2591">
        <f>Data!T2715</f>
        <v/>
      </c>
      <c r="M2591">
        <f>AND(E2591=0,F2591=0,G2591=0,H2591=0,I2591=0,J2591=0,K2591=0,L2591=0)</f>
        <v/>
      </c>
      <c r="N2591">
        <f>G2591&lt;=$T$6</f>
        <v/>
      </c>
      <c r="O2591">
        <f>G2591&lt;=$T$12</f>
        <v/>
      </c>
      <c r="P2591">
        <f>OR(AND(H2591&gt;=$T$4,K2591&lt;=$T$5,N2591),M2591)</f>
        <v/>
      </c>
      <c r="Q2591">
        <f>OR(AND(I2591&gt;=$T$10,K2591&lt;=$T$11,O2591),M2591)</f>
        <v/>
      </c>
    </row>
    <row r="2592">
      <c r="A2592">
        <f>Data!E2716</f>
        <v/>
      </c>
      <c r="B2592">
        <f>Data!G2716</f>
        <v/>
      </c>
      <c r="C2592">
        <f>Data!H2716</f>
        <v/>
      </c>
      <c r="D2592">
        <f>Data!I2716</f>
        <v/>
      </c>
      <c r="E2592">
        <f>Data!M2716</f>
        <v/>
      </c>
      <c r="F2592">
        <f>Data!O2716</f>
        <v/>
      </c>
      <c r="G2592">
        <f>E2592-F2592</f>
        <v/>
      </c>
      <c r="H2592">
        <f>Data!P2716</f>
        <v/>
      </c>
      <c r="I2592">
        <f>G2592+H2592</f>
        <v/>
      </c>
      <c r="J2592">
        <f>F2592+G2592+H2592</f>
        <v/>
      </c>
      <c r="K2592">
        <f>Data!R2716</f>
        <v/>
      </c>
      <c r="L2592">
        <f>Data!T2716</f>
        <v/>
      </c>
      <c r="M2592">
        <f>AND(E2592=0,F2592=0,G2592=0,H2592=0,I2592=0,J2592=0,K2592=0,L2592=0)</f>
        <v/>
      </c>
      <c r="N2592">
        <f>G2592&lt;=$T$6</f>
        <v/>
      </c>
      <c r="O2592">
        <f>G2592&lt;=$T$12</f>
        <v/>
      </c>
      <c r="P2592">
        <f>OR(AND(H2592&gt;=$T$4,K2592&lt;=$T$5,N2592),M2592)</f>
        <v/>
      </c>
      <c r="Q2592">
        <f>OR(AND(I2592&gt;=$T$10,K2592&lt;=$T$11,O2592),M2592)</f>
        <v/>
      </c>
    </row>
    <row r="2593">
      <c r="A2593">
        <f>Data!E2718</f>
        <v/>
      </c>
      <c r="B2593">
        <f>Data!G2718</f>
        <v/>
      </c>
      <c r="C2593">
        <f>Data!H2718</f>
        <v/>
      </c>
      <c r="D2593">
        <f>Data!I2718</f>
        <v/>
      </c>
      <c r="E2593">
        <f>Data!M2718</f>
        <v/>
      </c>
      <c r="F2593">
        <f>Data!O2718</f>
        <v/>
      </c>
      <c r="G2593">
        <f>E2593-F2593</f>
        <v/>
      </c>
      <c r="H2593">
        <f>Data!P2718</f>
        <v/>
      </c>
      <c r="I2593">
        <f>G2593+H2593</f>
        <v/>
      </c>
      <c r="J2593">
        <f>F2593+G2593+H2593</f>
        <v/>
      </c>
      <c r="K2593">
        <f>Data!R2718</f>
        <v/>
      </c>
      <c r="L2593">
        <f>Data!T2718</f>
        <v/>
      </c>
      <c r="M2593">
        <f>AND(E2593=0,F2593=0,G2593=0,H2593=0,I2593=0,J2593=0,K2593=0,L2593=0)</f>
        <v/>
      </c>
      <c r="N2593">
        <f>G2593&lt;=$T$6</f>
        <v/>
      </c>
      <c r="O2593">
        <f>G2593&lt;=$T$12</f>
        <v/>
      </c>
      <c r="P2593">
        <f>OR(AND(H2593&gt;=$T$4,K2593&lt;=$T$5,N2593),M2593)</f>
        <v/>
      </c>
      <c r="Q2593">
        <f>OR(AND(I2593&gt;=$T$10,K2593&lt;=$T$11,O2593),M2593)</f>
        <v/>
      </c>
    </row>
    <row r="2594">
      <c r="A2594">
        <f>Data!E2719</f>
        <v/>
      </c>
      <c r="B2594">
        <f>Data!G2719</f>
        <v/>
      </c>
      <c r="C2594">
        <f>Data!H2719</f>
        <v/>
      </c>
      <c r="D2594">
        <f>Data!I2719</f>
        <v/>
      </c>
      <c r="E2594">
        <f>Data!M2719</f>
        <v/>
      </c>
      <c r="F2594">
        <f>Data!O2719</f>
        <v/>
      </c>
      <c r="G2594">
        <f>E2594-F2594</f>
        <v/>
      </c>
      <c r="H2594">
        <f>Data!P2719</f>
        <v/>
      </c>
      <c r="I2594">
        <f>G2594+H2594</f>
        <v/>
      </c>
      <c r="J2594">
        <f>F2594+G2594+H2594</f>
        <v/>
      </c>
      <c r="K2594">
        <f>Data!R2719</f>
        <v/>
      </c>
      <c r="L2594">
        <f>Data!T2719</f>
        <v/>
      </c>
      <c r="M2594">
        <f>AND(E2594=0,F2594=0,G2594=0,H2594=0,I2594=0,J2594=0,K2594=0,L2594=0)</f>
        <v/>
      </c>
      <c r="N2594">
        <f>G2594&lt;=$T$6</f>
        <v/>
      </c>
      <c r="O2594">
        <f>G2594&lt;=$T$12</f>
        <v/>
      </c>
      <c r="P2594">
        <f>OR(AND(H2594&gt;=$T$4,K2594&lt;=$T$5,N2594),M2594)</f>
        <v/>
      </c>
      <c r="Q2594">
        <f>OR(AND(I2594&gt;=$T$10,K2594&lt;=$T$11,O2594),M2594)</f>
        <v/>
      </c>
    </row>
    <row r="2595">
      <c r="A2595">
        <f>Data!E2720</f>
        <v/>
      </c>
      <c r="B2595">
        <f>Data!G2720</f>
        <v/>
      </c>
      <c r="C2595">
        <f>Data!H2720</f>
        <v/>
      </c>
      <c r="D2595">
        <f>Data!I2720</f>
        <v/>
      </c>
      <c r="E2595">
        <f>Data!M2720</f>
        <v/>
      </c>
      <c r="F2595">
        <f>Data!O2720</f>
        <v/>
      </c>
      <c r="G2595">
        <f>E2595-F2595</f>
        <v/>
      </c>
      <c r="H2595">
        <f>Data!P2720</f>
        <v/>
      </c>
      <c r="I2595">
        <f>G2595+H2595</f>
        <v/>
      </c>
      <c r="J2595">
        <f>F2595+G2595+H2595</f>
        <v/>
      </c>
      <c r="K2595">
        <f>Data!R2720</f>
        <v/>
      </c>
      <c r="L2595">
        <f>Data!T2720</f>
        <v/>
      </c>
      <c r="M2595">
        <f>AND(E2595=0,F2595=0,G2595=0,H2595=0,I2595=0,J2595=0,K2595=0,L2595=0)</f>
        <v/>
      </c>
      <c r="N2595">
        <f>G2595&lt;=$T$6</f>
        <v/>
      </c>
      <c r="O2595">
        <f>G2595&lt;=$T$12</f>
        <v/>
      </c>
      <c r="P2595">
        <f>OR(AND(H2595&gt;=$T$4,K2595&lt;=$T$5,N2595),M2595)</f>
        <v/>
      </c>
      <c r="Q2595">
        <f>OR(AND(I2595&gt;=$T$10,K2595&lt;=$T$11,O2595),M2595)</f>
        <v/>
      </c>
    </row>
    <row r="2596">
      <c r="A2596">
        <f>Data!E2721</f>
        <v/>
      </c>
      <c r="B2596">
        <f>Data!G2721</f>
        <v/>
      </c>
      <c r="C2596">
        <f>Data!H2721</f>
        <v/>
      </c>
      <c r="D2596">
        <f>Data!I2721</f>
        <v/>
      </c>
      <c r="E2596">
        <f>Data!M2721</f>
        <v/>
      </c>
      <c r="F2596">
        <f>Data!O2721</f>
        <v/>
      </c>
      <c r="G2596">
        <f>E2596-F2596</f>
        <v/>
      </c>
      <c r="H2596">
        <f>Data!P2721</f>
        <v/>
      </c>
      <c r="I2596">
        <f>G2596+H2596</f>
        <v/>
      </c>
      <c r="J2596">
        <f>F2596+G2596+H2596</f>
        <v/>
      </c>
      <c r="K2596">
        <f>Data!R2721</f>
        <v/>
      </c>
      <c r="L2596">
        <f>Data!T2721</f>
        <v/>
      </c>
      <c r="M2596">
        <f>AND(E2596=0,F2596=0,G2596=0,H2596=0,I2596=0,J2596=0,K2596=0,L2596=0)</f>
        <v/>
      </c>
      <c r="N2596">
        <f>G2596&lt;=$T$6</f>
        <v/>
      </c>
      <c r="O2596">
        <f>G2596&lt;=$T$12</f>
        <v/>
      </c>
      <c r="P2596">
        <f>OR(AND(H2596&gt;=$T$4,K2596&lt;=$T$5,N2596),M2596)</f>
        <v/>
      </c>
      <c r="Q2596">
        <f>OR(AND(I2596&gt;=$T$10,K2596&lt;=$T$11,O2596),M2596)</f>
        <v/>
      </c>
    </row>
    <row r="2597">
      <c r="A2597">
        <f>Data!E2722</f>
        <v/>
      </c>
      <c r="B2597">
        <f>Data!G2722</f>
        <v/>
      </c>
      <c r="C2597">
        <f>Data!H2722</f>
        <v/>
      </c>
      <c r="D2597">
        <f>Data!I2722</f>
        <v/>
      </c>
      <c r="E2597">
        <f>Data!M2722</f>
        <v/>
      </c>
      <c r="F2597">
        <f>Data!O2722</f>
        <v/>
      </c>
      <c r="G2597">
        <f>E2597-F2597</f>
        <v/>
      </c>
      <c r="H2597">
        <f>Data!P2722</f>
        <v/>
      </c>
      <c r="I2597">
        <f>G2597+H2597</f>
        <v/>
      </c>
      <c r="J2597">
        <f>F2597+G2597+H2597</f>
        <v/>
      </c>
      <c r="K2597">
        <f>Data!R2722</f>
        <v/>
      </c>
      <c r="L2597">
        <f>Data!T2722</f>
        <v/>
      </c>
      <c r="M2597">
        <f>AND(E2597=0,F2597=0,G2597=0,H2597=0,I2597=0,J2597=0,K2597=0,L2597=0)</f>
        <v/>
      </c>
      <c r="N2597">
        <f>G2597&lt;=$T$6</f>
        <v/>
      </c>
      <c r="O2597">
        <f>G2597&lt;=$T$12</f>
        <v/>
      </c>
      <c r="P2597">
        <f>OR(AND(H2597&gt;=$T$4,K2597&lt;=$T$5,N2597),M2597)</f>
        <v/>
      </c>
      <c r="Q2597">
        <f>OR(AND(I2597&gt;=$T$10,K2597&lt;=$T$11,O2597),M2597)</f>
        <v/>
      </c>
    </row>
    <row r="2598">
      <c r="A2598">
        <f>Data!E2723</f>
        <v/>
      </c>
      <c r="B2598">
        <f>Data!G2723</f>
        <v/>
      </c>
      <c r="C2598">
        <f>Data!H2723</f>
        <v/>
      </c>
      <c r="D2598">
        <f>Data!I2723</f>
        <v/>
      </c>
      <c r="E2598">
        <f>Data!M2723</f>
        <v/>
      </c>
      <c r="F2598">
        <f>Data!O2723</f>
        <v/>
      </c>
      <c r="G2598">
        <f>E2598-F2598</f>
        <v/>
      </c>
      <c r="H2598">
        <f>Data!P2723</f>
        <v/>
      </c>
      <c r="I2598">
        <f>G2598+H2598</f>
        <v/>
      </c>
      <c r="J2598">
        <f>F2598+G2598+H2598</f>
        <v/>
      </c>
      <c r="K2598">
        <f>Data!R2723</f>
        <v/>
      </c>
      <c r="L2598">
        <f>Data!T2723</f>
        <v/>
      </c>
      <c r="M2598">
        <f>AND(E2598=0,F2598=0,G2598=0,H2598=0,I2598=0,J2598=0,K2598=0,L2598=0)</f>
        <v/>
      </c>
      <c r="N2598">
        <f>G2598&lt;=$T$6</f>
        <v/>
      </c>
      <c r="O2598">
        <f>G2598&lt;=$T$12</f>
        <v/>
      </c>
      <c r="P2598">
        <f>OR(AND(H2598&gt;=$T$4,K2598&lt;=$T$5,N2598),M2598)</f>
        <v/>
      </c>
      <c r="Q2598">
        <f>OR(AND(I2598&gt;=$T$10,K2598&lt;=$T$11,O2598),M2598)</f>
        <v/>
      </c>
    </row>
    <row r="2599">
      <c r="A2599">
        <f>Data!E2724</f>
        <v/>
      </c>
      <c r="B2599">
        <f>Data!G2724</f>
        <v/>
      </c>
      <c r="C2599">
        <f>Data!H2724</f>
        <v/>
      </c>
      <c r="D2599">
        <f>Data!I2724</f>
        <v/>
      </c>
      <c r="E2599">
        <f>Data!M2724</f>
        <v/>
      </c>
      <c r="F2599">
        <f>Data!O2724</f>
        <v/>
      </c>
      <c r="G2599">
        <f>E2599-F2599</f>
        <v/>
      </c>
      <c r="H2599">
        <f>Data!P2724</f>
        <v/>
      </c>
      <c r="I2599">
        <f>G2599+H2599</f>
        <v/>
      </c>
      <c r="J2599">
        <f>F2599+G2599+H2599</f>
        <v/>
      </c>
      <c r="K2599">
        <f>Data!R2724</f>
        <v/>
      </c>
      <c r="L2599">
        <f>Data!T2724</f>
        <v/>
      </c>
      <c r="M2599">
        <f>AND(E2599=0,F2599=0,G2599=0,H2599=0,I2599=0,J2599=0,K2599=0,L2599=0)</f>
        <v/>
      </c>
      <c r="N2599">
        <f>G2599&lt;=$T$6</f>
        <v/>
      </c>
      <c r="O2599">
        <f>G2599&lt;=$T$12</f>
        <v/>
      </c>
      <c r="P2599">
        <f>OR(AND(H2599&gt;=$T$4,K2599&lt;=$T$5,N2599),M2599)</f>
        <v/>
      </c>
      <c r="Q2599">
        <f>OR(AND(I2599&gt;=$T$10,K2599&lt;=$T$11,O2599),M2599)</f>
        <v/>
      </c>
    </row>
    <row r="2600">
      <c r="A2600">
        <f>Data!E2725</f>
        <v/>
      </c>
      <c r="B2600">
        <f>Data!G2725</f>
        <v/>
      </c>
      <c r="C2600">
        <f>Data!H2725</f>
        <v/>
      </c>
      <c r="D2600">
        <f>Data!I2725</f>
        <v/>
      </c>
      <c r="E2600">
        <f>Data!M2725</f>
        <v/>
      </c>
      <c r="F2600">
        <f>Data!O2725</f>
        <v/>
      </c>
      <c r="G2600">
        <f>E2600-F2600</f>
        <v/>
      </c>
      <c r="H2600">
        <f>Data!P2725</f>
        <v/>
      </c>
      <c r="I2600">
        <f>G2600+H2600</f>
        <v/>
      </c>
      <c r="J2600">
        <f>F2600+G2600+H2600</f>
        <v/>
      </c>
      <c r="K2600">
        <f>Data!R2725</f>
        <v/>
      </c>
      <c r="L2600">
        <f>Data!T2725</f>
        <v/>
      </c>
      <c r="M2600">
        <f>AND(E2600=0,F2600=0,G2600=0,H2600=0,I2600=0,J2600=0,K2600=0,L2600=0)</f>
        <v/>
      </c>
      <c r="N2600">
        <f>G2600&lt;=$T$6</f>
        <v/>
      </c>
      <c r="O2600">
        <f>G2600&lt;=$T$12</f>
        <v/>
      </c>
      <c r="P2600">
        <f>OR(AND(H2600&gt;=$T$4,K2600&lt;=$T$5,N2600),M2600)</f>
        <v/>
      </c>
      <c r="Q2600">
        <f>OR(AND(I2600&gt;=$T$10,K2600&lt;=$T$11,O2600),M2600)</f>
        <v/>
      </c>
    </row>
    <row r="2601">
      <c r="A2601">
        <f>Data!E2726</f>
        <v/>
      </c>
      <c r="B2601">
        <f>Data!G2726</f>
        <v/>
      </c>
      <c r="C2601">
        <f>Data!H2726</f>
        <v/>
      </c>
      <c r="D2601">
        <f>Data!I2726</f>
        <v/>
      </c>
      <c r="E2601">
        <f>Data!M2726</f>
        <v/>
      </c>
      <c r="F2601">
        <f>Data!O2726</f>
        <v/>
      </c>
      <c r="G2601">
        <f>E2601-F2601</f>
        <v/>
      </c>
      <c r="H2601">
        <f>Data!P2726</f>
        <v/>
      </c>
      <c r="I2601">
        <f>G2601+H2601</f>
        <v/>
      </c>
      <c r="J2601">
        <f>F2601+G2601+H2601</f>
        <v/>
      </c>
      <c r="K2601">
        <f>Data!R2726</f>
        <v/>
      </c>
      <c r="L2601">
        <f>Data!T2726</f>
        <v/>
      </c>
      <c r="M2601">
        <f>AND(E2601=0,F2601=0,G2601=0,H2601=0,I2601=0,J2601=0,K2601=0,L2601=0)</f>
        <v/>
      </c>
      <c r="N2601">
        <f>G2601&lt;=$T$6</f>
        <v/>
      </c>
      <c r="O2601">
        <f>G2601&lt;=$T$12</f>
        <v/>
      </c>
      <c r="P2601">
        <f>OR(AND(H2601&gt;=$T$4,K2601&lt;=$T$5,N2601),M2601)</f>
        <v/>
      </c>
      <c r="Q2601">
        <f>OR(AND(I2601&gt;=$T$10,K2601&lt;=$T$11,O2601),M2601)</f>
        <v/>
      </c>
    </row>
    <row r="2602">
      <c r="A2602">
        <f>Data!E2727</f>
        <v/>
      </c>
      <c r="B2602">
        <f>Data!G2727</f>
        <v/>
      </c>
      <c r="C2602">
        <f>Data!H2727</f>
        <v/>
      </c>
      <c r="D2602">
        <f>Data!I2727</f>
        <v/>
      </c>
      <c r="E2602">
        <f>Data!M2727</f>
        <v/>
      </c>
      <c r="F2602">
        <f>Data!O2727</f>
        <v/>
      </c>
      <c r="G2602">
        <f>E2602-F2602</f>
        <v/>
      </c>
      <c r="H2602">
        <f>Data!P2727</f>
        <v/>
      </c>
      <c r="I2602">
        <f>G2602+H2602</f>
        <v/>
      </c>
      <c r="J2602">
        <f>F2602+G2602+H2602</f>
        <v/>
      </c>
      <c r="K2602">
        <f>Data!R2727</f>
        <v/>
      </c>
      <c r="L2602">
        <f>Data!T2727</f>
        <v/>
      </c>
      <c r="M2602">
        <f>AND(E2602=0,F2602=0,G2602=0,H2602=0,I2602=0,J2602=0,K2602=0,L2602=0)</f>
        <v/>
      </c>
      <c r="N2602">
        <f>G2602&lt;=$T$6</f>
        <v/>
      </c>
      <c r="O2602">
        <f>G2602&lt;=$T$12</f>
        <v/>
      </c>
      <c r="P2602">
        <f>OR(AND(H2602&gt;=$T$4,K2602&lt;=$T$5,N2602),M2602)</f>
        <v/>
      </c>
      <c r="Q2602">
        <f>OR(AND(I2602&gt;=$T$10,K2602&lt;=$T$11,O2602),M2602)</f>
        <v/>
      </c>
    </row>
    <row r="2603">
      <c r="A2603">
        <f>Data!E2728</f>
        <v/>
      </c>
      <c r="B2603">
        <f>Data!G2728</f>
        <v/>
      </c>
      <c r="C2603">
        <f>Data!H2728</f>
        <v/>
      </c>
      <c r="D2603">
        <f>Data!I2728</f>
        <v/>
      </c>
      <c r="E2603">
        <f>Data!M2728</f>
        <v/>
      </c>
      <c r="F2603">
        <f>Data!O2728</f>
        <v/>
      </c>
      <c r="G2603">
        <f>E2603-F2603</f>
        <v/>
      </c>
      <c r="H2603">
        <f>Data!P2728</f>
        <v/>
      </c>
      <c r="I2603">
        <f>G2603+H2603</f>
        <v/>
      </c>
      <c r="J2603">
        <f>F2603+G2603+H2603</f>
        <v/>
      </c>
      <c r="K2603">
        <f>Data!R2728</f>
        <v/>
      </c>
      <c r="L2603">
        <f>Data!T2728</f>
        <v/>
      </c>
      <c r="M2603">
        <f>AND(E2603=0,F2603=0,G2603=0,H2603=0,I2603=0,J2603=0,K2603=0,L2603=0)</f>
        <v/>
      </c>
      <c r="N2603">
        <f>G2603&lt;=$T$6</f>
        <v/>
      </c>
      <c r="O2603">
        <f>G2603&lt;=$T$12</f>
        <v/>
      </c>
      <c r="P2603">
        <f>OR(AND(H2603&gt;=$T$4,K2603&lt;=$T$5,N2603),M2603)</f>
        <v/>
      </c>
      <c r="Q2603">
        <f>OR(AND(I2603&gt;=$T$10,K2603&lt;=$T$11,O2603),M2603)</f>
        <v/>
      </c>
    </row>
    <row r="2604">
      <c r="A2604">
        <f>Data!E2729</f>
        <v/>
      </c>
      <c r="B2604">
        <f>Data!G2729</f>
        <v/>
      </c>
      <c r="C2604">
        <f>Data!H2729</f>
        <v/>
      </c>
      <c r="D2604">
        <f>Data!I2729</f>
        <v/>
      </c>
      <c r="E2604">
        <f>Data!M2729</f>
        <v/>
      </c>
      <c r="F2604">
        <f>Data!O2729</f>
        <v/>
      </c>
      <c r="G2604">
        <f>E2604-F2604</f>
        <v/>
      </c>
      <c r="H2604">
        <f>Data!P2729</f>
        <v/>
      </c>
      <c r="I2604">
        <f>G2604+H2604</f>
        <v/>
      </c>
      <c r="J2604">
        <f>F2604+G2604+H2604</f>
        <v/>
      </c>
      <c r="K2604">
        <f>Data!R2729</f>
        <v/>
      </c>
      <c r="L2604">
        <f>Data!T2729</f>
        <v/>
      </c>
      <c r="M2604">
        <f>AND(E2604=0,F2604=0,G2604=0,H2604=0,I2604=0,J2604=0,K2604=0,L2604=0)</f>
        <v/>
      </c>
      <c r="N2604">
        <f>G2604&lt;=$T$6</f>
        <v/>
      </c>
      <c r="O2604">
        <f>G2604&lt;=$T$12</f>
        <v/>
      </c>
      <c r="P2604">
        <f>OR(AND(H2604&gt;=$T$4,K2604&lt;=$T$5,N2604),M2604)</f>
        <v/>
      </c>
      <c r="Q2604">
        <f>OR(AND(I2604&gt;=$T$10,K2604&lt;=$T$11,O2604),M2604)</f>
        <v/>
      </c>
    </row>
    <row r="2605">
      <c r="A2605">
        <f>Data!E2730</f>
        <v/>
      </c>
      <c r="B2605">
        <f>Data!G2730</f>
        <v/>
      </c>
      <c r="C2605">
        <f>Data!H2730</f>
        <v/>
      </c>
      <c r="D2605">
        <f>Data!I2730</f>
        <v/>
      </c>
      <c r="E2605">
        <f>Data!M2730</f>
        <v/>
      </c>
      <c r="F2605">
        <f>Data!O2730</f>
        <v/>
      </c>
      <c r="G2605">
        <f>E2605-F2605</f>
        <v/>
      </c>
      <c r="H2605">
        <f>Data!P2730</f>
        <v/>
      </c>
      <c r="I2605">
        <f>G2605+H2605</f>
        <v/>
      </c>
      <c r="J2605">
        <f>F2605+G2605+H2605</f>
        <v/>
      </c>
      <c r="K2605">
        <f>Data!R2730</f>
        <v/>
      </c>
      <c r="L2605">
        <f>Data!T2730</f>
        <v/>
      </c>
      <c r="M2605">
        <f>AND(E2605=0,F2605=0,G2605=0,H2605=0,I2605=0,J2605=0,K2605=0,L2605=0)</f>
        <v/>
      </c>
      <c r="N2605">
        <f>G2605&lt;=$T$6</f>
        <v/>
      </c>
      <c r="O2605">
        <f>G2605&lt;=$T$12</f>
        <v/>
      </c>
      <c r="P2605">
        <f>OR(AND(H2605&gt;=$T$4,K2605&lt;=$T$5,N2605),M2605)</f>
        <v/>
      </c>
      <c r="Q2605">
        <f>OR(AND(I2605&gt;=$T$10,K2605&lt;=$T$11,O2605),M2605)</f>
        <v/>
      </c>
    </row>
    <row r="2606">
      <c r="A2606">
        <f>Data!E2731</f>
        <v/>
      </c>
      <c r="B2606">
        <f>Data!G2731</f>
        <v/>
      </c>
      <c r="C2606">
        <f>Data!H2731</f>
        <v/>
      </c>
      <c r="D2606">
        <f>Data!I2731</f>
        <v/>
      </c>
      <c r="E2606">
        <f>Data!M2731</f>
        <v/>
      </c>
      <c r="F2606">
        <f>Data!O2731</f>
        <v/>
      </c>
      <c r="G2606">
        <f>E2606-F2606</f>
        <v/>
      </c>
      <c r="H2606">
        <f>Data!P2731</f>
        <v/>
      </c>
      <c r="I2606">
        <f>G2606+H2606</f>
        <v/>
      </c>
      <c r="J2606">
        <f>F2606+G2606+H2606</f>
        <v/>
      </c>
      <c r="K2606">
        <f>Data!R2731</f>
        <v/>
      </c>
      <c r="L2606">
        <f>Data!T2731</f>
        <v/>
      </c>
      <c r="M2606">
        <f>AND(E2606=0,F2606=0,G2606=0,H2606=0,I2606=0,J2606=0,K2606=0,L2606=0)</f>
        <v/>
      </c>
      <c r="N2606">
        <f>G2606&lt;=$T$6</f>
        <v/>
      </c>
      <c r="O2606">
        <f>G2606&lt;=$T$12</f>
        <v/>
      </c>
      <c r="P2606">
        <f>OR(AND(H2606&gt;=$T$4,K2606&lt;=$T$5,N2606),M2606)</f>
        <v/>
      </c>
      <c r="Q2606">
        <f>OR(AND(I2606&gt;=$T$10,K2606&lt;=$T$11,O2606),M2606)</f>
        <v/>
      </c>
    </row>
    <row r="2607">
      <c r="A2607">
        <f>Data!E2732</f>
        <v/>
      </c>
      <c r="B2607">
        <f>Data!G2732</f>
        <v/>
      </c>
      <c r="C2607">
        <f>Data!H2732</f>
        <v/>
      </c>
      <c r="D2607">
        <f>Data!I2732</f>
        <v/>
      </c>
      <c r="E2607">
        <f>Data!M2732</f>
        <v/>
      </c>
      <c r="F2607">
        <f>Data!O2732</f>
        <v/>
      </c>
      <c r="G2607">
        <f>E2607-F2607</f>
        <v/>
      </c>
      <c r="H2607">
        <f>Data!P2732</f>
        <v/>
      </c>
      <c r="I2607">
        <f>G2607+H2607</f>
        <v/>
      </c>
      <c r="J2607">
        <f>F2607+G2607+H2607</f>
        <v/>
      </c>
      <c r="K2607">
        <f>Data!R2732</f>
        <v/>
      </c>
      <c r="L2607">
        <f>Data!T2732</f>
        <v/>
      </c>
      <c r="M2607">
        <f>AND(E2607=0,F2607=0,G2607=0,H2607=0,I2607=0,J2607=0,K2607=0,L2607=0)</f>
        <v/>
      </c>
      <c r="N2607">
        <f>G2607&lt;=$T$6</f>
        <v/>
      </c>
      <c r="O2607">
        <f>G2607&lt;=$T$12</f>
        <v/>
      </c>
      <c r="P2607">
        <f>OR(AND(H2607&gt;=$T$4,K2607&lt;=$T$5,N2607),M2607)</f>
        <v/>
      </c>
      <c r="Q2607">
        <f>OR(AND(I2607&gt;=$T$10,K2607&lt;=$T$11,O2607),M2607)</f>
        <v/>
      </c>
    </row>
    <row r="2608">
      <c r="A2608">
        <f>Data!E2733</f>
        <v/>
      </c>
      <c r="B2608">
        <f>Data!G2733</f>
        <v/>
      </c>
      <c r="C2608">
        <f>Data!H2733</f>
        <v/>
      </c>
      <c r="D2608">
        <f>Data!I2733</f>
        <v/>
      </c>
      <c r="E2608">
        <f>Data!M2733</f>
        <v/>
      </c>
      <c r="F2608">
        <f>Data!O2733</f>
        <v/>
      </c>
      <c r="G2608">
        <f>E2608-F2608</f>
        <v/>
      </c>
      <c r="H2608">
        <f>Data!P2733</f>
        <v/>
      </c>
      <c r="I2608">
        <f>G2608+H2608</f>
        <v/>
      </c>
      <c r="J2608">
        <f>F2608+G2608+H2608</f>
        <v/>
      </c>
      <c r="K2608">
        <f>Data!R2733</f>
        <v/>
      </c>
      <c r="L2608">
        <f>Data!T2733</f>
        <v/>
      </c>
      <c r="M2608">
        <f>AND(E2608=0,F2608=0,G2608=0,H2608=0,I2608=0,J2608=0,K2608=0,L2608=0)</f>
        <v/>
      </c>
      <c r="N2608">
        <f>G2608&lt;=$T$6</f>
        <v/>
      </c>
      <c r="O2608">
        <f>G2608&lt;=$T$12</f>
        <v/>
      </c>
      <c r="P2608">
        <f>OR(AND(H2608&gt;=$T$4,K2608&lt;=$T$5,N2608),M2608)</f>
        <v/>
      </c>
      <c r="Q2608">
        <f>OR(AND(I2608&gt;=$T$10,K2608&lt;=$T$11,O2608),M2608)</f>
        <v/>
      </c>
    </row>
    <row r="2609">
      <c r="A2609">
        <f>Data!E2734</f>
        <v/>
      </c>
      <c r="B2609">
        <f>Data!G2734</f>
        <v/>
      </c>
      <c r="C2609">
        <f>Data!H2734</f>
        <v/>
      </c>
      <c r="D2609">
        <f>Data!I2734</f>
        <v/>
      </c>
      <c r="E2609">
        <f>Data!M2734</f>
        <v/>
      </c>
      <c r="F2609">
        <f>Data!O2734</f>
        <v/>
      </c>
      <c r="G2609">
        <f>E2609-F2609</f>
        <v/>
      </c>
      <c r="H2609">
        <f>Data!P2734</f>
        <v/>
      </c>
      <c r="I2609">
        <f>G2609+H2609</f>
        <v/>
      </c>
      <c r="J2609">
        <f>F2609+G2609+H2609</f>
        <v/>
      </c>
      <c r="K2609">
        <f>Data!R2734</f>
        <v/>
      </c>
      <c r="L2609">
        <f>Data!T2734</f>
        <v/>
      </c>
      <c r="M2609">
        <f>AND(E2609=0,F2609=0,G2609=0,H2609=0,I2609=0,J2609=0,K2609=0,L2609=0)</f>
        <v/>
      </c>
      <c r="N2609">
        <f>G2609&lt;=$T$6</f>
        <v/>
      </c>
      <c r="O2609">
        <f>G2609&lt;=$T$12</f>
        <v/>
      </c>
      <c r="P2609">
        <f>OR(AND(H2609&gt;=$T$4,K2609&lt;=$T$5,N2609),M2609)</f>
        <v/>
      </c>
      <c r="Q2609">
        <f>OR(AND(I2609&gt;=$T$10,K2609&lt;=$T$11,O2609),M2609)</f>
        <v/>
      </c>
    </row>
    <row r="2610">
      <c r="A2610">
        <f>Data!E2735</f>
        <v/>
      </c>
      <c r="B2610">
        <f>Data!G2735</f>
        <v/>
      </c>
      <c r="C2610">
        <f>Data!H2735</f>
        <v/>
      </c>
      <c r="D2610">
        <f>Data!I2735</f>
        <v/>
      </c>
      <c r="E2610">
        <f>Data!M2735</f>
        <v/>
      </c>
      <c r="F2610">
        <f>Data!O2735</f>
        <v/>
      </c>
      <c r="G2610">
        <f>E2610-F2610</f>
        <v/>
      </c>
      <c r="H2610">
        <f>Data!P2735</f>
        <v/>
      </c>
      <c r="I2610">
        <f>G2610+H2610</f>
        <v/>
      </c>
      <c r="J2610">
        <f>F2610+G2610+H2610</f>
        <v/>
      </c>
      <c r="K2610">
        <f>Data!R2735</f>
        <v/>
      </c>
      <c r="L2610">
        <f>Data!T2735</f>
        <v/>
      </c>
      <c r="M2610">
        <f>AND(E2610=0,F2610=0,G2610=0,H2610=0,I2610=0,J2610=0,K2610=0,L2610=0)</f>
        <v/>
      </c>
      <c r="N2610">
        <f>G2610&lt;=$T$6</f>
        <v/>
      </c>
      <c r="O2610">
        <f>G2610&lt;=$T$12</f>
        <v/>
      </c>
      <c r="P2610">
        <f>OR(AND(H2610&gt;=$T$4,K2610&lt;=$T$5,N2610),M2610)</f>
        <v/>
      </c>
      <c r="Q2610">
        <f>OR(AND(I2610&gt;=$T$10,K2610&lt;=$T$11,O2610),M2610)</f>
        <v/>
      </c>
    </row>
    <row r="2611">
      <c r="A2611">
        <f>Data!E2736</f>
        <v/>
      </c>
      <c r="B2611">
        <f>Data!G2736</f>
        <v/>
      </c>
      <c r="C2611">
        <f>Data!H2736</f>
        <v/>
      </c>
      <c r="D2611">
        <f>Data!I2736</f>
        <v/>
      </c>
      <c r="E2611">
        <f>Data!M2736</f>
        <v/>
      </c>
      <c r="F2611">
        <f>Data!O2736</f>
        <v/>
      </c>
      <c r="G2611">
        <f>E2611-F2611</f>
        <v/>
      </c>
      <c r="H2611">
        <f>Data!P2736</f>
        <v/>
      </c>
      <c r="I2611">
        <f>G2611+H2611</f>
        <v/>
      </c>
      <c r="J2611">
        <f>F2611+G2611+H2611</f>
        <v/>
      </c>
      <c r="K2611">
        <f>Data!R2736</f>
        <v/>
      </c>
      <c r="L2611">
        <f>Data!T2736</f>
        <v/>
      </c>
      <c r="M2611">
        <f>AND(E2611=0,F2611=0,G2611=0,H2611=0,I2611=0,J2611=0,K2611=0,L2611=0)</f>
        <v/>
      </c>
      <c r="N2611">
        <f>G2611&lt;=$T$6</f>
        <v/>
      </c>
      <c r="O2611">
        <f>G2611&lt;=$T$12</f>
        <v/>
      </c>
      <c r="P2611">
        <f>OR(AND(H2611&gt;=$T$4,K2611&lt;=$T$5,N2611),M2611)</f>
        <v/>
      </c>
      <c r="Q2611">
        <f>OR(AND(I2611&gt;=$T$10,K2611&lt;=$T$11,O2611),M2611)</f>
        <v/>
      </c>
    </row>
    <row r="2612">
      <c r="A2612">
        <f>Data!E2737</f>
        <v/>
      </c>
      <c r="B2612">
        <f>Data!G2737</f>
        <v/>
      </c>
      <c r="C2612">
        <f>Data!H2737</f>
        <v/>
      </c>
      <c r="D2612">
        <f>Data!I2737</f>
        <v/>
      </c>
      <c r="E2612">
        <f>Data!M2737</f>
        <v/>
      </c>
      <c r="F2612">
        <f>Data!O2737</f>
        <v/>
      </c>
      <c r="G2612">
        <f>E2612-F2612</f>
        <v/>
      </c>
      <c r="H2612">
        <f>Data!P2737</f>
        <v/>
      </c>
      <c r="I2612">
        <f>G2612+H2612</f>
        <v/>
      </c>
      <c r="J2612">
        <f>F2612+G2612+H2612</f>
        <v/>
      </c>
      <c r="K2612">
        <f>Data!R2737</f>
        <v/>
      </c>
      <c r="L2612">
        <f>Data!T2737</f>
        <v/>
      </c>
      <c r="M2612">
        <f>AND(E2612=0,F2612=0,G2612=0,H2612=0,I2612=0,J2612=0,K2612=0,L2612=0)</f>
        <v/>
      </c>
      <c r="N2612">
        <f>G2612&lt;=$T$6</f>
        <v/>
      </c>
      <c r="O2612">
        <f>G2612&lt;=$T$12</f>
        <v/>
      </c>
      <c r="P2612">
        <f>OR(AND(H2612&gt;=$T$4,K2612&lt;=$T$5,N2612),M2612)</f>
        <v/>
      </c>
      <c r="Q2612">
        <f>OR(AND(I2612&gt;=$T$10,K2612&lt;=$T$11,O2612),M2612)</f>
        <v/>
      </c>
    </row>
    <row r="2613">
      <c r="A2613">
        <f>Data!E2738</f>
        <v/>
      </c>
      <c r="B2613">
        <f>Data!G2738</f>
        <v/>
      </c>
      <c r="C2613">
        <f>Data!H2738</f>
        <v/>
      </c>
      <c r="D2613">
        <f>Data!I2738</f>
        <v/>
      </c>
      <c r="E2613">
        <f>Data!M2738</f>
        <v/>
      </c>
      <c r="F2613">
        <f>Data!O2738</f>
        <v/>
      </c>
      <c r="G2613">
        <f>E2613-F2613</f>
        <v/>
      </c>
      <c r="H2613">
        <f>Data!P2738</f>
        <v/>
      </c>
      <c r="I2613">
        <f>G2613+H2613</f>
        <v/>
      </c>
      <c r="J2613">
        <f>F2613+G2613+H2613</f>
        <v/>
      </c>
      <c r="K2613">
        <f>Data!R2738</f>
        <v/>
      </c>
      <c r="L2613">
        <f>Data!T2738</f>
        <v/>
      </c>
      <c r="M2613">
        <f>AND(E2613=0,F2613=0,G2613=0,H2613=0,I2613=0,J2613=0,K2613=0,L2613=0)</f>
        <v/>
      </c>
      <c r="N2613">
        <f>G2613&lt;=$T$6</f>
        <v/>
      </c>
      <c r="O2613">
        <f>G2613&lt;=$T$12</f>
        <v/>
      </c>
      <c r="P2613">
        <f>OR(AND(H2613&gt;=$T$4,K2613&lt;=$T$5,N2613),M2613)</f>
        <v/>
      </c>
      <c r="Q2613">
        <f>OR(AND(I2613&gt;=$T$10,K2613&lt;=$T$11,O2613),M2613)</f>
        <v/>
      </c>
    </row>
    <row r="2614">
      <c r="A2614">
        <f>Data!E2739</f>
        <v/>
      </c>
      <c r="B2614">
        <f>Data!G2739</f>
        <v/>
      </c>
      <c r="C2614">
        <f>Data!H2739</f>
        <v/>
      </c>
      <c r="D2614">
        <f>Data!I2739</f>
        <v/>
      </c>
      <c r="E2614">
        <f>Data!M2739</f>
        <v/>
      </c>
      <c r="F2614">
        <f>Data!O2739</f>
        <v/>
      </c>
      <c r="G2614">
        <f>E2614-F2614</f>
        <v/>
      </c>
      <c r="H2614">
        <f>Data!P2739</f>
        <v/>
      </c>
      <c r="I2614">
        <f>G2614+H2614</f>
        <v/>
      </c>
      <c r="J2614">
        <f>F2614+G2614+H2614</f>
        <v/>
      </c>
      <c r="K2614">
        <f>Data!R2739</f>
        <v/>
      </c>
      <c r="L2614">
        <f>Data!T2739</f>
        <v/>
      </c>
      <c r="M2614">
        <f>AND(E2614=0,F2614=0,G2614=0,H2614=0,I2614=0,J2614=0,K2614=0,L2614=0)</f>
        <v/>
      </c>
      <c r="N2614">
        <f>G2614&lt;=$T$6</f>
        <v/>
      </c>
      <c r="O2614">
        <f>G2614&lt;=$T$12</f>
        <v/>
      </c>
      <c r="P2614">
        <f>OR(AND(H2614&gt;=$T$4,K2614&lt;=$T$5,N2614),M2614)</f>
        <v/>
      </c>
      <c r="Q2614">
        <f>OR(AND(I2614&gt;=$T$10,K2614&lt;=$T$11,O2614),M2614)</f>
        <v/>
      </c>
    </row>
    <row r="2615">
      <c r="A2615">
        <f>Data!E2740</f>
        <v/>
      </c>
      <c r="B2615">
        <f>Data!G2740</f>
        <v/>
      </c>
      <c r="C2615">
        <f>Data!H2740</f>
        <v/>
      </c>
      <c r="D2615">
        <f>Data!I2740</f>
        <v/>
      </c>
      <c r="E2615">
        <f>Data!M2740</f>
        <v/>
      </c>
      <c r="F2615">
        <f>Data!O2740</f>
        <v/>
      </c>
      <c r="G2615">
        <f>E2615-F2615</f>
        <v/>
      </c>
      <c r="H2615">
        <f>Data!P2740</f>
        <v/>
      </c>
      <c r="I2615">
        <f>G2615+H2615</f>
        <v/>
      </c>
      <c r="J2615">
        <f>F2615+G2615+H2615</f>
        <v/>
      </c>
      <c r="K2615">
        <f>Data!R2740</f>
        <v/>
      </c>
      <c r="L2615">
        <f>Data!T2740</f>
        <v/>
      </c>
      <c r="M2615">
        <f>AND(E2615=0,F2615=0,G2615=0,H2615=0,I2615=0,J2615=0,K2615=0,L2615=0)</f>
        <v/>
      </c>
      <c r="N2615">
        <f>G2615&lt;=$T$6</f>
        <v/>
      </c>
      <c r="O2615">
        <f>G2615&lt;=$T$12</f>
        <v/>
      </c>
      <c r="P2615">
        <f>OR(AND(H2615&gt;=$T$4,K2615&lt;=$T$5,N2615),M2615)</f>
        <v/>
      </c>
      <c r="Q2615">
        <f>OR(AND(I2615&gt;=$T$10,K2615&lt;=$T$11,O2615),M2615)</f>
        <v/>
      </c>
    </row>
    <row r="2616">
      <c r="A2616">
        <f>Data!E2741</f>
        <v/>
      </c>
      <c r="B2616">
        <f>Data!G2741</f>
        <v/>
      </c>
      <c r="C2616">
        <f>Data!H2741</f>
        <v/>
      </c>
      <c r="D2616">
        <f>Data!I2741</f>
        <v/>
      </c>
      <c r="E2616">
        <f>Data!M2741</f>
        <v/>
      </c>
      <c r="F2616">
        <f>Data!O2741</f>
        <v/>
      </c>
      <c r="G2616">
        <f>E2616-F2616</f>
        <v/>
      </c>
      <c r="H2616">
        <f>Data!P2741</f>
        <v/>
      </c>
      <c r="I2616">
        <f>G2616+H2616</f>
        <v/>
      </c>
      <c r="J2616">
        <f>F2616+G2616+H2616</f>
        <v/>
      </c>
      <c r="K2616">
        <f>Data!R2741</f>
        <v/>
      </c>
      <c r="L2616">
        <f>Data!T2741</f>
        <v/>
      </c>
      <c r="M2616">
        <f>AND(E2616=0,F2616=0,G2616=0,H2616=0,I2616=0,J2616=0,K2616=0,L2616=0)</f>
        <v/>
      </c>
      <c r="N2616">
        <f>G2616&lt;=$T$6</f>
        <v/>
      </c>
      <c r="O2616">
        <f>G2616&lt;=$T$12</f>
        <v/>
      </c>
      <c r="P2616">
        <f>OR(AND(H2616&gt;=$T$4,K2616&lt;=$T$5,N2616),M2616)</f>
        <v/>
      </c>
      <c r="Q2616">
        <f>OR(AND(I2616&gt;=$T$10,K2616&lt;=$T$11,O2616),M2616)</f>
        <v/>
      </c>
    </row>
    <row r="2617">
      <c r="A2617">
        <f>Data!E2742</f>
        <v/>
      </c>
      <c r="B2617">
        <f>Data!G2742</f>
        <v/>
      </c>
      <c r="C2617">
        <f>Data!H2742</f>
        <v/>
      </c>
      <c r="D2617">
        <f>Data!I2742</f>
        <v/>
      </c>
      <c r="E2617">
        <f>Data!M2742</f>
        <v/>
      </c>
      <c r="F2617">
        <f>Data!O2742</f>
        <v/>
      </c>
      <c r="G2617">
        <f>E2617-F2617</f>
        <v/>
      </c>
      <c r="H2617">
        <f>Data!P2742</f>
        <v/>
      </c>
      <c r="I2617">
        <f>G2617+H2617</f>
        <v/>
      </c>
      <c r="J2617">
        <f>F2617+G2617+H2617</f>
        <v/>
      </c>
      <c r="K2617">
        <f>Data!R2742</f>
        <v/>
      </c>
      <c r="L2617">
        <f>Data!T2742</f>
        <v/>
      </c>
      <c r="M2617">
        <f>AND(E2617=0,F2617=0,G2617=0,H2617=0,I2617=0,J2617=0,K2617=0,L2617=0)</f>
        <v/>
      </c>
      <c r="N2617">
        <f>G2617&lt;=$T$6</f>
        <v/>
      </c>
      <c r="O2617">
        <f>G2617&lt;=$T$12</f>
        <v/>
      </c>
      <c r="P2617">
        <f>OR(AND(H2617&gt;=$T$4,K2617&lt;=$T$5,N2617),M2617)</f>
        <v/>
      </c>
      <c r="Q2617">
        <f>OR(AND(I2617&gt;=$T$10,K2617&lt;=$T$11,O2617),M2617)</f>
        <v/>
      </c>
    </row>
    <row r="2618">
      <c r="A2618">
        <f>Data!E2743</f>
        <v/>
      </c>
      <c r="B2618">
        <f>Data!G2743</f>
        <v/>
      </c>
      <c r="C2618">
        <f>Data!H2743</f>
        <v/>
      </c>
      <c r="D2618">
        <f>Data!I2743</f>
        <v/>
      </c>
      <c r="E2618">
        <f>Data!M2743</f>
        <v/>
      </c>
      <c r="F2618">
        <f>Data!O2743</f>
        <v/>
      </c>
      <c r="G2618">
        <f>E2618-F2618</f>
        <v/>
      </c>
      <c r="H2618">
        <f>Data!P2743</f>
        <v/>
      </c>
      <c r="I2618">
        <f>G2618+H2618</f>
        <v/>
      </c>
      <c r="J2618">
        <f>F2618+G2618+H2618</f>
        <v/>
      </c>
      <c r="K2618">
        <f>Data!R2743</f>
        <v/>
      </c>
      <c r="L2618">
        <f>Data!T2743</f>
        <v/>
      </c>
      <c r="M2618">
        <f>AND(E2618=0,F2618=0,G2618=0,H2618=0,I2618=0,J2618=0,K2618=0,L2618=0)</f>
        <v/>
      </c>
      <c r="N2618">
        <f>G2618&lt;=$T$6</f>
        <v/>
      </c>
      <c r="O2618">
        <f>G2618&lt;=$T$12</f>
        <v/>
      </c>
      <c r="P2618">
        <f>OR(AND(H2618&gt;=$T$4,K2618&lt;=$T$5,N2618),M2618)</f>
        <v/>
      </c>
      <c r="Q2618">
        <f>OR(AND(I2618&gt;=$T$10,K2618&lt;=$T$11,O2618),M2618)</f>
        <v/>
      </c>
    </row>
    <row r="2619">
      <c r="A2619">
        <f>Data!E2744</f>
        <v/>
      </c>
      <c r="B2619">
        <f>Data!G2744</f>
        <v/>
      </c>
      <c r="C2619">
        <f>Data!H2744</f>
        <v/>
      </c>
      <c r="D2619">
        <f>Data!I2744</f>
        <v/>
      </c>
      <c r="E2619">
        <f>Data!M2744</f>
        <v/>
      </c>
      <c r="F2619">
        <f>Data!O2744</f>
        <v/>
      </c>
      <c r="G2619">
        <f>E2619-F2619</f>
        <v/>
      </c>
      <c r="H2619">
        <f>Data!P2744</f>
        <v/>
      </c>
      <c r="I2619">
        <f>G2619+H2619</f>
        <v/>
      </c>
      <c r="J2619">
        <f>F2619+G2619+H2619</f>
        <v/>
      </c>
      <c r="K2619">
        <f>Data!R2744</f>
        <v/>
      </c>
      <c r="L2619">
        <f>Data!T2744</f>
        <v/>
      </c>
      <c r="M2619">
        <f>AND(E2619=0,F2619=0,G2619=0,H2619=0,I2619=0,J2619=0,K2619=0,L2619=0)</f>
        <v/>
      </c>
      <c r="N2619">
        <f>G2619&lt;=$T$6</f>
        <v/>
      </c>
      <c r="O2619">
        <f>G2619&lt;=$T$12</f>
        <v/>
      </c>
      <c r="P2619">
        <f>OR(AND(H2619&gt;=$T$4,K2619&lt;=$T$5,N2619),M2619)</f>
        <v/>
      </c>
      <c r="Q2619">
        <f>OR(AND(I2619&gt;=$T$10,K2619&lt;=$T$11,O2619),M2619)</f>
        <v/>
      </c>
    </row>
    <row r="2620">
      <c r="A2620">
        <f>Data!E2745</f>
        <v/>
      </c>
      <c r="B2620">
        <f>Data!G2745</f>
        <v/>
      </c>
      <c r="C2620">
        <f>Data!H2745</f>
        <v/>
      </c>
      <c r="D2620">
        <f>Data!I2745</f>
        <v/>
      </c>
      <c r="E2620">
        <f>Data!M2745</f>
        <v/>
      </c>
      <c r="F2620">
        <f>Data!O2745</f>
        <v/>
      </c>
      <c r="G2620">
        <f>E2620-F2620</f>
        <v/>
      </c>
      <c r="H2620">
        <f>Data!P2745</f>
        <v/>
      </c>
      <c r="I2620">
        <f>G2620+H2620</f>
        <v/>
      </c>
      <c r="J2620">
        <f>F2620+G2620+H2620</f>
        <v/>
      </c>
      <c r="K2620">
        <f>Data!R2745</f>
        <v/>
      </c>
      <c r="L2620">
        <f>Data!T2745</f>
        <v/>
      </c>
      <c r="M2620">
        <f>AND(E2620=0,F2620=0,G2620=0,H2620=0,I2620=0,J2620=0,K2620=0,L2620=0)</f>
        <v/>
      </c>
      <c r="N2620">
        <f>G2620&lt;=$T$6</f>
        <v/>
      </c>
      <c r="O2620">
        <f>G2620&lt;=$T$12</f>
        <v/>
      </c>
      <c r="P2620">
        <f>OR(AND(H2620&gt;=$T$4,K2620&lt;=$T$5,N2620),M2620)</f>
        <v/>
      </c>
      <c r="Q2620">
        <f>OR(AND(I2620&gt;=$T$10,K2620&lt;=$T$11,O2620),M2620)</f>
        <v/>
      </c>
    </row>
    <row r="2621">
      <c r="A2621">
        <f>Data!E2746</f>
        <v/>
      </c>
      <c r="B2621">
        <f>Data!G2746</f>
        <v/>
      </c>
      <c r="C2621">
        <f>Data!H2746</f>
        <v/>
      </c>
      <c r="D2621">
        <f>Data!I2746</f>
        <v/>
      </c>
      <c r="E2621">
        <f>Data!M2746</f>
        <v/>
      </c>
      <c r="F2621">
        <f>Data!O2746</f>
        <v/>
      </c>
      <c r="G2621">
        <f>E2621-F2621</f>
        <v/>
      </c>
      <c r="H2621">
        <f>Data!P2746</f>
        <v/>
      </c>
      <c r="I2621">
        <f>G2621+H2621</f>
        <v/>
      </c>
      <c r="J2621">
        <f>F2621+G2621+H2621</f>
        <v/>
      </c>
      <c r="K2621">
        <f>Data!R2746</f>
        <v/>
      </c>
      <c r="L2621">
        <f>Data!T2746</f>
        <v/>
      </c>
      <c r="M2621">
        <f>AND(E2621=0,F2621=0,G2621=0,H2621=0,I2621=0,J2621=0,K2621=0,L2621=0)</f>
        <v/>
      </c>
      <c r="N2621">
        <f>G2621&lt;=$T$6</f>
        <v/>
      </c>
      <c r="O2621">
        <f>G2621&lt;=$T$12</f>
        <v/>
      </c>
      <c r="P2621">
        <f>OR(AND(H2621&gt;=$T$4,K2621&lt;=$T$5,N2621),M2621)</f>
        <v/>
      </c>
      <c r="Q2621">
        <f>OR(AND(I2621&gt;=$T$10,K2621&lt;=$T$11,O2621),M2621)</f>
        <v/>
      </c>
    </row>
    <row r="2622">
      <c r="A2622">
        <f>Data!E2747</f>
        <v/>
      </c>
      <c r="B2622">
        <f>Data!G2747</f>
        <v/>
      </c>
      <c r="C2622">
        <f>Data!H2747</f>
        <v/>
      </c>
      <c r="D2622">
        <f>Data!I2747</f>
        <v/>
      </c>
      <c r="E2622">
        <f>Data!M2747</f>
        <v/>
      </c>
      <c r="F2622">
        <f>Data!O2747</f>
        <v/>
      </c>
      <c r="G2622">
        <f>E2622-F2622</f>
        <v/>
      </c>
      <c r="H2622">
        <f>Data!P2747</f>
        <v/>
      </c>
      <c r="I2622">
        <f>G2622+H2622</f>
        <v/>
      </c>
      <c r="J2622">
        <f>F2622+G2622+H2622</f>
        <v/>
      </c>
      <c r="K2622">
        <f>Data!R2747</f>
        <v/>
      </c>
      <c r="L2622">
        <f>Data!T2747</f>
        <v/>
      </c>
      <c r="M2622">
        <f>AND(E2622=0,F2622=0,G2622=0,H2622=0,I2622=0,J2622=0,K2622=0,L2622=0)</f>
        <v/>
      </c>
      <c r="N2622">
        <f>G2622&lt;=$T$6</f>
        <v/>
      </c>
      <c r="O2622">
        <f>G2622&lt;=$T$12</f>
        <v/>
      </c>
      <c r="P2622">
        <f>OR(AND(H2622&gt;=$T$4,K2622&lt;=$T$5,N2622),M2622)</f>
        <v/>
      </c>
      <c r="Q2622">
        <f>OR(AND(I2622&gt;=$T$10,K2622&lt;=$T$11,O2622),M2622)</f>
        <v/>
      </c>
    </row>
    <row r="2623">
      <c r="A2623">
        <f>Data!E2748</f>
        <v/>
      </c>
      <c r="B2623">
        <f>Data!G2748</f>
        <v/>
      </c>
      <c r="C2623">
        <f>Data!H2748</f>
        <v/>
      </c>
      <c r="D2623">
        <f>Data!I2748</f>
        <v/>
      </c>
      <c r="E2623">
        <f>Data!M2748</f>
        <v/>
      </c>
      <c r="F2623">
        <f>Data!O2748</f>
        <v/>
      </c>
      <c r="G2623">
        <f>E2623-F2623</f>
        <v/>
      </c>
      <c r="H2623">
        <f>Data!P2748</f>
        <v/>
      </c>
      <c r="I2623">
        <f>G2623+H2623</f>
        <v/>
      </c>
      <c r="J2623">
        <f>F2623+G2623+H2623</f>
        <v/>
      </c>
      <c r="K2623">
        <f>Data!R2748</f>
        <v/>
      </c>
      <c r="L2623">
        <f>Data!T2748</f>
        <v/>
      </c>
      <c r="M2623">
        <f>AND(E2623=0,F2623=0,G2623=0,H2623=0,I2623=0,J2623=0,K2623=0,L2623=0)</f>
        <v/>
      </c>
      <c r="N2623">
        <f>G2623&lt;=$T$6</f>
        <v/>
      </c>
      <c r="O2623">
        <f>G2623&lt;=$T$12</f>
        <v/>
      </c>
      <c r="P2623">
        <f>OR(AND(H2623&gt;=$T$4,K2623&lt;=$T$5,N2623),M2623)</f>
        <v/>
      </c>
      <c r="Q2623">
        <f>OR(AND(I2623&gt;=$T$10,K2623&lt;=$T$11,O2623),M2623)</f>
        <v/>
      </c>
    </row>
    <row r="2624">
      <c r="A2624">
        <f>Data!E2749</f>
        <v/>
      </c>
      <c r="B2624">
        <f>Data!G2749</f>
        <v/>
      </c>
      <c r="C2624">
        <f>Data!H2749</f>
        <v/>
      </c>
      <c r="D2624">
        <f>Data!I2749</f>
        <v/>
      </c>
      <c r="E2624">
        <f>Data!M2749</f>
        <v/>
      </c>
      <c r="F2624">
        <f>Data!O2749</f>
        <v/>
      </c>
      <c r="G2624">
        <f>E2624-F2624</f>
        <v/>
      </c>
      <c r="H2624">
        <f>Data!P2749</f>
        <v/>
      </c>
      <c r="I2624">
        <f>G2624+H2624</f>
        <v/>
      </c>
      <c r="J2624">
        <f>F2624+G2624+H2624</f>
        <v/>
      </c>
      <c r="K2624">
        <f>Data!R2749</f>
        <v/>
      </c>
      <c r="L2624">
        <f>Data!T2749</f>
        <v/>
      </c>
      <c r="M2624">
        <f>AND(E2624=0,F2624=0,G2624=0,H2624=0,I2624=0,J2624=0,K2624=0,L2624=0)</f>
        <v/>
      </c>
      <c r="N2624">
        <f>G2624&lt;=$T$6</f>
        <v/>
      </c>
      <c r="O2624">
        <f>G2624&lt;=$T$12</f>
        <v/>
      </c>
      <c r="P2624">
        <f>OR(AND(H2624&gt;=$T$4,K2624&lt;=$T$5,N2624),M2624)</f>
        <v/>
      </c>
      <c r="Q2624">
        <f>OR(AND(I2624&gt;=$T$10,K2624&lt;=$T$11,O2624),M2624)</f>
        <v/>
      </c>
    </row>
    <row r="2625">
      <c r="A2625">
        <f>Data!E2750</f>
        <v/>
      </c>
      <c r="B2625">
        <f>Data!G2750</f>
        <v/>
      </c>
      <c r="C2625">
        <f>Data!H2750</f>
        <v/>
      </c>
      <c r="D2625">
        <f>Data!I2750</f>
        <v/>
      </c>
      <c r="E2625">
        <f>Data!M2750</f>
        <v/>
      </c>
      <c r="F2625">
        <f>Data!O2750</f>
        <v/>
      </c>
      <c r="G2625">
        <f>E2625-F2625</f>
        <v/>
      </c>
      <c r="H2625">
        <f>Data!P2750</f>
        <v/>
      </c>
      <c r="I2625">
        <f>G2625+H2625</f>
        <v/>
      </c>
      <c r="J2625">
        <f>F2625+G2625+H2625</f>
        <v/>
      </c>
      <c r="K2625">
        <f>Data!R2750</f>
        <v/>
      </c>
      <c r="L2625">
        <f>Data!T2750</f>
        <v/>
      </c>
      <c r="M2625">
        <f>AND(E2625=0,F2625=0,G2625=0,H2625=0,I2625=0,J2625=0,K2625=0,L2625=0)</f>
        <v/>
      </c>
      <c r="N2625">
        <f>G2625&lt;=$T$6</f>
        <v/>
      </c>
      <c r="O2625">
        <f>G2625&lt;=$T$12</f>
        <v/>
      </c>
      <c r="P2625">
        <f>OR(AND(H2625&gt;=$T$4,K2625&lt;=$T$5,N2625),M2625)</f>
        <v/>
      </c>
      <c r="Q2625">
        <f>OR(AND(I2625&gt;=$T$10,K2625&lt;=$T$11,O2625),M2625)</f>
        <v/>
      </c>
    </row>
    <row r="2626">
      <c r="A2626">
        <f>Data!E2751</f>
        <v/>
      </c>
      <c r="B2626">
        <f>Data!G2751</f>
        <v/>
      </c>
      <c r="C2626">
        <f>Data!H2751</f>
        <v/>
      </c>
      <c r="D2626">
        <f>Data!I2751</f>
        <v/>
      </c>
      <c r="E2626">
        <f>Data!M2751</f>
        <v/>
      </c>
      <c r="F2626">
        <f>Data!O2751</f>
        <v/>
      </c>
      <c r="G2626">
        <f>E2626-F2626</f>
        <v/>
      </c>
      <c r="H2626">
        <f>Data!P2751</f>
        <v/>
      </c>
      <c r="I2626">
        <f>G2626+H2626</f>
        <v/>
      </c>
      <c r="J2626">
        <f>F2626+G2626+H2626</f>
        <v/>
      </c>
      <c r="K2626">
        <f>Data!R2751</f>
        <v/>
      </c>
      <c r="L2626">
        <f>Data!T2751</f>
        <v/>
      </c>
      <c r="M2626">
        <f>AND(E2626=0,F2626=0,G2626=0,H2626=0,I2626=0,J2626=0,K2626=0,L2626=0)</f>
        <v/>
      </c>
      <c r="N2626">
        <f>G2626&lt;=$T$6</f>
        <v/>
      </c>
      <c r="O2626">
        <f>G2626&lt;=$T$12</f>
        <v/>
      </c>
      <c r="P2626">
        <f>OR(AND(H2626&gt;=$T$4,K2626&lt;=$T$5,N2626),M2626)</f>
        <v/>
      </c>
      <c r="Q2626">
        <f>OR(AND(I2626&gt;=$T$10,K2626&lt;=$T$11,O2626),M2626)</f>
        <v/>
      </c>
    </row>
    <row r="2627">
      <c r="A2627">
        <f>Data!E2752</f>
        <v/>
      </c>
      <c r="B2627">
        <f>Data!G2752</f>
        <v/>
      </c>
      <c r="C2627">
        <f>Data!H2752</f>
        <v/>
      </c>
      <c r="D2627">
        <f>Data!I2752</f>
        <v/>
      </c>
      <c r="E2627">
        <f>Data!M2752</f>
        <v/>
      </c>
      <c r="F2627">
        <f>Data!O2752</f>
        <v/>
      </c>
      <c r="G2627">
        <f>E2627-F2627</f>
        <v/>
      </c>
      <c r="H2627">
        <f>Data!P2752</f>
        <v/>
      </c>
      <c r="I2627">
        <f>G2627+H2627</f>
        <v/>
      </c>
      <c r="J2627">
        <f>F2627+G2627+H2627</f>
        <v/>
      </c>
      <c r="K2627">
        <f>Data!R2752</f>
        <v/>
      </c>
      <c r="L2627">
        <f>Data!T2752</f>
        <v/>
      </c>
      <c r="M2627">
        <f>AND(E2627=0,F2627=0,G2627=0,H2627=0,I2627=0,J2627=0,K2627=0,L2627=0)</f>
        <v/>
      </c>
      <c r="N2627">
        <f>G2627&lt;=$T$6</f>
        <v/>
      </c>
      <c r="O2627">
        <f>G2627&lt;=$T$12</f>
        <v/>
      </c>
      <c r="P2627">
        <f>OR(AND(H2627&gt;=$T$4,K2627&lt;=$T$5,N2627),M2627)</f>
        <v/>
      </c>
      <c r="Q2627">
        <f>OR(AND(I2627&gt;=$T$10,K2627&lt;=$T$11,O2627),M2627)</f>
        <v/>
      </c>
    </row>
    <row r="2628">
      <c r="A2628">
        <f>Data!E2753</f>
        <v/>
      </c>
      <c r="B2628">
        <f>Data!G2753</f>
        <v/>
      </c>
      <c r="C2628">
        <f>Data!H2753</f>
        <v/>
      </c>
      <c r="D2628">
        <f>Data!I2753</f>
        <v/>
      </c>
      <c r="E2628">
        <f>Data!M2753</f>
        <v/>
      </c>
      <c r="F2628">
        <f>Data!O2753</f>
        <v/>
      </c>
      <c r="G2628">
        <f>E2628-F2628</f>
        <v/>
      </c>
      <c r="H2628">
        <f>Data!P2753</f>
        <v/>
      </c>
      <c r="I2628">
        <f>G2628+H2628</f>
        <v/>
      </c>
      <c r="J2628">
        <f>F2628+G2628+H2628</f>
        <v/>
      </c>
      <c r="K2628">
        <f>Data!R2753</f>
        <v/>
      </c>
      <c r="L2628">
        <f>Data!T2753</f>
        <v/>
      </c>
      <c r="M2628">
        <f>AND(E2628=0,F2628=0,G2628=0,H2628=0,I2628=0,J2628=0,K2628=0,L2628=0)</f>
        <v/>
      </c>
      <c r="N2628">
        <f>G2628&lt;=$T$6</f>
        <v/>
      </c>
      <c r="O2628">
        <f>G2628&lt;=$T$12</f>
        <v/>
      </c>
      <c r="P2628">
        <f>OR(AND(H2628&gt;=$T$4,K2628&lt;=$T$5,N2628),M2628)</f>
        <v/>
      </c>
      <c r="Q2628">
        <f>OR(AND(I2628&gt;=$T$10,K2628&lt;=$T$11,O2628),M2628)</f>
        <v/>
      </c>
    </row>
    <row r="2629">
      <c r="A2629">
        <f>Data!E2754</f>
        <v/>
      </c>
      <c r="B2629">
        <f>Data!G2754</f>
        <v/>
      </c>
      <c r="C2629">
        <f>Data!H2754</f>
        <v/>
      </c>
      <c r="D2629">
        <f>Data!I2754</f>
        <v/>
      </c>
      <c r="E2629">
        <f>Data!M2754</f>
        <v/>
      </c>
      <c r="F2629">
        <f>Data!O2754</f>
        <v/>
      </c>
      <c r="G2629">
        <f>E2629-F2629</f>
        <v/>
      </c>
      <c r="H2629">
        <f>Data!P2754</f>
        <v/>
      </c>
      <c r="I2629">
        <f>G2629+H2629</f>
        <v/>
      </c>
      <c r="J2629">
        <f>F2629+G2629+H2629</f>
        <v/>
      </c>
      <c r="K2629">
        <f>Data!R2754</f>
        <v/>
      </c>
      <c r="L2629">
        <f>Data!T2754</f>
        <v/>
      </c>
      <c r="M2629">
        <f>AND(E2629=0,F2629=0,G2629=0,H2629=0,I2629=0,J2629=0,K2629=0,L2629=0)</f>
        <v/>
      </c>
      <c r="N2629">
        <f>G2629&lt;=$T$6</f>
        <v/>
      </c>
      <c r="O2629">
        <f>G2629&lt;=$T$12</f>
        <v/>
      </c>
      <c r="P2629">
        <f>OR(AND(H2629&gt;=$T$4,K2629&lt;=$T$5,N2629),M2629)</f>
        <v/>
      </c>
      <c r="Q2629">
        <f>OR(AND(I2629&gt;=$T$10,K2629&lt;=$T$11,O2629),M2629)</f>
        <v/>
      </c>
    </row>
    <row r="2630">
      <c r="A2630">
        <f>Data!E2755</f>
        <v/>
      </c>
      <c r="B2630">
        <f>Data!G2755</f>
        <v/>
      </c>
      <c r="C2630">
        <f>Data!H2755</f>
        <v/>
      </c>
      <c r="D2630">
        <f>Data!I2755</f>
        <v/>
      </c>
      <c r="E2630">
        <f>Data!M2755</f>
        <v/>
      </c>
      <c r="F2630">
        <f>Data!O2755</f>
        <v/>
      </c>
      <c r="G2630">
        <f>E2630-F2630</f>
        <v/>
      </c>
      <c r="H2630">
        <f>Data!P2755</f>
        <v/>
      </c>
      <c r="I2630">
        <f>G2630+H2630</f>
        <v/>
      </c>
      <c r="J2630">
        <f>F2630+G2630+H2630</f>
        <v/>
      </c>
      <c r="K2630">
        <f>Data!R2755</f>
        <v/>
      </c>
      <c r="L2630">
        <f>Data!T2755</f>
        <v/>
      </c>
      <c r="M2630">
        <f>AND(E2630=0,F2630=0,G2630=0,H2630=0,I2630=0,J2630=0,K2630=0,L2630=0)</f>
        <v/>
      </c>
      <c r="N2630">
        <f>G2630&lt;=$T$6</f>
        <v/>
      </c>
      <c r="O2630">
        <f>G2630&lt;=$T$12</f>
        <v/>
      </c>
      <c r="P2630">
        <f>OR(AND(H2630&gt;=$T$4,K2630&lt;=$T$5,N2630),M2630)</f>
        <v/>
      </c>
      <c r="Q2630">
        <f>OR(AND(I2630&gt;=$T$10,K2630&lt;=$T$11,O2630),M2630)</f>
        <v/>
      </c>
    </row>
    <row r="2631">
      <c r="A2631">
        <f>Data!E2756</f>
        <v/>
      </c>
      <c r="B2631">
        <f>Data!G2756</f>
        <v/>
      </c>
      <c r="C2631">
        <f>Data!H2756</f>
        <v/>
      </c>
      <c r="D2631">
        <f>Data!I2756</f>
        <v/>
      </c>
      <c r="E2631">
        <f>Data!M2756</f>
        <v/>
      </c>
      <c r="F2631">
        <f>Data!O2756</f>
        <v/>
      </c>
      <c r="G2631">
        <f>E2631-F2631</f>
        <v/>
      </c>
      <c r="H2631">
        <f>Data!P2756</f>
        <v/>
      </c>
      <c r="I2631">
        <f>G2631+H2631</f>
        <v/>
      </c>
      <c r="J2631">
        <f>F2631+G2631+H2631</f>
        <v/>
      </c>
      <c r="K2631">
        <f>Data!R2756</f>
        <v/>
      </c>
      <c r="L2631">
        <f>Data!T2756</f>
        <v/>
      </c>
      <c r="M2631">
        <f>AND(E2631=0,F2631=0,G2631=0,H2631=0,I2631=0,J2631=0,K2631=0,L2631=0)</f>
        <v/>
      </c>
      <c r="N2631">
        <f>G2631&lt;=$T$6</f>
        <v/>
      </c>
      <c r="O2631">
        <f>G2631&lt;=$T$12</f>
        <v/>
      </c>
      <c r="P2631">
        <f>OR(AND(H2631&gt;=$T$4,K2631&lt;=$T$5,N2631),M2631)</f>
        <v/>
      </c>
      <c r="Q2631">
        <f>OR(AND(I2631&gt;=$T$10,K2631&lt;=$T$11,O2631),M2631)</f>
        <v/>
      </c>
    </row>
    <row r="2632">
      <c r="A2632">
        <f>Data!E2757</f>
        <v/>
      </c>
      <c r="B2632">
        <f>Data!G2757</f>
        <v/>
      </c>
      <c r="C2632">
        <f>Data!H2757</f>
        <v/>
      </c>
      <c r="D2632">
        <f>Data!I2757</f>
        <v/>
      </c>
      <c r="E2632">
        <f>Data!M2757</f>
        <v/>
      </c>
      <c r="F2632">
        <f>Data!O2757</f>
        <v/>
      </c>
      <c r="G2632">
        <f>E2632-F2632</f>
        <v/>
      </c>
      <c r="H2632">
        <f>Data!P2757</f>
        <v/>
      </c>
      <c r="I2632">
        <f>G2632+H2632</f>
        <v/>
      </c>
      <c r="J2632">
        <f>F2632+G2632+H2632</f>
        <v/>
      </c>
      <c r="K2632">
        <f>Data!R2757</f>
        <v/>
      </c>
      <c r="L2632">
        <f>Data!T2757</f>
        <v/>
      </c>
      <c r="M2632">
        <f>AND(E2632=0,F2632=0,G2632=0,H2632=0,I2632=0,J2632=0,K2632=0,L2632=0)</f>
        <v/>
      </c>
      <c r="N2632">
        <f>G2632&lt;=$T$6</f>
        <v/>
      </c>
      <c r="O2632">
        <f>G2632&lt;=$T$12</f>
        <v/>
      </c>
      <c r="P2632">
        <f>OR(AND(H2632&gt;=$T$4,K2632&lt;=$T$5,N2632),M2632)</f>
        <v/>
      </c>
      <c r="Q2632">
        <f>OR(AND(I2632&gt;=$T$10,K2632&lt;=$T$11,O2632),M2632)</f>
        <v/>
      </c>
    </row>
    <row r="2633">
      <c r="A2633">
        <f>Data!E2758</f>
        <v/>
      </c>
      <c r="B2633">
        <f>Data!G2758</f>
        <v/>
      </c>
      <c r="C2633">
        <f>Data!H2758</f>
        <v/>
      </c>
      <c r="D2633">
        <f>Data!I2758</f>
        <v/>
      </c>
      <c r="E2633">
        <f>Data!M2758</f>
        <v/>
      </c>
      <c r="F2633">
        <f>Data!O2758</f>
        <v/>
      </c>
      <c r="G2633">
        <f>E2633-F2633</f>
        <v/>
      </c>
      <c r="H2633">
        <f>Data!P2758</f>
        <v/>
      </c>
      <c r="I2633">
        <f>G2633+H2633</f>
        <v/>
      </c>
      <c r="J2633">
        <f>F2633+G2633+H2633</f>
        <v/>
      </c>
      <c r="K2633">
        <f>Data!R2758</f>
        <v/>
      </c>
      <c r="L2633">
        <f>Data!T2758</f>
        <v/>
      </c>
      <c r="M2633">
        <f>AND(E2633=0,F2633=0,G2633=0,H2633=0,I2633=0,J2633=0,K2633=0,L2633=0)</f>
        <v/>
      </c>
      <c r="N2633">
        <f>G2633&lt;=$T$6</f>
        <v/>
      </c>
      <c r="O2633">
        <f>G2633&lt;=$T$12</f>
        <v/>
      </c>
      <c r="P2633">
        <f>OR(AND(H2633&gt;=$T$4,K2633&lt;=$T$5,N2633),M2633)</f>
        <v/>
      </c>
      <c r="Q2633">
        <f>OR(AND(I2633&gt;=$T$10,K2633&lt;=$T$11,O2633),M2633)</f>
        <v/>
      </c>
    </row>
    <row r="2634">
      <c r="A2634">
        <f>Data!E2759</f>
        <v/>
      </c>
      <c r="B2634">
        <f>Data!G2759</f>
        <v/>
      </c>
      <c r="C2634">
        <f>Data!H2759</f>
        <v/>
      </c>
      <c r="D2634">
        <f>Data!I2759</f>
        <v/>
      </c>
      <c r="E2634">
        <f>Data!M2759</f>
        <v/>
      </c>
      <c r="F2634">
        <f>Data!O2759</f>
        <v/>
      </c>
      <c r="G2634">
        <f>E2634-F2634</f>
        <v/>
      </c>
      <c r="H2634">
        <f>Data!P2759</f>
        <v/>
      </c>
      <c r="I2634">
        <f>G2634+H2634</f>
        <v/>
      </c>
      <c r="J2634">
        <f>F2634+G2634+H2634</f>
        <v/>
      </c>
      <c r="K2634">
        <f>Data!R2759</f>
        <v/>
      </c>
      <c r="L2634">
        <f>Data!T2759</f>
        <v/>
      </c>
      <c r="M2634">
        <f>AND(E2634=0,F2634=0,G2634=0,H2634=0,I2634=0,J2634=0,K2634=0,L2634=0)</f>
        <v/>
      </c>
      <c r="N2634">
        <f>G2634&lt;=$T$6</f>
        <v/>
      </c>
      <c r="O2634">
        <f>G2634&lt;=$T$12</f>
        <v/>
      </c>
      <c r="P2634">
        <f>OR(AND(H2634&gt;=$T$4,K2634&lt;=$T$5,N2634),M2634)</f>
        <v/>
      </c>
      <c r="Q2634">
        <f>OR(AND(I2634&gt;=$T$10,K2634&lt;=$T$11,O2634),M2634)</f>
        <v/>
      </c>
    </row>
    <row r="2635">
      <c r="A2635">
        <f>Data!E2760</f>
        <v/>
      </c>
      <c r="B2635">
        <f>Data!G2760</f>
        <v/>
      </c>
      <c r="C2635">
        <f>Data!H2760</f>
        <v/>
      </c>
      <c r="D2635">
        <f>Data!I2760</f>
        <v/>
      </c>
      <c r="E2635">
        <f>Data!M2760</f>
        <v/>
      </c>
      <c r="F2635">
        <f>Data!O2760</f>
        <v/>
      </c>
      <c r="G2635">
        <f>E2635-F2635</f>
        <v/>
      </c>
      <c r="H2635">
        <f>Data!P2760</f>
        <v/>
      </c>
      <c r="I2635">
        <f>G2635+H2635</f>
        <v/>
      </c>
      <c r="J2635">
        <f>F2635+G2635+H2635</f>
        <v/>
      </c>
      <c r="K2635">
        <f>Data!R2760</f>
        <v/>
      </c>
      <c r="L2635">
        <f>Data!T2760</f>
        <v/>
      </c>
      <c r="M2635">
        <f>AND(E2635=0,F2635=0,G2635=0,H2635=0,I2635=0,J2635=0,K2635=0,L2635=0)</f>
        <v/>
      </c>
      <c r="N2635">
        <f>G2635&lt;=$T$6</f>
        <v/>
      </c>
      <c r="O2635">
        <f>G2635&lt;=$T$12</f>
        <v/>
      </c>
      <c r="P2635">
        <f>OR(AND(H2635&gt;=$T$4,K2635&lt;=$T$5,N2635),M2635)</f>
        <v/>
      </c>
      <c r="Q2635">
        <f>OR(AND(I2635&gt;=$T$10,K2635&lt;=$T$11,O2635),M2635)</f>
        <v/>
      </c>
    </row>
    <row r="2636">
      <c r="A2636">
        <f>Data!E2761</f>
        <v/>
      </c>
      <c r="B2636">
        <f>Data!G2761</f>
        <v/>
      </c>
      <c r="C2636">
        <f>Data!H2761</f>
        <v/>
      </c>
      <c r="D2636">
        <f>Data!I2761</f>
        <v/>
      </c>
      <c r="E2636">
        <f>Data!M2761</f>
        <v/>
      </c>
      <c r="F2636">
        <f>Data!O2761</f>
        <v/>
      </c>
      <c r="G2636">
        <f>E2636-F2636</f>
        <v/>
      </c>
      <c r="H2636">
        <f>Data!P2761</f>
        <v/>
      </c>
      <c r="I2636">
        <f>G2636+H2636</f>
        <v/>
      </c>
      <c r="J2636">
        <f>F2636+G2636+H2636</f>
        <v/>
      </c>
      <c r="K2636">
        <f>Data!R2761</f>
        <v/>
      </c>
      <c r="L2636">
        <f>Data!T2761</f>
        <v/>
      </c>
      <c r="M2636">
        <f>AND(E2636=0,F2636=0,G2636=0,H2636=0,I2636=0,J2636=0,K2636=0,L2636=0)</f>
        <v/>
      </c>
      <c r="N2636">
        <f>G2636&lt;=$T$6</f>
        <v/>
      </c>
      <c r="O2636">
        <f>G2636&lt;=$T$12</f>
        <v/>
      </c>
      <c r="P2636">
        <f>OR(AND(H2636&gt;=$T$4,K2636&lt;=$T$5,N2636),M2636)</f>
        <v/>
      </c>
      <c r="Q2636">
        <f>OR(AND(I2636&gt;=$T$10,K2636&lt;=$T$11,O2636),M2636)</f>
        <v/>
      </c>
    </row>
    <row r="2637">
      <c r="A2637">
        <f>Data!E2762</f>
        <v/>
      </c>
      <c r="B2637">
        <f>Data!G2762</f>
        <v/>
      </c>
      <c r="C2637">
        <f>Data!H2762</f>
        <v/>
      </c>
      <c r="D2637">
        <f>Data!I2762</f>
        <v/>
      </c>
      <c r="E2637">
        <f>Data!M2762</f>
        <v/>
      </c>
      <c r="F2637">
        <f>Data!O2762</f>
        <v/>
      </c>
      <c r="G2637">
        <f>E2637-F2637</f>
        <v/>
      </c>
      <c r="H2637">
        <f>Data!P2762</f>
        <v/>
      </c>
      <c r="I2637">
        <f>G2637+H2637</f>
        <v/>
      </c>
      <c r="J2637">
        <f>F2637+G2637+H2637</f>
        <v/>
      </c>
      <c r="K2637">
        <f>Data!R2762</f>
        <v/>
      </c>
      <c r="L2637">
        <f>Data!T2762</f>
        <v/>
      </c>
      <c r="M2637">
        <f>AND(E2637=0,F2637=0,G2637=0,H2637=0,I2637=0,J2637=0,K2637=0,L2637=0)</f>
        <v/>
      </c>
      <c r="N2637">
        <f>G2637&lt;=$T$6</f>
        <v/>
      </c>
      <c r="O2637">
        <f>G2637&lt;=$T$12</f>
        <v/>
      </c>
      <c r="P2637">
        <f>OR(AND(H2637&gt;=$T$4,K2637&lt;=$T$5,N2637),M2637)</f>
        <v/>
      </c>
      <c r="Q2637">
        <f>OR(AND(I2637&gt;=$T$10,K2637&lt;=$T$11,O2637),M2637)</f>
        <v/>
      </c>
    </row>
    <row r="2638">
      <c r="A2638">
        <f>Data!E2763</f>
        <v/>
      </c>
      <c r="B2638">
        <f>Data!G2763</f>
        <v/>
      </c>
      <c r="C2638">
        <f>Data!H2763</f>
        <v/>
      </c>
      <c r="D2638">
        <f>Data!I2763</f>
        <v/>
      </c>
      <c r="E2638">
        <f>Data!M2763</f>
        <v/>
      </c>
      <c r="F2638">
        <f>Data!O2763</f>
        <v/>
      </c>
      <c r="G2638">
        <f>E2638-F2638</f>
        <v/>
      </c>
      <c r="H2638">
        <f>Data!P2763</f>
        <v/>
      </c>
      <c r="I2638">
        <f>G2638+H2638</f>
        <v/>
      </c>
      <c r="J2638">
        <f>F2638+G2638+H2638</f>
        <v/>
      </c>
      <c r="K2638">
        <f>Data!R2763</f>
        <v/>
      </c>
      <c r="L2638">
        <f>Data!T2763</f>
        <v/>
      </c>
      <c r="M2638">
        <f>AND(E2638=0,F2638=0,G2638=0,H2638=0,I2638=0,J2638=0,K2638=0,L2638=0)</f>
        <v/>
      </c>
      <c r="N2638">
        <f>G2638&lt;=$T$6</f>
        <v/>
      </c>
      <c r="O2638">
        <f>G2638&lt;=$T$12</f>
        <v/>
      </c>
      <c r="P2638">
        <f>OR(AND(H2638&gt;=$T$4,K2638&lt;=$T$5,N2638),M2638)</f>
        <v/>
      </c>
      <c r="Q2638">
        <f>OR(AND(I2638&gt;=$T$10,K2638&lt;=$T$11,O2638),M2638)</f>
        <v/>
      </c>
    </row>
    <row r="2639">
      <c r="A2639">
        <f>Data!E2764</f>
        <v/>
      </c>
      <c r="B2639">
        <f>Data!G2764</f>
        <v/>
      </c>
      <c r="C2639">
        <f>Data!H2764</f>
        <v/>
      </c>
      <c r="D2639">
        <f>Data!I2764</f>
        <v/>
      </c>
      <c r="E2639">
        <f>Data!M2764</f>
        <v/>
      </c>
      <c r="F2639">
        <f>Data!O2764</f>
        <v/>
      </c>
      <c r="G2639">
        <f>E2639-F2639</f>
        <v/>
      </c>
      <c r="H2639">
        <f>Data!P2764</f>
        <v/>
      </c>
      <c r="I2639">
        <f>G2639+H2639</f>
        <v/>
      </c>
      <c r="J2639">
        <f>F2639+G2639+H2639</f>
        <v/>
      </c>
      <c r="K2639">
        <f>Data!R2764</f>
        <v/>
      </c>
      <c r="L2639">
        <f>Data!T2764</f>
        <v/>
      </c>
      <c r="M2639">
        <f>AND(E2639=0,F2639=0,G2639=0,H2639=0,I2639=0,J2639=0,K2639=0,L2639=0)</f>
        <v/>
      </c>
      <c r="N2639">
        <f>G2639&lt;=$T$6</f>
        <v/>
      </c>
      <c r="O2639">
        <f>G2639&lt;=$T$12</f>
        <v/>
      </c>
      <c r="P2639">
        <f>OR(AND(H2639&gt;=$T$4,K2639&lt;=$T$5,N2639),M2639)</f>
        <v/>
      </c>
      <c r="Q2639">
        <f>OR(AND(I2639&gt;=$T$10,K2639&lt;=$T$11,O2639),M2639)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214"/>
  <sheetViews>
    <sheetView zoomScale="85" workbookViewId="0">
      <selection activeCell="A1" sqref="A1"/>
    </sheetView>
  </sheetViews>
  <sheetFormatPr baseColWidth="8" defaultRowHeight="15"/>
  <cols>
    <col width="10.5546875" customWidth="1" min="4" max="4"/>
    <col width="15.5546875" customWidth="1" min="5" max="5"/>
    <col width="10.5546875" customWidth="1" min="14" max="14"/>
    <col width="15.5546875" customWidth="1" min="15" max="15"/>
    <col width="10.5546875" customWidth="1" min="24" max="24"/>
    <col width="15.5546875" customWidth="1" min="25" max="25"/>
  </cols>
  <sheetData>
    <row r="2">
      <c r="B2" s="13" t="n"/>
      <c r="C2" s="14" t="n"/>
      <c r="D2" s="14" t="n"/>
      <c r="E2" s="15" t="inlineStr">
        <is>
          <t>min_kick_ms</t>
        </is>
      </c>
      <c r="F2" s="15" t="inlineStr">
        <is>
          <t>max_kick_ms</t>
        </is>
      </c>
      <c r="G2" s="15" t="inlineStr">
        <is>
          <t>min_on_ms</t>
        </is>
      </c>
      <c r="H2" s="15" t="inlineStr">
        <is>
          <t>max_on_ms</t>
        </is>
      </c>
      <c r="I2" s="15" t="inlineStr">
        <is>
          <t>min_real_on_ms</t>
        </is>
      </c>
      <c r="J2" s="16" t="inlineStr">
        <is>
          <t>max_real_on_ms</t>
        </is>
      </c>
      <c r="L2" s="13" t="n"/>
      <c r="M2" s="14" t="n"/>
      <c r="N2" s="14" t="n"/>
      <c r="O2" s="15" t="inlineStr">
        <is>
          <t>min_kick_ms</t>
        </is>
      </c>
      <c r="P2" s="15" t="inlineStr">
        <is>
          <t>max_kick_ms</t>
        </is>
      </c>
      <c r="Q2" s="15" t="inlineStr">
        <is>
          <t>min_on_ms</t>
        </is>
      </c>
      <c r="R2" s="15" t="inlineStr">
        <is>
          <t>max_on_ms</t>
        </is>
      </c>
      <c r="S2" s="15" t="inlineStr">
        <is>
          <t>min_real_on_ms</t>
        </is>
      </c>
      <c r="T2" s="16" t="inlineStr">
        <is>
          <t>max_real_on_ms</t>
        </is>
      </c>
      <c r="V2" s="13" t="n"/>
      <c r="W2" s="14" t="n"/>
      <c r="X2" s="14" t="n"/>
      <c r="Y2" s="15" t="inlineStr">
        <is>
          <t>min_kick_ms</t>
        </is>
      </c>
      <c r="Z2" s="15" t="inlineStr">
        <is>
          <t>max_kick_ms</t>
        </is>
      </c>
      <c r="AA2" s="15" t="inlineStr">
        <is>
          <t>min_on_ms</t>
        </is>
      </c>
      <c r="AB2" s="15" t="inlineStr">
        <is>
          <t>max_on_ms</t>
        </is>
      </c>
      <c r="AC2" s="15" t="inlineStr">
        <is>
          <t>min_real_on_ms</t>
        </is>
      </c>
      <c r="AD2" s="16" t="inlineStr">
        <is>
          <t>max_real_on_ms</t>
        </is>
      </c>
    </row>
    <row r="3">
      <c r="B3" s="17" t="inlineStr">
        <is>
          <t>%6, 4.2V, %100</t>
        </is>
      </c>
      <c r="D3" t="inlineStr">
        <is>
          <t>on_ms</t>
        </is>
      </c>
      <c r="E3" s="18">
        <f>_xlfn.MINIFS(Data_new!$D$2:$D$2639,Data_new!$A$2:$A$2639,4.2,Data_new!$B$2:$B$2639,VALUE(MID($B$3,2,FIND(",",$B$3)-2)),Data_new!$C$2:$C$2639,100,Data_new!$P$2:$P$2639,TRUE)</f>
        <v/>
      </c>
      <c r="F3" s="18">
        <f>_xlfn.MAXIFS(Data_new!$D$2:$D$2639,Data_new!$A$2:$A$2639,4.2,Data_new!$B$2:$B$2639,VALUE(MID($B$3,2,FIND(",",$B$3)-2)),Data_new!$C$2:$C$2639,100,Data_new!$P$2:$P$2639,TRUE)</f>
        <v/>
      </c>
      <c r="G3" s="18">
        <f>_xlfn.MINIFS(Data_new!$H$2:$H$2639,Data_new!$A$2:$A$2639,4.2,Data_new!$B$2:$B$2639,VALUE(MID($B$3,2,FIND(",",$B$3)-2)),Data_new!$C$2:$C$2639,100,Data_new!$P$2:$P$2639,TRUE)</f>
        <v/>
      </c>
      <c r="H3" s="18">
        <f>_xlfn.MAXIFS(Data_new!$H$2:$H$2639,Data_new!$A$2:$A$2639,4.2,Data_new!$B$2:$B$2639,VALUE(MID($B$3,2,FIND(",",$B$3)-2)),Data_new!$C$2:$C$2639,100,Data_new!$P$2:$P$2639,TRUE)</f>
        <v/>
      </c>
      <c r="I3" s="18" t="inlineStr">
        <is>
          <t>nan</t>
        </is>
      </c>
      <c r="J3" s="19" t="inlineStr">
        <is>
          <t>nan</t>
        </is>
      </c>
      <c r="L3" s="17" t="inlineStr">
        <is>
          <t>%6, 4.2V, %80</t>
        </is>
      </c>
      <c r="N3" t="inlineStr">
        <is>
          <t>on_ms</t>
        </is>
      </c>
      <c r="O3" s="18">
        <f>_xlfn.MINIFS(Data_new!$D$2:$D$2639,Data_new!$A$2:$A$2639,4.2,Data_new!$B$2:$B$2639,VALUE(MID($L$3,2,FIND(",",$L$3)-2)),Data_new!$C$2:$C$2639,80,Data_new!$P$2:$P$2639,TRUE)</f>
        <v/>
      </c>
      <c r="P3" s="18">
        <f>_xlfn.MAXIFS(Data_new!$D$2:$D$2639,Data_new!$A$2:$A$2639,4.2,Data_new!$B$2:$B$2639,VALUE(MID($L$3,2,FIND(",",$L$3)-2)),Data_new!$C$2:$C$2639,80,Data_new!$P$2:$P$2639,TRUE)</f>
        <v/>
      </c>
      <c r="Q3" s="18">
        <f>_xlfn.MINIFS(Data_new!$H$2:$H$2639,Data_new!$A$2:$A$2639,4.2,Data_new!$B$2:$B$2639,VALUE(MID($L$3,2,FIND(",",$L$3)-2)),Data_new!$C$2:$C$2639,80,Data_new!$P$2:$P$2639,TRUE)</f>
        <v/>
      </c>
      <c r="R3" s="18">
        <f>_xlfn.MAXIFS(Data_new!$H$2:$H$2639,Data_new!$A$2:$A$2639,4.2,Data_new!$B$2:$B$2639,VALUE(MID($L$3,2,FIND(",",$L$3)-2)),Data_new!$C$2:$C$2639,80,Data_new!$P$2:$P$2639,TRUE)</f>
        <v/>
      </c>
      <c r="S3" s="18" t="inlineStr">
        <is>
          <t>nan</t>
        </is>
      </c>
      <c r="T3" s="19" t="inlineStr">
        <is>
          <t>nan</t>
        </is>
      </c>
      <c r="V3" s="17" t="inlineStr">
        <is>
          <t>%6, 4.2V, %60</t>
        </is>
      </c>
      <c r="X3" t="inlineStr">
        <is>
          <t>on_ms</t>
        </is>
      </c>
      <c r="Y3" s="18">
        <f>_xlfn.MINIFS(Data_new!$D$2:$D$2639,Data_new!$A$2:$A$2639,4.2,Data_new!$B$2:$B$2639,VALUE(MID($V$3,2,FIND(",",$V$3)-2)),Data_new!$C$2:$C$2639,60,Data_new!$P$2:$P$2639,TRUE)</f>
        <v/>
      </c>
      <c r="Z3" s="18">
        <f>_xlfn.MAXIFS(Data_new!$D$2:$D$2639,Data_new!$A$2:$A$2639,4.2,Data_new!$B$2:$B$2639,VALUE(MID($V$3,2,FIND(",",$V$3)-2)),Data_new!$C$2:$C$2639,60,Data_new!$P$2:$P$2639,TRUE)</f>
        <v/>
      </c>
      <c r="AA3" s="18">
        <f>_xlfn.MINIFS(Data_new!$H$2:$H$2639,Data_new!$A$2:$A$2639,4.2,Data_new!$B$2:$B$2639,VALUE(MID($V$3,2,FIND(",",$V$3)-2)),Data_new!$C$2:$C$2639,60,Data_new!$P$2:$P$2639,TRUE)</f>
        <v/>
      </c>
      <c r="AB3" s="18">
        <f>_xlfn.MAXIFS(Data_new!$H$2:$H$2639,Data_new!$A$2:$A$2639,4.2,Data_new!$B$2:$B$2639,VALUE(MID($V$3,2,FIND(",",$V$3)-2)),Data_new!$C$2:$C$2639,60,Data_new!$P$2:$P$2639,TRUE)</f>
        <v/>
      </c>
      <c r="AC3" s="18" t="inlineStr">
        <is>
          <t>nan</t>
        </is>
      </c>
      <c r="AD3" s="19" t="inlineStr">
        <is>
          <t>nan</t>
        </is>
      </c>
    </row>
    <row r="4">
      <c r="B4" s="20" t="n"/>
      <c r="D4" t="inlineStr">
        <is>
          <t>real_on_ms</t>
        </is>
      </c>
      <c r="E4" s="18">
        <f>_xlfn.MINIFS(Data_new!$D$2:$D$2639,Data_new!$A$2:$A$2639,4.2,Data_new!$B$2:$B$2639,VALUE(MID($B$3,2,FIND(",",$B$3)-2)),Data_new!$C$2:$C$2639,100,Data_new!$Q$2:$Q$2639,TRUE)</f>
        <v/>
      </c>
      <c r="F4" s="18">
        <f>_xlfn.MAXIFS(Data_new!$D$2:$D$2639,Data_new!$A$2:$A$2639,4.2,Data_new!$B$2:$B$2639,VALUE(MID($B$3,2,FIND(",",$B$3)-2)),Data_new!$C$2:$C$2639,100,Data_new!$Q$2:$Q$2639,TRUE)</f>
        <v/>
      </c>
      <c r="G4" s="18" t="inlineStr">
        <is>
          <t>nan</t>
        </is>
      </c>
      <c r="H4" s="18" t="inlineStr">
        <is>
          <t>nan</t>
        </is>
      </c>
      <c r="I4" s="18">
        <f>_xlfn.MINIFS(Data_new!$I$2:$I$2639,Data_new!$A$2:$A$2639,4.2,Data_new!$B$2:$B$2639,VALUE(MID($B$3,2,FIND(",",$B$3)-2)),Data_new!$C$2:$C$2639,100,Data_new!$Q$2:$Q$2639,TRUE)</f>
        <v/>
      </c>
      <c r="J4" s="19">
        <f>_xlfn.MAXIFS(Data_new!$I$2:$I$2639,Data_new!$A$2:$A$2639,4.2,Data_new!$B$2:$B$2639,VALUE(MID($B$3,2,FIND(",",$B$3)-2)),Data_new!$C$2:$C$2639,100,Data_new!$Q$2:$Q$2639,TRUE)</f>
        <v/>
      </c>
      <c r="L4" s="20" t="n"/>
      <c r="N4" t="inlineStr">
        <is>
          <t>real_on_ms</t>
        </is>
      </c>
      <c r="O4" s="18">
        <f>_xlfn.MINIFS(Data_new!$D$2:$D$2639,Data_new!$A$2:$A$2639,4.2,Data_new!$B$2:$B$2639,VALUE(MID($L$3,2,FIND(",",$L$3)-2)),Data_new!$C$2:$C$2639,80,Data_new!$Q$2:$Q$2639,TRUE)</f>
        <v/>
      </c>
      <c r="P4" s="18">
        <f>_xlfn.MAXIFS(Data_new!$D$2:$D$2639,Data_new!$A$2:$A$2639,4.2,Data_new!$B$2:$B$2639,VALUE(MID($L$3,2,FIND(",",$L$3)-2)),Data_new!$C$2:$C$2639,80,Data_new!$Q$2:$Q$2639,TRUE)</f>
        <v/>
      </c>
      <c r="Q4" s="18" t="inlineStr">
        <is>
          <t>nan</t>
        </is>
      </c>
      <c r="R4" s="18" t="inlineStr">
        <is>
          <t>nan</t>
        </is>
      </c>
      <c r="S4" s="18">
        <f>_xlfn.MINIFS(Data_new!$I$2:$I$2639,Data_new!$A$2:$A$2639,4.2,Data_new!$B$2:$B$2639,VALUE(MID($L$3,2,FIND(",",$L$3)-2)),Data_new!$C$2:$C$2639,80,Data_new!$Q$2:$Q$2639,TRUE)</f>
        <v/>
      </c>
      <c r="T4" s="19">
        <f>_xlfn.MAXIFS(Data_new!$I$2:$I$2639,Data_new!$A$2:$A$2639,4.2,Data_new!$B$2:$B$2639,VALUE(MID($L$3,2,FIND(",",$L$3)-2)),Data_new!$C$2:$C$2639,80,Data_new!$Q$2:$Q$2639,TRUE)</f>
        <v/>
      </c>
      <c r="V4" s="20" t="n"/>
      <c r="X4" t="inlineStr">
        <is>
          <t>real_on_ms</t>
        </is>
      </c>
      <c r="Y4" s="18">
        <f>_xlfn.MINIFS(Data_new!$D$2:$D$2639,Data_new!$A$2:$A$2639,4.2,Data_new!$B$2:$B$2639,VALUE(MID($V$3,2,FIND(",",$V$3)-2)),Data_new!$C$2:$C$2639,60,Data_new!$Q$2:$Q$2639,TRUE)</f>
        <v/>
      </c>
      <c r="Z4" s="18">
        <f>_xlfn.MAXIFS(Data_new!$D$2:$D$2639,Data_new!$A$2:$A$2639,4.2,Data_new!$B$2:$B$2639,VALUE(MID($V$3,2,FIND(",",$V$3)-2)),Data_new!$C$2:$C$2639,60,Data_new!$Q$2:$Q$2639,TRUE)</f>
        <v/>
      </c>
      <c r="AA4" s="18" t="inlineStr">
        <is>
          <t>nan</t>
        </is>
      </c>
      <c r="AB4" s="18" t="inlineStr">
        <is>
          <t>nan</t>
        </is>
      </c>
      <c r="AC4" s="18">
        <f>_xlfn.MINIFS(Data_new!$I$2:$I$2639,Data_new!$A$2:$A$2639,4.2,Data_new!$B$2:$B$2639,VALUE(MID($V$3,2,FIND(",",$V$3)-2)),Data_new!$C$2:$C$2639,60,Data_new!$Q$2:$Q$2639,TRUE)</f>
        <v/>
      </c>
      <c r="AD4" s="19">
        <f>_xlfn.MAXIFS(Data_new!$I$2:$I$2639,Data_new!$A$2:$A$2639,4.2,Data_new!$B$2:$B$2639,VALUE(MID($V$3,2,FIND(",",$V$3)-2)),Data_new!$C$2:$C$2639,60,Data_new!$Q$2:$Q$2639,TRUE)</f>
        <v/>
      </c>
    </row>
    <row r="5">
      <c r="B5" s="20" t="n"/>
      <c r="E5" s="18" t="n"/>
      <c r="F5" s="18" t="n"/>
      <c r="G5" s="18" t="n"/>
      <c r="H5" s="18" t="n"/>
      <c r="I5" s="18" t="n"/>
      <c r="J5" s="19" t="n"/>
      <c r="L5" s="20" t="n"/>
      <c r="O5" s="18" t="n"/>
      <c r="P5" s="18" t="n"/>
      <c r="Q5" s="18" t="n"/>
      <c r="R5" s="18" t="n"/>
      <c r="S5" s="18" t="n"/>
      <c r="T5" s="19" t="n"/>
      <c r="V5" s="20" t="n"/>
      <c r="Y5" s="18" t="n"/>
      <c r="Z5" s="18" t="n"/>
      <c r="AA5" s="18" t="n"/>
      <c r="AB5" s="18" t="n"/>
      <c r="AC5" s="18" t="n"/>
      <c r="AD5" s="19" t="n"/>
    </row>
    <row r="6">
      <c r="B6" s="17" t="inlineStr">
        <is>
          <t>%7, 4.2V, %100</t>
        </is>
      </c>
      <c r="D6" t="inlineStr">
        <is>
          <t>on_ms</t>
        </is>
      </c>
      <c r="E6" s="18">
        <f>_xlfn.MINIFS(Data_new!$D$2:$D$2639,Data_new!$A$2:$A$2639,4.2,Data_new!$B$2:$B$2639,VALUE(MID($B$6,2,FIND(",",$B$6)-2)),Data_new!$C$2:$C$2639,100,Data_new!$P$2:$P$2639,TRUE)</f>
        <v/>
      </c>
      <c r="F6" s="18">
        <f>_xlfn.MAXIFS(Data_new!$D$2:$D$2639,Data_new!$A$2:$A$2639,4.2,Data_new!$B$2:$B$2639,VALUE(MID($B$6,2,FIND(",",$B$6)-2)),Data_new!$C$2:$C$2639,100,Data_new!$P$2:$P$2639,TRUE)</f>
        <v/>
      </c>
      <c r="G6" s="18">
        <f>_xlfn.MINIFS(Data_new!$H$2:$H$2639,Data_new!$A$2:$A$2639,4.2,Data_new!$B$2:$B$2639,VALUE(MID($B$6,2,FIND(",",$B$6)-2)),Data_new!$C$2:$C$2639,100,Data_new!$P$2:$P$2639,TRUE)</f>
        <v/>
      </c>
      <c r="H6" s="18">
        <f>_xlfn.MAXIFS(Data_new!$H$2:$H$2639,Data_new!$A$2:$A$2639,4.2,Data_new!$B$2:$B$2639,VALUE(MID($B$6,2,FIND(",",$B$6)-2)),Data_new!$C$2:$C$2639,100,Data_new!$P$2:$P$2639,TRUE)</f>
        <v/>
      </c>
      <c r="I6" s="18" t="inlineStr">
        <is>
          <t>nan</t>
        </is>
      </c>
      <c r="J6" s="19" t="inlineStr">
        <is>
          <t>nan</t>
        </is>
      </c>
      <c r="L6" s="17" t="inlineStr">
        <is>
          <t>%7, 4.2V, %80</t>
        </is>
      </c>
      <c r="N6" t="inlineStr">
        <is>
          <t>on_ms</t>
        </is>
      </c>
      <c r="O6" s="18">
        <f>_xlfn.MINIFS(Data_new!$D$2:$D$2639,Data_new!$A$2:$A$2639,4.2,Data_new!$B$2:$B$2639,VALUE(MID($L$6,2,FIND(",",$L$6)-2)),Data_new!$C$2:$C$2639,80,Data_new!$P$2:$P$2639,TRUE)</f>
        <v/>
      </c>
      <c r="P6" s="18">
        <f>_xlfn.MAXIFS(Data_new!$D$2:$D$2639,Data_new!$A$2:$A$2639,4.2,Data_new!$B$2:$B$2639,VALUE(MID($L$6,2,FIND(",",$L$6)-2)),Data_new!$C$2:$C$2639,80,Data_new!$P$2:$P$2639,TRUE)</f>
        <v/>
      </c>
      <c r="Q6" s="18">
        <f>_xlfn.MINIFS(Data_new!$H$2:$H$2639,Data_new!$A$2:$A$2639,4.2,Data_new!$B$2:$B$2639,VALUE(MID($L$6,2,FIND(",",$L$6)-2)),Data_new!$C$2:$C$2639,80,Data_new!$P$2:$P$2639,TRUE)</f>
        <v/>
      </c>
      <c r="R6" s="18">
        <f>_xlfn.MAXIFS(Data_new!$H$2:$H$2639,Data_new!$A$2:$A$2639,4.2,Data_new!$B$2:$B$2639,VALUE(MID($L$6,2,FIND(",",$L$6)-2)),Data_new!$C$2:$C$2639,80,Data_new!$P$2:$P$2639,TRUE)</f>
        <v/>
      </c>
      <c r="S6" s="18" t="inlineStr">
        <is>
          <t>nan</t>
        </is>
      </c>
      <c r="T6" s="19" t="inlineStr">
        <is>
          <t>nan</t>
        </is>
      </c>
      <c r="V6" s="17" t="inlineStr">
        <is>
          <t>%7, 4.2V, %60</t>
        </is>
      </c>
      <c r="X6" t="inlineStr">
        <is>
          <t>on_ms</t>
        </is>
      </c>
      <c r="Y6" s="18">
        <f>_xlfn.MINIFS(Data_new!$D$2:$D$2639,Data_new!$A$2:$A$2639,4.2,Data_new!$B$2:$B$2639,VALUE(MID($V$6,2,FIND(",",$V$6)-2)),Data_new!$C$2:$C$2639,60,Data_new!$P$2:$P$2639,TRUE)</f>
        <v/>
      </c>
      <c r="Z6" s="18">
        <f>_xlfn.MAXIFS(Data_new!$D$2:$D$2639,Data_new!$A$2:$A$2639,4.2,Data_new!$B$2:$B$2639,VALUE(MID($V$6,2,FIND(",",$V$6)-2)),Data_new!$C$2:$C$2639,60,Data_new!$P$2:$P$2639,TRUE)</f>
        <v/>
      </c>
      <c r="AA6" s="18">
        <f>_xlfn.MINIFS(Data_new!$H$2:$H$2639,Data_new!$A$2:$A$2639,4.2,Data_new!$B$2:$B$2639,VALUE(MID($V$6,2,FIND(",",$V$6)-2)),Data_new!$C$2:$C$2639,60,Data_new!$P$2:$P$2639,TRUE)</f>
        <v/>
      </c>
      <c r="AB6" s="18">
        <f>_xlfn.MAXIFS(Data_new!$H$2:$H$2639,Data_new!$A$2:$A$2639,4.2,Data_new!$B$2:$B$2639,VALUE(MID($V$6,2,FIND(",",$V$6)-2)),Data_new!$C$2:$C$2639,60,Data_new!$P$2:$P$2639,TRUE)</f>
        <v/>
      </c>
      <c r="AC6" s="18" t="inlineStr">
        <is>
          <t>nan</t>
        </is>
      </c>
      <c r="AD6" s="19" t="inlineStr">
        <is>
          <t>nan</t>
        </is>
      </c>
    </row>
    <row r="7">
      <c r="B7" s="20" t="n"/>
      <c r="D7" t="inlineStr">
        <is>
          <t>real_on_ms</t>
        </is>
      </c>
      <c r="E7" s="18">
        <f>_xlfn.MINIFS(Data_new!$D$2:$D$2639,Data_new!$A$2:$A$2639,4.2,Data_new!$B$2:$B$2639,VALUE(MID($B$6,2,FIND(",",$B$6)-2)),Data_new!$C$2:$C$2639,100,Data_new!$Q$2:$Q$2639,TRUE)</f>
        <v/>
      </c>
      <c r="F7" s="18">
        <f>_xlfn.MAXIFS(Data_new!$D$2:$D$2639,Data_new!$A$2:$A$2639,4.2,Data_new!$B$2:$B$2639,VALUE(MID($B$6,2,FIND(",",$B$6)-2)),Data_new!$C$2:$C$2639,100,Data_new!$Q$2:$Q$2639,TRUE)</f>
        <v/>
      </c>
      <c r="G7" s="18" t="inlineStr">
        <is>
          <t>nan</t>
        </is>
      </c>
      <c r="H7" s="18" t="inlineStr">
        <is>
          <t>nan</t>
        </is>
      </c>
      <c r="I7" s="18">
        <f>_xlfn.MINIFS(Data_new!$I$2:$I$2639,Data_new!$A$2:$A$2639,4.2,Data_new!$B$2:$B$2639,VALUE(MID($B$6,2,FIND(",",$B$6)-2)),Data_new!$C$2:$C$2639,100,Data_new!$Q$2:$Q$2639,TRUE)</f>
        <v/>
      </c>
      <c r="J7" s="19">
        <f>_xlfn.MAXIFS(Data_new!$I$2:$I$2639,Data_new!$A$2:$A$2639,4.2,Data_new!$B$2:$B$2639,VALUE(MID($B$6,2,FIND(",",$B$6)-2)),Data_new!$C$2:$C$2639,100,Data_new!$Q$2:$Q$2639,TRUE)</f>
        <v/>
      </c>
      <c r="L7" s="20" t="n"/>
      <c r="N7" t="inlineStr">
        <is>
          <t>real_on_ms</t>
        </is>
      </c>
      <c r="O7" s="18">
        <f>_xlfn.MINIFS(Data_new!$D$2:$D$2639,Data_new!$A$2:$A$2639,4.2,Data_new!$B$2:$B$2639,VALUE(MID($L$6,2,FIND(",",$L$6)-2)),Data_new!$C$2:$C$2639,80,Data_new!$Q$2:$Q$2639,TRUE)</f>
        <v/>
      </c>
      <c r="P7" s="18">
        <f>_xlfn.MAXIFS(Data_new!$D$2:$D$2639,Data_new!$A$2:$A$2639,4.2,Data_new!$B$2:$B$2639,VALUE(MID($L$6,2,FIND(",",$L$6)-2)),Data_new!$C$2:$C$2639,80,Data_new!$Q$2:$Q$2639,TRUE)</f>
        <v/>
      </c>
      <c r="Q7" s="18" t="inlineStr">
        <is>
          <t>nan</t>
        </is>
      </c>
      <c r="R7" s="18" t="inlineStr">
        <is>
          <t>nan</t>
        </is>
      </c>
      <c r="S7" s="18">
        <f>_xlfn.MINIFS(Data_new!$I$2:$I$2639,Data_new!$A$2:$A$2639,4.2,Data_new!$B$2:$B$2639,VALUE(MID($L$6,2,FIND(",",$L$6)-2)),Data_new!$C$2:$C$2639,80,Data_new!$Q$2:$Q$2639,TRUE)</f>
        <v/>
      </c>
      <c r="T7" s="19">
        <f>_xlfn.MAXIFS(Data_new!$I$2:$I$2639,Data_new!$A$2:$A$2639,4.2,Data_new!$B$2:$B$2639,VALUE(MID($L$6,2,FIND(",",$L$6)-2)),Data_new!$C$2:$C$2639,80,Data_new!$Q$2:$Q$2639,TRUE)</f>
        <v/>
      </c>
      <c r="V7" s="20" t="n"/>
      <c r="X7" t="inlineStr">
        <is>
          <t>real_on_ms</t>
        </is>
      </c>
      <c r="Y7" s="18">
        <f>_xlfn.MINIFS(Data_new!$D$2:$D$2639,Data_new!$A$2:$A$2639,4.2,Data_new!$B$2:$B$2639,VALUE(MID($V$6,2,FIND(",",$V$6)-2)),Data_new!$C$2:$C$2639,60,Data_new!$Q$2:$Q$2639,TRUE)</f>
        <v/>
      </c>
      <c r="Z7" s="18">
        <f>_xlfn.MAXIFS(Data_new!$D$2:$D$2639,Data_new!$A$2:$A$2639,4.2,Data_new!$B$2:$B$2639,VALUE(MID($V$6,2,FIND(",",$V$6)-2)),Data_new!$C$2:$C$2639,60,Data_new!$Q$2:$Q$2639,TRUE)</f>
        <v/>
      </c>
      <c r="AA7" s="18" t="inlineStr">
        <is>
          <t>nan</t>
        </is>
      </c>
      <c r="AB7" s="18" t="inlineStr">
        <is>
          <t>nan</t>
        </is>
      </c>
      <c r="AC7" s="18">
        <f>_xlfn.MINIFS(Data_new!$I$2:$I$2639,Data_new!$A$2:$A$2639,4.2,Data_new!$B$2:$B$2639,VALUE(MID($V$6,2,FIND(",",$V$6)-2)),Data_new!$C$2:$C$2639,60,Data_new!$Q$2:$Q$2639,TRUE)</f>
        <v/>
      </c>
      <c r="AD7" s="19">
        <f>_xlfn.MAXIFS(Data_new!$I$2:$I$2639,Data_new!$A$2:$A$2639,4.2,Data_new!$B$2:$B$2639,VALUE(MID($V$6,2,FIND(",",$V$6)-2)),Data_new!$C$2:$C$2639,60,Data_new!$Q$2:$Q$2639,TRUE)</f>
        <v/>
      </c>
    </row>
    <row r="8">
      <c r="B8" s="20" t="n"/>
      <c r="E8" s="18" t="n"/>
      <c r="F8" s="18" t="n"/>
      <c r="G8" s="18" t="n"/>
      <c r="H8" s="18" t="n"/>
      <c r="I8" s="18" t="n"/>
      <c r="J8" s="19" t="n"/>
      <c r="L8" s="20" t="n"/>
      <c r="O8" s="18" t="n"/>
      <c r="P8" s="18" t="n"/>
      <c r="Q8" s="18" t="n"/>
      <c r="R8" s="18" t="n"/>
      <c r="S8" s="18" t="n"/>
      <c r="T8" s="19" t="n"/>
      <c r="V8" s="20" t="n"/>
      <c r="Y8" s="18" t="n"/>
      <c r="Z8" s="18" t="n"/>
      <c r="AA8" s="18" t="n"/>
      <c r="AB8" s="18" t="n"/>
      <c r="AC8" s="18" t="n"/>
      <c r="AD8" s="19" t="n"/>
    </row>
    <row r="9">
      <c r="B9" s="17" t="inlineStr">
        <is>
          <t>%8, 4.2V, %100</t>
        </is>
      </c>
      <c r="D9" t="inlineStr">
        <is>
          <t>on_ms</t>
        </is>
      </c>
      <c r="E9" s="18">
        <f>_xlfn.MINIFS(Data_new!$D$2:$D$2639,Data_new!$A$2:$A$2639,4.2,Data_new!$B$2:$B$2639,VALUE(MID($B$9,2,FIND(",",$B$9)-2)),Data_new!$C$2:$C$2639,100,Data_new!$P$2:$P$2639,TRUE)</f>
        <v/>
      </c>
      <c r="F9" s="18">
        <f>_xlfn.MAXIFS(Data_new!$D$2:$D$2639,Data_new!$A$2:$A$2639,4.2,Data_new!$B$2:$B$2639,VALUE(MID($B$9,2,FIND(",",$B$9)-2)),Data_new!$C$2:$C$2639,100,Data_new!$P$2:$P$2639,TRUE)</f>
        <v/>
      </c>
      <c r="G9" s="18">
        <f>_xlfn.MINIFS(Data_new!$H$2:$H$2639,Data_new!$A$2:$A$2639,4.2,Data_new!$B$2:$B$2639,VALUE(MID($B$9,2,FIND(",",$B$9)-2)),Data_new!$C$2:$C$2639,100,Data_new!$P$2:$P$2639,TRUE)</f>
        <v/>
      </c>
      <c r="H9" s="18">
        <f>_xlfn.MAXIFS(Data_new!$H$2:$H$2639,Data_new!$A$2:$A$2639,4.2,Data_new!$B$2:$B$2639,VALUE(MID($B$9,2,FIND(",",$B$9)-2)),Data_new!$C$2:$C$2639,100,Data_new!$P$2:$P$2639,TRUE)</f>
        <v/>
      </c>
      <c r="I9" s="18" t="inlineStr">
        <is>
          <t>nan</t>
        </is>
      </c>
      <c r="J9" s="19" t="inlineStr">
        <is>
          <t>nan</t>
        </is>
      </c>
      <c r="L9" s="17" t="inlineStr">
        <is>
          <t>%8, 4.2V, %80</t>
        </is>
      </c>
      <c r="N9" t="inlineStr">
        <is>
          <t>on_ms</t>
        </is>
      </c>
      <c r="O9" s="18">
        <f>_xlfn.MINIFS(Data_new!$D$2:$D$2639,Data_new!$A$2:$A$2639,4.2,Data_new!$B$2:$B$2639,VALUE(MID($L$9,2,FIND(",",$L$9)-2)),Data_new!$C$2:$C$2639,80,Data_new!$P$2:$P$2639,TRUE)</f>
        <v/>
      </c>
      <c r="P9" s="18">
        <f>_xlfn.MAXIFS(Data_new!$D$2:$D$2639,Data_new!$A$2:$A$2639,4.2,Data_new!$B$2:$B$2639,VALUE(MID($L$9,2,FIND(",",$L$9)-2)),Data_new!$C$2:$C$2639,80,Data_new!$P$2:$P$2639,TRUE)</f>
        <v/>
      </c>
      <c r="Q9" s="18">
        <f>_xlfn.MINIFS(Data_new!$H$2:$H$2639,Data_new!$A$2:$A$2639,4.2,Data_new!$B$2:$B$2639,VALUE(MID($L$9,2,FIND(",",$L$9)-2)),Data_new!$C$2:$C$2639,80,Data_new!$P$2:$P$2639,TRUE)</f>
        <v/>
      </c>
      <c r="R9" s="18">
        <f>_xlfn.MAXIFS(Data_new!$H$2:$H$2639,Data_new!$A$2:$A$2639,4.2,Data_new!$B$2:$B$2639,VALUE(MID($L$9,2,FIND(",",$L$9)-2)),Data_new!$C$2:$C$2639,80,Data_new!$P$2:$P$2639,TRUE)</f>
        <v/>
      </c>
      <c r="S9" s="18" t="inlineStr">
        <is>
          <t>nan</t>
        </is>
      </c>
      <c r="T9" s="19" t="inlineStr">
        <is>
          <t>nan</t>
        </is>
      </c>
      <c r="V9" s="17" t="inlineStr">
        <is>
          <t>%8, 4.2V, %60</t>
        </is>
      </c>
      <c r="X9" t="inlineStr">
        <is>
          <t>on_ms</t>
        </is>
      </c>
      <c r="Y9" s="18">
        <f>_xlfn.MINIFS(Data_new!$D$2:$D$2639,Data_new!$A$2:$A$2639,4.2,Data_new!$B$2:$B$2639,VALUE(MID($V$9,2,FIND(",",$V$9)-2)),Data_new!$C$2:$C$2639,60,Data_new!$P$2:$P$2639,TRUE)</f>
        <v/>
      </c>
      <c r="Z9" s="18">
        <f>_xlfn.MAXIFS(Data_new!$D$2:$D$2639,Data_new!$A$2:$A$2639,4.2,Data_new!$B$2:$B$2639,VALUE(MID($V$9,2,FIND(",",$V$9)-2)),Data_new!$C$2:$C$2639,60,Data_new!$P$2:$P$2639,TRUE)</f>
        <v/>
      </c>
      <c r="AA9" s="18">
        <f>_xlfn.MINIFS(Data_new!$H$2:$H$2639,Data_new!$A$2:$A$2639,4.2,Data_new!$B$2:$B$2639,VALUE(MID($V$9,2,FIND(",",$V$9)-2)),Data_new!$C$2:$C$2639,60,Data_new!$P$2:$P$2639,TRUE)</f>
        <v/>
      </c>
      <c r="AB9" s="18">
        <f>_xlfn.MAXIFS(Data_new!$H$2:$H$2639,Data_new!$A$2:$A$2639,4.2,Data_new!$B$2:$B$2639,VALUE(MID($V$9,2,FIND(",",$V$9)-2)),Data_new!$C$2:$C$2639,60,Data_new!$P$2:$P$2639,TRUE)</f>
        <v/>
      </c>
      <c r="AC9" s="18" t="inlineStr">
        <is>
          <t>nan</t>
        </is>
      </c>
      <c r="AD9" s="19" t="inlineStr">
        <is>
          <t>nan</t>
        </is>
      </c>
    </row>
    <row r="10">
      <c r="B10" s="20" t="n"/>
      <c r="D10" t="inlineStr">
        <is>
          <t>real_on_ms</t>
        </is>
      </c>
      <c r="E10" s="18">
        <f>_xlfn.MINIFS(Data_new!$D$2:$D$2639,Data_new!$A$2:$A$2639,4.2,Data_new!$B$2:$B$2639,VALUE(MID($B$9,2,FIND(",",$B$9)-2)),Data_new!$C$2:$C$2639,100,Data_new!$Q$2:$Q$2639,TRUE)</f>
        <v/>
      </c>
      <c r="F10" s="18">
        <f>_xlfn.MAXIFS(Data_new!$D$2:$D$2639,Data_new!$A$2:$A$2639,4.2,Data_new!$B$2:$B$2639,VALUE(MID($B$9,2,FIND(",",$B$9)-2)),Data_new!$C$2:$C$2639,100,Data_new!$Q$2:$Q$2639,TRUE)</f>
        <v/>
      </c>
      <c r="G10" s="18" t="inlineStr">
        <is>
          <t>nan</t>
        </is>
      </c>
      <c r="H10" s="18" t="inlineStr">
        <is>
          <t>nan</t>
        </is>
      </c>
      <c r="I10" s="18">
        <f>_xlfn.MINIFS(Data_new!$I$2:$I$2639,Data_new!$A$2:$A$2639,4.2,Data_new!$B$2:$B$2639,VALUE(MID($B$9,2,FIND(",",$B$9)-2)),Data_new!$C$2:$C$2639,100,Data_new!$Q$2:$Q$2639,TRUE)</f>
        <v/>
      </c>
      <c r="J10" s="19">
        <f>_xlfn.MAXIFS(Data_new!$I$2:$I$2639,Data_new!$A$2:$A$2639,4.2,Data_new!$B$2:$B$2639,VALUE(MID($B$9,2,FIND(",",$B$9)-2)),Data_new!$C$2:$C$2639,100,Data_new!$Q$2:$Q$2639,TRUE)</f>
        <v/>
      </c>
      <c r="L10" s="20" t="n"/>
      <c r="N10" t="inlineStr">
        <is>
          <t>real_on_ms</t>
        </is>
      </c>
      <c r="O10" s="18">
        <f>_xlfn.MINIFS(Data_new!$D$2:$D$2639,Data_new!$A$2:$A$2639,4.2,Data_new!$B$2:$B$2639,VALUE(MID($L$9,2,FIND(",",$L$9)-2)),Data_new!$C$2:$C$2639,80,Data_new!$Q$2:$Q$2639,TRUE)</f>
        <v/>
      </c>
      <c r="P10" s="18">
        <f>_xlfn.MAXIFS(Data_new!$D$2:$D$2639,Data_new!$A$2:$A$2639,4.2,Data_new!$B$2:$B$2639,VALUE(MID($L$9,2,FIND(",",$L$9)-2)),Data_new!$C$2:$C$2639,80,Data_new!$Q$2:$Q$2639,TRUE)</f>
        <v/>
      </c>
      <c r="Q10" s="18" t="inlineStr">
        <is>
          <t>nan</t>
        </is>
      </c>
      <c r="R10" s="18" t="inlineStr">
        <is>
          <t>nan</t>
        </is>
      </c>
      <c r="S10" s="18">
        <f>_xlfn.MINIFS(Data_new!$I$2:$I$2639,Data_new!$A$2:$A$2639,4.2,Data_new!$B$2:$B$2639,VALUE(MID($L$9,2,FIND(",",$L$9)-2)),Data_new!$C$2:$C$2639,80,Data_new!$Q$2:$Q$2639,TRUE)</f>
        <v/>
      </c>
      <c r="T10" s="19">
        <f>_xlfn.MAXIFS(Data_new!$I$2:$I$2639,Data_new!$A$2:$A$2639,4.2,Data_new!$B$2:$B$2639,VALUE(MID($L$9,2,FIND(",",$L$9)-2)),Data_new!$C$2:$C$2639,80,Data_new!$Q$2:$Q$2639,TRUE)</f>
        <v/>
      </c>
      <c r="V10" s="20" t="n"/>
      <c r="X10" t="inlineStr">
        <is>
          <t>real_on_ms</t>
        </is>
      </c>
      <c r="Y10" s="18">
        <f>_xlfn.MINIFS(Data_new!$D$2:$D$2639,Data_new!$A$2:$A$2639,4.2,Data_new!$B$2:$B$2639,VALUE(MID($V$9,2,FIND(",",$V$9)-2)),Data_new!$C$2:$C$2639,60,Data_new!$Q$2:$Q$2639,TRUE)</f>
        <v/>
      </c>
      <c r="Z10" s="18">
        <f>_xlfn.MAXIFS(Data_new!$D$2:$D$2639,Data_new!$A$2:$A$2639,4.2,Data_new!$B$2:$B$2639,VALUE(MID($V$9,2,FIND(",",$V$9)-2)),Data_new!$C$2:$C$2639,60,Data_new!$Q$2:$Q$2639,TRUE)</f>
        <v/>
      </c>
      <c r="AA10" s="18" t="inlineStr">
        <is>
          <t>nan</t>
        </is>
      </c>
      <c r="AB10" s="18" t="inlineStr">
        <is>
          <t>nan</t>
        </is>
      </c>
      <c r="AC10" s="18">
        <f>_xlfn.MINIFS(Data_new!$I$2:$I$2639,Data_new!$A$2:$A$2639,4.2,Data_new!$B$2:$B$2639,VALUE(MID($V$9,2,FIND(",",$V$9)-2)),Data_new!$C$2:$C$2639,60,Data_new!$Q$2:$Q$2639,TRUE)</f>
        <v/>
      </c>
      <c r="AD10" s="19">
        <f>_xlfn.MAXIFS(Data_new!$I$2:$I$2639,Data_new!$A$2:$A$2639,4.2,Data_new!$B$2:$B$2639,VALUE(MID($V$9,2,FIND(",",$V$9)-2)),Data_new!$C$2:$C$2639,60,Data_new!$Q$2:$Q$2639,TRUE)</f>
        <v/>
      </c>
    </row>
    <row r="11">
      <c r="B11" s="20" t="n"/>
      <c r="E11" s="18" t="n"/>
      <c r="F11" s="18" t="n"/>
      <c r="G11" s="18" t="n"/>
      <c r="H11" s="18" t="n"/>
      <c r="I11" s="18" t="n"/>
      <c r="J11" s="19" t="n"/>
      <c r="L11" s="20" t="n"/>
      <c r="O11" s="18" t="n"/>
      <c r="P11" s="18" t="n"/>
      <c r="Q11" s="18" t="n"/>
      <c r="R11" s="18" t="n"/>
      <c r="S11" s="18" t="n"/>
      <c r="T11" s="19" t="n"/>
      <c r="V11" s="20" t="n"/>
      <c r="Y11" s="18" t="n"/>
      <c r="Z11" s="18" t="n"/>
      <c r="AA11" s="18" t="n"/>
      <c r="AB11" s="18" t="n"/>
      <c r="AC11" s="18" t="n"/>
      <c r="AD11" s="19" t="n"/>
    </row>
    <row r="12">
      <c r="B12" s="17" t="inlineStr">
        <is>
          <t>%10, 4.2V, %100</t>
        </is>
      </c>
      <c r="D12" t="inlineStr">
        <is>
          <t>on_ms</t>
        </is>
      </c>
      <c r="E12" s="18">
        <f>_xlfn.MINIFS(Data_new!$D$2:$D$2639,Data_new!$A$2:$A$2639,4.2,Data_new!$B$2:$B$2639,VALUE(MID($B$12,2,FIND(",",$B$12)-2)),Data_new!$C$2:$C$2639,100,Data_new!$P$2:$P$2639,TRUE)</f>
        <v/>
      </c>
      <c r="F12" s="18">
        <f>_xlfn.MAXIFS(Data_new!$D$2:$D$2639,Data_new!$A$2:$A$2639,4.2,Data_new!$B$2:$B$2639,VALUE(MID($B$12,2,FIND(",",$B$12)-2)),Data_new!$C$2:$C$2639,100,Data_new!$P$2:$P$2639,TRUE)</f>
        <v/>
      </c>
      <c r="G12" s="18">
        <f>_xlfn.MINIFS(Data_new!$H$2:$H$2639,Data_new!$A$2:$A$2639,4.2,Data_new!$B$2:$B$2639,VALUE(MID($B$12,2,FIND(",",$B$12)-2)),Data_new!$C$2:$C$2639,100,Data_new!$P$2:$P$2639,TRUE)</f>
        <v/>
      </c>
      <c r="H12" s="18">
        <f>_xlfn.MAXIFS(Data_new!$H$2:$H$2639,Data_new!$A$2:$A$2639,4.2,Data_new!$B$2:$B$2639,VALUE(MID($B$12,2,FIND(",",$B$12)-2)),Data_new!$C$2:$C$2639,100,Data_new!$P$2:$P$2639,TRUE)</f>
        <v/>
      </c>
      <c r="I12" s="18" t="inlineStr">
        <is>
          <t>nan</t>
        </is>
      </c>
      <c r="J12" s="19" t="inlineStr">
        <is>
          <t>nan</t>
        </is>
      </c>
      <c r="L12" s="17" t="inlineStr">
        <is>
          <t>%10, 4.2V, %80</t>
        </is>
      </c>
      <c r="N12" t="inlineStr">
        <is>
          <t>on_ms</t>
        </is>
      </c>
      <c r="O12" s="18">
        <f>_xlfn.MINIFS(Data_new!$D$2:$D$2639,Data_new!$A$2:$A$2639,4.2,Data_new!$B$2:$B$2639,VALUE(MID($L$12,2,FIND(",",$L$12)-2)),Data_new!$C$2:$C$2639,80,Data_new!$P$2:$P$2639,TRUE)</f>
        <v/>
      </c>
      <c r="P12" s="18">
        <f>_xlfn.MAXIFS(Data_new!$D$2:$D$2639,Data_new!$A$2:$A$2639,4.2,Data_new!$B$2:$B$2639,VALUE(MID($L$12,2,FIND(",",$L$12)-2)),Data_new!$C$2:$C$2639,80,Data_new!$P$2:$P$2639,TRUE)</f>
        <v/>
      </c>
      <c r="Q12" s="18">
        <f>_xlfn.MINIFS(Data_new!$H$2:$H$2639,Data_new!$A$2:$A$2639,4.2,Data_new!$B$2:$B$2639,VALUE(MID($L$12,2,FIND(",",$L$12)-2)),Data_new!$C$2:$C$2639,80,Data_new!$P$2:$P$2639,TRUE)</f>
        <v/>
      </c>
      <c r="R12" s="18">
        <f>_xlfn.MAXIFS(Data_new!$H$2:$H$2639,Data_new!$A$2:$A$2639,4.2,Data_new!$B$2:$B$2639,VALUE(MID($L$12,2,FIND(",",$L$12)-2)),Data_new!$C$2:$C$2639,80,Data_new!$P$2:$P$2639,TRUE)</f>
        <v/>
      </c>
      <c r="S12" s="18" t="inlineStr">
        <is>
          <t>nan</t>
        </is>
      </c>
      <c r="T12" s="19" t="inlineStr">
        <is>
          <t>nan</t>
        </is>
      </c>
      <c r="V12" s="17" t="inlineStr">
        <is>
          <t>%10, 4.2V, %60</t>
        </is>
      </c>
      <c r="X12" t="inlineStr">
        <is>
          <t>on_ms</t>
        </is>
      </c>
      <c r="Y12" s="18">
        <f>_xlfn.MINIFS(Data_new!$D$2:$D$2639,Data_new!$A$2:$A$2639,4.2,Data_new!$B$2:$B$2639,VALUE(MID($V$12,2,FIND(",",$V$12)-2)),Data_new!$C$2:$C$2639,60,Data_new!$P$2:$P$2639,TRUE)</f>
        <v/>
      </c>
      <c r="Z12" s="18">
        <f>_xlfn.MAXIFS(Data_new!$D$2:$D$2639,Data_new!$A$2:$A$2639,4.2,Data_new!$B$2:$B$2639,VALUE(MID($V$12,2,FIND(",",$V$12)-2)),Data_new!$C$2:$C$2639,60,Data_new!$P$2:$P$2639,TRUE)</f>
        <v/>
      </c>
      <c r="AA12" s="18">
        <f>_xlfn.MINIFS(Data_new!$H$2:$H$2639,Data_new!$A$2:$A$2639,4.2,Data_new!$B$2:$B$2639,VALUE(MID($V$12,2,FIND(",",$V$12)-2)),Data_new!$C$2:$C$2639,60,Data_new!$P$2:$P$2639,TRUE)</f>
        <v/>
      </c>
      <c r="AB12" s="18">
        <f>_xlfn.MAXIFS(Data_new!$H$2:$H$2639,Data_new!$A$2:$A$2639,4.2,Data_new!$B$2:$B$2639,VALUE(MID($V$12,2,FIND(",",$V$12)-2)),Data_new!$C$2:$C$2639,60,Data_new!$P$2:$P$2639,TRUE)</f>
        <v/>
      </c>
      <c r="AC12" s="18" t="inlineStr">
        <is>
          <t>nan</t>
        </is>
      </c>
      <c r="AD12" s="19" t="inlineStr">
        <is>
          <t>nan</t>
        </is>
      </c>
    </row>
    <row r="13">
      <c r="B13" s="20" t="n"/>
      <c r="D13" t="inlineStr">
        <is>
          <t>real_on_ms</t>
        </is>
      </c>
      <c r="E13" s="18">
        <f>_xlfn.MINIFS(Data_new!$D$2:$D$2639,Data_new!$A$2:$A$2639,4.2,Data_new!$B$2:$B$2639,VALUE(MID($B$12,2,FIND(",",$B$12)-2)),Data_new!$C$2:$C$2639,100,Data_new!$Q$2:$Q$2639,TRUE)</f>
        <v/>
      </c>
      <c r="F13" s="18">
        <f>_xlfn.MAXIFS(Data_new!$D$2:$D$2639,Data_new!$A$2:$A$2639,4.2,Data_new!$B$2:$B$2639,VALUE(MID($B$12,2,FIND(",",$B$12)-2)),Data_new!$C$2:$C$2639,100,Data_new!$Q$2:$Q$2639,TRUE)</f>
        <v/>
      </c>
      <c r="G13" s="18" t="inlineStr">
        <is>
          <t>nan</t>
        </is>
      </c>
      <c r="H13" s="18" t="inlineStr">
        <is>
          <t>nan</t>
        </is>
      </c>
      <c r="I13" s="18">
        <f>_xlfn.MINIFS(Data_new!$I$2:$I$2639,Data_new!$A$2:$A$2639,4.2,Data_new!$B$2:$B$2639,VALUE(MID($B$12,2,FIND(",",$B$12)-2)),Data_new!$C$2:$C$2639,100,Data_new!$Q$2:$Q$2639,TRUE)</f>
        <v/>
      </c>
      <c r="J13" s="19">
        <f>_xlfn.MAXIFS(Data_new!$I$2:$I$2639,Data_new!$A$2:$A$2639,4.2,Data_new!$B$2:$B$2639,VALUE(MID($B$12,2,FIND(",",$B$12)-2)),Data_new!$C$2:$C$2639,100,Data_new!$Q$2:$Q$2639,TRUE)</f>
        <v/>
      </c>
      <c r="L13" s="20" t="n"/>
      <c r="N13" t="inlineStr">
        <is>
          <t>real_on_ms</t>
        </is>
      </c>
      <c r="O13" s="18">
        <f>_xlfn.MINIFS(Data_new!$D$2:$D$2639,Data_new!$A$2:$A$2639,4.2,Data_new!$B$2:$B$2639,VALUE(MID($L$12,2,FIND(",",$L$12)-2)),Data_new!$C$2:$C$2639,80,Data_new!$Q$2:$Q$2639,TRUE)</f>
        <v/>
      </c>
      <c r="P13" s="18">
        <f>_xlfn.MAXIFS(Data_new!$D$2:$D$2639,Data_new!$A$2:$A$2639,4.2,Data_new!$B$2:$B$2639,VALUE(MID($L$12,2,FIND(",",$L$12)-2)),Data_new!$C$2:$C$2639,80,Data_new!$Q$2:$Q$2639,TRUE)</f>
        <v/>
      </c>
      <c r="Q13" s="18" t="inlineStr">
        <is>
          <t>nan</t>
        </is>
      </c>
      <c r="R13" s="18" t="inlineStr">
        <is>
          <t>nan</t>
        </is>
      </c>
      <c r="S13" s="18">
        <f>_xlfn.MINIFS(Data_new!$I$2:$I$2639,Data_new!$A$2:$A$2639,4.2,Data_new!$B$2:$B$2639,VALUE(MID($L$12,2,FIND(",",$L$12)-2)),Data_new!$C$2:$C$2639,80,Data_new!$Q$2:$Q$2639,TRUE)</f>
        <v/>
      </c>
      <c r="T13" s="19">
        <f>_xlfn.MAXIFS(Data_new!$I$2:$I$2639,Data_new!$A$2:$A$2639,4.2,Data_new!$B$2:$B$2639,VALUE(MID($L$12,2,FIND(",",$L$12)-2)),Data_new!$C$2:$C$2639,80,Data_new!$Q$2:$Q$2639,TRUE)</f>
        <v/>
      </c>
      <c r="V13" s="20" t="n"/>
      <c r="X13" t="inlineStr">
        <is>
          <t>real_on_ms</t>
        </is>
      </c>
      <c r="Y13" s="18">
        <f>_xlfn.MINIFS(Data_new!$D$2:$D$2639,Data_new!$A$2:$A$2639,4.2,Data_new!$B$2:$B$2639,VALUE(MID($V$12,2,FIND(",",$V$12)-2)),Data_new!$C$2:$C$2639,60,Data_new!$Q$2:$Q$2639,TRUE)</f>
        <v/>
      </c>
      <c r="Z13" s="18">
        <f>_xlfn.MAXIFS(Data_new!$D$2:$D$2639,Data_new!$A$2:$A$2639,4.2,Data_new!$B$2:$B$2639,VALUE(MID($V$12,2,FIND(",",$V$12)-2)),Data_new!$C$2:$C$2639,60,Data_new!$Q$2:$Q$2639,TRUE)</f>
        <v/>
      </c>
      <c r="AA13" s="18" t="inlineStr">
        <is>
          <t>nan</t>
        </is>
      </c>
      <c r="AB13" s="18" t="inlineStr">
        <is>
          <t>nan</t>
        </is>
      </c>
      <c r="AC13" s="18">
        <f>_xlfn.MINIFS(Data_new!$I$2:$I$2639,Data_new!$A$2:$A$2639,4.2,Data_new!$B$2:$B$2639,VALUE(MID($V$12,2,FIND(",",$V$12)-2)),Data_new!$C$2:$C$2639,60,Data_new!$Q$2:$Q$2639,TRUE)</f>
        <v/>
      </c>
      <c r="AD13" s="19">
        <f>_xlfn.MAXIFS(Data_new!$I$2:$I$2639,Data_new!$A$2:$A$2639,4.2,Data_new!$B$2:$B$2639,VALUE(MID($V$12,2,FIND(",",$V$12)-2)),Data_new!$C$2:$C$2639,60,Data_new!$Q$2:$Q$2639,TRUE)</f>
        <v/>
      </c>
    </row>
    <row r="14">
      <c r="B14" s="20" t="n"/>
      <c r="E14" s="18" t="n"/>
      <c r="F14" s="18" t="n"/>
      <c r="G14" s="18" t="n"/>
      <c r="H14" s="18" t="n"/>
      <c r="I14" s="18" t="n"/>
      <c r="J14" s="19" t="n"/>
      <c r="L14" s="20" t="n"/>
      <c r="O14" s="18" t="n"/>
      <c r="P14" s="18" t="n"/>
      <c r="Q14" s="18" t="n"/>
      <c r="R14" s="18" t="n"/>
      <c r="S14" s="18" t="n"/>
      <c r="T14" s="19" t="n"/>
      <c r="V14" s="20" t="n"/>
      <c r="Y14" s="18" t="n"/>
      <c r="Z14" s="18" t="n"/>
      <c r="AA14" s="18" t="n"/>
      <c r="AB14" s="18" t="n"/>
      <c r="AC14" s="18" t="n"/>
      <c r="AD14" s="19" t="n"/>
    </row>
    <row r="15">
      <c r="B15" s="17" t="inlineStr">
        <is>
          <t>%15, 4.2V, %100</t>
        </is>
      </c>
      <c r="D15" t="inlineStr">
        <is>
          <t>on_ms</t>
        </is>
      </c>
      <c r="E15" s="18">
        <f>_xlfn.MINIFS(Data_new!$D$2:$D$2639,Data_new!$A$2:$A$2639,4.2,Data_new!$B$2:$B$2639,VALUE(MID($B$15,2,FIND(",",$B$15)-2)),Data_new!$C$2:$C$2639,100,Data_new!$P$2:$P$2639,TRUE)</f>
        <v/>
      </c>
      <c r="F15" s="18">
        <f>_xlfn.MAXIFS(Data_new!$D$2:$D$2639,Data_new!$A$2:$A$2639,4.2,Data_new!$B$2:$B$2639,VALUE(MID($B$15,2,FIND(",",$B$15)-2)),Data_new!$C$2:$C$2639,100,Data_new!$P$2:$P$2639,TRUE)</f>
        <v/>
      </c>
      <c r="G15" s="18">
        <f>_xlfn.MINIFS(Data_new!$H$2:$H$2639,Data_new!$A$2:$A$2639,4.2,Data_new!$B$2:$B$2639,VALUE(MID($B$15,2,FIND(",",$B$15)-2)),Data_new!$C$2:$C$2639,100,Data_new!$P$2:$P$2639,TRUE)</f>
        <v/>
      </c>
      <c r="H15" s="18">
        <f>_xlfn.MAXIFS(Data_new!$H$2:$H$2639,Data_new!$A$2:$A$2639,4.2,Data_new!$B$2:$B$2639,VALUE(MID($B$15,2,FIND(",",$B$15)-2)),Data_new!$C$2:$C$2639,100,Data_new!$P$2:$P$2639,TRUE)</f>
        <v/>
      </c>
      <c r="I15" s="18" t="inlineStr">
        <is>
          <t>nan</t>
        </is>
      </c>
      <c r="J15" s="19" t="inlineStr">
        <is>
          <t>nan</t>
        </is>
      </c>
      <c r="L15" s="17" t="inlineStr">
        <is>
          <t>%15, 4.2V, %80</t>
        </is>
      </c>
      <c r="N15" t="inlineStr">
        <is>
          <t>on_ms</t>
        </is>
      </c>
      <c r="O15" s="18">
        <f>_xlfn.MINIFS(Data_new!$D$2:$D$2639,Data_new!$A$2:$A$2639,4.2,Data_new!$B$2:$B$2639,VALUE(MID($L$15,2,FIND(",",$L$15)-2)),Data_new!$C$2:$C$2639,80,Data_new!$P$2:$P$2639,TRUE)</f>
        <v/>
      </c>
      <c r="P15" s="18">
        <f>_xlfn.MAXIFS(Data_new!$D$2:$D$2639,Data_new!$A$2:$A$2639,4.2,Data_new!$B$2:$B$2639,VALUE(MID($L$15,2,FIND(",",$L$15)-2)),Data_new!$C$2:$C$2639,80,Data_new!$P$2:$P$2639,TRUE)</f>
        <v/>
      </c>
      <c r="Q15" s="18">
        <f>_xlfn.MINIFS(Data_new!$H$2:$H$2639,Data_new!$A$2:$A$2639,4.2,Data_new!$B$2:$B$2639,VALUE(MID($L$15,2,FIND(",",$L$15)-2)),Data_new!$C$2:$C$2639,80,Data_new!$P$2:$P$2639,TRUE)</f>
        <v/>
      </c>
      <c r="R15" s="18">
        <f>_xlfn.MAXIFS(Data_new!$H$2:$H$2639,Data_new!$A$2:$A$2639,4.2,Data_new!$B$2:$B$2639,VALUE(MID($L$15,2,FIND(",",$L$15)-2)),Data_new!$C$2:$C$2639,80,Data_new!$P$2:$P$2639,TRUE)</f>
        <v/>
      </c>
      <c r="S15" s="18" t="inlineStr">
        <is>
          <t>nan</t>
        </is>
      </c>
      <c r="T15" s="19" t="inlineStr">
        <is>
          <t>nan</t>
        </is>
      </c>
      <c r="V15" s="17" t="inlineStr">
        <is>
          <t>%15, 4.2V, %60</t>
        </is>
      </c>
      <c r="X15" t="inlineStr">
        <is>
          <t>on_ms</t>
        </is>
      </c>
      <c r="Y15" s="18">
        <f>_xlfn.MINIFS(Data_new!$D$2:$D$2639,Data_new!$A$2:$A$2639,4.2,Data_new!$B$2:$B$2639,VALUE(MID($V$15,2,FIND(",",$V$15)-2)),Data_new!$C$2:$C$2639,60,Data_new!$P$2:$P$2639,TRUE)</f>
        <v/>
      </c>
      <c r="Z15" s="18">
        <f>_xlfn.MAXIFS(Data_new!$D$2:$D$2639,Data_new!$A$2:$A$2639,4.2,Data_new!$B$2:$B$2639,VALUE(MID($V$15,2,FIND(",",$V$15)-2)),Data_new!$C$2:$C$2639,60,Data_new!$P$2:$P$2639,TRUE)</f>
        <v/>
      </c>
      <c r="AA15" s="18">
        <f>_xlfn.MINIFS(Data_new!$H$2:$H$2639,Data_new!$A$2:$A$2639,4.2,Data_new!$B$2:$B$2639,VALUE(MID($V$15,2,FIND(",",$V$15)-2)),Data_new!$C$2:$C$2639,60,Data_new!$P$2:$P$2639,TRUE)</f>
        <v/>
      </c>
      <c r="AB15" s="18">
        <f>_xlfn.MAXIFS(Data_new!$H$2:$H$2639,Data_new!$A$2:$A$2639,4.2,Data_new!$B$2:$B$2639,VALUE(MID($V$15,2,FIND(",",$V$15)-2)),Data_new!$C$2:$C$2639,60,Data_new!$P$2:$P$2639,TRUE)</f>
        <v/>
      </c>
      <c r="AC15" s="18" t="inlineStr">
        <is>
          <t>nan</t>
        </is>
      </c>
      <c r="AD15" s="19" t="inlineStr">
        <is>
          <t>nan</t>
        </is>
      </c>
    </row>
    <row r="16">
      <c r="B16" s="20" t="n"/>
      <c r="D16" t="inlineStr">
        <is>
          <t>real_on_ms</t>
        </is>
      </c>
      <c r="E16" s="18">
        <f>_xlfn.MINIFS(Data_new!$D$2:$D$2639,Data_new!$A$2:$A$2639,4.2,Data_new!$B$2:$B$2639,VALUE(MID($B$15,2,FIND(",",$B$15)-2)),Data_new!$C$2:$C$2639,100,Data_new!$Q$2:$Q$2639,TRUE)</f>
        <v/>
      </c>
      <c r="F16" s="18">
        <f>_xlfn.MAXIFS(Data_new!$D$2:$D$2639,Data_new!$A$2:$A$2639,4.2,Data_new!$B$2:$B$2639,VALUE(MID($B$15,2,FIND(",",$B$15)-2)),Data_new!$C$2:$C$2639,100,Data_new!$Q$2:$Q$2639,TRUE)</f>
        <v/>
      </c>
      <c r="G16" s="18" t="inlineStr">
        <is>
          <t>nan</t>
        </is>
      </c>
      <c r="H16" s="18" t="inlineStr">
        <is>
          <t>nan</t>
        </is>
      </c>
      <c r="I16" s="18">
        <f>_xlfn.MINIFS(Data_new!$I$2:$I$2639,Data_new!$A$2:$A$2639,4.2,Data_new!$B$2:$B$2639,VALUE(MID($B$15,2,FIND(",",$B$15)-2)),Data_new!$C$2:$C$2639,100,Data_new!$Q$2:$Q$2639,TRUE)</f>
        <v/>
      </c>
      <c r="J16" s="19">
        <f>_xlfn.MAXIFS(Data_new!$I$2:$I$2639,Data_new!$A$2:$A$2639,4.2,Data_new!$B$2:$B$2639,VALUE(MID($B$15,2,FIND(",",$B$15)-2)),Data_new!$C$2:$C$2639,100,Data_new!$Q$2:$Q$2639,TRUE)</f>
        <v/>
      </c>
      <c r="L16" s="20" t="n"/>
      <c r="N16" t="inlineStr">
        <is>
          <t>real_on_ms</t>
        </is>
      </c>
      <c r="O16" s="18">
        <f>_xlfn.MINIFS(Data_new!$D$2:$D$2639,Data_new!$A$2:$A$2639,4.2,Data_new!$B$2:$B$2639,VALUE(MID($L$15,2,FIND(",",$L$15)-2)),Data_new!$C$2:$C$2639,80,Data_new!$Q$2:$Q$2639,TRUE)</f>
        <v/>
      </c>
      <c r="P16" s="18">
        <f>_xlfn.MAXIFS(Data_new!$D$2:$D$2639,Data_new!$A$2:$A$2639,4.2,Data_new!$B$2:$B$2639,VALUE(MID($L$15,2,FIND(",",$L$15)-2)),Data_new!$C$2:$C$2639,80,Data_new!$Q$2:$Q$2639,TRUE)</f>
        <v/>
      </c>
      <c r="Q16" s="18" t="inlineStr">
        <is>
          <t>nan</t>
        </is>
      </c>
      <c r="R16" s="18" t="inlineStr">
        <is>
          <t>nan</t>
        </is>
      </c>
      <c r="S16" s="18">
        <f>_xlfn.MINIFS(Data_new!$I$2:$I$2639,Data_new!$A$2:$A$2639,4.2,Data_new!$B$2:$B$2639,VALUE(MID($L$15,2,FIND(",",$L$15)-2)),Data_new!$C$2:$C$2639,80,Data_new!$Q$2:$Q$2639,TRUE)</f>
        <v/>
      </c>
      <c r="T16" s="19">
        <f>_xlfn.MAXIFS(Data_new!$I$2:$I$2639,Data_new!$A$2:$A$2639,4.2,Data_new!$B$2:$B$2639,VALUE(MID($L$15,2,FIND(",",$L$15)-2)),Data_new!$C$2:$C$2639,80,Data_new!$Q$2:$Q$2639,TRUE)</f>
        <v/>
      </c>
      <c r="V16" s="20" t="n"/>
      <c r="X16" t="inlineStr">
        <is>
          <t>real_on_ms</t>
        </is>
      </c>
      <c r="Y16" s="18">
        <f>_xlfn.MINIFS(Data_new!$D$2:$D$2639,Data_new!$A$2:$A$2639,4.2,Data_new!$B$2:$B$2639,VALUE(MID($V$15,2,FIND(",",$V$15)-2)),Data_new!$C$2:$C$2639,60,Data_new!$Q$2:$Q$2639,TRUE)</f>
        <v/>
      </c>
      <c r="Z16" s="18">
        <f>_xlfn.MAXIFS(Data_new!$D$2:$D$2639,Data_new!$A$2:$A$2639,4.2,Data_new!$B$2:$B$2639,VALUE(MID($V$15,2,FIND(",",$V$15)-2)),Data_new!$C$2:$C$2639,60,Data_new!$Q$2:$Q$2639,TRUE)</f>
        <v/>
      </c>
      <c r="AA16" s="18" t="inlineStr">
        <is>
          <t>nan</t>
        </is>
      </c>
      <c r="AB16" s="18" t="inlineStr">
        <is>
          <t>nan</t>
        </is>
      </c>
      <c r="AC16" s="18">
        <f>_xlfn.MINIFS(Data_new!$I$2:$I$2639,Data_new!$A$2:$A$2639,4.2,Data_new!$B$2:$B$2639,VALUE(MID($V$15,2,FIND(",",$V$15)-2)),Data_new!$C$2:$C$2639,60,Data_new!$Q$2:$Q$2639,TRUE)</f>
        <v/>
      </c>
      <c r="AD16" s="19">
        <f>_xlfn.MAXIFS(Data_new!$I$2:$I$2639,Data_new!$A$2:$A$2639,4.2,Data_new!$B$2:$B$2639,VALUE(MID($V$15,2,FIND(",",$V$15)-2)),Data_new!$C$2:$C$2639,60,Data_new!$Q$2:$Q$2639,TRUE)</f>
        <v/>
      </c>
    </row>
    <row r="17">
      <c r="B17" s="20" t="n"/>
      <c r="E17" s="18" t="n"/>
      <c r="F17" s="18" t="n"/>
      <c r="G17" s="18" t="n"/>
      <c r="H17" s="18" t="n"/>
      <c r="I17" s="18" t="n"/>
      <c r="J17" s="19" t="n"/>
      <c r="L17" s="20" t="n"/>
      <c r="O17" s="18" t="n"/>
      <c r="P17" s="18" t="n"/>
      <c r="Q17" s="18" t="n"/>
      <c r="R17" s="18" t="n"/>
      <c r="S17" s="18" t="n"/>
      <c r="T17" s="19" t="n"/>
      <c r="V17" s="20" t="n"/>
      <c r="Y17" s="18" t="n"/>
      <c r="Z17" s="18" t="n"/>
      <c r="AA17" s="18" t="n"/>
      <c r="AB17" s="18" t="n"/>
      <c r="AC17" s="18" t="n"/>
      <c r="AD17" s="19" t="n"/>
    </row>
    <row r="18">
      <c r="B18" s="21" t="inlineStr">
        <is>
          <t>%100, 4.2V, %100</t>
        </is>
      </c>
      <c r="D18" t="inlineStr">
        <is>
          <t>on_ms</t>
        </is>
      </c>
      <c r="E18" s="18">
        <f>_xlfn.MINIFS(Data_new!$D$2:$D$2639,Data_new!$A$2:$A$2639,4.2,Data_new!$B$2:$B$2639,VALUE(MID($B$18,2,FIND(",",$B$18)-2)),Data_new!$C$2:$C$2639,100,Data_new!$P$2:$P$2639,TRUE)</f>
        <v/>
      </c>
      <c r="F18" s="18">
        <f>_xlfn.MAXIFS(Data_new!$D$2:$D$2639,Data_new!$A$2:$A$2639,4.2,Data_new!$B$2:$B$2639,VALUE(MID($B$18,2,FIND(",",$B$18)-2)),Data_new!$C$2:$C$2639,100,Data_new!$P$2:$P$2639,TRUE)</f>
        <v/>
      </c>
      <c r="G18" s="18">
        <f>_xlfn.MINIFS(Data_new!$H$2:$H$2639,Data_new!$A$2:$A$2639,4.2,Data_new!$B$2:$B$2639,VALUE(MID($B$18,2,FIND(",",$B$18)-2)),Data_new!$C$2:$C$2639,100,Data_new!$P$2:$P$2639,TRUE)</f>
        <v/>
      </c>
      <c r="H18" s="18">
        <f>_xlfn.MAXIFS(Data_new!$H$2:$H$2639,Data_new!$A$2:$A$2639,4.2,Data_new!$B$2:$B$2639,VALUE(MID($B$18,2,FIND(",",$B$18)-2)),Data_new!$C$2:$C$2639,100,Data_new!$P$2:$P$2639,TRUE)</f>
        <v/>
      </c>
      <c r="I18" s="18" t="inlineStr">
        <is>
          <t>nan</t>
        </is>
      </c>
      <c r="J18" s="19" t="inlineStr">
        <is>
          <t>nan</t>
        </is>
      </c>
      <c r="L18" s="21" t="inlineStr">
        <is>
          <t>%100, 4.2V, %80</t>
        </is>
      </c>
      <c r="N18" t="inlineStr">
        <is>
          <t>on_ms</t>
        </is>
      </c>
      <c r="O18" s="18">
        <f>_xlfn.MINIFS(Data_new!$D$2:$D$2639,Data_new!$A$2:$A$2639,4.2,Data_new!$B$2:$B$2639,VALUE(MID($L$18,2,FIND(",",$L$18)-2)),Data_new!$C$2:$C$2639,80,Data_new!$P$2:$P$2639,TRUE)</f>
        <v/>
      </c>
      <c r="P18" s="18">
        <f>_xlfn.MAXIFS(Data_new!$D$2:$D$2639,Data_new!$A$2:$A$2639,4.2,Data_new!$B$2:$B$2639,VALUE(MID($L$18,2,FIND(",",$L$18)-2)),Data_new!$C$2:$C$2639,80,Data_new!$P$2:$P$2639,TRUE)</f>
        <v/>
      </c>
      <c r="Q18" s="18">
        <f>_xlfn.MINIFS(Data_new!$H$2:$H$2639,Data_new!$A$2:$A$2639,4.2,Data_new!$B$2:$B$2639,VALUE(MID($L$18,2,FIND(",",$L$18)-2)),Data_new!$C$2:$C$2639,80,Data_new!$P$2:$P$2639,TRUE)</f>
        <v/>
      </c>
      <c r="R18" s="18">
        <f>_xlfn.MAXIFS(Data_new!$H$2:$H$2639,Data_new!$A$2:$A$2639,4.2,Data_new!$B$2:$B$2639,VALUE(MID($L$18,2,FIND(",",$L$18)-2)),Data_new!$C$2:$C$2639,80,Data_new!$P$2:$P$2639,TRUE)</f>
        <v/>
      </c>
      <c r="S18" s="18" t="inlineStr">
        <is>
          <t>nan</t>
        </is>
      </c>
      <c r="T18" s="19" t="inlineStr">
        <is>
          <t>nan</t>
        </is>
      </c>
      <c r="V18" s="21" t="inlineStr">
        <is>
          <t>%100, 4.2V, %60</t>
        </is>
      </c>
      <c r="X18" t="inlineStr">
        <is>
          <t>on_ms</t>
        </is>
      </c>
      <c r="Y18" s="18">
        <f>_xlfn.MINIFS(Data_new!$D$2:$D$2639,Data_new!$A$2:$A$2639,4.2,Data_new!$B$2:$B$2639,VALUE(MID($V$18,2,FIND(",",$V$18)-2)),Data_new!$C$2:$C$2639,60,Data_new!$P$2:$P$2639,TRUE)</f>
        <v/>
      </c>
      <c r="Z18" s="18">
        <f>_xlfn.MAXIFS(Data_new!$D$2:$D$2639,Data_new!$A$2:$A$2639,4.2,Data_new!$B$2:$B$2639,VALUE(MID($V$18,2,FIND(",",$V$18)-2)),Data_new!$C$2:$C$2639,60,Data_new!$P$2:$P$2639,TRUE)</f>
        <v/>
      </c>
      <c r="AA18" s="18">
        <f>_xlfn.MINIFS(Data_new!$H$2:$H$2639,Data_new!$A$2:$A$2639,4.2,Data_new!$B$2:$B$2639,VALUE(MID($V$18,2,FIND(",",$V$18)-2)),Data_new!$C$2:$C$2639,60,Data_new!$P$2:$P$2639,TRUE)</f>
        <v/>
      </c>
      <c r="AB18" s="18">
        <f>_xlfn.MAXIFS(Data_new!$H$2:$H$2639,Data_new!$A$2:$A$2639,4.2,Data_new!$B$2:$B$2639,VALUE(MID($V$18,2,FIND(",",$V$18)-2)),Data_new!$C$2:$C$2639,60,Data_new!$P$2:$P$2639,TRUE)</f>
        <v/>
      </c>
      <c r="AC18" s="18" t="inlineStr">
        <is>
          <t>nan</t>
        </is>
      </c>
      <c r="AD18" s="19" t="inlineStr">
        <is>
          <t>nan</t>
        </is>
      </c>
    </row>
    <row r="19">
      <c r="B19" s="22" t="n"/>
      <c r="C19" s="11" t="n"/>
      <c r="D19" s="11" t="inlineStr">
        <is>
          <t>real_on_ms</t>
        </is>
      </c>
      <c r="E19" s="23">
        <f>_xlfn.MINIFS(Data_new!$D$2:$D$2639,Data_new!$A$2:$A$2639,4.2,Data_new!$B$2:$B$2639,VALUE(MID($B$18,2,FIND(",",$B$18)-2)),Data_new!$C$2:$C$2639,100,Data_new!$Q$2:$Q$2639,TRUE)</f>
        <v/>
      </c>
      <c r="F19" s="23">
        <f>_xlfn.MAXIFS(Data_new!$D$2:$D$2639,Data_new!$A$2:$A$2639,4.2,Data_new!$B$2:$B$2639,VALUE(MID($B$18,2,FIND(",",$B$18)-2)),Data_new!$C$2:$C$2639,100,Data_new!$Q$2:$Q$2639,TRUE)</f>
        <v/>
      </c>
      <c r="G19" s="23" t="inlineStr">
        <is>
          <t>nan</t>
        </is>
      </c>
      <c r="H19" s="23" t="inlineStr">
        <is>
          <t>nan</t>
        </is>
      </c>
      <c r="I19" s="23">
        <f>_xlfn.MINIFS(Data_new!$I$2:$I$2639,Data_new!$A$2:$A$2639,4.2,Data_new!$B$2:$B$2639,VALUE(MID($B$18,2,FIND(",",$B$18)-2)),Data_new!$C$2:$C$2639,100,Data_new!$Q$2:$Q$2639,TRUE)</f>
        <v/>
      </c>
      <c r="J19" s="24">
        <f>_xlfn.MAXIFS(Data_new!$I$2:$I$2639,Data_new!$A$2:$A$2639,4.2,Data_new!$B$2:$B$2639,VALUE(MID($B$18,2,FIND(",",$B$18)-2)),Data_new!$C$2:$C$2639,100,Data_new!$Q$2:$Q$2639,TRUE)</f>
        <v/>
      </c>
      <c r="L19" s="22" t="n"/>
      <c r="M19" s="11" t="n"/>
      <c r="N19" s="11" t="inlineStr">
        <is>
          <t>real_on_ms</t>
        </is>
      </c>
      <c r="O19" s="23">
        <f>_xlfn.MINIFS(Data_new!$D$2:$D$2639,Data_new!$A$2:$A$2639,4.2,Data_new!$B$2:$B$2639,VALUE(MID($L$18,2,FIND(",",$L$18)-2)),Data_new!$C$2:$C$2639,80,Data_new!$Q$2:$Q$2639,TRUE)</f>
        <v/>
      </c>
      <c r="P19" s="23">
        <f>_xlfn.MAXIFS(Data_new!$D$2:$D$2639,Data_new!$A$2:$A$2639,4.2,Data_new!$B$2:$B$2639,VALUE(MID($L$18,2,FIND(",",$L$18)-2)),Data_new!$C$2:$C$2639,80,Data_new!$Q$2:$Q$2639,TRUE)</f>
        <v/>
      </c>
      <c r="Q19" s="23" t="inlineStr">
        <is>
          <t>nan</t>
        </is>
      </c>
      <c r="R19" s="23" t="inlineStr">
        <is>
          <t>nan</t>
        </is>
      </c>
      <c r="S19" s="23">
        <f>_xlfn.MINIFS(Data_new!$I$2:$I$2639,Data_new!$A$2:$A$2639,4.2,Data_new!$B$2:$B$2639,VALUE(MID($L$18,2,FIND(",",$L$18)-2)),Data_new!$C$2:$C$2639,80,Data_new!$Q$2:$Q$2639,TRUE)</f>
        <v/>
      </c>
      <c r="T19" s="24">
        <f>_xlfn.MAXIFS(Data_new!$I$2:$I$2639,Data_new!$A$2:$A$2639,4.2,Data_new!$B$2:$B$2639,VALUE(MID($L$18,2,FIND(",",$L$18)-2)),Data_new!$C$2:$C$2639,80,Data_new!$Q$2:$Q$2639,TRUE)</f>
        <v/>
      </c>
      <c r="V19" s="22" t="n"/>
      <c r="W19" s="11" t="n"/>
      <c r="X19" s="11" t="inlineStr">
        <is>
          <t>real_on_ms</t>
        </is>
      </c>
      <c r="Y19" s="23">
        <f>_xlfn.MINIFS(Data_new!$D$2:$D$2639,Data_new!$A$2:$A$2639,4.2,Data_new!$B$2:$B$2639,VALUE(MID($V$18,2,FIND(",",$V$18)-2)),Data_new!$C$2:$C$2639,60,Data_new!$Q$2:$Q$2639,TRUE)</f>
        <v/>
      </c>
      <c r="Z19" s="23">
        <f>_xlfn.MAXIFS(Data_new!$D$2:$D$2639,Data_new!$A$2:$A$2639,4.2,Data_new!$B$2:$B$2639,VALUE(MID($V$18,2,FIND(",",$V$18)-2)),Data_new!$C$2:$C$2639,60,Data_new!$Q$2:$Q$2639,TRUE)</f>
        <v/>
      </c>
      <c r="AA19" s="23" t="inlineStr">
        <is>
          <t>nan</t>
        </is>
      </c>
      <c r="AB19" s="23" t="inlineStr">
        <is>
          <t>nan</t>
        </is>
      </c>
      <c r="AC19" s="23">
        <f>_xlfn.MINIFS(Data_new!$I$2:$I$2639,Data_new!$A$2:$A$2639,4.2,Data_new!$B$2:$B$2639,VALUE(MID($V$18,2,FIND(",",$V$18)-2)),Data_new!$C$2:$C$2639,60,Data_new!$Q$2:$Q$2639,TRUE)</f>
        <v/>
      </c>
      <c r="AD19" s="24">
        <f>_xlfn.MAXIFS(Data_new!$I$2:$I$2639,Data_new!$A$2:$A$2639,4.2,Data_new!$B$2:$B$2639,VALUE(MID($V$18,2,FIND(",",$V$18)-2)),Data_new!$C$2:$C$2639,60,Data_new!$Q$2:$Q$2639,TRUE)</f>
        <v/>
      </c>
    </row>
    <row r="25">
      <c r="B25" s="13" t="n"/>
      <c r="C25" s="14" t="n"/>
      <c r="D25" s="14" t="n"/>
      <c r="E25" s="15" t="inlineStr">
        <is>
          <t>min_kick_ms</t>
        </is>
      </c>
      <c r="F25" s="15" t="inlineStr">
        <is>
          <t>max_kick_ms</t>
        </is>
      </c>
      <c r="G25" s="15" t="inlineStr">
        <is>
          <t>min_on_ms</t>
        </is>
      </c>
      <c r="H25" s="15" t="inlineStr">
        <is>
          <t>max_on_ms</t>
        </is>
      </c>
      <c r="I25" s="15" t="inlineStr">
        <is>
          <t>min_real_on_ms</t>
        </is>
      </c>
      <c r="J25" s="16" t="inlineStr">
        <is>
          <t>max_real_on_ms</t>
        </is>
      </c>
      <c r="L25" s="13" t="n"/>
      <c r="M25" s="14" t="n"/>
      <c r="N25" s="14" t="n"/>
      <c r="O25" s="15" t="inlineStr">
        <is>
          <t>min_kick_ms</t>
        </is>
      </c>
      <c r="P25" s="15" t="inlineStr">
        <is>
          <t>max_kick_ms</t>
        </is>
      </c>
      <c r="Q25" s="15" t="inlineStr">
        <is>
          <t>min_on_ms</t>
        </is>
      </c>
      <c r="R25" s="15" t="inlineStr">
        <is>
          <t>max_on_ms</t>
        </is>
      </c>
      <c r="S25" s="15" t="inlineStr">
        <is>
          <t>min_real_on_ms</t>
        </is>
      </c>
      <c r="T25" s="16" t="inlineStr">
        <is>
          <t>max_real_on_ms</t>
        </is>
      </c>
      <c r="V25" s="13" t="n"/>
      <c r="W25" s="14" t="n"/>
      <c r="X25" s="14" t="n"/>
      <c r="Y25" s="15" t="inlineStr">
        <is>
          <t>min_kick_ms</t>
        </is>
      </c>
      <c r="Z25" s="15" t="inlineStr">
        <is>
          <t>max_kick_ms</t>
        </is>
      </c>
      <c r="AA25" s="15" t="inlineStr">
        <is>
          <t>min_on_ms</t>
        </is>
      </c>
      <c r="AB25" s="15" t="inlineStr">
        <is>
          <t>max_on_ms</t>
        </is>
      </c>
      <c r="AC25" s="15" t="inlineStr">
        <is>
          <t>min_real_on_ms</t>
        </is>
      </c>
      <c r="AD25" s="16" t="inlineStr">
        <is>
          <t>max_real_on_ms</t>
        </is>
      </c>
    </row>
    <row r="26">
      <c r="B26" s="17" t="inlineStr">
        <is>
          <t>%6, 3.6V, %100</t>
        </is>
      </c>
      <c r="D26" t="inlineStr">
        <is>
          <t>on_ms</t>
        </is>
      </c>
      <c r="E26" s="18">
        <f>_xlfn.MINIFS(Data_new!$D$2:$D$2639,Data_new!$A$2:$A$2639,3.6,Data_new!$B$2:$B$2639,VALUE(MID($B$26,2,FIND(",",$B$26)-2)),Data_new!$C$2:$C$2639,100,Data_new!$P$2:$P$2639,TRUE)</f>
        <v/>
      </c>
      <c r="F26" s="18">
        <f>_xlfn.MAXIFS(Data_new!$D$2:$D$2639,Data_new!$A$2:$A$2639,3.6,Data_new!$B$2:$B$2639,VALUE(MID($B$26,2,FIND(",",$B$26)-2)),Data_new!$C$2:$C$2639,100,Data_new!$P$2:$P$2639,TRUE)</f>
        <v/>
      </c>
      <c r="G26" s="18">
        <f>_xlfn.MINIFS(Data_new!$H$2:$H$2639,Data_new!$A$2:$A$2639,3.6,Data_new!$B$2:$B$2639,VALUE(MID($B$26,2,FIND(",",$B$26)-2)),Data_new!$C$2:$C$2639,100,Data_new!$P$2:$P$2639,TRUE)</f>
        <v/>
      </c>
      <c r="H26" s="18">
        <f>_xlfn.MAXIFS(Data_new!$H$2:$H$2639,Data_new!$A$2:$A$2639,3.6,Data_new!$B$2:$B$2639,VALUE(MID($B$26,2,FIND(",",$B$26)-2)),Data_new!$C$2:$C$2639,100,Data_new!$P$2:$P$2639,TRUE)</f>
        <v/>
      </c>
      <c r="I26" s="18" t="inlineStr">
        <is>
          <t>nan</t>
        </is>
      </c>
      <c r="J26" s="19" t="inlineStr">
        <is>
          <t>nan</t>
        </is>
      </c>
      <c r="L26" s="17" t="inlineStr">
        <is>
          <t>%6, 3.6V, %80</t>
        </is>
      </c>
      <c r="N26" t="inlineStr">
        <is>
          <t>on_ms</t>
        </is>
      </c>
      <c r="O26" s="18">
        <f>_xlfn.MINIFS(Data_new!$D$2:$D$2639,Data_new!$A$2:$A$2639,3.6,Data_new!$B$2:$B$2639,VALUE(MID($L$26,2,FIND(",",$L$26)-2)),Data_new!$C$2:$C$2639,80,Data_new!$P$2:$P$2639,TRUE)</f>
        <v/>
      </c>
      <c r="P26" s="18">
        <f>_xlfn.MAXIFS(Data_new!$D$2:$D$2639,Data_new!$A$2:$A$2639,3.6,Data_new!$B$2:$B$2639,VALUE(MID($L$26,2,FIND(",",$L$26)-2)),Data_new!$C$2:$C$2639,80,Data_new!$P$2:$P$2639,TRUE)</f>
        <v/>
      </c>
      <c r="Q26" s="18">
        <f>_xlfn.MINIFS(Data_new!$H$2:$H$2639,Data_new!$A$2:$A$2639,3.6,Data_new!$B$2:$B$2639,VALUE(MID($L$26,2,FIND(",",$L$26)-2)),Data_new!$C$2:$C$2639,80,Data_new!$P$2:$P$2639,TRUE)</f>
        <v/>
      </c>
      <c r="R26" s="18">
        <f>_xlfn.MAXIFS(Data_new!$H$2:$H$2639,Data_new!$A$2:$A$2639,3.6,Data_new!$B$2:$B$2639,VALUE(MID($L$26,2,FIND(",",$L$26)-2)),Data_new!$C$2:$C$2639,80,Data_new!$P$2:$P$2639,TRUE)</f>
        <v/>
      </c>
      <c r="S26" s="18" t="inlineStr">
        <is>
          <t>nan</t>
        </is>
      </c>
      <c r="T26" s="19" t="inlineStr">
        <is>
          <t>nan</t>
        </is>
      </c>
      <c r="V26" s="17" t="inlineStr">
        <is>
          <t>%6, 3.6V, %60</t>
        </is>
      </c>
      <c r="X26" t="inlineStr">
        <is>
          <t>on_ms</t>
        </is>
      </c>
      <c r="Y26" s="18">
        <f>_xlfn.MINIFS(Data_new!$D$2:$D$2639,Data_new!$A$2:$A$2639,3.6,Data_new!$B$2:$B$2639,VALUE(MID($V$26,2,FIND(",",$V$26)-2)),Data_new!$C$2:$C$2639,60,Data_new!$P$2:$P$2639,TRUE)</f>
        <v/>
      </c>
      <c r="Z26" s="18">
        <f>_xlfn.MAXIFS(Data_new!$D$2:$D$2639,Data_new!$A$2:$A$2639,3.6,Data_new!$B$2:$B$2639,VALUE(MID($V$26,2,FIND(",",$V$26)-2)),Data_new!$C$2:$C$2639,60,Data_new!$P$2:$P$2639,TRUE)</f>
        <v/>
      </c>
      <c r="AA26" s="18">
        <f>_xlfn.MINIFS(Data_new!$H$2:$H$2639,Data_new!$A$2:$A$2639,3.6,Data_new!$B$2:$B$2639,VALUE(MID($V$26,2,FIND(",",$V$26)-2)),Data_new!$C$2:$C$2639,60,Data_new!$P$2:$P$2639,TRUE)</f>
        <v/>
      </c>
      <c r="AB26" s="18">
        <f>_xlfn.MAXIFS(Data_new!$H$2:$H$2639,Data_new!$A$2:$A$2639,3.6,Data_new!$B$2:$B$2639,VALUE(MID($V$26,2,FIND(",",$V$26)-2)),Data_new!$C$2:$C$2639,60,Data_new!$P$2:$P$2639,TRUE)</f>
        <v/>
      </c>
      <c r="AC26" s="18" t="inlineStr">
        <is>
          <t>nan</t>
        </is>
      </c>
      <c r="AD26" s="19" t="inlineStr">
        <is>
          <t>nan</t>
        </is>
      </c>
    </row>
    <row r="27">
      <c r="B27" s="20" t="n"/>
      <c r="D27" t="inlineStr">
        <is>
          <t>real_on_ms</t>
        </is>
      </c>
      <c r="E27" s="18">
        <f>_xlfn.MINIFS(Data_new!$D$2:$D$2639,Data_new!$A$2:$A$2639,3.6,Data_new!$B$2:$B$2639,VALUE(MID($B$26,2,FIND(",",$B$26)-2)),Data_new!$C$2:$C$2639,100,Data_new!$Q$2:$Q$2639,TRUE)</f>
        <v/>
      </c>
      <c r="F27" s="18">
        <f>_xlfn.MAXIFS(Data_new!$D$2:$D$2639,Data_new!$A$2:$A$2639,3.6,Data_new!$B$2:$B$2639,VALUE(MID($B$26,2,FIND(",",$B$26)-2)),Data_new!$C$2:$C$2639,100,Data_new!$Q$2:$Q$2639,TRUE)</f>
        <v/>
      </c>
      <c r="G27" s="18" t="inlineStr">
        <is>
          <t>nan</t>
        </is>
      </c>
      <c r="H27" s="18" t="inlineStr">
        <is>
          <t>nan</t>
        </is>
      </c>
      <c r="I27" s="18">
        <f>_xlfn.MINIFS(Data_new!$I$2:$I$2639,Data_new!$A$2:$A$2639,3.6,Data_new!$B$2:$B$2639,VALUE(MID($B$26,2,FIND(",",$B$26)-2)),Data_new!$C$2:$C$2639,100,Data_new!$Q$2:$Q$2639,TRUE)</f>
        <v/>
      </c>
      <c r="J27" s="19">
        <f>_xlfn.MAXIFS(Data_new!$I$2:$I$2639,Data_new!$A$2:$A$2639,3.6,Data_new!$B$2:$B$2639,VALUE(MID($B$26,2,FIND(",",$B$26)-2)),Data_new!$C$2:$C$2639,100,Data_new!$Q$2:$Q$2639,TRUE)</f>
        <v/>
      </c>
      <c r="L27" s="20" t="n"/>
      <c r="N27" t="inlineStr">
        <is>
          <t>real_on_ms</t>
        </is>
      </c>
      <c r="O27" s="18">
        <f>_xlfn.MINIFS(Data_new!$D$2:$D$2639,Data_new!$A$2:$A$2639,3.6,Data_new!$B$2:$B$2639,VALUE(MID($L$26,2,FIND(",",$L$26)-2)),Data_new!$C$2:$C$2639,80,Data_new!$Q$2:$Q$2639,TRUE)</f>
        <v/>
      </c>
      <c r="P27" s="18">
        <f>_xlfn.MAXIFS(Data_new!$D$2:$D$2639,Data_new!$A$2:$A$2639,3.6,Data_new!$B$2:$B$2639,VALUE(MID($L$26,2,FIND(",",$L$26)-2)),Data_new!$C$2:$C$2639,80,Data_new!$Q$2:$Q$2639,TRUE)</f>
        <v/>
      </c>
      <c r="Q27" s="18" t="inlineStr">
        <is>
          <t>nan</t>
        </is>
      </c>
      <c r="R27" s="18" t="inlineStr">
        <is>
          <t>nan</t>
        </is>
      </c>
      <c r="S27" s="18">
        <f>_xlfn.MINIFS(Data_new!$I$2:$I$2639,Data_new!$A$2:$A$2639,3.6,Data_new!$B$2:$B$2639,VALUE(MID($L$26,2,FIND(",",$L$26)-2)),Data_new!$C$2:$C$2639,80,Data_new!$Q$2:$Q$2639,TRUE)</f>
        <v/>
      </c>
      <c r="T27" s="19">
        <f>_xlfn.MAXIFS(Data_new!$I$2:$I$2639,Data_new!$A$2:$A$2639,3.6,Data_new!$B$2:$B$2639,VALUE(MID($L$26,2,FIND(",",$L$26)-2)),Data_new!$C$2:$C$2639,80,Data_new!$Q$2:$Q$2639,TRUE)</f>
        <v/>
      </c>
      <c r="V27" s="20" t="n"/>
      <c r="X27" t="inlineStr">
        <is>
          <t>real_on_ms</t>
        </is>
      </c>
      <c r="Y27" s="18">
        <f>_xlfn.MINIFS(Data_new!$D$2:$D$2639,Data_new!$A$2:$A$2639,3.6,Data_new!$B$2:$B$2639,VALUE(MID($V$26,2,FIND(",",$V$26)-2)),Data_new!$C$2:$C$2639,60,Data_new!$Q$2:$Q$2639,TRUE)</f>
        <v/>
      </c>
      <c r="Z27" s="18">
        <f>_xlfn.MAXIFS(Data_new!$D$2:$D$2639,Data_new!$A$2:$A$2639,3.6,Data_new!$B$2:$B$2639,VALUE(MID($V$26,2,FIND(",",$V$26)-2)),Data_new!$C$2:$C$2639,60,Data_new!$Q$2:$Q$2639,TRUE)</f>
        <v/>
      </c>
      <c r="AA27" s="18" t="inlineStr">
        <is>
          <t>nan</t>
        </is>
      </c>
      <c r="AB27" s="18" t="inlineStr">
        <is>
          <t>nan</t>
        </is>
      </c>
      <c r="AC27" s="18">
        <f>_xlfn.MINIFS(Data_new!$I$2:$I$2639,Data_new!$A$2:$A$2639,3.6,Data_new!$B$2:$B$2639,VALUE(MID($V$26,2,FIND(",",$V$26)-2)),Data_new!$C$2:$C$2639,60,Data_new!$Q$2:$Q$2639,TRUE)</f>
        <v/>
      </c>
      <c r="AD27" s="19">
        <f>_xlfn.MAXIFS(Data_new!$I$2:$I$2639,Data_new!$A$2:$A$2639,3.6,Data_new!$B$2:$B$2639,VALUE(MID($V$26,2,FIND(",",$V$26)-2)),Data_new!$C$2:$C$2639,60,Data_new!$Q$2:$Q$2639,TRUE)</f>
        <v/>
      </c>
    </row>
    <row r="28">
      <c r="B28" s="20" t="n"/>
      <c r="E28" s="18" t="n"/>
      <c r="F28" s="18" t="n"/>
      <c r="G28" s="18" t="n"/>
      <c r="H28" s="18" t="n"/>
      <c r="I28" s="18" t="n"/>
      <c r="J28" s="19" t="n"/>
      <c r="L28" s="20" t="n"/>
      <c r="O28" s="18" t="n"/>
      <c r="P28" s="18" t="n"/>
      <c r="Q28" s="18" t="n"/>
      <c r="R28" s="18" t="n"/>
      <c r="S28" s="18" t="n"/>
      <c r="T28" s="19" t="n"/>
      <c r="V28" s="20" t="n"/>
      <c r="Y28" s="18" t="n"/>
      <c r="Z28" s="18" t="n"/>
      <c r="AA28" s="18" t="n"/>
      <c r="AB28" s="18" t="n"/>
      <c r="AC28" s="18" t="n"/>
      <c r="AD28" s="19" t="n"/>
    </row>
    <row r="29">
      <c r="B29" s="17" t="inlineStr">
        <is>
          <t>%7, 3.6V, %100</t>
        </is>
      </c>
      <c r="D29" t="inlineStr">
        <is>
          <t>on_ms</t>
        </is>
      </c>
      <c r="E29" s="18">
        <f>_xlfn.MINIFS(Data_new!$D$2:$D$2639,Data_new!$A$2:$A$2639,3.6,Data_new!$B$2:$B$2639,VALUE(MID($B$29,2,FIND(",",$B$29)-2)),Data_new!$C$2:$C$2639,100,Data_new!$P$2:$P$2639,TRUE)</f>
        <v/>
      </c>
      <c r="F29" s="18">
        <f>_xlfn.MAXIFS(Data_new!$D$2:$D$2639,Data_new!$A$2:$A$2639,3.6,Data_new!$B$2:$B$2639,VALUE(MID($B$29,2,FIND(",",$B$29)-2)),Data_new!$C$2:$C$2639,100,Data_new!$P$2:$P$2639,TRUE)</f>
        <v/>
      </c>
      <c r="G29" s="18">
        <f>_xlfn.MINIFS(Data_new!$H$2:$H$2639,Data_new!$A$2:$A$2639,3.6,Data_new!$B$2:$B$2639,VALUE(MID($B$29,2,FIND(",",$B$29)-2)),Data_new!$C$2:$C$2639,100,Data_new!$P$2:$P$2639,TRUE)</f>
        <v/>
      </c>
      <c r="H29" s="18">
        <f>_xlfn.MAXIFS(Data_new!$H$2:$H$2639,Data_new!$A$2:$A$2639,3.6,Data_new!$B$2:$B$2639,VALUE(MID($B$29,2,FIND(",",$B$29)-2)),Data_new!$C$2:$C$2639,100,Data_new!$P$2:$P$2639,TRUE)</f>
        <v/>
      </c>
      <c r="I29" s="18" t="inlineStr">
        <is>
          <t>nan</t>
        </is>
      </c>
      <c r="J29" s="19" t="inlineStr">
        <is>
          <t>nan</t>
        </is>
      </c>
      <c r="L29" s="17" t="inlineStr">
        <is>
          <t>%7, 3.6V, %80</t>
        </is>
      </c>
      <c r="N29" t="inlineStr">
        <is>
          <t>on_ms</t>
        </is>
      </c>
      <c r="O29" s="18">
        <f>_xlfn.MINIFS(Data_new!$D$2:$D$2639,Data_new!$A$2:$A$2639,3.6,Data_new!$B$2:$B$2639,VALUE(MID($L$29,2,FIND(",",$L$29)-2)),Data_new!$C$2:$C$2639,80,Data_new!$P$2:$P$2639,TRUE)</f>
        <v/>
      </c>
      <c r="P29" s="18">
        <f>_xlfn.MAXIFS(Data_new!$D$2:$D$2639,Data_new!$A$2:$A$2639,3.6,Data_new!$B$2:$B$2639,VALUE(MID($L$29,2,FIND(",",$L$29)-2)),Data_new!$C$2:$C$2639,80,Data_new!$P$2:$P$2639,TRUE)</f>
        <v/>
      </c>
      <c r="Q29" s="18">
        <f>_xlfn.MINIFS(Data_new!$H$2:$H$2639,Data_new!$A$2:$A$2639,3.6,Data_new!$B$2:$B$2639,VALUE(MID($L$29,2,FIND(",",$L$29)-2)),Data_new!$C$2:$C$2639,80,Data_new!$P$2:$P$2639,TRUE)</f>
        <v/>
      </c>
      <c r="R29" s="18">
        <f>_xlfn.MAXIFS(Data_new!$H$2:$H$2639,Data_new!$A$2:$A$2639,3.6,Data_new!$B$2:$B$2639,VALUE(MID($L$29,2,FIND(",",$L$29)-2)),Data_new!$C$2:$C$2639,80,Data_new!$P$2:$P$2639,TRUE)</f>
        <v/>
      </c>
      <c r="S29" s="18" t="inlineStr">
        <is>
          <t>nan</t>
        </is>
      </c>
      <c r="T29" s="19" t="inlineStr">
        <is>
          <t>nan</t>
        </is>
      </c>
      <c r="V29" s="17" t="inlineStr">
        <is>
          <t>%7, 3.6V, %60</t>
        </is>
      </c>
      <c r="X29" t="inlineStr">
        <is>
          <t>on_ms</t>
        </is>
      </c>
      <c r="Y29" s="18">
        <f>_xlfn.MINIFS(Data_new!$D$2:$D$2639,Data_new!$A$2:$A$2639,3.6,Data_new!$B$2:$B$2639,VALUE(MID($V$29,2,FIND(",",$V$29)-2)),Data_new!$C$2:$C$2639,60,Data_new!$P$2:$P$2639,TRUE)</f>
        <v/>
      </c>
      <c r="Z29" s="18">
        <f>_xlfn.MAXIFS(Data_new!$D$2:$D$2639,Data_new!$A$2:$A$2639,3.6,Data_new!$B$2:$B$2639,VALUE(MID($V$29,2,FIND(",",$V$29)-2)),Data_new!$C$2:$C$2639,60,Data_new!$P$2:$P$2639,TRUE)</f>
        <v/>
      </c>
      <c r="AA29" s="18">
        <f>_xlfn.MINIFS(Data_new!$H$2:$H$2639,Data_new!$A$2:$A$2639,3.6,Data_new!$B$2:$B$2639,VALUE(MID($V$29,2,FIND(",",$V$29)-2)),Data_new!$C$2:$C$2639,60,Data_new!$P$2:$P$2639,TRUE)</f>
        <v/>
      </c>
      <c r="AB29" s="18">
        <f>_xlfn.MAXIFS(Data_new!$H$2:$H$2639,Data_new!$A$2:$A$2639,3.6,Data_new!$B$2:$B$2639,VALUE(MID($V$29,2,FIND(",",$V$29)-2)),Data_new!$C$2:$C$2639,60,Data_new!$P$2:$P$2639,TRUE)</f>
        <v/>
      </c>
      <c r="AC29" s="18" t="inlineStr">
        <is>
          <t>nan</t>
        </is>
      </c>
      <c r="AD29" s="19" t="inlineStr">
        <is>
          <t>nan</t>
        </is>
      </c>
    </row>
    <row r="30">
      <c r="B30" s="20" t="n"/>
      <c r="D30" t="inlineStr">
        <is>
          <t>real_on_ms</t>
        </is>
      </c>
      <c r="E30" s="18">
        <f>_xlfn.MINIFS(Data_new!$D$2:$D$2639,Data_new!$A$2:$A$2639,3.6,Data_new!$B$2:$B$2639,VALUE(MID($B$29,2,FIND(",",$B$29)-2)),Data_new!$C$2:$C$2639,100,Data_new!$Q$2:$Q$2639,TRUE)</f>
        <v/>
      </c>
      <c r="F30" s="18">
        <f>_xlfn.MAXIFS(Data_new!$D$2:$D$2639,Data_new!$A$2:$A$2639,3.6,Data_new!$B$2:$B$2639,VALUE(MID($B$29,2,FIND(",",$B$29)-2)),Data_new!$C$2:$C$2639,100,Data_new!$Q$2:$Q$2639,TRUE)</f>
        <v/>
      </c>
      <c r="G30" s="18" t="inlineStr">
        <is>
          <t>nan</t>
        </is>
      </c>
      <c r="H30" s="18" t="inlineStr">
        <is>
          <t>nan</t>
        </is>
      </c>
      <c r="I30" s="18">
        <f>_xlfn.MINIFS(Data_new!$I$2:$I$2639,Data_new!$A$2:$A$2639,3.6,Data_new!$B$2:$B$2639,VALUE(MID($B$29,2,FIND(",",$B$29)-2)),Data_new!$C$2:$C$2639,100,Data_new!$Q$2:$Q$2639,TRUE)</f>
        <v/>
      </c>
      <c r="J30" s="19">
        <f>_xlfn.MAXIFS(Data_new!$I$2:$I$2639,Data_new!$A$2:$A$2639,3.6,Data_new!$B$2:$B$2639,VALUE(MID($B$29,2,FIND(",",$B$29)-2)),Data_new!$C$2:$C$2639,100,Data_new!$Q$2:$Q$2639,TRUE)</f>
        <v/>
      </c>
      <c r="L30" s="20" t="n"/>
      <c r="N30" t="inlineStr">
        <is>
          <t>real_on_ms</t>
        </is>
      </c>
      <c r="O30" s="18">
        <f>_xlfn.MINIFS(Data_new!$D$2:$D$2639,Data_new!$A$2:$A$2639,3.6,Data_new!$B$2:$B$2639,VALUE(MID($L$29,2,FIND(",",$L$29)-2)),Data_new!$C$2:$C$2639,80,Data_new!$Q$2:$Q$2639,TRUE)</f>
        <v/>
      </c>
      <c r="P30" s="18">
        <f>_xlfn.MAXIFS(Data_new!$D$2:$D$2639,Data_new!$A$2:$A$2639,3.6,Data_new!$B$2:$B$2639,VALUE(MID($L$29,2,FIND(",",$L$29)-2)),Data_new!$C$2:$C$2639,80,Data_new!$Q$2:$Q$2639,TRUE)</f>
        <v/>
      </c>
      <c r="Q30" s="18" t="inlineStr">
        <is>
          <t>nan</t>
        </is>
      </c>
      <c r="R30" s="18" t="inlineStr">
        <is>
          <t>nan</t>
        </is>
      </c>
      <c r="S30" s="18">
        <f>_xlfn.MINIFS(Data_new!$I$2:$I$2639,Data_new!$A$2:$A$2639,3.6,Data_new!$B$2:$B$2639,VALUE(MID($L$29,2,FIND(",",$L$29)-2)),Data_new!$C$2:$C$2639,80,Data_new!$Q$2:$Q$2639,TRUE)</f>
        <v/>
      </c>
      <c r="T30" s="19">
        <f>_xlfn.MAXIFS(Data_new!$I$2:$I$2639,Data_new!$A$2:$A$2639,3.6,Data_new!$B$2:$B$2639,VALUE(MID($L$29,2,FIND(",",$L$29)-2)),Data_new!$C$2:$C$2639,80,Data_new!$Q$2:$Q$2639,TRUE)</f>
        <v/>
      </c>
      <c r="V30" s="20" t="n"/>
      <c r="X30" t="inlineStr">
        <is>
          <t>real_on_ms</t>
        </is>
      </c>
      <c r="Y30" s="18">
        <f>_xlfn.MINIFS(Data_new!$D$2:$D$2639,Data_new!$A$2:$A$2639,3.6,Data_new!$B$2:$B$2639,VALUE(MID($V$29,2,FIND(",",$V$29)-2)),Data_new!$C$2:$C$2639,60,Data_new!$Q$2:$Q$2639,TRUE)</f>
        <v/>
      </c>
      <c r="Z30" s="18">
        <f>_xlfn.MAXIFS(Data_new!$D$2:$D$2639,Data_new!$A$2:$A$2639,3.6,Data_new!$B$2:$B$2639,VALUE(MID($V$29,2,FIND(",",$V$29)-2)),Data_new!$C$2:$C$2639,60,Data_new!$Q$2:$Q$2639,TRUE)</f>
        <v/>
      </c>
      <c r="AA30" s="18" t="inlineStr">
        <is>
          <t>nan</t>
        </is>
      </c>
      <c r="AB30" s="18" t="inlineStr">
        <is>
          <t>nan</t>
        </is>
      </c>
      <c r="AC30" s="18">
        <f>_xlfn.MINIFS(Data_new!$I$2:$I$2639,Data_new!$A$2:$A$2639,3.6,Data_new!$B$2:$B$2639,VALUE(MID($V$29,2,FIND(",",$V$29)-2)),Data_new!$C$2:$C$2639,60,Data_new!$Q$2:$Q$2639,TRUE)</f>
        <v/>
      </c>
      <c r="AD30" s="19">
        <f>_xlfn.MAXIFS(Data_new!$I$2:$I$2639,Data_new!$A$2:$A$2639,3.6,Data_new!$B$2:$B$2639,VALUE(MID($V$29,2,FIND(",",$V$29)-2)),Data_new!$C$2:$C$2639,60,Data_new!$Q$2:$Q$2639,TRUE)</f>
        <v/>
      </c>
    </row>
    <row r="31">
      <c r="B31" s="20" t="n"/>
      <c r="E31" s="18" t="n"/>
      <c r="F31" s="18" t="n"/>
      <c r="G31" s="18" t="n"/>
      <c r="H31" s="18" t="n"/>
      <c r="I31" s="18" t="n"/>
      <c r="J31" s="19" t="n"/>
      <c r="L31" s="20" t="n"/>
      <c r="O31" s="18" t="n"/>
      <c r="P31" s="18" t="n"/>
      <c r="Q31" s="18" t="n"/>
      <c r="R31" s="18" t="n"/>
      <c r="S31" s="18" t="n"/>
      <c r="T31" s="19" t="n"/>
      <c r="V31" s="20" t="n"/>
      <c r="Y31" s="18" t="n"/>
      <c r="Z31" s="18" t="n"/>
      <c r="AA31" s="18" t="n"/>
      <c r="AB31" s="18" t="n"/>
      <c r="AC31" s="18" t="n"/>
      <c r="AD31" s="19" t="n"/>
    </row>
    <row r="32">
      <c r="B32" s="17" t="inlineStr">
        <is>
          <t>%8, 3.6V, %100</t>
        </is>
      </c>
      <c r="D32" t="inlineStr">
        <is>
          <t>on_ms</t>
        </is>
      </c>
      <c r="E32" s="18">
        <f>_xlfn.MINIFS(Data_new!$D$2:$D$2639,Data_new!$A$2:$A$2639,3.6,Data_new!$B$2:$B$2639,VALUE(MID($B$32,2,FIND(",",$B$32)-2)),Data_new!$C$2:$C$2639,100,Data_new!$P$2:$P$2639,TRUE)</f>
        <v/>
      </c>
      <c r="F32" s="18">
        <f>_xlfn.MAXIFS(Data_new!$D$2:$D$2639,Data_new!$A$2:$A$2639,3.6,Data_new!$B$2:$B$2639,VALUE(MID($B$32,2,FIND(",",$B$32)-2)),Data_new!$C$2:$C$2639,100,Data_new!$P$2:$P$2639,TRUE)</f>
        <v/>
      </c>
      <c r="G32" s="18">
        <f>_xlfn.MINIFS(Data_new!$H$2:$H$2639,Data_new!$A$2:$A$2639,3.6,Data_new!$B$2:$B$2639,VALUE(MID($B$32,2,FIND(",",$B$32)-2)),Data_new!$C$2:$C$2639,100,Data_new!$P$2:$P$2639,TRUE)</f>
        <v/>
      </c>
      <c r="H32" s="18">
        <f>_xlfn.MAXIFS(Data_new!$H$2:$H$2639,Data_new!$A$2:$A$2639,3.6,Data_new!$B$2:$B$2639,VALUE(MID($B$32,2,FIND(",",$B$32)-2)),Data_new!$C$2:$C$2639,100,Data_new!$P$2:$P$2639,TRUE)</f>
        <v/>
      </c>
      <c r="I32" s="18" t="inlineStr">
        <is>
          <t>nan</t>
        </is>
      </c>
      <c r="J32" s="19" t="inlineStr">
        <is>
          <t>nan</t>
        </is>
      </c>
      <c r="L32" s="17" t="inlineStr">
        <is>
          <t>%8, 3.6V, %80</t>
        </is>
      </c>
      <c r="N32" t="inlineStr">
        <is>
          <t>on_ms</t>
        </is>
      </c>
      <c r="O32" s="18">
        <f>_xlfn.MINIFS(Data_new!$D$2:$D$2639,Data_new!$A$2:$A$2639,3.6,Data_new!$B$2:$B$2639,VALUE(MID($L$32,2,FIND(",",$L$32)-2)),Data_new!$C$2:$C$2639,80,Data_new!$P$2:$P$2639,TRUE)</f>
        <v/>
      </c>
      <c r="P32" s="18">
        <f>_xlfn.MAXIFS(Data_new!$D$2:$D$2639,Data_new!$A$2:$A$2639,3.6,Data_new!$B$2:$B$2639,VALUE(MID($L$32,2,FIND(",",$L$32)-2)),Data_new!$C$2:$C$2639,80,Data_new!$P$2:$P$2639,TRUE)</f>
        <v/>
      </c>
      <c r="Q32" s="18">
        <f>_xlfn.MINIFS(Data_new!$H$2:$H$2639,Data_new!$A$2:$A$2639,3.6,Data_new!$B$2:$B$2639,VALUE(MID($L$32,2,FIND(",",$L$32)-2)),Data_new!$C$2:$C$2639,80,Data_new!$P$2:$P$2639,TRUE)</f>
        <v/>
      </c>
      <c r="R32" s="18">
        <f>_xlfn.MAXIFS(Data_new!$H$2:$H$2639,Data_new!$A$2:$A$2639,3.6,Data_new!$B$2:$B$2639,VALUE(MID($L$32,2,FIND(",",$L$32)-2)),Data_new!$C$2:$C$2639,80,Data_new!$P$2:$P$2639,TRUE)</f>
        <v/>
      </c>
      <c r="S32" s="18" t="inlineStr">
        <is>
          <t>nan</t>
        </is>
      </c>
      <c r="T32" s="19" t="inlineStr">
        <is>
          <t>nan</t>
        </is>
      </c>
      <c r="V32" s="17" t="inlineStr">
        <is>
          <t>%8, 3.6V, %60</t>
        </is>
      </c>
      <c r="X32" t="inlineStr">
        <is>
          <t>on_ms</t>
        </is>
      </c>
      <c r="Y32" s="18">
        <f>_xlfn.MINIFS(Data_new!$D$2:$D$2639,Data_new!$A$2:$A$2639,3.6,Data_new!$B$2:$B$2639,VALUE(MID($V$32,2,FIND(",",$V$32)-2)),Data_new!$C$2:$C$2639,60,Data_new!$P$2:$P$2639,TRUE)</f>
        <v/>
      </c>
      <c r="Z32" s="18">
        <f>_xlfn.MAXIFS(Data_new!$D$2:$D$2639,Data_new!$A$2:$A$2639,3.6,Data_new!$B$2:$B$2639,VALUE(MID($V$32,2,FIND(",",$V$32)-2)),Data_new!$C$2:$C$2639,60,Data_new!$P$2:$P$2639,TRUE)</f>
        <v/>
      </c>
      <c r="AA32" s="18">
        <f>_xlfn.MINIFS(Data_new!$H$2:$H$2639,Data_new!$A$2:$A$2639,3.6,Data_new!$B$2:$B$2639,VALUE(MID($V$32,2,FIND(",",$V$32)-2)),Data_new!$C$2:$C$2639,60,Data_new!$P$2:$P$2639,TRUE)</f>
        <v/>
      </c>
      <c r="AB32" s="18">
        <f>_xlfn.MAXIFS(Data_new!$H$2:$H$2639,Data_new!$A$2:$A$2639,3.6,Data_new!$B$2:$B$2639,VALUE(MID($V$32,2,FIND(",",$V$32)-2)),Data_new!$C$2:$C$2639,60,Data_new!$P$2:$P$2639,TRUE)</f>
        <v/>
      </c>
      <c r="AC32" s="18" t="inlineStr">
        <is>
          <t>nan</t>
        </is>
      </c>
      <c r="AD32" s="19" t="inlineStr">
        <is>
          <t>nan</t>
        </is>
      </c>
    </row>
    <row r="33">
      <c r="B33" s="20" t="n"/>
      <c r="D33" t="inlineStr">
        <is>
          <t>real_on_ms</t>
        </is>
      </c>
      <c r="E33" s="18">
        <f>_xlfn.MINIFS(Data_new!$D$2:$D$2639,Data_new!$A$2:$A$2639,3.6,Data_new!$B$2:$B$2639,VALUE(MID($B$32,2,FIND(",",$B$32)-2)),Data_new!$C$2:$C$2639,100,Data_new!$Q$2:$Q$2639,TRUE)</f>
        <v/>
      </c>
      <c r="F33" s="18">
        <f>_xlfn.MAXIFS(Data_new!$D$2:$D$2639,Data_new!$A$2:$A$2639,3.6,Data_new!$B$2:$B$2639,VALUE(MID($B$32,2,FIND(",",$B$32)-2)),Data_new!$C$2:$C$2639,100,Data_new!$Q$2:$Q$2639,TRUE)</f>
        <v/>
      </c>
      <c r="G33" s="18" t="inlineStr">
        <is>
          <t>nan</t>
        </is>
      </c>
      <c r="H33" s="18" t="inlineStr">
        <is>
          <t>nan</t>
        </is>
      </c>
      <c r="I33" s="18">
        <f>_xlfn.MINIFS(Data_new!$I$2:$I$2639,Data_new!$A$2:$A$2639,3.6,Data_new!$B$2:$B$2639,VALUE(MID($B$32,2,FIND(",",$B$32)-2)),Data_new!$C$2:$C$2639,100,Data_new!$Q$2:$Q$2639,TRUE)</f>
        <v/>
      </c>
      <c r="J33" s="19">
        <f>_xlfn.MAXIFS(Data_new!$I$2:$I$2639,Data_new!$A$2:$A$2639,3.6,Data_new!$B$2:$B$2639,VALUE(MID($B$32,2,FIND(",",$B$32)-2)),Data_new!$C$2:$C$2639,100,Data_new!$Q$2:$Q$2639,TRUE)</f>
        <v/>
      </c>
      <c r="L33" s="20" t="n"/>
      <c r="N33" t="inlineStr">
        <is>
          <t>real_on_ms</t>
        </is>
      </c>
      <c r="O33" s="18">
        <f>_xlfn.MINIFS(Data_new!$D$2:$D$2639,Data_new!$A$2:$A$2639,3.6,Data_new!$B$2:$B$2639,VALUE(MID($L$32,2,FIND(",",$L$32)-2)),Data_new!$C$2:$C$2639,80,Data_new!$Q$2:$Q$2639,TRUE)</f>
        <v/>
      </c>
      <c r="P33" s="18">
        <f>_xlfn.MAXIFS(Data_new!$D$2:$D$2639,Data_new!$A$2:$A$2639,3.6,Data_new!$B$2:$B$2639,VALUE(MID($L$32,2,FIND(",",$L$32)-2)),Data_new!$C$2:$C$2639,80,Data_new!$Q$2:$Q$2639,TRUE)</f>
        <v/>
      </c>
      <c r="Q33" s="18" t="inlineStr">
        <is>
          <t>nan</t>
        </is>
      </c>
      <c r="R33" s="18" t="inlineStr">
        <is>
          <t>nan</t>
        </is>
      </c>
      <c r="S33" s="18">
        <f>_xlfn.MINIFS(Data_new!$I$2:$I$2639,Data_new!$A$2:$A$2639,3.6,Data_new!$B$2:$B$2639,VALUE(MID($L$32,2,FIND(",",$L$32)-2)),Data_new!$C$2:$C$2639,80,Data_new!$Q$2:$Q$2639,TRUE)</f>
        <v/>
      </c>
      <c r="T33" s="19">
        <f>_xlfn.MAXIFS(Data_new!$I$2:$I$2639,Data_new!$A$2:$A$2639,3.6,Data_new!$B$2:$B$2639,VALUE(MID($L$32,2,FIND(",",$L$32)-2)),Data_new!$C$2:$C$2639,80,Data_new!$Q$2:$Q$2639,TRUE)</f>
        <v/>
      </c>
      <c r="V33" s="20" t="n"/>
      <c r="X33" t="inlineStr">
        <is>
          <t>real_on_ms</t>
        </is>
      </c>
      <c r="Y33" s="18">
        <f>_xlfn.MINIFS(Data_new!$D$2:$D$2639,Data_new!$A$2:$A$2639,3.6,Data_new!$B$2:$B$2639,VALUE(MID($V$32,2,FIND(",",$V$32)-2)),Data_new!$C$2:$C$2639,60,Data_new!$Q$2:$Q$2639,TRUE)</f>
        <v/>
      </c>
      <c r="Z33" s="18">
        <f>_xlfn.MAXIFS(Data_new!$D$2:$D$2639,Data_new!$A$2:$A$2639,3.6,Data_new!$B$2:$B$2639,VALUE(MID($V$32,2,FIND(",",$V$32)-2)),Data_new!$C$2:$C$2639,60,Data_new!$Q$2:$Q$2639,TRUE)</f>
        <v/>
      </c>
      <c r="AA33" s="18" t="inlineStr">
        <is>
          <t>nan</t>
        </is>
      </c>
      <c r="AB33" s="18" t="inlineStr">
        <is>
          <t>nan</t>
        </is>
      </c>
      <c r="AC33" s="18">
        <f>_xlfn.MINIFS(Data_new!$I$2:$I$2639,Data_new!$A$2:$A$2639,3.6,Data_new!$B$2:$B$2639,VALUE(MID($V$32,2,FIND(",",$V$32)-2)),Data_new!$C$2:$C$2639,60,Data_new!$Q$2:$Q$2639,TRUE)</f>
        <v/>
      </c>
      <c r="AD33" s="19">
        <f>_xlfn.MAXIFS(Data_new!$I$2:$I$2639,Data_new!$A$2:$A$2639,3.6,Data_new!$B$2:$B$2639,VALUE(MID($V$32,2,FIND(",",$V$32)-2)),Data_new!$C$2:$C$2639,60,Data_new!$Q$2:$Q$2639,TRUE)</f>
        <v/>
      </c>
    </row>
    <row r="34">
      <c r="B34" s="20" t="n"/>
      <c r="E34" s="18" t="n"/>
      <c r="F34" s="18" t="n"/>
      <c r="G34" s="18" t="n"/>
      <c r="H34" s="18" t="n"/>
      <c r="I34" s="18" t="n"/>
      <c r="J34" s="19" t="n"/>
      <c r="L34" s="20" t="n"/>
      <c r="O34" s="18" t="n"/>
      <c r="P34" s="18" t="n"/>
      <c r="Q34" s="18" t="n"/>
      <c r="R34" s="18" t="n"/>
      <c r="S34" s="18" t="n"/>
      <c r="T34" s="19" t="n"/>
      <c r="V34" s="20" t="n"/>
      <c r="Y34" s="18" t="n"/>
      <c r="Z34" s="18" t="n"/>
      <c r="AA34" s="18" t="n"/>
      <c r="AB34" s="18" t="n"/>
      <c r="AC34" s="18" t="n"/>
      <c r="AD34" s="19" t="n"/>
    </row>
    <row r="35">
      <c r="B35" s="17" t="inlineStr">
        <is>
          <t>%10, 3.6V, %100</t>
        </is>
      </c>
      <c r="D35" t="inlineStr">
        <is>
          <t>on_ms</t>
        </is>
      </c>
      <c r="E35" s="18">
        <f>_xlfn.MINIFS(Data_new!$D$2:$D$2639,Data_new!$A$2:$A$2639,3.6,Data_new!$B$2:$B$2639,VALUE(MID($B$35,2,FIND(",",$B$35)-2)),Data_new!$C$2:$C$2639,100,Data_new!$P$2:$P$2639,TRUE)</f>
        <v/>
      </c>
      <c r="F35" s="18">
        <f>_xlfn.MAXIFS(Data_new!$D$2:$D$2639,Data_new!$A$2:$A$2639,3.6,Data_new!$B$2:$B$2639,VALUE(MID($B$35,2,FIND(",",$B$35)-2)),Data_new!$C$2:$C$2639,100,Data_new!$P$2:$P$2639,TRUE)</f>
        <v/>
      </c>
      <c r="G35" s="18">
        <f>_xlfn.MINIFS(Data_new!$H$2:$H$2639,Data_new!$A$2:$A$2639,3.6,Data_new!$B$2:$B$2639,VALUE(MID($B$35,2,FIND(",",$B$35)-2)),Data_new!$C$2:$C$2639,100,Data_new!$P$2:$P$2639,TRUE)</f>
        <v/>
      </c>
      <c r="H35" s="18">
        <f>_xlfn.MAXIFS(Data_new!$H$2:$H$2639,Data_new!$A$2:$A$2639,3.6,Data_new!$B$2:$B$2639,VALUE(MID($B$35,2,FIND(",",$B$35)-2)),Data_new!$C$2:$C$2639,100,Data_new!$P$2:$P$2639,TRUE)</f>
        <v/>
      </c>
      <c r="I35" s="18" t="inlineStr">
        <is>
          <t>nan</t>
        </is>
      </c>
      <c r="J35" s="19" t="inlineStr">
        <is>
          <t>nan</t>
        </is>
      </c>
      <c r="L35" s="17" t="inlineStr">
        <is>
          <t>%10, 3.6V, %80</t>
        </is>
      </c>
      <c r="N35" t="inlineStr">
        <is>
          <t>on_ms</t>
        </is>
      </c>
      <c r="O35" s="18">
        <f>_xlfn.MINIFS(Data_new!$D$2:$D$2639,Data_new!$A$2:$A$2639,3.6,Data_new!$B$2:$B$2639,VALUE(MID($L$35,2,FIND(",",$L$35)-2)),Data_new!$C$2:$C$2639,80,Data_new!$P$2:$P$2639,TRUE)</f>
        <v/>
      </c>
      <c r="P35" s="18">
        <f>_xlfn.MAXIFS(Data_new!$D$2:$D$2639,Data_new!$A$2:$A$2639,3.6,Data_new!$B$2:$B$2639,VALUE(MID($L$35,2,FIND(",",$L$35)-2)),Data_new!$C$2:$C$2639,80,Data_new!$P$2:$P$2639,TRUE)</f>
        <v/>
      </c>
      <c r="Q35" s="18">
        <f>_xlfn.MINIFS(Data_new!$H$2:$H$2639,Data_new!$A$2:$A$2639,3.6,Data_new!$B$2:$B$2639,VALUE(MID($L$35,2,FIND(",",$L$35)-2)),Data_new!$C$2:$C$2639,80,Data_new!$P$2:$P$2639,TRUE)</f>
        <v/>
      </c>
      <c r="R35" s="18">
        <f>_xlfn.MAXIFS(Data_new!$H$2:$H$2639,Data_new!$A$2:$A$2639,3.6,Data_new!$B$2:$B$2639,VALUE(MID($L$35,2,FIND(",",$L$35)-2)),Data_new!$C$2:$C$2639,80,Data_new!$P$2:$P$2639,TRUE)</f>
        <v/>
      </c>
      <c r="S35" s="18" t="inlineStr">
        <is>
          <t>nan</t>
        </is>
      </c>
      <c r="T35" s="19" t="inlineStr">
        <is>
          <t>nan</t>
        </is>
      </c>
      <c r="V35" s="17" t="inlineStr">
        <is>
          <t>%10, 3.6V, %60</t>
        </is>
      </c>
      <c r="X35" t="inlineStr">
        <is>
          <t>on_ms</t>
        </is>
      </c>
      <c r="Y35" s="18">
        <f>_xlfn.MINIFS(Data_new!$D$2:$D$2639,Data_new!$A$2:$A$2639,3.6,Data_new!$B$2:$B$2639,VALUE(MID($V$35,2,FIND(",",$V$35)-2)),Data_new!$C$2:$C$2639,60,Data_new!$P$2:$P$2639,TRUE)</f>
        <v/>
      </c>
      <c r="Z35" s="18">
        <f>_xlfn.MAXIFS(Data_new!$D$2:$D$2639,Data_new!$A$2:$A$2639,3.6,Data_new!$B$2:$B$2639,VALUE(MID($V$35,2,FIND(",",$V$35)-2)),Data_new!$C$2:$C$2639,60,Data_new!$P$2:$P$2639,TRUE)</f>
        <v/>
      </c>
      <c r="AA35" s="18">
        <f>_xlfn.MINIFS(Data_new!$H$2:$H$2639,Data_new!$A$2:$A$2639,3.6,Data_new!$B$2:$B$2639,VALUE(MID($V$35,2,FIND(",",$V$35)-2)),Data_new!$C$2:$C$2639,60,Data_new!$P$2:$P$2639,TRUE)</f>
        <v/>
      </c>
      <c r="AB35" s="18">
        <f>_xlfn.MAXIFS(Data_new!$H$2:$H$2639,Data_new!$A$2:$A$2639,3.6,Data_new!$B$2:$B$2639,VALUE(MID($V$35,2,FIND(",",$V$35)-2)),Data_new!$C$2:$C$2639,60,Data_new!$P$2:$P$2639,TRUE)</f>
        <v/>
      </c>
      <c r="AC35" s="18" t="inlineStr">
        <is>
          <t>nan</t>
        </is>
      </c>
      <c r="AD35" s="19" t="inlineStr">
        <is>
          <t>nan</t>
        </is>
      </c>
    </row>
    <row r="36">
      <c r="B36" s="20" t="n"/>
      <c r="D36" t="inlineStr">
        <is>
          <t>real_on_ms</t>
        </is>
      </c>
      <c r="E36" s="18">
        <f>_xlfn.MINIFS(Data_new!$D$2:$D$2639,Data_new!$A$2:$A$2639,3.6,Data_new!$B$2:$B$2639,VALUE(MID($B$35,2,FIND(",",$B$35)-2)),Data_new!$C$2:$C$2639,100,Data_new!$Q$2:$Q$2639,TRUE)</f>
        <v/>
      </c>
      <c r="F36" s="18">
        <f>_xlfn.MAXIFS(Data_new!$D$2:$D$2639,Data_new!$A$2:$A$2639,3.6,Data_new!$B$2:$B$2639,VALUE(MID($B$35,2,FIND(",",$B$35)-2)),Data_new!$C$2:$C$2639,100,Data_new!$Q$2:$Q$2639,TRUE)</f>
        <v/>
      </c>
      <c r="G36" s="18" t="inlineStr">
        <is>
          <t>nan</t>
        </is>
      </c>
      <c r="H36" s="18" t="inlineStr">
        <is>
          <t>nan</t>
        </is>
      </c>
      <c r="I36" s="18">
        <f>_xlfn.MINIFS(Data_new!$I$2:$I$2639,Data_new!$A$2:$A$2639,3.6,Data_new!$B$2:$B$2639,VALUE(MID($B$35,2,FIND(",",$B$35)-2)),Data_new!$C$2:$C$2639,100,Data_new!$Q$2:$Q$2639,TRUE)</f>
        <v/>
      </c>
      <c r="J36" s="19">
        <f>_xlfn.MAXIFS(Data_new!$I$2:$I$2639,Data_new!$A$2:$A$2639,3.6,Data_new!$B$2:$B$2639,VALUE(MID($B$35,2,FIND(",",$B$35)-2)),Data_new!$C$2:$C$2639,100,Data_new!$Q$2:$Q$2639,TRUE)</f>
        <v/>
      </c>
      <c r="L36" s="20" t="n"/>
      <c r="N36" t="inlineStr">
        <is>
          <t>real_on_ms</t>
        </is>
      </c>
      <c r="O36" s="18">
        <f>_xlfn.MINIFS(Data_new!$D$2:$D$2639,Data_new!$A$2:$A$2639,3.6,Data_new!$B$2:$B$2639,VALUE(MID($L$35,2,FIND(",",$L$35)-2)),Data_new!$C$2:$C$2639,80,Data_new!$Q$2:$Q$2639,TRUE)</f>
        <v/>
      </c>
      <c r="P36" s="18">
        <f>_xlfn.MAXIFS(Data_new!$D$2:$D$2639,Data_new!$A$2:$A$2639,3.6,Data_new!$B$2:$B$2639,VALUE(MID($L$35,2,FIND(",",$L$35)-2)),Data_new!$C$2:$C$2639,80,Data_new!$Q$2:$Q$2639,TRUE)</f>
        <v/>
      </c>
      <c r="Q36" s="18" t="inlineStr">
        <is>
          <t>nan</t>
        </is>
      </c>
      <c r="R36" s="18" t="inlineStr">
        <is>
          <t>nan</t>
        </is>
      </c>
      <c r="S36" s="18">
        <f>_xlfn.MINIFS(Data_new!$I$2:$I$2639,Data_new!$A$2:$A$2639,3.6,Data_new!$B$2:$B$2639,VALUE(MID($L$35,2,FIND(",",$L$35)-2)),Data_new!$C$2:$C$2639,80,Data_new!$Q$2:$Q$2639,TRUE)</f>
        <v/>
      </c>
      <c r="T36" s="19">
        <f>_xlfn.MAXIFS(Data_new!$I$2:$I$2639,Data_new!$A$2:$A$2639,3.6,Data_new!$B$2:$B$2639,VALUE(MID($L$35,2,FIND(",",$L$35)-2)),Data_new!$C$2:$C$2639,80,Data_new!$Q$2:$Q$2639,TRUE)</f>
        <v/>
      </c>
      <c r="V36" s="20" t="n"/>
      <c r="X36" t="inlineStr">
        <is>
          <t>real_on_ms</t>
        </is>
      </c>
      <c r="Y36" s="18">
        <f>_xlfn.MINIFS(Data_new!$D$2:$D$2639,Data_new!$A$2:$A$2639,3.6,Data_new!$B$2:$B$2639,VALUE(MID($V$35,2,FIND(",",$V$35)-2)),Data_new!$C$2:$C$2639,60,Data_new!$Q$2:$Q$2639,TRUE)</f>
        <v/>
      </c>
      <c r="Z36" s="18">
        <f>_xlfn.MAXIFS(Data_new!$D$2:$D$2639,Data_new!$A$2:$A$2639,3.6,Data_new!$B$2:$B$2639,VALUE(MID($V$35,2,FIND(",",$V$35)-2)),Data_new!$C$2:$C$2639,60,Data_new!$Q$2:$Q$2639,TRUE)</f>
        <v/>
      </c>
      <c r="AA36" s="18" t="inlineStr">
        <is>
          <t>nan</t>
        </is>
      </c>
      <c r="AB36" s="18" t="inlineStr">
        <is>
          <t>nan</t>
        </is>
      </c>
      <c r="AC36" s="18">
        <f>_xlfn.MINIFS(Data_new!$I$2:$I$2639,Data_new!$A$2:$A$2639,3.6,Data_new!$B$2:$B$2639,VALUE(MID($V$35,2,FIND(",",$V$35)-2)),Data_new!$C$2:$C$2639,60,Data_new!$Q$2:$Q$2639,TRUE)</f>
        <v/>
      </c>
      <c r="AD36" s="19">
        <f>_xlfn.MAXIFS(Data_new!$I$2:$I$2639,Data_new!$A$2:$A$2639,3.6,Data_new!$B$2:$B$2639,VALUE(MID($V$35,2,FIND(",",$V$35)-2)),Data_new!$C$2:$C$2639,60,Data_new!$Q$2:$Q$2639,TRUE)</f>
        <v/>
      </c>
    </row>
    <row r="37">
      <c r="B37" s="20" t="n"/>
      <c r="E37" s="18" t="n"/>
      <c r="F37" s="18" t="n"/>
      <c r="G37" s="18" t="n"/>
      <c r="H37" s="18" t="n"/>
      <c r="I37" s="18" t="n"/>
      <c r="J37" s="19" t="n"/>
      <c r="L37" s="20" t="n"/>
      <c r="O37" s="18" t="n"/>
      <c r="P37" s="18" t="n"/>
      <c r="Q37" s="18" t="n"/>
      <c r="R37" s="18" t="n"/>
      <c r="S37" s="18" t="n"/>
      <c r="T37" s="19" t="n"/>
      <c r="V37" s="20" t="n"/>
      <c r="Y37" s="18" t="n"/>
      <c r="Z37" s="18" t="n"/>
      <c r="AA37" s="18" t="n"/>
      <c r="AB37" s="18" t="n"/>
      <c r="AC37" s="18" t="n"/>
      <c r="AD37" s="19" t="n"/>
    </row>
    <row r="38">
      <c r="B38" s="17" t="inlineStr">
        <is>
          <t>%15, 3.6V, %100</t>
        </is>
      </c>
      <c r="D38" t="inlineStr">
        <is>
          <t>on_ms</t>
        </is>
      </c>
      <c r="E38" s="18">
        <f>_xlfn.MINIFS(Data_new!$D$2:$D$2639,Data_new!$A$2:$A$2639,3.6,Data_new!$B$2:$B$2639,VALUE(MID($B$38,2,FIND(",",$B$38)-2)),Data_new!$C$2:$C$2639,100,Data_new!$P$2:$P$2639,TRUE)</f>
        <v/>
      </c>
      <c r="F38" s="18">
        <f>_xlfn.MAXIFS(Data_new!$D$2:$D$2639,Data_new!$A$2:$A$2639,3.6,Data_new!$B$2:$B$2639,VALUE(MID($B$38,2,FIND(",",$B$38)-2)),Data_new!$C$2:$C$2639,100,Data_new!$P$2:$P$2639,TRUE)</f>
        <v/>
      </c>
      <c r="G38" s="18">
        <f>_xlfn.MINIFS(Data_new!$H$2:$H$2639,Data_new!$A$2:$A$2639,3.6,Data_new!$B$2:$B$2639,VALUE(MID($B$38,2,FIND(",",$B$38)-2)),Data_new!$C$2:$C$2639,100,Data_new!$P$2:$P$2639,TRUE)</f>
        <v/>
      </c>
      <c r="H38" s="18">
        <f>_xlfn.MAXIFS(Data_new!$H$2:$H$2639,Data_new!$A$2:$A$2639,3.6,Data_new!$B$2:$B$2639,VALUE(MID($B$38,2,FIND(",",$B$38)-2)),Data_new!$C$2:$C$2639,100,Data_new!$P$2:$P$2639,TRUE)</f>
        <v/>
      </c>
      <c r="I38" s="18" t="inlineStr">
        <is>
          <t>nan</t>
        </is>
      </c>
      <c r="J38" s="19" t="inlineStr">
        <is>
          <t>nan</t>
        </is>
      </c>
      <c r="L38" s="17" t="inlineStr">
        <is>
          <t>%15, 3.6V, %80</t>
        </is>
      </c>
      <c r="N38" t="inlineStr">
        <is>
          <t>on_ms</t>
        </is>
      </c>
      <c r="O38" s="18">
        <f>_xlfn.MINIFS(Data_new!$D$2:$D$2639,Data_new!$A$2:$A$2639,3.6,Data_new!$B$2:$B$2639,VALUE(MID($L$38,2,FIND(",",$L$38)-2)),Data_new!$C$2:$C$2639,80,Data_new!$P$2:$P$2639,TRUE)</f>
        <v/>
      </c>
      <c r="P38" s="18">
        <f>_xlfn.MAXIFS(Data_new!$D$2:$D$2639,Data_new!$A$2:$A$2639,3.6,Data_new!$B$2:$B$2639,VALUE(MID($L$38,2,FIND(",",$L$38)-2)),Data_new!$C$2:$C$2639,80,Data_new!$P$2:$P$2639,TRUE)</f>
        <v/>
      </c>
      <c r="Q38" s="18">
        <f>_xlfn.MINIFS(Data_new!$H$2:$H$2639,Data_new!$A$2:$A$2639,3.6,Data_new!$B$2:$B$2639,VALUE(MID($L$38,2,FIND(",",$L$38)-2)),Data_new!$C$2:$C$2639,80,Data_new!$P$2:$P$2639,TRUE)</f>
        <v/>
      </c>
      <c r="R38" s="18">
        <f>_xlfn.MAXIFS(Data_new!$H$2:$H$2639,Data_new!$A$2:$A$2639,3.6,Data_new!$B$2:$B$2639,VALUE(MID($L$38,2,FIND(",",$L$38)-2)),Data_new!$C$2:$C$2639,80,Data_new!$P$2:$P$2639,TRUE)</f>
        <v/>
      </c>
      <c r="S38" s="18" t="inlineStr">
        <is>
          <t>nan</t>
        </is>
      </c>
      <c r="T38" s="19" t="inlineStr">
        <is>
          <t>nan</t>
        </is>
      </c>
      <c r="V38" s="17" t="inlineStr">
        <is>
          <t>%15, 3.6V, %60</t>
        </is>
      </c>
      <c r="X38" t="inlineStr">
        <is>
          <t>on_ms</t>
        </is>
      </c>
      <c r="Y38" s="18">
        <f>_xlfn.MINIFS(Data_new!$D$2:$D$2639,Data_new!$A$2:$A$2639,3.6,Data_new!$B$2:$B$2639,VALUE(MID($V$38,2,FIND(",",$V$38)-2)),Data_new!$C$2:$C$2639,60,Data_new!$P$2:$P$2639,TRUE)</f>
        <v/>
      </c>
      <c r="Z38" s="18">
        <f>_xlfn.MAXIFS(Data_new!$D$2:$D$2639,Data_new!$A$2:$A$2639,3.6,Data_new!$B$2:$B$2639,VALUE(MID($V$38,2,FIND(",",$V$38)-2)),Data_new!$C$2:$C$2639,60,Data_new!$P$2:$P$2639,TRUE)</f>
        <v/>
      </c>
      <c r="AA38" s="18">
        <f>_xlfn.MINIFS(Data_new!$H$2:$H$2639,Data_new!$A$2:$A$2639,3.6,Data_new!$B$2:$B$2639,VALUE(MID($V$38,2,FIND(",",$V$38)-2)),Data_new!$C$2:$C$2639,60,Data_new!$P$2:$P$2639,TRUE)</f>
        <v/>
      </c>
      <c r="AB38" s="18">
        <f>_xlfn.MAXIFS(Data_new!$H$2:$H$2639,Data_new!$A$2:$A$2639,3.6,Data_new!$B$2:$B$2639,VALUE(MID($V$38,2,FIND(",",$V$38)-2)),Data_new!$C$2:$C$2639,60,Data_new!$P$2:$P$2639,TRUE)</f>
        <v/>
      </c>
      <c r="AC38" s="18" t="inlineStr">
        <is>
          <t>nan</t>
        </is>
      </c>
      <c r="AD38" s="19" t="inlineStr">
        <is>
          <t>nan</t>
        </is>
      </c>
    </row>
    <row r="39">
      <c r="B39" s="20" t="n"/>
      <c r="D39" t="inlineStr">
        <is>
          <t>real_on_ms</t>
        </is>
      </c>
      <c r="E39" s="18">
        <f>_xlfn.MINIFS(Data_new!$D$2:$D$2639,Data_new!$A$2:$A$2639,3.6,Data_new!$B$2:$B$2639,VALUE(MID($B$38,2,FIND(",",$B$38)-2)),Data_new!$C$2:$C$2639,100,Data_new!$Q$2:$Q$2639,TRUE)</f>
        <v/>
      </c>
      <c r="F39" s="18">
        <f>_xlfn.MAXIFS(Data_new!$D$2:$D$2639,Data_new!$A$2:$A$2639,3.6,Data_new!$B$2:$B$2639,VALUE(MID($B$38,2,FIND(",",$B$38)-2)),Data_new!$C$2:$C$2639,100,Data_new!$Q$2:$Q$2639,TRUE)</f>
        <v/>
      </c>
      <c r="G39" s="18" t="inlineStr">
        <is>
          <t>nan</t>
        </is>
      </c>
      <c r="H39" s="18" t="inlineStr">
        <is>
          <t>nan</t>
        </is>
      </c>
      <c r="I39" s="18">
        <f>_xlfn.MINIFS(Data_new!$I$2:$I$2639,Data_new!$A$2:$A$2639,3.6,Data_new!$B$2:$B$2639,VALUE(MID($B$38,2,FIND(",",$B$38)-2)),Data_new!$C$2:$C$2639,100,Data_new!$Q$2:$Q$2639,TRUE)</f>
        <v/>
      </c>
      <c r="J39" s="19">
        <f>_xlfn.MAXIFS(Data_new!$I$2:$I$2639,Data_new!$A$2:$A$2639,3.6,Data_new!$B$2:$B$2639,VALUE(MID($B$38,2,FIND(",",$B$38)-2)),Data_new!$C$2:$C$2639,100,Data_new!$Q$2:$Q$2639,TRUE)</f>
        <v/>
      </c>
      <c r="L39" s="20" t="n"/>
      <c r="N39" t="inlineStr">
        <is>
          <t>real_on_ms</t>
        </is>
      </c>
      <c r="O39" s="18">
        <f>_xlfn.MINIFS(Data_new!$D$2:$D$2639,Data_new!$A$2:$A$2639,3.6,Data_new!$B$2:$B$2639,VALUE(MID($L$38,2,FIND(",",$L$38)-2)),Data_new!$C$2:$C$2639,80,Data_new!$Q$2:$Q$2639,TRUE)</f>
        <v/>
      </c>
      <c r="P39" s="18">
        <f>_xlfn.MAXIFS(Data_new!$D$2:$D$2639,Data_new!$A$2:$A$2639,3.6,Data_new!$B$2:$B$2639,VALUE(MID($L$38,2,FIND(",",$L$38)-2)),Data_new!$C$2:$C$2639,80,Data_new!$Q$2:$Q$2639,TRUE)</f>
        <v/>
      </c>
      <c r="Q39" s="18" t="inlineStr">
        <is>
          <t>nan</t>
        </is>
      </c>
      <c r="R39" s="18" t="inlineStr">
        <is>
          <t>nan</t>
        </is>
      </c>
      <c r="S39" s="18">
        <f>_xlfn.MINIFS(Data_new!$I$2:$I$2639,Data_new!$A$2:$A$2639,3.6,Data_new!$B$2:$B$2639,VALUE(MID($L$38,2,FIND(",",$L$38)-2)),Data_new!$C$2:$C$2639,80,Data_new!$Q$2:$Q$2639,TRUE)</f>
        <v/>
      </c>
      <c r="T39" s="19">
        <f>_xlfn.MAXIFS(Data_new!$I$2:$I$2639,Data_new!$A$2:$A$2639,3.6,Data_new!$B$2:$B$2639,VALUE(MID($L$38,2,FIND(",",$L$38)-2)),Data_new!$C$2:$C$2639,80,Data_new!$Q$2:$Q$2639,TRUE)</f>
        <v/>
      </c>
      <c r="V39" s="20" t="n"/>
      <c r="X39" t="inlineStr">
        <is>
          <t>real_on_ms</t>
        </is>
      </c>
      <c r="Y39" s="18">
        <f>_xlfn.MINIFS(Data_new!$D$2:$D$2639,Data_new!$A$2:$A$2639,3.6,Data_new!$B$2:$B$2639,VALUE(MID($V$38,2,FIND(",",$V$38)-2)),Data_new!$C$2:$C$2639,60,Data_new!$Q$2:$Q$2639,TRUE)</f>
        <v/>
      </c>
      <c r="Z39" s="18">
        <f>_xlfn.MAXIFS(Data_new!$D$2:$D$2639,Data_new!$A$2:$A$2639,3.6,Data_new!$B$2:$B$2639,VALUE(MID($V$38,2,FIND(",",$V$38)-2)),Data_new!$C$2:$C$2639,60,Data_new!$Q$2:$Q$2639,TRUE)</f>
        <v/>
      </c>
      <c r="AA39" s="18" t="inlineStr">
        <is>
          <t>nan</t>
        </is>
      </c>
      <c r="AB39" s="18" t="inlineStr">
        <is>
          <t>nan</t>
        </is>
      </c>
      <c r="AC39" s="18">
        <f>_xlfn.MINIFS(Data_new!$I$2:$I$2639,Data_new!$A$2:$A$2639,3.6,Data_new!$B$2:$B$2639,VALUE(MID($V$38,2,FIND(",",$V$38)-2)),Data_new!$C$2:$C$2639,60,Data_new!$Q$2:$Q$2639,TRUE)</f>
        <v/>
      </c>
      <c r="AD39" s="19">
        <f>_xlfn.MAXIFS(Data_new!$I$2:$I$2639,Data_new!$A$2:$A$2639,3.6,Data_new!$B$2:$B$2639,VALUE(MID($V$38,2,FIND(",",$V$38)-2)),Data_new!$C$2:$C$2639,60,Data_new!$Q$2:$Q$2639,TRUE)</f>
        <v/>
      </c>
    </row>
    <row r="40">
      <c r="B40" s="20" t="n"/>
      <c r="E40" s="18" t="n"/>
      <c r="F40" s="18" t="n"/>
      <c r="G40" s="18" t="n"/>
      <c r="H40" s="18" t="n"/>
      <c r="I40" s="18" t="n"/>
      <c r="J40" s="19" t="n"/>
      <c r="L40" s="20" t="n"/>
      <c r="O40" s="18" t="n"/>
      <c r="P40" s="18" t="n"/>
      <c r="Q40" s="18" t="n"/>
      <c r="R40" s="18" t="n"/>
      <c r="S40" s="18" t="n"/>
      <c r="T40" s="19" t="n"/>
      <c r="V40" s="20" t="n"/>
      <c r="Y40" s="18" t="n"/>
      <c r="Z40" s="18" t="n"/>
      <c r="AA40" s="18" t="n"/>
      <c r="AB40" s="18" t="n"/>
      <c r="AC40" s="18" t="n"/>
      <c r="AD40" s="19" t="n"/>
    </row>
    <row r="41">
      <c r="B41" s="21" t="inlineStr">
        <is>
          <t>%100, 3.6V, %100</t>
        </is>
      </c>
      <c r="D41" t="inlineStr">
        <is>
          <t>on_ms</t>
        </is>
      </c>
      <c r="E41" s="18">
        <f>_xlfn.MINIFS(Data_new!$D$2:$D$2639,Data_new!$A$2:$A$2639,3.6,Data_new!$B$2:$B$2639,VALUE(MID($B$41,2,FIND(",",$B$41)-2)),Data_new!$C$2:$C$2639,100,Data_new!$P$2:$P$2639,TRUE)</f>
        <v/>
      </c>
      <c r="F41" s="18">
        <f>_xlfn.MAXIFS(Data_new!$D$2:$D$2639,Data_new!$A$2:$A$2639,3.6,Data_new!$B$2:$B$2639,VALUE(MID($B$41,2,FIND(",",$B$41)-2)),Data_new!$C$2:$C$2639,100,Data_new!$P$2:$P$2639,TRUE)</f>
        <v/>
      </c>
      <c r="G41" s="18">
        <f>_xlfn.MINIFS(Data_new!$H$2:$H$2639,Data_new!$A$2:$A$2639,3.6,Data_new!$B$2:$B$2639,VALUE(MID($B$41,2,FIND(",",$B$41)-2)),Data_new!$C$2:$C$2639,100,Data_new!$P$2:$P$2639,TRUE)</f>
        <v/>
      </c>
      <c r="H41" s="18">
        <f>_xlfn.MAXIFS(Data_new!$H$2:$H$2639,Data_new!$A$2:$A$2639,3.6,Data_new!$B$2:$B$2639,VALUE(MID($B$41,2,FIND(",",$B$41)-2)),Data_new!$C$2:$C$2639,100,Data_new!$P$2:$P$2639,TRUE)</f>
        <v/>
      </c>
      <c r="I41" s="18" t="inlineStr">
        <is>
          <t>nan</t>
        </is>
      </c>
      <c r="J41" s="19" t="inlineStr">
        <is>
          <t>nan</t>
        </is>
      </c>
      <c r="L41" s="21" t="inlineStr">
        <is>
          <t>%100, 3.6V, %80</t>
        </is>
      </c>
      <c r="N41" t="inlineStr">
        <is>
          <t>on_ms</t>
        </is>
      </c>
      <c r="O41" s="18">
        <f>_xlfn.MINIFS(Data_new!$D$2:$D$2639,Data_new!$A$2:$A$2639,3.6,Data_new!$B$2:$B$2639,VALUE(MID($L$41,2,FIND(",",$L$41)-2)),Data_new!$C$2:$C$2639,80,Data_new!$P$2:$P$2639,TRUE)</f>
        <v/>
      </c>
      <c r="P41" s="18">
        <f>_xlfn.MAXIFS(Data_new!$D$2:$D$2639,Data_new!$A$2:$A$2639,3.6,Data_new!$B$2:$B$2639,VALUE(MID($L$41,2,FIND(",",$L$41)-2)),Data_new!$C$2:$C$2639,80,Data_new!$P$2:$P$2639,TRUE)</f>
        <v/>
      </c>
      <c r="Q41" s="18">
        <f>_xlfn.MINIFS(Data_new!$H$2:$H$2639,Data_new!$A$2:$A$2639,3.6,Data_new!$B$2:$B$2639,VALUE(MID($L$41,2,FIND(",",$L$41)-2)),Data_new!$C$2:$C$2639,80,Data_new!$P$2:$P$2639,TRUE)</f>
        <v/>
      </c>
      <c r="R41" s="18">
        <f>_xlfn.MAXIFS(Data_new!$H$2:$H$2639,Data_new!$A$2:$A$2639,3.6,Data_new!$B$2:$B$2639,VALUE(MID($L$41,2,FIND(",",$L$41)-2)),Data_new!$C$2:$C$2639,80,Data_new!$P$2:$P$2639,TRUE)</f>
        <v/>
      </c>
      <c r="S41" s="18" t="inlineStr">
        <is>
          <t>nan</t>
        </is>
      </c>
      <c r="T41" s="19" t="inlineStr">
        <is>
          <t>nan</t>
        </is>
      </c>
      <c r="V41" s="21" t="inlineStr">
        <is>
          <t>%100, 3.6V, %60</t>
        </is>
      </c>
      <c r="X41" t="inlineStr">
        <is>
          <t>on_ms</t>
        </is>
      </c>
      <c r="Y41" s="18">
        <f>_xlfn.MINIFS(Data_new!$D$2:$D$2639,Data_new!$A$2:$A$2639,3.6,Data_new!$B$2:$B$2639,VALUE(MID($V$41,2,FIND(",",$V$41)-2)),Data_new!$C$2:$C$2639,60,Data_new!$P$2:$P$2639,TRUE)</f>
        <v/>
      </c>
      <c r="Z41" s="18">
        <f>_xlfn.MAXIFS(Data_new!$D$2:$D$2639,Data_new!$A$2:$A$2639,3.6,Data_new!$B$2:$B$2639,VALUE(MID($V$41,2,FIND(",",$V$41)-2)),Data_new!$C$2:$C$2639,60,Data_new!$P$2:$P$2639,TRUE)</f>
        <v/>
      </c>
      <c r="AA41" s="18">
        <f>_xlfn.MINIFS(Data_new!$H$2:$H$2639,Data_new!$A$2:$A$2639,3.6,Data_new!$B$2:$B$2639,VALUE(MID($V$41,2,FIND(",",$V$41)-2)),Data_new!$C$2:$C$2639,60,Data_new!$P$2:$P$2639,TRUE)</f>
        <v/>
      </c>
      <c r="AB41" s="18">
        <f>_xlfn.MAXIFS(Data_new!$H$2:$H$2639,Data_new!$A$2:$A$2639,3.6,Data_new!$B$2:$B$2639,VALUE(MID($V$41,2,FIND(",",$V$41)-2)),Data_new!$C$2:$C$2639,60,Data_new!$P$2:$P$2639,TRUE)</f>
        <v/>
      </c>
      <c r="AC41" s="18" t="inlineStr">
        <is>
          <t>nan</t>
        </is>
      </c>
      <c r="AD41" s="19" t="inlineStr">
        <is>
          <t>nan</t>
        </is>
      </c>
    </row>
    <row r="42">
      <c r="B42" s="22" t="n"/>
      <c r="C42" s="11" t="n"/>
      <c r="D42" s="11" t="inlineStr">
        <is>
          <t>real_on_ms</t>
        </is>
      </c>
      <c r="E42" s="23">
        <f>_xlfn.MINIFS(Data_new!$D$2:$D$2639,Data_new!$A$2:$A$2639,3.6,Data_new!$B$2:$B$2639,VALUE(MID($B$41,2,FIND(",",$B$41)-2)),Data_new!$C$2:$C$2639,100,Data_new!$Q$2:$Q$2639,TRUE)</f>
        <v/>
      </c>
      <c r="F42" s="23">
        <f>_xlfn.MAXIFS(Data_new!$D$2:$D$2639,Data_new!$A$2:$A$2639,3.6,Data_new!$B$2:$B$2639,VALUE(MID($B$41,2,FIND(",",$B$41)-2)),Data_new!$C$2:$C$2639,100,Data_new!$Q$2:$Q$2639,TRUE)</f>
        <v/>
      </c>
      <c r="G42" s="23" t="inlineStr">
        <is>
          <t>nan</t>
        </is>
      </c>
      <c r="H42" s="23" t="inlineStr">
        <is>
          <t>nan</t>
        </is>
      </c>
      <c r="I42" s="23">
        <f>_xlfn.MINIFS(Data_new!$I$2:$I$2639,Data_new!$A$2:$A$2639,3.6,Data_new!$B$2:$B$2639,VALUE(MID($B$41,2,FIND(",",$B$41)-2)),Data_new!$C$2:$C$2639,100,Data_new!$Q$2:$Q$2639,TRUE)</f>
        <v/>
      </c>
      <c r="J42" s="24">
        <f>_xlfn.MAXIFS(Data_new!$I$2:$I$2639,Data_new!$A$2:$A$2639,3.6,Data_new!$B$2:$B$2639,VALUE(MID($B$41,2,FIND(",",$B$41)-2)),Data_new!$C$2:$C$2639,100,Data_new!$Q$2:$Q$2639,TRUE)</f>
        <v/>
      </c>
      <c r="L42" s="22" t="n"/>
      <c r="M42" s="11" t="n"/>
      <c r="N42" s="11" t="inlineStr">
        <is>
          <t>real_on_ms</t>
        </is>
      </c>
      <c r="O42" s="23">
        <f>_xlfn.MINIFS(Data_new!$D$2:$D$2639,Data_new!$A$2:$A$2639,3.6,Data_new!$B$2:$B$2639,VALUE(MID($L$41,2,FIND(",",$L$41)-2)),Data_new!$C$2:$C$2639,80,Data_new!$Q$2:$Q$2639,TRUE)</f>
        <v/>
      </c>
      <c r="P42" s="23">
        <f>_xlfn.MAXIFS(Data_new!$D$2:$D$2639,Data_new!$A$2:$A$2639,3.6,Data_new!$B$2:$B$2639,VALUE(MID($L$41,2,FIND(",",$L$41)-2)),Data_new!$C$2:$C$2639,80,Data_new!$Q$2:$Q$2639,TRUE)</f>
        <v/>
      </c>
      <c r="Q42" s="23" t="inlineStr">
        <is>
          <t>nan</t>
        </is>
      </c>
      <c r="R42" s="23" t="inlineStr">
        <is>
          <t>nan</t>
        </is>
      </c>
      <c r="S42" s="23">
        <f>_xlfn.MINIFS(Data_new!$I$2:$I$2639,Data_new!$A$2:$A$2639,3.6,Data_new!$B$2:$B$2639,VALUE(MID($L$41,2,FIND(",",$L$41)-2)),Data_new!$C$2:$C$2639,80,Data_new!$Q$2:$Q$2639,TRUE)</f>
        <v/>
      </c>
      <c r="T42" s="24">
        <f>_xlfn.MAXIFS(Data_new!$I$2:$I$2639,Data_new!$A$2:$A$2639,3.6,Data_new!$B$2:$B$2639,VALUE(MID($L$41,2,FIND(",",$L$41)-2)),Data_new!$C$2:$C$2639,80,Data_new!$Q$2:$Q$2639,TRUE)</f>
        <v/>
      </c>
      <c r="V42" s="22" t="n"/>
      <c r="W42" s="11" t="n"/>
      <c r="X42" s="11" t="inlineStr">
        <is>
          <t>real_on_ms</t>
        </is>
      </c>
      <c r="Y42" s="23">
        <f>_xlfn.MINIFS(Data_new!$D$2:$D$2639,Data_new!$A$2:$A$2639,3.6,Data_new!$B$2:$B$2639,VALUE(MID($V$41,2,FIND(",",$V$41)-2)),Data_new!$C$2:$C$2639,60,Data_new!$Q$2:$Q$2639,TRUE)</f>
        <v/>
      </c>
      <c r="Z42" s="23">
        <f>_xlfn.MAXIFS(Data_new!$D$2:$D$2639,Data_new!$A$2:$A$2639,3.6,Data_new!$B$2:$B$2639,VALUE(MID($V$41,2,FIND(",",$V$41)-2)),Data_new!$C$2:$C$2639,60,Data_new!$Q$2:$Q$2639,TRUE)</f>
        <v/>
      </c>
      <c r="AA42" s="23" t="inlineStr">
        <is>
          <t>nan</t>
        </is>
      </c>
      <c r="AB42" s="23" t="inlineStr">
        <is>
          <t>nan</t>
        </is>
      </c>
      <c r="AC42" s="23">
        <f>_xlfn.MINIFS(Data_new!$I$2:$I$2639,Data_new!$A$2:$A$2639,3.6,Data_new!$B$2:$B$2639,VALUE(MID($V$41,2,FIND(",",$V$41)-2)),Data_new!$C$2:$C$2639,60,Data_new!$Q$2:$Q$2639,TRUE)</f>
        <v/>
      </c>
      <c r="AD42" s="24">
        <f>_xlfn.MAXIFS(Data_new!$I$2:$I$2639,Data_new!$A$2:$A$2639,3.6,Data_new!$B$2:$B$2639,VALUE(MID($V$41,2,FIND(",",$V$41)-2)),Data_new!$C$2:$C$2639,60,Data_new!$Q$2:$Q$2639,TRUE)</f>
        <v/>
      </c>
    </row>
    <row r="48">
      <c r="B48" s="13" t="n"/>
      <c r="C48" s="14" t="n"/>
      <c r="D48" s="14" t="n"/>
      <c r="E48" s="15" t="inlineStr">
        <is>
          <t>min_kick_ms</t>
        </is>
      </c>
      <c r="F48" s="15" t="inlineStr">
        <is>
          <t>max_kick_ms</t>
        </is>
      </c>
      <c r="G48" s="15" t="inlineStr">
        <is>
          <t>min_on_ms</t>
        </is>
      </c>
      <c r="H48" s="15" t="inlineStr">
        <is>
          <t>max_on_ms</t>
        </is>
      </c>
      <c r="I48" s="15" t="inlineStr">
        <is>
          <t>min_real_on_ms</t>
        </is>
      </c>
      <c r="J48" s="16" t="inlineStr">
        <is>
          <t>max_real_on_ms</t>
        </is>
      </c>
      <c r="L48" s="13" t="n"/>
      <c r="M48" s="14" t="n"/>
      <c r="N48" s="14" t="n"/>
      <c r="O48" s="15" t="inlineStr">
        <is>
          <t>min_kick_ms</t>
        </is>
      </c>
      <c r="P48" s="15" t="inlineStr">
        <is>
          <t>max_kick_ms</t>
        </is>
      </c>
      <c r="Q48" s="15" t="inlineStr">
        <is>
          <t>min_on_ms</t>
        </is>
      </c>
      <c r="R48" s="15" t="inlineStr">
        <is>
          <t>max_on_ms</t>
        </is>
      </c>
      <c r="S48" s="15" t="inlineStr">
        <is>
          <t>min_real_on_ms</t>
        </is>
      </c>
      <c r="T48" s="16" t="inlineStr">
        <is>
          <t>max_real_on_ms</t>
        </is>
      </c>
      <c r="V48" s="13" t="n"/>
      <c r="W48" s="14" t="n"/>
      <c r="X48" s="14" t="n"/>
      <c r="Y48" s="15" t="inlineStr">
        <is>
          <t>min_kick_ms</t>
        </is>
      </c>
      <c r="Z48" s="15" t="inlineStr">
        <is>
          <t>max_kick_ms</t>
        </is>
      </c>
      <c r="AA48" s="15" t="inlineStr">
        <is>
          <t>min_on_ms</t>
        </is>
      </c>
      <c r="AB48" s="15" t="inlineStr">
        <is>
          <t>max_on_ms</t>
        </is>
      </c>
      <c r="AC48" s="15" t="inlineStr">
        <is>
          <t>min_real_on_ms</t>
        </is>
      </c>
      <c r="AD48" s="16" t="inlineStr">
        <is>
          <t>max_real_on_ms</t>
        </is>
      </c>
    </row>
    <row r="49">
      <c r="B49" s="17" t="inlineStr">
        <is>
          <t>%6, 3.4V, %100</t>
        </is>
      </c>
      <c r="D49" t="inlineStr">
        <is>
          <t>on_ms</t>
        </is>
      </c>
      <c r="E49" s="18">
        <f>_xlfn.MINIFS(Data_new!$D$2:$D$2639,Data_new!$A$2:$A$2639,3.4,Data_new!$B$2:$B$2639,VALUE(MID($B$49,2,FIND(",",$B$49)-2)),Data_new!$C$2:$C$2639,100,Data_new!$P$2:$P$2639,TRUE)</f>
        <v/>
      </c>
      <c r="F49" s="18">
        <f>_xlfn.MAXIFS(Data_new!$D$2:$D$2639,Data_new!$A$2:$A$2639,3.4,Data_new!$B$2:$B$2639,VALUE(MID($B$49,2,FIND(",",$B$49)-2)),Data_new!$C$2:$C$2639,100,Data_new!$P$2:$P$2639,TRUE)</f>
        <v/>
      </c>
      <c r="G49" s="18">
        <f>_xlfn.MINIFS(Data_new!$H$2:$H$2639,Data_new!$A$2:$A$2639,3.4,Data_new!$B$2:$B$2639,VALUE(MID($B$49,2,FIND(",",$B$49)-2)),Data_new!$C$2:$C$2639,100,Data_new!$P$2:$P$2639,TRUE)</f>
        <v/>
      </c>
      <c r="H49" s="18">
        <f>_xlfn.MAXIFS(Data_new!$H$2:$H$2639,Data_new!$A$2:$A$2639,3.4,Data_new!$B$2:$B$2639,VALUE(MID($B$49,2,FIND(",",$B$49)-2)),Data_new!$C$2:$C$2639,100,Data_new!$P$2:$P$2639,TRUE)</f>
        <v/>
      </c>
      <c r="I49" s="18" t="inlineStr">
        <is>
          <t>nan</t>
        </is>
      </c>
      <c r="J49" s="19" t="inlineStr">
        <is>
          <t>nan</t>
        </is>
      </c>
      <c r="L49" s="17" t="inlineStr">
        <is>
          <t>%6, 3.4V, %80</t>
        </is>
      </c>
      <c r="N49" t="inlineStr">
        <is>
          <t>on_ms</t>
        </is>
      </c>
      <c r="O49" s="18">
        <f>_xlfn.MINIFS(Data_new!$D$2:$D$2639,Data_new!$A$2:$A$2639,3.4,Data_new!$B$2:$B$2639,VALUE(MID($L$49,2,FIND(",",$L$49)-2)),Data_new!$C$2:$C$2639,80,Data_new!$P$2:$P$2639,TRUE)</f>
        <v/>
      </c>
      <c r="P49" s="18">
        <f>_xlfn.MAXIFS(Data_new!$D$2:$D$2639,Data_new!$A$2:$A$2639,3.4,Data_new!$B$2:$B$2639,VALUE(MID($L$49,2,FIND(",",$L$49)-2)),Data_new!$C$2:$C$2639,80,Data_new!$P$2:$P$2639,TRUE)</f>
        <v/>
      </c>
      <c r="Q49" s="18">
        <f>_xlfn.MINIFS(Data_new!$H$2:$H$2639,Data_new!$A$2:$A$2639,3.4,Data_new!$B$2:$B$2639,VALUE(MID($L$49,2,FIND(",",$L$49)-2)),Data_new!$C$2:$C$2639,80,Data_new!$P$2:$P$2639,TRUE)</f>
        <v/>
      </c>
      <c r="R49" s="18">
        <f>_xlfn.MAXIFS(Data_new!$H$2:$H$2639,Data_new!$A$2:$A$2639,3.4,Data_new!$B$2:$B$2639,VALUE(MID($L$49,2,FIND(",",$L$49)-2)),Data_new!$C$2:$C$2639,80,Data_new!$P$2:$P$2639,TRUE)</f>
        <v/>
      </c>
      <c r="S49" s="18" t="inlineStr">
        <is>
          <t>nan</t>
        </is>
      </c>
      <c r="T49" s="19" t="inlineStr">
        <is>
          <t>nan</t>
        </is>
      </c>
      <c r="V49" s="17" t="inlineStr">
        <is>
          <t>%6, 3.4V, %60</t>
        </is>
      </c>
      <c r="X49" t="inlineStr">
        <is>
          <t>on_ms</t>
        </is>
      </c>
      <c r="Y49" s="18">
        <f>_xlfn.MINIFS(Data_new!$D$2:$D$2639,Data_new!$A$2:$A$2639,3.4,Data_new!$B$2:$B$2639,VALUE(MID($V$49,2,FIND(",",$V$49)-2)),Data_new!$C$2:$C$2639,60,Data_new!$P$2:$P$2639,TRUE)</f>
        <v/>
      </c>
      <c r="Z49" s="18">
        <f>_xlfn.MAXIFS(Data_new!$D$2:$D$2639,Data_new!$A$2:$A$2639,3.4,Data_new!$B$2:$B$2639,VALUE(MID($V$49,2,FIND(",",$V$49)-2)),Data_new!$C$2:$C$2639,60,Data_new!$P$2:$P$2639,TRUE)</f>
        <v/>
      </c>
      <c r="AA49" s="18">
        <f>_xlfn.MINIFS(Data_new!$H$2:$H$2639,Data_new!$A$2:$A$2639,3.4,Data_new!$B$2:$B$2639,VALUE(MID($V$49,2,FIND(",",$V$49)-2)),Data_new!$C$2:$C$2639,60,Data_new!$P$2:$P$2639,TRUE)</f>
        <v/>
      </c>
      <c r="AB49" s="18">
        <f>_xlfn.MAXIFS(Data_new!$H$2:$H$2639,Data_new!$A$2:$A$2639,3.4,Data_new!$B$2:$B$2639,VALUE(MID($V$49,2,FIND(",",$V$49)-2)),Data_new!$C$2:$C$2639,60,Data_new!$P$2:$P$2639,TRUE)</f>
        <v/>
      </c>
      <c r="AC49" s="18" t="inlineStr">
        <is>
          <t>nan</t>
        </is>
      </c>
      <c r="AD49" s="19" t="inlineStr">
        <is>
          <t>nan</t>
        </is>
      </c>
    </row>
    <row r="50">
      <c r="B50" s="20" t="n"/>
      <c r="D50" t="inlineStr">
        <is>
          <t>real_on_ms</t>
        </is>
      </c>
      <c r="E50" s="18">
        <f>_xlfn.MINIFS(Data_new!$D$2:$D$2639,Data_new!$A$2:$A$2639,3.4,Data_new!$B$2:$B$2639,VALUE(MID($B$49,2,FIND(",",$B$49)-2)),Data_new!$C$2:$C$2639,100,Data_new!$Q$2:$Q$2639,TRUE)</f>
        <v/>
      </c>
      <c r="F50" s="18">
        <f>_xlfn.MAXIFS(Data_new!$D$2:$D$2639,Data_new!$A$2:$A$2639,3.4,Data_new!$B$2:$B$2639,VALUE(MID($B$49,2,FIND(",",$B$49)-2)),Data_new!$C$2:$C$2639,100,Data_new!$Q$2:$Q$2639,TRUE)</f>
        <v/>
      </c>
      <c r="G50" s="18" t="inlineStr">
        <is>
          <t>nan</t>
        </is>
      </c>
      <c r="H50" s="18" t="inlineStr">
        <is>
          <t>nan</t>
        </is>
      </c>
      <c r="I50" s="18">
        <f>_xlfn.MINIFS(Data_new!$I$2:$I$2639,Data_new!$A$2:$A$2639,3.4,Data_new!$B$2:$B$2639,VALUE(MID($B$49,2,FIND(",",$B$49)-2)),Data_new!$C$2:$C$2639,100,Data_new!$Q$2:$Q$2639,TRUE)</f>
        <v/>
      </c>
      <c r="J50" s="19">
        <f>_xlfn.MAXIFS(Data_new!$I$2:$I$2639,Data_new!$A$2:$A$2639,3.4,Data_new!$B$2:$B$2639,VALUE(MID($B$49,2,FIND(",",$B$49)-2)),Data_new!$C$2:$C$2639,100,Data_new!$Q$2:$Q$2639,TRUE)</f>
        <v/>
      </c>
      <c r="L50" s="20" t="n"/>
      <c r="N50" t="inlineStr">
        <is>
          <t>real_on_ms</t>
        </is>
      </c>
      <c r="O50" s="18">
        <f>_xlfn.MINIFS(Data_new!$D$2:$D$2639,Data_new!$A$2:$A$2639,3.4,Data_new!$B$2:$B$2639,VALUE(MID($L$49,2,FIND(",",$L$49)-2)),Data_new!$C$2:$C$2639,80,Data_new!$Q$2:$Q$2639,TRUE)</f>
        <v/>
      </c>
      <c r="P50" s="18">
        <f>_xlfn.MAXIFS(Data_new!$D$2:$D$2639,Data_new!$A$2:$A$2639,3.4,Data_new!$B$2:$B$2639,VALUE(MID($L$49,2,FIND(",",$L$49)-2)),Data_new!$C$2:$C$2639,80,Data_new!$Q$2:$Q$2639,TRUE)</f>
        <v/>
      </c>
      <c r="Q50" s="18" t="inlineStr">
        <is>
          <t>nan</t>
        </is>
      </c>
      <c r="R50" s="18" t="inlineStr">
        <is>
          <t>nan</t>
        </is>
      </c>
      <c r="S50" s="18">
        <f>_xlfn.MINIFS(Data_new!$I$2:$I$2639,Data_new!$A$2:$A$2639,3.4,Data_new!$B$2:$B$2639,VALUE(MID($L$49,2,FIND(",",$L$49)-2)),Data_new!$C$2:$C$2639,80,Data_new!$Q$2:$Q$2639,TRUE)</f>
        <v/>
      </c>
      <c r="T50" s="19">
        <f>_xlfn.MAXIFS(Data_new!$I$2:$I$2639,Data_new!$A$2:$A$2639,3.4,Data_new!$B$2:$B$2639,VALUE(MID($L$49,2,FIND(",",$L$49)-2)),Data_new!$C$2:$C$2639,80,Data_new!$Q$2:$Q$2639,TRUE)</f>
        <v/>
      </c>
      <c r="V50" s="20" t="n"/>
      <c r="X50" t="inlineStr">
        <is>
          <t>real_on_ms</t>
        </is>
      </c>
      <c r="Y50" s="18">
        <f>_xlfn.MINIFS(Data_new!$D$2:$D$2639,Data_new!$A$2:$A$2639,3.4,Data_new!$B$2:$B$2639,VALUE(MID($V$49,2,FIND(",",$V$49)-2)),Data_new!$C$2:$C$2639,60,Data_new!$Q$2:$Q$2639,TRUE)</f>
        <v/>
      </c>
      <c r="Z50" s="18">
        <f>_xlfn.MAXIFS(Data_new!$D$2:$D$2639,Data_new!$A$2:$A$2639,3.4,Data_new!$B$2:$B$2639,VALUE(MID($V$49,2,FIND(",",$V$49)-2)),Data_new!$C$2:$C$2639,60,Data_new!$Q$2:$Q$2639,TRUE)</f>
        <v/>
      </c>
      <c r="AA50" s="18" t="inlineStr">
        <is>
          <t>nan</t>
        </is>
      </c>
      <c r="AB50" s="18" t="inlineStr">
        <is>
          <t>nan</t>
        </is>
      </c>
      <c r="AC50" s="18">
        <f>_xlfn.MINIFS(Data_new!$I$2:$I$2639,Data_new!$A$2:$A$2639,3.4,Data_new!$B$2:$B$2639,VALUE(MID($V$49,2,FIND(",",$V$49)-2)),Data_new!$C$2:$C$2639,60,Data_new!$Q$2:$Q$2639,TRUE)</f>
        <v/>
      </c>
      <c r="AD50" s="19">
        <f>_xlfn.MAXIFS(Data_new!$I$2:$I$2639,Data_new!$A$2:$A$2639,3.4,Data_new!$B$2:$B$2639,VALUE(MID($V$49,2,FIND(",",$V$49)-2)),Data_new!$C$2:$C$2639,60,Data_new!$Q$2:$Q$2639,TRUE)</f>
        <v/>
      </c>
    </row>
    <row r="51">
      <c r="B51" s="20" t="n"/>
      <c r="E51" s="18" t="n"/>
      <c r="F51" s="18" t="n"/>
      <c r="G51" s="18" t="n"/>
      <c r="H51" s="18" t="n"/>
      <c r="I51" s="18" t="n"/>
      <c r="J51" s="19" t="n"/>
      <c r="L51" s="20" t="n"/>
      <c r="O51" s="18" t="n"/>
      <c r="P51" s="18" t="n"/>
      <c r="Q51" s="18" t="n"/>
      <c r="R51" s="18" t="n"/>
      <c r="S51" s="18" t="n"/>
      <c r="T51" s="19" t="n"/>
      <c r="V51" s="20" t="n"/>
      <c r="Y51" s="18" t="n"/>
      <c r="Z51" s="18" t="n"/>
      <c r="AA51" s="18" t="n"/>
      <c r="AB51" s="18" t="n"/>
      <c r="AC51" s="18" t="n"/>
      <c r="AD51" s="19" t="n"/>
    </row>
    <row r="52">
      <c r="B52" s="17" t="inlineStr">
        <is>
          <t>%7, 3.4V, %100</t>
        </is>
      </c>
      <c r="D52" t="inlineStr">
        <is>
          <t>on_ms</t>
        </is>
      </c>
      <c r="E52" s="18">
        <f>_xlfn.MINIFS(Data_new!$D$2:$D$2639,Data_new!$A$2:$A$2639,3.4,Data_new!$B$2:$B$2639,VALUE(MID($B$52,2,FIND(",",$B$52)-2)),Data_new!$C$2:$C$2639,100,Data_new!$P$2:$P$2639,TRUE)</f>
        <v/>
      </c>
      <c r="F52" s="18">
        <f>_xlfn.MAXIFS(Data_new!$D$2:$D$2639,Data_new!$A$2:$A$2639,3.4,Data_new!$B$2:$B$2639,VALUE(MID($B$52,2,FIND(",",$B$52)-2)),Data_new!$C$2:$C$2639,100,Data_new!$P$2:$P$2639,TRUE)</f>
        <v/>
      </c>
      <c r="G52" s="18">
        <f>_xlfn.MINIFS(Data_new!$H$2:$H$2639,Data_new!$A$2:$A$2639,3.4,Data_new!$B$2:$B$2639,VALUE(MID($B$52,2,FIND(",",$B$52)-2)),Data_new!$C$2:$C$2639,100,Data_new!$P$2:$P$2639,TRUE)</f>
        <v/>
      </c>
      <c r="H52" s="18">
        <f>_xlfn.MAXIFS(Data_new!$H$2:$H$2639,Data_new!$A$2:$A$2639,3.4,Data_new!$B$2:$B$2639,VALUE(MID($B$52,2,FIND(",",$B$52)-2)),Data_new!$C$2:$C$2639,100,Data_new!$P$2:$P$2639,TRUE)</f>
        <v/>
      </c>
      <c r="I52" s="18" t="inlineStr">
        <is>
          <t>nan</t>
        </is>
      </c>
      <c r="J52" s="19" t="inlineStr">
        <is>
          <t>nan</t>
        </is>
      </c>
      <c r="L52" s="17" t="inlineStr">
        <is>
          <t>%7, 3.4V, %80</t>
        </is>
      </c>
      <c r="N52" t="inlineStr">
        <is>
          <t>on_ms</t>
        </is>
      </c>
      <c r="O52" s="18">
        <f>_xlfn.MINIFS(Data_new!$D$2:$D$2639,Data_new!$A$2:$A$2639,3.4,Data_new!$B$2:$B$2639,VALUE(MID($L$52,2,FIND(",",$L$52)-2)),Data_new!$C$2:$C$2639,80,Data_new!$P$2:$P$2639,TRUE)</f>
        <v/>
      </c>
      <c r="P52" s="18">
        <f>_xlfn.MAXIFS(Data_new!$D$2:$D$2639,Data_new!$A$2:$A$2639,3.4,Data_new!$B$2:$B$2639,VALUE(MID($L$52,2,FIND(",",$L$52)-2)),Data_new!$C$2:$C$2639,80,Data_new!$P$2:$P$2639,TRUE)</f>
        <v/>
      </c>
      <c r="Q52" s="18">
        <f>_xlfn.MINIFS(Data_new!$H$2:$H$2639,Data_new!$A$2:$A$2639,3.4,Data_new!$B$2:$B$2639,VALUE(MID($L$52,2,FIND(",",$L$52)-2)),Data_new!$C$2:$C$2639,80,Data_new!$P$2:$P$2639,TRUE)</f>
        <v/>
      </c>
      <c r="R52" s="18">
        <f>_xlfn.MAXIFS(Data_new!$H$2:$H$2639,Data_new!$A$2:$A$2639,3.4,Data_new!$B$2:$B$2639,VALUE(MID($L$52,2,FIND(",",$L$52)-2)),Data_new!$C$2:$C$2639,80,Data_new!$P$2:$P$2639,TRUE)</f>
        <v/>
      </c>
      <c r="S52" s="18" t="inlineStr">
        <is>
          <t>nan</t>
        </is>
      </c>
      <c r="T52" s="19" t="inlineStr">
        <is>
          <t>nan</t>
        </is>
      </c>
      <c r="V52" s="17" t="inlineStr">
        <is>
          <t>%7, 3.4V, %60</t>
        </is>
      </c>
      <c r="X52" t="inlineStr">
        <is>
          <t>on_ms</t>
        </is>
      </c>
      <c r="Y52" s="18">
        <f>_xlfn.MINIFS(Data_new!$D$2:$D$2639,Data_new!$A$2:$A$2639,3.4,Data_new!$B$2:$B$2639,VALUE(MID($V$52,2,FIND(",",$V$52)-2)),Data_new!$C$2:$C$2639,60,Data_new!$P$2:$P$2639,TRUE)</f>
        <v/>
      </c>
      <c r="Z52" s="18">
        <f>_xlfn.MAXIFS(Data_new!$D$2:$D$2639,Data_new!$A$2:$A$2639,3.4,Data_new!$B$2:$B$2639,VALUE(MID($V$52,2,FIND(",",$V$52)-2)),Data_new!$C$2:$C$2639,60,Data_new!$P$2:$P$2639,TRUE)</f>
        <v/>
      </c>
      <c r="AA52" s="18">
        <f>_xlfn.MINIFS(Data_new!$H$2:$H$2639,Data_new!$A$2:$A$2639,3.4,Data_new!$B$2:$B$2639,VALUE(MID($V$52,2,FIND(",",$V$52)-2)),Data_new!$C$2:$C$2639,60,Data_new!$P$2:$P$2639,TRUE)</f>
        <v/>
      </c>
      <c r="AB52" s="18">
        <f>_xlfn.MAXIFS(Data_new!$H$2:$H$2639,Data_new!$A$2:$A$2639,3.4,Data_new!$B$2:$B$2639,VALUE(MID($V$52,2,FIND(",",$V$52)-2)),Data_new!$C$2:$C$2639,60,Data_new!$P$2:$P$2639,TRUE)</f>
        <v/>
      </c>
      <c r="AC52" s="18" t="inlineStr">
        <is>
          <t>nan</t>
        </is>
      </c>
      <c r="AD52" s="19" t="inlineStr">
        <is>
          <t>nan</t>
        </is>
      </c>
    </row>
    <row r="53">
      <c r="B53" s="20" t="n"/>
      <c r="D53" t="inlineStr">
        <is>
          <t>real_on_ms</t>
        </is>
      </c>
      <c r="E53" s="18">
        <f>_xlfn.MINIFS(Data_new!$D$2:$D$2639,Data_new!$A$2:$A$2639,3.4,Data_new!$B$2:$B$2639,VALUE(MID($B$52,2,FIND(",",$B$52)-2)),Data_new!$C$2:$C$2639,100,Data_new!$Q$2:$Q$2639,TRUE)</f>
        <v/>
      </c>
      <c r="F53" s="18">
        <f>_xlfn.MAXIFS(Data_new!$D$2:$D$2639,Data_new!$A$2:$A$2639,3.4,Data_new!$B$2:$B$2639,VALUE(MID($B$52,2,FIND(",",$B$52)-2)),Data_new!$C$2:$C$2639,100,Data_new!$Q$2:$Q$2639,TRUE)</f>
        <v/>
      </c>
      <c r="G53" s="18" t="inlineStr">
        <is>
          <t>nan</t>
        </is>
      </c>
      <c r="H53" s="18" t="inlineStr">
        <is>
          <t>nan</t>
        </is>
      </c>
      <c r="I53" s="18">
        <f>_xlfn.MINIFS(Data_new!$I$2:$I$2639,Data_new!$A$2:$A$2639,3.4,Data_new!$B$2:$B$2639,VALUE(MID($B$52,2,FIND(",",$B$52)-2)),Data_new!$C$2:$C$2639,100,Data_new!$Q$2:$Q$2639,TRUE)</f>
        <v/>
      </c>
      <c r="J53" s="19">
        <f>_xlfn.MAXIFS(Data_new!$I$2:$I$2639,Data_new!$A$2:$A$2639,3.4,Data_new!$B$2:$B$2639,VALUE(MID($B$52,2,FIND(",",$B$52)-2)),Data_new!$C$2:$C$2639,100,Data_new!$Q$2:$Q$2639,TRUE)</f>
        <v/>
      </c>
      <c r="L53" s="20" t="n"/>
      <c r="N53" t="inlineStr">
        <is>
          <t>real_on_ms</t>
        </is>
      </c>
      <c r="O53" s="18">
        <f>_xlfn.MINIFS(Data_new!$D$2:$D$2639,Data_new!$A$2:$A$2639,3.4,Data_new!$B$2:$B$2639,VALUE(MID($L$52,2,FIND(",",$L$52)-2)),Data_new!$C$2:$C$2639,80,Data_new!$Q$2:$Q$2639,TRUE)</f>
        <v/>
      </c>
      <c r="P53" s="18">
        <f>_xlfn.MAXIFS(Data_new!$D$2:$D$2639,Data_new!$A$2:$A$2639,3.4,Data_new!$B$2:$B$2639,VALUE(MID($L$52,2,FIND(",",$L$52)-2)),Data_new!$C$2:$C$2639,80,Data_new!$Q$2:$Q$2639,TRUE)</f>
        <v/>
      </c>
      <c r="Q53" s="18" t="inlineStr">
        <is>
          <t>nan</t>
        </is>
      </c>
      <c r="R53" s="18" t="inlineStr">
        <is>
          <t>nan</t>
        </is>
      </c>
      <c r="S53" s="18">
        <f>_xlfn.MINIFS(Data_new!$I$2:$I$2639,Data_new!$A$2:$A$2639,3.4,Data_new!$B$2:$B$2639,VALUE(MID($L$52,2,FIND(",",$L$52)-2)),Data_new!$C$2:$C$2639,80,Data_new!$Q$2:$Q$2639,TRUE)</f>
        <v/>
      </c>
      <c r="T53" s="19">
        <f>_xlfn.MAXIFS(Data_new!$I$2:$I$2639,Data_new!$A$2:$A$2639,3.4,Data_new!$B$2:$B$2639,VALUE(MID($L$52,2,FIND(",",$L$52)-2)),Data_new!$C$2:$C$2639,80,Data_new!$Q$2:$Q$2639,TRUE)</f>
        <v/>
      </c>
      <c r="V53" s="20" t="n"/>
      <c r="X53" t="inlineStr">
        <is>
          <t>real_on_ms</t>
        </is>
      </c>
      <c r="Y53" s="18">
        <f>_xlfn.MINIFS(Data_new!$D$2:$D$2639,Data_new!$A$2:$A$2639,3.4,Data_new!$B$2:$B$2639,VALUE(MID($V$52,2,FIND(",",$V$52)-2)),Data_new!$C$2:$C$2639,60,Data_new!$Q$2:$Q$2639,TRUE)</f>
        <v/>
      </c>
      <c r="Z53" s="18">
        <f>_xlfn.MAXIFS(Data_new!$D$2:$D$2639,Data_new!$A$2:$A$2639,3.4,Data_new!$B$2:$B$2639,VALUE(MID($V$52,2,FIND(",",$V$52)-2)),Data_new!$C$2:$C$2639,60,Data_new!$Q$2:$Q$2639,TRUE)</f>
        <v/>
      </c>
      <c r="AA53" s="18" t="inlineStr">
        <is>
          <t>nan</t>
        </is>
      </c>
      <c r="AB53" s="18" t="inlineStr">
        <is>
          <t>nan</t>
        </is>
      </c>
      <c r="AC53" s="18">
        <f>_xlfn.MINIFS(Data_new!$I$2:$I$2639,Data_new!$A$2:$A$2639,3.4,Data_new!$B$2:$B$2639,VALUE(MID($V$52,2,FIND(",",$V$52)-2)),Data_new!$C$2:$C$2639,60,Data_new!$Q$2:$Q$2639,TRUE)</f>
        <v/>
      </c>
      <c r="AD53" s="19">
        <f>_xlfn.MAXIFS(Data_new!$I$2:$I$2639,Data_new!$A$2:$A$2639,3.4,Data_new!$B$2:$B$2639,VALUE(MID($V$52,2,FIND(",",$V$52)-2)),Data_new!$C$2:$C$2639,60,Data_new!$Q$2:$Q$2639,TRUE)</f>
        <v/>
      </c>
    </row>
    <row r="54">
      <c r="B54" s="20" t="n"/>
      <c r="E54" s="18" t="n"/>
      <c r="F54" s="18" t="n"/>
      <c r="G54" s="18" t="n"/>
      <c r="H54" s="18" t="n"/>
      <c r="I54" s="18" t="n"/>
      <c r="J54" s="19" t="n"/>
      <c r="L54" s="20" t="n"/>
      <c r="O54" s="18" t="n"/>
      <c r="P54" s="18" t="n"/>
      <c r="Q54" s="18" t="n"/>
      <c r="R54" s="18" t="n"/>
      <c r="S54" s="18" t="n"/>
      <c r="T54" s="19" t="n"/>
      <c r="V54" s="20" t="n"/>
      <c r="Y54" s="18" t="n"/>
      <c r="Z54" s="18" t="n"/>
      <c r="AA54" s="18" t="n"/>
      <c r="AB54" s="18" t="n"/>
      <c r="AC54" s="18" t="n"/>
      <c r="AD54" s="19" t="n"/>
    </row>
    <row r="55">
      <c r="B55" s="17" t="inlineStr">
        <is>
          <t>%8, 3.4V, %100</t>
        </is>
      </c>
      <c r="D55" t="inlineStr">
        <is>
          <t>on_ms</t>
        </is>
      </c>
      <c r="E55" s="18">
        <f>_xlfn.MINIFS(Data_new!$D$2:$D$2639,Data_new!$A$2:$A$2639,3.4,Data_new!$B$2:$B$2639,VALUE(MID($B$55,2,FIND(",",$B$55)-2)),Data_new!$C$2:$C$2639,100,Data_new!$P$2:$P$2639,TRUE)</f>
        <v/>
      </c>
      <c r="F55" s="18">
        <f>_xlfn.MAXIFS(Data_new!$D$2:$D$2639,Data_new!$A$2:$A$2639,3.4,Data_new!$B$2:$B$2639,VALUE(MID($B$55,2,FIND(",",$B$55)-2)),Data_new!$C$2:$C$2639,100,Data_new!$P$2:$P$2639,TRUE)</f>
        <v/>
      </c>
      <c r="G55" s="18">
        <f>_xlfn.MINIFS(Data_new!$H$2:$H$2639,Data_new!$A$2:$A$2639,3.4,Data_new!$B$2:$B$2639,VALUE(MID($B$55,2,FIND(",",$B$55)-2)),Data_new!$C$2:$C$2639,100,Data_new!$P$2:$P$2639,TRUE)</f>
        <v/>
      </c>
      <c r="H55" s="18">
        <f>_xlfn.MAXIFS(Data_new!$H$2:$H$2639,Data_new!$A$2:$A$2639,3.4,Data_new!$B$2:$B$2639,VALUE(MID($B$55,2,FIND(",",$B$55)-2)),Data_new!$C$2:$C$2639,100,Data_new!$P$2:$P$2639,TRUE)</f>
        <v/>
      </c>
      <c r="I55" s="18" t="inlineStr">
        <is>
          <t>nan</t>
        </is>
      </c>
      <c r="J55" s="19" t="inlineStr">
        <is>
          <t>nan</t>
        </is>
      </c>
      <c r="L55" s="17" t="inlineStr">
        <is>
          <t>%8, 3.4V, %80</t>
        </is>
      </c>
      <c r="N55" t="inlineStr">
        <is>
          <t>on_ms</t>
        </is>
      </c>
      <c r="O55" s="18">
        <f>_xlfn.MINIFS(Data_new!$D$2:$D$2639,Data_new!$A$2:$A$2639,3.4,Data_new!$B$2:$B$2639,VALUE(MID($L$55,2,FIND(",",$L$55)-2)),Data_new!$C$2:$C$2639,80,Data_new!$P$2:$P$2639,TRUE)</f>
        <v/>
      </c>
      <c r="P55" s="18">
        <f>_xlfn.MAXIFS(Data_new!$D$2:$D$2639,Data_new!$A$2:$A$2639,3.4,Data_new!$B$2:$B$2639,VALUE(MID($L$55,2,FIND(",",$L$55)-2)),Data_new!$C$2:$C$2639,80,Data_new!$P$2:$P$2639,TRUE)</f>
        <v/>
      </c>
      <c r="Q55" s="18">
        <f>_xlfn.MINIFS(Data_new!$H$2:$H$2639,Data_new!$A$2:$A$2639,3.4,Data_new!$B$2:$B$2639,VALUE(MID($L$55,2,FIND(",",$L$55)-2)),Data_new!$C$2:$C$2639,80,Data_new!$P$2:$P$2639,TRUE)</f>
        <v/>
      </c>
      <c r="R55" s="18">
        <f>_xlfn.MAXIFS(Data_new!$H$2:$H$2639,Data_new!$A$2:$A$2639,3.4,Data_new!$B$2:$B$2639,VALUE(MID($L$55,2,FIND(",",$L$55)-2)),Data_new!$C$2:$C$2639,80,Data_new!$P$2:$P$2639,TRUE)</f>
        <v/>
      </c>
      <c r="S55" s="18" t="inlineStr">
        <is>
          <t>nan</t>
        </is>
      </c>
      <c r="T55" s="19" t="inlineStr">
        <is>
          <t>nan</t>
        </is>
      </c>
      <c r="V55" s="17" t="inlineStr">
        <is>
          <t>%8, 3.4V, %60</t>
        </is>
      </c>
      <c r="X55" t="inlineStr">
        <is>
          <t>on_ms</t>
        </is>
      </c>
      <c r="Y55" s="18">
        <f>_xlfn.MINIFS(Data_new!$D$2:$D$2639,Data_new!$A$2:$A$2639,3.4,Data_new!$B$2:$B$2639,VALUE(MID($V$55,2,FIND(",",$V$55)-2)),Data_new!$C$2:$C$2639,60,Data_new!$P$2:$P$2639,TRUE)</f>
        <v/>
      </c>
      <c r="Z55" s="18">
        <f>_xlfn.MAXIFS(Data_new!$D$2:$D$2639,Data_new!$A$2:$A$2639,3.4,Data_new!$B$2:$B$2639,VALUE(MID($V$55,2,FIND(",",$V$55)-2)),Data_new!$C$2:$C$2639,60,Data_new!$P$2:$P$2639,TRUE)</f>
        <v/>
      </c>
      <c r="AA55" s="18">
        <f>_xlfn.MINIFS(Data_new!$H$2:$H$2639,Data_new!$A$2:$A$2639,3.4,Data_new!$B$2:$B$2639,VALUE(MID($V$55,2,FIND(",",$V$55)-2)),Data_new!$C$2:$C$2639,60,Data_new!$P$2:$P$2639,TRUE)</f>
        <v/>
      </c>
      <c r="AB55" s="18">
        <f>_xlfn.MAXIFS(Data_new!$H$2:$H$2639,Data_new!$A$2:$A$2639,3.4,Data_new!$B$2:$B$2639,VALUE(MID($V$55,2,FIND(",",$V$55)-2)),Data_new!$C$2:$C$2639,60,Data_new!$P$2:$P$2639,TRUE)</f>
        <v/>
      </c>
      <c r="AC55" s="18" t="inlineStr">
        <is>
          <t>nan</t>
        </is>
      </c>
      <c r="AD55" s="19" t="inlineStr">
        <is>
          <t>nan</t>
        </is>
      </c>
    </row>
    <row r="56">
      <c r="B56" s="20" t="n"/>
      <c r="D56" t="inlineStr">
        <is>
          <t>real_on_ms</t>
        </is>
      </c>
      <c r="E56" s="18">
        <f>_xlfn.MINIFS(Data_new!$D$2:$D$2639,Data_new!$A$2:$A$2639,3.4,Data_new!$B$2:$B$2639,VALUE(MID($B$55,2,FIND(",",$B$55)-2)),Data_new!$C$2:$C$2639,100,Data_new!$Q$2:$Q$2639,TRUE)</f>
        <v/>
      </c>
      <c r="F56" s="18">
        <f>_xlfn.MAXIFS(Data_new!$D$2:$D$2639,Data_new!$A$2:$A$2639,3.4,Data_new!$B$2:$B$2639,VALUE(MID($B$55,2,FIND(",",$B$55)-2)),Data_new!$C$2:$C$2639,100,Data_new!$Q$2:$Q$2639,TRUE)</f>
        <v/>
      </c>
      <c r="G56" s="18" t="inlineStr">
        <is>
          <t>nan</t>
        </is>
      </c>
      <c r="H56" s="18" t="inlineStr">
        <is>
          <t>nan</t>
        </is>
      </c>
      <c r="I56" s="18">
        <f>_xlfn.MINIFS(Data_new!$I$2:$I$2639,Data_new!$A$2:$A$2639,3.4,Data_new!$B$2:$B$2639,VALUE(MID($B$55,2,FIND(",",$B$55)-2)),Data_new!$C$2:$C$2639,100,Data_new!$Q$2:$Q$2639,TRUE)</f>
        <v/>
      </c>
      <c r="J56" s="19">
        <f>_xlfn.MAXIFS(Data_new!$I$2:$I$2639,Data_new!$A$2:$A$2639,3.4,Data_new!$B$2:$B$2639,VALUE(MID($B$55,2,FIND(",",$B$55)-2)),Data_new!$C$2:$C$2639,100,Data_new!$Q$2:$Q$2639,TRUE)</f>
        <v/>
      </c>
      <c r="L56" s="20" t="n"/>
      <c r="N56" t="inlineStr">
        <is>
          <t>real_on_ms</t>
        </is>
      </c>
      <c r="O56" s="18">
        <f>_xlfn.MINIFS(Data_new!$D$2:$D$2639,Data_new!$A$2:$A$2639,3.4,Data_new!$B$2:$B$2639,VALUE(MID($L$55,2,FIND(",",$L$55)-2)),Data_new!$C$2:$C$2639,80,Data_new!$Q$2:$Q$2639,TRUE)</f>
        <v/>
      </c>
      <c r="P56" s="18">
        <f>_xlfn.MAXIFS(Data_new!$D$2:$D$2639,Data_new!$A$2:$A$2639,3.4,Data_new!$B$2:$B$2639,VALUE(MID($L$55,2,FIND(",",$L$55)-2)),Data_new!$C$2:$C$2639,80,Data_new!$Q$2:$Q$2639,TRUE)</f>
        <v/>
      </c>
      <c r="Q56" s="18" t="inlineStr">
        <is>
          <t>nan</t>
        </is>
      </c>
      <c r="R56" s="18" t="inlineStr">
        <is>
          <t>nan</t>
        </is>
      </c>
      <c r="S56" s="18">
        <f>_xlfn.MINIFS(Data_new!$I$2:$I$2639,Data_new!$A$2:$A$2639,3.4,Data_new!$B$2:$B$2639,VALUE(MID($L$55,2,FIND(",",$L$55)-2)),Data_new!$C$2:$C$2639,80,Data_new!$Q$2:$Q$2639,TRUE)</f>
        <v/>
      </c>
      <c r="T56" s="19">
        <f>_xlfn.MAXIFS(Data_new!$I$2:$I$2639,Data_new!$A$2:$A$2639,3.4,Data_new!$B$2:$B$2639,VALUE(MID($L$55,2,FIND(",",$L$55)-2)),Data_new!$C$2:$C$2639,80,Data_new!$Q$2:$Q$2639,TRUE)</f>
        <v/>
      </c>
      <c r="V56" s="20" t="n"/>
      <c r="X56" t="inlineStr">
        <is>
          <t>real_on_ms</t>
        </is>
      </c>
      <c r="Y56" s="18">
        <f>_xlfn.MINIFS(Data_new!$D$2:$D$2639,Data_new!$A$2:$A$2639,3.4,Data_new!$B$2:$B$2639,VALUE(MID($V$55,2,FIND(",",$V$55)-2)),Data_new!$C$2:$C$2639,60,Data_new!$Q$2:$Q$2639,TRUE)</f>
        <v/>
      </c>
      <c r="Z56" s="18">
        <f>_xlfn.MAXIFS(Data_new!$D$2:$D$2639,Data_new!$A$2:$A$2639,3.4,Data_new!$B$2:$B$2639,VALUE(MID($V$55,2,FIND(",",$V$55)-2)),Data_new!$C$2:$C$2639,60,Data_new!$Q$2:$Q$2639,TRUE)</f>
        <v/>
      </c>
      <c r="AA56" s="18" t="inlineStr">
        <is>
          <t>nan</t>
        </is>
      </c>
      <c r="AB56" s="18" t="inlineStr">
        <is>
          <t>nan</t>
        </is>
      </c>
      <c r="AC56" s="18">
        <f>_xlfn.MINIFS(Data_new!$I$2:$I$2639,Data_new!$A$2:$A$2639,3.4,Data_new!$B$2:$B$2639,VALUE(MID($V$55,2,FIND(",",$V$55)-2)),Data_new!$C$2:$C$2639,60,Data_new!$Q$2:$Q$2639,TRUE)</f>
        <v/>
      </c>
      <c r="AD56" s="19">
        <f>_xlfn.MAXIFS(Data_new!$I$2:$I$2639,Data_new!$A$2:$A$2639,3.4,Data_new!$B$2:$B$2639,VALUE(MID($V$55,2,FIND(",",$V$55)-2)),Data_new!$C$2:$C$2639,60,Data_new!$Q$2:$Q$2639,TRUE)</f>
        <v/>
      </c>
    </row>
    <row r="57">
      <c r="B57" s="20" t="n"/>
      <c r="E57" s="18" t="n"/>
      <c r="F57" s="18" t="n"/>
      <c r="G57" s="18" t="n"/>
      <c r="H57" s="18" t="n"/>
      <c r="I57" s="18" t="n"/>
      <c r="J57" s="19" t="n"/>
      <c r="L57" s="20" t="n"/>
      <c r="O57" s="18" t="n"/>
      <c r="P57" s="18" t="n"/>
      <c r="Q57" s="18" t="n"/>
      <c r="R57" s="18" t="n"/>
      <c r="S57" s="18" t="n"/>
      <c r="T57" s="19" t="n"/>
      <c r="V57" s="20" t="n"/>
      <c r="Y57" s="18" t="n"/>
      <c r="Z57" s="18" t="n"/>
      <c r="AA57" s="18" t="n"/>
      <c r="AB57" s="18" t="n"/>
      <c r="AC57" s="18" t="n"/>
      <c r="AD57" s="19" t="n"/>
    </row>
    <row r="58">
      <c r="B58" s="17" t="inlineStr">
        <is>
          <t>%10, 3.4V, %100</t>
        </is>
      </c>
      <c r="D58" t="inlineStr">
        <is>
          <t>on_ms</t>
        </is>
      </c>
      <c r="E58" s="18">
        <f>_xlfn.MINIFS(Data_new!$D$2:$D$2639,Data_new!$A$2:$A$2639,3.4,Data_new!$B$2:$B$2639,VALUE(MID($B$58,2,FIND(",",$B$58)-2)),Data_new!$C$2:$C$2639,100,Data_new!$P$2:$P$2639,TRUE)</f>
        <v/>
      </c>
      <c r="F58" s="18">
        <f>_xlfn.MAXIFS(Data_new!$D$2:$D$2639,Data_new!$A$2:$A$2639,3.4,Data_new!$B$2:$B$2639,VALUE(MID($B$58,2,FIND(",",$B$58)-2)),Data_new!$C$2:$C$2639,100,Data_new!$P$2:$P$2639,TRUE)</f>
        <v/>
      </c>
      <c r="G58" s="18">
        <f>_xlfn.MINIFS(Data_new!$H$2:$H$2639,Data_new!$A$2:$A$2639,3.4,Data_new!$B$2:$B$2639,VALUE(MID($B$58,2,FIND(",",$B$58)-2)),Data_new!$C$2:$C$2639,100,Data_new!$P$2:$P$2639,TRUE)</f>
        <v/>
      </c>
      <c r="H58" s="18">
        <f>_xlfn.MAXIFS(Data_new!$H$2:$H$2639,Data_new!$A$2:$A$2639,3.4,Data_new!$B$2:$B$2639,VALUE(MID($B$58,2,FIND(",",$B$58)-2)),Data_new!$C$2:$C$2639,100,Data_new!$P$2:$P$2639,TRUE)</f>
        <v/>
      </c>
      <c r="I58" s="18" t="inlineStr">
        <is>
          <t>nan</t>
        </is>
      </c>
      <c r="J58" s="19" t="inlineStr">
        <is>
          <t>nan</t>
        </is>
      </c>
      <c r="L58" s="17" t="inlineStr">
        <is>
          <t>%10, 3.4V, %80</t>
        </is>
      </c>
      <c r="N58" t="inlineStr">
        <is>
          <t>on_ms</t>
        </is>
      </c>
      <c r="O58" s="18">
        <f>_xlfn.MINIFS(Data_new!$D$2:$D$2639,Data_new!$A$2:$A$2639,3.4,Data_new!$B$2:$B$2639,VALUE(MID($L$58,2,FIND(",",$L$58)-2)),Data_new!$C$2:$C$2639,80,Data_new!$P$2:$P$2639,TRUE)</f>
        <v/>
      </c>
      <c r="P58" s="18">
        <f>_xlfn.MAXIFS(Data_new!$D$2:$D$2639,Data_new!$A$2:$A$2639,3.4,Data_new!$B$2:$B$2639,VALUE(MID($L$58,2,FIND(",",$L$58)-2)),Data_new!$C$2:$C$2639,80,Data_new!$P$2:$P$2639,TRUE)</f>
        <v/>
      </c>
      <c r="Q58" s="18">
        <f>_xlfn.MINIFS(Data_new!$H$2:$H$2639,Data_new!$A$2:$A$2639,3.4,Data_new!$B$2:$B$2639,VALUE(MID($L$58,2,FIND(",",$L$58)-2)),Data_new!$C$2:$C$2639,80,Data_new!$P$2:$P$2639,TRUE)</f>
        <v/>
      </c>
      <c r="R58" s="18">
        <f>_xlfn.MAXIFS(Data_new!$H$2:$H$2639,Data_new!$A$2:$A$2639,3.4,Data_new!$B$2:$B$2639,VALUE(MID($L$58,2,FIND(",",$L$58)-2)),Data_new!$C$2:$C$2639,80,Data_new!$P$2:$P$2639,TRUE)</f>
        <v/>
      </c>
      <c r="S58" s="18" t="inlineStr">
        <is>
          <t>nan</t>
        </is>
      </c>
      <c r="T58" s="19" t="inlineStr">
        <is>
          <t>nan</t>
        </is>
      </c>
      <c r="V58" s="17" t="inlineStr">
        <is>
          <t>%10, 3.4V, %60</t>
        </is>
      </c>
      <c r="X58" t="inlineStr">
        <is>
          <t>on_ms</t>
        </is>
      </c>
      <c r="Y58" s="18">
        <f>_xlfn.MINIFS(Data_new!$D$2:$D$2639,Data_new!$A$2:$A$2639,3.4,Data_new!$B$2:$B$2639,VALUE(MID($V$58,2,FIND(",",$V$58)-2)),Data_new!$C$2:$C$2639,60,Data_new!$P$2:$P$2639,TRUE)</f>
        <v/>
      </c>
      <c r="Z58" s="18">
        <f>_xlfn.MAXIFS(Data_new!$D$2:$D$2639,Data_new!$A$2:$A$2639,3.4,Data_new!$B$2:$B$2639,VALUE(MID($V$58,2,FIND(",",$V$58)-2)),Data_new!$C$2:$C$2639,60,Data_new!$P$2:$P$2639,TRUE)</f>
        <v/>
      </c>
      <c r="AA58" s="18">
        <f>_xlfn.MINIFS(Data_new!$H$2:$H$2639,Data_new!$A$2:$A$2639,3.4,Data_new!$B$2:$B$2639,VALUE(MID($V$58,2,FIND(",",$V$58)-2)),Data_new!$C$2:$C$2639,60,Data_new!$P$2:$P$2639,TRUE)</f>
        <v/>
      </c>
      <c r="AB58" s="18">
        <f>_xlfn.MAXIFS(Data_new!$H$2:$H$2639,Data_new!$A$2:$A$2639,3.4,Data_new!$B$2:$B$2639,VALUE(MID($V$58,2,FIND(",",$V$58)-2)),Data_new!$C$2:$C$2639,60,Data_new!$P$2:$P$2639,TRUE)</f>
        <v/>
      </c>
      <c r="AC58" s="18" t="inlineStr">
        <is>
          <t>nan</t>
        </is>
      </c>
      <c r="AD58" s="19" t="inlineStr">
        <is>
          <t>nan</t>
        </is>
      </c>
    </row>
    <row r="59">
      <c r="B59" s="20" t="n"/>
      <c r="D59" t="inlineStr">
        <is>
          <t>real_on_ms</t>
        </is>
      </c>
      <c r="E59" s="18">
        <f>_xlfn.MINIFS(Data_new!$D$2:$D$2639,Data_new!$A$2:$A$2639,3.4,Data_new!$B$2:$B$2639,VALUE(MID($B$58,2,FIND(",",$B$58)-2)),Data_new!$C$2:$C$2639,100,Data_new!$Q$2:$Q$2639,TRUE)</f>
        <v/>
      </c>
      <c r="F59" s="18">
        <f>_xlfn.MAXIFS(Data_new!$D$2:$D$2639,Data_new!$A$2:$A$2639,3.4,Data_new!$B$2:$B$2639,VALUE(MID($B$58,2,FIND(",",$B$58)-2)),Data_new!$C$2:$C$2639,100,Data_new!$Q$2:$Q$2639,TRUE)</f>
        <v/>
      </c>
      <c r="G59" s="18" t="inlineStr">
        <is>
          <t>nan</t>
        </is>
      </c>
      <c r="H59" s="18" t="inlineStr">
        <is>
          <t>nan</t>
        </is>
      </c>
      <c r="I59" s="18">
        <f>_xlfn.MINIFS(Data_new!$I$2:$I$2639,Data_new!$A$2:$A$2639,3.4,Data_new!$B$2:$B$2639,VALUE(MID($B$58,2,FIND(",",$B$58)-2)),Data_new!$C$2:$C$2639,100,Data_new!$Q$2:$Q$2639,TRUE)</f>
        <v/>
      </c>
      <c r="J59" s="19">
        <f>_xlfn.MAXIFS(Data_new!$I$2:$I$2639,Data_new!$A$2:$A$2639,3.4,Data_new!$B$2:$B$2639,VALUE(MID($B$58,2,FIND(",",$B$58)-2)),Data_new!$C$2:$C$2639,100,Data_new!$Q$2:$Q$2639,TRUE)</f>
        <v/>
      </c>
      <c r="L59" s="20" t="n"/>
      <c r="N59" t="inlineStr">
        <is>
          <t>real_on_ms</t>
        </is>
      </c>
      <c r="O59" s="18">
        <f>_xlfn.MINIFS(Data_new!$D$2:$D$2639,Data_new!$A$2:$A$2639,3.4,Data_new!$B$2:$B$2639,VALUE(MID($L$58,2,FIND(",",$L$58)-2)),Data_new!$C$2:$C$2639,80,Data_new!$Q$2:$Q$2639,TRUE)</f>
        <v/>
      </c>
      <c r="P59" s="18">
        <f>_xlfn.MAXIFS(Data_new!$D$2:$D$2639,Data_new!$A$2:$A$2639,3.4,Data_new!$B$2:$B$2639,VALUE(MID($L$58,2,FIND(",",$L$58)-2)),Data_new!$C$2:$C$2639,80,Data_new!$Q$2:$Q$2639,TRUE)</f>
        <v/>
      </c>
      <c r="Q59" s="18" t="inlineStr">
        <is>
          <t>nan</t>
        </is>
      </c>
      <c r="R59" s="18" t="inlineStr">
        <is>
          <t>nan</t>
        </is>
      </c>
      <c r="S59" s="18">
        <f>_xlfn.MINIFS(Data_new!$I$2:$I$2639,Data_new!$A$2:$A$2639,3.4,Data_new!$B$2:$B$2639,VALUE(MID($L$58,2,FIND(",",$L$58)-2)),Data_new!$C$2:$C$2639,80,Data_new!$Q$2:$Q$2639,TRUE)</f>
        <v/>
      </c>
      <c r="T59" s="19">
        <f>_xlfn.MAXIFS(Data_new!$I$2:$I$2639,Data_new!$A$2:$A$2639,3.4,Data_new!$B$2:$B$2639,VALUE(MID($L$58,2,FIND(",",$L$58)-2)),Data_new!$C$2:$C$2639,80,Data_new!$Q$2:$Q$2639,TRUE)</f>
        <v/>
      </c>
      <c r="V59" s="20" t="n"/>
      <c r="X59" t="inlineStr">
        <is>
          <t>real_on_ms</t>
        </is>
      </c>
      <c r="Y59" s="18">
        <f>_xlfn.MINIFS(Data_new!$D$2:$D$2639,Data_new!$A$2:$A$2639,3.4,Data_new!$B$2:$B$2639,VALUE(MID($V$58,2,FIND(",",$V$58)-2)),Data_new!$C$2:$C$2639,60,Data_new!$Q$2:$Q$2639,TRUE)</f>
        <v/>
      </c>
      <c r="Z59" s="18">
        <f>_xlfn.MAXIFS(Data_new!$D$2:$D$2639,Data_new!$A$2:$A$2639,3.4,Data_new!$B$2:$B$2639,VALUE(MID($V$58,2,FIND(",",$V$58)-2)),Data_new!$C$2:$C$2639,60,Data_new!$Q$2:$Q$2639,TRUE)</f>
        <v/>
      </c>
      <c r="AA59" s="18" t="inlineStr">
        <is>
          <t>nan</t>
        </is>
      </c>
      <c r="AB59" s="18" t="inlineStr">
        <is>
          <t>nan</t>
        </is>
      </c>
      <c r="AC59" s="18">
        <f>_xlfn.MINIFS(Data_new!$I$2:$I$2639,Data_new!$A$2:$A$2639,3.4,Data_new!$B$2:$B$2639,VALUE(MID($V$58,2,FIND(",",$V$58)-2)),Data_new!$C$2:$C$2639,60,Data_new!$Q$2:$Q$2639,TRUE)</f>
        <v/>
      </c>
      <c r="AD59" s="19">
        <f>_xlfn.MAXIFS(Data_new!$I$2:$I$2639,Data_new!$A$2:$A$2639,3.4,Data_new!$B$2:$B$2639,VALUE(MID($V$58,2,FIND(",",$V$58)-2)),Data_new!$C$2:$C$2639,60,Data_new!$Q$2:$Q$2639,TRUE)</f>
        <v/>
      </c>
    </row>
    <row r="60">
      <c r="B60" s="20" t="n"/>
      <c r="E60" s="18" t="n"/>
      <c r="F60" s="18" t="n"/>
      <c r="G60" s="18" t="n"/>
      <c r="H60" s="18" t="n"/>
      <c r="I60" s="18" t="n"/>
      <c r="J60" s="19" t="n"/>
      <c r="L60" s="20" t="n"/>
      <c r="O60" s="18" t="n"/>
      <c r="P60" s="18" t="n"/>
      <c r="Q60" s="18" t="n"/>
      <c r="R60" s="18" t="n"/>
      <c r="S60" s="18" t="n"/>
      <c r="T60" s="19" t="n"/>
      <c r="V60" s="20" t="n"/>
      <c r="Y60" s="18" t="n"/>
      <c r="Z60" s="18" t="n"/>
      <c r="AA60" s="18" t="n"/>
      <c r="AB60" s="18" t="n"/>
      <c r="AC60" s="18" t="n"/>
      <c r="AD60" s="19" t="n"/>
    </row>
    <row r="61">
      <c r="B61" s="17" t="inlineStr">
        <is>
          <t>%15, 3.4V, %100</t>
        </is>
      </c>
      <c r="D61" t="inlineStr">
        <is>
          <t>on_ms</t>
        </is>
      </c>
      <c r="E61" s="18">
        <f>_xlfn.MINIFS(Data_new!$D$2:$D$2639,Data_new!$A$2:$A$2639,3.4,Data_new!$B$2:$B$2639,VALUE(MID($B$61,2,FIND(",",$B$61)-2)),Data_new!$C$2:$C$2639,100,Data_new!$P$2:$P$2639,TRUE)</f>
        <v/>
      </c>
      <c r="F61" s="18">
        <f>_xlfn.MAXIFS(Data_new!$D$2:$D$2639,Data_new!$A$2:$A$2639,3.4,Data_new!$B$2:$B$2639,VALUE(MID($B$61,2,FIND(",",$B$61)-2)),Data_new!$C$2:$C$2639,100,Data_new!$P$2:$P$2639,TRUE)</f>
        <v/>
      </c>
      <c r="G61" s="18">
        <f>_xlfn.MINIFS(Data_new!$H$2:$H$2639,Data_new!$A$2:$A$2639,3.4,Data_new!$B$2:$B$2639,VALUE(MID($B$61,2,FIND(",",$B$61)-2)),Data_new!$C$2:$C$2639,100,Data_new!$P$2:$P$2639,TRUE)</f>
        <v/>
      </c>
      <c r="H61" s="18">
        <f>_xlfn.MAXIFS(Data_new!$H$2:$H$2639,Data_new!$A$2:$A$2639,3.4,Data_new!$B$2:$B$2639,VALUE(MID($B$61,2,FIND(",",$B$61)-2)),Data_new!$C$2:$C$2639,100,Data_new!$P$2:$P$2639,TRUE)</f>
        <v/>
      </c>
      <c r="I61" s="18" t="inlineStr">
        <is>
          <t>nan</t>
        </is>
      </c>
      <c r="J61" s="19" t="inlineStr">
        <is>
          <t>nan</t>
        </is>
      </c>
      <c r="L61" s="17" t="inlineStr">
        <is>
          <t>%15, 3.4V, %80</t>
        </is>
      </c>
      <c r="N61" t="inlineStr">
        <is>
          <t>on_ms</t>
        </is>
      </c>
      <c r="O61" s="18">
        <f>_xlfn.MINIFS(Data_new!$D$2:$D$2639,Data_new!$A$2:$A$2639,3.4,Data_new!$B$2:$B$2639,VALUE(MID($L$61,2,FIND(",",$L$61)-2)),Data_new!$C$2:$C$2639,80,Data_new!$P$2:$P$2639,TRUE)</f>
        <v/>
      </c>
      <c r="P61" s="18">
        <f>_xlfn.MAXIFS(Data_new!$D$2:$D$2639,Data_new!$A$2:$A$2639,3.4,Data_new!$B$2:$B$2639,VALUE(MID($L$61,2,FIND(",",$L$61)-2)),Data_new!$C$2:$C$2639,80,Data_new!$P$2:$P$2639,TRUE)</f>
        <v/>
      </c>
      <c r="Q61" s="18">
        <f>_xlfn.MINIFS(Data_new!$H$2:$H$2639,Data_new!$A$2:$A$2639,3.4,Data_new!$B$2:$B$2639,VALUE(MID($L$61,2,FIND(",",$L$61)-2)),Data_new!$C$2:$C$2639,80,Data_new!$P$2:$P$2639,TRUE)</f>
        <v/>
      </c>
      <c r="R61" s="18">
        <f>_xlfn.MAXIFS(Data_new!$H$2:$H$2639,Data_new!$A$2:$A$2639,3.4,Data_new!$B$2:$B$2639,VALUE(MID($L$61,2,FIND(",",$L$61)-2)),Data_new!$C$2:$C$2639,80,Data_new!$P$2:$P$2639,TRUE)</f>
        <v/>
      </c>
      <c r="S61" s="18" t="inlineStr">
        <is>
          <t>nan</t>
        </is>
      </c>
      <c r="T61" s="19" t="inlineStr">
        <is>
          <t>nan</t>
        </is>
      </c>
      <c r="V61" s="17" t="inlineStr">
        <is>
          <t>%15, 3.4V, %60</t>
        </is>
      </c>
      <c r="X61" t="inlineStr">
        <is>
          <t>on_ms</t>
        </is>
      </c>
      <c r="Y61" s="18">
        <f>_xlfn.MINIFS(Data_new!$D$2:$D$2639,Data_new!$A$2:$A$2639,3.4,Data_new!$B$2:$B$2639,VALUE(MID($V$61,2,FIND(",",$V$61)-2)),Data_new!$C$2:$C$2639,60,Data_new!$P$2:$P$2639,TRUE)</f>
        <v/>
      </c>
      <c r="Z61" s="18">
        <f>_xlfn.MAXIFS(Data_new!$D$2:$D$2639,Data_new!$A$2:$A$2639,3.4,Data_new!$B$2:$B$2639,VALUE(MID($V$61,2,FIND(",",$V$61)-2)),Data_new!$C$2:$C$2639,60,Data_new!$P$2:$P$2639,TRUE)</f>
        <v/>
      </c>
      <c r="AA61" s="18">
        <f>_xlfn.MINIFS(Data_new!$H$2:$H$2639,Data_new!$A$2:$A$2639,3.4,Data_new!$B$2:$B$2639,VALUE(MID($V$61,2,FIND(",",$V$61)-2)),Data_new!$C$2:$C$2639,60,Data_new!$P$2:$P$2639,TRUE)</f>
        <v/>
      </c>
      <c r="AB61" s="18">
        <f>_xlfn.MAXIFS(Data_new!$H$2:$H$2639,Data_new!$A$2:$A$2639,3.4,Data_new!$B$2:$B$2639,VALUE(MID($V$61,2,FIND(",",$V$61)-2)),Data_new!$C$2:$C$2639,60,Data_new!$P$2:$P$2639,TRUE)</f>
        <v/>
      </c>
      <c r="AC61" s="18" t="inlineStr">
        <is>
          <t>nan</t>
        </is>
      </c>
      <c r="AD61" s="19" t="inlineStr">
        <is>
          <t>nan</t>
        </is>
      </c>
    </row>
    <row r="62">
      <c r="B62" s="20" t="n"/>
      <c r="D62" t="inlineStr">
        <is>
          <t>real_on_ms</t>
        </is>
      </c>
      <c r="E62" s="18">
        <f>_xlfn.MINIFS(Data_new!$D$2:$D$2639,Data_new!$A$2:$A$2639,3.4,Data_new!$B$2:$B$2639,VALUE(MID($B$61,2,FIND(",",$B$61)-2)),Data_new!$C$2:$C$2639,100,Data_new!$Q$2:$Q$2639,TRUE)</f>
        <v/>
      </c>
      <c r="F62" s="18">
        <f>_xlfn.MAXIFS(Data_new!$D$2:$D$2639,Data_new!$A$2:$A$2639,3.4,Data_new!$B$2:$B$2639,VALUE(MID($B$61,2,FIND(",",$B$61)-2)),Data_new!$C$2:$C$2639,100,Data_new!$Q$2:$Q$2639,TRUE)</f>
        <v/>
      </c>
      <c r="G62" s="18" t="inlineStr">
        <is>
          <t>nan</t>
        </is>
      </c>
      <c r="H62" s="18" t="inlineStr">
        <is>
          <t>nan</t>
        </is>
      </c>
      <c r="I62" s="18">
        <f>_xlfn.MINIFS(Data_new!$I$2:$I$2639,Data_new!$A$2:$A$2639,3.4,Data_new!$B$2:$B$2639,VALUE(MID($B$61,2,FIND(",",$B$61)-2)),Data_new!$C$2:$C$2639,100,Data_new!$Q$2:$Q$2639,TRUE)</f>
        <v/>
      </c>
      <c r="J62" s="19">
        <f>_xlfn.MAXIFS(Data_new!$I$2:$I$2639,Data_new!$A$2:$A$2639,3.4,Data_new!$B$2:$B$2639,VALUE(MID($B$61,2,FIND(",",$B$61)-2)),Data_new!$C$2:$C$2639,100,Data_new!$Q$2:$Q$2639,TRUE)</f>
        <v/>
      </c>
      <c r="L62" s="20" t="n"/>
      <c r="N62" t="inlineStr">
        <is>
          <t>real_on_ms</t>
        </is>
      </c>
      <c r="O62" s="18">
        <f>_xlfn.MINIFS(Data_new!$D$2:$D$2639,Data_new!$A$2:$A$2639,3.4,Data_new!$B$2:$B$2639,VALUE(MID($L$61,2,FIND(",",$L$61)-2)),Data_new!$C$2:$C$2639,80,Data_new!$Q$2:$Q$2639,TRUE)</f>
        <v/>
      </c>
      <c r="P62" s="18">
        <f>_xlfn.MAXIFS(Data_new!$D$2:$D$2639,Data_new!$A$2:$A$2639,3.4,Data_new!$B$2:$B$2639,VALUE(MID($L$61,2,FIND(",",$L$61)-2)),Data_new!$C$2:$C$2639,80,Data_new!$Q$2:$Q$2639,TRUE)</f>
        <v/>
      </c>
      <c r="Q62" s="18" t="inlineStr">
        <is>
          <t>nan</t>
        </is>
      </c>
      <c r="R62" s="18" t="inlineStr">
        <is>
          <t>nan</t>
        </is>
      </c>
      <c r="S62" s="18">
        <f>_xlfn.MINIFS(Data_new!$I$2:$I$2639,Data_new!$A$2:$A$2639,3.4,Data_new!$B$2:$B$2639,VALUE(MID($L$61,2,FIND(",",$L$61)-2)),Data_new!$C$2:$C$2639,80,Data_new!$Q$2:$Q$2639,TRUE)</f>
        <v/>
      </c>
      <c r="T62" s="19">
        <f>_xlfn.MAXIFS(Data_new!$I$2:$I$2639,Data_new!$A$2:$A$2639,3.4,Data_new!$B$2:$B$2639,VALUE(MID($L$61,2,FIND(",",$L$61)-2)),Data_new!$C$2:$C$2639,80,Data_new!$Q$2:$Q$2639,TRUE)</f>
        <v/>
      </c>
      <c r="V62" s="20" t="n"/>
      <c r="X62" t="inlineStr">
        <is>
          <t>real_on_ms</t>
        </is>
      </c>
      <c r="Y62" s="18">
        <f>_xlfn.MINIFS(Data_new!$D$2:$D$2639,Data_new!$A$2:$A$2639,3.4,Data_new!$B$2:$B$2639,VALUE(MID($V$61,2,FIND(",",$V$61)-2)),Data_new!$C$2:$C$2639,60,Data_new!$Q$2:$Q$2639,TRUE)</f>
        <v/>
      </c>
      <c r="Z62" s="18">
        <f>_xlfn.MAXIFS(Data_new!$D$2:$D$2639,Data_new!$A$2:$A$2639,3.4,Data_new!$B$2:$B$2639,VALUE(MID($V$61,2,FIND(",",$V$61)-2)),Data_new!$C$2:$C$2639,60,Data_new!$Q$2:$Q$2639,TRUE)</f>
        <v/>
      </c>
      <c r="AA62" s="18" t="inlineStr">
        <is>
          <t>nan</t>
        </is>
      </c>
      <c r="AB62" s="18" t="inlineStr">
        <is>
          <t>nan</t>
        </is>
      </c>
      <c r="AC62" s="18">
        <f>_xlfn.MINIFS(Data_new!$I$2:$I$2639,Data_new!$A$2:$A$2639,3.4,Data_new!$B$2:$B$2639,VALUE(MID($V$61,2,FIND(",",$V$61)-2)),Data_new!$C$2:$C$2639,60,Data_new!$Q$2:$Q$2639,TRUE)</f>
        <v/>
      </c>
      <c r="AD62" s="19">
        <f>_xlfn.MAXIFS(Data_new!$I$2:$I$2639,Data_new!$A$2:$A$2639,3.4,Data_new!$B$2:$B$2639,VALUE(MID($V$61,2,FIND(",",$V$61)-2)),Data_new!$C$2:$C$2639,60,Data_new!$Q$2:$Q$2639,TRUE)</f>
        <v/>
      </c>
    </row>
    <row r="63">
      <c r="B63" s="20" t="n"/>
      <c r="E63" s="18" t="n"/>
      <c r="F63" s="18" t="n"/>
      <c r="G63" s="18" t="n"/>
      <c r="H63" s="18" t="n"/>
      <c r="I63" s="18" t="n"/>
      <c r="J63" s="19" t="n"/>
      <c r="L63" s="20" t="n"/>
      <c r="O63" s="18" t="n"/>
      <c r="P63" s="18" t="n"/>
      <c r="Q63" s="18" t="n"/>
      <c r="R63" s="18" t="n"/>
      <c r="S63" s="18" t="n"/>
      <c r="T63" s="19" t="n"/>
      <c r="V63" s="20" t="n"/>
      <c r="Y63" s="18" t="n"/>
      <c r="Z63" s="18" t="n"/>
      <c r="AA63" s="18" t="n"/>
      <c r="AB63" s="18" t="n"/>
      <c r="AC63" s="18" t="n"/>
      <c r="AD63" s="19" t="n"/>
    </row>
    <row r="64">
      <c r="B64" s="21" t="inlineStr">
        <is>
          <t>%100, 3.4V, %100</t>
        </is>
      </c>
      <c r="D64" t="inlineStr">
        <is>
          <t>on_ms</t>
        </is>
      </c>
      <c r="E64" s="18">
        <f>_xlfn.MINIFS(Data_new!$D$2:$D$2639,Data_new!$A$2:$A$2639,3.4,Data_new!$B$2:$B$2639,VALUE(MID($B$64,2,FIND(",",$B$64)-2)),Data_new!$C$2:$C$2639,100,Data_new!$P$2:$P$2639,TRUE)</f>
        <v/>
      </c>
      <c r="F64" s="18">
        <f>_xlfn.MAXIFS(Data_new!$D$2:$D$2639,Data_new!$A$2:$A$2639,3.4,Data_new!$B$2:$B$2639,VALUE(MID($B$64,2,FIND(",",$B$64)-2)),Data_new!$C$2:$C$2639,100,Data_new!$P$2:$P$2639,TRUE)</f>
        <v/>
      </c>
      <c r="G64" s="18">
        <f>_xlfn.MINIFS(Data_new!$H$2:$H$2639,Data_new!$A$2:$A$2639,3.4,Data_new!$B$2:$B$2639,VALUE(MID($B$64,2,FIND(",",$B$64)-2)),Data_new!$C$2:$C$2639,100,Data_new!$P$2:$P$2639,TRUE)</f>
        <v/>
      </c>
      <c r="H64" s="18">
        <f>_xlfn.MAXIFS(Data_new!$H$2:$H$2639,Data_new!$A$2:$A$2639,3.4,Data_new!$B$2:$B$2639,VALUE(MID($B$64,2,FIND(",",$B$64)-2)),Data_new!$C$2:$C$2639,100,Data_new!$P$2:$P$2639,TRUE)</f>
        <v/>
      </c>
      <c r="I64" s="18" t="inlineStr">
        <is>
          <t>nan</t>
        </is>
      </c>
      <c r="J64" s="19" t="inlineStr">
        <is>
          <t>nan</t>
        </is>
      </c>
      <c r="L64" s="21" t="inlineStr">
        <is>
          <t>%100, 3.4V, %80</t>
        </is>
      </c>
      <c r="N64" t="inlineStr">
        <is>
          <t>on_ms</t>
        </is>
      </c>
      <c r="O64" s="18">
        <f>_xlfn.MINIFS(Data_new!$D$2:$D$2639,Data_new!$A$2:$A$2639,3.4,Data_new!$B$2:$B$2639,VALUE(MID($L$64,2,FIND(",",$L$64)-2)),Data_new!$C$2:$C$2639,80,Data_new!$P$2:$P$2639,TRUE)</f>
        <v/>
      </c>
      <c r="P64" s="18">
        <f>_xlfn.MAXIFS(Data_new!$D$2:$D$2639,Data_new!$A$2:$A$2639,3.4,Data_new!$B$2:$B$2639,VALUE(MID($L$64,2,FIND(",",$L$64)-2)),Data_new!$C$2:$C$2639,80,Data_new!$P$2:$P$2639,TRUE)</f>
        <v/>
      </c>
      <c r="Q64" s="18">
        <f>_xlfn.MINIFS(Data_new!$H$2:$H$2639,Data_new!$A$2:$A$2639,3.4,Data_new!$B$2:$B$2639,VALUE(MID($L$64,2,FIND(",",$L$64)-2)),Data_new!$C$2:$C$2639,80,Data_new!$P$2:$P$2639,TRUE)</f>
        <v/>
      </c>
      <c r="R64" s="18">
        <f>_xlfn.MAXIFS(Data_new!$H$2:$H$2639,Data_new!$A$2:$A$2639,3.4,Data_new!$B$2:$B$2639,VALUE(MID($L$64,2,FIND(",",$L$64)-2)),Data_new!$C$2:$C$2639,80,Data_new!$P$2:$P$2639,TRUE)</f>
        <v/>
      </c>
      <c r="S64" s="18" t="inlineStr">
        <is>
          <t>nan</t>
        </is>
      </c>
      <c r="T64" s="19" t="inlineStr">
        <is>
          <t>nan</t>
        </is>
      </c>
      <c r="V64" s="21" t="inlineStr">
        <is>
          <t>%100, 3.4V, %60</t>
        </is>
      </c>
      <c r="X64" t="inlineStr">
        <is>
          <t>on_ms</t>
        </is>
      </c>
      <c r="Y64" s="18">
        <f>_xlfn.MINIFS(Data_new!$D$2:$D$2639,Data_new!$A$2:$A$2639,3.4,Data_new!$B$2:$B$2639,VALUE(MID($V$64,2,FIND(",",$V$64)-2)),Data_new!$C$2:$C$2639,60,Data_new!$P$2:$P$2639,TRUE)</f>
        <v/>
      </c>
      <c r="Z64" s="18">
        <f>_xlfn.MAXIFS(Data_new!$D$2:$D$2639,Data_new!$A$2:$A$2639,3.4,Data_new!$B$2:$B$2639,VALUE(MID($V$64,2,FIND(",",$V$64)-2)),Data_new!$C$2:$C$2639,60,Data_new!$P$2:$P$2639,TRUE)</f>
        <v/>
      </c>
      <c r="AA64" s="18">
        <f>_xlfn.MINIFS(Data_new!$H$2:$H$2639,Data_new!$A$2:$A$2639,3.4,Data_new!$B$2:$B$2639,VALUE(MID($V$64,2,FIND(",",$V$64)-2)),Data_new!$C$2:$C$2639,60,Data_new!$P$2:$P$2639,TRUE)</f>
        <v/>
      </c>
      <c r="AB64" s="18">
        <f>_xlfn.MAXIFS(Data_new!$H$2:$H$2639,Data_new!$A$2:$A$2639,3.4,Data_new!$B$2:$B$2639,VALUE(MID($V$64,2,FIND(",",$V$64)-2)),Data_new!$C$2:$C$2639,60,Data_new!$P$2:$P$2639,TRUE)</f>
        <v/>
      </c>
      <c r="AC64" s="18" t="inlineStr">
        <is>
          <t>nan</t>
        </is>
      </c>
      <c r="AD64" s="19" t="inlineStr">
        <is>
          <t>nan</t>
        </is>
      </c>
    </row>
    <row r="65">
      <c r="B65" s="22" t="n"/>
      <c r="C65" s="11" t="n"/>
      <c r="D65" s="11" t="inlineStr">
        <is>
          <t>real_on_ms</t>
        </is>
      </c>
      <c r="E65" s="23">
        <f>_xlfn.MINIFS(Data_new!$D$2:$D$2639,Data_new!$A$2:$A$2639,3.4,Data_new!$B$2:$B$2639,VALUE(MID($B$64,2,FIND(",",$B$64)-2)),Data_new!$C$2:$C$2639,100,Data_new!$Q$2:$Q$2639,TRUE)</f>
        <v/>
      </c>
      <c r="F65" s="23">
        <f>_xlfn.MAXIFS(Data_new!$D$2:$D$2639,Data_new!$A$2:$A$2639,3.4,Data_new!$B$2:$B$2639,VALUE(MID($B$64,2,FIND(",",$B$64)-2)),Data_new!$C$2:$C$2639,100,Data_new!$Q$2:$Q$2639,TRUE)</f>
        <v/>
      </c>
      <c r="G65" s="23" t="inlineStr">
        <is>
          <t>nan</t>
        </is>
      </c>
      <c r="H65" s="23" t="inlineStr">
        <is>
          <t>nan</t>
        </is>
      </c>
      <c r="I65" s="23">
        <f>_xlfn.MINIFS(Data_new!$I$2:$I$2639,Data_new!$A$2:$A$2639,3.4,Data_new!$B$2:$B$2639,VALUE(MID($B$64,2,FIND(",",$B$64)-2)),Data_new!$C$2:$C$2639,100,Data_new!$Q$2:$Q$2639,TRUE)</f>
        <v/>
      </c>
      <c r="J65" s="24">
        <f>_xlfn.MAXIFS(Data_new!$I$2:$I$2639,Data_new!$A$2:$A$2639,3.4,Data_new!$B$2:$B$2639,VALUE(MID($B$64,2,FIND(",",$B$64)-2)),Data_new!$C$2:$C$2639,100,Data_new!$Q$2:$Q$2639,TRUE)</f>
        <v/>
      </c>
      <c r="L65" s="22" t="n"/>
      <c r="M65" s="11" t="n"/>
      <c r="N65" s="11" t="inlineStr">
        <is>
          <t>real_on_ms</t>
        </is>
      </c>
      <c r="O65" s="23">
        <f>_xlfn.MINIFS(Data_new!$D$2:$D$2639,Data_new!$A$2:$A$2639,3.4,Data_new!$B$2:$B$2639,VALUE(MID($L$64,2,FIND(",",$L$64)-2)),Data_new!$C$2:$C$2639,80,Data_new!$Q$2:$Q$2639,TRUE)</f>
        <v/>
      </c>
      <c r="P65" s="23">
        <f>_xlfn.MAXIFS(Data_new!$D$2:$D$2639,Data_new!$A$2:$A$2639,3.4,Data_new!$B$2:$B$2639,VALUE(MID($L$64,2,FIND(",",$L$64)-2)),Data_new!$C$2:$C$2639,80,Data_new!$Q$2:$Q$2639,TRUE)</f>
        <v/>
      </c>
      <c r="Q65" s="23" t="inlineStr">
        <is>
          <t>nan</t>
        </is>
      </c>
      <c r="R65" s="23" t="inlineStr">
        <is>
          <t>nan</t>
        </is>
      </c>
      <c r="S65" s="23">
        <f>_xlfn.MINIFS(Data_new!$I$2:$I$2639,Data_new!$A$2:$A$2639,3.4,Data_new!$B$2:$B$2639,VALUE(MID($L$64,2,FIND(",",$L$64)-2)),Data_new!$C$2:$C$2639,80,Data_new!$Q$2:$Q$2639,TRUE)</f>
        <v/>
      </c>
      <c r="T65" s="24">
        <f>_xlfn.MAXIFS(Data_new!$I$2:$I$2639,Data_new!$A$2:$A$2639,3.4,Data_new!$B$2:$B$2639,VALUE(MID($L$64,2,FIND(",",$L$64)-2)),Data_new!$C$2:$C$2639,80,Data_new!$Q$2:$Q$2639,TRUE)</f>
        <v/>
      </c>
      <c r="V65" s="22" t="n"/>
      <c r="W65" s="11" t="n"/>
      <c r="X65" s="11" t="inlineStr">
        <is>
          <t>real_on_ms</t>
        </is>
      </c>
      <c r="Y65" s="23">
        <f>_xlfn.MINIFS(Data_new!$D$2:$D$2639,Data_new!$A$2:$A$2639,3.4,Data_new!$B$2:$B$2639,VALUE(MID($V$64,2,FIND(",",$V$64)-2)),Data_new!$C$2:$C$2639,60,Data_new!$Q$2:$Q$2639,TRUE)</f>
        <v/>
      </c>
      <c r="Z65" s="23">
        <f>_xlfn.MAXIFS(Data_new!$D$2:$D$2639,Data_new!$A$2:$A$2639,3.4,Data_new!$B$2:$B$2639,VALUE(MID($V$64,2,FIND(",",$V$64)-2)),Data_new!$C$2:$C$2639,60,Data_new!$Q$2:$Q$2639,TRUE)</f>
        <v/>
      </c>
      <c r="AA65" s="23" t="inlineStr">
        <is>
          <t>nan</t>
        </is>
      </c>
      <c r="AB65" s="23" t="inlineStr">
        <is>
          <t>nan</t>
        </is>
      </c>
      <c r="AC65" s="23">
        <f>_xlfn.MINIFS(Data_new!$I$2:$I$2639,Data_new!$A$2:$A$2639,3.4,Data_new!$B$2:$B$2639,VALUE(MID($V$64,2,FIND(",",$V$64)-2)),Data_new!$C$2:$C$2639,60,Data_new!$Q$2:$Q$2639,TRUE)</f>
        <v/>
      </c>
      <c r="AD65" s="24">
        <f>_xlfn.MAXIFS(Data_new!$I$2:$I$2639,Data_new!$A$2:$A$2639,3.4,Data_new!$B$2:$B$2639,VALUE(MID($V$64,2,FIND(",",$V$64)-2)),Data_new!$C$2:$C$2639,60,Data_new!$Q$2:$Q$2639,TRUE)</f>
        <v/>
      </c>
    </row>
    <row r="71">
      <c r="B71" s="13" t="n"/>
      <c r="C71" s="14" t="n"/>
      <c r="D71" s="14" t="n"/>
      <c r="E71" s="15" t="inlineStr">
        <is>
          <t>min_kick_ms</t>
        </is>
      </c>
      <c r="F71" s="15" t="inlineStr">
        <is>
          <t>max_kick_ms</t>
        </is>
      </c>
      <c r="G71" s="15" t="inlineStr">
        <is>
          <t>min_on_ms</t>
        </is>
      </c>
      <c r="H71" s="15" t="inlineStr">
        <is>
          <t>max_on_ms</t>
        </is>
      </c>
      <c r="I71" s="15" t="inlineStr">
        <is>
          <t>min_real_on_ms</t>
        </is>
      </c>
      <c r="J71" s="16" t="inlineStr">
        <is>
          <t>max_real_on_ms</t>
        </is>
      </c>
      <c r="L71" s="13" t="n"/>
      <c r="M71" s="14" t="n"/>
      <c r="N71" s="14" t="n"/>
      <c r="O71" s="15" t="inlineStr">
        <is>
          <t>min_kick_ms</t>
        </is>
      </c>
      <c r="P71" s="15" t="inlineStr">
        <is>
          <t>max_kick_ms</t>
        </is>
      </c>
      <c r="Q71" s="15" t="inlineStr">
        <is>
          <t>min_on_ms</t>
        </is>
      </c>
      <c r="R71" s="15" t="inlineStr">
        <is>
          <t>max_on_ms</t>
        </is>
      </c>
      <c r="S71" s="15" t="inlineStr">
        <is>
          <t>min_real_on_ms</t>
        </is>
      </c>
      <c r="T71" s="16" t="inlineStr">
        <is>
          <t>max_real_on_ms</t>
        </is>
      </c>
      <c r="V71" s="13" t="n"/>
      <c r="W71" s="14" t="n"/>
      <c r="X71" s="14" t="n"/>
      <c r="Y71" s="15" t="inlineStr">
        <is>
          <t>min_kick_ms</t>
        </is>
      </c>
      <c r="Z71" s="15" t="inlineStr">
        <is>
          <t>max_kick_ms</t>
        </is>
      </c>
      <c r="AA71" s="15" t="inlineStr">
        <is>
          <t>min_on_ms</t>
        </is>
      </c>
      <c r="AB71" s="15" t="inlineStr">
        <is>
          <t>max_on_ms</t>
        </is>
      </c>
      <c r="AC71" s="15" t="inlineStr">
        <is>
          <t>min_real_on_ms</t>
        </is>
      </c>
      <c r="AD71" s="16" t="inlineStr">
        <is>
          <t>max_real_on_ms</t>
        </is>
      </c>
    </row>
    <row r="72">
      <c r="B72" s="17" t="inlineStr">
        <is>
          <t>%6, 3.2V, %100</t>
        </is>
      </c>
      <c r="D72" t="inlineStr">
        <is>
          <t>on_ms</t>
        </is>
      </c>
      <c r="E72" s="18">
        <f>_xlfn.MINIFS(Data_new!$D$2:$D$2639,Data_new!$A$2:$A$2639,3.2,Data_new!$B$2:$B$2639,VALUE(MID($B$72,2,FIND(",",$B$72)-2)),Data_new!$C$2:$C$2639,100,Data_new!$P$2:$P$2639,TRUE)</f>
        <v/>
      </c>
      <c r="F72" s="18">
        <f>_xlfn.MAXIFS(Data_new!$D$2:$D$2639,Data_new!$A$2:$A$2639,3.2,Data_new!$B$2:$B$2639,VALUE(MID($B$72,2,FIND(",",$B$72)-2)),Data_new!$C$2:$C$2639,100,Data_new!$P$2:$P$2639,TRUE)</f>
        <v/>
      </c>
      <c r="G72" s="18">
        <f>_xlfn.MINIFS(Data_new!$H$2:$H$2639,Data_new!$A$2:$A$2639,3.2,Data_new!$B$2:$B$2639,VALUE(MID($B$72,2,FIND(",",$B$72)-2)),Data_new!$C$2:$C$2639,100,Data_new!$P$2:$P$2639,TRUE)</f>
        <v/>
      </c>
      <c r="H72" s="18">
        <f>_xlfn.MAXIFS(Data_new!$H$2:$H$2639,Data_new!$A$2:$A$2639,3.2,Data_new!$B$2:$B$2639,VALUE(MID($B$72,2,FIND(",",$B$72)-2)),Data_new!$C$2:$C$2639,100,Data_new!$P$2:$P$2639,TRUE)</f>
        <v/>
      </c>
      <c r="I72" s="18" t="inlineStr">
        <is>
          <t>nan</t>
        </is>
      </c>
      <c r="J72" s="19" t="inlineStr">
        <is>
          <t>nan</t>
        </is>
      </c>
      <c r="L72" s="17" t="inlineStr">
        <is>
          <t>%6, 3.2V, %80</t>
        </is>
      </c>
      <c r="N72" t="inlineStr">
        <is>
          <t>on_ms</t>
        </is>
      </c>
      <c r="O72" s="18">
        <f>_xlfn.MINIFS(Data_new!$D$2:$D$2639,Data_new!$A$2:$A$2639,3.2,Data_new!$B$2:$B$2639,VALUE(MID($L$72,2,FIND(",",$L$72)-2)),Data_new!$C$2:$C$2639,80,Data_new!$P$2:$P$2639,TRUE)</f>
        <v/>
      </c>
      <c r="P72" s="18">
        <f>_xlfn.MAXIFS(Data_new!$D$2:$D$2639,Data_new!$A$2:$A$2639,3.2,Data_new!$B$2:$B$2639,VALUE(MID($L$72,2,FIND(",",$L$72)-2)),Data_new!$C$2:$C$2639,80,Data_new!$P$2:$P$2639,TRUE)</f>
        <v/>
      </c>
      <c r="Q72" s="18">
        <f>_xlfn.MINIFS(Data_new!$H$2:$H$2639,Data_new!$A$2:$A$2639,3.2,Data_new!$B$2:$B$2639,VALUE(MID($L$72,2,FIND(",",$L$72)-2)),Data_new!$C$2:$C$2639,80,Data_new!$P$2:$P$2639,TRUE)</f>
        <v/>
      </c>
      <c r="R72" s="18">
        <f>_xlfn.MAXIFS(Data_new!$H$2:$H$2639,Data_new!$A$2:$A$2639,3.2,Data_new!$B$2:$B$2639,VALUE(MID($L$72,2,FIND(",",$L$72)-2)),Data_new!$C$2:$C$2639,80,Data_new!$P$2:$P$2639,TRUE)</f>
        <v/>
      </c>
      <c r="S72" s="18" t="inlineStr">
        <is>
          <t>nan</t>
        </is>
      </c>
      <c r="T72" s="19" t="inlineStr">
        <is>
          <t>nan</t>
        </is>
      </c>
      <c r="V72" s="17" t="inlineStr">
        <is>
          <t>%6, 3.2V, %60</t>
        </is>
      </c>
      <c r="X72" t="inlineStr">
        <is>
          <t>on_ms</t>
        </is>
      </c>
      <c r="Y72" s="18">
        <f>_xlfn.MINIFS(Data_new!$D$2:$D$2639,Data_new!$A$2:$A$2639,3.2,Data_new!$B$2:$B$2639,VALUE(MID($V$72,2,FIND(",",$V$72)-2)),Data_new!$C$2:$C$2639,60,Data_new!$P$2:$P$2639,TRUE)</f>
        <v/>
      </c>
      <c r="Z72" s="18">
        <f>_xlfn.MAXIFS(Data_new!$D$2:$D$2639,Data_new!$A$2:$A$2639,3.2,Data_new!$B$2:$B$2639,VALUE(MID($V$72,2,FIND(",",$V$72)-2)),Data_new!$C$2:$C$2639,60,Data_new!$P$2:$P$2639,TRUE)</f>
        <v/>
      </c>
      <c r="AA72" s="18">
        <f>_xlfn.MINIFS(Data_new!$H$2:$H$2639,Data_new!$A$2:$A$2639,3.2,Data_new!$B$2:$B$2639,VALUE(MID($V$72,2,FIND(",",$V$72)-2)),Data_new!$C$2:$C$2639,60,Data_new!$P$2:$P$2639,TRUE)</f>
        <v/>
      </c>
      <c r="AB72" s="18">
        <f>_xlfn.MAXIFS(Data_new!$H$2:$H$2639,Data_new!$A$2:$A$2639,3.2,Data_new!$B$2:$B$2639,VALUE(MID($V$72,2,FIND(",",$V$72)-2)),Data_new!$C$2:$C$2639,60,Data_new!$P$2:$P$2639,TRUE)</f>
        <v/>
      </c>
      <c r="AC72" s="18" t="inlineStr">
        <is>
          <t>nan</t>
        </is>
      </c>
      <c r="AD72" s="19" t="inlineStr">
        <is>
          <t>nan</t>
        </is>
      </c>
    </row>
    <row r="73">
      <c r="B73" s="20" t="n"/>
      <c r="D73" t="inlineStr">
        <is>
          <t>real_on_ms</t>
        </is>
      </c>
      <c r="E73" s="18">
        <f>_xlfn.MINIFS(Data_new!$D$2:$D$2639,Data_new!$A$2:$A$2639,3.2,Data_new!$B$2:$B$2639,VALUE(MID($B$72,2,FIND(",",$B$72)-2)),Data_new!$C$2:$C$2639,100,Data_new!$Q$2:$Q$2639,TRUE)</f>
        <v/>
      </c>
      <c r="F73" s="18">
        <f>_xlfn.MAXIFS(Data_new!$D$2:$D$2639,Data_new!$A$2:$A$2639,3.2,Data_new!$B$2:$B$2639,VALUE(MID($B$72,2,FIND(",",$B$72)-2)),Data_new!$C$2:$C$2639,100,Data_new!$Q$2:$Q$2639,TRUE)</f>
        <v/>
      </c>
      <c r="G73" s="18" t="inlineStr">
        <is>
          <t>nan</t>
        </is>
      </c>
      <c r="H73" s="18" t="inlineStr">
        <is>
          <t>nan</t>
        </is>
      </c>
      <c r="I73" s="18">
        <f>_xlfn.MINIFS(Data_new!$I$2:$I$2639,Data_new!$A$2:$A$2639,3.2,Data_new!$B$2:$B$2639,VALUE(MID($B$72,2,FIND(",",$B$72)-2)),Data_new!$C$2:$C$2639,100,Data_new!$Q$2:$Q$2639,TRUE)</f>
        <v/>
      </c>
      <c r="J73" s="19">
        <f>_xlfn.MAXIFS(Data_new!$I$2:$I$2639,Data_new!$A$2:$A$2639,3.2,Data_new!$B$2:$B$2639,VALUE(MID($B$72,2,FIND(",",$B$72)-2)),Data_new!$C$2:$C$2639,100,Data_new!$Q$2:$Q$2639,TRUE)</f>
        <v/>
      </c>
      <c r="L73" s="20" t="n"/>
      <c r="N73" t="inlineStr">
        <is>
          <t>real_on_ms</t>
        </is>
      </c>
      <c r="O73" s="18">
        <f>_xlfn.MINIFS(Data_new!$D$2:$D$2639,Data_new!$A$2:$A$2639,3.2,Data_new!$B$2:$B$2639,VALUE(MID($L$72,2,FIND(",",$L$72)-2)),Data_new!$C$2:$C$2639,80,Data_new!$Q$2:$Q$2639,TRUE)</f>
        <v/>
      </c>
      <c r="P73" s="18">
        <f>_xlfn.MAXIFS(Data_new!$D$2:$D$2639,Data_new!$A$2:$A$2639,3.2,Data_new!$B$2:$B$2639,VALUE(MID($L$72,2,FIND(",",$L$72)-2)),Data_new!$C$2:$C$2639,80,Data_new!$Q$2:$Q$2639,TRUE)</f>
        <v/>
      </c>
      <c r="Q73" s="18" t="inlineStr">
        <is>
          <t>nan</t>
        </is>
      </c>
      <c r="R73" s="18" t="inlineStr">
        <is>
          <t>nan</t>
        </is>
      </c>
      <c r="S73" s="18">
        <f>_xlfn.MINIFS(Data_new!$I$2:$I$2639,Data_new!$A$2:$A$2639,3.2,Data_new!$B$2:$B$2639,VALUE(MID($L$72,2,FIND(",",$L$72)-2)),Data_new!$C$2:$C$2639,80,Data_new!$Q$2:$Q$2639,TRUE)</f>
        <v/>
      </c>
      <c r="T73" s="19">
        <f>_xlfn.MAXIFS(Data_new!$I$2:$I$2639,Data_new!$A$2:$A$2639,3.2,Data_new!$B$2:$B$2639,VALUE(MID($L$72,2,FIND(",",$L$72)-2)),Data_new!$C$2:$C$2639,80,Data_new!$Q$2:$Q$2639,TRUE)</f>
        <v/>
      </c>
      <c r="V73" s="20" t="n"/>
      <c r="X73" t="inlineStr">
        <is>
          <t>real_on_ms</t>
        </is>
      </c>
      <c r="Y73" s="18">
        <f>_xlfn.MINIFS(Data_new!$D$2:$D$2639,Data_new!$A$2:$A$2639,3.2,Data_new!$B$2:$B$2639,VALUE(MID($V$72,2,FIND(",",$V$72)-2)),Data_new!$C$2:$C$2639,60,Data_new!$Q$2:$Q$2639,TRUE)</f>
        <v/>
      </c>
      <c r="Z73" s="18">
        <f>_xlfn.MAXIFS(Data_new!$D$2:$D$2639,Data_new!$A$2:$A$2639,3.2,Data_new!$B$2:$B$2639,VALUE(MID($V$72,2,FIND(",",$V$72)-2)),Data_new!$C$2:$C$2639,60,Data_new!$Q$2:$Q$2639,TRUE)</f>
        <v/>
      </c>
      <c r="AA73" s="18" t="inlineStr">
        <is>
          <t>nan</t>
        </is>
      </c>
      <c r="AB73" s="18" t="inlineStr">
        <is>
          <t>nan</t>
        </is>
      </c>
      <c r="AC73" s="18">
        <f>_xlfn.MINIFS(Data_new!$I$2:$I$2639,Data_new!$A$2:$A$2639,3.2,Data_new!$B$2:$B$2639,VALUE(MID($V$72,2,FIND(",",$V$72)-2)),Data_new!$C$2:$C$2639,60,Data_new!$Q$2:$Q$2639,TRUE)</f>
        <v/>
      </c>
      <c r="AD73" s="19">
        <f>_xlfn.MAXIFS(Data_new!$I$2:$I$2639,Data_new!$A$2:$A$2639,3.2,Data_new!$B$2:$B$2639,VALUE(MID($V$72,2,FIND(",",$V$72)-2)),Data_new!$C$2:$C$2639,60,Data_new!$Q$2:$Q$2639,TRUE)</f>
        <v/>
      </c>
    </row>
    <row r="74">
      <c r="B74" s="20" t="n"/>
      <c r="E74" s="18" t="n"/>
      <c r="F74" s="18" t="n"/>
      <c r="G74" s="18" t="n"/>
      <c r="H74" s="18" t="n"/>
      <c r="I74" s="18" t="n"/>
      <c r="J74" s="19" t="n"/>
      <c r="L74" s="20" t="n"/>
      <c r="O74" s="18" t="n"/>
      <c r="P74" s="18" t="n"/>
      <c r="Q74" s="18" t="n"/>
      <c r="R74" s="18" t="n"/>
      <c r="S74" s="18" t="n"/>
      <c r="T74" s="19" t="n"/>
      <c r="V74" s="20" t="n"/>
      <c r="Y74" s="18" t="n"/>
      <c r="Z74" s="18" t="n"/>
      <c r="AA74" s="18" t="n"/>
      <c r="AB74" s="18" t="n"/>
      <c r="AC74" s="18" t="n"/>
      <c r="AD74" s="19" t="n"/>
    </row>
    <row r="75">
      <c r="B75" s="17" t="inlineStr">
        <is>
          <t>%7, 3.2V, %100</t>
        </is>
      </c>
      <c r="D75" t="inlineStr">
        <is>
          <t>on_ms</t>
        </is>
      </c>
      <c r="E75" s="18">
        <f>_xlfn.MINIFS(Data_new!$D$2:$D$2639,Data_new!$A$2:$A$2639,3.2,Data_new!$B$2:$B$2639,VALUE(MID($B$75,2,FIND(",",$B$75)-2)),Data_new!$C$2:$C$2639,100,Data_new!$P$2:$P$2639,TRUE)</f>
        <v/>
      </c>
      <c r="F75" s="18">
        <f>_xlfn.MAXIFS(Data_new!$D$2:$D$2639,Data_new!$A$2:$A$2639,3.2,Data_new!$B$2:$B$2639,VALUE(MID($B$75,2,FIND(",",$B$75)-2)),Data_new!$C$2:$C$2639,100,Data_new!$P$2:$P$2639,TRUE)</f>
        <v/>
      </c>
      <c r="G75" s="18">
        <f>_xlfn.MINIFS(Data_new!$H$2:$H$2639,Data_new!$A$2:$A$2639,3.2,Data_new!$B$2:$B$2639,VALUE(MID($B$75,2,FIND(",",$B$75)-2)),Data_new!$C$2:$C$2639,100,Data_new!$P$2:$P$2639,TRUE)</f>
        <v/>
      </c>
      <c r="H75" s="18">
        <f>_xlfn.MAXIFS(Data_new!$H$2:$H$2639,Data_new!$A$2:$A$2639,3.2,Data_new!$B$2:$B$2639,VALUE(MID($B$75,2,FIND(",",$B$75)-2)),Data_new!$C$2:$C$2639,100,Data_new!$P$2:$P$2639,TRUE)</f>
        <v/>
      </c>
      <c r="I75" s="18" t="inlineStr">
        <is>
          <t>nan</t>
        </is>
      </c>
      <c r="J75" s="19" t="inlineStr">
        <is>
          <t>nan</t>
        </is>
      </c>
      <c r="L75" s="17" t="inlineStr">
        <is>
          <t>%7, 3.2V, %80</t>
        </is>
      </c>
      <c r="N75" t="inlineStr">
        <is>
          <t>on_ms</t>
        </is>
      </c>
      <c r="O75" s="18">
        <f>_xlfn.MINIFS(Data_new!$D$2:$D$2639,Data_new!$A$2:$A$2639,3.2,Data_new!$B$2:$B$2639,VALUE(MID($L$75,2,FIND(",",$L$75)-2)),Data_new!$C$2:$C$2639,80,Data_new!$P$2:$P$2639,TRUE)</f>
        <v/>
      </c>
      <c r="P75" s="18">
        <f>_xlfn.MAXIFS(Data_new!$D$2:$D$2639,Data_new!$A$2:$A$2639,3.2,Data_new!$B$2:$B$2639,VALUE(MID($L$75,2,FIND(",",$L$75)-2)),Data_new!$C$2:$C$2639,80,Data_new!$P$2:$P$2639,TRUE)</f>
        <v/>
      </c>
      <c r="Q75" s="18">
        <f>_xlfn.MINIFS(Data_new!$H$2:$H$2639,Data_new!$A$2:$A$2639,3.2,Data_new!$B$2:$B$2639,VALUE(MID($L$75,2,FIND(",",$L$75)-2)),Data_new!$C$2:$C$2639,80,Data_new!$P$2:$P$2639,TRUE)</f>
        <v/>
      </c>
      <c r="R75" s="18">
        <f>_xlfn.MAXIFS(Data_new!$H$2:$H$2639,Data_new!$A$2:$A$2639,3.2,Data_new!$B$2:$B$2639,VALUE(MID($L$75,2,FIND(",",$L$75)-2)),Data_new!$C$2:$C$2639,80,Data_new!$P$2:$P$2639,TRUE)</f>
        <v/>
      </c>
      <c r="S75" s="18" t="inlineStr">
        <is>
          <t>nan</t>
        </is>
      </c>
      <c r="T75" s="19" t="inlineStr">
        <is>
          <t>nan</t>
        </is>
      </c>
      <c r="V75" s="17" t="inlineStr">
        <is>
          <t>%7, 3.2V, %60</t>
        </is>
      </c>
      <c r="X75" t="inlineStr">
        <is>
          <t>on_ms</t>
        </is>
      </c>
      <c r="Y75" s="18">
        <f>_xlfn.MINIFS(Data_new!$D$2:$D$2639,Data_new!$A$2:$A$2639,3.2,Data_new!$B$2:$B$2639,VALUE(MID($V$75,2,FIND(",",$V$75)-2)),Data_new!$C$2:$C$2639,60,Data_new!$P$2:$P$2639,TRUE)</f>
        <v/>
      </c>
      <c r="Z75" s="18">
        <f>_xlfn.MAXIFS(Data_new!$D$2:$D$2639,Data_new!$A$2:$A$2639,3.2,Data_new!$B$2:$B$2639,VALUE(MID($V$75,2,FIND(",",$V$75)-2)),Data_new!$C$2:$C$2639,60,Data_new!$P$2:$P$2639,TRUE)</f>
        <v/>
      </c>
      <c r="AA75" s="18">
        <f>_xlfn.MINIFS(Data_new!$H$2:$H$2639,Data_new!$A$2:$A$2639,3.2,Data_new!$B$2:$B$2639,VALUE(MID($V$75,2,FIND(",",$V$75)-2)),Data_new!$C$2:$C$2639,60,Data_new!$P$2:$P$2639,TRUE)</f>
        <v/>
      </c>
      <c r="AB75" s="18">
        <f>_xlfn.MAXIFS(Data_new!$H$2:$H$2639,Data_new!$A$2:$A$2639,3.2,Data_new!$B$2:$B$2639,VALUE(MID($V$75,2,FIND(",",$V$75)-2)),Data_new!$C$2:$C$2639,60,Data_new!$P$2:$P$2639,TRUE)</f>
        <v/>
      </c>
      <c r="AC75" s="18" t="inlineStr">
        <is>
          <t>nan</t>
        </is>
      </c>
      <c r="AD75" s="19" t="inlineStr">
        <is>
          <t>nan</t>
        </is>
      </c>
    </row>
    <row r="76">
      <c r="B76" s="20" t="n"/>
      <c r="D76" t="inlineStr">
        <is>
          <t>real_on_ms</t>
        </is>
      </c>
      <c r="E76" s="18">
        <f>_xlfn.MINIFS(Data_new!$D$2:$D$2639,Data_new!$A$2:$A$2639,3.2,Data_new!$B$2:$B$2639,VALUE(MID($B$75,2,FIND(",",$B$75)-2)),Data_new!$C$2:$C$2639,100,Data_new!$Q$2:$Q$2639,TRUE)</f>
        <v/>
      </c>
      <c r="F76" s="18">
        <f>_xlfn.MAXIFS(Data_new!$D$2:$D$2639,Data_new!$A$2:$A$2639,3.2,Data_new!$B$2:$B$2639,VALUE(MID($B$75,2,FIND(",",$B$75)-2)),Data_new!$C$2:$C$2639,100,Data_new!$Q$2:$Q$2639,TRUE)</f>
        <v/>
      </c>
      <c r="G76" s="18" t="inlineStr">
        <is>
          <t>nan</t>
        </is>
      </c>
      <c r="H76" s="18" t="inlineStr">
        <is>
          <t>nan</t>
        </is>
      </c>
      <c r="I76" s="18">
        <f>_xlfn.MINIFS(Data_new!$I$2:$I$2639,Data_new!$A$2:$A$2639,3.2,Data_new!$B$2:$B$2639,VALUE(MID($B$75,2,FIND(",",$B$75)-2)),Data_new!$C$2:$C$2639,100,Data_new!$Q$2:$Q$2639,TRUE)</f>
        <v/>
      </c>
      <c r="J76" s="19">
        <f>_xlfn.MAXIFS(Data_new!$I$2:$I$2639,Data_new!$A$2:$A$2639,3.2,Data_new!$B$2:$B$2639,VALUE(MID($B$75,2,FIND(",",$B$75)-2)),Data_new!$C$2:$C$2639,100,Data_new!$Q$2:$Q$2639,TRUE)</f>
        <v/>
      </c>
      <c r="L76" s="20" t="n"/>
      <c r="N76" t="inlineStr">
        <is>
          <t>real_on_ms</t>
        </is>
      </c>
      <c r="O76" s="18">
        <f>_xlfn.MINIFS(Data_new!$D$2:$D$2639,Data_new!$A$2:$A$2639,3.2,Data_new!$B$2:$B$2639,VALUE(MID($L$75,2,FIND(",",$L$75)-2)),Data_new!$C$2:$C$2639,80,Data_new!$Q$2:$Q$2639,TRUE)</f>
        <v/>
      </c>
      <c r="P76" s="18">
        <f>_xlfn.MAXIFS(Data_new!$D$2:$D$2639,Data_new!$A$2:$A$2639,3.2,Data_new!$B$2:$B$2639,VALUE(MID($L$75,2,FIND(",",$L$75)-2)),Data_new!$C$2:$C$2639,80,Data_new!$Q$2:$Q$2639,TRUE)</f>
        <v/>
      </c>
      <c r="Q76" s="18" t="inlineStr">
        <is>
          <t>nan</t>
        </is>
      </c>
      <c r="R76" s="18" t="inlineStr">
        <is>
          <t>nan</t>
        </is>
      </c>
      <c r="S76" s="18">
        <f>_xlfn.MINIFS(Data_new!$I$2:$I$2639,Data_new!$A$2:$A$2639,3.2,Data_new!$B$2:$B$2639,VALUE(MID($L$75,2,FIND(",",$L$75)-2)),Data_new!$C$2:$C$2639,80,Data_new!$Q$2:$Q$2639,TRUE)</f>
        <v/>
      </c>
      <c r="T76" s="19">
        <f>_xlfn.MAXIFS(Data_new!$I$2:$I$2639,Data_new!$A$2:$A$2639,3.2,Data_new!$B$2:$B$2639,VALUE(MID($L$75,2,FIND(",",$L$75)-2)),Data_new!$C$2:$C$2639,80,Data_new!$Q$2:$Q$2639,TRUE)</f>
        <v/>
      </c>
      <c r="V76" s="20" t="n"/>
      <c r="X76" t="inlineStr">
        <is>
          <t>real_on_ms</t>
        </is>
      </c>
      <c r="Y76" s="18">
        <f>_xlfn.MINIFS(Data_new!$D$2:$D$2639,Data_new!$A$2:$A$2639,3.2,Data_new!$B$2:$B$2639,VALUE(MID($V$75,2,FIND(",",$V$75)-2)),Data_new!$C$2:$C$2639,60,Data_new!$Q$2:$Q$2639,TRUE)</f>
        <v/>
      </c>
      <c r="Z76" s="18">
        <f>_xlfn.MAXIFS(Data_new!$D$2:$D$2639,Data_new!$A$2:$A$2639,3.2,Data_new!$B$2:$B$2639,VALUE(MID($V$75,2,FIND(",",$V$75)-2)),Data_new!$C$2:$C$2639,60,Data_new!$Q$2:$Q$2639,TRUE)</f>
        <v/>
      </c>
      <c r="AA76" s="18" t="inlineStr">
        <is>
          <t>nan</t>
        </is>
      </c>
      <c r="AB76" s="18" t="inlineStr">
        <is>
          <t>nan</t>
        </is>
      </c>
      <c r="AC76" s="18">
        <f>_xlfn.MINIFS(Data_new!$I$2:$I$2639,Data_new!$A$2:$A$2639,3.2,Data_new!$B$2:$B$2639,VALUE(MID($V$75,2,FIND(",",$V$75)-2)),Data_new!$C$2:$C$2639,60,Data_new!$Q$2:$Q$2639,TRUE)</f>
        <v/>
      </c>
      <c r="AD76" s="19">
        <f>_xlfn.MAXIFS(Data_new!$I$2:$I$2639,Data_new!$A$2:$A$2639,3.2,Data_new!$B$2:$B$2639,VALUE(MID($V$75,2,FIND(",",$V$75)-2)),Data_new!$C$2:$C$2639,60,Data_new!$Q$2:$Q$2639,TRUE)</f>
        <v/>
      </c>
    </row>
    <row r="77">
      <c r="B77" s="20" t="n"/>
      <c r="E77" s="18" t="n"/>
      <c r="F77" s="18" t="n"/>
      <c r="G77" s="18" t="n"/>
      <c r="H77" s="18" t="n"/>
      <c r="I77" s="18" t="n"/>
      <c r="J77" s="19" t="n"/>
      <c r="L77" s="20" t="n"/>
      <c r="O77" s="18" t="n"/>
      <c r="P77" s="18" t="n"/>
      <c r="Q77" s="18" t="n"/>
      <c r="R77" s="18" t="n"/>
      <c r="S77" s="18" t="n"/>
      <c r="T77" s="19" t="n"/>
      <c r="V77" s="20" t="n"/>
      <c r="Y77" s="18" t="n"/>
      <c r="Z77" s="18" t="n"/>
      <c r="AA77" s="18" t="n"/>
      <c r="AB77" s="18" t="n"/>
      <c r="AC77" s="18" t="n"/>
      <c r="AD77" s="19" t="n"/>
    </row>
    <row r="78">
      <c r="B78" s="17" t="inlineStr">
        <is>
          <t>%8, 3.2V, %100</t>
        </is>
      </c>
      <c r="D78" t="inlineStr">
        <is>
          <t>on_ms</t>
        </is>
      </c>
      <c r="E78" s="18">
        <f>_xlfn.MINIFS(Data_new!$D$2:$D$2639,Data_new!$A$2:$A$2639,3.2,Data_new!$B$2:$B$2639,VALUE(MID($B$78,2,FIND(",",$B$78)-2)),Data_new!$C$2:$C$2639,100,Data_new!$P$2:$P$2639,TRUE)</f>
        <v/>
      </c>
      <c r="F78" s="18">
        <f>_xlfn.MAXIFS(Data_new!$D$2:$D$2639,Data_new!$A$2:$A$2639,3.2,Data_new!$B$2:$B$2639,VALUE(MID($B$78,2,FIND(",",$B$78)-2)),Data_new!$C$2:$C$2639,100,Data_new!$P$2:$P$2639,TRUE)</f>
        <v/>
      </c>
      <c r="G78" s="18">
        <f>_xlfn.MINIFS(Data_new!$H$2:$H$2639,Data_new!$A$2:$A$2639,3.2,Data_new!$B$2:$B$2639,VALUE(MID($B$78,2,FIND(",",$B$78)-2)),Data_new!$C$2:$C$2639,100,Data_new!$P$2:$P$2639,TRUE)</f>
        <v/>
      </c>
      <c r="H78" s="18">
        <f>_xlfn.MAXIFS(Data_new!$H$2:$H$2639,Data_new!$A$2:$A$2639,3.2,Data_new!$B$2:$B$2639,VALUE(MID($B$78,2,FIND(",",$B$78)-2)),Data_new!$C$2:$C$2639,100,Data_new!$P$2:$P$2639,TRUE)</f>
        <v/>
      </c>
      <c r="I78" s="18" t="inlineStr">
        <is>
          <t>nan</t>
        </is>
      </c>
      <c r="J78" s="19" t="inlineStr">
        <is>
          <t>nan</t>
        </is>
      </c>
      <c r="L78" s="17" t="inlineStr">
        <is>
          <t>%8, 3.2V, %80</t>
        </is>
      </c>
      <c r="N78" t="inlineStr">
        <is>
          <t>on_ms</t>
        </is>
      </c>
      <c r="O78" s="18">
        <f>_xlfn.MINIFS(Data_new!$D$2:$D$2639,Data_new!$A$2:$A$2639,3.2,Data_new!$B$2:$B$2639,VALUE(MID($L$78,2,FIND(",",$L$78)-2)),Data_new!$C$2:$C$2639,80,Data_new!$P$2:$P$2639,TRUE)</f>
        <v/>
      </c>
      <c r="P78" s="18">
        <f>_xlfn.MAXIFS(Data_new!$D$2:$D$2639,Data_new!$A$2:$A$2639,3.2,Data_new!$B$2:$B$2639,VALUE(MID($L$78,2,FIND(",",$L$78)-2)),Data_new!$C$2:$C$2639,80,Data_new!$P$2:$P$2639,TRUE)</f>
        <v/>
      </c>
      <c r="Q78" s="18">
        <f>_xlfn.MINIFS(Data_new!$H$2:$H$2639,Data_new!$A$2:$A$2639,3.2,Data_new!$B$2:$B$2639,VALUE(MID($L$78,2,FIND(",",$L$78)-2)),Data_new!$C$2:$C$2639,80,Data_new!$P$2:$P$2639,TRUE)</f>
        <v/>
      </c>
      <c r="R78" s="18">
        <f>_xlfn.MAXIFS(Data_new!$H$2:$H$2639,Data_new!$A$2:$A$2639,3.2,Data_new!$B$2:$B$2639,VALUE(MID($L$78,2,FIND(",",$L$78)-2)),Data_new!$C$2:$C$2639,80,Data_new!$P$2:$P$2639,TRUE)</f>
        <v/>
      </c>
      <c r="S78" s="18" t="inlineStr">
        <is>
          <t>nan</t>
        </is>
      </c>
      <c r="T78" s="19" t="inlineStr">
        <is>
          <t>nan</t>
        </is>
      </c>
      <c r="V78" s="17" t="inlineStr">
        <is>
          <t>%8, 3.2V, %60</t>
        </is>
      </c>
      <c r="X78" t="inlineStr">
        <is>
          <t>on_ms</t>
        </is>
      </c>
      <c r="Y78" s="18">
        <f>_xlfn.MINIFS(Data_new!$D$2:$D$2639,Data_new!$A$2:$A$2639,3.2,Data_new!$B$2:$B$2639,VALUE(MID($V$78,2,FIND(",",$V$78)-2)),Data_new!$C$2:$C$2639,60,Data_new!$P$2:$P$2639,TRUE)</f>
        <v/>
      </c>
      <c r="Z78" s="18">
        <f>_xlfn.MAXIFS(Data_new!$D$2:$D$2639,Data_new!$A$2:$A$2639,3.2,Data_new!$B$2:$B$2639,VALUE(MID($V$78,2,FIND(",",$V$78)-2)),Data_new!$C$2:$C$2639,60,Data_new!$P$2:$P$2639,TRUE)</f>
        <v/>
      </c>
      <c r="AA78" s="18">
        <f>_xlfn.MINIFS(Data_new!$H$2:$H$2639,Data_new!$A$2:$A$2639,3.2,Data_new!$B$2:$B$2639,VALUE(MID($V$78,2,FIND(",",$V$78)-2)),Data_new!$C$2:$C$2639,60,Data_new!$P$2:$P$2639,TRUE)</f>
        <v/>
      </c>
      <c r="AB78" s="18">
        <f>_xlfn.MAXIFS(Data_new!$H$2:$H$2639,Data_new!$A$2:$A$2639,3.2,Data_new!$B$2:$B$2639,VALUE(MID($V$78,2,FIND(",",$V$78)-2)),Data_new!$C$2:$C$2639,60,Data_new!$P$2:$P$2639,TRUE)</f>
        <v/>
      </c>
      <c r="AC78" s="18" t="inlineStr">
        <is>
          <t>nan</t>
        </is>
      </c>
      <c r="AD78" s="19" t="inlineStr">
        <is>
          <t>nan</t>
        </is>
      </c>
    </row>
    <row r="79">
      <c r="B79" s="20" t="n"/>
      <c r="D79" t="inlineStr">
        <is>
          <t>real_on_ms</t>
        </is>
      </c>
      <c r="E79" s="18">
        <f>_xlfn.MINIFS(Data_new!$D$2:$D$2639,Data_new!$A$2:$A$2639,3.2,Data_new!$B$2:$B$2639,VALUE(MID($B$78,2,FIND(",",$B$78)-2)),Data_new!$C$2:$C$2639,100,Data_new!$Q$2:$Q$2639,TRUE)</f>
        <v/>
      </c>
      <c r="F79" s="18">
        <f>_xlfn.MAXIFS(Data_new!$D$2:$D$2639,Data_new!$A$2:$A$2639,3.2,Data_new!$B$2:$B$2639,VALUE(MID($B$78,2,FIND(",",$B$78)-2)),Data_new!$C$2:$C$2639,100,Data_new!$Q$2:$Q$2639,TRUE)</f>
        <v/>
      </c>
      <c r="G79" s="18" t="inlineStr">
        <is>
          <t>nan</t>
        </is>
      </c>
      <c r="H79" s="18" t="inlineStr">
        <is>
          <t>nan</t>
        </is>
      </c>
      <c r="I79" s="18">
        <f>_xlfn.MINIFS(Data_new!$I$2:$I$2639,Data_new!$A$2:$A$2639,3.2,Data_new!$B$2:$B$2639,VALUE(MID($B$78,2,FIND(",",$B$78)-2)),Data_new!$C$2:$C$2639,100,Data_new!$Q$2:$Q$2639,TRUE)</f>
        <v/>
      </c>
      <c r="J79" s="19">
        <f>_xlfn.MAXIFS(Data_new!$I$2:$I$2639,Data_new!$A$2:$A$2639,3.2,Data_new!$B$2:$B$2639,VALUE(MID($B$78,2,FIND(",",$B$78)-2)),Data_new!$C$2:$C$2639,100,Data_new!$Q$2:$Q$2639,TRUE)</f>
        <v/>
      </c>
      <c r="L79" s="20" t="n"/>
      <c r="N79" t="inlineStr">
        <is>
          <t>real_on_ms</t>
        </is>
      </c>
      <c r="O79" s="18">
        <f>_xlfn.MINIFS(Data_new!$D$2:$D$2639,Data_new!$A$2:$A$2639,3.2,Data_new!$B$2:$B$2639,VALUE(MID($L$78,2,FIND(",",$L$78)-2)),Data_new!$C$2:$C$2639,80,Data_new!$Q$2:$Q$2639,TRUE)</f>
        <v/>
      </c>
      <c r="P79" s="18">
        <f>_xlfn.MAXIFS(Data_new!$D$2:$D$2639,Data_new!$A$2:$A$2639,3.2,Data_new!$B$2:$B$2639,VALUE(MID($L$78,2,FIND(",",$L$78)-2)),Data_new!$C$2:$C$2639,80,Data_new!$Q$2:$Q$2639,TRUE)</f>
        <v/>
      </c>
      <c r="Q79" s="18" t="inlineStr">
        <is>
          <t>nan</t>
        </is>
      </c>
      <c r="R79" s="18" t="inlineStr">
        <is>
          <t>nan</t>
        </is>
      </c>
      <c r="S79" s="18">
        <f>_xlfn.MINIFS(Data_new!$I$2:$I$2639,Data_new!$A$2:$A$2639,3.2,Data_new!$B$2:$B$2639,VALUE(MID($L$78,2,FIND(",",$L$78)-2)),Data_new!$C$2:$C$2639,80,Data_new!$Q$2:$Q$2639,TRUE)</f>
        <v/>
      </c>
      <c r="T79" s="19">
        <f>_xlfn.MAXIFS(Data_new!$I$2:$I$2639,Data_new!$A$2:$A$2639,3.2,Data_new!$B$2:$B$2639,VALUE(MID($L$78,2,FIND(",",$L$78)-2)),Data_new!$C$2:$C$2639,80,Data_new!$Q$2:$Q$2639,TRUE)</f>
        <v/>
      </c>
      <c r="V79" s="20" t="n"/>
      <c r="X79" t="inlineStr">
        <is>
          <t>real_on_ms</t>
        </is>
      </c>
      <c r="Y79" s="18">
        <f>_xlfn.MINIFS(Data_new!$D$2:$D$2639,Data_new!$A$2:$A$2639,3.2,Data_new!$B$2:$B$2639,VALUE(MID($V$78,2,FIND(",",$V$78)-2)),Data_new!$C$2:$C$2639,60,Data_new!$Q$2:$Q$2639,TRUE)</f>
        <v/>
      </c>
      <c r="Z79" s="18">
        <f>_xlfn.MAXIFS(Data_new!$D$2:$D$2639,Data_new!$A$2:$A$2639,3.2,Data_new!$B$2:$B$2639,VALUE(MID($V$78,2,FIND(",",$V$78)-2)),Data_new!$C$2:$C$2639,60,Data_new!$Q$2:$Q$2639,TRUE)</f>
        <v/>
      </c>
      <c r="AA79" s="18" t="inlineStr">
        <is>
          <t>nan</t>
        </is>
      </c>
      <c r="AB79" s="18" t="inlineStr">
        <is>
          <t>nan</t>
        </is>
      </c>
      <c r="AC79" s="18">
        <f>_xlfn.MINIFS(Data_new!$I$2:$I$2639,Data_new!$A$2:$A$2639,3.2,Data_new!$B$2:$B$2639,VALUE(MID($V$78,2,FIND(",",$V$78)-2)),Data_new!$C$2:$C$2639,60,Data_new!$Q$2:$Q$2639,TRUE)</f>
        <v/>
      </c>
      <c r="AD79" s="19">
        <f>_xlfn.MAXIFS(Data_new!$I$2:$I$2639,Data_new!$A$2:$A$2639,3.2,Data_new!$B$2:$B$2639,VALUE(MID($V$78,2,FIND(",",$V$78)-2)),Data_new!$C$2:$C$2639,60,Data_new!$Q$2:$Q$2639,TRUE)</f>
        <v/>
      </c>
    </row>
    <row r="80">
      <c r="B80" s="20" t="n"/>
      <c r="E80" s="18" t="n"/>
      <c r="F80" s="18" t="n"/>
      <c r="G80" s="18" t="n"/>
      <c r="H80" s="18" t="n"/>
      <c r="I80" s="18" t="n"/>
      <c r="J80" s="19" t="n"/>
      <c r="L80" s="20" t="n"/>
      <c r="O80" s="18" t="n"/>
      <c r="P80" s="18" t="n"/>
      <c r="Q80" s="18" t="n"/>
      <c r="R80" s="18" t="n"/>
      <c r="S80" s="18" t="n"/>
      <c r="T80" s="19" t="n"/>
      <c r="V80" s="20" t="n"/>
      <c r="Y80" s="18" t="n"/>
      <c r="Z80" s="18" t="n"/>
      <c r="AA80" s="18" t="n"/>
      <c r="AB80" s="18" t="n"/>
      <c r="AC80" s="18" t="n"/>
      <c r="AD80" s="19" t="n"/>
    </row>
    <row r="81">
      <c r="B81" s="17" t="inlineStr">
        <is>
          <t>%10, 3.2V, %100</t>
        </is>
      </c>
      <c r="D81" t="inlineStr">
        <is>
          <t>on_ms</t>
        </is>
      </c>
      <c r="E81" s="18">
        <f>_xlfn.MINIFS(Data_new!$D$2:$D$2639,Data_new!$A$2:$A$2639,3.2,Data_new!$B$2:$B$2639,VALUE(MID($B$81,2,FIND(",",$B$81)-2)),Data_new!$C$2:$C$2639,100,Data_new!$P$2:$P$2639,TRUE)</f>
        <v/>
      </c>
      <c r="F81" s="18">
        <f>_xlfn.MAXIFS(Data_new!$D$2:$D$2639,Data_new!$A$2:$A$2639,3.2,Data_new!$B$2:$B$2639,VALUE(MID($B$81,2,FIND(",",$B$81)-2)),Data_new!$C$2:$C$2639,100,Data_new!$P$2:$P$2639,TRUE)</f>
        <v/>
      </c>
      <c r="G81" s="18">
        <f>_xlfn.MINIFS(Data_new!$H$2:$H$2639,Data_new!$A$2:$A$2639,3.2,Data_new!$B$2:$B$2639,VALUE(MID($B$81,2,FIND(",",$B$81)-2)),Data_new!$C$2:$C$2639,100,Data_new!$P$2:$P$2639,TRUE)</f>
        <v/>
      </c>
      <c r="H81" s="18">
        <f>_xlfn.MAXIFS(Data_new!$H$2:$H$2639,Data_new!$A$2:$A$2639,3.2,Data_new!$B$2:$B$2639,VALUE(MID($B$81,2,FIND(",",$B$81)-2)),Data_new!$C$2:$C$2639,100,Data_new!$P$2:$P$2639,TRUE)</f>
        <v/>
      </c>
      <c r="I81" s="18" t="inlineStr">
        <is>
          <t>nan</t>
        </is>
      </c>
      <c r="J81" s="19" t="inlineStr">
        <is>
          <t>nan</t>
        </is>
      </c>
      <c r="L81" s="17" t="inlineStr">
        <is>
          <t>%10, 3.2V, %80</t>
        </is>
      </c>
      <c r="N81" t="inlineStr">
        <is>
          <t>on_ms</t>
        </is>
      </c>
      <c r="O81" s="18">
        <f>_xlfn.MINIFS(Data_new!$D$2:$D$2639,Data_new!$A$2:$A$2639,3.2,Data_new!$B$2:$B$2639,VALUE(MID($L$81,2,FIND(",",$L$81)-2)),Data_new!$C$2:$C$2639,80,Data_new!$P$2:$P$2639,TRUE)</f>
        <v/>
      </c>
      <c r="P81" s="18">
        <f>_xlfn.MAXIFS(Data_new!$D$2:$D$2639,Data_new!$A$2:$A$2639,3.2,Data_new!$B$2:$B$2639,VALUE(MID($L$81,2,FIND(",",$L$81)-2)),Data_new!$C$2:$C$2639,80,Data_new!$P$2:$P$2639,TRUE)</f>
        <v/>
      </c>
      <c r="Q81" s="18">
        <f>_xlfn.MINIFS(Data_new!$H$2:$H$2639,Data_new!$A$2:$A$2639,3.2,Data_new!$B$2:$B$2639,VALUE(MID($L$81,2,FIND(",",$L$81)-2)),Data_new!$C$2:$C$2639,80,Data_new!$P$2:$P$2639,TRUE)</f>
        <v/>
      </c>
      <c r="R81" s="18">
        <f>_xlfn.MAXIFS(Data_new!$H$2:$H$2639,Data_new!$A$2:$A$2639,3.2,Data_new!$B$2:$B$2639,VALUE(MID($L$81,2,FIND(",",$L$81)-2)),Data_new!$C$2:$C$2639,80,Data_new!$P$2:$P$2639,TRUE)</f>
        <v/>
      </c>
      <c r="S81" s="18" t="inlineStr">
        <is>
          <t>nan</t>
        </is>
      </c>
      <c r="T81" s="19" t="inlineStr">
        <is>
          <t>nan</t>
        </is>
      </c>
      <c r="V81" s="17" t="inlineStr">
        <is>
          <t>%10, 3.2V, %60</t>
        </is>
      </c>
      <c r="X81" t="inlineStr">
        <is>
          <t>on_ms</t>
        </is>
      </c>
      <c r="Y81" s="18">
        <f>_xlfn.MINIFS(Data_new!$D$2:$D$2639,Data_new!$A$2:$A$2639,3.2,Data_new!$B$2:$B$2639,VALUE(MID($V$81,2,FIND(",",$V$81)-2)),Data_new!$C$2:$C$2639,60,Data_new!$P$2:$P$2639,TRUE)</f>
        <v/>
      </c>
      <c r="Z81" s="18">
        <f>_xlfn.MAXIFS(Data_new!$D$2:$D$2639,Data_new!$A$2:$A$2639,3.2,Data_new!$B$2:$B$2639,VALUE(MID($V$81,2,FIND(",",$V$81)-2)),Data_new!$C$2:$C$2639,60,Data_new!$P$2:$P$2639,TRUE)</f>
        <v/>
      </c>
      <c r="AA81" s="18">
        <f>_xlfn.MINIFS(Data_new!$H$2:$H$2639,Data_new!$A$2:$A$2639,3.2,Data_new!$B$2:$B$2639,VALUE(MID($V$81,2,FIND(",",$V$81)-2)),Data_new!$C$2:$C$2639,60,Data_new!$P$2:$P$2639,TRUE)</f>
        <v/>
      </c>
      <c r="AB81" s="18">
        <f>_xlfn.MAXIFS(Data_new!$H$2:$H$2639,Data_new!$A$2:$A$2639,3.2,Data_new!$B$2:$B$2639,VALUE(MID($V$81,2,FIND(",",$V$81)-2)),Data_new!$C$2:$C$2639,60,Data_new!$P$2:$P$2639,TRUE)</f>
        <v/>
      </c>
      <c r="AC81" s="18" t="inlineStr">
        <is>
          <t>nan</t>
        </is>
      </c>
      <c r="AD81" s="19" t="inlineStr">
        <is>
          <t>nan</t>
        </is>
      </c>
    </row>
    <row r="82">
      <c r="B82" s="20" t="n"/>
      <c r="D82" t="inlineStr">
        <is>
          <t>real_on_ms</t>
        </is>
      </c>
      <c r="E82" s="18">
        <f>_xlfn.MINIFS(Data_new!$D$2:$D$2639,Data_new!$A$2:$A$2639,3.2,Data_new!$B$2:$B$2639,VALUE(MID($B$81,2,FIND(",",$B$81)-2)),Data_new!$C$2:$C$2639,100,Data_new!$Q$2:$Q$2639,TRUE)</f>
        <v/>
      </c>
      <c r="F82" s="18">
        <f>_xlfn.MAXIFS(Data_new!$D$2:$D$2639,Data_new!$A$2:$A$2639,3.2,Data_new!$B$2:$B$2639,VALUE(MID($B$81,2,FIND(",",$B$81)-2)),Data_new!$C$2:$C$2639,100,Data_new!$Q$2:$Q$2639,TRUE)</f>
        <v/>
      </c>
      <c r="G82" s="18" t="inlineStr">
        <is>
          <t>nan</t>
        </is>
      </c>
      <c r="H82" s="18" t="inlineStr">
        <is>
          <t>nan</t>
        </is>
      </c>
      <c r="I82" s="18">
        <f>_xlfn.MINIFS(Data_new!$I$2:$I$2639,Data_new!$A$2:$A$2639,3.2,Data_new!$B$2:$B$2639,VALUE(MID($B$81,2,FIND(",",$B$81)-2)),Data_new!$C$2:$C$2639,100,Data_new!$Q$2:$Q$2639,TRUE)</f>
        <v/>
      </c>
      <c r="J82" s="19">
        <f>_xlfn.MAXIFS(Data_new!$I$2:$I$2639,Data_new!$A$2:$A$2639,3.2,Data_new!$B$2:$B$2639,VALUE(MID($B$81,2,FIND(",",$B$81)-2)),Data_new!$C$2:$C$2639,100,Data_new!$Q$2:$Q$2639,TRUE)</f>
        <v/>
      </c>
      <c r="L82" s="20" t="n"/>
      <c r="N82" t="inlineStr">
        <is>
          <t>real_on_ms</t>
        </is>
      </c>
      <c r="O82" s="18">
        <f>_xlfn.MINIFS(Data_new!$D$2:$D$2639,Data_new!$A$2:$A$2639,3.2,Data_new!$B$2:$B$2639,VALUE(MID($L$81,2,FIND(",",$L$81)-2)),Data_new!$C$2:$C$2639,80,Data_new!$Q$2:$Q$2639,TRUE)</f>
        <v/>
      </c>
      <c r="P82" s="18">
        <f>_xlfn.MAXIFS(Data_new!$D$2:$D$2639,Data_new!$A$2:$A$2639,3.2,Data_new!$B$2:$B$2639,VALUE(MID($L$81,2,FIND(",",$L$81)-2)),Data_new!$C$2:$C$2639,80,Data_new!$Q$2:$Q$2639,TRUE)</f>
        <v/>
      </c>
      <c r="Q82" s="18" t="inlineStr">
        <is>
          <t>nan</t>
        </is>
      </c>
      <c r="R82" s="18" t="inlineStr">
        <is>
          <t>nan</t>
        </is>
      </c>
      <c r="S82" s="18">
        <f>_xlfn.MINIFS(Data_new!$I$2:$I$2639,Data_new!$A$2:$A$2639,3.2,Data_new!$B$2:$B$2639,VALUE(MID($L$81,2,FIND(",",$L$81)-2)),Data_new!$C$2:$C$2639,80,Data_new!$Q$2:$Q$2639,TRUE)</f>
        <v/>
      </c>
      <c r="T82" s="19">
        <f>_xlfn.MAXIFS(Data_new!$I$2:$I$2639,Data_new!$A$2:$A$2639,3.2,Data_new!$B$2:$B$2639,VALUE(MID($L$81,2,FIND(",",$L$81)-2)),Data_new!$C$2:$C$2639,80,Data_new!$Q$2:$Q$2639,TRUE)</f>
        <v/>
      </c>
      <c r="V82" s="20" t="n"/>
      <c r="X82" t="inlineStr">
        <is>
          <t>real_on_ms</t>
        </is>
      </c>
      <c r="Y82" s="18">
        <f>_xlfn.MINIFS(Data_new!$D$2:$D$2639,Data_new!$A$2:$A$2639,3.2,Data_new!$B$2:$B$2639,VALUE(MID($V$81,2,FIND(",",$V$81)-2)),Data_new!$C$2:$C$2639,60,Data_new!$Q$2:$Q$2639,TRUE)</f>
        <v/>
      </c>
      <c r="Z82" s="18">
        <f>_xlfn.MAXIFS(Data_new!$D$2:$D$2639,Data_new!$A$2:$A$2639,3.2,Data_new!$B$2:$B$2639,VALUE(MID($V$81,2,FIND(",",$V$81)-2)),Data_new!$C$2:$C$2639,60,Data_new!$Q$2:$Q$2639,TRUE)</f>
        <v/>
      </c>
      <c r="AA82" s="18" t="inlineStr">
        <is>
          <t>nan</t>
        </is>
      </c>
      <c r="AB82" s="18" t="inlineStr">
        <is>
          <t>nan</t>
        </is>
      </c>
      <c r="AC82" s="18">
        <f>_xlfn.MINIFS(Data_new!$I$2:$I$2639,Data_new!$A$2:$A$2639,3.2,Data_new!$B$2:$B$2639,VALUE(MID($V$81,2,FIND(",",$V$81)-2)),Data_new!$C$2:$C$2639,60,Data_new!$Q$2:$Q$2639,TRUE)</f>
        <v/>
      </c>
      <c r="AD82" s="19">
        <f>_xlfn.MAXIFS(Data_new!$I$2:$I$2639,Data_new!$A$2:$A$2639,3.2,Data_new!$B$2:$B$2639,VALUE(MID($V$81,2,FIND(",",$V$81)-2)),Data_new!$C$2:$C$2639,60,Data_new!$Q$2:$Q$2639,TRUE)</f>
        <v/>
      </c>
    </row>
    <row r="83">
      <c r="B83" s="20" t="n"/>
      <c r="E83" s="18" t="n"/>
      <c r="F83" s="18" t="n"/>
      <c r="G83" s="18" t="n"/>
      <c r="H83" s="18" t="n"/>
      <c r="I83" s="18" t="n"/>
      <c r="J83" s="19" t="n"/>
      <c r="L83" s="20" t="n"/>
      <c r="O83" s="18" t="n"/>
      <c r="P83" s="18" t="n"/>
      <c r="Q83" s="18" t="n"/>
      <c r="R83" s="18" t="n"/>
      <c r="S83" s="18" t="n"/>
      <c r="T83" s="19" t="n"/>
      <c r="V83" s="20" t="n"/>
      <c r="Y83" s="18" t="n"/>
      <c r="Z83" s="18" t="n"/>
      <c r="AA83" s="18" t="n"/>
      <c r="AB83" s="18" t="n"/>
      <c r="AC83" s="18" t="n"/>
      <c r="AD83" s="19" t="n"/>
    </row>
    <row r="84">
      <c r="B84" s="17" t="inlineStr">
        <is>
          <t>%15, 3.2V, %100</t>
        </is>
      </c>
      <c r="D84" t="inlineStr">
        <is>
          <t>on_ms</t>
        </is>
      </c>
      <c r="E84" s="18">
        <f>_xlfn.MINIFS(Data_new!$D$2:$D$2639,Data_new!$A$2:$A$2639,3.2,Data_new!$B$2:$B$2639,VALUE(MID($B$84,2,FIND(",",$B$84)-2)),Data_new!$C$2:$C$2639,100,Data_new!$P$2:$P$2639,TRUE)</f>
        <v/>
      </c>
      <c r="F84" s="18">
        <f>_xlfn.MAXIFS(Data_new!$D$2:$D$2639,Data_new!$A$2:$A$2639,3.2,Data_new!$B$2:$B$2639,VALUE(MID($B$84,2,FIND(",",$B$84)-2)),Data_new!$C$2:$C$2639,100,Data_new!$P$2:$P$2639,TRUE)</f>
        <v/>
      </c>
      <c r="G84" s="18">
        <f>_xlfn.MINIFS(Data_new!$H$2:$H$2639,Data_new!$A$2:$A$2639,3.2,Data_new!$B$2:$B$2639,VALUE(MID($B$84,2,FIND(",",$B$84)-2)),Data_new!$C$2:$C$2639,100,Data_new!$P$2:$P$2639,TRUE)</f>
        <v/>
      </c>
      <c r="H84" s="18">
        <f>_xlfn.MAXIFS(Data_new!$H$2:$H$2639,Data_new!$A$2:$A$2639,3.2,Data_new!$B$2:$B$2639,VALUE(MID($B$84,2,FIND(",",$B$84)-2)),Data_new!$C$2:$C$2639,100,Data_new!$P$2:$P$2639,TRUE)</f>
        <v/>
      </c>
      <c r="I84" s="18" t="inlineStr">
        <is>
          <t>nan</t>
        </is>
      </c>
      <c r="J84" s="19" t="inlineStr">
        <is>
          <t>nan</t>
        </is>
      </c>
      <c r="L84" s="17" t="inlineStr">
        <is>
          <t>%15, 3.2V, %80</t>
        </is>
      </c>
      <c r="N84" t="inlineStr">
        <is>
          <t>on_ms</t>
        </is>
      </c>
      <c r="O84" s="18">
        <f>_xlfn.MINIFS(Data_new!$D$2:$D$2639,Data_new!$A$2:$A$2639,3.2,Data_new!$B$2:$B$2639,VALUE(MID($L$84,2,FIND(",",$L$84)-2)),Data_new!$C$2:$C$2639,80,Data_new!$P$2:$P$2639,TRUE)</f>
        <v/>
      </c>
      <c r="P84" s="18">
        <f>_xlfn.MAXIFS(Data_new!$D$2:$D$2639,Data_new!$A$2:$A$2639,3.2,Data_new!$B$2:$B$2639,VALUE(MID($L$84,2,FIND(",",$L$84)-2)),Data_new!$C$2:$C$2639,80,Data_new!$P$2:$P$2639,TRUE)</f>
        <v/>
      </c>
      <c r="Q84" s="18">
        <f>_xlfn.MINIFS(Data_new!$H$2:$H$2639,Data_new!$A$2:$A$2639,3.2,Data_new!$B$2:$B$2639,VALUE(MID($L$84,2,FIND(",",$L$84)-2)),Data_new!$C$2:$C$2639,80,Data_new!$P$2:$P$2639,TRUE)</f>
        <v/>
      </c>
      <c r="R84" s="18">
        <f>_xlfn.MAXIFS(Data_new!$H$2:$H$2639,Data_new!$A$2:$A$2639,3.2,Data_new!$B$2:$B$2639,VALUE(MID($L$84,2,FIND(",",$L$84)-2)),Data_new!$C$2:$C$2639,80,Data_new!$P$2:$P$2639,TRUE)</f>
        <v/>
      </c>
      <c r="S84" s="18" t="inlineStr">
        <is>
          <t>nan</t>
        </is>
      </c>
      <c r="T84" s="19" t="inlineStr">
        <is>
          <t>nan</t>
        </is>
      </c>
      <c r="V84" s="17" t="inlineStr">
        <is>
          <t>%15, 3.2V, %60</t>
        </is>
      </c>
      <c r="X84" t="inlineStr">
        <is>
          <t>on_ms</t>
        </is>
      </c>
      <c r="Y84" s="18">
        <f>_xlfn.MINIFS(Data_new!$D$2:$D$2639,Data_new!$A$2:$A$2639,3.2,Data_new!$B$2:$B$2639,VALUE(MID($V$84,2,FIND(",",$V$84)-2)),Data_new!$C$2:$C$2639,60,Data_new!$P$2:$P$2639,TRUE)</f>
        <v/>
      </c>
      <c r="Z84" s="18">
        <f>_xlfn.MAXIFS(Data_new!$D$2:$D$2639,Data_new!$A$2:$A$2639,3.2,Data_new!$B$2:$B$2639,VALUE(MID($V$84,2,FIND(",",$V$84)-2)),Data_new!$C$2:$C$2639,60,Data_new!$P$2:$P$2639,TRUE)</f>
        <v/>
      </c>
      <c r="AA84" s="18">
        <f>_xlfn.MINIFS(Data_new!$H$2:$H$2639,Data_new!$A$2:$A$2639,3.2,Data_new!$B$2:$B$2639,VALUE(MID($V$84,2,FIND(",",$V$84)-2)),Data_new!$C$2:$C$2639,60,Data_new!$P$2:$P$2639,TRUE)</f>
        <v/>
      </c>
      <c r="AB84" s="18">
        <f>_xlfn.MAXIFS(Data_new!$H$2:$H$2639,Data_new!$A$2:$A$2639,3.2,Data_new!$B$2:$B$2639,VALUE(MID($V$84,2,FIND(",",$V$84)-2)),Data_new!$C$2:$C$2639,60,Data_new!$P$2:$P$2639,TRUE)</f>
        <v/>
      </c>
      <c r="AC84" s="18" t="inlineStr">
        <is>
          <t>nan</t>
        </is>
      </c>
      <c r="AD84" s="19" t="inlineStr">
        <is>
          <t>nan</t>
        </is>
      </c>
    </row>
    <row r="85">
      <c r="B85" s="20" t="n"/>
      <c r="D85" t="inlineStr">
        <is>
          <t>real_on_ms</t>
        </is>
      </c>
      <c r="E85" s="18">
        <f>_xlfn.MINIFS(Data_new!$D$2:$D$2639,Data_new!$A$2:$A$2639,3.2,Data_new!$B$2:$B$2639,VALUE(MID($B$84,2,FIND(",",$B$84)-2)),Data_new!$C$2:$C$2639,100,Data_new!$Q$2:$Q$2639,TRUE)</f>
        <v/>
      </c>
      <c r="F85" s="18">
        <f>_xlfn.MAXIFS(Data_new!$D$2:$D$2639,Data_new!$A$2:$A$2639,3.2,Data_new!$B$2:$B$2639,VALUE(MID($B$84,2,FIND(",",$B$84)-2)),Data_new!$C$2:$C$2639,100,Data_new!$Q$2:$Q$2639,TRUE)</f>
        <v/>
      </c>
      <c r="G85" s="18" t="inlineStr">
        <is>
          <t>nan</t>
        </is>
      </c>
      <c r="H85" s="18" t="inlineStr">
        <is>
          <t>nan</t>
        </is>
      </c>
      <c r="I85" s="18">
        <f>_xlfn.MINIFS(Data_new!$I$2:$I$2639,Data_new!$A$2:$A$2639,3.2,Data_new!$B$2:$B$2639,VALUE(MID($B$84,2,FIND(",",$B$84)-2)),Data_new!$C$2:$C$2639,100,Data_new!$Q$2:$Q$2639,TRUE)</f>
        <v/>
      </c>
      <c r="J85" s="19">
        <f>_xlfn.MAXIFS(Data_new!$I$2:$I$2639,Data_new!$A$2:$A$2639,3.2,Data_new!$B$2:$B$2639,VALUE(MID($B$84,2,FIND(",",$B$84)-2)),Data_new!$C$2:$C$2639,100,Data_new!$Q$2:$Q$2639,TRUE)</f>
        <v/>
      </c>
      <c r="L85" s="20" t="n"/>
      <c r="N85" t="inlineStr">
        <is>
          <t>real_on_ms</t>
        </is>
      </c>
      <c r="O85" s="18">
        <f>_xlfn.MINIFS(Data_new!$D$2:$D$2639,Data_new!$A$2:$A$2639,3.2,Data_new!$B$2:$B$2639,VALUE(MID($L$84,2,FIND(",",$L$84)-2)),Data_new!$C$2:$C$2639,80,Data_new!$Q$2:$Q$2639,TRUE)</f>
        <v/>
      </c>
      <c r="P85" s="18">
        <f>_xlfn.MAXIFS(Data_new!$D$2:$D$2639,Data_new!$A$2:$A$2639,3.2,Data_new!$B$2:$B$2639,VALUE(MID($L$84,2,FIND(",",$L$84)-2)),Data_new!$C$2:$C$2639,80,Data_new!$Q$2:$Q$2639,TRUE)</f>
        <v/>
      </c>
      <c r="Q85" s="18" t="inlineStr">
        <is>
          <t>nan</t>
        </is>
      </c>
      <c r="R85" s="18" t="inlineStr">
        <is>
          <t>nan</t>
        </is>
      </c>
      <c r="S85" s="18">
        <f>_xlfn.MINIFS(Data_new!$I$2:$I$2639,Data_new!$A$2:$A$2639,3.2,Data_new!$B$2:$B$2639,VALUE(MID($L$84,2,FIND(",",$L$84)-2)),Data_new!$C$2:$C$2639,80,Data_new!$Q$2:$Q$2639,TRUE)</f>
        <v/>
      </c>
      <c r="T85" s="19">
        <f>_xlfn.MAXIFS(Data_new!$I$2:$I$2639,Data_new!$A$2:$A$2639,3.2,Data_new!$B$2:$B$2639,VALUE(MID($L$84,2,FIND(",",$L$84)-2)),Data_new!$C$2:$C$2639,80,Data_new!$Q$2:$Q$2639,TRUE)</f>
        <v/>
      </c>
      <c r="V85" s="20" t="n"/>
      <c r="X85" t="inlineStr">
        <is>
          <t>real_on_ms</t>
        </is>
      </c>
      <c r="Y85" s="18">
        <f>_xlfn.MINIFS(Data_new!$D$2:$D$2639,Data_new!$A$2:$A$2639,3.2,Data_new!$B$2:$B$2639,VALUE(MID($V$84,2,FIND(",",$V$84)-2)),Data_new!$C$2:$C$2639,60,Data_new!$Q$2:$Q$2639,TRUE)</f>
        <v/>
      </c>
      <c r="Z85" s="18">
        <f>_xlfn.MAXIFS(Data_new!$D$2:$D$2639,Data_new!$A$2:$A$2639,3.2,Data_new!$B$2:$B$2639,VALUE(MID($V$84,2,FIND(",",$V$84)-2)),Data_new!$C$2:$C$2639,60,Data_new!$Q$2:$Q$2639,TRUE)</f>
        <v/>
      </c>
      <c r="AA85" s="18" t="inlineStr">
        <is>
          <t>nan</t>
        </is>
      </c>
      <c r="AB85" s="18" t="inlineStr">
        <is>
          <t>nan</t>
        </is>
      </c>
      <c r="AC85" s="18">
        <f>_xlfn.MINIFS(Data_new!$I$2:$I$2639,Data_new!$A$2:$A$2639,3.2,Data_new!$B$2:$B$2639,VALUE(MID($V$84,2,FIND(",",$V$84)-2)),Data_new!$C$2:$C$2639,60,Data_new!$Q$2:$Q$2639,TRUE)</f>
        <v/>
      </c>
      <c r="AD85" s="19">
        <f>_xlfn.MAXIFS(Data_new!$I$2:$I$2639,Data_new!$A$2:$A$2639,3.2,Data_new!$B$2:$B$2639,VALUE(MID($V$84,2,FIND(",",$V$84)-2)),Data_new!$C$2:$C$2639,60,Data_new!$Q$2:$Q$2639,TRUE)</f>
        <v/>
      </c>
    </row>
    <row r="86">
      <c r="B86" s="20" t="n"/>
      <c r="E86" s="18" t="n"/>
      <c r="F86" s="18" t="n"/>
      <c r="G86" s="18" t="n"/>
      <c r="H86" s="18" t="n"/>
      <c r="I86" s="18" t="n"/>
      <c r="J86" s="19" t="n"/>
      <c r="L86" s="20" t="n"/>
      <c r="O86" s="18" t="n"/>
      <c r="P86" s="18" t="n"/>
      <c r="Q86" s="18" t="n"/>
      <c r="R86" s="18" t="n"/>
      <c r="S86" s="18" t="n"/>
      <c r="T86" s="19" t="n"/>
      <c r="V86" s="20" t="n"/>
      <c r="Y86" s="18" t="n"/>
      <c r="Z86" s="18" t="n"/>
      <c r="AA86" s="18" t="n"/>
      <c r="AB86" s="18" t="n"/>
      <c r="AC86" s="18" t="n"/>
      <c r="AD86" s="19" t="n"/>
    </row>
    <row r="87">
      <c r="B87" s="21" t="inlineStr">
        <is>
          <t>%100, 3.2V, %100</t>
        </is>
      </c>
      <c r="D87" t="inlineStr">
        <is>
          <t>on_ms</t>
        </is>
      </c>
      <c r="E87" s="18">
        <f>_xlfn.MINIFS(Data_new!$D$2:$D$2639,Data_new!$A$2:$A$2639,3.2,Data_new!$B$2:$B$2639,VALUE(MID($B$87,2,FIND(",",$B$87)-2)),Data_new!$C$2:$C$2639,100,Data_new!$P$2:$P$2639,TRUE)</f>
        <v/>
      </c>
      <c r="F87" s="18">
        <f>_xlfn.MAXIFS(Data_new!$D$2:$D$2639,Data_new!$A$2:$A$2639,3.2,Data_new!$B$2:$B$2639,VALUE(MID($B$87,2,FIND(",",$B$87)-2)),Data_new!$C$2:$C$2639,100,Data_new!$P$2:$P$2639,TRUE)</f>
        <v/>
      </c>
      <c r="G87" s="18">
        <f>_xlfn.MINIFS(Data_new!$H$2:$H$2639,Data_new!$A$2:$A$2639,3.2,Data_new!$B$2:$B$2639,VALUE(MID($B$87,2,FIND(",",$B$87)-2)),Data_new!$C$2:$C$2639,100,Data_new!$P$2:$P$2639,TRUE)</f>
        <v/>
      </c>
      <c r="H87" s="18">
        <f>_xlfn.MAXIFS(Data_new!$H$2:$H$2639,Data_new!$A$2:$A$2639,3.2,Data_new!$B$2:$B$2639,VALUE(MID($B$87,2,FIND(",",$B$87)-2)),Data_new!$C$2:$C$2639,100,Data_new!$P$2:$P$2639,TRUE)</f>
        <v/>
      </c>
      <c r="I87" s="18" t="inlineStr">
        <is>
          <t>nan</t>
        </is>
      </c>
      <c r="J87" s="19" t="inlineStr">
        <is>
          <t>nan</t>
        </is>
      </c>
      <c r="L87" s="21" t="inlineStr">
        <is>
          <t>%100, 3.2V, %80</t>
        </is>
      </c>
      <c r="N87" t="inlineStr">
        <is>
          <t>on_ms</t>
        </is>
      </c>
      <c r="O87" s="18">
        <f>_xlfn.MINIFS(Data_new!$D$2:$D$2639,Data_new!$A$2:$A$2639,3.2,Data_new!$B$2:$B$2639,VALUE(MID($L$87,2,FIND(",",$L$87)-2)),Data_new!$C$2:$C$2639,80,Data_new!$P$2:$P$2639,TRUE)</f>
        <v/>
      </c>
      <c r="P87" s="18">
        <f>_xlfn.MAXIFS(Data_new!$D$2:$D$2639,Data_new!$A$2:$A$2639,3.2,Data_new!$B$2:$B$2639,VALUE(MID($L$87,2,FIND(",",$L$87)-2)),Data_new!$C$2:$C$2639,80,Data_new!$P$2:$P$2639,TRUE)</f>
        <v/>
      </c>
      <c r="Q87" s="18">
        <f>_xlfn.MINIFS(Data_new!$H$2:$H$2639,Data_new!$A$2:$A$2639,3.2,Data_new!$B$2:$B$2639,VALUE(MID($L$87,2,FIND(",",$L$87)-2)),Data_new!$C$2:$C$2639,80,Data_new!$P$2:$P$2639,TRUE)</f>
        <v/>
      </c>
      <c r="R87" s="18">
        <f>_xlfn.MAXIFS(Data_new!$H$2:$H$2639,Data_new!$A$2:$A$2639,3.2,Data_new!$B$2:$B$2639,VALUE(MID($L$87,2,FIND(",",$L$87)-2)),Data_new!$C$2:$C$2639,80,Data_new!$P$2:$P$2639,TRUE)</f>
        <v/>
      </c>
      <c r="S87" s="18" t="inlineStr">
        <is>
          <t>nan</t>
        </is>
      </c>
      <c r="T87" s="19" t="inlineStr">
        <is>
          <t>nan</t>
        </is>
      </c>
      <c r="V87" s="21" t="inlineStr">
        <is>
          <t>%100, 3.2V, %60</t>
        </is>
      </c>
      <c r="X87" t="inlineStr">
        <is>
          <t>on_ms</t>
        </is>
      </c>
      <c r="Y87" s="18">
        <f>_xlfn.MINIFS(Data_new!$D$2:$D$2639,Data_new!$A$2:$A$2639,3.2,Data_new!$B$2:$B$2639,VALUE(MID($V$87,2,FIND(",",$V$87)-2)),Data_new!$C$2:$C$2639,60,Data_new!$P$2:$P$2639,TRUE)</f>
        <v/>
      </c>
      <c r="Z87" s="18">
        <f>_xlfn.MAXIFS(Data_new!$D$2:$D$2639,Data_new!$A$2:$A$2639,3.2,Data_new!$B$2:$B$2639,VALUE(MID($V$87,2,FIND(",",$V$87)-2)),Data_new!$C$2:$C$2639,60,Data_new!$P$2:$P$2639,TRUE)</f>
        <v/>
      </c>
      <c r="AA87" s="18">
        <f>_xlfn.MINIFS(Data_new!$H$2:$H$2639,Data_new!$A$2:$A$2639,3.2,Data_new!$B$2:$B$2639,VALUE(MID($V$87,2,FIND(",",$V$87)-2)),Data_new!$C$2:$C$2639,60,Data_new!$P$2:$P$2639,TRUE)</f>
        <v/>
      </c>
      <c r="AB87" s="18">
        <f>_xlfn.MAXIFS(Data_new!$H$2:$H$2639,Data_new!$A$2:$A$2639,3.2,Data_new!$B$2:$B$2639,VALUE(MID($V$87,2,FIND(",",$V$87)-2)),Data_new!$C$2:$C$2639,60,Data_new!$P$2:$P$2639,TRUE)</f>
        <v/>
      </c>
      <c r="AC87" s="18" t="inlineStr">
        <is>
          <t>nan</t>
        </is>
      </c>
      <c r="AD87" s="19" t="inlineStr">
        <is>
          <t>nan</t>
        </is>
      </c>
    </row>
    <row r="88">
      <c r="B88" s="22" t="n"/>
      <c r="C88" s="11" t="n"/>
      <c r="D88" s="11" t="inlineStr">
        <is>
          <t>real_on_ms</t>
        </is>
      </c>
      <c r="E88" s="23">
        <f>_xlfn.MINIFS(Data_new!$D$2:$D$2639,Data_new!$A$2:$A$2639,3.2,Data_new!$B$2:$B$2639,VALUE(MID($B$87,2,FIND(",",$B$87)-2)),Data_new!$C$2:$C$2639,100,Data_new!$Q$2:$Q$2639,TRUE)</f>
        <v/>
      </c>
      <c r="F88" s="23">
        <f>_xlfn.MAXIFS(Data_new!$D$2:$D$2639,Data_new!$A$2:$A$2639,3.2,Data_new!$B$2:$B$2639,VALUE(MID($B$87,2,FIND(",",$B$87)-2)),Data_new!$C$2:$C$2639,100,Data_new!$Q$2:$Q$2639,TRUE)</f>
        <v/>
      </c>
      <c r="G88" s="23" t="inlineStr">
        <is>
          <t>nan</t>
        </is>
      </c>
      <c r="H88" s="23" t="inlineStr">
        <is>
          <t>nan</t>
        </is>
      </c>
      <c r="I88" s="23">
        <f>_xlfn.MINIFS(Data_new!$I$2:$I$2639,Data_new!$A$2:$A$2639,3.2,Data_new!$B$2:$B$2639,VALUE(MID($B$87,2,FIND(",",$B$87)-2)),Data_new!$C$2:$C$2639,100,Data_new!$Q$2:$Q$2639,TRUE)</f>
        <v/>
      </c>
      <c r="J88" s="24">
        <f>_xlfn.MAXIFS(Data_new!$I$2:$I$2639,Data_new!$A$2:$A$2639,3.2,Data_new!$B$2:$B$2639,VALUE(MID($B$87,2,FIND(",",$B$87)-2)),Data_new!$C$2:$C$2639,100,Data_new!$Q$2:$Q$2639,TRUE)</f>
        <v/>
      </c>
      <c r="L88" s="22" t="n"/>
      <c r="M88" s="11" t="n"/>
      <c r="N88" s="11" t="inlineStr">
        <is>
          <t>real_on_ms</t>
        </is>
      </c>
      <c r="O88" s="23">
        <f>_xlfn.MINIFS(Data_new!$D$2:$D$2639,Data_new!$A$2:$A$2639,3.2,Data_new!$B$2:$B$2639,VALUE(MID($L$87,2,FIND(",",$L$87)-2)),Data_new!$C$2:$C$2639,80,Data_new!$Q$2:$Q$2639,TRUE)</f>
        <v/>
      </c>
      <c r="P88" s="23">
        <f>_xlfn.MAXIFS(Data_new!$D$2:$D$2639,Data_new!$A$2:$A$2639,3.2,Data_new!$B$2:$B$2639,VALUE(MID($L$87,2,FIND(",",$L$87)-2)),Data_new!$C$2:$C$2639,80,Data_new!$Q$2:$Q$2639,TRUE)</f>
        <v/>
      </c>
      <c r="Q88" s="23" t="inlineStr">
        <is>
          <t>nan</t>
        </is>
      </c>
      <c r="R88" s="23" t="inlineStr">
        <is>
          <t>nan</t>
        </is>
      </c>
      <c r="S88" s="23">
        <f>_xlfn.MINIFS(Data_new!$I$2:$I$2639,Data_new!$A$2:$A$2639,3.2,Data_new!$B$2:$B$2639,VALUE(MID($L$87,2,FIND(",",$L$87)-2)),Data_new!$C$2:$C$2639,80,Data_new!$Q$2:$Q$2639,TRUE)</f>
        <v/>
      </c>
      <c r="T88" s="24">
        <f>_xlfn.MAXIFS(Data_new!$I$2:$I$2639,Data_new!$A$2:$A$2639,3.2,Data_new!$B$2:$B$2639,VALUE(MID($L$87,2,FIND(",",$L$87)-2)),Data_new!$C$2:$C$2639,80,Data_new!$Q$2:$Q$2639,TRUE)</f>
        <v/>
      </c>
      <c r="V88" s="22" t="n"/>
      <c r="W88" s="11" t="n"/>
      <c r="X88" s="11" t="inlineStr">
        <is>
          <t>real_on_ms</t>
        </is>
      </c>
      <c r="Y88" s="23">
        <f>_xlfn.MINIFS(Data_new!$D$2:$D$2639,Data_new!$A$2:$A$2639,3.2,Data_new!$B$2:$B$2639,VALUE(MID($V$87,2,FIND(",",$V$87)-2)),Data_new!$C$2:$C$2639,60,Data_new!$Q$2:$Q$2639,TRUE)</f>
        <v/>
      </c>
      <c r="Z88" s="23">
        <f>_xlfn.MAXIFS(Data_new!$D$2:$D$2639,Data_new!$A$2:$A$2639,3.2,Data_new!$B$2:$B$2639,VALUE(MID($V$87,2,FIND(",",$V$87)-2)),Data_new!$C$2:$C$2639,60,Data_new!$Q$2:$Q$2639,TRUE)</f>
        <v/>
      </c>
      <c r="AA88" s="23" t="inlineStr">
        <is>
          <t>nan</t>
        </is>
      </c>
      <c r="AB88" s="23" t="inlineStr">
        <is>
          <t>nan</t>
        </is>
      </c>
      <c r="AC88" s="23">
        <f>_xlfn.MINIFS(Data_new!$I$2:$I$2639,Data_new!$A$2:$A$2639,3.2,Data_new!$B$2:$B$2639,VALUE(MID($V$87,2,FIND(",",$V$87)-2)),Data_new!$C$2:$C$2639,60,Data_new!$Q$2:$Q$2639,TRUE)</f>
        <v/>
      </c>
      <c r="AD88" s="24">
        <f>_xlfn.MAXIFS(Data_new!$I$2:$I$2639,Data_new!$A$2:$A$2639,3.2,Data_new!$B$2:$B$2639,VALUE(MID($V$87,2,FIND(",",$V$87)-2)),Data_new!$C$2:$C$2639,60,Data_new!$Q$2:$Q$2639,TRUE)</f>
        <v/>
      </c>
    </row>
    <row r="94">
      <c r="B94" s="13" t="n"/>
      <c r="C94" s="14" t="n"/>
      <c r="D94" s="14" t="n"/>
      <c r="E94" s="15" t="inlineStr">
        <is>
          <t>min_kick_ms</t>
        </is>
      </c>
      <c r="F94" s="15" t="inlineStr">
        <is>
          <t>max_kick_ms</t>
        </is>
      </c>
      <c r="G94" s="15" t="inlineStr">
        <is>
          <t>min_on_ms</t>
        </is>
      </c>
      <c r="H94" s="15" t="inlineStr">
        <is>
          <t>max_on_ms</t>
        </is>
      </c>
      <c r="I94" s="15" t="inlineStr">
        <is>
          <t>min_real_on_ms</t>
        </is>
      </c>
      <c r="J94" s="16" t="inlineStr">
        <is>
          <t>max_real_on_ms</t>
        </is>
      </c>
      <c r="L94" s="13" t="n"/>
      <c r="M94" s="14" t="n"/>
      <c r="N94" s="14" t="n"/>
      <c r="O94" s="15" t="inlineStr">
        <is>
          <t>min_kick_ms</t>
        </is>
      </c>
      <c r="P94" s="15" t="inlineStr">
        <is>
          <t>max_kick_ms</t>
        </is>
      </c>
      <c r="Q94" s="15" t="inlineStr">
        <is>
          <t>min_on_ms</t>
        </is>
      </c>
      <c r="R94" s="15" t="inlineStr">
        <is>
          <t>max_on_ms</t>
        </is>
      </c>
      <c r="S94" s="15" t="inlineStr">
        <is>
          <t>min_real_on_ms</t>
        </is>
      </c>
      <c r="T94" s="16" t="inlineStr">
        <is>
          <t>max_real_on_ms</t>
        </is>
      </c>
      <c r="V94" s="13" t="n"/>
      <c r="W94" s="14" t="n"/>
      <c r="X94" s="14" t="n"/>
      <c r="Y94" s="15" t="inlineStr">
        <is>
          <t>min_kick_ms</t>
        </is>
      </c>
      <c r="Z94" s="15" t="inlineStr">
        <is>
          <t>max_kick_ms</t>
        </is>
      </c>
      <c r="AA94" s="15" t="inlineStr">
        <is>
          <t>min_on_ms</t>
        </is>
      </c>
      <c r="AB94" s="15" t="inlineStr">
        <is>
          <t>max_on_ms</t>
        </is>
      </c>
      <c r="AC94" s="15" t="inlineStr">
        <is>
          <t>min_real_on_ms</t>
        </is>
      </c>
      <c r="AD94" s="16" t="inlineStr">
        <is>
          <t>max_real_on_ms</t>
        </is>
      </c>
    </row>
    <row r="95">
      <c r="B95" s="17" t="inlineStr">
        <is>
          <t>%6, 3V, %100</t>
        </is>
      </c>
      <c r="D95" t="inlineStr">
        <is>
          <t>on_ms</t>
        </is>
      </c>
      <c r="E95" s="18">
        <f>_xlfn.MINIFS(Data_new!$D$2:$D$2639,Data_new!$A$2:$A$2639,3,Data_new!$B$2:$B$2639,VALUE(MID($B$95,2,FIND(",",$B$95)-2)),Data_new!$C$2:$C$2639,100,Data_new!$P$2:$P$2639,TRUE)</f>
        <v/>
      </c>
      <c r="F95" s="18">
        <f>_xlfn.MAXIFS(Data_new!$D$2:$D$2639,Data_new!$A$2:$A$2639,3,Data_new!$B$2:$B$2639,VALUE(MID($B$95,2,FIND(",",$B$95)-2)),Data_new!$C$2:$C$2639,100,Data_new!$P$2:$P$2639,TRUE)</f>
        <v/>
      </c>
      <c r="G95" s="18">
        <f>_xlfn.MINIFS(Data_new!$H$2:$H$2639,Data_new!$A$2:$A$2639,3,Data_new!$B$2:$B$2639,VALUE(MID($B$95,2,FIND(",",$B$95)-2)),Data_new!$C$2:$C$2639,100,Data_new!$P$2:$P$2639,TRUE)</f>
        <v/>
      </c>
      <c r="H95" s="18">
        <f>_xlfn.MAXIFS(Data_new!$H$2:$H$2639,Data_new!$A$2:$A$2639,3,Data_new!$B$2:$B$2639,VALUE(MID($B$95,2,FIND(",",$B$95)-2)),Data_new!$C$2:$C$2639,100,Data_new!$P$2:$P$2639,TRUE)</f>
        <v/>
      </c>
      <c r="I95" s="18" t="inlineStr">
        <is>
          <t>nan</t>
        </is>
      </c>
      <c r="J95" s="19" t="inlineStr">
        <is>
          <t>nan</t>
        </is>
      </c>
      <c r="L95" s="17" t="inlineStr">
        <is>
          <t>%6, 3V, %80</t>
        </is>
      </c>
      <c r="N95" t="inlineStr">
        <is>
          <t>on_ms</t>
        </is>
      </c>
      <c r="O95" s="18">
        <f>_xlfn.MINIFS(Data_new!$D$2:$D$2639,Data_new!$A$2:$A$2639,3,Data_new!$B$2:$B$2639,VALUE(MID($L$95,2,FIND(",",$L$95)-2)),Data_new!$C$2:$C$2639,80,Data_new!$P$2:$P$2639,TRUE)</f>
        <v/>
      </c>
      <c r="P95" s="18">
        <f>_xlfn.MAXIFS(Data_new!$D$2:$D$2639,Data_new!$A$2:$A$2639,3,Data_new!$B$2:$B$2639,VALUE(MID($L$95,2,FIND(",",$L$95)-2)),Data_new!$C$2:$C$2639,80,Data_new!$P$2:$P$2639,TRUE)</f>
        <v/>
      </c>
      <c r="Q95" s="18">
        <f>_xlfn.MINIFS(Data_new!$H$2:$H$2639,Data_new!$A$2:$A$2639,3,Data_new!$B$2:$B$2639,VALUE(MID($L$95,2,FIND(",",$L$95)-2)),Data_new!$C$2:$C$2639,80,Data_new!$P$2:$P$2639,TRUE)</f>
        <v/>
      </c>
      <c r="R95" s="18">
        <f>_xlfn.MAXIFS(Data_new!$H$2:$H$2639,Data_new!$A$2:$A$2639,3,Data_new!$B$2:$B$2639,VALUE(MID($L$95,2,FIND(",",$L$95)-2)),Data_new!$C$2:$C$2639,80,Data_new!$P$2:$P$2639,TRUE)</f>
        <v/>
      </c>
      <c r="S95" s="18" t="inlineStr">
        <is>
          <t>nan</t>
        </is>
      </c>
      <c r="T95" s="19" t="inlineStr">
        <is>
          <t>nan</t>
        </is>
      </c>
      <c r="V95" s="17" t="inlineStr">
        <is>
          <t>%6, 3V, %60</t>
        </is>
      </c>
      <c r="X95" t="inlineStr">
        <is>
          <t>on_ms</t>
        </is>
      </c>
      <c r="Y95" s="18">
        <f>_xlfn.MINIFS(Data_new!$D$2:$D$2639,Data_new!$A$2:$A$2639,3,Data_new!$B$2:$B$2639,VALUE(MID($V$95,2,FIND(",",$V$95)-2)),Data_new!$C$2:$C$2639,60,Data_new!$P$2:$P$2639,TRUE)</f>
        <v/>
      </c>
      <c r="Z95" s="18">
        <f>_xlfn.MAXIFS(Data_new!$D$2:$D$2639,Data_new!$A$2:$A$2639,3,Data_new!$B$2:$B$2639,VALUE(MID($V$95,2,FIND(",",$V$95)-2)),Data_new!$C$2:$C$2639,60,Data_new!$P$2:$P$2639,TRUE)</f>
        <v/>
      </c>
      <c r="AA95" s="18">
        <f>_xlfn.MINIFS(Data_new!$H$2:$H$2639,Data_new!$A$2:$A$2639,3,Data_new!$B$2:$B$2639,VALUE(MID($V$95,2,FIND(",",$V$95)-2)),Data_new!$C$2:$C$2639,60,Data_new!$P$2:$P$2639,TRUE)</f>
        <v/>
      </c>
      <c r="AB95" s="18">
        <f>_xlfn.MAXIFS(Data_new!$H$2:$H$2639,Data_new!$A$2:$A$2639,3,Data_new!$B$2:$B$2639,VALUE(MID($V$95,2,FIND(",",$V$95)-2)),Data_new!$C$2:$C$2639,60,Data_new!$P$2:$P$2639,TRUE)</f>
        <v/>
      </c>
      <c r="AC95" s="18" t="inlineStr">
        <is>
          <t>nan</t>
        </is>
      </c>
      <c r="AD95" s="19" t="inlineStr">
        <is>
          <t>nan</t>
        </is>
      </c>
    </row>
    <row r="96">
      <c r="B96" s="20" t="n"/>
      <c r="D96" t="inlineStr">
        <is>
          <t>real_on_ms</t>
        </is>
      </c>
      <c r="E96" s="18">
        <f>_xlfn.MINIFS(Data_new!$D$2:$D$2639,Data_new!$A$2:$A$2639,3,Data_new!$B$2:$B$2639,VALUE(MID($B$95,2,FIND(",",$B$95)-2)),Data_new!$C$2:$C$2639,100,Data_new!$Q$2:$Q$2639,TRUE)</f>
        <v/>
      </c>
      <c r="F96" s="18">
        <f>_xlfn.MAXIFS(Data_new!$D$2:$D$2639,Data_new!$A$2:$A$2639,3,Data_new!$B$2:$B$2639,VALUE(MID($B$95,2,FIND(",",$B$95)-2)),Data_new!$C$2:$C$2639,100,Data_new!$Q$2:$Q$2639,TRUE)</f>
        <v/>
      </c>
      <c r="G96" s="18" t="inlineStr">
        <is>
          <t>nan</t>
        </is>
      </c>
      <c r="H96" s="18" t="inlineStr">
        <is>
          <t>nan</t>
        </is>
      </c>
      <c r="I96" s="18">
        <f>_xlfn.MINIFS(Data_new!$I$2:$I$2639,Data_new!$A$2:$A$2639,3,Data_new!$B$2:$B$2639,VALUE(MID($B$95,2,FIND(",",$B$95)-2)),Data_new!$C$2:$C$2639,100,Data_new!$Q$2:$Q$2639,TRUE)</f>
        <v/>
      </c>
      <c r="J96" s="19">
        <f>_xlfn.MAXIFS(Data_new!$I$2:$I$2639,Data_new!$A$2:$A$2639,3,Data_new!$B$2:$B$2639,VALUE(MID($B$95,2,FIND(",",$B$95)-2)),Data_new!$C$2:$C$2639,100,Data_new!$Q$2:$Q$2639,TRUE)</f>
        <v/>
      </c>
      <c r="L96" s="20" t="n"/>
      <c r="N96" t="inlineStr">
        <is>
          <t>real_on_ms</t>
        </is>
      </c>
      <c r="O96" s="18">
        <f>_xlfn.MINIFS(Data_new!$D$2:$D$2639,Data_new!$A$2:$A$2639,3,Data_new!$B$2:$B$2639,VALUE(MID($L$95,2,FIND(",",$L$95)-2)),Data_new!$C$2:$C$2639,80,Data_new!$Q$2:$Q$2639,TRUE)</f>
        <v/>
      </c>
      <c r="P96" s="18">
        <f>_xlfn.MAXIFS(Data_new!$D$2:$D$2639,Data_new!$A$2:$A$2639,3,Data_new!$B$2:$B$2639,VALUE(MID($L$95,2,FIND(",",$L$95)-2)),Data_new!$C$2:$C$2639,80,Data_new!$Q$2:$Q$2639,TRUE)</f>
        <v/>
      </c>
      <c r="Q96" s="18" t="inlineStr">
        <is>
          <t>nan</t>
        </is>
      </c>
      <c r="R96" s="18" t="inlineStr">
        <is>
          <t>nan</t>
        </is>
      </c>
      <c r="S96" s="18">
        <f>_xlfn.MINIFS(Data_new!$I$2:$I$2639,Data_new!$A$2:$A$2639,3,Data_new!$B$2:$B$2639,VALUE(MID($L$95,2,FIND(",",$L$95)-2)),Data_new!$C$2:$C$2639,80,Data_new!$Q$2:$Q$2639,TRUE)</f>
        <v/>
      </c>
      <c r="T96" s="19">
        <f>_xlfn.MAXIFS(Data_new!$I$2:$I$2639,Data_new!$A$2:$A$2639,3,Data_new!$B$2:$B$2639,VALUE(MID($L$95,2,FIND(",",$L$95)-2)),Data_new!$C$2:$C$2639,80,Data_new!$Q$2:$Q$2639,TRUE)</f>
        <v/>
      </c>
      <c r="V96" s="20" t="n"/>
      <c r="X96" t="inlineStr">
        <is>
          <t>real_on_ms</t>
        </is>
      </c>
      <c r="Y96" s="18">
        <f>_xlfn.MINIFS(Data_new!$D$2:$D$2639,Data_new!$A$2:$A$2639,3,Data_new!$B$2:$B$2639,VALUE(MID($V$95,2,FIND(",",$V$95)-2)),Data_new!$C$2:$C$2639,60,Data_new!$Q$2:$Q$2639,TRUE)</f>
        <v/>
      </c>
      <c r="Z96" s="18">
        <f>_xlfn.MAXIFS(Data_new!$D$2:$D$2639,Data_new!$A$2:$A$2639,3,Data_new!$B$2:$B$2639,VALUE(MID($V$95,2,FIND(",",$V$95)-2)),Data_new!$C$2:$C$2639,60,Data_new!$Q$2:$Q$2639,TRUE)</f>
        <v/>
      </c>
      <c r="AA96" s="18" t="inlineStr">
        <is>
          <t>nan</t>
        </is>
      </c>
      <c r="AB96" s="18" t="inlineStr">
        <is>
          <t>nan</t>
        </is>
      </c>
      <c r="AC96" s="18">
        <f>_xlfn.MINIFS(Data_new!$I$2:$I$2639,Data_new!$A$2:$A$2639,3,Data_new!$B$2:$B$2639,VALUE(MID($V$95,2,FIND(",",$V$95)-2)),Data_new!$C$2:$C$2639,60,Data_new!$Q$2:$Q$2639,TRUE)</f>
        <v/>
      </c>
      <c r="AD96" s="19">
        <f>_xlfn.MAXIFS(Data_new!$I$2:$I$2639,Data_new!$A$2:$A$2639,3,Data_new!$B$2:$B$2639,VALUE(MID($V$95,2,FIND(",",$V$95)-2)),Data_new!$C$2:$C$2639,60,Data_new!$Q$2:$Q$2639,TRUE)</f>
        <v/>
      </c>
    </row>
    <row r="97">
      <c r="B97" s="20" t="n"/>
      <c r="E97" s="18" t="n"/>
      <c r="F97" s="18" t="n"/>
      <c r="G97" s="18" t="n"/>
      <c r="H97" s="18" t="n"/>
      <c r="I97" s="18" t="n"/>
      <c r="J97" s="19" t="n"/>
      <c r="L97" s="20" t="n"/>
      <c r="O97" s="18" t="n"/>
      <c r="P97" s="18" t="n"/>
      <c r="Q97" s="18" t="n"/>
      <c r="R97" s="18" t="n"/>
      <c r="S97" s="18" t="n"/>
      <c r="T97" s="19" t="n"/>
      <c r="V97" s="20" t="n"/>
      <c r="Y97" s="18" t="n"/>
      <c r="Z97" s="18" t="n"/>
      <c r="AA97" s="18" t="n"/>
      <c r="AB97" s="18" t="n"/>
      <c r="AC97" s="18" t="n"/>
      <c r="AD97" s="19" t="n"/>
    </row>
    <row r="98">
      <c r="B98" s="17" t="inlineStr">
        <is>
          <t>%7, 3V, %100</t>
        </is>
      </c>
      <c r="D98" t="inlineStr">
        <is>
          <t>on_ms</t>
        </is>
      </c>
      <c r="E98" s="18">
        <f>_xlfn.MINIFS(Data_new!$D$2:$D$2639,Data_new!$A$2:$A$2639,3,Data_new!$B$2:$B$2639,VALUE(MID($B$98,2,FIND(",",$B$98)-2)),Data_new!$C$2:$C$2639,100,Data_new!$P$2:$P$2639,TRUE)</f>
        <v/>
      </c>
      <c r="F98" s="18">
        <f>_xlfn.MAXIFS(Data_new!$D$2:$D$2639,Data_new!$A$2:$A$2639,3,Data_new!$B$2:$B$2639,VALUE(MID($B$98,2,FIND(",",$B$98)-2)),Data_new!$C$2:$C$2639,100,Data_new!$P$2:$P$2639,TRUE)</f>
        <v/>
      </c>
      <c r="G98" s="18">
        <f>_xlfn.MINIFS(Data_new!$H$2:$H$2639,Data_new!$A$2:$A$2639,3,Data_new!$B$2:$B$2639,VALUE(MID($B$98,2,FIND(",",$B$98)-2)),Data_new!$C$2:$C$2639,100,Data_new!$P$2:$P$2639,TRUE)</f>
        <v/>
      </c>
      <c r="H98" s="18">
        <f>_xlfn.MAXIFS(Data_new!$H$2:$H$2639,Data_new!$A$2:$A$2639,3,Data_new!$B$2:$B$2639,VALUE(MID($B$98,2,FIND(",",$B$98)-2)),Data_new!$C$2:$C$2639,100,Data_new!$P$2:$P$2639,TRUE)</f>
        <v/>
      </c>
      <c r="I98" s="18" t="inlineStr">
        <is>
          <t>nan</t>
        </is>
      </c>
      <c r="J98" s="19" t="inlineStr">
        <is>
          <t>nan</t>
        </is>
      </c>
      <c r="L98" s="17" t="inlineStr">
        <is>
          <t>%7, 3V, %80</t>
        </is>
      </c>
      <c r="N98" t="inlineStr">
        <is>
          <t>on_ms</t>
        </is>
      </c>
      <c r="O98" s="18">
        <f>_xlfn.MINIFS(Data_new!$D$2:$D$2639,Data_new!$A$2:$A$2639,3,Data_new!$B$2:$B$2639,VALUE(MID($L$98,2,FIND(",",$L$98)-2)),Data_new!$C$2:$C$2639,80,Data_new!$P$2:$P$2639,TRUE)</f>
        <v/>
      </c>
      <c r="P98" s="18">
        <f>_xlfn.MAXIFS(Data_new!$D$2:$D$2639,Data_new!$A$2:$A$2639,3,Data_new!$B$2:$B$2639,VALUE(MID($L$98,2,FIND(",",$L$98)-2)),Data_new!$C$2:$C$2639,80,Data_new!$P$2:$P$2639,TRUE)</f>
        <v/>
      </c>
      <c r="Q98" s="18">
        <f>_xlfn.MINIFS(Data_new!$H$2:$H$2639,Data_new!$A$2:$A$2639,3,Data_new!$B$2:$B$2639,VALUE(MID($L$98,2,FIND(",",$L$98)-2)),Data_new!$C$2:$C$2639,80,Data_new!$P$2:$P$2639,TRUE)</f>
        <v/>
      </c>
      <c r="R98" s="18">
        <f>_xlfn.MAXIFS(Data_new!$H$2:$H$2639,Data_new!$A$2:$A$2639,3,Data_new!$B$2:$B$2639,VALUE(MID($L$98,2,FIND(",",$L$98)-2)),Data_new!$C$2:$C$2639,80,Data_new!$P$2:$P$2639,TRUE)</f>
        <v/>
      </c>
      <c r="S98" s="18" t="inlineStr">
        <is>
          <t>nan</t>
        </is>
      </c>
      <c r="T98" s="19" t="inlineStr">
        <is>
          <t>nan</t>
        </is>
      </c>
      <c r="V98" s="17" t="inlineStr">
        <is>
          <t>%7, 3V, %60</t>
        </is>
      </c>
      <c r="X98" t="inlineStr">
        <is>
          <t>on_ms</t>
        </is>
      </c>
      <c r="Y98" s="18">
        <f>_xlfn.MINIFS(Data_new!$D$2:$D$2639,Data_new!$A$2:$A$2639,3,Data_new!$B$2:$B$2639,VALUE(MID($V$98,2,FIND(",",$V$98)-2)),Data_new!$C$2:$C$2639,60,Data_new!$P$2:$P$2639,TRUE)</f>
        <v/>
      </c>
      <c r="Z98" s="18">
        <f>_xlfn.MAXIFS(Data_new!$D$2:$D$2639,Data_new!$A$2:$A$2639,3,Data_new!$B$2:$B$2639,VALUE(MID($V$98,2,FIND(",",$V$98)-2)),Data_new!$C$2:$C$2639,60,Data_new!$P$2:$P$2639,TRUE)</f>
        <v/>
      </c>
      <c r="AA98" s="18">
        <f>_xlfn.MINIFS(Data_new!$H$2:$H$2639,Data_new!$A$2:$A$2639,3,Data_new!$B$2:$B$2639,VALUE(MID($V$98,2,FIND(",",$V$98)-2)),Data_new!$C$2:$C$2639,60,Data_new!$P$2:$P$2639,TRUE)</f>
        <v/>
      </c>
      <c r="AB98" s="18">
        <f>_xlfn.MAXIFS(Data_new!$H$2:$H$2639,Data_new!$A$2:$A$2639,3,Data_new!$B$2:$B$2639,VALUE(MID($V$98,2,FIND(",",$V$98)-2)),Data_new!$C$2:$C$2639,60,Data_new!$P$2:$P$2639,TRUE)</f>
        <v/>
      </c>
      <c r="AC98" s="18" t="inlineStr">
        <is>
          <t>nan</t>
        </is>
      </c>
      <c r="AD98" s="19" t="inlineStr">
        <is>
          <t>nan</t>
        </is>
      </c>
    </row>
    <row r="99">
      <c r="B99" s="20" t="n"/>
      <c r="D99" t="inlineStr">
        <is>
          <t>real_on_ms</t>
        </is>
      </c>
      <c r="E99" s="18">
        <f>_xlfn.MINIFS(Data_new!$D$2:$D$2639,Data_new!$A$2:$A$2639,3,Data_new!$B$2:$B$2639,VALUE(MID($B$98,2,FIND(",",$B$98)-2)),Data_new!$C$2:$C$2639,100,Data_new!$Q$2:$Q$2639,TRUE)</f>
        <v/>
      </c>
      <c r="F99" s="18">
        <f>_xlfn.MAXIFS(Data_new!$D$2:$D$2639,Data_new!$A$2:$A$2639,3,Data_new!$B$2:$B$2639,VALUE(MID($B$98,2,FIND(",",$B$98)-2)),Data_new!$C$2:$C$2639,100,Data_new!$Q$2:$Q$2639,TRUE)</f>
        <v/>
      </c>
      <c r="G99" s="18" t="inlineStr">
        <is>
          <t>nan</t>
        </is>
      </c>
      <c r="H99" s="18" t="inlineStr">
        <is>
          <t>nan</t>
        </is>
      </c>
      <c r="I99" s="18">
        <f>_xlfn.MINIFS(Data_new!$I$2:$I$2639,Data_new!$A$2:$A$2639,3,Data_new!$B$2:$B$2639,VALUE(MID($B$98,2,FIND(",",$B$98)-2)),Data_new!$C$2:$C$2639,100,Data_new!$Q$2:$Q$2639,TRUE)</f>
        <v/>
      </c>
      <c r="J99" s="19">
        <f>_xlfn.MAXIFS(Data_new!$I$2:$I$2639,Data_new!$A$2:$A$2639,3,Data_new!$B$2:$B$2639,VALUE(MID($B$98,2,FIND(",",$B$98)-2)),Data_new!$C$2:$C$2639,100,Data_new!$Q$2:$Q$2639,TRUE)</f>
        <v/>
      </c>
      <c r="L99" s="20" t="n"/>
      <c r="N99" t="inlineStr">
        <is>
          <t>real_on_ms</t>
        </is>
      </c>
      <c r="O99" s="18">
        <f>_xlfn.MINIFS(Data_new!$D$2:$D$2639,Data_new!$A$2:$A$2639,3,Data_new!$B$2:$B$2639,VALUE(MID($L$98,2,FIND(",",$L$98)-2)),Data_new!$C$2:$C$2639,80,Data_new!$Q$2:$Q$2639,TRUE)</f>
        <v/>
      </c>
      <c r="P99" s="18">
        <f>_xlfn.MAXIFS(Data_new!$D$2:$D$2639,Data_new!$A$2:$A$2639,3,Data_new!$B$2:$B$2639,VALUE(MID($L$98,2,FIND(",",$L$98)-2)),Data_new!$C$2:$C$2639,80,Data_new!$Q$2:$Q$2639,TRUE)</f>
        <v/>
      </c>
      <c r="Q99" s="18" t="inlineStr">
        <is>
          <t>nan</t>
        </is>
      </c>
      <c r="R99" s="18" t="inlineStr">
        <is>
          <t>nan</t>
        </is>
      </c>
      <c r="S99" s="18">
        <f>_xlfn.MINIFS(Data_new!$I$2:$I$2639,Data_new!$A$2:$A$2639,3,Data_new!$B$2:$B$2639,VALUE(MID($L$98,2,FIND(",",$L$98)-2)),Data_new!$C$2:$C$2639,80,Data_new!$Q$2:$Q$2639,TRUE)</f>
        <v/>
      </c>
      <c r="T99" s="19">
        <f>_xlfn.MAXIFS(Data_new!$I$2:$I$2639,Data_new!$A$2:$A$2639,3,Data_new!$B$2:$B$2639,VALUE(MID($L$98,2,FIND(",",$L$98)-2)),Data_new!$C$2:$C$2639,80,Data_new!$Q$2:$Q$2639,TRUE)</f>
        <v/>
      </c>
      <c r="V99" s="20" t="n"/>
      <c r="X99" t="inlineStr">
        <is>
          <t>real_on_ms</t>
        </is>
      </c>
      <c r="Y99" s="18">
        <f>_xlfn.MINIFS(Data_new!$D$2:$D$2639,Data_new!$A$2:$A$2639,3,Data_new!$B$2:$B$2639,VALUE(MID($V$98,2,FIND(",",$V$98)-2)),Data_new!$C$2:$C$2639,60,Data_new!$Q$2:$Q$2639,TRUE)</f>
        <v/>
      </c>
      <c r="Z99" s="18">
        <f>_xlfn.MAXIFS(Data_new!$D$2:$D$2639,Data_new!$A$2:$A$2639,3,Data_new!$B$2:$B$2639,VALUE(MID($V$98,2,FIND(",",$V$98)-2)),Data_new!$C$2:$C$2639,60,Data_new!$Q$2:$Q$2639,TRUE)</f>
        <v/>
      </c>
      <c r="AA99" s="18" t="inlineStr">
        <is>
          <t>nan</t>
        </is>
      </c>
      <c r="AB99" s="18" t="inlineStr">
        <is>
          <t>nan</t>
        </is>
      </c>
      <c r="AC99" s="18">
        <f>_xlfn.MINIFS(Data_new!$I$2:$I$2639,Data_new!$A$2:$A$2639,3,Data_new!$B$2:$B$2639,VALUE(MID($V$98,2,FIND(",",$V$98)-2)),Data_new!$C$2:$C$2639,60,Data_new!$Q$2:$Q$2639,TRUE)</f>
        <v/>
      </c>
      <c r="AD99" s="19">
        <f>_xlfn.MAXIFS(Data_new!$I$2:$I$2639,Data_new!$A$2:$A$2639,3,Data_new!$B$2:$B$2639,VALUE(MID($V$98,2,FIND(",",$V$98)-2)),Data_new!$C$2:$C$2639,60,Data_new!$Q$2:$Q$2639,TRUE)</f>
        <v/>
      </c>
    </row>
    <row r="100">
      <c r="B100" s="20" t="n"/>
      <c r="E100" s="18" t="n"/>
      <c r="F100" s="18" t="n"/>
      <c r="G100" s="18" t="n"/>
      <c r="H100" s="18" t="n"/>
      <c r="I100" s="18" t="n"/>
      <c r="J100" s="19" t="n"/>
      <c r="L100" s="20" t="n"/>
      <c r="O100" s="18" t="n"/>
      <c r="P100" s="18" t="n"/>
      <c r="Q100" s="18" t="n"/>
      <c r="R100" s="18" t="n"/>
      <c r="S100" s="18" t="n"/>
      <c r="T100" s="19" t="n"/>
      <c r="V100" s="20" t="n"/>
      <c r="Y100" s="18" t="n"/>
      <c r="Z100" s="18" t="n"/>
      <c r="AA100" s="18" t="n"/>
      <c r="AB100" s="18" t="n"/>
      <c r="AC100" s="18" t="n"/>
      <c r="AD100" s="19" t="n"/>
    </row>
    <row r="101">
      <c r="B101" s="17" t="inlineStr">
        <is>
          <t>%8, 3V, %100</t>
        </is>
      </c>
      <c r="D101" t="inlineStr">
        <is>
          <t>on_ms</t>
        </is>
      </c>
      <c r="E101" s="18">
        <f>_xlfn.MINIFS(Data_new!$D$2:$D$2639,Data_new!$A$2:$A$2639,3,Data_new!$B$2:$B$2639,VALUE(MID($B$101,2,FIND(",",$B$101)-2)),Data_new!$C$2:$C$2639,100,Data_new!$P$2:$P$2639,TRUE)</f>
        <v/>
      </c>
      <c r="F101" s="18">
        <f>_xlfn.MAXIFS(Data_new!$D$2:$D$2639,Data_new!$A$2:$A$2639,3,Data_new!$B$2:$B$2639,VALUE(MID($B$101,2,FIND(",",$B$101)-2)),Data_new!$C$2:$C$2639,100,Data_new!$P$2:$P$2639,TRUE)</f>
        <v/>
      </c>
      <c r="G101" s="18">
        <f>_xlfn.MINIFS(Data_new!$H$2:$H$2639,Data_new!$A$2:$A$2639,3,Data_new!$B$2:$B$2639,VALUE(MID($B$101,2,FIND(",",$B$101)-2)),Data_new!$C$2:$C$2639,100,Data_new!$P$2:$P$2639,TRUE)</f>
        <v/>
      </c>
      <c r="H101" s="18">
        <f>_xlfn.MAXIFS(Data_new!$H$2:$H$2639,Data_new!$A$2:$A$2639,3,Data_new!$B$2:$B$2639,VALUE(MID($B$101,2,FIND(",",$B$101)-2)),Data_new!$C$2:$C$2639,100,Data_new!$P$2:$P$2639,TRUE)</f>
        <v/>
      </c>
      <c r="I101" s="18" t="inlineStr">
        <is>
          <t>nan</t>
        </is>
      </c>
      <c r="J101" s="19" t="inlineStr">
        <is>
          <t>nan</t>
        </is>
      </c>
      <c r="L101" s="17" t="inlineStr">
        <is>
          <t>%8, 3V, %80</t>
        </is>
      </c>
      <c r="N101" t="inlineStr">
        <is>
          <t>on_ms</t>
        </is>
      </c>
      <c r="O101" s="18">
        <f>_xlfn.MINIFS(Data_new!$D$2:$D$2639,Data_new!$A$2:$A$2639,3,Data_new!$B$2:$B$2639,VALUE(MID($L$101,2,FIND(",",$L$101)-2)),Data_new!$C$2:$C$2639,80,Data_new!$P$2:$P$2639,TRUE)</f>
        <v/>
      </c>
      <c r="P101" s="18">
        <f>_xlfn.MAXIFS(Data_new!$D$2:$D$2639,Data_new!$A$2:$A$2639,3,Data_new!$B$2:$B$2639,VALUE(MID($L$101,2,FIND(",",$L$101)-2)),Data_new!$C$2:$C$2639,80,Data_new!$P$2:$P$2639,TRUE)</f>
        <v/>
      </c>
      <c r="Q101" s="18">
        <f>_xlfn.MINIFS(Data_new!$H$2:$H$2639,Data_new!$A$2:$A$2639,3,Data_new!$B$2:$B$2639,VALUE(MID($L$101,2,FIND(",",$L$101)-2)),Data_new!$C$2:$C$2639,80,Data_new!$P$2:$P$2639,TRUE)</f>
        <v/>
      </c>
      <c r="R101" s="18">
        <f>_xlfn.MAXIFS(Data_new!$H$2:$H$2639,Data_new!$A$2:$A$2639,3,Data_new!$B$2:$B$2639,VALUE(MID($L$101,2,FIND(",",$L$101)-2)),Data_new!$C$2:$C$2639,80,Data_new!$P$2:$P$2639,TRUE)</f>
        <v/>
      </c>
      <c r="S101" s="18" t="inlineStr">
        <is>
          <t>nan</t>
        </is>
      </c>
      <c r="T101" s="19" t="inlineStr">
        <is>
          <t>nan</t>
        </is>
      </c>
      <c r="V101" s="17" t="inlineStr">
        <is>
          <t>%8, 3V, %60</t>
        </is>
      </c>
      <c r="X101" t="inlineStr">
        <is>
          <t>on_ms</t>
        </is>
      </c>
      <c r="Y101" s="18">
        <f>_xlfn.MINIFS(Data_new!$D$2:$D$2639,Data_new!$A$2:$A$2639,3,Data_new!$B$2:$B$2639,VALUE(MID($V$101,2,FIND(",",$V$101)-2)),Data_new!$C$2:$C$2639,60,Data_new!$P$2:$P$2639,TRUE)</f>
        <v/>
      </c>
      <c r="Z101" s="18">
        <f>_xlfn.MAXIFS(Data_new!$D$2:$D$2639,Data_new!$A$2:$A$2639,3,Data_new!$B$2:$B$2639,VALUE(MID($V$101,2,FIND(",",$V$101)-2)),Data_new!$C$2:$C$2639,60,Data_new!$P$2:$P$2639,TRUE)</f>
        <v/>
      </c>
      <c r="AA101" s="18">
        <f>_xlfn.MINIFS(Data_new!$H$2:$H$2639,Data_new!$A$2:$A$2639,3,Data_new!$B$2:$B$2639,VALUE(MID($V$101,2,FIND(",",$V$101)-2)),Data_new!$C$2:$C$2639,60,Data_new!$P$2:$P$2639,TRUE)</f>
        <v/>
      </c>
      <c r="AB101" s="18">
        <f>_xlfn.MAXIFS(Data_new!$H$2:$H$2639,Data_new!$A$2:$A$2639,3,Data_new!$B$2:$B$2639,VALUE(MID($V$101,2,FIND(",",$V$101)-2)),Data_new!$C$2:$C$2639,60,Data_new!$P$2:$P$2639,TRUE)</f>
        <v/>
      </c>
      <c r="AC101" s="18" t="inlineStr">
        <is>
          <t>nan</t>
        </is>
      </c>
      <c r="AD101" s="19" t="inlineStr">
        <is>
          <t>nan</t>
        </is>
      </c>
    </row>
    <row r="102">
      <c r="B102" s="20" t="n"/>
      <c r="D102" t="inlineStr">
        <is>
          <t>real_on_ms</t>
        </is>
      </c>
      <c r="E102" s="18">
        <f>_xlfn.MINIFS(Data_new!$D$2:$D$2639,Data_new!$A$2:$A$2639,3,Data_new!$B$2:$B$2639,VALUE(MID($B$101,2,FIND(",",$B$101)-2)),Data_new!$C$2:$C$2639,100,Data_new!$Q$2:$Q$2639,TRUE)</f>
        <v/>
      </c>
      <c r="F102" s="18">
        <f>_xlfn.MAXIFS(Data_new!$D$2:$D$2639,Data_new!$A$2:$A$2639,3,Data_new!$B$2:$B$2639,VALUE(MID($B$101,2,FIND(",",$B$101)-2)),Data_new!$C$2:$C$2639,100,Data_new!$Q$2:$Q$2639,TRUE)</f>
        <v/>
      </c>
      <c r="G102" s="18" t="inlineStr">
        <is>
          <t>nan</t>
        </is>
      </c>
      <c r="H102" s="18" t="inlineStr">
        <is>
          <t>nan</t>
        </is>
      </c>
      <c r="I102" s="18">
        <f>_xlfn.MINIFS(Data_new!$I$2:$I$2639,Data_new!$A$2:$A$2639,3,Data_new!$B$2:$B$2639,VALUE(MID($B$101,2,FIND(",",$B$101)-2)),Data_new!$C$2:$C$2639,100,Data_new!$Q$2:$Q$2639,TRUE)</f>
        <v/>
      </c>
      <c r="J102" s="19">
        <f>_xlfn.MAXIFS(Data_new!$I$2:$I$2639,Data_new!$A$2:$A$2639,3,Data_new!$B$2:$B$2639,VALUE(MID($B$101,2,FIND(",",$B$101)-2)),Data_new!$C$2:$C$2639,100,Data_new!$Q$2:$Q$2639,TRUE)</f>
        <v/>
      </c>
      <c r="L102" s="20" t="n"/>
      <c r="N102" t="inlineStr">
        <is>
          <t>real_on_ms</t>
        </is>
      </c>
      <c r="O102" s="18">
        <f>_xlfn.MINIFS(Data_new!$D$2:$D$2639,Data_new!$A$2:$A$2639,3,Data_new!$B$2:$B$2639,VALUE(MID($L$101,2,FIND(",",$L$101)-2)),Data_new!$C$2:$C$2639,80,Data_new!$Q$2:$Q$2639,TRUE)</f>
        <v/>
      </c>
      <c r="P102" s="18">
        <f>_xlfn.MAXIFS(Data_new!$D$2:$D$2639,Data_new!$A$2:$A$2639,3,Data_new!$B$2:$B$2639,VALUE(MID($L$101,2,FIND(",",$L$101)-2)),Data_new!$C$2:$C$2639,80,Data_new!$Q$2:$Q$2639,TRUE)</f>
        <v/>
      </c>
      <c r="Q102" s="18" t="inlineStr">
        <is>
          <t>nan</t>
        </is>
      </c>
      <c r="R102" s="18" t="inlineStr">
        <is>
          <t>nan</t>
        </is>
      </c>
      <c r="S102" s="18">
        <f>_xlfn.MINIFS(Data_new!$I$2:$I$2639,Data_new!$A$2:$A$2639,3,Data_new!$B$2:$B$2639,VALUE(MID($L$101,2,FIND(",",$L$101)-2)),Data_new!$C$2:$C$2639,80,Data_new!$Q$2:$Q$2639,TRUE)</f>
        <v/>
      </c>
      <c r="T102" s="19">
        <f>_xlfn.MAXIFS(Data_new!$I$2:$I$2639,Data_new!$A$2:$A$2639,3,Data_new!$B$2:$B$2639,VALUE(MID($L$101,2,FIND(",",$L$101)-2)),Data_new!$C$2:$C$2639,80,Data_new!$Q$2:$Q$2639,TRUE)</f>
        <v/>
      </c>
      <c r="V102" s="20" t="n"/>
      <c r="X102" t="inlineStr">
        <is>
          <t>real_on_ms</t>
        </is>
      </c>
      <c r="Y102" s="18">
        <f>_xlfn.MINIFS(Data_new!$D$2:$D$2639,Data_new!$A$2:$A$2639,3,Data_new!$B$2:$B$2639,VALUE(MID($V$101,2,FIND(",",$V$101)-2)),Data_new!$C$2:$C$2639,60,Data_new!$Q$2:$Q$2639,TRUE)</f>
        <v/>
      </c>
      <c r="Z102" s="18">
        <f>_xlfn.MAXIFS(Data_new!$D$2:$D$2639,Data_new!$A$2:$A$2639,3,Data_new!$B$2:$B$2639,VALUE(MID($V$101,2,FIND(",",$V$101)-2)),Data_new!$C$2:$C$2639,60,Data_new!$Q$2:$Q$2639,TRUE)</f>
        <v/>
      </c>
      <c r="AA102" s="18" t="inlineStr">
        <is>
          <t>nan</t>
        </is>
      </c>
      <c r="AB102" s="18" t="inlineStr">
        <is>
          <t>nan</t>
        </is>
      </c>
      <c r="AC102" s="18">
        <f>_xlfn.MINIFS(Data_new!$I$2:$I$2639,Data_new!$A$2:$A$2639,3,Data_new!$B$2:$B$2639,VALUE(MID($V$101,2,FIND(",",$V$101)-2)),Data_new!$C$2:$C$2639,60,Data_new!$Q$2:$Q$2639,TRUE)</f>
        <v/>
      </c>
      <c r="AD102" s="19">
        <f>_xlfn.MAXIFS(Data_new!$I$2:$I$2639,Data_new!$A$2:$A$2639,3,Data_new!$B$2:$B$2639,VALUE(MID($V$101,2,FIND(",",$V$101)-2)),Data_new!$C$2:$C$2639,60,Data_new!$Q$2:$Q$2639,TRUE)</f>
        <v/>
      </c>
    </row>
    <row r="103">
      <c r="B103" s="20" t="n"/>
      <c r="E103" s="18" t="n"/>
      <c r="F103" s="18" t="n"/>
      <c r="G103" s="18" t="n"/>
      <c r="H103" s="18" t="n"/>
      <c r="I103" s="18" t="n"/>
      <c r="J103" s="19" t="n"/>
      <c r="L103" s="20" t="n"/>
      <c r="O103" s="18" t="n"/>
      <c r="P103" s="18" t="n"/>
      <c r="Q103" s="18" t="n"/>
      <c r="R103" s="18" t="n"/>
      <c r="S103" s="18" t="n"/>
      <c r="T103" s="19" t="n"/>
      <c r="V103" s="20" t="n"/>
      <c r="Y103" s="18" t="n"/>
      <c r="Z103" s="18" t="n"/>
      <c r="AA103" s="18" t="n"/>
      <c r="AB103" s="18" t="n"/>
      <c r="AC103" s="18" t="n"/>
      <c r="AD103" s="19" t="n"/>
    </row>
    <row r="104">
      <c r="B104" s="17" t="inlineStr">
        <is>
          <t>%10, 3V, %100</t>
        </is>
      </c>
      <c r="D104" t="inlineStr">
        <is>
          <t>on_ms</t>
        </is>
      </c>
      <c r="E104" s="18">
        <f>_xlfn.MINIFS(Data_new!$D$2:$D$2639,Data_new!$A$2:$A$2639,3,Data_new!$B$2:$B$2639,VALUE(MID($B$104,2,FIND(",",$B$104)-2)),Data_new!$C$2:$C$2639,100,Data_new!$P$2:$P$2639,TRUE)</f>
        <v/>
      </c>
      <c r="F104" s="18">
        <f>_xlfn.MAXIFS(Data_new!$D$2:$D$2639,Data_new!$A$2:$A$2639,3,Data_new!$B$2:$B$2639,VALUE(MID($B$104,2,FIND(",",$B$104)-2)),Data_new!$C$2:$C$2639,100,Data_new!$P$2:$P$2639,TRUE)</f>
        <v/>
      </c>
      <c r="G104" s="18">
        <f>_xlfn.MINIFS(Data_new!$H$2:$H$2639,Data_new!$A$2:$A$2639,3,Data_new!$B$2:$B$2639,VALUE(MID($B$104,2,FIND(",",$B$104)-2)),Data_new!$C$2:$C$2639,100,Data_new!$P$2:$P$2639,TRUE)</f>
        <v/>
      </c>
      <c r="H104" s="18">
        <f>_xlfn.MAXIFS(Data_new!$H$2:$H$2639,Data_new!$A$2:$A$2639,3,Data_new!$B$2:$B$2639,VALUE(MID($B$104,2,FIND(",",$B$104)-2)),Data_new!$C$2:$C$2639,100,Data_new!$P$2:$P$2639,TRUE)</f>
        <v/>
      </c>
      <c r="I104" s="18" t="inlineStr">
        <is>
          <t>nan</t>
        </is>
      </c>
      <c r="J104" s="19" t="inlineStr">
        <is>
          <t>nan</t>
        </is>
      </c>
      <c r="L104" s="17" t="inlineStr">
        <is>
          <t>%10, 3V, %80</t>
        </is>
      </c>
      <c r="N104" t="inlineStr">
        <is>
          <t>on_ms</t>
        </is>
      </c>
      <c r="O104" s="18">
        <f>_xlfn.MINIFS(Data_new!$D$2:$D$2639,Data_new!$A$2:$A$2639,3,Data_new!$B$2:$B$2639,VALUE(MID($L$104,2,FIND(",",$L$104)-2)),Data_new!$C$2:$C$2639,80,Data_new!$P$2:$P$2639,TRUE)</f>
        <v/>
      </c>
      <c r="P104" s="18">
        <f>_xlfn.MAXIFS(Data_new!$D$2:$D$2639,Data_new!$A$2:$A$2639,3,Data_new!$B$2:$B$2639,VALUE(MID($L$104,2,FIND(",",$L$104)-2)),Data_new!$C$2:$C$2639,80,Data_new!$P$2:$P$2639,TRUE)</f>
        <v/>
      </c>
      <c r="Q104" s="18">
        <f>_xlfn.MINIFS(Data_new!$H$2:$H$2639,Data_new!$A$2:$A$2639,3,Data_new!$B$2:$B$2639,VALUE(MID($L$104,2,FIND(",",$L$104)-2)),Data_new!$C$2:$C$2639,80,Data_new!$P$2:$P$2639,TRUE)</f>
        <v/>
      </c>
      <c r="R104" s="18">
        <f>_xlfn.MAXIFS(Data_new!$H$2:$H$2639,Data_new!$A$2:$A$2639,3,Data_new!$B$2:$B$2639,VALUE(MID($L$104,2,FIND(",",$L$104)-2)),Data_new!$C$2:$C$2639,80,Data_new!$P$2:$P$2639,TRUE)</f>
        <v/>
      </c>
      <c r="S104" s="18" t="inlineStr">
        <is>
          <t>nan</t>
        </is>
      </c>
      <c r="T104" s="19" t="inlineStr">
        <is>
          <t>nan</t>
        </is>
      </c>
      <c r="V104" s="17" t="inlineStr">
        <is>
          <t>%10, 3V, %60</t>
        </is>
      </c>
      <c r="X104" t="inlineStr">
        <is>
          <t>on_ms</t>
        </is>
      </c>
      <c r="Y104" s="18">
        <f>_xlfn.MINIFS(Data_new!$D$2:$D$2639,Data_new!$A$2:$A$2639,3,Data_new!$B$2:$B$2639,VALUE(MID($V$104,2,FIND(",",$V$104)-2)),Data_new!$C$2:$C$2639,60,Data_new!$P$2:$P$2639,TRUE)</f>
        <v/>
      </c>
      <c r="Z104" s="18">
        <f>_xlfn.MAXIFS(Data_new!$D$2:$D$2639,Data_new!$A$2:$A$2639,3,Data_new!$B$2:$B$2639,VALUE(MID($V$104,2,FIND(",",$V$104)-2)),Data_new!$C$2:$C$2639,60,Data_new!$P$2:$P$2639,TRUE)</f>
        <v/>
      </c>
      <c r="AA104" s="18">
        <f>_xlfn.MINIFS(Data_new!$H$2:$H$2639,Data_new!$A$2:$A$2639,3,Data_new!$B$2:$B$2639,VALUE(MID($V$104,2,FIND(",",$V$104)-2)),Data_new!$C$2:$C$2639,60,Data_new!$P$2:$P$2639,TRUE)</f>
        <v/>
      </c>
      <c r="AB104" s="18">
        <f>_xlfn.MAXIFS(Data_new!$H$2:$H$2639,Data_new!$A$2:$A$2639,3,Data_new!$B$2:$B$2639,VALUE(MID($V$104,2,FIND(",",$V$104)-2)),Data_new!$C$2:$C$2639,60,Data_new!$P$2:$P$2639,TRUE)</f>
        <v/>
      </c>
      <c r="AC104" s="18" t="inlineStr">
        <is>
          <t>nan</t>
        </is>
      </c>
      <c r="AD104" s="19" t="inlineStr">
        <is>
          <t>nan</t>
        </is>
      </c>
    </row>
    <row r="105">
      <c r="B105" s="20" t="n"/>
      <c r="D105" t="inlineStr">
        <is>
          <t>real_on_ms</t>
        </is>
      </c>
      <c r="E105" s="18">
        <f>_xlfn.MINIFS(Data_new!$D$2:$D$2639,Data_new!$A$2:$A$2639,3,Data_new!$B$2:$B$2639,VALUE(MID($B$104,2,FIND(",",$B$104)-2)),Data_new!$C$2:$C$2639,100,Data_new!$Q$2:$Q$2639,TRUE)</f>
        <v/>
      </c>
      <c r="F105" s="18">
        <f>_xlfn.MAXIFS(Data_new!$D$2:$D$2639,Data_new!$A$2:$A$2639,3,Data_new!$B$2:$B$2639,VALUE(MID($B$104,2,FIND(",",$B$104)-2)),Data_new!$C$2:$C$2639,100,Data_new!$Q$2:$Q$2639,TRUE)</f>
        <v/>
      </c>
      <c r="G105" s="18" t="inlineStr">
        <is>
          <t>nan</t>
        </is>
      </c>
      <c r="H105" s="18" t="inlineStr">
        <is>
          <t>nan</t>
        </is>
      </c>
      <c r="I105" s="18">
        <f>_xlfn.MINIFS(Data_new!$I$2:$I$2639,Data_new!$A$2:$A$2639,3,Data_new!$B$2:$B$2639,VALUE(MID($B$104,2,FIND(",",$B$104)-2)),Data_new!$C$2:$C$2639,100,Data_new!$Q$2:$Q$2639,TRUE)</f>
        <v/>
      </c>
      <c r="J105" s="19">
        <f>_xlfn.MAXIFS(Data_new!$I$2:$I$2639,Data_new!$A$2:$A$2639,3,Data_new!$B$2:$B$2639,VALUE(MID($B$104,2,FIND(",",$B$104)-2)),Data_new!$C$2:$C$2639,100,Data_new!$Q$2:$Q$2639,TRUE)</f>
        <v/>
      </c>
      <c r="L105" s="20" t="n"/>
      <c r="N105" t="inlineStr">
        <is>
          <t>real_on_ms</t>
        </is>
      </c>
      <c r="O105" s="18">
        <f>_xlfn.MINIFS(Data_new!$D$2:$D$2639,Data_new!$A$2:$A$2639,3,Data_new!$B$2:$B$2639,VALUE(MID($L$104,2,FIND(",",$L$104)-2)),Data_new!$C$2:$C$2639,80,Data_new!$Q$2:$Q$2639,TRUE)</f>
        <v/>
      </c>
      <c r="P105" s="18">
        <f>_xlfn.MAXIFS(Data_new!$D$2:$D$2639,Data_new!$A$2:$A$2639,3,Data_new!$B$2:$B$2639,VALUE(MID($L$104,2,FIND(",",$L$104)-2)),Data_new!$C$2:$C$2639,80,Data_new!$Q$2:$Q$2639,TRUE)</f>
        <v/>
      </c>
      <c r="Q105" s="18" t="inlineStr">
        <is>
          <t>nan</t>
        </is>
      </c>
      <c r="R105" s="18" t="inlineStr">
        <is>
          <t>nan</t>
        </is>
      </c>
      <c r="S105" s="18">
        <f>_xlfn.MINIFS(Data_new!$I$2:$I$2639,Data_new!$A$2:$A$2639,3,Data_new!$B$2:$B$2639,VALUE(MID($L$104,2,FIND(",",$L$104)-2)),Data_new!$C$2:$C$2639,80,Data_new!$Q$2:$Q$2639,TRUE)</f>
        <v/>
      </c>
      <c r="T105" s="19">
        <f>_xlfn.MAXIFS(Data_new!$I$2:$I$2639,Data_new!$A$2:$A$2639,3,Data_new!$B$2:$B$2639,VALUE(MID($L$104,2,FIND(",",$L$104)-2)),Data_new!$C$2:$C$2639,80,Data_new!$Q$2:$Q$2639,TRUE)</f>
        <v/>
      </c>
      <c r="V105" s="20" t="n"/>
      <c r="X105" t="inlineStr">
        <is>
          <t>real_on_ms</t>
        </is>
      </c>
      <c r="Y105" s="18">
        <f>_xlfn.MINIFS(Data_new!$D$2:$D$2639,Data_new!$A$2:$A$2639,3,Data_new!$B$2:$B$2639,VALUE(MID($V$104,2,FIND(",",$V$104)-2)),Data_new!$C$2:$C$2639,60,Data_new!$Q$2:$Q$2639,TRUE)</f>
        <v/>
      </c>
      <c r="Z105" s="18">
        <f>_xlfn.MAXIFS(Data_new!$D$2:$D$2639,Data_new!$A$2:$A$2639,3,Data_new!$B$2:$B$2639,VALUE(MID($V$104,2,FIND(",",$V$104)-2)),Data_new!$C$2:$C$2639,60,Data_new!$Q$2:$Q$2639,TRUE)</f>
        <v/>
      </c>
      <c r="AA105" s="18" t="inlineStr">
        <is>
          <t>nan</t>
        </is>
      </c>
      <c r="AB105" s="18" t="inlineStr">
        <is>
          <t>nan</t>
        </is>
      </c>
      <c r="AC105" s="18">
        <f>_xlfn.MINIFS(Data_new!$I$2:$I$2639,Data_new!$A$2:$A$2639,3,Data_new!$B$2:$B$2639,VALUE(MID($V$104,2,FIND(",",$V$104)-2)),Data_new!$C$2:$C$2639,60,Data_new!$Q$2:$Q$2639,TRUE)</f>
        <v/>
      </c>
      <c r="AD105" s="19">
        <f>_xlfn.MAXIFS(Data_new!$I$2:$I$2639,Data_new!$A$2:$A$2639,3,Data_new!$B$2:$B$2639,VALUE(MID($V$104,2,FIND(",",$V$104)-2)),Data_new!$C$2:$C$2639,60,Data_new!$Q$2:$Q$2639,TRUE)</f>
        <v/>
      </c>
    </row>
    <row r="106">
      <c r="B106" s="20" t="n"/>
      <c r="E106" s="18" t="n"/>
      <c r="F106" s="18" t="n"/>
      <c r="G106" s="18" t="n"/>
      <c r="H106" s="18" t="n"/>
      <c r="I106" s="18" t="n"/>
      <c r="J106" s="19" t="n"/>
      <c r="L106" s="20" t="n"/>
      <c r="O106" s="18" t="n"/>
      <c r="P106" s="18" t="n"/>
      <c r="Q106" s="18" t="n"/>
      <c r="R106" s="18" t="n"/>
      <c r="S106" s="18" t="n"/>
      <c r="T106" s="19" t="n"/>
      <c r="V106" s="20" t="n"/>
      <c r="Y106" s="18" t="n"/>
      <c r="Z106" s="18" t="n"/>
      <c r="AA106" s="18" t="n"/>
      <c r="AB106" s="18" t="n"/>
      <c r="AC106" s="18" t="n"/>
      <c r="AD106" s="19" t="n"/>
    </row>
    <row r="107">
      <c r="B107" s="17" t="inlineStr">
        <is>
          <t>%15, 3V, %100</t>
        </is>
      </c>
      <c r="D107" t="inlineStr">
        <is>
          <t>on_ms</t>
        </is>
      </c>
      <c r="E107" s="18">
        <f>_xlfn.MINIFS(Data_new!$D$2:$D$2639,Data_new!$A$2:$A$2639,3,Data_new!$B$2:$B$2639,VALUE(MID($B$107,2,FIND(",",$B$107)-2)),Data_new!$C$2:$C$2639,100,Data_new!$P$2:$P$2639,TRUE)</f>
        <v/>
      </c>
      <c r="F107" s="18">
        <f>_xlfn.MAXIFS(Data_new!$D$2:$D$2639,Data_new!$A$2:$A$2639,3,Data_new!$B$2:$B$2639,VALUE(MID($B$107,2,FIND(",",$B$107)-2)),Data_new!$C$2:$C$2639,100,Data_new!$P$2:$P$2639,TRUE)</f>
        <v/>
      </c>
      <c r="G107" s="18">
        <f>_xlfn.MINIFS(Data_new!$H$2:$H$2639,Data_new!$A$2:$A$2639,3,Data_new!$B$2:$B$2639,VALUE(MID($B$107,2,FIND(",",$B$107)-2)),Data_new!$C$2:$C$2639,100,Data_new!$P$2:$P$2639,TRUE)</f>
        <v/>
      </c>
      <c r="H107" s="18">
        <f>_xlfn.MAXIFS(Data_new!$H$2:$H$2639,Data_new!$A$2:$A$2639,3,Data_new!$B$2:$B$2639,VALUE(MID($B$107,2,FIND(",",$B$107)-2)),Data_new!$C$2:$C$2639,100,Data_new!$P$2:$P$2639,TRUE)</f>
        <v/>
      </c>
      <c r="I107" s="18" t="inlineStr">
        <is>
          <t>nan</t>
        </is>
      </c>
      <c r="J107" s="19" t="inlineStr">
        <is>
          <t>nan</t>
        </is>
      </c>
      <c r="L107" s="17" t="inlineStr">
        <is>
          <t>%15, 3V, %80</t>
        </is>
      </c>
      <c r="N107" t="inlineStr">
        <is>
          <t>on_ms</t>
        </is>
      </c>
      <c r="O107" s="18">
        <f>_xlfn.MINIFS(Data_new!$D$2:$D$2639,Data_new!$A$2:$A$2639,3,Data_new!$B$2:$B$2639,VALUE(MID($L$107,2,FIND(",",$L$107)-2)),Data_new!$C$2:$C$2639,80,Data_new!$P$2:$P$2639,TRUE)</f>
        <v/>
      </c>
      <c r="P107" s="18">
        <f>_xlfn.MAXIFS(Data_new!$D$2:$D$2639,Data_new!$A$2:$A$2639,3,Data_new!$B$2:$B$2639,VALUE(MID($L$107,2,FIND(",",$L$107)-2)),Data_new!$C$2:$C$2639,80,Data_new!$P$2:$P$2639,TRUE)</f>
        <v/>
      </c>
      <c r="Q107" s="18">
        <f>_xlfn.MINIFS(Data_new!$H$2:$H$2639,Data_new!$A$2:$A$2639,3,Data_new!$B$2:$B$2639,VALUE(MID($L$107,2,FIND(",",$L$107)-2)),Data_new!$C$2:$C$2639,80,Data_new!$P$2:$P$2639,TRUE)</f>
        <v/>
      </c>
      <c r="R107" s="18">
        <f>_xlfn.MAXIFS(Data_new!$H$2:$H$2639,Data_new!$A$2:$A$2639,3,Data_new!$B$2:$B$2639,VALUE(MID($L$107,2,FIND(",",$L$107)-2)),Data_new!$C$2:$C$2639,80,Data_new!$P$2:$P$2639,TRUE)</f>
        <v/>
      </c>
      <c r="S107" s="18" t="inlineStr">
        <is>
          <t>nan</t>
        </is>
      </c>
      <c r="T107" s="19" t="inlineStr">
        <is>
          <t>nan</t>
        </is>
      </c>
      <c r="V107" s="17" t="inlineStr">
        <is>
          <t>%15, 3V, %60</t>
        </is>
      </c>
      <c r="X107" t="inlineStr">
        <is>
          <t>on_ms</t>
        </is>
      </c>
      <c r="Y107" s="18">
        <f>_xlfn.MINIFS(Data_new!$D$2:$D$2639,Data_new!$A$2:$A$2639,3,Data_new!$B$2:$B$2639,VALUE(MID($V$107,2,FIND(",",$V$107)-2)),Data_new!$C$2:$C$2639,60,Data_new!$P$2:$P$2639,TRUE)</f>
        <v/>
      </c>
      <c r="Z107" s="18">
        <f>_xlfn.MAXIFS(Data_new!$D$2:$D$2639,Data_new!$A$2:$A$2639,3,Data_new!$B$2:$B$2639,VALUE(MID($V$107,2,FIND(",",$V$107)-2)),Data_new!$C$2:$C$2639,60,Data_new!$P$2:$P$2639,TRUE)</f>
        <v/>
      </c>
      <c r="AA107" s="18">
        <f>_xlfn.MINIFS(Data_new!$H$2:$H$2639,Data_new!$A$2:$A$2639,3,Data_new!$B$2:$B$2639,VALUE(MID($V$107,2,FIND(",",$V$107)-2)),Data_new!$C$2:$C$2639,60,Data_new!$P$2:$P$2639,TRUE)</f>
        <v/>
      </c>
      <c r="AB107" s="18">
        <f>_xlfn.MAXIFS(Data_new!$H$2:$H$2639,Data_new!$A$2:$A$2639,3,Data_new!$B$2:$B$2639,VALUE(MID($V$107,2,FIND(",",$V$107)-2)),Data_new!$C$2:$C$2639,60,Data_new!$P$2:$P$2639,TRUE)</f>
        <v/>
      </c>
      <c r="AC107" s="18" t="inlineStr">
        <is>
          <t>nan</t>
        </is>
      </c>
      <c r="AD107" s="19" t="inlineStr">
        <is>
          <t>nan</t>
        </is>
      </c>
    </row>
    <row r="108">
      <c r="B108" s="20" t="n"/>
      <c r="D108" t="inlineStr">
        <is>
          <t>real_on_ms</t>
        </is>
      </c>
      <c r="E108" s="18">
        <f>_xlfn.MINIFS(Data_new!$D$2:$D$2639,Data_new!$A$2:$A$2639,3,Data_new!$B$2:$B$2639,VALUE(MID($B$107,2,FIND(",",$B$107)-2)),Data_new!$C$2:$C$2639,100,Data_new!$Q$2:$Q$2639,TRUE)</f>
        <v/>
      </c>
      <c r="F108" s="18">
        <f>_xlfn.MAXIFS(Data_new!$D$2:$D$2639,Data_new!$A$2:$A$2639,3,Data_new!$B$2:$B$2639,VALUE(MID($B$107,2,FIND(",",$B$107)-2)),Data_new!$C$2:$C$2639,100,Data_new!$Q$2:$Q$2639,TRUE)</f>
        <v/>
      </c>
      <c r="G108" s="18" t="inlineStr">
        <is>
          <t>nan</t>
        </is>
      </c>
      <c r="H108" s="18" t="inlineStr">
        <is>
          <t>nan</t>
        </is>
      </c>
      <c r="I108" s="18">
        <f>_xlfn.MINIFS(Data_new!$I$2:$I$2639,Data_new!$A$2:$A$2639,3,Data_new!$B$2:$B$2639,VALUE(MID($B$107,2,FIND(",",$B$107)-2)),Data_new!$C$2:$C$2639,100,Data_new!$Q$2:$Q$2639,TRUE)</f>
        <v/>
      </c>
      <c r="J108" s="19">
        <f>_xlfn.MAXIFS(Data_new!$I$2:$I$2639,Data_new!$A$2:$A$2639,3,Data_new!$B$2:$B$2639,VALUE(MID($B$107,2,FIND(",",$B$107)-2)),Data_new!$C$2:$C$2639,100,Data_new!$Q$2:$Q$2639,TRUE)</f>
        <v/>
      </c>
      <c r="L108" s="20" t="n"/>
      <c r="N108" t="inlineStr">
        <is>
          <t>real_on_ms</t>
        </is>
      </c>
      <c r="O108" s="18">
        <f>_xlfn.MINIFS(Data_new!$D$2:$D$2639,Data_new!$A$2:$A$2639,3,Data_new!$B$2:$B$2639,VALUE(MID($L$107,2,FIND(",",$L$107)-2)),Data_new!$C$2:$C$2639,80,Data_new!$Q$2:$Q$2639,TRUE)</f>
        <v/>
      </c>
      <c r="P108" s="18">
        <f>_xlfn.MAXIFS(Data_new!$D$2:$D$2639,Data_new!$A$2:$A$2639,3,Data_new!$B$2:$B$2639,VALUE(MID($L$107,2,FIND(",",$L$107)-2)),Data_new!$C$2:$C$2639,80,Data_new!$Q$2:$Q$2639,TRUE)</f>
        <v/>
      </c>
      <c r="Q108" s="18" t="inlineStr">
        <is>
          <t>nan</t>
        </is>
      </c>
      <c r="R108" s="18" t="inlineStr">
        <is>
          <t>nan</t>
        </is>
      </c>
      <c r="S108" s="18">
        <f>_xlfn.MINIFS(Data_new!$I$2:$I$2639,Data_new!$A$2:$A$2639,3,Data_new!$B$2:$B$2639,VALUE(MID($L$107,2,FIND(",",$L$107)-2)),Data_new!$C$2:$C$2639,80,Data_new!$Q$2:$Q$2639,TRUE)</f>
        <v/>
      </c>
      <c r="T108" s="19">
        <f>_xlfn.MAXIFS(Data_new!$I$2:$I$2639,Data_new!$A$2:$A$2639,3,Data_new!$B$2:$B$2639,VALUE(MID($L$107,2,FIND(",",$L$107)-2)),Data_new!$C$2:$C$2639,80,Data_new!$Q$2:$Q$2639,TRUE)</f>
        <v/>
      </c>
      <c r="V108" s="20" t="n"/>
      <c r="X108" t="inlineStr">
        <is>
          <t>real_on_ms</t>
        </is>
      </c>
      <c r="Y108" s="18">
        <f>_xlfn.MINIFS(Data_new!$D$2:$D$2639,Data_new!$A$2:$A$2639,3,Data_new!$B$2:$B$2639,VALUE(MID($V$107,2,FIND(",",$V$107)-2)),Data_new!$C$2:$C$2639,60,Data_new!$Q$2:$Q$2639,TRUE)</f>
        <v/>
      </c>
      <c r="Z108" s="18">
        <f>_xlfn.MAXIFS(Data_new!$D$2:$D$2639,Data_new!$A$2:$A$2639,3,Data_new!$B$2:$B$2639,VALUE(MID($V$107,2,FIND(",",$V$107)-2)),Data_new!$C$2:$C$2639,60,Data_new!$Q$2:$Q$2639,TRUE)</f>
        <v/>
      </c>
      <c r="AA108" s="18" t="inlineStr">
        <is>
          <t>nan</t>
        </is>
      </c>
      <c r="AB108" s="18" t="inlineStr">
        <is>
          <t>nan</t>
        </is>
      </c>
      <c r="AC108" s="18">
        <f>_xlfn.MINIFS(Data_new!$I$2:$I$2639,Data_new!$A$2:$A$2639,3,Data_new!$B$2:$B$2639,VALUE(MID($V$107,2,FIND(",",$V$107)-2)),Data_new!$C$2:$C$2639,60,Data_new!$Q$2:$Q$2639,TRUE)</f>
        <v/>
      </c>
      <c r="AD108" s="19">
        <f>_xlfn.MAXIFS(Data_new!$I$2:$I$2639,Data_new!$A$2:$A$2639,3,Data_new!$B$2:$B$2639,VALUE(MID($V$107,2,FIND(",",$V$107)-2)),Data_new!$C$2:$C$2639,60,Data_new!$Q$2:$Q$2639,TRUE)</f>
        <v/>
      </c>
    </row>
    <row r="109">
      <c r="B109" s="20" t="n"/>
      <c r="E109" s="18" t="n"/>
      <c r="F109" s="18" t="n"/>
      <c r="G109" s="18" t="n"/>
      <c r="H109" s="18" t="n"/>
      <c r="I109" s="18" t="n"/>
      <c r="J109" s="19" t="n"/>
      <c r="L109" s="20" t="n"/>
      <c r="O109" s="18" t="n"/>
      <c r="P109" s="18" t="n"/>
      <c r="Q109" s="18" t="n"/>
      <c r="R109" s="18" t="n"/>
      <c r="S109" s="18" t="n"/>
      <c r="T109" s="19" t="n"/>
      <c r="V109" s="20" t="n"/>
      <c r="Y109" s="18" t="n"/>
      <c r="Z109" s="18" t="n"/>
      <c r="AA109" s="18" t="n"/>
      <c r="AB109" s="18" t="n"/>
      <c r="AC109" s="18" t="n"/>
      <c r="AD109" s="19" t="n"/>
    </row>
    <row r="110">
      <c r="B110" s="21" t="inlineStr">
        <is>
          <t>%100, 3V, %100</t>
        </is>
      </c>
      <c r="D110" t="inlineStr">
        <is>
          <t>on_ms</t>
        </is>
      </c>
      <c r="E110" s="18">
        <f>_xlfn.MINIFS(Data_new!$D$2:$D$2639,Data_new!$A$2:$A$2639,3,Data_new!$B$2:$B$2639,VALUE(MID($B$110,2,FIND(",",$B$110)-2)),Data_new!$C$2:$C$2639,100,Data_new!$P$2:$P$2639,TRUE)</f>
        <v/>
      </c>
      <c r="F110" s="18">
        <f>_xlfn.MAXIFS(Data_new!$D$2:$D$2639,Data_new!$A$2:$A$2639,3,Data_new!$B$2:$B$2639,VALUE(MID($B$110,2,FIND(",",$B$110)-2)),Data_new!$C$2:$C$2639,100,Data_new!$P$2:$P$2639,TRUE)</f>
        <v/>
      </c>
      <c r="G110" s="18">
        <f>_xlfn.MINIFS(Data_new!$H$2:$H$2639,Data_new!$A$2:$A$2639,3,Data_new!$B$2:$B$2639,VALUE(MID($B$110,2,FIND(",",$B$110)-2)),Data_new!$C$2:$C$2639,100,Data_new!$P$2:$P$2639,TRUE)</f>
        <v/>
      </c>
      <c r="H110" s="18">
        <f>_xlfn.MAXIFS(Data_new!$H$2:$H$2639,Data_new!$A$2:$A$2639,3,Data_new!$B$2:$B$2639,VALUE(MID($B$110,2,FIND(",",$B$110)-2)),Data_new!$C$2:$C$2639,100,Data_new!$P$2:$P$2639,TRUE)</f>
        <v/>
      </c>
      <c r="I110" s="18" t="inlineStr">
        <is>
          <t>nan</t>
        </is>
      </c>
      <c r="J110" s="19" t="inlineStr">
        <is>
          <t>nan</t>
        </is>
      </c>
      <c r="L110" s="21" t="inlineStr">
        <is>
          <t>%100, 3V, %80</t>
        </is>
      </c>
      <c r="N110" t="inlineStr">
        <is>
          <t>on_ms</t>
        </is>
      </c>
      <c r="O110" s="18">
        <f>_xlfn.MINIFS(Data_new!$D$2:$D$2639,Data_new!$A$2:$A$2639,3,Data_new!$B$2:$B$2639,VALUE(MID($L$110,2,FIND(",",$L$110)-2)),Data_new!$C$2:$C$2639,80,Data_new!$P$2:$P$2639,TRUE)</f>
        <v/>
      </c>
      <c r="P110" s="18">
        <f>_xlfn.MAXIFS(Data_new!$D$2:$D$2639,Data_new!$A$2:$A$2639,3,Data_new!$B$2:$B$2639,VALUE(MID($L$110,2,FIND(",",$L$110)-2)),Data_new!$C$2:$C$2639,80,Data_new!$P$2:$P$2639,TRUE)</f>
        <v/>
      </c>
      <c r="Q110" s="18">
        <f>_xlfn.MINIFS(Data_new!$H$2:$H$2639,Data_new!$A$2:$A$2639,3,Data_new!$B$2:$B$2639,VALUE(MID($L$110,2,FIND(",",$L$110)-2)),Data_new!$C$2:$C$2639,80,Data_new!$P$2:$P$2639,TRUE)</f>
        <v/>
      </c>
      <c r="R110" s="18">
        <f>_xlfn.MAXIFS(Data_new!$H$2:$H$2639,Data_new!$A$2:$A$2639,3,Data_new!$B$2:$B$2639,VALUE(MID($L$110,2,FIND(",",$L$110)-2)),Data_new!$C$2:$C$2639,80,Data_new!$P$2:$P$2639,TRUE)</f>
        <v/>
      </c>
      <c r="S110" s="18" t="inlineStr">
        <is>
          <t>nan</t>
        </is>
      </c>
      <c r="T110" s="19" t="inlineStr">
        <is>
          <t>nan</t>
        </is>
      </c>
      <c r="V110" s="21" t="inlineStr">
        <is>
          <t>%100, 3V, %60</t>
        </is>
      </c>
      <c r="X110" t="inlineStr">
        <is>
          <t>on_ms</t>
        </is>
      </c>
      <c r="Y110" s="18">
        <f>_xlfn.MINIFS(Data_new!$D$2:$D$2639,Data_new!$A$2:$A$2639,3,Data_new!$B$2:$B$2639,VALUE(MID($V$110,2,FIND(",",$V$110)-2)),Data_new!$C$2:$C$2639,60,Data_new!$P$2:$P$2639,TRUE)</f>
        <v/>
      </c>
      <c r="Z110" s="18">
        <f>_xlfn.MAXIFS(Data_new!$D$2:$D$2639,Data_new!$A$2:$A$2639,3,Data_new!$B$2:$B$2639,VALUE(MID($V$110,2,FIND(",",$V$110)-2)),Data_new!$C$2:$C$2639,60,Data_new!$P$2:$P$2639,TRUE)</f>
        <v/>
      </c>
      <c r="AA110" s="18">
        <f>_xlfn.MINIFS(Data_new!$H$2:$H$2639,Data_new!$A$2:$A$2639,3,Data_new!$B$2:$B$2639,VALUE(MID($V$110,2,FIND(",",$V$110)-2)),Data_new!$C$2:$C$2639,60,Data_new!$P$2:$P$2639,TRUE)</f>
        <v/>
      </c>
      <c r="AB110" s="18">
        <f>_xlfn.MAXIFS(Data_new!$H$2:$H$2639,Data_new!$A$2:$A$2639,3,Data_new!$B$2:$B$2639,VALUE(MID($V$110,2,FIND(",",$V$110)-2)),Data_new!$C$2:$C$2639,60,Data_new!$P$2:$P$2639,TRUE)</f>
        <v/>
      </c>
      <c r="AC110" s="18" t="inlineStr">
        <is>
          <t>nan</t>
        </is>
      </c>
      <c r="AD110" s="19" t="inlineStr">
        <is>
          <t>nan</t>
        </is>
      </c>
    </row>
    <row r="111">
      <c r="B111" s="22" t="n"/>
      <c r="C111" s="11" t="n"/>
      <c r="D111" s="11" t="inlineStr">
        <is>
          <t>real_on_ms</t>
        </is>
      </c>
      <c r="E111" s="23">
        <f>_xlfn.MINIFS(Data_new!$D$2:$D$2639,Data_new!$A$2:$A$2639,3,Data_new!$B$2:$B$2639,VALUE(MID($B$110,2,FIND(",",$B$110)-2)),Data_new!$C$2:$C$2639,100,Data_new!$Q$2:$Q$2639,TRUE)</f>
        <v/>
      </c>
      <c r="F111" s="23">
        <f>_xlfn.MAXIFS(Data_new!$D$2:$D$2639,Data_new!$A$2:$A$2639,3,Data_new!$B$2:$B$2639,VALUE(MID($B$110,2,FIND(",",$B$110)-2)),Data_new!$C$2:$C$2639,100,Data_new!$Q$2:$Q$2639,TRUE)</f>
        <v/>
      </c>
      <c r="G111" s="23" t="inlineStr">
        <is>
          <t>nan</t>
        </is>
      </c>
      <c r="H111" s="23" t="inlineStr">
        <is>
          <t>nan</t>
        </is>
      </c>
      <c r="I111" s="23">
        <f>_xlfn.MINIFS(Data_new!$I$2:$I$2639,Data_new!$A$2:$A$2639,3,Data_new!$B$2:$B$2639,VALUE(MID($B$110,2,FIND(",",$B$110)-2)),Data_new!$C$2:$C$2639,100,Data_new!$Q$2:$Q$2639,TRUE)</f>
        <v/>
      </c>
      <c r="J111" s="24">
        <f>_xlfn.MAXIFS(Data_new!$I$2:$I$2639,Data_new!$A$2:$A$2639,3,Data_new!$B$2:$B$2639,VALUE(MID($B$110,2,FIND(",",$B$110)-2)),Data_new!$C$2:$C$2639,100,Data_new!$Q$2:$Q$2639,TRUE)</f>
        <v/>
      </c>
      <c r="L111" s="22" t="n"/>
      <c r="M111" s="11" t="n"/>
      <c r="N111" s="11" t="inlineStr">
        <is>
          <t>real_on_ms</t>
        </is>
      </c>
      <c r="O111" s="23">
        <f>_xlfn.MINIFS(Data_new!$D$2:$D$2639,Data_new!$A$2:$A$2639,3,Data_new!$B$2:$B$2639,VALUE(MID($L$110,2,FIND(",",$L$110)-2)),Data_new!$C$2:$C$2639,80,Data_new!$Q$2:$Q$2639,TRUE)</f>
        <v/>
      </c>
      <c r="P111" s="23">
        <f>_xlfn.MAXIFS(Data_new!$D$2:$D$2639,Data_new!$A$2:$A$2639,3,Data_new!$B$2:$B$2639,VALUE(MID($L$110,2,FIND(",",$L$110)-2)),Data_new!$C$2:$C$2639,80,Data_new!$Q$2:$Q$2639,TRUE)</f>
        <v/>
      </c>
      <c r="Q111" s="23" t="inlineStr">
        <is>
          <t>nan</t>
        </is>
      </c>
      <c r="R111" s="23" t="inlineStr">
        <is>
          <t>nan</t>
        </is>
      </c>
      <c r="S111" s="23">
        <f>_xlfn.MINIFS(Data_new!$I$2:$I$2639,Data_new!$A$2:$A$2639,3,Data_new!$B$2:$B$2639,VALUE(MID($L$110,2,FIND(",",$L$110)-2)),Data_new!$C$2:$C$2639,80,Data_new!$Q$2:$Q$2639,TRUE)</f>
        <v/>
      </c>
      <c r="T111" s="24">
        <f>_xlfn.MAXIFS(Data_new!$I$2:$I$2639,Data_new!$A$2:$A$2639,3,Data_new!$B$2:$B$2639,VALUE(MID($L$110,2,FIND(",",$L$110)-2)),Data_new!$C$2:$C$2639,80,Data_new!$Q$2:$Q$2639,TRUE)</f>
        <v/>
      </c>
      <c r="V111" s="22" t="n"/>
      <c r="W111" s="11" t="n"/>
      <c r="X111" s="11" t="inlineStr">
        <is>
          <t>real_on_ms</t>
        </is>
      </c>
      <c r="Y111" s="23">
        <f>_xlfn.MINIFS(Data_new!$D$2:$D$2639,Data_new!$A$2:$A$2639,3,Data_new!$B$2:$B$2639,VALUE(MID($V$110,2,FIND(",",$V$110)-2)),Data_new!$C$2:$C$2639,60,Data_new!$Q$2:$Q$2639,TRUE)</f>
        <v/>
      </c>
      <c r="Z111" s="23">
        <f>_xlfn.MAXIFS(Data_new!$D$2:$D$2639,Data_new!$A$2:$A$2639,3,Data_new!$B$2:$B$2639,VALUE(MID($V$110,2,FIND(",",$V$110)-2)),Data_new!$C$2:$C$2639,60,Data_new!$Q$2:$Q$2639,TRUE)</f>
        <v/>
      </c>
      <c r="AA111" s="23" t="inlineStr">
        <is>
          <t>nan</t>
        </is>
      </c>
      <c r="AB111" s="23" t="inlineStr">
        <is>
          <t>nan</t>
        </is>
      </c>
      <c r="AC111" s="23">
        <f>_xlfn.MINIFS(Data_new!$I$2:$I$2639,Data_new!$A$2:$A$2639,3,Data_new!$B$2:$B$2639,VALUE(MID($V$110,2,FIND(",",$V$110)-2)),Data_new!$C$2:$C$2639,60,Data_new!$Q$2:$Q$2639,TRUE)</f>
        <v/>
      </c>
      <c r="AD111" s="24">
        <f>_xlfn.MAXIFS(Data_new!$I$2:$I$2639,Data_new!$A$2:$A$2639,3,Data_new!$B$2:$B$2639,VALUE(MID($V$110,2,FIND(",",$V$110)-2)),Data_new!$C$2:$C$2639,60,Data_new!$Q$2:$Q$2639,TRUE)</f>
        <v/>
      </c>
    </row>
    <row r="117">
      <c r="B117" s="13" t="n"/>
      <c r="C117" s="14" t="n"/>
      <c r="D117" s="14" t="n"/>
      <c r="E117" s="15" t="inlineStr">
        <is>
          <t>min_kick_ms</t>
        </is>
      </c>
      <c r="F117" s="15" t="inlineStr">
        <is>
          <t>max_kick_ms</t>
        </is>
      </c>
      <c r="G117" s="15" t="inlineStr">
        <is>
          <t>min_on_ms</t>
        </is>
      </c>
      <c r="H117" s="15" t="inlineStr">
        <is>
          <t>max_on_ms</t>
        </is>
      </c>
      <c r="I117" s="15" t="inlineStr">
        <is>
          <t>min_real_on_ms</t>
        </is>
      </c>
      <c r="J117" s="16" t="inlineStr">
        <is>
          <t>max_real_on_ms</t>
        </is>
      </c>
      <c r="L117" s="13" t="n"/>
      <c r="M117" s="14" t="n"/>
      <c r="N117" s="14" t="n"/>
      <c r="O117" s="15" t="inlineStr">
        <is>
          <t>min_kick_ms</t>
        </is>
      </c>
      <c r="P117" s="15" t="inlineStr">
        <is>
          <t>max_kick_ms</t>
        </is>
      </c>
      <c r="Q117" s="15" t="inlineStr">
        <is>
          <t>min_on_ms</t>
        </is>
      </c>
      <c r="R117" s="15" t="inlineStr">
        <is>
          <t>max_on_ms</t>
        </is>
      </c>
      <c r="S117" s="15" t="inlineStr">
        <is>
          <t>min_real_on_ms</t>
        </is>
      </c>
      <c r="T117" s="16" t="inlineStr">
        <is>
          <t>max_real_on_ms</t>
        </is>
      </c>
      <c r="V117" s="13" t="n"/>
      <c r="W117" s="14" t="n"/>
      <c r="X117" s="14" t="n"/>
      <c r="Y117" s="15" t="inlineStr">
        <is>
          <t>min_kick_ms</t>
        </is>
      </c>
      <c r="Z117" s="15" t="inlineStr">
        <is>
          <t>max_kick_ms</t>
        </is>
      </c>
      <c r="AA117" s="15" t="inlineStr">
        <is>
          <t>min_on_ms</t>
        </is>
      </c>
      <c r="AB117" s="15" t="inlineStr">
        <is>
          <t>max_on_ms</t>
        </is>
      </c>
      <c r="AC117" s="15" t="inlineStr">
        <is>
          <t>min_real_on_ms</t>
        </is>
      </c>
      <c r="AD117" s="16" t="inlineStr">
        <is>
          <t>max_real_on_ms</t>
        </is>
      </c>
    </row>
    <row r="118">
      <c r="B118" s="17" t="inlineStr">
        <is>
          <t>%6, 2.8V, %100</t>
        </is>
      </c>
      <c r="D118" t="inlineStr">
        <is>
          <t>on_ms</t>
        </is>
      </c>
      <c r="E118" s="18">
        <f>_xlfn.MINIFS(Data_new!$D$2:$D$2639,Data_new!$A$2:$A$2639,2.8,Data_new!$B$2:$B$2639,VALUE(MID($B$118,2,FIND(",",$B$118)-2)),Data_new!$C$2:$C$2639,100,Data_new!$P$2:$P$2639,TRUE)</f>
        <v/>
      </c>
      <c r="F118" s="18">
        <f>_xlfn.MAXIFS(Data_new!$D$2:$D$2639,Data_new!$A$2:$A$2639,2.8,Data_new!$B$2:$B$2639,VALUE(MID($B$118,2,FIND(",",$B$118)-2)),Data_new!$C$2:$C$2639,100,Data_new!$P$2:$P$2639,TRUE)</f>
        <v/>
      </c>
      <c r="G118" s="18">
        <f>_xlfn.MINIFS(Data_new!$H$2:$H$2639,Data_new!$A$2:$A$2639,2.8,Data_new!$B$2:$B$2639,VALUE(MID($B$118,2,FIND(",",$B$118)-2)),Data_new!$C$2:$C$2639,100,Data_new!$P$2:$P$2639,TRUE)</f>
        <v/>
      </c>
      <c r="H118" s="18">
        <f>_xlfn.MAXIFS(Data_new!$H$2:$H$2639,Data_new!$A$2:$A$2639,2.8,Data_new!$B$2:$B$2639,VALUE(MID($B$118,2,FIND(",",$B$118)-2)),Data_new!$C$2:$C$2639,100,Data_new!$P$2:$P$2639,TRUE)</f>
        <v/>
      </c>
      <c r="I118" s="18" t="inlineStr">
        <is>
          <t>nan</t>
        </is>
      </c>
      <c r="J118" s="19" t="inlineStr">
        <is>
          <t>nan</t>
        </is>
      </c>
      <c r="L118" s="17" t="inlineStr">
        <is>
          <t>%6, 2.8V, %80</t>
        </is>
      </c>
      <c r="N118" t="inlineStr">
        <is>
          <t>on_ms</t>
        </is>
      </c>
      <c r="O118" s="18">
        <f>_xlfn.MINIFS(Data_new!$D$2:$D$2639,Data_new!$A$2:$A$2639,2.8,Data_new!$B$2:$B$2639,VALUE(MID($L$118,2,FIND(",",$L$118)-2)),Data_new!$C$2:$C$2639,80,Data_new!$P$2:$P$2639,TRUE)</f>
        <v/>
      </c>
      <c r="P118" s="18">
        <f>_xlfn.MAXIFS(Data_new!$D$2:$D$2639,Data_new!$A$2:$A$2639,2.8,Data_new!$B$2:$B$2639,VALUE(MID($L$118,2,FIND(",",$L$118)-2)),Data_new!$C$2:$C$2639,80,Data_new!$P$2:$P$2639,TRUE)</f>
        <v/>
      </c>
      <c r="Q118" s="18">
        <f>_xlfn.MINIFS(Data_new!$H$2:$H$2639,Data_new!$A$2:$A$2639,2.8,Data_new!$B$2:$B$2639,VALUE(MID($L$118,2,FIND(",",$L$118)-2)),Data_new!$C$2:$C$2639,80,Data_new!$P$2:$P$2639,TRUE)</f>
        <v/>
      </c>
      <c r="R118" s="18">
        <f>_xlfn.MAXIFS(Data_new!$H$2:$H$2639,Data_new!$A$2:$A$2639,2.8,Data_new!$B$2:$B$2639,VALUE(MID($L$118,2,FIND(",",$L$118)-2)),Data_new!$C$2:$C$2639,80,Data_new!$P$2:$P$2639,TRUE)</f>
        <v/>
      </c>
      <c r="S118" s="18" t="inlineStr">
        <is>
          <t>nan</t>
        </is>
      </c>
      <c r="T118" s="19" t="inlineStr">
        <is>
          <t>nan</t>
        </is>
      </c>
      <c r="V118" s="17" t="inlineStr">
        <is>
          <t>%6, 2.8V, %60</t>
        </is>
      </c>
      <c r="X118" t="inlineStr">
        <is>
          <t>on_ms</t>
        </is>
      </c>
      <c r="Y118" s="18">
        <f>_xlfn.MINIFS(Data_new!$D$2:$D$2639,Data_new!$A$2:$A$2639,2.8,Data_new!$B$2:$B$2639,VALUE(MID($V$118,2,FIND(",",$V$118)-2)),Data_new!$C$2:$C$2639,60,Data_new!$P$2:$P$2639,TRUE)</f>
        <v/>
      </c>
      <c r="Z118" s="18">
        <f>_xlfn.MAXIFS(Data_new!$D$2:$D$2639,Data_new!$A$2:$A$2639,2.8,Data_new!$B$2:$B$2639,VALUE(MID($V$118,2,FIND(",",$V$118)-2)),Data_new!$C$2:$C$2639,60,Data_new!$P$2:$P$2639,TRUE)</f>
        <v/>
      </c>
      <c r="AA118" s="18">
        <f>_xlfn.MINIFS(Data_new!$H$2:$H$2639,Data_new!$A$2:$A$2639,2.8,Data_new!$B$2:$B$2639,VALUE(MID($V$118,2,FIND(",",$V$118)-2)),Data_new!$C$2:$C$2639,60,Data_new!$P$2:$P$2639,TRUE)</f>
        <v/>
      </c>
      <c r="AB118" s="18">
        <f>_xlfn.MAXIFS(Data_new!$H$2:$H$2639,Data_new!$A$2:$A$2639,2.8,Data_new!$B$2:$B$2639,VALUE(MID($V$118,2,FIND(",",$V$118)-2)),Data_new!$C$2:$C$2639,60,Data_new!$P$2:$P$2639,TRUE)</f>
        <v/>
      </c>
      <c r="AC118" s="18" t="inlineStr">
        <is>
          <t>nan</t>
        </is>
      </c>
      <c r="AD118" s="19" t="inlineStr">
        <is>
          <t>nan</t>
        </is>
      </c>
    </row>
    <row r="119">
      <c r="B119" s="20" t="n"/>
      <c r="D119" t="inlineStr">
        <is>
          <t>real_on_ms</t>
        </is>
      </c>
      <c r="E119" s="18">
        <f>_xlfn.MINIFS(Data_new!$D$2:$D$2639,Data_new!$A$2:$A$2639,2.8,Data_new!$B$2:$B$2639,VALUE(MID($B$118,2,FIND(",",$B$118)-2)),Data_new!$C$2:$C$2639,100,Data_new!$Q$2:$Q$2639,TRUE)</f>
        <v/>
      </c>
      <c r="F119" s="18">
        <f>_xlfn.MAXIFS(Data_new!$D$2:$D$2639,Data_new!$A$2:$A$2639,2.8,Data_new!$B$2:$B$2639,VALUE(MID($B$118,2,FIND(",",$B$118)-2)),Data_new!$C$2:$C$2639,100,Data_new!$Q$2:$Q$2639,TRUE)</f>
        <v/>
      </c>
      <c r="G119" s="18" t="inlineStr">
        <is>
          <t>nan</t>
        </is>
      </c>
      <c r="H119" s="18" t="inlineStr">
        <is>
          <t>nan</t>
        </is>
      </c>
      <c r="I119" s="18">
        <f>_xlfn.MINIFS(Data_new!$I$2:$I$2639,Data_new!$A$2:$A$2639,2.8,Data_new!$B$2:$B$2639,VALUE(MID($B$118,2,FIND(",",$B$118)-2)),Data_new!$C$2:$C$2639,100,Data_new!$Q$2:$Q$2639,TRUE)</f>
        <v/>
      </c>
      <c r="J119" s="19">
        <f>_xlfn.MAXIFS(Data_new!$I$2:$I$2639,Data_new!$A$2:$A$2639,2.8,Data_new!$B$2:$B$2639,VALUE(MID($B$118,2,FIND(",",$B$118)-2)),Data_new!$C$2:$C$2639,100,Data_new!$Q$2:$Q$2639,TRUE)</f>
        <v/>
      </c>
      <c r="L119" s="20" t="n"/>
      <c r="N119" t="inlineStr">
        <is>
          <t>real_on_ms</t>
        </is>
      </c>
      <c r="O119" s="18">
        <f>_xlfn.MINIFS(Data_new!$D$2:$D$2639,Data_new!$A$2:$A$2639,2.8,Data_new!$B$2:$B$2639,VALUE(MID($L$118,2,FIND(",",$L$118)-2)),Data_new!$C$2:$C$2639,80,Data_new!$Q$2:$Q$2639,TRUE)</f>
        <v/>
      </c>
      <c r="P119" s="18">
        <f>_xlfn.MAXIFS(Data_new!$D$2:$D$2639,Data_new!$A$2:$A$2639,2.8,Data_new!$B$2:$B$2639,VALUE(MID($L$118,2,FIND(",",$L$118)-2)),Data_new!$C$2:$C$2639,80,Data_new!$Q$2:$Q$2639,TRUE)</f>
        <v/>
      </c>
      <c r="Q119" s="18" t="inlineStr">
        <is>
          <t>nan</t>
        </is>
      </c>
      <c r="R119" s="18" t="inlineStr">
        <is>
          <t>nan</t>
        </is>
      </c>
      <c r="S119" s="18">
        <f>_xlfn.MINIFS(Data_new!$I$2:$I$2639,Data_new!$A$2:$A$2639,2.8,Data_new!$B$2:$B$2639,VALUE(MID($L$118,2,FIND(",",$L$118)-2)),Data_new!$C$2:$C$2639,80,Data_new!$Q$2:$Q$2639,TRUE)</f>
        <v/>
      </c>
      <c r="T119" s="19">
        <f>_xlfn.MAXIFS(Data_new!$I$2:$I$2639,Data_new!$A$2:$A$2639,2.8,Data_new!$B$2:$B$2639,VALUE(MID($L$118,2,FIND(",",$L$118)-2)),Data_new!$C$2:$C$2639,80,Data_new!$Q$2:$Q$2639,TRUE)</f>
        <v/>
      </c>
      <c r="V119" s="20" t="n"/>
      <c r="X119" t="inlineStr">
        <is>
          <t>real_on_ms</t>
        </is>
      </c>
      <c r="Y119" s="18">
        <f>_xlfn.MINIFS(Data_new!$D$2:$D$2639,Data_new!$A$2:$A$2639,2.8,Data_new!$B$2:$B$2639,VALUE(MID($V$118,2,FIND(",",$V$118)-2)),Data_new!$C$2:$C$2639,60,Data_new!$Q$2:$Q$2639,TRUE)</f>
        <v/>
      </c>
      <c r="Z119" s="18">
        <f>_xlfn.MAXIFS(Data_new!$D$2:$D$2639,Data_new!$A$2:$A$2639,2.8,Data_new!$B$2:$B$2639,VALUE(MID($V$118,2,FIND(",",$V$118)-2)),Data_new!$C$2:$C$2639,60,Data_new!$Q$2:$Q$2639,TRUE)</f>
        <v/>
      </c>
      <c r="AA119" s="18" t="inlineStr">
        <is>
          <t>nan</t>
        </is>
      </c>
      <c r="AB119" s="18" t="inlineStr">
        <is>
          <t>nan</t>
        </is>
      </c>
      <c r="AC119" s="18">
        <f>_xlfn.MINIFS(Data_new!$I$2:$I$2639,Data_new!$A$2:$A$2639,2.8,Data_new!$B$2:$B$2639,VALUE(MID($V$118,2,FIND(",",$V$118)-2)),Data_new!$C$2:$C$2639,60,Data_new!$Q$2:$Q$2639,TRUE)</f>
        <v/>
      </c>
      <c r="AD119" s="19">
        <f>_xlfn.MAXIFS(Data_new!$I$2:$I$2639,Data_new!$A$2:$A$2639,2.8,Data_new!$B$2:$B$2639,VALUE(MID($V$118,2,FIND(",",$V$118)-2)),Data_new!$C$2:$C$2639,60,Data_new!$Q$2:$Q$2639,TRUE)</f>
        <v/>
      </c>
    </row>
    <row r="120">
      <c r="B120" s="20" t="n"/>
      <c r="E120" s="18" t="n"/>
      <c r="F120" s="18" t="n"/>
      <c r="G120" s="18" t="n"/>
      <c r="H120" s="18" t="n"/>
      <c r="I120" s="18" t="n"/>
      <c r="J120" s="19" t="n"/>
      <c r="L120" s="20" t="n"/>
      <c r="O120" s="18" t="n"/>
      <c r="P120" s="18" t="n"/>
      <c r="Q120" s="18" t="n"/>
      <c r="R120" s="18" t="n"/>
      <c r="S120" s="18" t="n"/>
      <c r="T120" s="19" t="n"/>
      <c r="V120" s="20" t="n"/>
      <c r="Y120" s="18" t="n"/>
      <c r="Z120" s="18" t="n"/>
      <c r="AA120" s="18" t="n"/>
      <c r="AB120" s="18" t="n"/>
      <c r="AC120" s="18" t="n"/>
      <c r="AD120" s="19" t="n"/>
    </row>
    <row r="121">
      <c r="B121" s="17" t="inlineStr">
        <is>
          <t>%7, 2.8V, %100</t>
        </is>
      </c>
      <c r="D121" t="inlineStr">
        <is>
          <t>on_ms</t>
        </is>
      </c>
      <c r="E121" s="18">
        <f>_xlfn.MINIFS(Data_new!$D$2:$D$2639,Data_new!$A$2:$A$2639,2.8,Data_new!$B$2:$B$2639,VALUE(MID($B$121,2,FIND(",",$B$121)-2)),Data_new!$C$2:$C$2639,100,Data_new!$P$2:$P$2639,TRUE)</f>
        <v/>
      </c>
      <c r="F121" s="18">
        <f>_xlfn.MAXIFS(Data_new!$D$2:$D$2639,Data_new!$A$2:$A$2639,2.8,Data_new!$B$2:$B$2639,VALUE(MID($B$121,2,FIND(",",$B$121)-2)),Data_new!$C$2:$C$2639,100,Data_new!$P$2:$P$2639,TRUE)</f>
        <v/>
      </c>
      <c r="G121" s="18">
        <f>_xlfn.MINIFS(Data_new!$H$2:$H$2639,Data_new!$A$2:$A$2639,2.8,Data_new!$B$2:$B$2639,VALUE(MID($B$121,2,FIND(",",$B$121)-2)),Data_new!$C$2:$C$2639,100,Data_new!$P$2:$P$2639,TRUE)</f>
        <v/>
      </c>
      <c r="H121" s="18">
        <f>_xlfn.MAXIFS(Data_new!$H$2:$H$2639,Data_new!$A$2:$A$2639,2.8,Data_new!$B$2:$B$2639,VALUE(MID($B$121,2,FIND(",",$B$121)-2)),Data_new!$C$2:$C$2639,100,Data_new!$P$2:$P$2639,TRUE)</f>
        <v/>
      </c>
      <c r="I121" s="18" t="inlineStr">
        <is>
          <t>nan</t>
        </is>
      </c>
      <c r="J121" s="19" t="inlineStr">
        <is>
          <t>nan</t>
        </is>
      </c>
      <c r="L121" s="17" t="inlineStr">
        <is>
          <t>%7, 2.8V, %80</t>
        </is>
      </c>
      <c r="N121" t="inlineStr">
        <is>
          <t>on_ms</t>
        </is>
      </c>
      <c r="O121" s="18">
        <f>_xlfn.MINIFS(Data_new!$D$2:$D$2639,Data_new!$A$2:$A$2639,2.8,Data_new!$B$2:$B$2639,VALUE(MID($L$121,2,FIND(",",$L$121)-2)),Data_new!$C$2:$C$2639,80,Data_new!$P$2:$P$2639,TRUE)</f>
        <v/>
      </c>
      <c r="P121" s="18">
        <f>_xlfn.MAXIFS(Data_new!$D$2:$D$2639,Data_new!$A$2:$A$2639,2.8,Data_new!$B$2:$B$2639,VALUE(MID($L$121,2,FIND(",",$L$121)-2)),Data_new!$C$2:$C$2639,80,Data_new!$P$2:$P$2639,TRUE)</f>
        <v/>
      </c>
      <c r="Q121" s="18">
        <f>_xlfn.MINIFS(Data_new!$H$2:$H$2639,Data_new!$A$2:$A$2639,2.8,Data_new!$B$2:$B$2639,VALUE(MID($L$121,2,FIND(",",$L$121)-2)),Data_new!$C$2:$C$2639,80,Data_new!$P$2:$P$2639,TRUE)</f>
        <v/>
      </c>
      <c r="R121" s="18">
        <f>_xlfn.MAXIFS(Data_new!$H$2:$H$2639,Data_new!$A$2:$A$2639,2.8,Data_new!$B$2:$B$2639,VALUE(MID($L$121,2,FIND(",",$L$121)-2)),Data_new!$C$2:$C$2639,80,Data_new!$P$2:$P$2639,TRUE)</f>
        <v/>
      </c>
      <c r="S121" s="18" t="inlineStr">
        <is>
          <t>nan</t>
        </is>
      </c>
      <c r="T121" s="19" t="inlineStr">
        <is>
          <t>nan</t>
        </is>
      </c>
      <c r="V121" s="17" t="inlineStr">
        <is>
          <t>%7, 2.8V, %60</t>
        </is>
      </c>
      <c r="X121" t="inlineStr">
        <is>
          <t>on_ms</t>
        </is>
      </c>
      <c r="Y121" s="18">
        <f>_xlfn.MINIFS(Data_new!$D$2:$D$2639,Data_new!$A$2:$A$2639,2.8,Data_new!$B$2:$B$2639,VALUE(MID($V$121,2,FIND(",",$V$121)-2)),Data_new!$C$2:$C$2639,60,Data_new!$P$2:$P$2639,TRUE)</f>
        <v/>
      </c>
      <c r="Z121" s="18">
        <f>_xlfn.MAXIFS(Data_new!$D$2:$D$2639,Data_new!$A$2:$A$2639,2.8,Data_new!$B$2:$B$2639,VALUE(MID($V$121,2,FIND(",",$V$121)-2)),Data_new!$C$2:$C$2639,60,Data_new!$P$2:$P$2639,TRUE)</f>
        <v/>
      </c>
      <c r="AA121" s="18">
        <f>_xlfn.MINIFS(Data_new!$H$2:$H$2639,Data_new!$A$2:$A$2639,2.8,Data_new!$B$2:$B$2639,VALUE(MID($V$121,2,FIND(",",$V$121)-2)),Data_new!$C$2:$C$2639,60,Data_new!$P$2:$P$2639,TRUE)</f>
        <v/>
      </c>
      <c r="AB121" s="18">
        <f>_xlfn.MAXIFS(Data_new!$H$2:$H$2639,Data_new!$A$2:$A$2639,2.8,Data_new!$B$2:$B$2639,VALUE(MID($V$121,2,FIND(",",$V$121)-2)),Data_new!$C$2:$C$2639,60,Data_new!$P$2:$P$2639,TRUE)</f>
        <v/>
      </c>
      <c r="AC121" s="18" t="inlineStr">
        <is>
          <t>nan</t>
        </is>
      </c>
      <c r="AD121" s="19" t="inlineStr">
        <is>
          <t>nan</t>
        </is>
      </c>
    </row>
    <row r="122">
      <c r="B122" s="20" t="n"/>
      <c r="D122" t="inlineStr">
        <is>
          <t>real_on_ms</t>
        </is>
      </c>
      <c r="E122" s="18">
        <f>_xlfn.MINIFS(Data_new!$D$2:$D$2639,Data_new!$A$2:$A$2639,2.8,Data_new!$B$2:$B$2639,VALUE(MID($B$121,2,FIND(",",$B$121)-2)),Data_new!$C$2:$C$2639,100,Data_new!$Q$2:$Q$2639,TRUE)</f>
        <v/>
      </c>
      <c r="F122" s="18">
        <f>_xlfn.MAXIFS(Data_new!$D$2:$D$2639,Data_new!$A$2:$A$2639,2.8,Data_new!$B$2:$B$2639,VALUE(MID($B$121,2,FIND(",",$B$121)-2)),Data_new!$C$2:$C$2639,100,Data_new!$Q$2:$Q$2639,TRUE)</f>
        <v/>
      </c>
      <c r="G122" s="18" t="inlineStr">
        <is>
          <t>nan</t>
        </is>
      </c>
      <c r="H122" s="18" t="inlineStr">
        <is>
          <t>nan</t>
        </is>
      </c>
      <c r="I122" s="18">
        <f>_xlfn.MINIFS(Data_new!$I$2:$I$2639,Data_new!$A$2:$A$2639,2.8,Data_new!$B$2:$B$2639,VALUE(MID($B$121,2,FIND(",",$B$121)-2)),Data_new!$C$2:$C$2639,100,Data_new!$Q$2:$Q$2639,TRUE)</f>
        <v/>
      </c>
      <c r="J122" s="19">
        <f>_xlfn.MAXIFS(Data_new!$I$2:$I$2639,Data_new!$A$2:$A$2639,2.8,Data_new!$B$2:$B$2639,VALUE(MID($B$121,2,FIND(",",$B$121)-2)),Data_new!$C$2:$C$2639,100,Data_new!$Q$2:$Q$2639,TRUE)</f>
        <v/>
      </c>
      <c r="L122" s="20" t="n"/>
      <c r="N122" t="inlineStr">
        <is>
          <t>real_on_ms</t>
        </is>
      </c>
      <c r="O122" s="18">
        <f>_xlfn.MINIFS(Data_new!$D$2:$D$2639,Data_new!$A$2:$A$2639,2.8,Data_new!$B$2:$B$2639,VALUE(MID($L$121,2,FIND(",",$L$121)-2)),Data_new!$C$2:$C$2639,80,Data_new!$Q$2:$Q$2639,TRUE)</f>
        <v/>
      </c>
      <c r="P122" s="18">
        <f>_xlfn.MAXIFS(Data_new!$D$2:$D$2639,Data_new!$A$2:$A$2639,2.8,Data_new!$B$2:$B$2639,VALUE(MID($L$121,2,FIND(",",$L$121)-2)),Data_new!$C$2:$C$2639,80,Data_new!$Q$2:$Q$2639,TRUE)</f>
        <v/>
      </c>
      <c r="Q122" s="18" t="inlineStr">
        <is>
          <t>nan</t>
        </is>
      </c>
      <c r="R122" s="18" t="inlineStr">
        <is>
          <t>nan</t>
        </is>
      </c>
      <c r="S122" s="18">
        <f>_xlfn.MINIFS(Data_new!$I$2:$I$2639,Data_new!$A$2:$A$2639,2.8,Data_new!$B$2:$B$2639,VALUE(MID($L$121,2,FIND(",",$L$121)-2)),Data_new!$C$2:$C$2639,80,Data_new!$Q$2:$Q$2639,TRUE)</f>
        <v/>
      </c>
      <c r="T122" s="19">
        <f>_xlfn.MAXIFS(Data_new!$I$2:$I$2639,Data_new!$A$2:$A$2639,2.8,Data_new!$B$2:$B$2639,VALUE(MID($L$121,2,FIND(",",$L$121)-2)),Data_new!$C$2:$C$2639,80,Data_new!$Q$2:$Q$2639,TRUE)</f>
        <v/>
      </c>
      <c r="V122" s="20" t="n"/>
      <c r="X122" t="inlineStr">
        <is>
          <t>real_on_ms</t>
        </is>
      </c>
      <c r="Y122" s="18">
        <f>_xlfn.MINIFS(Data_new!$D$2:$D$2639,Data_new!$A$2:$A$2639,2.8,Data_new!$B$2:$B$2639,VALUE(MID($V$121,2,FIND(",",$V$121)-2)),Data_new!$C$2:$C$2639,60,Data_new!$Q$2:$Q$2639,TRUE)</f>
        <v/>
      </c>
      <c r="Z122" s="18">
        <f>_xlfn.MAXIFS(Data_new!$D$2:$D$2639,Data_new!$A$2:$A$2639,2.8,Data_new!$B$2:$B$2639,VALUE(MID($V$121,2,FIND(",",$V$121)-2)),Data_new!$C$2:$C$2639,60,Data_new!$Q$2:$Q$2639,TRUE)</f>
        <v/>
      </c>
      <c r="AA122" s="18" t="inlineStr">
        <is>
          <t>nan</t>
        </is>
      </c>
      <c r="AB122" s="18" t="inlineStr">
        <is>
          <t>nan</t>
        </is>
      </c>
      <c r="AC122" s="18">
        <f>_xlfn.MINIFS(Data_new!$I$2:$I$2639,Data_new!$A$2:$A$2639,2.8,Data_new!$B$2:$B$2639,VALUE(MID($V$121,2,FIND(",",$V$121)-2)),Data_new!$C$2:$C$2639,60,Data_new!$Q$2:$Q$2639,TRUE)</f>
        <v/>
      </c>
      <c r="AD122" s="19">
        <f>_xlfn.MAXIFS(Data_new!$I$2:$I$2639,Data_new!$A$2:$A$2639,2.8,Data_new!$B$2:$B$2639,VALUE(MID($V$121,2,FIND(",",$V$121)-2)),Data_new!$C$2:$C$2639,60,Data_new!$Q$2:$Q$2639,TRUE)</f>
        <v/>
      </c>
    </row>
    <row r="123">
      <c r="B123" s="20" t="n"/>
      <c r="E123" s="18" t="n"/>
      <c r="F123" s="18" t="n"/>
      <c r="G123" s="18" t="n"/>
      <c r="H123" s="18" t="n"/>
      <c r="I123" s="18" t="n"/>
      <c r="J123" s="19" t="n"/>
      <c r="L123" s="20" t="n"/>
      <c r="O123" s="18" t="n"/>
      <c r="P123" s="18" t="n"/>
      <c r="Q123" s="18" t="n"/>
      <c r="R123" s="18" t="n"/>
      <c r="S123" s="18" t="n"/>
      <c r="T123" s="19" t="n"/>
      <c r="V123" s="20" t="n"/>
      <c r="Y123" s="18" t="n"/>
      <c r="Z123" s="18" t="n"/>
      <c r="AA123" s="18" t="n"/>
      <c r="AB123" s="18" t="n"/>
      <c r="AC123" s="18" t="n"/>
      <c r="AD123" s="19" t="n"/>
    </row>
    <row r="124">
      <c r="B124" s="17" t="inlineStr">
        <is>
          <t>%8, 2.8V, %100</t>
        </is>
      </c>
      <c r="D124" t="inlineStr">
        <is>
          <t>on_ms</t>
        </is>
      </c>
      <c r="E124" s="18">
        <f>_xlfn.MINIFS(Data_new!$D$2:$D$2639,Data_new!$A$2:$A$2639,2.8,Data_new!$B$2:$B$2639,VALUE(MID($B$124,2,FIND(",",$B$124)-2)),Data_new!$C$2:$C$2639,100,Data_new!$P$2:$P$2639,TRUE)</f>
        <v/>
      </c>
      <c r="F124" s="18">
        <f>_xlfn.MAXIFS(Data_new!$D$2:$D$2639,Data_new!$A$2:$A$2639,2.8,Data_new!$B$2:$B$2639,VALUE(MID($B$124,2,FIND(",",$B$124)-2)),Data_new!$C$2:$C$2639,100,Data_new!$P$2:$P$2639,TRUE)</f>
        <v/>
      </c>
      <c r="G124" s="18">
        <f>_xlfn.MINIFS(Data_new!$H$2:$H$2639,Data_new!$A$2:$A$2639,2.8,Data_new!$B$2:$B$2639,VALUE(MID($B$124,2,FIND(",",$B$124)-2)),Data_new!$C$2:$C$2639,100,Data_new!$P$2:$P$2639,TRUE)</f>
        <v/>
      </c>
      <c r="H124" s="18">
        <f>_xlfn.MAXIFS(Data_new!$H$2:$H$2639,Data_new!$A$2:$A$2639,2.8,Data_new!$B$2:$B$2639,VALUE(MID($B$124,2,FIND(",",$B$124)-2)),Data_new!$C$2:$C$2639,100,Data_new!$P$2:$P$2639,TRUE)</f>
        <v/>
      </c>
      <c r="I124" s="18" t="inlineStr">
        <is>
          <t>nan</t>
        </is>
      </c>
      <c r="J124" s="19" t="inlineStr">
        <is>
          <t>nan</t>
        </is>
      </c>
      <c r="L124" s="17" t="inlineStr">
        <is>
          <t>%8, 2.8V, %80</t>
        </is>
      </c>
      <c r="N124" t="inlineStr">
        <is>
          <t>on_ms</t>
        </is>
      </c>
      <c r="O124" s="18">
        <f>_xlfn.MINIFS(Data_new!$D$2:$D$2639,Data_new!$A$2:$A$2639,2.8,Data_new!$B$2:$B$2639,VALUE(MID($L$124,2,FIND(",",$L$124)-2)),Data_new!$C$2:$C$2639,80,Data_new!$P$2:$P$2639,TRUE)</f>
        <v/>
      </c>
      <c r="P124" s="18">
        <f>_xlfn.MAXIFS(Data_new!$D$2:$D$2639,Data_new!$A$2:$A$2639,2.8,Data_new!$B$2:$B$2639,VALUE(MID($L$124,2,FIND(",",$L$124)-2)),Data_new!$C$2:$C$2639,80,Data_new!$P$2:$P$2639,TRUE)</f>
        <v/>
      </c>
      <c r="Q124" s="18">
        <f>_xlfn.MINIFS(Data_new!$H$2:$H$2639,Data_new!$A$2:$A$2639,2.8,Data_new!$B$2:$B$2639,VALUE(MID($L$124,2,FIND(",",$L$124)-2)),Data_new!$C$2:$C$2639,80,Data_new!$P$2:$P$2639,TRUE)</f>
        <v/>
      </c>
      <c r="R124" s="18">
        <f>_xlfn.MAXIFS(Data_new!$H$2:$H$2639,Data_new!$A$2:$A$2639,2.8,Data_new!$B$2:$B$2639,VALUE(MID($L$124,2,FIND(",",$L$124)-2)),Data_new!$C$2:$C$2639,80,Data_new!$P$2:$P$2639,TRUE)</f>
        <v/>
      </c>
      <c r="S124" s="18" t="inlineStr">
        <is>
          <t>nan</t>
        </is>
      </c>
      <c r="T124" s="19" t="inlineStr">
        <is>
          <t>nan</t>
        </is>
      </c>
      <c r="V124" s="17" t="inlineStr">
        <is>
          <t>%8, 2.8V, %60</t>
        </is>
      </c>
      <c r="X124" t="inlineStr">
        <is>
          <t>on_ms</t>
        </is>
      </c>
      <c r="Y124" s="18">
        <f>_xlfn.MINIFS(Data_new!$D$2:$D$2639,Data_new!$A$2:$A$2639,2.8,Data_new!$B$2:$B$2639,VALUE(MID($V$124,2,FIND(",",$V$124)-2)),Data_new!$C$2:$C$2639,60,Data_new!$P$2:$P$2639,TRUE)</f>
        <v/>
      </c>
      <c r="Z124" s="18">
        <f>_xlfn.MAXIFS(Data_new!$D$2:$D$2639,Data_new!$A$2:$A$2639,2.8,Data_new!$B$2:$B$2639,VALUE(MID($V$124,2,FIND(",",$V$124)-2)),Data_new!$C$2:$C$2639,60,Data_new!$P$2:$P$2639,TRUE)</f>
        <v/>
      </c>
      <c r="AA124" s="18">
        <f>_xlfn.MINIFS(Data_new!$H$2:$H$2639,Data_new!$A$2:$A$2639,2.8,Data_new!$B$2:$B$2639,VALUE(MID($V$124,2,FIND(",",$V$124)-2)),Data_new!$C$2:$C$2639,60,Data_new!$P$2:$P$2639,TRUE)</f>
        <v/>
      </c>
      <c r="AB124" s="18">
        <f>_xlfn.MAXIFS(Data_new!$H$2:$H$2639,Data_new!$A$2:$A$2639,2.8,Data_new!$B$2:$B$2639,VALUE(MID($V$124,2,FIND(",",$V$124)-2)),Data_new!$C$2:$C$2639,60,Data_new!$P$2:$P$2639,TRUE)</f>
        <v/>
      </c>
      <c r="AC124" s="18" t="inlineStr">
        <is>
          <t>nan</t>
        </is>
      </c>
      <c r="AD124" s="19" t="inlineStr">
        <is>
          <t>nan</t>
        </is>
      </c>
    </row>
    <row r="125">
      <c r="B125" s="20" t="n"/>
      <c r="D125" t="inlineStr">
        <is>
          <t>real_on_ms</t>
        </is>
      </c>
      <c r="E125" s="18">
        <f>_xlfn.MINIFS(Data_new!$D$2:$D$2639,Data_new!$A$2:$A$2639,2.8,Data_new!$B$2:$B$2639,VALUE(MID($B$124,2,FIND(",",$B$124)-2)),Data_new!$C$2:$C$2639,100,Data_new!$Q$2:$Q$2639,TRUE)</f>
        <v/>
      </c>
      <c r="F125" s="18">
        <f>_xlfn.MAXIFS(Data_new!$D$2:$D$2639,Data_new!$A$2:$A$2639,2.8,Data_new!$B$2:$B$2639,VALUE(MID($B$124,2,FIND(",",$B$124)-2)),Data_new!$C$2:$C$2639,100,Data_new!$Q$2:$Q$2639,TRUE)</f>
        <v/>
      </c>
      <c r="G125" s="18" t="inlineStr">
        <is>
          <t>nan</t>
        </is>
      </c>
      <c r="H125" s="18" t="inlineStr">
        <is>
          <t>nan</t>
        </is>
      </c>
      <c r="I125" s="18">
        <f>_xlfn.MINIFS(Data_new!$I$2:$I$2639,Data_new!$A$2:$A$2639,2.8,Data_new!$B$2:$B$2639,VALUE(MID($B$124,2,FIND(",",$B$124)-2)),Data_new!$C$2:$C$2639,100,Data_new!$Q$2:$Q$2639,TRUE)</f>
        <v/>
      </c>
      <c r="J125" s="19">
        <f>_xlfn.MAXIFS(Data_new!$I$2:$I$2639,Data_new!$A$2:$A$2639,2.8,Data_new!$B$2:$B$2639,VALUE(MID($B$124,2,FIND(",",$B$124)-2)),Data_new!$C$2:$C$2639,100,Data_new!$Q$2:$Q$2639,TRUE)</f>
        <v/>
      </c>
      <c r="L125" s="20" t="n"/>
      <c r="N125" t="inlineStr">
        <is>
          <t>real_on_ms</t>
        </is>
      </c>
      <c r="O125" s="18">
        <f>_xlfn.MINIFS(Data_new!$D$2:$D$2639,Data_new!$A$2:$A$2639,2.8,Data_new!$B$2:$B$2639,VALUE(MID($L$124,2,FIND(",",$L$124)-2)),Data_new!$C$2:$C$2639,80,Data_new!$Q$2:$Q$2639,TRUE)</f>
        <v/>
      </c>
      <c r="P125" s="18">
        <f>_xlfn.MAXIFS(Data_new!$D$2:$D$2639,Data_new!$A$2:$A$2639,2.8,Data_new!$B$2:$B$2639,VALUE(MID($L$124,2,FIND(",",$L$124)-2)),Data_new!$C$2:$C$2639,80,Data_new!$Q$2:$Q$2639,TRUE)</f>
        <v/>
      </c>
      <c r="Q125" s="18" t="inlineStr">
        <is>
          <t>nan</t>
        </is>
      </c>
      <c r="R125" s="18" t="inlineStr">
        <is>
          <t>nan</t>
        </is>
      </c>
      <c r="S125" s="18">
        <f>_xlfn.MINIFS(Data_new!$I$2:$I$2639,Data_new!$A$2:$A$2639,2.8,Data_new!$B$2:$B$2639,VALUE(MID($L$124,2,FIND(",",$L$124)-2)),Data_new!$C$2:$C$2639,80,Data_new!$Q$2:$Q$2639,TRUE)</f>
        <v/>
      </c>
      <c r="T125" s="19">
        <f>_xlfn.MAXIFS(Data_new!$I$2:$I$2639,Data_new!$A$2:$A$2639,2.8,Data_new!$B$2:$B$2639,VALUE(MID($L$124,2,FIND(",",$L$124)-2)),Data_new!$C$2:$C$2639,80,Data_new!$Q$2:$Q$2639,TRUE)</f>
        <v/>
      </c>
      <c r="V125" s="20" t="n"/>
      <c r="X125" t="inlineStr">
        <is>
          <t>real_on_ms</t>
        </is>
      </c>
      <c r="Y125" s="18">
        <f>_xlfn.MINIFS(Data_new!$D$2:$D$2639,Data_new!$A$2:$A$2639,2.8,Data_new!$B$2:$B$2639,VALUE(MID($V$124,2,FIND(",",$V$124)-2)),Data_new!$C$2:$C$2639,60,Data_new!$Q$2:$Q$2639,TRUE)</f>
        <v/>
      </c>
      <c r="Z125" s="18">
        <f>_xlfn.MAXIFS(Data_new!$D$2:$D$2639,Data_new!$A$2:$A$2639,2.8,Data_new!$B$2:$B$2639,VALUE(MID($V$124,2,FIND(",",$V$124)-2)),Data_new!$C$2:$C$2639,60,Data_new!$Q$2:$Q$2639,TRUE)</f>
        <v/>
      </c>
      <c r="AA125" s="18" t="inlineStr">
        <is>
          <t>nan</t>
        </is>
      </c>
      <c r="AB125" s="18" t="inlineStr">
        <is>
          <t>nan</t>
        </is>
      </c>
      <c r="AC125" s="18">
        <f>_xlfn.MINIFS(Data_new!$I$2:$I$2639,Data_new!$A$2:$A$2639,2.8,Data_new!$B$2:$B$2639,VALUE(MID($V$124,2,FIND(",",$V$124)-2)),Data_new!$C$2:$C$2639,60,Data_new!$Q$2:$Q$2639,TRUE)</f>
        <v/>
      </c>
      <c r="AD125" s="19">
        <f>_xlfn.MAXIFS(Data_new!$I$2:$I$2639,Data_new!$A$2:$A$2639,2.8,Data_new!$B$2:$B$2639,VALUE(MID($V$124,2,FIND(",",$V$124)-2)),Data_new!$C$2:$C$2639,60,Data_new!$Q$2:$Q$2639,TRUE)</f>
        <v/>
      </c>
    </row>
    <row r="126">
      <c r="B126" s="20" t="n"/>
      <c r="E126" s="18" t="n"/>
      <c r="F126" s="18" t="n"/>
      <c r="G126" s="18" t="n"/>
      <c r="H126" s="18" t="n"/>
      <c r="I126" s="18" t="n"/>
      <c r="J126" s="19" t="n"/>
      <c r="L126" s="20" t="n"/>
      <c r="O126" s="18" t="n"/>
      <c r="P126" s="18" t="n"/>
      <c r="Q126" s="18" t="n"/>
      <c r="R126" s="18" t="n"/>
      <c r="S126" s="18" t="n"/>
      <c r="T126" s="19" t="n"/>
      <c r="V126" s="20" t="n"/>
      <c r="Y126" s="18" t="n"/>
      <c r="Z126" s="18" t="n"/>
      <c r="AA126" s="18" t="n"/>
      <c r="AB126" s="18" t="n"/>
      <c r="AC126" s="18" t="n"/>
      <c r="AD126" s="19" t="n"/>
    </row>
    <row r="127">
      <c r="B127" s="17" t="inlineStr">
        <is>
          <t>%10, 2.8V, %100</t>
        </is>
      </c>
      <c r="D127" t="inlineStr">
        <is>
          <t>on_ms</t>
        </is>
      </c>
      <c r="E127" s="18">
        <f>_xlfn.MINIFS(Data_new!$D$2:$D$2639,Data_new!$A$2:$A$2639,2.8,Data_new!$B$2:$B$2639,VALUE(MID($B$127,2,FIND(",",$B$127)-2)),Data_new!$C$2:$C$2639,100,Data_new!$P$2:$P$2639,TRUE)</f>
        <v/>
      </c>
      <c r="F127" s="18">
        <f>_xlfn.MAXIFS(Data_new!$D$2:$D$2639,Data_new!$A$2:$A$2639,2.8,Data_new!$B$2:$B$2639,VALUE(MID($B$127,2,FIND(",",$B$127)-2)),Data_new!$C$2:$C$2639,100,Data_new!$P$2:$P$2639,TRUE)</f>
        <v/>
      </c>
      <c r="G127" s="18">
        <f>_xlfn.MINIFS(Data_new!$H$2:$H$2639,Data_new!$A$2:$A$2639,2.8,Data_new!$B$2:$B$2639,VALUE(MID($B$127,2,FIND(",",$B$127)-2)),Data_new!$C$2:$C$2639,100,Data_new!$P$2:$P$2639,TRUE)</f>
        <v/>
      </c>
      <c r="H127" s="18">
        <f>_xlfn.MAXIFS(Data_new!$H$2:$H$2639,Data_new!$A$2:$A$2639,2.8,Data_new!$B$2:$B$2639,VALUE(MID($B$127,2,FIND(",",$B$127)-2)),Data_new!$C$2:$C$2639,100,Data_new!$P$2:$P$2639,TRUE)</f>
        <v/>
      </c>
      <c r="I127" s="18" t="inlineStr">
        <is>
          <t>nan</t>
        </is>
      </c>
      <c r="J127" s="19" t="inlineStr">
        <is>
          <t>nan</t>
        </is>
      </c>
      <c r="L127" s="17" t="inlineStr">
        <is>
          <t>%10, 2.8V, %80</t>
        </is>
      </c>
      <c r="N127" t="inlineStr">
        <is>
          <t>on_ms</t>
        </is>
      </c>
      <c r="O127" s="18">
        <f>_xlfn.MINIFS(Data_new!$D$2:$D$2639,Data_new!$A$2:$A$2639,2.8,Data_new!$B$2:$B$2639,VALUE(MID($L$127,2,FIND(",",$L$127)-2)),Data_new!$C$2:$C$2639,80,Data_new!$P$2:$P$2639,TRUE)</f>
        <v/>
      </c>
      <c r="P127" s="18">
        <f>_xlfn.MAXIFS(Data_new!$D$2:$D$2639,Data_new!$A$2:$A$2639,2.8,Data_new!$B$2:$B$2639,VALUE(MID($L$127,2,FIND(",",$L$127)-2)),Data_new!$C$2:$C$2639,80,Data_new!$P$2:$P$2639,TRUE)</f>
        <v/>
      </c>
      <c r="Q127" s="18">
        <f>_xlfn.MINIFS(Data_new!$H$2:$H$2639,Data_new!$A$2:$A$2639,2.8,Data_new!$B$2:$B$2639,VALUE(MID($L$127,2,FIND(",",$L$127)-2)),Data_new!$C$2:$C$2639,80,Data_new!$P$2:$P$2639,TRUE)</f>
        <v/>
      </c>
      <c r="R127" s="18">
        <f>_xlfn.MAXIFS(Data_new!$H$2:$H$2639,Data_new!$A$2:$A$2639,2.8,Data_new!$B$2:$B$2639,VALUE(MID($L$127,2,FIND(",",$L$127)-2)),Data_new!$C$2:$C$2639,80,Data_new!$P$2:$P$2639,TRUE)</f>
        <v/>
      </c>
      <c r="S127" s="18" t="inlineStr">
        <is>
          <t>nan</t>
        </is>
      </c>
      <c r="T127" s="19" t="inlineStr">
        <is>
          <t>nan</t>
        </is>
      </c>
      <c r="V127" s="17" t="inlineStr">
        <is>
          <t>%10, 2.8V, %60</t>
        </is>
      </c>
      <c r="X127" t="inlineStr">
        <is>
          <t>on_ms</t>
        </is>
      </c>
      <c r="Y127" s="18">
        <f>_xlfn.MINIFS(Data_new!$D$2:$D$2639,Data_new!$A$2:$A$2639,2.8,Data_new!$B$2:$B$2639,VALUE(MID($V$127,2,FIND(",",$V$127)-2)),Data_new!$C$2:$C$2639,60,Data_new!$P$2:$P$2639,TRUE)</f>
        <v/>
      </c>
      <c r="Z127" s="18">
        <f>_xlfn.MAXIFS(Data_new!$D$2:$D$2639,Data_new!$A$2:$A$2639,2.8,Data_new!$B$2:$B$2639,VALUE(MID($V$127,2,FIND(",",$V$127)-2)),Data_new!$C$2:$C$2639,60,Data_new!$P$2:$P$2639,TRUE)</f>
        <v/>
      </c>
      <c r="AA127" s="18">
        <f>_xlfn.MINIFS(Data_new!$H$2:$H$2639,Data_new!$A$2:$A$2639,2.8,Data_new!$B$2:$B$2639,VALUE(MID($V$127,2,FIND(",",$V$127)-2)),Data_new!$C$2:$C$2639,60,Data_new!$P$2:$P$2639,TRUE)</f>
        <v/>
      </c>
      <c r="AB127" s="18">
        <f>_xlfn.MAXIFS(Data_new!$H$2:$H$2639,Data_new!$A$2:$A$2639,2.8,Data_new!$B$2:$B$2639,VALUE(MID($V$127,2,FIND(",",$V$127)-2)),Data_new!$C$2:$C$2639,60,Data_new!$P$2:$P$2639,TRUE)</f>
        <v/>
      </c>
      <c r="AC127" s="18" t="inlineStr">
        <is>
          <t>nan</t>
        </is>
      </c>
      <c r="AD127" s="19" t="inlineStr">
        <is>
          <t>nan</t>
        </is>
      </c>
    </row>
    <row r="128">
      <c r="B128" s="20" t="n"/>
      <c r="D128" t="inlineStr">
        <is>
          <t>real_on_ms</t>
        </is>
      </c>
      <c r="E128" s="18">
        <f>_xlfn.MINIFS(Data_new!$D$2:$D$2639,Data_new!$A$2:$A$2639,2.8,Data_new!$B$2:$B$2639,VALUE(MID($B$127,2,FIND(",",$B$127)-2)),Data_new!$C$2:$C$2639,100,Data_new!$Q$2:$Q$2639,TRUE)</f>
        <v/>
      </c>
      <c r="F128" s="18">
        <f>_xlfn.MAXIFS(Data_new!$D$2:$D$2639,Data_new!$A$2:$A$2639,2.8,Data_new!$B$2:$B$2639,VALUE(MID($B$127,2,FIND(",",$B$127)-2)),Data_new!$C$2:$C$2639,100,Data_new!$Q$2:$Q$2639,TRUE)</f>
        <v/>
      </c>
      <c r="G128" s="18" t="inlineStr">
        <is>
          <t>nan</t>
        </is>
      </c>
      <c r="H128" s="18" t="inlineStr">
        <is>
          <t>nan</t>
        </is>
      </c>
      <c r="I128" s="18">
        <f>_xlfn.MINIFS(Data_new!$I$2:$I$2639,Data_new!$A$2:$A$2639,2.8,Data_new!$B$2:$B$2639,VALUE(MID($B$127,2,FIND(",",$B$127)-2)),Data_new!$C$2:$C$2639,100,Data_new!$Q$2:$Q$2639,TRUE)</f>
        <v/>
      </c>
      <c r="J128" s="19">
        <f>_xlfn.MAXIFS(Data_new!$I$2:$I$2639,Data_new!$A$2:$A$2639,2.8,Data_new!$B$2:$B$2639,VALUE(MID($B$127,2,FIND(",",$B$127)-2)),Data_new!$C$2:$C$2639,100,Data_new!$Q$2:$Q$2639,TRUE)</f>
        <v/>
      </c>
      <c r="L128" s="20" t="n"/>
      <c r="N128" t="inlineStr">
        <is>
          <t>real_on_ms</t>
        </is>
      </c>
      <c r="O128" s="18">
        <f>_xlfn.MINIFS(Data_new!$D$2:$D$2639,Data_new!$A$2:$A$2639,2.8,Data_new!$B$2:$B$2639,VALUE(MID($L$127,2,FIND(",",$L$127)-2)),Data_new!$C$2:$C$2639,80,Data_new!$Q$2:$Q$2639,TRUE)</f>
        <v/>
      </c>
      <c r="P128" s="18">
        <f>_xlfn.MAXIFS(Data_new!$D$2:$D$2639,Data_new!$A$2:$A$2639,2.8,Data_new!$B$2:$B$2639,VALUE(MID($L$127,2,FIND(",",$L$127)-2)),Data_new!$C$2:$C$2639,80,Data_new!$Q$2:$Q$2639,TRUE)</f>
        <v/>
      </c>
      <c r="Q128" s="18" t="inlineStr">
        <is>
          <t>nan</t>
        </is>
      </c>
      <c r="R128" s="18" t="inlineStr">
        <is>
          <t>nan</t>
        </is>
      </c>
      <c r="S128" s="18">
        <f>_xlfn.MINIFS(Data_new!$I$2:$I$2639,Data_new!$A$2:$A$2639,2.8,Data_new!$B$2:$B$2639,VALUE(MID($L$127,2,FIND(",",$L$127)-2)),Data_new!$C$2:$C$2639,80,Data_new!$Q$2:$Q$2639,TRUE)</f>
        <v/>
      </c>
      <c r="T128" s="19">
        <f>_xlfn.MAXIFS(Data_new!$I$2:$I$2639,Data_new!$A$2:$A$2639,2.8,Data_new!$B$2:$B$2639,VALUE(MID($L$127,2,FIND(",",$L$127)-2)),Data_new!$C$2:$C$2639,80,Data_new!$Q$2:$Q$2639,TRUE)</f>
        <v/>
      </c>
      <c r="V128" s="20" t="n"/>
      <c r="X128" t="inlineStr">
        <is>
          <t>real_on_ms</t>
        </is>
      </c>
      <c r="Y128" s="18">
        <f>_xlfn.MINIFS(Data_new!$D$2:$D$2639,Data_new!$A$2:$A$2639,2.8,Data_new!$B$2:$B$2639,VALUE(MID($V$127,2,FIND(",",$V$127)-2)),Data_new!$C$2:$C$2639,60,Data_new!$Q$2:$Q$2639,TRUE)</f>
        <v/>
      </c>
      <c r="Z128" s="18">
        <f>_xlfn.MAXIFS(Data_new!$D$2:$D$2639,Data_new!$A$2:$A$2639,2.8,Data_new!$B$2:$B$2639,VALUE(MID($V$127,2,FIND(",",$V$127)-2)),Data_new!$C$2:$C$2639,60,Data_new!$Q$2:$Q$2639,TRUE)</f>
        <v/>
      </c>
      <c r="AA128" s="18" t="inlineStr">
        <is>
          <t>nan</t>
        </is>
      </c>
      <c r="AB128" s="18" t="inlineStr">
        <is>
          <t>nan</t>
        </is>
      </c>
      <c r="AC128" s="18">
        <f>_xlfn.MINIFS(Data_new!$I$2:$I$2639,Data_new!$A$2:$A$2639,2.8,Data_new!$B$2:$B$2639,VALUE(MID($V$127,2,FIND(",",$V$127)-2)),Data_new!$C$2:$C$2639,60,Data_new!$Q$2:$Q$2639,TRUE)</f>
        <v/>
      </c>
      <c r="AD128" s="19">
        <f>_xlfn.MAXIFS(Data_new!$I$2:$I$2639,Data_new!$A$2:$A$2639,2.8,Data_new!$B$2:$B$2639,VALUE(MID($V$127,2,FIND(",",$V$127)-2)),Data_new!$C$2:$C$2639,60,Data_new!$Q$2:$Q$2639,TRUE)</f>
        <v/>
      </c>
    </row>
    <row r="129">
      <c r="B129" s="20" t="n"/>
      <c r="E129" s="18" t="n"/>
      <c r="F129" s="18" t="n"/>
      <c r="G129" s="18" t="n"/>
      <c r="H129" s="18" t="n"/>
      <c r="I129" s="18" t="n"/>
      <c r="J129" s="19" t="n"/>
      <c r="L129" s="20" t="n"/>
      <c r="O129" s="18" t="n"/>
      <c r="P129" s="18" t="n"/>
      <c r="Q129" s="18" t="n"/>
      <c r="R129" s="18" t="n"/>
      <c r="S129" s="18" t="n"/>
      <c r="T129" s="19" t="n"/>
      <c r="V129" s="20" t="n"/>
      <c r="Y129" s="18" t="n"/>
      <c r="Z129" s="18" t="n"/>
      <c r="AA129" s="18" t="n"/>
      <c r="AB129" s="18" t="n"/>
      <c r="AC129" s="18" t="n"/>
      <c r="AD129" s="19" t="n"/>
    </row>
    <row r="130">
      <c r="B130" s="17" t="inlineStr">
        <is>
          <t>%15, 2.8V, %100</t>
        </is>
      </c>
      <c r="D130" t="inlineStr">
        <is>
          <t>on_ms</t>
        </is>
      </c>
      <c r="E130" s="18">
        <f>_xlfn.MINIFS(Data_new!$D$2:$D$2639,Data_new!$A$2:$A$2639,2.8,Data_new!$B$2:$B$2639,VALUE(MID($B$130,2,FIND(",",$B$130)-2)),Data_new!$C$2:$C$2639,100,Data_new!$P$2:$P$2639,TRUE)</f>
        <v/>
      </c>
      <c r="F130" s="18">
        <f>_xlfn.MAXIFS(Data_new!$D$2:$D$2639,Data_new!$A$2:$A$2639,2.8,Data_new!$B$2:$B$2639,VALUE(MID($B$130,2,FIND(",",$B$130)-2)),Data_new!$C$2:$C$2639,100,Data_new!$P$2:$P$2639,TRUE)</f>
        <v/>
      </c>
      <c r="G130" s="18">
        <f>_xlfn.MINIFS(Data_new!$H$2:$H$2639,Data_new!$A$2:$A$2639,2.8,Data_new!$B$2:$B$2639,VALUE(MID($B$130,2,FIND(",",$B$130)-2)),Data_new!$C$2:$C$2639,100,Data_new!$P$2:$P$2639,TRUE)</f>
        <v/>
      </c>
      <c r="H130" s="18">
        <f>_xlfn.MAXIFS(Data_new!$H$2:$H$2639,Data_new!$A$2:$A$2639,2.8,Data_new!$B$2:$B$2639,VALUE(MID($B$130,2,FIND(",",$B$130)-2)),Data_new!$C$2:$C$2639,100,Data_new!$P$2:$P$2639,TRUE)</f>
        <v/>
      </c>
      <c r="I130" s="18" t="inlineStr">
        <is>
          <t>nan</t>
        </is>
      </c>
      <c r="J130" s="19" t="inlineStr">
        <is>
          <t>nan</t>
        </is>
      </c>
      <c r="L130" s="17" t="inlineStr">
        <is>
          <t>%15, 2.8V, %80</t>
        </is>
      </c>
      <c r="N130" t="inlineStr">
        <is>
          <t>on_ms</t>
        </is>
      </c>
      <c r="O130" s="18">
        <f>_xlfn.MINIFS(Data_new!$D$2:$D$2639,Data_new!$A$2:$A$2639,2.8,Data_new!$B$2:$B$2639,VALUE(MID($L$130,2,FIND(",",$L$130)-2)),Data_new!$C$2:$C$2639,80,Data_new!$P$2:$P$2639,TRUE)</f>
        <v/>
      </c>
      <c r="P130" s="18">
        <f>_xlfn.MAXIFS(Data_new!$D$2:$D$2639,Data_new!$A$2:$A$2639,2.8,Data_new!$B$2:$B$2639,VALUE(MID($L$130,2,FIND(",",$L$130)-2)),Data_new!$C$2:$C$2639,80,Data_new!$P$2:$P$2639,TRUE)</f>
        <v/>
      </c>
      <c r="Q130" s="18">
        <f>_xlfn.MINIFS(Data_new!$H$2:$H$2639,Data_new!$A$2:$A$2639,2.8,Data_new!$B$2:$B$2639,VALUE(MID($L$130,2,FIND(",",$L$130)-2)),Data_new!$C$2:$C$2639,80,Data_new!$P$2:$P$2639,TRUE)</f>
        <v/>
      </c>
      <c r="R130" s="18">
        <f>_xlfn.MAXIFS(Data_new!$H$2:$H$2639,Data_new!$A$2:$A$2639,2.8,Data_new!$B$2:$B$2639,VALUE(MID($L$130,2,FIND(",",$L$130)-2)),Data_new!$C$2:$C$2639,80,Data_new!$P$2:$P$2639,TRUE)</f>
        <v/>
      </c>
      <c r="S130" s="18" t="inlineStr">
        <is>
          <t>nan</t>
        </is>
      </c>
      <c r="T130" s="19" t="inlineStr">
        <is>
          <t>nan</t>
        </is>
      </c>
      <c r="V130" s="17" t="inlineStr">
        <is>
          <t>%15, 2.8V, %60</t>
        </is>
      </c>
      <c r="X130" t="inlineStr">
        <is>
          <t>on_ms</t>
        </is>
      </c>
      <c r="Y130" s="18">
        <f>_xlfn.MINIFS(Data_new!$D$2:$D$2639,Data_new!$A$2:$A$2639,2.8,Data_new!$B$2:$B$2639,VALUE(MID($V$130,2,FIND(",",$V$130)-2)),Data_new!$C$2:$C$2639,60,Data_new!$P$2:$P$2639,TRUE)</f>
        <v/>
      </c>
      <c r="Z130" s="18">
        <f>_xlfn.MAXIFS(Data_new!$D$2:$D$2639,Data_new!$A$2:$A$2639,2.8,Data_new!$B$2:$B$2639,VALUE(MID($V$130,2,FIND(",",$V$130)-2)),Data_new!$C$2:$C$2639,60,Data_new!$P$2:$P$2639,TRUE)</f>
        <v/>
      </c>
      <c r="AA130" s="18">
        <f>_xlfn.MINIFS(Data_new!$H$2:$H$2639,Data_new!$A$2:$A$2639,2.8,Data_new!$B$2:$B$2639,VALUE(MID($V$130,2,FIND(",",$V$130)-2)),Data_new!$C$2:$C$2639,60,Data_new!$P$2:$P$2639,TRUE)</f>
        <v/>
      </c>
      <c r="AB130" s="18">
        <f>_xlfn.MAXIFS(Data_new!$H$2:$H$2639,Data_new!$A$2:$A$2639,2.8,Data_new!$B$2:$B$2639,VALUE(MID($V$130,2,FIND(",",$V$130)-2)),Data_new!$C$2:$C$2639,60,Data_new!$P$2:$P$2639,TRUE)</f>
        <v/>
      </c>
      <c r="AC130" s="18" t="inlineStr">
        <is>
          <t>nan</t>
        </is>
      </c>
      <c r="AD130" s="19" t="inlineStr">
        <is>
          <t>nan</t>
        </is>
      </c>
    </row>
    <row r="131">
      <c r="B131" s="20" t="n"/>
      <c r="D131" t="inlineStr">
        <is>
          <t>real_on_ms</t>
        </is>
      </c>
      <c r="E131" s="18">
        <f>_xlfn.MINIFS(Data_new!$D$2:$D$2639,Data_new!$A$2:$A$2639,2.8,Data_new!$B$2:$B$2639,VALUE(MID($B$130,2,FIND(",",$B$130)-2)),Data_new!$C$2:$C$2639,100,Data_new!$Q$2:$Q$2639,TRUE)</f>
        <v/>
      </c>
      <c r="F131" s="18">
        <f>_xlfn.MAXIFS(Data_new!$D$2:$D$2639,Data_new!$A$2:$A$2639,2.8,Data_new!$B$2:$B$2639,VALUE(MID($B$130,2,FIND(",",$B$130)-2)),Data_new!$C$2:$C$2639,100,Data_new!$Q$2:$Q$2639,TRUE)</f>
        <v/>
      </c>
      <c r="G131" s="18" t="inlineStr">
        <is>
          <t>nan</t>
        </is>
      </c>
      <c r="H131" s="18" t="inlineStr">
        <is>
          <t>nan</t>
        </is>
      </c>
      <c r="I131" s="18">
        <f>_xlfn.MINIFS(Data_new!$I$2:$I$2639,Data_new!$A$2:$A$2639,2.8,Data_new!$B$2:$B$2639,VALUE(MID($B$130,2,FIND(",",$B$130)-2)),Data_new!$C$2:$C$2639,100,Data_new!$Q$2:$Q$2639,TRUE)</f>
        <v/>
      </c>
      <c r="J131" s="19">
        <f>_xlfn.MAXIFS(Data_new!$I$2:$I$2639,Data_new!$A$2:$A$2639,2.8,Data_new!$B$2:$B$2639,VALUE(MID($B$130,2,FIND(",",$B$130)-2)),Data_new!$C$2:$C$2639,100,Data_new!$Q$2:$Q$2639,TRUE)</f>
        <v/>
      </c>
      <c r="L131" s="20" t="n"/>
      <c r="N131" t="inlineStr">
        <is>
          <t>real_on_ms</t>
        </is>
      </c>
      <c r="O131" s="18">
        <f>_xlfn.MINIFS(Data_new!$D$2:$D$2639,Data_new!$A$2:$A$2639,2.8,Data_new!$B$2:$B$2639,VALUE(MID($L$130,2,FIND(",",$L$130)-2)),Data_new!$C$2:$C$2639,80,Data_new!$Q$2:$Q$2639,TRUE)</f>
        <v/>
      </c>
      <c r="P131" s="18">
        <f>_xlfn.MAXIFS(Data_new!$D$2:$D$2639,Data_new!$A$2:$A$2639,2.8,Data_new!$B$2:$B$2639,VALUE(MID($L$130,2,FIND(",",$L$130)-2)),Data_new!$C$2:$C$2639,80,Data_new!$Q$2:$Q$2639,TRUE)</f>
        <v/>
      </c>
      <c r="Q131" s="18" t="inlineStr">
        <is>
          <t>nan</t>
        </is>
      </c>
      <c r="R131" s="18" t="inlineStr">
        <is>
          <t>nan</t>
        </is>
      </c>
      <c r="S131" s="18">
        <f>_xlfn.MINIFS(Data_new!$I$2:$I$2639,Data_new!$A$2:$A$2639,2.8,Data_new!$B$2:$B$2639,VALUE(MID($L$130,2,FIND(",",$L$130)-2)),Data_new!$C$2:$C$2639,80,Data_new!$Q$2:$Q$2639,TRUE)</f>
        <v/>
      </c>
      <c r="T131" s="19">
        <f>_xlfn.MAXIFS(Data_new!$I$2:$I$2639,Data_new!$A$2:$A$2639,2.8,Data_new!$B$2:$B$2639,VALUE(MID($L$130,2,FIND(",",$L$130)-2)),Data_new!$C$2:$C$2639,80,Data_new!$Q$2:$Q$2639,TRUE)</f>
        <v/>
      </c>
      <c r="V131" s="20" t="n"/>
      <c r="X131" t="inlineStr">
        <is>
          <t>real_on_ms</t>
        </is>
      </c>
      <c r="Y131" s="18">
        <f>_xlfn.MINIFS(Data_new!$D$2:$D$2639,Data_new!$A$2:$A$2639,2.8,Data_new!$B$2:$B$2639,VALUE(MID($V$130,2,FIND(",",$V$130)-2)),Data_new!$C$2:$C$2639,60,Data_new!$Q$2:$Q$2639,TRUE)</f>
        <v/>
      </c>
      <c r="Z131" s="18">
        <f>_xlfn.MAXIFS(Data_new!$D$2:$D$2639,Data_new!$A$2:$A$2639,2.8,Data_new!$B$2:$B$2639,VALUE(MID($V$130,2,FIND(",",$V$130)-2)),Data_new!$C$2:$C$2639,60,Data_new!$Q$2:$Q$2639,TRUE)</f>
        <v/>
      </c>
      <c r="AA131" s="18" t="inlineStr">
        <is>
          <t>nan</t>
        </is>
      </c>
      <c r="AB131" s="18" t="inlineStr">
        <is>
          <t>nan</t>
        </is>
      </c>
      <c r="AC131" s="18">
        <f>_xlfn.MINIFS(Data_new!$I$2:$I$2639,Data_new!$A$2:$A$2639,2.8,Data_new!$B$2:$B$2639,VALUE(MID($V$130,2,FIND(",",$V$130)-2)),Data_new!$C$2:$C$2639,60,Data_new!$Q$2:$Q$2639,TRUE)</f>
        <v/>
      </c>
      <c r="AD131" s="19">
        <f>_xlfn.MAXIFS(Data_new!$I$2:$I$2639,Data_new!$A$2:$A$2639,2.8,Data_new!$B$2:$B$2639,VALUE(MID($V$130,2,FIND(",",$V$130)-2)),Data_new!$C$2:$C$2639,60,Data_new!$Q$2:$Q$2639,TRUE)</f>
        <v/>
      </c>
    </row>
    <row r="132">
      <c r="B132" s="20" t="n"/>
      <c r="E132" s="18" t="n"/>
      <c r="F132" s="18" t="n"/>
      <c r="G132" s="18" t="n"/>
      <c r="H132" s="18" t="n"/>
      <c r="I132" s="18" t="n"/>
      <c r="J132" s="19" t="n"/>
      <c r="L132" s="20" t="n"/>
      <c r="O132" s="18" t="n"/>
      <c r="P132" s="18" t="n"/>
      <c r="Q132" s="18" t="n"/>
      <c r="R132" s="18" t="n"/>
      <c r="S132" s="18" t="n"/>
      <c r="T132" s="19" t="n"/>
      <c r="V132" s="20" t="n"/>
      <c r="Y132" s="18" t="n"/>
      <c r="Z132" s="18" t="n"/>
      <c r="AA132" s="18" t="n"/>
      <c r="AB132" s="18" t="n"/>
      <c r="AC132" s="18" t="n"/>
      <c r="AD132" s="19" t="n"/>
    </row>
    <row r="133">
      <c r="B133" s="21" t="inlineStr">
        <is>
          <t>%100, 2.8V, %100</t>
        </is>
      </c>
      <c r="D133" t="inlineStr">
        <is>
          <t>on_ms</t>
        </is>
      </c>
      <c r="E133" s="18">
        <f>_xlfn.MINIFS(Data_new!$D$2:$D$2639,Data_new!$A$2:$A$2639,2.8,Data_new!$B$2:$B$2639,VALUE(MID($B$133,2,FIND(",",$B$133)-2)),Data_new!$C$2:$C$2639,100,Data_new!$P$2:$P$2639,TRUE)</f>
        <v/>
      </c>
      <c r="F133" s="18">
        <f>_xlfn.MAXIFS(Data_new!$D$2:$D$2639,Data_new!$A$2:$A$2639,2.8,Data_new!$B$2:$B$2639,VALUE(MID($B$133,2,FIND(",",$B$133)-2)),Data_new!$C$2:$C$2639,100,Data_new!$P$2:$P$2639,TRUE)</f>
        <v/>
      </c>
      <c r="G133" s="18">
        <f>_xlfn.MINIFS(Data_new!$H$2:$H$2639,Data_new!$A$2:$A$2639,2.8,Data_new!$B$2:$B$2639,VALUE(MID($B$133,2,FIND(",",$B$133)-2)),Data_new!$C$2:$C$2639,100,Data_new!$P$2:$P$2639,TRUE)</f>
        <v/>
      </c>
      <c r="H133" s="18">
        <f>_xlfn.MAXIFS(Data_new!$H$2:$H$2639,Data_new!$A$2:$A$2639,2.8,Data_new!$B$2:$B$2639,VALUE(MID($B$133,2,FIND(",",$B$133)-2)),Data_new!$C$2:$C$2639,100,Data_new!$P$2:$P$2639,TRUE)</f>
        <v/>
      </c>
      <c r="I133" s="18" t="inlineStr">
        <is>
          <t>nan</t>
        </is>
      </c>
      <c r="J133" s="19" t="inlineStr">
        <is>
          <t>nan</t>
        </is>
      </c>
      <c r="L133" s="21" t="inlineStr">
        <is>
          <t>%100, 2.8V, %80</t>
        </is>
      </c>
      <c r="N133" t="inlineStr">
        <is>
          <t>on_ms</t>
        </is>
      </c>
      <c r="O133" s="18">
        <f>_xlfn.MINIFS(Data_new!$D$2:$D$2639,Data_new!$A$2:$A$2639,2.8,Data_new!$B$2:$B$2639,VALUE(MID($L$133,2,FIND(",",$L$133)-2)),Data_new!$C$2:$C$2639,80,Data_new!$P$2:$P$2639,TRUE)</f>
        <v/>
      </c>
      <c r="P133" s="18">
        <f>_xlfn.MAXIFS(Data_new!$D$2:$D$2639,Data_new!$A$2:$A$2639,2.8,Data_new!$B$2:$B$2639,VALUE(MID($L$133,2,FIND(",",$L$133)-2)),Data_new!$C$2:$C$2639,80,Data_new!$P$2:$P$2639,TRUE)</f>
        <v/>
      </c>
      <c r="Q133" s="18">
        <f>_xlfn.MINIFS(Data_new!$H$2:$H$2639,Data_new!$A$2:$A$2639,2.8,Data_new!$B$2:$B$2639,VALUE(MID($L$133,2,FIND(",",$L$133)-2)),Data_new!$C$2:$C$2639,80,Data_new!$P$2:$P$2639,TRUE)</f>
        <v/>
      </c>
      <c r="R133" s="18">
        <f>_xlfn.MAXIFS(Data_new!$H$2:$H$2639,Data_new!$A$2:$A$2639,2.8,Data_new!$B$2:$B$2639,VALUE(MID($L$133,2,FIND(",",$L$133)-2)),Data_new!$C$2:$C$2639,80,Data_new!$P$2:$P$2639,TRUE)</f>
        <v/>
      </c>
      <c r="S133" s="18" t="inlineStr">
        <is>
          <t>nan</t>
        </is>
      </c>
      <c r="T133" s="19" t="inlineStr">
        <is>
          <t>nan</t>
        </is>
      </c>
      <c r="V133" s="21" t="inlineStr">
        <is>
          <t>%100, 2.8V, %60</t>
        </is>
      </c>
      <c r="X133" t="inlineStr">
        <is>
          <t>on_ms</t>
        </is>
      </c>
      <c r="Y133" s="18">
        <f>_xlfn.MINIFS(Data_new!$D$2:$D$2639,Data_new!$A$2:$A$2639,2.8,Data_new!$B$2:$B$2639,VALUE(MID($V$133,2,FIND(",",$V$133)-2)),Data_new!$C$2:$C$2639,60,Data_new!$P$2:$P$2639,TRUE)</f>
        <v/>
      </c>
      <c r="Z133" s="18">
        <f>_xlfn.MAXIFS(Data_new!$D$2:$D$2639,Data_new!$A$2:$A$2639,2.8,Data_new!$B$2:$B$2639,VALUE(MID($V$133,2,FIND(",",$V$133)-2)),Data_new!$C$2:$C$2639,60,Data_new!$P$2:$P$2639,TRUE)</f>
        <v/>
      </c>
      <c r="AA133" s="18">
        <f>_xlfn.MINIFS(Data_new!$H$2:$H$2639,Data_new!$A$2:$A$2639,2.8,Data_new!$B$2:$B$2639,VALUE(MID($V$133,2,FIND(",",$V$133)-2)),Data_new!$C$2:$C$2639,60,Data_new!$P$2:$P$2639,TRUE)</f>
        <v/>
      </c>
      <c r="AB133" s="18">
        <f>_xlfn.MAXIFS(Data_new!$H$2:$H$2639,Data_new!$A$2:$A$2639,2.8,Data_new!$B$2:$B$2639,VALUE(MID($V$133,2,FIND(",",$V$133)-2)),Data_new!$C$2:$C$2639,60,Data_new!$P$2:$P$2639,TRUE)</f>
        <v/>
      </c>
      <c r="AC133" s="18" t="inlineStr">
        <is>
          <t>nan</t>
        </is>
      </c>
      <c r="AD133" s="19" t="inlineStr">
        <is>
          <t>nan</t>
        </is>
      </c>
    </row>
    <row r="134">
      <c r="B134" s="22" t="n"/>
      <c r="C134" s="11" t="n"/>
      <c r="D134" s="11" t="inlineStr">
        <is>
          <t>real_on_ms</t>
        </is>
      </c>
      <c r="E134" s="23">
        <f>_xlfn.MINIFS(Data_new!$D$2:$D$2639,Data_new!$A$2:$A$2639,2.8,Data_new!$B$2:$B$2639,VALUE(MID($B$133,2,FIND(",",$B$133)-2)),Data_new!$C$2:$C$2639,100,Data_new!$Q$2:$Q$2639,TRUE)</f>
        <v/>
      </c>
      <c r="F134" s="23">
        <f>_xlfn.MAXIFS(Data_new!$D$2:$D$2639,Data_new!$A$2:$A$2639,2.8,Data_new!$B$2:$B$2639,VALUE(MID($B$133,2,FIND(",",$B$133)-2)),Data_new!$C$2:$C$2639,100,Data_new!$Q$2:$Q$2639,TRUE)</f>
        <v/>
      </c>
      <c r="G134" s="23" t="inlineStr">
        <is>
          <t>nan</t>
        </is>
      </c>
      <c r="H134" s="23" t="inlineStr">
        <is>
          <t>nan</t>
        </is>
      </c>
      <c r="I134" s="23">
        <f>_xlfn.MINIFS(Data_new!$I$2:$I$2639,Data_new!$A$2:$A$2639,2.8,Data_new!$B$2:$B$2639,VALUE(MID($B$133,2,FIND(",",$B$133)-2)),Data_new!$C$2:$C$2639,100,Data_new!$Q$2:$Q$2639,TRUE)</f>
        <v/>
      </c>
      <c r="J134" s="24">
        <f>_xlfn.MAXIFS(Data_new!$I$2:$I$2639,Data_new!$A$2:$A$2639,2.8,Data_new!$B$2:$B$2639,VALUE(MID($B$133,2,FIND(",",$B$133)-2)),Data_new!$C$2:$C$2639,100,Data_new!$Q$2:$Q$2639,TRUE)</f>
        <v/>
      </c>
      <c r="L134" s="22" t="n"/>
      <c r="M134" s="11" t="n"/>
      <c r="N134" s="11" t="inlineStr">
        <is>
          <t>real_on_ms</t>
        </is>
      </c>
      <c r="O134" s="23">
        <f>_xlfn.MINIFS(Data_new!$D$2:$D$2639,Data_new!$A$2:$A$2639,2.8,Data_new!$B$2:$B$2639,VALUE(MID($L$133,2,FIND(",",$L$133)-2)),Data_new!$C$2:$C$2639,80,Data_new!$Q$2:$Q$2639,TRUE)</f>
        <v/>
      </c>
      <c r="P134" s="23">
        <f>_xlfn.MAXIFS(Data_new!$D$2:$D$2639,Data_new!$A$2:$A$2639,2.8,Data_new!$B$2:$B$2639,VALUE(MID($L$133,2,FIND(",",$L$133)-2)),Data_new!$C$2:$C$2639,80,Data_new!$Q$2:$Q$2639,TRUE)</f>
        <v/>
      </c>
      <c r="Q134" s="23" t="inlineStr">
        <is>
          <t>nan</t>
        </is>
      </c>
      <c r="R134" s="23" t="inlineStr">
        <is>
          <t>nan</t>
        </is>
      </c>
      <c r="S134" s="23">
        <f>_xlfn.MINIFS(Data_new!$I$2:$I$2639,Data_new!$A$2:$A$2639,2.8,Data_new!$B$2:$B$2639,VALUE(MID($L$133,2,FIND(",",$L$133)-2)),Data_new!$C$2:$C$2639,80,Data_new!$Q$2:$Q$2639,TRUE)</f>
        <v/>
      </c>
      <c r="T134" s="24">
        <f>_xlfn.MAXIFS(Data_new!$I$2:$I$2639,Data_new!$A$2:$A$2639,2.8,Data_new!$B$2:$B$2639,VALUE(MID($L$133,2,FIND(",",$L$133)-2)),Data_new!$C$2:$C$2639,80,Data_new!$Q$2:$Q$2639,TRUE)</f>
        <v/>
      </c>
      <c r="V134" s="22" t="n"/>
      <c r="W134" s="11" t="n"/>
      <c r="X134" s="11" t="inlineStr">
        <is>
          <t>real_on_ms</t>
        </is>
      </c>
      <c r="Y134" s="23">
        <f>_xlfn.MINIFS(Data_new!$D$2:$D$2639,Data_new!$A$2:$A$2639,2.8,Data_new!$B$2:$B$2639,VALUE(MID($V$133,2,FIND(",",$V$133)-2)),Data_new!$C$2:$C$2639,60,Data_new!$Q$2:$Q$2639,TRUE)</f>
        <v/>
      </c>
      <c r="Z134" s="23">
        <f>_xlfn.MAXIFS(Data_new!$D$2:$D$2639,Data_new!$A$2:$A$2639,2.8,Data_new!$B$2:$B$2639,VALUE(MID($V$133,2,FIND(",",$V$133)-2)),Data_new!$C$2:$C$2639,60,Data_new!$Q$2:$Q$2639,TRUE)</f>
        <v/>
      </c>
      <c r="AA134" s="23" t="inlineStr">
        <is>
          <t>nan</t>
        </is>
      </c>
      <c r="AB134" s="23" t="inlineStr">
        <is>
          <t>nan</t>
        </is>
      </c>
      <c r="AC134" s="23">
        <f>_xlfn.MINIFS(Data_new!$I$2:$I$2639,Data_new!$A$2:$A$2639,2.8,Data_new!$B$2:$B$2639,VALUE(MID($V$133,2,FIND(",",$V$133)-2)),Data_new!$C$2:$C$2639,60,Data_new!$Q$2:$Q$2639,TRUE)</f>
        <v/>
      </c>
      <c r="AD134" s="24">
        <f>_xlfn.MAXIFS(Data_new!$I$2:$I$2639,Data_new!$A$2:$A$2639,2.8,Data_new!$B$2:$B$2639,VALUE(MID($V$133,2,FIND(",",$V$133)-2)),Data_new!$C$2:$C$2639,60,Data_new!$Q$2:$Q$2639,TRUE)</f>
        <v/>
      </c>
    </row>
    <row r="140">
      <c r="B140" s="13" t="n"/>
      <c r="C140" s="14" t="n"/>
      <c r="D140" s="14" t="n"/>
      <c r="E140" s="15" t="inlineStr">
        <is>
          <t>min_kick_ms</t>
        </is>
      </c>
      <c r="F140" s="15" t="inlineStr">
        <is>
          <t>max_kick_ms</t>
        </is>
      </c>
      <c r="G140" s="15" t="inlineStr">
        <is>
          <t>min_on_ms</t>
        </is>
      </c>
      <c r="H140" s="15" t="inlineStr">
        <is>
          <t>max_on_ms</t>
        </is>
      </c>
      <c r="I140" s="15" t="inlineStr">
        <is>
          <t>min_real_on_ms</t>
        </is>
      </c>
      <c r="J140" s="16" t="inlineStr">
        <is>
          <t>max_real_on_ms</t>
        </is>
      </c>
      <c r="L140" s="13" t="n"/>
      <c r="M140" s="14" t="n"/>
      <c r="N140" s="14" t="n"/>
      <c r="O140" s="15" t="inlineStr">
        <is>
          <t>min_kick_ms</t>
        </is>
      </c>
      <c r="P140" s="15" t="inlineStr">
        <is>
          <t>max_kick_ms</t>
        </is>
      </c>
      <c r="Q140" s="15" t="inlineStr">
        <is>
          <t>min_on_ms</t>
        </is>
      </c>
      <c r="R140" s="15" t="inlineStr">
        <is>
          <t>max_on_ms</t>
        </is>
      </c>
      <c r="S140" s="15" t="inlineStr">
        <is>
          <t>min_real_on_ms</t>
        </is>
      </c>
      <c r="T140" s="16" t="inlineStr">
        <is>
          <t>max_real_on_ms</t>
        </is>
      </c>
      <c r="V140" s="13" t="n"/>
      <c r="W140" s="14" t="n"/>
      <c r="X140" s="14" t="n"/>
      <c r="Y140" s="15" t="inlineStr">
        <is>
          <t>min_kick_ms</t>
        </is>
      </c>
      <c r="Z140" s="15" t="inlineStr">
        <is>
          <t>max_kick_ms</t>
        </is>
      </c>
      <c r="AA140" s="15" t="inlineStr">
        <is>
          <t>min_on_ms</t>
        </is>
      </c>
      <c r="AB140" s="15" t="inlineStr">
        <is>
          <t>max_on_ms</t>
        </is>
      </c>
      <c r="AC140" s="15" t="inlineStr">
        <is>
          <t>min_real_on_ms</t>
        </is>
      </c>
      <c r="AD140" s="16" t="inlineStr">
        <is>
          <t>max_real_on_ms</t>
        </is>
      </c>
    </row>
    <row r="141">
      <c r="B141" s="17" t="inlineStr">
        <is>
          <t>%6, 2.6V, %100</t>
        </is>
      </c>
      <c r="D141" t="inlineStr">
        <is>
          <t>on_ms</t>
        </is>
      </c>
      <c r="E141" s="18">
        <f>_xlfn.MINIFS(Data_new!$D$2:$D$2639,Data_new!$A$2:$A$2639,2.6,Data_new!$B$2:$B$2639,VALUE(MID($B$141,2,FIND(",",$B$141)-2)),Data_new!$C$2:$C$2639,100,Data_new!$P$2:$P$2639,TRUE)</f>
        <v/>
      </c>
      <c r="F141" s="18">
        <f>_xlfn.MAXIFS(Data_new!$D$2:$D$2639,Data_new!$A$2:$A$2639,2.6,Data_new!$B$2:$B$2639,VALUE(MID($B$141,2,FIND(",",$B$141)-2)),Data_new!$C$2:$C$2639,100,Data_new!$P$2:$P$2639,TRUE)</f>
        <v/>
      </c>
      <c r="G141" s="18">
        <f>_xlfn.MINIFS(Data_new!$H$2:$H$2639,Data_new!$A$2:$A$2639,2.6,Data_new!$B$2:$B$2639,VALUE(MID($B$141,2,FIND(",",$B$141)-2)),Data_new!$C$2:$C$2639,100,Data_new!$P$2:$P$2639,TRUE)</f>
        <v/>
      </c>
      <c r="H141" s="18">
        <f>_xlfn.MAXIFS(Data_new!$H$2:$H$2639,Data_new!$A$2:$A$2639,2.6,Data_new!$B$2:$B$2639,VALUE(MID($B$141,2,FIND(",",$B$141)-2)),Data_new!$C$2:$C$2639,100,Data_new!$P$2:$P$2639,TRUE)</f>
        <v/>
      </c>
      <c r="I141" s="18" t="inlineStr">
        <is>
          <t>nan</t>
        </is>
      </c>
      <c r="J141" s="19" t="inlineStr">
        <is>
          <t>nan</t>
        </is>
      </c>
      <c r="L141" s="17" t="inlineStr">
        <is>
          <t>%6, 2.6V, %80</t>
        </is>
      </c>
      <c r="N141" t="inlineStr">
        <is>
          <t>on_ms</t>
        </is>
      </c>
      <c r="O141" s="18">
        <f>_xlfn.MINIFS(Data_new!$D$2:$D$2639,Data_new!$A$2:$A$2639,2.6,Data_new!$B$2:$B$2639,VALUE(MID($L$141,2,FIND(",",$L$141)-2)),Data_new!$C$2:$C$2639,80,Data_new!$P$2:$P$2639,TRUE)</f>
        <v/>
      </c>
      <c r="P141" s="18">
        <f>_xlfn.MAXIFS(Data_new!$D$2:$D$2639,Data_new!$A$2:$A$2639,2.6,Data_new!$B$2:$B$2639,VALUE(MID($L$141,2,FIND(",",$L$141)-2)),Data_new!$C$2:$C$2639,80,Data_new!$P$2:$P$2639,TRUE)</f>
        <v/>
      </c>
      <c r="Q141" s="18">
        <f>_xlfn.MINIFS(Data_new!$H$2:$H$2639,Data_new!$A$2:$A$2639,2.6,Data_new!$B$2:$B$2639,VALUE(MID($L$141,2,FIND(",",$L$141)-2)),Data_new!$C$2:$C$2639,80,Data_new!$P$2:$P$2639,TRUE)</f>
        <v/>
      </c>
      <c r="R141" s="18">
        <f>_xlfn.MAXIFS(Data_new!$H$2:$H$2639,Data_new!$A$2:$A$2639,2.6,Data_new!$B$2:$B$2639,VALUE(MID($L$141,2,FIND(",",$L$141)-2)),Data_new!$C$2:$C$2639,80,Data_new!$P$2:$P$2639,TRUE)</f>
        <v/>
      </c>
      <c r="S141" s="18" t="inlineStr">
        <is>
          <t>nan</t>
        </is>
      </c>
      <c r="T141" s="19" t="inlineStr">
        <is>
          <t>nan</t>
        </is>
      </c>
      <c r="V141" s="17" t="inlineStr">
        <is>
          <t>%6, 2.6V, %60</t>
        </is>
      </c>
      <c r="X141" t="inlineStr">
        <is>
          <t>on_ms</t>
        </is>
      </c>
      <c r="Y141" s="18">
        <f>_xlfn.MINIFS(Data_new!$D$2:$D$2639,Data_new!$A$2:$A$2639,2.6,Data_new!$B$2:$B$2639,VALUE(MID($V$141,2,FIND(",",$V$141)-2)),Data_new!$C$2:$C$2639,60,Data_new!$P$2:$P$2639,TRUE)</f>
        <v/>
      </c>
      <c r="Z141" s="18">
        <f>_xlfn.MAXIFS(Data_new!$D$2:$D$2639,Data_new!$A$2:$A$2639,2.6,Data_new!$B$2:$B$2639,VALUE(MID($V$141,2,FIND(",",$V$141)-2)),Data_new!$C$2:$C$2639,60,Data_new!$P$2:$P$2639,TRUE)</f>
        <v/>
      </c>
      <c r="AA141" s="18">
        <f>_xlfn.MINIFS(Data_new!$H$2:$H$2639,Data_new!$A$2:$A$2639,2.6,Data_new!$B$2:$B$2639,VALUE(MID($V$141,2,FIND(",",$V$141)-2)),Data_new!$C$2:$C$2639,60,Data_new!$P$2:$P$2639,TRUE)</f>
        <v/>
      </c>
      <c r="AB141" s="18">
        <f>_xlfn.MAXIFS(Data_new!$H$2:$H$2639,Data_new!$A$2:$A$2639,2.6,Data_new!$B$2:$B$2639,VALUE(MID($V$141,2,FIND(",",$V$141)-2)),Data_new!$C$2:$C$2639,60,Data_new!$P$2:$P$2639,TRUE)</f>
        <v/>
      </c>
      <c r="AC141" s="18" t="inlineStr">
        <is>
          <t>nan</t>
        </is>
      </c>
      <c r="AD141" s="19" t="inlineStr">
        <is>
          <t>nan</t>
        </is>
      </c>
    </row>
    <row r="142">
      <c r="B142" s="20" t="n"/>
      <c r="D142" t="inlineStr">
        <is>
          <t>real_on_ms</t>
        </is>
      </c>
      <c r="E142" s="18">
        <f>_xlfn.MINIFS(Data_new!$D$2:$D$2639,Data_new!$A$2:$A$2639,2.6,Data_new!$B$2:$B$2639,VALUE(MID($B$141,2,FIND(",",$B$141)-2)),Data_new!$C$2:$C$2639,100,Data_new!$Q$2:$Q$2639,TRUE)</f>
        <v/>
      </c>
      <c r="F142" s="18">
        <f>_xlfn.MAXIFS(Data_new!$D$2:$D$2639,Data_new!$A$2:$A$2639,2.6,Data_new!$B$2:$B$2639,VALUE(MID($B$141,2,FIND(",",$B$141)-2)),Data_new!$C$2:$C$2639,100,Data_new!$Q$2:$Q$2639,TRUE)</f>
        <v/>
      </c>
      <c r="G142" s="18" t="inlineStr">
        <is>
          <t>nan</t>
        </is>
      </c>
      <c r="H142" s="18" t="inlineStr">
        <is>
          <t>nan</t>
        </is>
      </c>
      <c r="I142" s="18">
        <f>_xlfn.MINIFS(Data_new!$I$2:$I$2639,Data_new!$A$2:$A$2639,2.6,Data_new!$B$2:$B$2639,VALUE(MID($B$141,2,FIND(",",$B$141)-2)),Data_new!$C$2:$C$2639,100,Data_new!$Q$2:$Q$2639,TRUE)</f>
        <v/>
      </c>
      <c r="J142" s="19">
        <f>_xlfn.MAXIFS(Data_new!$I$2:$I$2639,Data_new!$A$2:$A$2639,2.6,Data_new!$B$2:$B$2639,VALUE(MID($B$141,2,FIND(",",$B$141)-2)),Data_new!$C$2:$C$2639,100,Data_new!$Q$2:$Q$2639,TRUE)</f>
        <v/>
      </c>
      <c r="L142" s="20" t="n"/>
      <c r="N142" t="inlineStr">
        <is>
          <t>real_on_ms</t>
        </is>
      </c>
      <c r="O142" s="18">
        <f>_xlfn.MINIFS(Data_new!$D$2:$D$2639,Data_new!$A$2:$A$2639,2.6,Data_new!$B$2:$B$2639,VALUE(MID($L$141,2,FIND(",",$L$141)-2)),Data_new!$C$2:$C$2639,80,Data_new!$Q$2:$Q$2639,TRUE)</f>
        <v/>
      </c>
      <c r="P142" s="18">
        <f>_xlfn.MAXIFS(Data_new!$D$2:$D$2639,Data_new!$A$2:$A$2639,2.6,Data_new!$B$2:$B$2639,VALUE(MID($L$141,2,FIND(",",$L$141)-2)),Data_new!$C$2:$C$2639,80,Data_new!$Q$2:$Q$2639,TRUE)</f>
        <v/>
      </c>
      <c r="Q142" s="18" t="inlineStr">
        <is>
          <t>nan</t>
        </is>
      </c>
      <c r="R142" s="18" t="inlineStr">
        <is>
          <t>nan</t>
        </is>
      </c>
      <c r="S142" s="18">
        <f>_xlfn.MINIFS(Data_new!$I$2:$I$2639,Data_new!$A$2:$A$2639,2.6,Data_new!$B$2:$B$2639,VALUE(MID($L$141,2,FIND(",",$L$141)-2)),Data_new!$C$2:$C$2639,80,Data_new!$Q$2:$Q$2639,TRUE)</f>
        <v/>
      </c>
      <c r="T142" s="19">
        <f>_xlfn.MAXIFS(Data_new!$I$2:$I$2639,Data_new!$A$2:$A$2639,2.6,Data_new!$B$2:$B$2639,VALUE(MID($L$141,2,FIND(",",$L$141)-2)),Data_new!$C$2:$C$2639,80,Data_new!$Q$2:$Q$2639,TRUE)</f>
        <v/>
      </c>
      <c r="V142" s="20" t="n"/>
      <c r="X142" t="inlineStr">
        <is>
          <t>real_on_ms</t>
        </is>
      </c>
      <c r="Y142" s="18">
        <f>_xlfn.MINIFS(Data_new!$D$2:$D$2639,Data_new!$A$2:$A$2639,2.6,Data_new!$B$2:$B$2639,VALUE(MID($V$141,2,FIND(",",$V$141)-2)),Data_new!$C$2:$C$2639,60,Data_new!$Q$2:$Q$2639,TRUE)</f>
        <v/>
      </c>
      <c r="Z142" s="18">
        <f>_xlfn.MAXIFS(Data_new!$D$2:$D$2639,Data_new!$A$2:$A$2639,2.6,Data_new!$B$2:$B$2639,VALUE(MID($V$141,2,FIND(",",$V$141)-2)),Data_new!$C$2:$C$2639,60,Data_new!$Q$2:$Q$2639,TRUE)</f>
        <v/>
      </c>
      <c r="AA142" s="18" t="inlineStr">
        <is>
          <t>nan</t>
        </is>
      </c>
      <c r="AB142" s="18" t="inlineStr">
        <is>
          <t>nan</t>
        </is>
      </c>
      <c r="AC142" s="18">
        <f>_xlfn.MINIFS(Data_new!$I$2:$I$2639,Data_new!$A$2:$A$2639,2.6,Data_new!$B$2:$B$2639,VALUE(MID($V$141,2,FIND(",",$V$141)-2)),Data_new!$C$2:$C$2639,60,Data_new!$Q$2:$Q$2639,TRUE)</f>
        <v/>
      </c>
      <c r="AD142" s="19">
        <f>_xlfn.MAXIFS(Data_new!$I$2:$I$2639,Data_new!$A$2:$A$2639,2.6,Data_new!$B$2:$B$2639,VALUE(MID($V$141,2,FIND(",",$V$141)-2)),Data_new!$C$2:$C$2639,60,Data_new!$Q$2:$Q$2639,TRUE)</f>
        <v/>
      </c>
    </row>
    <row r="143">
      <c r="B143" s="20" t="n"/>
      <c r="E143" s="18" t="n"/>
      <c r="F143" s="18" t="n"/>
      <c r="G143" s="18" t="n"/>
      <c r="H143" s="18" t="n"/>
      <c r="I143" s="18" t="n"/>
      <c r="J143" s="19" t="n"/>
      <c r="L143" s="20" t="n"/>
      <c r="O143" s="18" t="n"/>
      <c r="P143" s="18" t="n"/>
      <c r="Q143" s="18" t="n"/>
      <c r="R143" s="18" t="n"/>
      <c r="S143" s="18" t="n"/>
      <c r="T143" s="19" t="n"/>
      <c r="V143" s="20" t="n"/>
      <c r="Y143" s="18" t="n"/>
      <c r="Z143" s="18" t="n"/>
      <c r="AA143" s="18" t="n"/>
      <c r="AB143" s="18" t="n"/>
      <c r="AC143" s="18" t="n"/>
      <c r="AD143" s="19" t="n"/>
    </row>
    <row r="144">
      <c r="B144" s="17" t="inlineStr">
        <is>
          <t>%7, 2.6V, %100</t>
        </is>
      </c>
      <c r="D144" t="inlineStr">
        <is>
          <t>on_ms</t>
        </is>
      </c>
      <c r="E144" s="18">
        <f>_xlfn.MINIFS(Data_new!$D$2:$D$2639,Data_new!$A$2:$A$2639,2.6,Data_new!$B$2:$B$2639,VALUE(MID($B$144,2,FIND(",",$B$144)-2)),Data_new!$C$2:$C$2639,100,Data_new!$P$2:$P$2639,TRUE)</f>
        <v/>
      </c>
      <c r="F144" s="18">
        <f>_xlfn.MAXIFS(Data_new!$D$2:$D$2639,Data_new!$A$2:$A$2639,2.6,Data_new!$B$2:$B$2639,VALUE(MID($B$144,2,FIND(",",$B$144)-2)),Data_new!$C$2:$C$2639,100,Data_new!$P$2:$P$2639,TRUE)</f>
        <v/>
      </c>
      <c r="G144" s="18">
        <f>_xlfn.MINIFS(Data_new!$H$2:$H$2639,Data_new!$A$2:$A$2639,2.6,Data_new!$B$2:$B$2639,VALUE(MID($B$144,2,FIND(",",$B$144)-2)),Data_new!$C$2:$C$2639,100,Data_new!$P$2:$P$2639,TRUE)</f>
        <v/>
      </c>
      <c r="H144" s="18">
        <f>_xlfn.MAXIFS(Data_new!$H$2:$H$2639,Data_new!$A$2:$A$2639,2.6,Data_new!$B$2:$B$2639,VALUE(MID($B$144,2,FIND(",",$B$144)-2)),Data_new!$C$2:$C$2639,100,Data_new!$P$2:$P$2639,TRUE)</f>
        <v/>
      </c>
      <c r="I144" s="18" t="inlineStr">
        <is>
          <t>nan</t>
        </is>
      </c>
      <c r="J144" s="19" t="inlineStr">
        <is>
          <t>nan</t>
        </is>
      </c>
      <c r="L144" s="17" t="inlineStr">
        <is>
          <t>%7, 2.6V, %80</t>
        </is>
      </c>
      <c r="N144" t="inlineStr">
        <is>
          <t>on_ms</t>
        </is>
      </c>
      <c r="O144" s="18">
        <f>_xlfn.MINIFS(Data_new!$D$2:$D$2639,Data_new!$A$2:$A$2639,2.6,Data_new!$B$2:$B$2639,VALUE(MID($L$144,2,FIND(",",$L$144)-2)),Data_new!$C$2:$C$2639,80,Data_new!$P$2:$P$2639,TRUE)</f>
        <v/>
      </c>
      <c r="P144" s="18">
        <f>_xlfn.MAXIFS(Data_new!$D$2:$D$2639,Data_new!$A$2:$A$2639,2.6,Data_new!$B$2:$B$2639,VALUE(MID($L$144,2,FIND(",",$L$144)-2)),Data_new!$C$2:$C$2639,80,Data_new!$P$2:$P$2639,TRUE)</f>
        <v/>
      </c>
      <c r="Q144" s="18">
        <f>_xlfn.MINIFS(Data_new!$H$2:$H$2639,Data_new!$A$2:$A$2639,2.6,Data_new!$B$2:$B$2639,VALUE(MID($L$144,2,FIND(",",$L$144)-2)),Data_new!$C$2:$C$2639,80,Data_new!$P$2:$P$2639,TRUE)</f>
        <v/>
      </c>
      <c r="R144" s="18">
        <f>_xlfn.MAXIFS(Data_new!$H$2:$H$2639,Data_new!$A$2:$A$2639,2.6,Data_new!$B$2:$B$2639,VALUE(MID($L$144,2,FIND(",",$L$144)-2)),Data_new!$C$2:$C$2639,80,Data_new!$P$2:$P$2639,TRUE)</f>
        <v/>
      </c>
      <c r="S144" s="18" t="inlineStr">
        <is>
          <t>nan</t>
        </is>
      </c>
      <c r="T144" s="19" t="inlineStr">
        <is>
          <t>nan</t>
        </is>
      </c>
      <c r="V144" s="17" t="inlineStr">
        <is>
          <t>%7, 2.6V, %60</t>
        </is>
      </c>
      <c r="X144" t="inlineStr">
        <is>
          <t>on_ms</t>
        </is>
      </c>
      <c r="Y144" s="18">
        <f>_xlfn.MINIFS(Data_new!$D$2:$D$2639,Data_new!$A$2:$A$2639,2.6,Data_new!$B$2:$B$2639,VALUE(MID($V$144,2,FIND(",",$V$144)-2)),Data_new!$C$2:$C$2639,60,Data_new!$P$2:$P$2639,TRUE)</f>
        <v/>
      </c>
      <c r="Z144" s="18">
        <f>_xlfn.MAXIFS(Data_new!$D$2:$D$2639,Data_new!$A$2:$A$2639,2.6,Data_new!$B$2:$B$2639,VALUE(MID($V$144,2,FIND(",",$V$144)-2)),Data_new!$C$2:$C$2639,60,Data_new!$P$2:$P$2639,TRUE)</f>
        <v/>
      </c>
      <c r="AA144" s="18">
        <f>_xlfn.MINIFS(Data_new!$H$2:$H$2639,Data_new!$A$2:$A$2639,2.6,Data_new!$B$2:$B$2639,VALUE(MID($V$144,2,FIND(",",$V$144)-2)),Data_new!$C$2:$C$2639,60,Data_new!$P$2:$P$2639,TRUE)</f>
        <v/>
      </c>
      <c r="AB144" s="18">
        <f>_xlfn.MAXIFS(Data_new!$H$2:$H$2639,Data_new!$A$2:$A$2639,2.6,Data_new!$B$2:$B$2639,VALUE(MID($V$144,2,FIND(",",$V$144)-2)),Data_new!$C$2:$C$2639,60,Data_new!$P$2:$P$2639,TRUE)</f>
        <v/>
      </c>
      <c r="AC144" s="18" t="inlineStr">
        <is>
          <t>nan</t>
        </is>
      </c>
      <c r="AD144" s="19" t="inlineStr">
        <is>
          <t>nan</t>
        </is>
      </c>
    </row>
    <row r="145">
      <c r="B145" s="20" t="n"/>
      <c r="D145" t="inlineStr">
        <is>
          <t>real_on_ms</t>
        </is>
      </c>
      <c r="E145" s="18">
        <f>_xlfn.MINIFS(Data_new!$D$2:$D$2639,Data_new!$A$2:$A$2639,2.6,Data_new!$B$2:$B$2639,VALUE(MID($B$144,2,FIND(",",$B$144)-2)),Data_new!$C$2:$C$2639,100,Data_new!$Q$2:$Q$2639,TRUE)</f>
        <v/>
      </c>
      <c r="F145" s="18">
        <f>_xlfn.MAXIFS(Data_new!$D$2:$D$2639,Data_new!$A$2:$A$2639,2.6,Data_new!$B$2:$B$2639,VALUE(MID($B$144,2,FIND(",",$B$144)-2)),Data_new!$C$2:$C$2639,100,Data_new!$Q$2:$Q$2639,TRUE)</f>
        <v/>
      </c>
      <c r="G145" s="18" t="inlineStr">
        <is>
          <t>nan</t>
        </is>
      </c>
      <c r="H145" s="18" t="inlineStr">
        <is>
          <t>nan</t>
        </is>
      </c>
      <c r="I145" s="18">
        <f>_xlfn.MINIFS(Data_new!$I$2:$I$2639,Data_new!$A$2:$A$2639,2.6,Data_new!$B$2:$B$2639,VALUE(MID($B$144,2,FIND(",",$B$144)-2)),Data_new!$C$2:$C$2639,100,Data_new!$Q$2:$Q$2639,TRUE)</f>
        <v/>
      </c>
      <c r="J145" s="19">
        <f>_xlfn.MAXIFS(Data_new!$I$2:$I$2639,Data_new!$A$2:$A$2639,2.6,Data_new!$B$2:$B$2639,VALUE(MID($B$144,2,FIND(",",$B$144)-2)),Data_new!$C$2:$C$2639,100,Data_new!$Q$2:$Q$2639,TRUE)</f>
        <v/>
      </c>
      <c r="L145" s="20" t="n"/>
      <c r="N145" t="inlineStr">
        <is>
          <t>real_on_ms</t>
        </is>
      </c>
      <c r="O145" s="18">
        <f>_xlfn.MINIFS(Data_new!$D$2:$D$2639,Data_new!$A$2:$A$2639,2.6,Data_new!$B$2:$B$2639,VALUE(MID($L$144,2,FIND(",",$L$144)-2)),Data_new!$C$2:$C$2639,80,Data_new!$Q$2:$Q$2639,TRUE)</f>
        <v/>
      </c>
      <c r="P145" s="18">
        <f>_xlfn.MAXIFS(Data_new!$D$2:$D$2639,Data_new!$A$2:$A$2639,2.6,Data_new!$B$2:$B$2639,VALUE(MID($L$144,2,FIND(",",$L$144)-2)),Data_new!$C$2:$C$2639,80,Data_new!$Q$2:$Q$2639,TRUE)</f>
        <v/>
      </c>
      <c r="Q145" s="18" t="inlineStr">
        <is>
          <t>nan</t>
        </is>
      </c>
      <c r="R145" s="18" t="inlineStr">
        <is>
          <t>nan</t>
        </is>
      </c>
      <c r="S145" s="18">
        <f>_xlfn.MINIFS(Data_new!$I$2:$I$2639,Data_new!$A$2:$A$2639,2.6,Data_new!$B$2:$B$2639,VALUE(MID($L$144,2,FIND(",",$L$144)-2)),Data_new!$C$2:$C$2639,80,Data_new!$Q$2:$Q$2639,TRUE)</f>
        <v/>
      </c>
      <c r="T145" s="19">
        <f>_xlfn.MAXIFS(Data_new!$I$2:$I$2639,Data_new!$A$2:$A$2639,2.6,Data_new!$B$2:$B$2639,VALUE(MID($L$144,2,FIND(",",$L$144)-2)),Data_new!$C$2:$C$2639,80,Data_new!$Q$2:$Q$2639,TRUE)</f>
        <v/>
      </c>
      <c r="V145" s="20" t="n"/>
      <c r="X145" t="inlineStr">
        <is>
          <t>real_on_ms</t>
        </is>
      </c>
      <c r="Y145" s="18">
        <f>_xlfn.MINIFS(Data_new!$D$2:$D$2639,Data_new!$A$2:$A$2639,2.6,Data_new!$B$2:$B$2639,VALUE(MID($V$144,2,FIND(",",$V$144)-2)),Data_new!$C$2:$C$2639,60,Data_new!$Q$2:$Q$2639,TRUE)</f>
        <v/>
      </c>
      <c r="Z145" s="18">
        <f>_xlfn.MAXIFS(Data_new!$D$2:$D$2639,Data_new!$A$2:$A$2639,2.6,Data_new!$B$2:$B$2639,VALUE(MID($V$144,2,FIND(",",$V$144)-2)),Data_new!$C$2:$C$2639,60,Data_new!$Q$2:$Q$2639,TRUE)</f>
        <v/>
      </c>
      <c r="AA145" s="18" t="inlineStr">
        <is>
          <t>nan</t>
        </is>
      </c>
      <c r="AB145" s="18" t="inlineStr">
        <is>
          <t>nan</t>
        </is>
      </c>
      <c r="AC145" s="18">
        <f>_xlfn.MINIFS(Data_new!$I$2:$I$2639,Data_new!$A$2:$A$2639,2.6,Data_new!$B$2:$B$2639,VALUE(MID($V$144,2,FIND(",",$V$144)-2)),Data_new!$C$2:$C$2639,60,Data_new!$Q$2:$Q$2639,TRUE)</f>
        <v/>
      </c>
      <c r="AD145" s="19">
        <f>_xlfn.MAXIFS(Data_new!$I$2:$I$2639,Data_new!$A$2:$A$2639,2.6,Data_new!$B$2:$B$2639,VALUE(MID($V$144,2,FIND(",",$V$144)-2)),Data_new!$C$2:$C$2639,60,Data_new!$Q$2:$Q$2639,TRUE)</f>
        <v/>
      </c>
    </row>
    <row r="146">
      <c r="B146" s="20" t="n"/>
      <c r="E146" s="18" t="n"/>
      <c r="F146" s="18" t="n"/>
      <c r="G146" s="18" t="n"/>
      <c r="H146" s="18" t="n"/>
      <c r="I146" s="18" t="n"/>
      <c r="J146" s="19" t="n"/>
      <c r="L146" s="20" t="n"/>
      <c r="O146" s="18" t="n"/>
      <c r="P146" s="18" t="n"/>
      <c r="Q146" s="18" t="n"/>
      <c r="R146" s="18" t="n"/>
      <c r="S146" s="18" t="n"/>
      <c r="T146" s="19" t="n"/>
      <c r="V146" s="20" t="n"/>
      <c r="Y146" s="18" t="n"/>
      <c r="Z146" s="18" t="n"/>
      <c r="AA146" s="18" t="n"/>
      <c r="AB146" s="18" t="n"/>
      <c r="AC146" s="18" t="n"/>
      <c r="AD146" s="19" t="n"/>
    </row>
    <row r="147">
      <c r="B147" s="17" t="inlineStr">
        <is>
          <t>%8, 2.6V, %100</t>
        </is>
      </c>
      <c r="D147" t="inlineStr">
        <is>
          <t>on_ms</t>
        </is>
      </c>
      <c r="E147" s="18">
        <f>_xlfn.MINIFS(Data_new!$D$2:$D$2639,Data_new!$A$2:$A$2639,2.6,Data_new!$B$2:$B$2639,VALUE(MID($B$147,2,FIND(",",$B$147)-2)),Data_new!$C$2:$C$2639,100,Data_new!$P$2:$P$2639,TRUE)</f>
        <v/>
      </c>
      <c r="F147" s="18">
        <f>_xlfn.MAXIFS(Data_new!$D$2:$D$2639,Data_new!$A$2:$A$2639,2.6,Data_new!$B$2:$B$2639,VALUE(MID($B$147,2,FIND(",",$B$147)-2)),Data_new!$C$2:$C$2639,100,Data_new!$P$2:$P$2639,TRUE)</f>
        <v/>
      </c>
      <c r="G147" s="18">
        <f>_xlfn.MINIFS(Data_new!$H$2:$H$2639,Data_new!$A$2:$A$2639,2.6,Data_new!$B$2:$B$2639,VALUE(MID($B$147,2,FIND(",",$B$147)-2)),Data_new!$C$2:$C$2639,100,Data_new!$P$2:$P$2639,TRUE)</f>
        <v/>
      </c>
      <c r="H147" s="18">
        <f>_xlfn.MAXIFS(Data_new!$H$2:$H$2639,Data_new!$A$2:$A$2639,2.6,Data_new!$B$2:$B$2639,VALUE(MID($B$147,2,FIND(",",$B$147)-2)),Data_new!$C$2:$C$2639,100,Data_new!$P$2:$P$2639,TRUE)</f>
        <v/>
      </c>
      <c r="I147" s="18" t="inlineStr">
        <is>
          <t>nan</t>
        </is>
      </c>
      <c r="J147" s="19" t="inlineStr">
        <is>
          <t>nan</t>
        </is>
      </c>
      <c r="L147" s="17" t="inlineStr">
        <is>
          <t>%8, 2.6V, %80</t>
        </is>
      </c>
      <c r="N147" t="inlineStr">
        <is>
          <t>on_ms</t>
        </is>
      </c>
      <c r="O147" s="18">
        <f>_xlfn.MINIFS(Data_new!$D$2:$D$2639,Data_new!$A$2:$A$2639,2.6,Data_new!$B$2:$B$2639,VALUE(MID($L$147,2,FIND(",",$L$147)-2)),Data_new!$C$2:$C$2639,80,Data_new!$P$2:$P$2639,TRUE)</f>
        <v/>
      </c>
      <c r="P147" s="18">
        <f>_xlfn.MAXIFS(Data_new!$D$2:$D$2639,Data_new!$A$2:$A$2639,2.6,Data_new!$B$2:$B$2639,VALUE(MID($L$147,2,FIND(",",$L$147)-2)),Data_new!$C$2:$C$2639,80,Data_new!$P$2:$P$2639,TRUE)</f>
        <v/>
      </c>
      <c r="Q147" s="18">
        <f>_xlfn.MINIFS(Data_new!$H$2:$H$2639,Data_new!$A$2:$A$2639,2.6,Data_new!$B$2:$B$2639,VALUE(MID($L$147,2,FIND(",",$L$147)-2)),Data_new!$C$2:$C$2639,80,Data_new!$P$2:$P$2639,TRUE)</f>
        <v/>
      </c>
      <c r="R147" s="18">
        <f>_xlfn.MAXIFS(Data_new!$H$2:$H$2639,Data_new!$A$2:$A$2639,2.6,Data_new!$B$2:$B$2639,VALUE(MID($L$147,2,FIND(",",$L$147)-2)),Data_new!$C$2:$C$2639,80,Data_new!$P$2:$P$2639,TRUE)</f>
        <v/>
      </c>
      <c r="S147" s="18" t="inlineStr">
        <is>
          <t>nan</t>
        </is>
      </c>
      <c r="T147" s="19" t="inlineStr">
        <is>
          <t>nan</t>
        </is>
      </c>
      <c r="V147" s="17" t="inlineStr">
        <is>
          <t>%8, 2.6V, %60</t>
        </is>
      </c>
      <c r="X147" t="inlineStr">
        <is>
          <t>on_ms</t>
        </is>
      </c>
      <c r="Y147" s="18">
        <f>_xlfn.MINIFS(Data_new!$D$2:$D$2639,Data_new!$A$2:$A$2639,2.6,Data_new!$B$2:$B$2639,VALUE(MID($V$147,2,FIND(",",$V$147)-2)),Data_new!$C$2:$C$2639,60,Data_new!$P$2:$P$2639,TRUE)</f>
        <v/>
      </c>
      <c r="Z147" s="18">
        <f>_xlfn.MAXIFS(Data_new!$D$2:$D$2639,Data_new!$A$2:$A$2639,2.6,Data_new!$B$2:$B$2639,VALUE(MID($V$147,2,FIND(",",$V$147)-2)),Data_new!$C$2:$C$2639,60,Data_new!$P$2:$P$2639,TRUE)</f>
        <v/>
      </c>
      <c r="AA147" s="18">
        <f>_xlfn.MINIFS(Data_new!$H$2:$H$2639,Data_new!$A$2:$A$2639,2.6,Data_new!$B$2:$B$2639,VALUE(MID($V$147,2,FIND(",",$V$147)-2)),Data_new!$C$2:$C$2639,60,Data_new!$P$2:$P$2639,TRUE)</f>
        <v/>
      </c>
      <c r="AB147" s="18">
        <f>_xlfn.MAXIFS(Data_new!$H$2:$H$2639,Data_new!$A$2:$A$2639,2.6,Data_new!$B$2:$B$2639,VALUE(MID($V$147,2,FIND(",",$V$147)-2)),Data_new!$C$2:$C$2639,60,Data_new!$P$2:$P$2639,TRUE)</f>
        <v/>
      </c>
      <c r="AC147" s="18" t="inlineStr">
        <is>
          <t>nan</t>
        </is>
      </c>
      <c r="AD147" s="19" t="inlineStr">
        <is>
          <t>nan</t>
        </is>
      </c>
    </row>
    <row r="148">
      <c r="B148" s="20" t="n"/>
      <c r="D148" t="inlineStr">
        <is>
          <t>real_on_ms</t>
        </is>
      </c>
      <c r="E148" s="18">
        <f>_xlfn.MINIFS(Data_new!$D$2:$D$2639,Data_new!$A$2:$A$2639,2.6,Data_new!$B$2:$B$2639,VALUE(MID($B$147,2,FIND(",",$B$147)-2)),Data_new!$C$2:$C$2639,100,Data_new!$Q$2:$Q$2639,TRUE)</f>
        <v/>
      </c>
      <c r="F148" s="18">
        <f>_xlfn.MAXIFS(Data_new!$D$2:$D$2639,Data_new!$A$2:$A$2639,2.6,Data_new!$B$2:$B$2639,VALUE(MID($B$147,2,FIND(",",$B$147)-2)),Data_new!$C$2:$C$2639,100,Data_new!$Q$2:$Q$2639,TRUE)</f>
        <v/>
      </c>
      <c r="G148" s="18" t="inlineStr">
        <is>
          <t>nan</t>
        </is>
      </c>
      <c r="H148" s="18" t="inlineStr">
        <is>
          <t>nan</t>
        </is>
      </c>
      <c r="I148" s="18">
        <f>_xlfn.MINIFS(Data_new!$I$2:$I$2639,Data_new!$A$2:$A$2639,2.6,Data_new!$B$2:$B$2639,VALUE(MID($B$147,2,FIND(",",$B$147)-2)),Data_new!$C$2:$C$2639,100,Data_new!$Q$2:$Q$2639,TRUE)</f>
        <v/>
      </c>
      <c r="J148" s="19">
        <f>_xlfn.MAXIFS(Data_new!$I$2:$I$2639,Data_new!$A$2:$A$2639,2.6,Data_new!$B$2:$B$2639,VALUE(MID($B$147,2,FIND(",",$B$147)-2)),Data_new!$C$2:$C$2639,100,Data_new!$Q$2:$Q$2639,TRUE)</f>
        <v/>
      </c>
      <c r="L148" s="20" t="n"/>
      <c r="N148" t="inlineStr">
        <is>
          <t>real_on_ms</t>
        </is>
      </c>
      <c r="O148" s="18">
        <f>_xlfn.MINIFS(Data_new!$D$2:$D$2639,Data_new!$A$2:$A$2639,2.6,Data_new!$B$2:$B$2639,VALUE(MID($L$147,2,FIND(",",$L$147)-2)),Data_new!$C$2:$C$2639,80,Data_new!$Q$2:$Q$2639,TRUE)</f>
        <v/>
      </c>
      <c r="P148" s="18">
        <f>_xlfn.MAXIFS(Data_new!$D$2:$D$2639,Data_new!$A$2:$A$2639,2.6,Data_new!$B$2:$B$2639,VALUE(MID($L$147,2,FIND(",",$L$147)-2)),Data_new!$C$2:$C$2639,80,Data_new!$Q$2:$Q$2639,TRUE)</f>
        <v/>
      </c>
      <c r="Q148" s="18" t="inlineStr">
        <is>
          <t>nan</t>
        </is>
      </c>
      <c r="R148" s="18" t="inlineStr">
        <is>
          <t>nan</t>
        </is>
      </c>
      <c r="S148" s="18">
        <f>_xlfn.MINIFS(Data_new!$I$2:$I$2639,Data_new!$A$2:$A$2639,2.6,Data_new!$B$2:$B$2639,VALUE(MID($L$147,2,FIND(",",$L$147)-2)),Data_new!$C$2:$C$2639,80,Data_new!$Q$2:$Q$2639,TRUE)</f>
        <v/>
      </c>
      <c r="T148" s="19">
        <f>_xlfn.MAXIFS(Data_new!$I$2:$I$2639,Data_new!$A$2:$A$2639,2.6,Data_new!$B$2:$B$2639,VALUE(MID($L$147,2,FIND(",",$L$147)-2)),Data_new!$C$2:$C$2639,80,Data_new!$Q$2:$Q$2639,TRUE)</f>
        <v/>
      </c>
      <c r="V148" s="20" t="n"/>
      <c r="X148" t="inlineStr">
        <is>
          <t>real_on_ms</t>
        </is>
      </c>
      <c r="Y148" s="18">
        <f>_xlfn.MINIFS(Data_new!$D$2:$D$2639,Data_new!$A$2:$A$2639,2.6,Data_new!$B$2:$B$2639,VALUE(MID($V$147,2,FIND(",",$V$147)-2)),Data_new!$C$2:$C$2639,60,Data_new!$Q$2:$Q$2639,TRUE)</f>
        <v/>
      </c>
      <c r="Z148" s="18">
        <f>_xlfn.MAXIFS(Data_new!$D$2:$D$2639,Data_new!$A$2:$A$2639,2.6,Data_new!$B$2:$B$2639,VALUE(MID($V$147,2,FIND(",",$V$147)-2)),Data_new!$C$2:$C$2639,60,Data_new!$Q$2:$Q$2639,TRUE)</f>
        <v/>
      </c>
      <c r="AA148" s="18" t="inlineStr">
        <is>
          <t>nan</t>
        </is>
      </c>
      <c r="AB148" s="18" t="inlineStr">
        <is>
          <t>nan</t>
        </is>
      </c>
      <c r="AC148" s="18">
        <f>_xlfn.MINIFS(Data_new!$I$2:$I$2639,Data_new!$A$2:$A$2639,2.6,Data_new!$B$2:$B$2639,VALUE(MID($V$147,2,FIND(",",$V$147)-2)),Data_new!$C$2:$C$2639,60,Data_new!$Q$2:$Q$2639,TRUE)</f>
        <v/>
      </c>
      <c r="AD148" s="19">
        <f>_xlfn.MAXIFS(Data_new!$I$2:$I$2639,Data_new!$A$2:$A$2639,2.6,Data_new!$B$2:$B$2639,VALUE(MID($V$147,2,FIND(",",$V$147)-2)),Data_new!$C$2:$C$2639,60,Data_new!$Q$2:$Q$2639,TRUE)</f>
        <v/>
      </c>
    </row>
    <row r="149">
      <c r="B149" s="20" t="n"/>
      <c r="E149" s="18" t="n"/>
      <c r="F149" s="18" t="n"/>
      <c r="G149" s="18" t="n"/>
      <c r="H149" s="18" t="n"/>
      <c r="I149" s="18" t="n"/>
      <c r="J149" s="19" t="n"/>
      <c r="L149" s="20" t="n"/>
      <c r="O149" s="18" t="n"/>
      <c r="P149" s="18" t="n"/>
      <c r="Q149" s="18" t="n"/>
      <c r="R149" s="18" t="n"/>
      <c r="S149" s="18" t="n"/>
      <c r="T149" s="19" t="n"/>
      <c r="V149" s="20" t="n"/>
      <c r="Y149" s="18" t="n"/>
      <c r="Z149" s="18" t="n"/>
      <c r="AA149" s="18" t="n"/>
      <c r="AB149" s="18" t="n"/>
      <c r="AC149" s="18" t="n"/>
      <c r="AD149" s="19" t="n"/>
    </row>
    <row r="150">
      <c r="B150" s="17" t="inlineStr">
        <is>
          <t>%10, 2.6V, %100</t>
        </is>
      </c>
      <c r="D150" t="inlineStr">
        <is>
          <t>on_ms</t>
        </is>
      </c>
      <c r="E150" s="18">
        <f>_xlfn.MINIFS(Data_new!$D$2:$D$2639,Data_new!$A$2:$A$2639,2.6,Data_new!$B$2:$B$2639,VALUE(MID($B$150,2,FIND(",",$B$150)-2)),Data_new!$C$2:$C$2639,100,Data_new!$P$2:$P$2639,TRUE)</f>
        <v/>
      </c>
      <c r="F150" s="18">
        <f>_xlfn.MAXIFS(Data_new!$D$2:$D$2639,Data_new!$A$2:$A$2639,2.6,Data_new!$B$2:$B$2639,VALUE(MID($B$150,2,FIND(",",$B$150)-2)),Data_new!$C$2:$C$2639,100,Data_new!$P$2:$P$2639,TRUE)</f>
        <v/>
      </c>
      <c r="G150" s="18">
        <f>_xlfn.MINIFS(Data_new!$H$2:$H$2639,Data_new!$A$2:$A$2639,2.6,Data_new!$B$2:$B$2639,VALUE(MID($B$150,2,FIND(",",$B$150)-2)),Data_new!$C$2:$C$2639,100,Data_new!$P$2:$P$2639,TRUE)</f>
        <v/>
      </c>
      <c r="H150" s="18">
        <f>_xlfn.MAXIFS(Data_new!$H$2:$H$2639,Data_new!$A$2:$A$2639,2.6,Data_new!$B$2:$B$2639,VALUE(MID($B$150,2,FIND(",",$B$150)-2)),Data_new!$C$2:$C$2639,100,Data_new!$P$2:$P$2639,TRUE)</f>
        <v/>
      </c>
      <c r="I150" s="18" t="inlineStr">
        <is>
          <t>nan</t>
        </is>
      </c>
      <c r="J150" s="19" t="inlineStr">
        <is>
          <t>nan</t>
        </is>
      </c>
      <c r="L150" s="17" t="inlineStr">
        <is>
          <t>%10, 2.6V, %80</t>
        </is>
      </c>
      <c r="N150" t="inlineStr">
        <is>
          <t>on_ms</t>
        </is>
      </c>
      <c r="O150" s="18">
        <f>_xlfn.MINIFS(Data_new!$D$2:$D$2639,Data_new!$A$2:$A$2639,2.6,Data_new!$B$2:$B$2639,VALUE(MID($L$150,2,FIND(",",$L$150)-2)),Data_new!$C$2:$C$2639,80,Data_new!$P$2:$P$2639,TRUE)</f>
        <v/>
      </c>
      <c r="P150" s="18">
        <f>_xlfn.MAXIFS(Data_new!$D$2:$D$2639,Data_new!$A$2:$A$2639,2.6,Data_new!$B$2:$B$2639,VALUE(MID($L$150,2,FIND(",",$L$150)-2)),Data_new!$C$2:$C$2639,80,Data_new!$P$2:$P$2639,TRUE)</f>
        <v/>
      </c>
      <c r="Q150" s="18">
        <f>_xlfn.MINIFS(Data_new!$H$2:$H$2639,Data_new!$A$2:$A$2639,2.6,Data_new!$B$2:$B$2639,VALUE(MID($L$150,2,FIND(",",$L$150)-2)),Data_new!$C$2:$C$2639,80,Data_new!$P$2:$P$2639,TRUE)</f>
        <v/>
      </c>
      <c r="R150" s="18">
        <f>_xlfn.MAXIFS(Data_new!$H$2:$H$2639,Data_new!$A$2:$A$2639,2.6,Data_new!$B$2:$B$2639,VALUE(MID($L$150,2,FIND(",",$L$150)-2)),Data_new!$C$2:$C$2639,80,Data_new!$P$2:$P$2639,TRUE)</f>
        <v/>
      </c>
      <c r="S150" s="18" t="inlineStr">
        <is>
          <t>nan</t>
        </is>
      </c>
      <c r="T150" s="19" t="inlineStr">
        <is>
          <t>nan</t>
        </is>
      </c>
      <c r="V150" s="17" t="inlineStr">
        <is>
          <t>%10, 2.6V, %60</t>
        </is>
      </c>
      <c r="X150" t="inlineStr">
        <is>
          <t>on_ms</t>
        </is>
      </c>
      <c r="Y150" s="18">
        <f>_xlfn.MINIFS(Data_new!$D$2:$D$2639,Data_new!$A$2:$A$2639,2.6,Data_new!$B$2:$B$2639,VALUE(MID($V$150,2,FIND(",",$V$150)-2)),Data_new!$C$2:$C$2639,60,Data_new!$P$2:$P$2639,TRUE)</f>
        <v/>
      </c>
      <c r="Z150" s="18">
        <f>_xlfn.MAXIFS(Data_new!$D$2:$D$2639,Data_new!$A$2:$A$2639,2.6,Data_new!$B$2:$B$2639,VALUE(MID($V$150,2,FIND(",",$V$150)-2)),Data_new!$C$2:$C$2639,60,Data_new!$P$2:$P$2639,TRUE)</f>
        <v/>
      </c>
      <c r="AA150" s="18">
        <f>_xlfn.MINIFS(Data_new!$H$2:$H$2639,Data_new!$A$2:$A$2639,2.6,Data_new!$B$2:$B$2639,VALUE(MID($V$150,2,FIND(",",$V$150)-2)),Data_new!$C$2:$C$2639,60,Data_new!$P$2:$P$2639,TRUE)</f>
        <v/>
      </c>
      <c r="AB150" s="18">
        <f>_xlfn.MAXIFS(Data_new!$H$2:$H$2639,Data_new!$A$2:$A$2639,2.6,Data_new!$B$2:$B$2639,VALUE(MID($V$150,2,FIND(",",$V$150)-2)),Data_new!$C$2:$C$2639,60,Data_new!$P$2:$P$2639,TRUE)</f>
        <v/>
      </c>
      <c r="AC150" s="18" t="inlineStr">
        <is>
          <t>nan</t>
        </is>
      </c>
      <c r="AD150" s="19" t="inlineStr">
        <is>
          <t>nan</t>
        </is>
      </c>
    </row>
    <row r="151">
      <c r="B151" s="20" t="n"/>
      <c r="D151" t="inlineStr">
        <is>
          <t>real_on_ms</t>
        </is>
      </c>
      <c r="E151" s="18">
        <f>_xlfn.MINIFS(Data_new!$D$2:$D$2639,Data_new!$A$2:$A$2639,2.6,Data_new!$B$2:$B$2639,VALUE(MID($B$150,2,FIND(",",$B$150)-2)),Data_new!$C$2:$C$2639,100,Data_new!$Q$2:$Q$2639,TRUE)</f>
        <v/>
      </c>
      <c r="F151" s="18">
        <f>_xlfn.MAXIFS(Data_new!$D$2:$D$2639,Data_new!$A$2:$A$2639,2.6,Data_new!$B$2:$B$2639,VALUE(MID($B$150,2,FIND(",",$B$150)-2)),Data_new!$C$2:$C$2639,100,Data_new!$Q$2:$Q$2639,TRUE)</f>
        <v/>
      </c>
      <c r="G151" s="18" t="inlineStr">
        <is>
          <t>nan</t>
        </is>
      </c>
      <c r="H151" s="18" t="inlineStr">
        <is>
          <t>nan</t>
        </is>
      </c>
      <c r="I151" s="18">
        <f>_xlfn.MINIFS(Data_new!$I$2:$I$2639,Data_new!$A$2:$A$2639,2.6,Data_new!$B$2:$B$2639,VALUE(MID($B$150,2,FIND(",",$B$150)-2)),Data_new!$C$2:$C$2639,100,Data_new!$Q$2:$Q$2639,TRUE)</f>
        <v/>
      </c>
      <c r="J151" s="19">
        <f>_xlfn.MAXIFS(Data_new!$I$2:$I$2639,Data_new!$A$2:$A$2639,2.6,Data_new!$B$2:$B$2639,VALUE(MID($B$150,2,FIND(",",$B$150)-2)),Data_new!$C$2:$C$2639,100,Data_new!$Q$2:$Q$2639,TRUE)</f>
        <v/>
      </c>
      <c r="L151" s="20" t="n"/>
      <c r="N151" t="inlineStr">
        <is>
          <t>real_on_ms</t>
        </is>
      </c>
      <c r="O151" s="18">
        <f>_xlfn.MINIFS(Data_new!$D$2:$D$2639,Data_new!$A$2:$A$2639,2.6,Data_new!$B$2:$B$2639,VALUE(MID($L$150,2,FIND(",",$L$150)-2)),Data_new!$C$2:$C$2639,80,Data_new!$Q$2:$Q$2639,TRUE)</f>
        <v/>
      </c>
      <c r="P151" s="18">
        <f>_xlfn.MAXIFS(Data_new!$D$2:$D$2639,Data_new!$A$2:$A$2639,2.6,Data_new!$B$2:$B$2639,VALUE(MID($L$150,2,FIND(",",$L$150)-2)),Data_new!$C$2:$C$2639,80,Data_new!$Q$2:$Q$2639,TRUE)</f>
        <v/>
      </c>
      <c r="Q151" s="18" t="inlineStr">
        <is>
          <t>nan</t>
        </is>
      </c>
      <c r="R151" s="18" t="inlineStr">
        <is>
          <t>nan</t>
        </is>
      </c>
      <c r="S151" s="18">
        <f>_xlfn.MINIFS(Data_new!$I$2:$I$2639,Data_new!$A$2:$A$2639,2.6,Data_new!$B$2:$B$2639,VALUE(MID($L$150,2,FIND(",",$L$150)-2)),Data_new!$C$2:$C$2639,80,Data_new!$Q$2:$Q$2639,TRUE)</f>
        <v/>
      </c>
      <c r="T151" s="19">
        <f>_xlfn.MAXIFS(Data_new!$I$2:$I$2639,Data_new!$A$2:$A$2639,2.6,Data_new!$B$2:$B$2639,VALUE(MID($L$150,2,FIND(",",$L$150)-2)),Data_new!$C$2:$C$2639,80,Data_new!$Q$2:$Q$2639,TRUE)</f>
        <v/>
      </c>
      <c r="V151" s="20" t="n"/>
      <c r="X151" t="inlineStr">
        <is>
          <t>real_on_ms</t>
        </is>
      </c>
      <c r="Y151" s="18">
        <f>_xlfn.MINIFS(Data_new!$D$2:$D$2639,Data_new!$A$2:$A$2639,2.6,Data_new!$B$2:$B$2639,VALUE(MID($V$150,2,FIND(",",$V$150)-2)),Data_new!$C$2:$C$2639,60,Data_new!$Q$2:$Q$2639,TRUE)</f>
        <v/>
      </c>
      <c r="Z151" s="18">
        <f>_xlfn.MAXIFS(Data_new!$D$2:$D$2639,Data_new!$A$2:$A$2639,2.6,Data_new!$B$2:$B$2639,VALUE(MID($V$150,2,FIND(",",$V$150)-2)),Data_new!$C$2:$C$2639,60,Data_new!$Q$2:$Q$2639,TRUE)</f>
        <v/>
      </c>
      <c r="AA151" s="18" t="inlineStr">
        <is>
          <t>nan</t>
        </is>
      </c>
      <c r="AB151" s="18" t="inlineStr">
        <is>
          <t>nan</t>
        </is>
      </c>
      <c r="AC151" s="18">
        <f>_xlfn.MINIFS(Data_new!$I$2:$I$2639,Data_new!$A$2:$A$2639,2.6,Data_new!$B$2:$B$2639,VALUE(MID($V$150,2,FIND(",",$V$150)-2)),Data_new!$C$2:$C$2639,60,Data_new!$Q$2:$Q$2639,TRUE)</f>
        <v/>
      </c>
      <c r="AD151" s="19">
        <f>_xlfn.MAXIFS(Data_new!$I$2:$I$2639,Data_new!$A$2:$A$2639,2.6,Data_new!$B$2:$B$2639,VALUE(MID($V$150,2,FIND(",",$V$150)-2)),Data_new!$C$2:$C$2639,60,Data_new!$Q$2:$Q$2639,TRUE)</f>
        <v/>
      </c>
    </row>
    <row r="152">
      <c r="B152" s="20" t="n"/>
      <c r="E152" s="18" t="n"/>
      <c r="F152" s="18" t="n"/>
      <c r="G152" s="18" t="n"/>
      <c r="H152" s="18" t="n"/>
      <c r="I152" s="18" t="n"/>
      <c r="J152" s="19" t="n"/>
      <c r="L152" s="20" t="n"/>
      <c r="O152" s="18" t="n"/>
      <c r="P152" s="18" t="n"/>
      <c r="Q152" s="18" t="n"/>
      <c r="R152" s="18" t="n"/>
      <c r="S152" s="18" t="n"/>
      <c r="T152" s="19" t="n"/>
      <c r="V152" s="20" t="n"/>
      <c r="Y152" s="18" t="n"/>
      <c r="Z152" s="18" t="n"/>
      <c r="AA152" s="18" t="n"/>
      <c r="AB152" s="18" t="n"/>
      <c r="AC152" s="18" t="n"/>
      <c r="AD152" s="19" t="n"/>
    </row>
    <row r="153">
      <c r="B153" s="17" t="inlineStr">
        <is>
          <t>%15, 2.6V, %100</t>
        </is>
      </c>
      <c r="D153" t="inlineStr">
        <is>
          <t>on_ms</t>
        </is>
      </c>
      <c r="E153" s="18">
        <f>_xlfn.MINIFS(Data_new!$D$2:$D$2639,Data_new!$A$2:$A$2639,2.6,Data_new!$B$2:$B$2639,VALUE(MID($B$153,2,FIND(",",$B$153)-2)),Data_new!$C$2:$C$2639,100,Data_new!$P$2:$P$2639,TRUE)</f>
        <v/>
      </c>
      <c r="F153" s="18">
        <f>_xlfn.MAXIFS(Data_new!$D$2:$D$2639,Data_new!$A$2:$A$2639,2.6,Data_new!$B$2:$B$2639,VALUE(MID($B$153,2,FIND(",",$B$153)-2)),Data_new!$C$2:$C$2639,100,Data_new!$P$2:$P$2639,TRUE)</f>
        <v/>
      </c>
      <c r="G153" s="18">
        <f>_xlfn.MINIFS(Data_new!$H$2:$H$2639,Data_new!$A$2:$A$2639,2.6,Data_new!$B$2:$B$2639,VALUE(MID($B$153,2,FIND(",",$B$153)-2)),Data_new!$C$2:$C$2639,100,Data_new!$P$2:$P$2639,TRUE)</f>
        <v/>
      </c>
      <c r="H153" s="18">
        <f>_xlfn.MAXIFS(Data_new!$H$2:$H$2639,Data_new!$A$2:$A$2639,2.6,Data_new!$B$2:$B$2639,VALUE(MID($B$153,2,FIND(",",$B$153)-2)),Data_new!$C$2:$C$2639,100,Data_new!$P$2:$P$2639,TRUE)</f>
        <v/>
      </c>
      <c r="I153" s="18" t="inlineStr">
        <is>
          <t>nan</t>
        </is>
      </c>
      <c r="J153" s="19" t="inlineStr">
        <is>
          <t>nan</t>
        </is>
      </c>
      <c r="L153" s="17" t="inlineStr">
        <is>
          <t>%15, 2.6V, %80</t>
        </is>
      </c>
      <c r="N153" t="inlineStr">
        <is>
          <t>on_ms</t>
        </is>
      </c>
      <c r="O153" s="18">
        <f>_xlfn.MINIFS(Data_new!$D$2:$D$2639,Data_new!$A$2:$A$2639,2.6,Data_new!$B$2:$B$2639,VALUE(MID($L$153,2,FIND(",",$L$153)-2)),Data_new!$C$2:$C$2639,80,Data_new!$P$2:$P$2639,TRUE)</f>
        <v/>
      </c>
      <c r="P153" s="18">
        <f>_xlfn.MAXIFS(Data_new!$D$2:$D$2639,Data_new!$A$2:$A$2639,2.6,Data_new!$B$2:$B$2639,VALUE(MID($L$153,2,FIND(",",$L$153)-2)),Data_new!$C$2:$C$2639,80,Data_new!$P$2:$P$2639,TRUE)</f>
        <v/>
      </c>
      <c r="Q153" s="18">
        <f>_xlfn.MINIFS(Data_new!$H$2:$H$2639,Data_new!$A$2:$A$2639,2.6,Data_new!$B$2:$B$2639,VALUE(MID($L$153,2,FIND(",",$L$153)-2)),Data_new!$C$2:$C$2639,80,Data_new!$P$2:$P$2639,TRUE)</f>
        <v/>
      </c>
      <c r="R153" s="18">
        <f>_xlfn.MAXIFS(Data_new!$H$2:$H$2639,Data_new!$A$2:$A$2639,2.6,Data_new!$B$2:$B$2639,VALUE(MID($L$153,2,FIND(",",$L$153)-2)),Data_new!$C$2:$C$2639,80,Data_new!$P$2:$P$2639,TRUE)</f>
        <v/>
      </c>
      <c r="S153" s="18" t="inlineStr">
        <is>
          <t>nan</t>
        </is>
      </c>
      <c r="T153" s="19" t="inlineStr">
        <is>
          <t>nan</t>
        </is>
      </c>
      <c r="V153" s="17" t="inlineStr">
        <is>
          <t>%15, 2.6V, %60</t>
        </is>
      </c>
      <c r="X153" t="inlineStr">
        <is>
          <t>on_ms</t>
        </is>
      </c>
      <c r="Y153" s="18">
        <f>_xlfn.MINIFS(Data_new!$D$2:$D$2639,Data_new!$A$2:$A$2639,2.6,Data_new!$B$2:$B$2639,VALUE(MID($V$153,2,FIND(",",$V$153)-2)),Data_new!$C$2:$C$2639,60,Data_new!$P$2:$P$2639,TRUE)</f>
        <v/>
      </c>
      <c r="Z153" s="18">
        <f>_xlfn.MAXIFS(Data_new!$D$2:$D$2639,Data_new!$A$2:$A$2639,2.6,Data_new!$B$2:$B$2639,VALUE(MID($V$153,2,FIND(",",$V$153)-2)),Data_new!$C$2:$C$2639,60,Data_new!$P$2:$P$2639,TRUE)</f>
        <v/>
      </c>
      <c r="AA153" s="18">
        <f>_xlfn.MINIFS(Data_new!$H$2:$H$2639,Data_new!$A$2:$A$2639,2.6,Data_new!$B$2:$B$2639,VALUE(MID($V$153,2,FIND(",",$V$153)-2)),Data_new!$C$2:$C$2639,60,Data_new!$P$2:$P$2639,TRUE)</f>
        <v/>
      </c>
      <c r="AB153" s="18">
        <f>_xlfn.MAXIFS(Data_new!$H$2:$H$2639,Data_new!$A$2:$A$2639,2.6,Data_new!$B$2:$B$2639,VALUE(MID($V$153,2,FIND(",",$V$153)-2)),Data_new!$C$2:$C$2639,60,Data_new!$P$2:$P$2639,TRUE)</f>
        <v/>
      </c>
      <c r="AC153" s="18" t="inlineStr">
        <is>
          <t>nan</t>
        </is>
      </c>
      <c r="AD153" s="19" t="inlineStr">
        <is>
          <t>nan</t>
        </is>
      </c>
    </row>
    <row r="154">
      <c r="B154" s="20" t="n"/>
      <c r="D154" t="inlineStr">
        <is>
          <t>real_on_ms</t>
        </is>
      </c>
      <c r="E154" s="18">
        <f>_xlfn.MINIFS(Data_new!$D$2:$D$2639,Data_new!$A$2:$A$2639,2.6,Data_new!$B$2:$B$2639,VALUE(MID($B$153,2,FIND(",",$B$153)-2)),Data_new!$C$2:$C$2639,100,Data_new!$Q$2:$Q$2639,TRUE)</f>
        <v/>
      </c>
      <c r="F154" s="18">
        <f>_xlfn.MAXIFS(Data_new!$D$2:$D$2639,Data_new!$A$2:$A$2639,2.6,Data_new!$B$2:$B$2639,VALUE(MID($B$153,2,FIND(",",$B$153)-2)),Data_new!$C$2:$C$2639,100,Data_new!$Q$2:$Q$2639,TRUE)</f>
        <v/>
      </c>
      <c r="G154" s="18" t="inlineStr">
        <is>
          <t>nan</t>
        </is>
      </c>
      <c r="H154" s="18" t="inlineStr">
        <is>
          <t>nan</t>
        </is>
      </c>
      <c r="I154" s="18">
        <f>_xlfn.MINIFS(Data_new!$I$2:$I$2639,Data_new!$A$2:$A$2639,2.6,Data_new!$B$2:$B$2639,VALUE(MID($B$153,2,FIND(",",$B$153)-2)),Data_new!$C$2:$C$2639,100,Data_new!$Q$2:$Q$2639,TRUE)</f>
        <v/>
      </c>
      <c r="J154" s="19">
        <f>_xlfn.MAXIFS(Data_new!$I$2:$I$2639,Data_new!$A$2:$A$2639,2.6,Data_new!$B$2:$B$2639,VALUE(MID($B$153,2,FIND(",",$B$153)-2)),Data_new!$C$2:$C$2639,100,Data_new!$Q$2:$Q$2639,TRUE)</f>
        <v/>
      </c>
      <c r="L154" s="20" t="n"/>
      <c r="N154" t="inlineStr">
        <is>
          <t>real_on_ms</t>
        </is>
      </c>
      <c r="O154" s="18">
        <f>_xlfn.MINIFS(Data_new!$D$2:$D$2639,Data_new!$A$2:$A$2639,2.6,Data_new!$B$2:$B$2639,VALUE(MID($L$153,2,FIND(",",$L$153)-2)),Data_new!$C$2:$C$2639,80,Data_new!$Q$2:$Q$2639,TRUE)</f>
        <v/>
      </c>
      <c r="P154" s="18">
        <f>_xlfn.MAXIFS(Data_new!$D$2:$D$2639,Data_new!$A$2:$A$2639,2.6,Data_new!$B$2:$B$2639,VALUE(MID($L$153,2,FIND(",",$L$153)-2)),Data_new!$C$2:$C$2639,80,Data_new!$Q$2:$Q$2639,TRUE)</f>
        <v/>
      </c>
      <c r="Q154" s="18" t="inlineStr">
        <is>
          <t>nan</t>
        </is>
      </c>
      <c r="R154" s="18" t="inlineStr">
        <is>
          <t>nan</t>
        </is>
      </c>
      <c r="S154" s="18">
        <f>_xlfn.MINIFS(Data_new!$I$2:$I$2639,Data_new!$A$2:$A$2639,2.6,Data_new!$B$2:$B$2639,VALUE(MID($L$153,2,FIND(",",$L$153)-2)),Data_new!$C$2:$C$2639,80,Data_new!$Q$2:$Q$2639,TRUE)</f>
        <v/>
      </c>
      <c r="T154" s="19">
        <f>_xlfn.MAXIFS(Data_new!$I$2:$I$2639,Data_new!$A$2:$A$2639,2.6,Data_new!$B$2:$B$2639,VALUE(MID($L$153,2,FIND(",",$L$153)-2)),Data_new!$C$2:$C$2639,80,Data_new!$Q$2:$Q$2639,TRUE)</f>
        <v/>
      </c>
      <c r="V154" s="20" t="n"/>
      <c r="X154" t="inlineStr">
        <is>
          <t>real_on_ms</t>
        </is>
      </c>
      <c r="Y154" s="18">
        <f>_xlfn.MINIFS(Data_new!$D$2:$D$2639,Data_new!$A$2:$A$2639,2.6,Data_new!$B$2:$B$2639,VALUE(MID($V$153,2,FIND(",",$V$153)-2)),Data_new!$C$2:$C$2639,60,Data_new!$Q$2:$Q$2639,TRUE)</f>
        <v/>
      </c>
      <c r="Z154" s="18">
        <f>_xlfn.MAXIFS(Data_new!$D$2:$D$2639,Data_new!$A$2:$A$2639,2.6,Data_new!$B$2:$B$2639,VALUE(MID($V$153,2,FIND(",",$V$153)-2)),Data_new!$C$2:$C$2639,60,Data_new!$Q$2:$Q$2639,TRUE)</f>
        <v/>
      </c>
      <c r="AA154" s="18" t="inlineStr">
        <is>
          <t>nan</t>
        </is>
      </c>
      <c r="AB154" s="18" t="inlineStr">
        <is>
          <t>nan</t>
        </is>
      </c>
      <c r="AC154" s="18">
        <f>_xlfn.MINIFS(Data_new!$I$2:$I$2639,Data_new!$A$2:$A$2639,2.6,Data_new!$B$2:$B$2639,VALUE(MID($V$153,2,FIND(",",$V$153)-2)),Data_new!$C$2:$C$2639,60,Data_new!$Q$2:$Q$2639,TRUE)</f>
        <v/>
      </c>
      <c r="AD154" s="19">
        <f>_xlfn.MAXIFS(Data_new!$I$2:$I$2639,Data_new!$A$2:$A$2639,2.6,Data_new!$B$2:$B$2639,VALUE(MID($V$153,2,FIND(",",$V$153)-2)),Data_new!$C$2:$C$2639,60,Data_new!$Q$2:$Q$2639,TRUE)</f>
        <v/>
      </c>
    </row>
    <row r="155">
      <c r="B155" s="20" t="n"/>
      <c r="E155" s="18" t="n"/>
      <c r="F155" s="18" t="n"/>
      <c r="G155" s="18" t="n"/>
      <c r="H155" s="18" t="n"/>
      <c r="I155" s="18" t="n"/>
      <c r="J155" s="19" t="n"/>
      <c r="L155" s="20" t="n"/>
      <c r="O155" s="18" t="n"/>
      <c r="P155" s="18" t="n"/>
      <c r="Q155" s="18" t="n"/>
      <c r="R155" s="18" t="n"/>
      <c r="S155" s="18" t="n"/>
      <c r="T155" s="19" t="n"/>
      <c r="V155" s="20" t="n"/>
      <c r="Y155" s="18" t="n"/>
      <c r="Z155" s="18" t="n"/>
      <c r="AA155" s="18" t="n"/>
      <c r="AB155" s="18" t="n"/>
      <c r="AC155" s="18" t="n"/>
      <c r="AD155" s="19" t="n"/>
    </row>
    <row r="156">
      <c r="B156" s="21" t="inlineStr">
        <is>
          <t>%100, 2.6V, %100</t>
        </is>
      </c>
      <c r="D156" t="inlineStr">
        <is>
          <t>on_ms</t>
        </is>
      </c>
      <c r="E156" s="18">
        <f>_xlfn.MINIFS(Data_new!$D$2:$D$2639,Data_new!$A$2:$A$2639,2.6,Data_new!$B$2:$B$2639,VALUE(MID($B$156,2,FIND(",",$B$156)-2)),Data_new!$C$2:$C$2639,100,Data_new!$P$2:$P$2639,TRUE)</f>
        <v/>
      </c>
      <c r="F156" s="18">
        <f>_xlfn.MAXIFS(Data_new!$D$2:$D$2639,Data_new!$A$2:$A$2639,2.6,Data_new!$B$2:$B$2639,VALUE(MID($B$156,2,FIND(",",$B$156)-2)),Data_new!$C$2:$C$2639,100,Data_new!$P$2:$P$2639,TRUE)</f>
        <v/>
      </c>
      <c r="G156" s="18">
        <f>_xlfn.MINIFS(Data_new!$H$2:$H$2639,Data_new!$A$2:$A$2639,2.6,Data_new!$B$2:$B$2639,VALUE(MID($B$156,2,FIND(",",$B$156)-2)),Data_new!$C$2:$C$2639,100,Data_new!$P$2:$P$2639,TRUE)</f>
        <v/>
      </c>
      <c r="H156" s="18">
        <f>_xlfn.MAXIFS(Data_new!$H$2:$H$2639,Data_new!$A$2:$A$2639,2.6,Data_new!$B$2:$B$2639,VALUE(MID($B$156,2,FIND(",",$B$156)-2)),Data_new!$C$2:$C$2639,100,Data_new!$P$2:$P$2639,TRUE)</f>
        <v/>
      </c>
      <c r="I156" s="18" t="inlineStr">
        <is>
          <t>nan</t>
        </is>
      </c>
      <c r="J156" s="19" t="inlineStr">
        <is>
          <t>nan</t>
        </is>
      </c>
      <c r="L156" s="21" t="inlineStr">
        <is>
          <t>%100, 2.6V, %80</t>
        </is>
      </c>
      <c r="N156" t="inlineStr">
        <is>
          <t>on_ms</t>
        </is>
      </c>
      <c r="O156" s="18">
        <f>_xlfn.MINIFS(Data_new!$D$2:$D$2639,Data_new!$A$2:$A$2639,2.6,Data_new!$B$2:$B$2639,VALUE(MID($L$156,2,FIND(",",$L$156)-2)),Data_new!$C$2:$C$2639,80,Data_new!$P$2:$P$2639,TRUE)</f>
        <v/>
      </c>
      <c r="P156" s="18">
        <f>_xlfn.MAXIFS(Data_new!$D$2:$D$2639,Data_new!$A$2:$A$2639,2.6,Data_new!$B$2:$B$2639,VALUE(MID($L$156,2,FIND(",",$L$156)-2)),Data_new!$C$2:$C$2639,80,Data_new!$P$2:$P$2639,TRUE)</f>
        <v/>
      </c>
      <c r="Q156" s="18">
        <f>_xlfn.MINIFS(Data_new!$H$2:$H$2639,Data_new!$A$2:$A$2639,2.6,Data_new!$B$2:$B$2639,VALUE(MID($L$156,2,FIND(",",$L$156)-2)),Data_new!$C$2:$C$2639,80,Data_new!$P$2:$P$2639,TRUE)</f>
        <v/>
      </c>
      <c r="R156" s="18">
        <f>_xlfn.MAXIFS(Data_new!$H$2:$H$2639,Data_new!$A$2:$A$2639,2.6,Data_new!$B$2:$B$2639,VALUE(MID($L$156,2,FIND(",",$L$156)-2)),Data_new!$C$2:$C$2639,80,Data_new!$P$2:$P$2639,TRUE)</f>
        <v/>
      </c>
      <c r="S156" s="18" t="inlineStr">
        <is>
          <t>nan</t>
        </is>
      </c>
      <c r="T156" s="19" t="inlineStr">
        <is>
          <t>nan</t>
        </is>
      </c>
      <c r="V156" s="21" t="inlineStr">
        <is>
          <t>%100, 2.6V, %60</t>
        </is>
      </c>
      <c r="X156" t="inlineStr">
        <is>
          <t>on_ms</t>
        </is>
      </c>
      <c r="Y156" s="18">
        <f>_xlfn.MINIFS(Data_new!$D$2:$D$2639,Data_new!$A$2:$A$2639,2.6,Data_new!$B$2:$B$2639,VALUE(MID($V$156,2,FIND(",",$V$156)-2)),Data_new!$C$2:$C$2639,60,Data_new!$P$2:$P$2639,TRUE)</f>
        <v/>
      </c>
      <c r="Z156" s="18">
        <f>_xlfn.MAXIFS(Data_new!$D$2:$D$2639,Data_new!$A$2:$A$2639,2.6,Data_new!$B$2:$B$2639,VALUE(MID($V$156,2,FIND(",",$V$156)-2)),Data_new!$C$2:$C$2639,60,Data_new!$P$2:$P$2639,TRUE)</f>
        <v/>
      </c>
      <c r="AA156" s="18">
        <f>_xlfn.MINIFS(Data_new!$H$2:$H$2639,Data_new!$A$2:$A$2639,2.6,Data_new!$B$2:$B$2639,VALUE(MID($V$156,2,FIND(",",$V$156)-2)),Data_new!$C$2:$C$2639,60,Data_new!$P$2:$P$2639,TRUE)</f>
        <v/>
      </c>
      <c r="AB156" s="18">
        <f>_xlfn.MAXIFS(Data_new!$H$2:$H$2639,Data_new!$A$2:$A$2639,2.6,Data_new!$B$2:$B$2639,VALUE(MID($V$156,2,FIND(",",$V$156)-2)),Data_new!$C$2:$C$2639,60,Data_new!$P$2:$P$2639,TRUE)</f>
        <v/>
      </c>
      <c r="AC156" s="18" t="inlineStr">
        <is>
          <t>nan</t>
        </is>
      </c>
      <c r="AD156" s="19" t="inlineStr">
        <is>
          <t>nan</t>
        </is>
      </c>
    </row>
    <row r="157">
      <c r="B157" s="22" t="n"/>
      <c r="C157" s="11" t="n"/>
      <c r="D157" s="11" t="inlineStr">
        <is>
          <t>real_on_ms</t>
        </is>
      </c>
      <c r="E157" s="23">
        <f>_xlfn.MINIFS(Data_new!$D$2:$D$2639,Data_new!$A$2:$A$2639,2.6,Data_new!$B$2:$B$2639,VALUE(MID($B$156,2,FIND(",",$B$156)-2)),Data_new!$C$2:$C$2639,100,Data_new!$Q$2:$Q$2639,TRUE)</f>
        <v/>
      </c>
      <c r="F157" s="23">
        <f>_xlfn.MAXIFS(Data_new!$D$2:$D$2639,Data_new!$A$2:$A$2639,2.6,Data_new!$B$2:$B$2639,VALUE(MID($B$156,2,FIND(",",$B$156)-2)),Data_new!$C$2:$C$2639,100,Data_new!$Q$2:$Q$2639,TRUE)</f>
        <v/>
      </c>
      <c r="G157" s="23" t="inlineStr">
        <is>
          <t>nan</t>
        </is>
      </c>
      <c r="H157" s="23" t="inlineStr">
        <is>
          <t>nan</t>
        </is>
      </c>
      <c r="I157" s="23">
        <f>_xlfn.MINIFS(Data_new!$I$2:$I$2639,Data_new!$A$2:$A$2639,2.6,Data_new!$B$2:$B$2639,VALUE(MID($B$156,2,FIND(",",$B$156)-2)),Data_new!$C$2:$C$2639,100,Data_new!$Q$2:$Q$2639,TRUE)</f>
        <v/>
      </c>
      <c r="J157" s="24">
        <f>_xlfn.MAXIFS(Data_new!$I$2:$I$2639,Data_new!$A$2:$A$2639,2.6,Data_new!$B$2:$B$2639,VALUE(MID($B$156,2,FIND(",",$B$156)-2)),Data_new!$C$2:$C$2639,100,Data_new!$Q$2:$Q$2639,TRUE)</f>
        <v/>
      </c>
      <c r="L157" s="22" t="n"/>
      <c r="M157" s="11" t="n"/>
      <c r="N157" s="11" t="inlineStr">
        <is>
          <t>real_on_ms</t>
        </is>
      </c>
      <c r="O157" s="23">
        <f>_xlfn.MINIFS(Data_new!$D$2:$D$2639,Data_new!$A$2:$A$2639,2.6,Data_new!$B$2:$B$2639,VALUE(MID($L$156,2,FIND(",",$L$156)-2)),Data_new!$C$2:$C$2639,80,Data_new!$Q$2:$Q$2639,TRUE)</f>
        <v/>
      </c>
      <c r="P157" s="23">
        <f>_xlfn.MAXIFS(Data_new!$D$2:$D$2639,Data_new!$A$2:$A$2639,2.6,Data_new!$B$2:$B$2639,VALUE(MID($L$156,2,FIND(",",$L$156)-2)),Data_new!$C$2:$C$2639,80,Data_new!$Q$2:$Q$2639,TRUE)</f>
        <v/>
      </c>
      <c r="Q157" s="23" t="inlineStr">
        <is>
          <t>nan</t>
        </is>
      </c>
      <c r="R157" s="23" t="inlineStr">
        <is>
          <t>nan</t>
        </is>
      </c>
      <c r="S157" s="23">
        <f>_xlfn.MINIFS(Data_new!$I$2:$I$2639,Data_new!$A$2:$A$2639,2.6,Data_new!$B$2:$B$2639,VALUE(MID($L$156,2,FIND(",",$L$156)-2)),Data_new!$C$2:$C$2639,80,Data_new!$Q$2:$Q$2639,TRUE)</f>
        <v/>
      </c>
      <c r="T157" s="24">
        <f>_xlfn.MAXIFS(Data_new!$I$2:$I$2639,Data_new!$A$2:$A$2639,2.6,Data_new!$B$2:$B$2639,VALUE(MID($L$156,2,FIND(",",$L$156)-2)),Data_new!$C$2:$C$2639,80,Data_new!$Q$2:$Q$2639,TRUE)</f>
        <v/>
      </c>
      <c r="V157" s="22" t="n"/>
      <c r="W157" s="11" t="n"/>
      <c r="X157" s="11" t="inlineStr">
        <is>
          <t>real_on_ms</t>
        </is>
      </c>
      <c r="Y157" s="23">
        <f>_xlfn.MINIFS(Data_new!$D$2:$D$2639,Data_new!$A$2:$A$2639,2.6,Data_new!$B$2:$B$2639,VALUE(MID($V$156,2,FIND(",",$V$156)-2)),Data_new!$C$2:$C$2639,60,Data_new!$Q$2:$Q$2639,TRUE)</f>
        <v/>
      </c>
      <c r="Z157" s="23">
        <f>_xlfn.MAXIFS(Data_new!$D$2:$D$2639,Data_new!$A$2:$A$2639,2.6,Data_new!$B$2:$B$2639,VALUE(MID($V$156,2,FIND(",",$V$156)-2)),Data_new!$C$2:$C$2639,60,Data_new!$Q$2:$Q$2639,TRUE)</f>
        <v/>
      </c>
      <c r="AA157" s="23" t="inlineStr">
        <is>
          <t>nan</t>
        </is>
      </c>
      <c r="AB157" s="23" t="inlineStr">
        <is>
          <t>nan</t>
        </is>
      </c>
      <c r="AC157" s="23">
        <f>_xlfn.MINIFS(Data_new!$I$2:$I$2639,Data_new!$A$2:$A$2639,2.6,Data_new!$B$2:$B$2639,VALUE(MID($V$156,2,FIND(",",$V$156)-2)),Data_new!$C$2:$C$2639,60,Data_new!$Q$2:$Q$2639,TRUE)</f>
        <v/>
      </c>
      <c r="AD157" s="24">
        <f>_xlfn.MAXIFS(Data_new!$I$2:$I$2639,Data_new!$A$2:$A$2639,2.6,Data_new!$B$2:$B$2639,VALUE(MID($V$156,2,FIND(",",$V$156)-2)),Data_new!$C$2:$C$2639,60,Data_new!$Q$2:$Q$2639,TRUE)</f>
        <v/>
      </c>
    </row>
    <row r="161">
      <c r="B161" s="13" t="n"/>
      <c r="C161" s="14" t="n"/>
      <c r="D161" s="14" t="n"/>
      <c r="E161" s="15" t="inlineStr">
        <is>
          <t>max_min_kick_ms</t>
        </is>
      </c>
      <c r="F161" s="15" t="inlineStr">
        <is>
          <t>min_max_kick_ms</t>
        </is>
      </c>
      <c r="G161" s="15" t="inlineStr">
        <is>
          <t>valid</t>
        </is>
      </c>
      <c r="H161" s="16" t="inlineStr">
        <is>
          <t>interval</t>
        </is>
      </c>
      <c r="L161" s="13" t="n"/>
      <c r="M161" s="14" t="n"/>
      <c r="N161" s="14" t="n"/>
      <c r="O161" s="15" t="inlineStr">
        <is>
          <t>max_min_kick_ms</t>
        </is>
      </c>
      <c r="P161" s="15" t="inlineStr">
        <is>
          <t>min_max_kick_ms</t>
        </is>
      </c>
      <c r="Q161" s="15" t="inlineStr">
        <is>
          <t>valid</t>
        </is>
      </c>
      <c r="R161" s="16" t="inlineStr">
        <is>
          <t>interval</t>
        </is>
      </c>
      <c r="V161" s="13" t="n"/>
      <c r="W161" s="14" t="n"/>
      <c r="X161" s="14" t="n"/>
      <c r="Y161" s="15" t="inlineStr">
        <is>
          <t>max_min_kick_ms</t>
        </is>
      </c>
      <c r="Z161" s="15" t="inlineStr">
        <is>
          <t>min_max_kick_ms</t>
        </is>
      </c>
      <c r="AA161" s="15" t="inlineStr">
        <is>
          <t>valid</t>
        </is>
      </c>
      <c r="AB161" s="16" t="inlineStr">
        <is>
          <t>interval</t>
        </is>
      </c>
    </row>
    <row r="162">
      <c r="B162" s="21" t="inlineStr">
        <is>
          <t>4.2V, %100 kick</t>
        </is>
      </c>
      <c r="D162" t="inlineStr">
        <is>
          <t>on_ms</t>
        </is>
      </c>
      <c r="E162" s="18">
        <f>MAX(E3,E6,E9,E12,E15,E18)</f>
        <v/>
      </c>
      <c r="F162" s="18">
        <f>MIN(F3,F6,F9,F12,F15,F18)</f>
        <v/>
      </c>
      <c r="G162" s="18">
        <f>IF(E162&lt;=F162,"True","False")</f>
        <v/>
      </c>
      <c r="H162" s="19">
        <f>IF(G162="True","["&amp;E162&amp;","&amp;F162&amp;"]","nan")</f>
        <v/>
      </c>
      <c r="L162" s="21" t="inlineStr">
        <is>
          <t>4.2V, %80 kick</t>
        </is>
      </c>
      <c r="N162" t="inlineStr">
        <is>
          <t>on_ms</t>
        </is>
      </c>
      <c r="O162" s="18">
        <f>MAX(O3,O6,O9,O12,O15,O18)</f>
        <v/>
      </c>
      <c r="P162" s="18">
        <f>MIN(P3,P6,P9,P12,P15,P18)</f>
        <v/>
      </c>
      <c r="Q162" s="18">
        <f>IF(O162&lt;=P162,"True","False")</f>
        <v/>
      </c>
      <c r="R162" s="19">
        <f>IF(Q162="True","["&amp;O162&amp;","&amp;P162&amp;"]","nan")</f>
        <v/>
      </c>
      <c r="V162" s="21" t="inlineStr">
        <is>
          <t>4.2V, %60 kick</t>
        </is>
      </c>
      <c r="X162" t="inlineStr">
        <is>
          <t>on_ms</t>
        </is>
      </c>
      <c r="Y162" s="18">
        <f>MAX(Y3,Y6,Y9,Y12,Y15,Y18)</f>
        <v/>
      </c>
      <c r="Z162" s="18">
        <f>MIN(Z3,Z6,Z9,Z12,Z15,Z18)</f>
        <v/>
      </c>
      <c r="AA162" s="18">
        <f>IF(Y162&lt;=Z162,"True","False")</f>
        <v/>
      </c>
      <c r="AB162" s="19">
        <f>IF(AA162="True","["&amp;Y162&amp;","&amp;Z162&amp;"]","nan")</f>
        <v/>
      </c>
    </row>
    <row r="163">
      <c r="B163" s="22" t="n"/>
      <c r="C163" s="11" t="n"/>
      <c r="D163" s="11" t="inlineStr">
        <is>
          <t>real_on_ms</t>
        </is>
      </c>
      <c r="E163" s="23">
        <f>MAX(E4,E7,E10,E13,E16,E19)</f>
        <v/>
      </c>
      <c r="F163" s="23">
        <f>MIN(F4,F7,F10,F13,F16,F19)</f>
        <v/>
      </c>
      <c r="G163" s="23">
        <f>IF(E163&lt;=F163,"True","False")</f>
        <v/>
      </c>
      <c r="H163" s="24">
        <f>IF(G163="True","["&amp;E163&amp;","&amp;F163&amp;"]","nan")</f>
        <v/>
      </c>
      <c r="L163" s="22" t="n"/>
      <c r="M163" s="11" t="n"/>
      <c r="N163" s="11" t="inlineStr">
        <is>
          <t>real_on_ms</t>
        </is>
      </c>
      <c r="O163" s="23">
        <f>MAX(O4,O7,O10,O13,O16,O19)</f>
        <v/>
      </c>
      <c r="P163" s="23">
        <f>MIN(P4,P7,P10,P13,P16,P19)</f>
        <v/>
      </c>
      <c r="Q163" s="23">
        <f>IF(O163&lt;=P163,"True","False")</f>
        <v/>
      </c>
      <c r="R163" s="24">
        <f>IF(Q163="True","["&amp;O163&amp;","&amp;P163&amp;"]","nan")</f>
        <v/>
      </c>
      <c r="V163" s="22" t="n"/>
      <c r="W163" s="11" t="n"/>
      <c r="X163" s="11" t="inlineStr">
        <is>
          <t>real_on_ms</t>
        </is>
      </c>
      <c r="Y163" s="23">
        <f>MAX(Y4,Y7,Y10,Y13,Y16,Y19)</f>
        <v/>
      </c>
      <c r="Z163" s="23">
        <f>MIN(Z4,Z7,Z10,Z13,Z16,Z19)</f>
        <v/>
      </c>
      <c r="AA163" s="23">
        <f>IF(Y163&lt;=Z163,"True","False")</f>
        <v/>
      </c>
      <c r="AB163" s="24">
        <f>IF(AA163="True","["&amp;Y163&amp;","&amp;Z163&amp;"]","nan")</f>
        <v/>
      </c>
    </row>
    <row r="165">
      <c r="B165" s="13" t="n"/>
      <c r="C165" s="14" t="n"/>
      <c r="D165" s="14" t="n"/>
      <c r="E165" s="15" t="inlineStr">
        <is>
          <t>max_min_kick_ms</t>
        </is>
      </c>
      <c r="F165" s="15" t="inlineStr">
        <is>
          <t>min_max_kick_ms</t>
        </is>
      </c>
      <c r="G165" s="15" t="inlineStr">
        <is>
          <t>valid</t>
        </is>
      </c>
      <c r="H165" s="16" t="inlineStr">
        <is>
          <t>interval</t>
        </is>
      </c>
      <c r="L165" s="13" t="n"/>
      <c r="M165" s="14" t="n"/>
      <c r="N165" s="14" t="n"/>
      <c r="O165" s="15" t="inlineStr">
        <is>
          <t>max_min_kick_ms</t>
        </is>
      </c>
      <c r="P165" s="15" t="inlineStr">
        <is>
          <t>min_max_kick_ms</t>
        </is>
      </c>
      <c r="Q165" s="15" t="inlineStr">
        <is>
          <t>valid</t>
        </is>
      </c>
      <c r="R165" s="16" t="inlineStr">
        <is>
          <t>interval</t>
        </is>
      </c>
      <c r="V165" s="13" t="n"/>
      <c r="W165" s="14" t="n"/>
      <c r="X165" s="14" t="n"/>
      <c r="Y165" s="15" t="inlineStr">
        <is>
          <t>max_min_kick_ms</t>
        </is>
      </c>
      <c r="Z165" s="15" t="inlineStr">
        <is>
          <t>min_max_kick_ms</t>
        </is>
      </c>
      <c r="AA165" s="15" t="inlineStr">
        <is>
          <t>valid</t>
        </is>
      </c>
      <c r="AB165" s="16" t="inlineStr">
        <is>
          <t>interval</t>
        </is>
      </c>
    </row>
    <row r="166">
      <c r="B166" s="21" t="inlineStr">
        <is>
          <t>3.6V, %100 kick</t>
        </is>
      </c>
      <c r="D166" t="inlineStr">
        <is>
          <t>on_ms</t>
        </is>
      </c>
      <c r="E166" s="18">
        <f>MAX(E26,E29,E32,E35,E38,E41)</f>
        <v/>
      </c>
      <c r="F166" s="18">
        <f>MIN(F26,F29,F32,F35,F38,F41)</f>
        <v/>
      </c>
      <c r="G166" s="18">
        <f>IF(E166&lt;=F166,"True","False")</f>
        <v/>
      </c>
      <c r="H166" s="19">
        <f>IF(G166="True","["&amp;E166&amp;","&amp;F166&amp;"]","nan")</f>
        <v/>
      </c>
      <c r="L166" s="21" t="inlineStr">
        <is>
          <t>3.6V, %80 kick</t>
        </is>
      </c>
      <c r="N166" t="inlineStr">
        <is>
          <t>on_ms</t>
        </is>
      </c>
      <c r="O166" s="18">
        <f>MAX(O26,O29,O32,O35,O38,O41)</f>
        <v/>
      </c>
      <c r="P166" s="18">
        <f>MIN(P26,P29,P32,P35,P38,P41)</f>
        <v/>
      </c>
      <c r="Q166" s="18">
        <f>IF(O166&lt;=P166,"True","False")</f>
        <v/>
      </c>
      <c r="R166" s="19">
        <f>IF(Q166="True","["&amp;O166&amp;","&amp;P166&amp;"]","nan")</f>
        <v/>
      </c>
      <c r="V166" s="21" t="inlineStr">
        <is>
          <t>3.6V, %60 kick</t>
        </is>
      </c>
      <c r="X166" t="inlineStr">
        <is>
          <t>on_ms</t>
        </is>
      </c>
      <c r="Y166" s="18">
        <f>MAX(Y26,Y29,Y32,Y35,Y38,Y41)</f>
        <v/>
      </c>
      <c r="Z166" s="18">
        <f>MIN(Z26,Z29,Z32,Z35,Z38,Z41)</f>
        <v/>
      </c>
      <c r="AA166" s="18">
        <f>IF(Y166&lt;=Z166,"True","False")</f>
        <v/>
      </c>
      <c r="AB166" s="19">
        <f>IF(AA166="True","["&amp;Y166&amp;","&amp;Z166&amp;"]","nan")</f>
        <v/>
      </c>
    </row>
    <row r="167">
      <c r="B167" s="22" t="n"/>
      <c r="C167" s="11" t="n"/>
      <c r="D167" s="11" t="inlineStr">
        <is>
          <t>real_on_ms</t>
        </is>
      </c>
      <c r="E167" s="23">
        <f>MAX(E27,E30,E33,E36,E39,E42)</f>
        <v/>
      </c>
      <c r="F167" s="23">
        <f>MIN(F27,F30,F33,F36,F39,F42)</f>
        <v/>
      </c>
      <c r="G167" s="23">
        <f>IF(E167&lt;=F167,"True","False")</f>
        <v/>
      </c>
      <c r="H167" s="24">
        <f>IF(G167="True","["&amp;E167&amp;","&amp;F167&amp;"]","nan")</f>
        <v/>
      </c>
      <c r="L167" s="22" t="n"/>
      <c r="M167" s="11" t="n"/>
      <c r="N167" s="11" t="inlineStr">
        <is>
          <t>real_on_ms</t>
        </is>
      </c>
      <c r="O167" s="23">
        <f>MAX(O27,O30,O33,O36,O39,O42)</f>
        <v/>
      </c>
      <c r="P167" s="23">
        <f>MIN(P27,P30,P33,P36,P39,P42)</f>
        <v/>
      </c>
      <c r="Q167" s="23">
        <f>IF(O167&lt;=P167,"True","False")</f>
        <v/>
      </c>
      <c r="R167" s="24">
        <f>IF(Q167="True","["&amp;O167&amp;","&amp;P167&amp;"]","nan")</f>
        <v/>
      </c>
      <c r="V167" s="22" t="n"/>
      <c r="W167" s="11" t="n"/>
      <c r="X167" s="11" t="inlineStr">
        <is>
          <t>real_on_ms</t>
        </is>
      </c>
      <c r="Y167" s="23">
        <f>MAX(Y27,Y30,Y33,Y36,Y39,Y42)</f>
        <v/>
      </c>
      <c r="Z167" s="23">
        <f>MIN(Z27,Z30,Z33,Z36,Z39,Z42)</f>
        <v/>
      </c>
      <c r="AA167" s="23">
        <f>IF(Y167&lt;=Z167,"True","False")</f>
        <v/>
      </c>
      <c r="AB167" s="24">
        <f>IF(AA167="True","["&amp;Y167&amp;","&amp;Z167&amp;"]","nan")</f>
        <v/>
      </c>
    </row>
    <row r="169">
      <c r="B169" s="13" t="n"/>
      <c r="C169" s="14" t="n"/>
      <c r="D169" s="14" t="n"/>
      <c r="E169" s="15" t="inlineStr">
        <is>
          <t>max_min_kick_ms</t>
        </is>
      </c>
      <c r="F169" s="15" t="inlineStr">
        <is>
          <t>min_max_kick_ms</t>
        </is>
      </c>
      <c r="G169" s="15" t="inlineStr">
        <is>
          <t>valid</t>
        </is>
      </c>
      <c r="H169" s="16" t="inlineStr">
        <is>
          <t>interval</t>
        </is>
      </c>
      <c r="L169" s="13" t="n"/>
      <c r="M169" s="14" t="n"/>
      <c r="N169" s="14" t="n"/>
      <c r="O169" s="15" t="inlineStr">
        <is>
          <t>max_min_kick_ms</t>
        </is>
      </c>
      <c r="P169" s="15" t="inlineStr">
        <is>
          <t>min_max_kick_ms</t>
        </is>
      </c>
      <c r="Q169" s="15" t="inlineStr">
        <is>
          <t>valid</t>
        </is>
      </c>
      <c r="R169" s="16" t="inlineStr">
        <is>
          <t>interval</t>
        </is>
      </c>
      <c r="V169" s="13" t="n"/>
      <c r="W169" s="14" t="n"/>
      <c r="X169" s="14" t="n"/>
      <c r="Y169" s="15" t="inlineStr">
        <is>
          <t>max_min_kick_ms</t>
        </is>
      </c>
      <c r="Z169" s="15" t="inlineStr">
        <is>
          <t>min_max_kick_ms</t>
        </is>
      </c>
      <c r="AA169" s="15" t="inlineStr">
        <is>
          <t>valid</t>
        </is>
      </c>
      <c r="AB169" s="16" t="inlineStr">
        <is>
          <t>interval</t>
        </is>
      </c>
    </row>
    <row r="170">
      <c r="B170" s="21" t="inlineStr">
        <is>
          <t>3.4V, %100 kick</t>
        </is>
      </c>
      <c r="D170" t="inlineStr">
        <is>
          <t>on_ms</t>
        </is>
      </c>
      <c r="E170" s="18">
        <f>MAX(E49,E52,E55,E58,E61,E64)</f>
        <v/>
      </c>
      <c r="F170" s="18">
        <f>MIN(F49,F52,F55,F58,F61,F64)</f>
        <v/>
      </c>
      <c r="G170" s="18">
        <f>IF(E170&lt;=F170,"True","False")</f>
        <v/>
      </c>
      <c r="H170" s="19">
        <f>IF(G170="True","["&amp;E170&amp;","&amp;F170&amp;"]","nan")</f>
        <v/>
      </c>
      <c r="L170" s="21" t="inlineStr">
        <is>
          <t>3.4V, %80 kick</t>
        </is>
      </c>
      <c r="N170" t="inlineStr">
        <is>
          <t>on_ms</t>
        </is>
      </c>
      <c r="O170" s="18">
        <f>MAX(O49,O52,O55,O58,O61,O64)</f>
        <v/>
      </c>
      <c r="P170" s="18">
        <f>MIN(P49,P52,P55,P58,P61,P64)</f>
        <v/>
      </c>
      <c r="Q170" s="18">
        <f>IF(O170&lt;=P170,"True","False")</f>
        <v/>
      </c>
      <c r="R170" s="19">
        <f>IF(Q170="True","["&amp;O170&amp;","&amp;P170&amp;"]","nan")</f>
        <v/>
      </c>
      <c r="V170" s="21" t="inlineStr">
        <is>
          <t>3.4V, %60 kick</t>
        </is>
      </c>
      <c r="X170" t="inlineStr">
        <is>
          <t>on_ms</t>
        </is>
      </c>
      <c r="Y170" s="18">
        <f>MAX(Y49,Y52,Y55,Y58,Y61,Y64)</f>
        <v/>
      </c>
      <c r="Z170" s="18">
        <f>MIN(Z49,Z52,Z55,Z58,Z61,Z64)</f>
        <v/>
      </c>
      <c r="AA170" s="18">
        <f>IF(Y170&lt;=Z170,"True","False")</f>
        <v/>
      </c>
      <c r="AB170" s="19">
        <f>IF(AA170="True","["&amp;Y170&amp;","&amp;Z170&amp;"]","nan")</f>
        <v/>
      </c>
    </row>
    <row r="171">
      <c r="B171" s="22" t="n"/>
      <c r="C171" s="11" t="n"/>
      <c r="D171" s="11" t="inlineStr">
        <is>
          <t>real_on_ms</t>
        </is>
      </c>
      <c r="E171" s="23">
        <f>MAX(E50,E53,E56,E59,E62,E65)</f>
        <v/>
      </c>
      <c r="F171" s="23">
        <f>MIN(F50,F53,F56,F59,F62,F65)</f>
        <v/>
      </c>
      <c r="G171" s="23">
        <f>IF(E171&lt;=F171,"True","False")</f>
        <v/>
      </c>
      <c r="H171" s="24">
        <f>IF(G171="True","["&amp;E171&amp;","&amp;F171&amp;"]","nan")</f>
        <v/>
      </c>
      <c r="L171" s="22" t="n"/>
      <c r="M171" s="11" t="n"/>
      <c r="N171" s="11" t="inlineStr">
        <is>
          <t>real_on_ms</t>
        </is>
      </c>
      <c r="O171" s="23">
        <f>MAX(O50,O53,O56,O59,O62,O65)</f>
        <v/>
      </c>
      <c r="P171" s="23">
        <f>MIN(P50,P53,P56,P59,P62,P65)</f>
        <v/>
      </c>
      <c r="Q171" s="23">
        <f>IF(O171&lt;=P171,"True","False")</f>
        <v/>
      </c>
      <c r="R171" s="24">
        <f>IF(Q171="True","["&amp;O171&amp;","&amp;P171&amp;"]","nan")</f>
        <v/>
      </c>
      <c r="V171" s="22" t="n"/>
      <c r="W171" s="11" t="n"/>
      <c r="X171" s="11" t="inlineStr">
        <is>
          <t>real_on_ms</t>
        </is>
      </c>
      <c r="Y171" s="23">
        <f>MAX(Y50,Y53,Y56,Y59,Y62,Y65)</f>
        <v/>
      </c>
      <c r="Z171" s="23">
        <f>MIN(Z50,Z53,Z56,Z59,Z62,Z65)</f>
        <v/>
      </c>
      <c r="AA171" s="23">
        <f>IF(Y171&lt;=Z171,"True","False")</f>
        <v/>
      </c>
      <c r="AB171" s="24">
        <f>IF(AA171="True","["&amp;Y171&amp;","&amp;Z171&amp;"]","nan")</f>
        <v/>
      </c>
    </row>
    <row r="173">
      <c r="B173" s="13" t="n"/>
      <c r="C173" s="14" t="n"/>
      <c r="D173" s="14" t="n"/>
      <c r="E173" s="15" t="inlineStr">
        <is>
          <t>max_min_kick_ms</t>
        </is>
      </c>
      <c r="F173" s="15" t="inlineStr">
        <is>
          <t>min_max_kick_ms</t>
        </is>
      </c>
      <c r="G173" s="15" t="inlineStr">
        <is>
          <t>valid</t>
        </is>
      </c>
      <c r="H173" s="16" t="inlineStr">
        <is>
          <t>interval</t>
        </is>
      </c>
      <c r="L173" s="13" t="n"/>
      <c r="M173" s="14" t="n"/>
      <c r="N173" s="14" t="n"/>
      <c r="O173" s="15" t="inlineStr">
        <is>
          <t>max_min_kick_ms</t>
        </is>
      </c>
      <c r="P173" s="15" t="inlineStr">
        <is>
          <t>min_max_kick_ms</t>
        </is>
      </c>
      <c r="Q173" s="15" t="inlineStr">
        <is>
          <t>valid</t>
        </is>
      </c>
      <c r="R173" s="16" t="inlineStr">
        <is>
          <t>interval</t>
        </is>
      </c>
      <c r="V173" s="13" t="n"/>
      <c r="W173" s="14" t="n"/>
      <c r="X173" s="14" t="n"/>
      <c r="Y173" s="15" t="inlineStr">
        <is>
          <t>max_min_kick_ms</t>
        </is>
      </c>
      <c r="Z173" s="15" t="inlineStr">
        <is>
          <t>min_max_kick_ms</t>
        </is>
      </c>
      <c r="AA173" s="15" t="inlineStr">
        <is>
          <t>valid</t>
        </is>
      </c>
      <c r="AB173" s="16" t="inlineStr">
        <is>
          <t>interval</t>
        </is>
      </c>
    </row>
    <row r="174">
      <c r="B174" s="21" t="inlineStr">
        <is>
          <t>3.2V, %100 kick</t>
        </is>
      </c>
      <c r="D174" t="inlineStr">
        <is>
          <t>on_ms</t>
        </is>
      </c>
      <c r="E174" s="18">
        <f>MAX(E72,E75,E78,E81,E84,E87)</f>
        <v/>
      </c>
      <c r="F174" s="18">
        <f>MIN(F72,F75,F78,F81,F84,F87)</f>
        <v/>
      </c>
      <c r="G174" s="18">
        <f>IF(E174&lt;=F174,"True","False")</f>
        <v/>
      </c>
      <c r="H174" s="19">
        <f>IF(G174="True","["&amp;E174&amp;","&amp;F174&amp;"]","nan")</f>
        <v/>
      </c>
      <c r="L174" s="21" t="inlineStr">
        <is>
          <t>3.2V, %80 kick</t>
        </is>
      </c>
      <c r="N174" t="inlineStr">
        <is>
          <t>on_ms</t>
        </is>
      </c>
      <c r="O174" s="18">
        <f>MAX(O72,O75,O78,O81,O84,O87)</f>
        <v/>
      </c>
      <c r="P174" s="18">
        <f>MIN(P72,P75,P78,P81,P84,P87)</f>
        <v/>
      </c>
      <c r="Q174" s="18">
        <f>IF(O174&lt;=P174,"True","False")</f>
        <v/>
      </c>
      <c r="R174" s="19">
        <f>IF(Q174="True","["&amp;O174&amp;","&amp;P174&amp;"]","nan")</f>
        <v/>
      </c>
      <c r="V174" s="21" t="inlineStr">
        <is>
          <t>3.2V, %60 kick</t>
        </is>
      </c>
      <c r="X174" t="inlineStr">
        <is>
          <t>on_ms</t>
        </is>
      </c>
      <c r="Y174" s="18">
        <f>MAX(Y72,Y75,Y78,Y81,Y84,Y87)</f>
        <v/>
      </c>
      <c r="Z174" s="18">
        <f>MIN(Z72,Z75,Z78,Z81,Z84,Z87)</f>
        <v/>
      </c>
      <c r="AA174" s="18">
        <f>IF(Y174&lt;=Z174,"True","False")</f>
        <v/>
      </c>
      <c r="AB174" s="19">
        <f>IF(AA174="True","["&amp;Y174&amp;","&amp;Z174&amp;"]","nan")</f>
        <v/>
      </c>
    </row>
    <row r="175">
      <c r="B175" s="22" t="n"/>
      <c r="C175" s="11" t="n"/>
      <c r="D175" s="11" t="inlineStr">
        <is>
          <t>real_on_ms</t>
        </is>
      </c>
      <c r="E175" s="23">
        <f>MAX(E73,E76,E79,E82,E85,E88)</f>
        <v/>
      </c>
      <c r="F175" s="23">
        <f>MIN(F73,F76,F79,F82,F85,F88)</f>
        <v/>
      </c>
      <c r="G175" s="23">
        <f>IF(E175&lt;=F175,"True","False")</f>
        <v/>
      </c>
      <c r="H175" s="24">
        <f>IF(G175="True","["&amp;E175&amp;","&amp;F175&amp;"]","nan")</f>
        <v/>
      </c>
      <c r="L175" s="22" t="n"/>
      <c r="M175" s="11" t="n"/>
      <c r="N175" s="11" t="inlineStr">
        <is>
          <t>real_on_ms</t>
        </is>
      </c>
      <c r="O175" s="23">
        <f>MAX(O73,O76,O79,O82,O85,O88)</f>
        <v/>
      </c>
      <c r="P175" s="23">
        <f>MIN(P73,P76,P79,P82,P85,P88)</f>
        <v/>
      </c>
      <c r="Q175" s="23">
        <f>IF(O175&lt;=P175,"True","False")</f>
        <v/>
      </c>
      <c r="R175" s="24">
        <f>IF(Q175="True","["&amp;O175&amp;","&amp;P175&amp;"]","nan")</f>
        <v/>
      </c>
      <c r="V175" s="22" t="n"/>
      <c r="W175" s="11" t="n"/>
      <c r="X175" s="11" t="inlineStr">
        <is>
          <t>real_on_ms</t>
        </is>
      </c>
      <c r="Y175" s="23">
        <f>MAX(Y73,Y76,Y79,Y82,Y85,Y88)</f>
        <v/>
      </c>
      <c r="Z175" s="23">
        <f>MIN(Z73,Z76,Z79,Z82,Z85,Z88)</f>
        <v/>
      </c>
      <c r="AA175" s="23">
        <f>IF(Y175&lt;=Z175,"True","False")</f>
        <v/>
      </c>
      <c r="AB175" s="24">
        <f>IF(AA175="True","["&amp;Y175&amp;","&amp;Z175&amp;"]","nan")</f>
        <v/>
      </c>
    </row>
    <row r="177">
      <c r="B177" s="13" t="n"/>
      <c r="C177" s="14" t="n"/>
      <c r="D177" s="14" t="n"/>
      <c r="E177" s="15" t="inlineStr">
        <is>
          <t>max_min_kick_ms</t>
        </is>
      </c>
      <c r="F177" s="15" t="inlineStr">
        <is>
          <t>min_max_kick_ms</t>
        </is>
      </c>
      <c r="G177" s="15" t="inlineStr">
        <is>
          <t>valid</t>
        </is>
      </c>
      <c r="H177" s="16" t="inlineStr">
        <is>
          <t>interval</t>
        </is>
      </c>
      <c r="L177" s="13" t="n"/>
      <c r="M177" s="14" t="n"/>
      <c r="N177" s="14" t="n"/>
      <c r="O177" s="15" t="inlineStr">
        <is>
          <t>max_min_kick_ms</t>
        </is>
      </c>
      <c r="P177" s="15" t="inlineStr">
        <is>
          <t>min_max_kick_ms</t>
        </is>
      </c>
      <c r="Q177" s="15" t="inlineStr">
        <is>
          <t>valid</t>
        </is>
      </c>
      <c r="R177" s="16" t="inlineStr">
        <is>
          <t>interval</t>
        </is>
      </c>
      <c r="V177" s="13" t="n"/>
      <c r="W177" s="14" t="n"/>
      <c r="X177" s="14" t="n"/>
      <c r="Y177" s="15" t="inlineStr">
        <is>
          <t>max_min_kick_ms</t>
        </is>
      </c>
      <c r="Z177" s="15" t="inlineStr">
        <is>
          <t>min_max_kick_ms</t>
        </is>
      </c>
      <c r="AA177" s="15" t="inlineStr">
        <is>
          <t>valid</t>
        </is>
      </c>
      <c r="AB177" s="16" t="inlineStr">
        <is>
          <t>interval</t>
        </is>
      </c>
    </row>
    <row r="178">
      <c r="B178" s="21" t="inlineStr">
        <is>
          <t>3V, %100 kick</t>
        </is>
      </c>
      <c r="D178" t="inlineStr">
        <is>
          <t>on_ms</t>
        </is>
      </c>
      <c r="E178" s="18">
        <f>MAX(E95,E98,E101,E104,E107,E110)</f>
        <v/>
      </c>
      <c r="F178" s="18">
        <f>MIN(F95,F98,F101,F104,F107,F110)</f>
        <v/>
      </c>
      <c r="G178" s="18">
        <f>IF(E178&lt;=F178,"True","False")</f>
        <v/>
      </c>
      <c r="H178" s="19">
        <f>IF(G178="True","["&amp;E178&amp;","&amp;F178&amp;"]","nan")</f>
        <v/>
      </c>
      <c r="L178" s="21" t="inlineStr">
        <is>
          <t>3V, %80 kick</t>
        </is>
      </c>
      <c r="N178" t="inlineStr">
        <is>
          <t>on_ms</t>
        </is>
      </c>
      <c r="O178" s="18">
        <f>MAX(O95,O98,O101,O104,O107,O110)</f>
        <v/>
      </c>
      <c r="P178" s="18">
        <f>MIN(P95,P98,P101,P104,P107,P110)</f>
        <v/>
      </c>
      <c r="Q178" s="18">
        <f>IF(O178&lt;=P178,"True","False")</f>
        <v/>
      </c>
      <c r="R178" s="19">
        <f>IF(Q178="True","["&amp;O178&amp;","&amp;P178&amp;"]","nan")</f>
        <v/>
      </c>
      <c r="V178" s="21" t="inlineStr">
        <is>
          <t>3V, %60 kick</t>
        </is>
      </c>
      <c r="X178" t="inlineStr">
        <is>
          <t>on_ms</t>
        </is>
      </c>
      <c r="Y178" s="18">
        <f>MAX(Y95,Y98,Y101,Y104,Y107,Y110)</f>
        <v/>
      </c>
      <c r="Z178" s="18">
        <f>MIN(Z95,Z98,Z101,Z104,Z107,Z110)</f>
        <v/>
      </c>
      <c r="AA178" s="18">
        <f>IF(Y178&lt;=Z178,"True","False")</f>
        <v/>
      </c>
      <c r="AB178" s="19">
        <f>IF(AA178="True","["&amp;Y178&amp;","&amp;Z178&amp;"]","nan")</f>
        <v/>
      </c>
    </row>
    <row r="179">
      <c r="B179" s="22" t="n"/>
      <c r="C179" s="11" t="n"/>
      <c r="D179" s="11" t="inlineStr">
        <is>
          <t>real_on_ms</t>
        </is>
      </c>
      <c r="E179" s="23">
        <f>MAX(E96,E99,E102,E105,E108,E111)</f>
        <v/>
      </c>
      <c r="F179" s="23">
        <f>MIN(F96,F99,F102,F105,F108,F111)</f>
        <v/>
      </c>
      <c r="G179" s="23">
        <f>IF(E179&lt;=F179,"True","False")</f>
        <v/>
      </c>
      <c r="H179" s="24">
        <f>IF(G179="True","["&amp;E179&amp;","&amp;F179&amp;"]","nan")</f>
        <v/>
      </c>
      <c r="L179" s="22" t="n"/>
      <c r="M179" s="11" t="n"/>
      <c r="N179" s="11" t="inlineStr">
        <is>
          <t>real_on_ms</t>
        </is>
      </c>
      <c r="O179" s="23">
        <f>MAX(O96,O99,O102,O105,O108,O111)</f>
        <v/>
      </c>
      <c r="P179" s="23">
        <f>MIN(P96,P99,P102,P105,P108,P111)</f>
        <v/>
      </c>
      <c r="Q179" s="23">
        <f>IF(O179&lt;=P179,"True","False")</f>
        <v/>
      </c>
      <c r="R179" s="24">
        <f>IF(Q179="True","["&amp;O179&amp;","&amp;P179&amp;"]","nan")</f>
        <v/>
      </c>
      <c r="V179" s="22" t="n"/>
      <c r="W179" s="11" t="n"/>
      <c r="X179" s="11" t="inlineStr">
        <is>
          <t>real_on_ms</t>
        </is>
      </c>
      <c r="Y179" s="23">
        <f>MAX(Y96,Y99,Y102,Y105,Y108,Y111)</f>
        <v/>
      </c>
      <c r="Z179" s="23">
        <f>MIN(Z96,Z99,Z102,Z105,Z108,Z111)</f>
        <v/>
      </c>
      <c r="AA179" s="23">
        <f>IF(Y179&lt;=Z179,"True","False")</f>
        <v/>
      </c>
      <c r="AB179" s="24">
        <f>IF(AA179="True","["&amp;Y179&amp;","&amp;Z179&amp;"]","nan")</f>
        <v/>
      </c>
    </row>
    <row r="181">
      <c r="B181" s="13" t="n"/>
      <c r="C181" s="14" t="n"/>
      <c r="D181" s="14" t="n"/>
      <c r="E181" s="15" t="inlineStr">
        <is>
          <t>max_min_kick_ms</t>
        </is>
      </c>
      <c r="F181" s="15" t="inlineStr">
        <is>
          <t>min_max_kick_ms</t>
        </is>
      </c>
      <c r="G181" s="15" t="inlineStr">
        <is>
          <t>valid</t>
        </is>
      </c>
      <c r="H181" s="16" t="inlineStr">
        <is>
          <t>interval</t>
        </is>
      </c>
      <c r="L181" s="13" t="n"/>
      <c r="M181" s="14" t="n"/>
      <c r="N181" s="14" t="n"/>
      <c r="O181" s="15" t="inlineStr">
        <is>
          <t>max_min_kick_ms</t>
        </is>
      </c>
      <c r="P181" s="15" t="inlineStr">
        <is>
          <t>min_max_kick_ms</t>
        </is>
      </c>
      <c r="Q181" s="15" t="inlineStr">
        <is>
          <t>valid</t>
        </is>
      </c>
      <c r="R181" s="16" t="inlineStr">
        <is>
          <t>interval</t>
        </is>
      </c>
      <c r="V181" s="13" t="n"/>
      <c r="W181" s="14" t="n"/>
      <c r="X181" s="14" t="n"/>
      <c r="Y181" s="15" t="inlineStr">
        <is>
          <t>max_min_kick_ms</t>
        </is>
      </c>
      <c r="Z181" s="15" t="inlineStr">
        <is>
          <t>min_max_kick_ms</t>
        </is>
      </c>
      <c r="AA181" s="15" t="inlineStr">
        <is>
          <t>valid</t>
        </is>
      </c>
      <c r="AB181" s="16" t="inlineStr">
        <is>
          <t>interval</t>
        </is>
      </c>
    </row>
    <row r="182">
      <c r="B182" s="21" t="inlineStr">
        <is>
          <t>2.8V, %100 kick</t>
        </is>
      </c>
      <c r="D182" t="inlineStr">
        <is>
          <t>on_ms</t>
        </is>
      </c>
      <c r="E182" s="18">
        <f>MAX(E118,E121,E124,E127,E130,E133)</f>
        <v/>
      </c>
      <c r="F182" s="18">
        <f>MIN(F118,F121,F124,F127,F130,F133)</f>
        <v/>
      </c>
      <c r="G182" s="18">
        <f>IF(E182&lt;=F182,"True","False")</f>
        <v/>
      </c>
      <c r="H182" s="19">
        <f>IF(G182="True","["&amp;E182&amp;","&amp;F182&amp;"]","nan")</f>
        <v/>
      </c>
      <c r="L182" s="21" t="inlineStr">
        <is>
          <t>2.8V, %80 kick</t>
        </is>
      </c>
      <c r="N182" t="inlineStr">
        <is>
          <t>on_ms</t>
        </is>
      </c>
      <c r="O182" s="18">
        <f>MAX(O118,O121,O124,O127,O130,O133)</f>
        <v/>
      </c>
      <c r="P182" s="18">
        <f>MIN(P118,P121,P124,P127,P130,P133)</f>
        <v/>
      </c>
      <c r="Q182" s="18">
        <f>IF(O182&lt;=P182,"True","False")</f>
        <v/>
      </c>
      <c r="R182" s="19">
        <f>IF(Q182="True","["&amp;O182&amp;","&amp;P182&amp;"]","nan")</f>
        <v/>
      </c>
      <c r="V182" s="21" t="inlineStr">
        <is>
          <t>2.8V, %60 kick</t>
        </is>
      </c>
      <c r="X182" t="inlineStr">
        <is>
          <t>on_ms</t>
        </is>
      </c>
      <c r="Y182" s="18">
        <f>MAX(Y118,Y121,Y124,Y127,Y130,Y133)</f>
        <v/>
      </c>
      <c r="Z182" s="18">
        <f>MIN(Z118,Z121,Z124,Z127,Z130,Z133)</f>
        <v/>
      </c>
      <c r="AA182" s="18">
        <f>IF(Y182&lt;=Z182,"True","False")</f>
        <v/>
      </c>
      <c r="AB182" s="19">
        <f>IF(AA182="True","["&amp;Y182&amp;","&amp;Z182&amp;"]","nan")</f>
        <v/>
      </c>
    </row>
    <row r="183">
      <c r="B183" s="22" t="n"/>
      <c r="C183" s="11" t="n"/>
      <c r="D183" s="11" t="inlineStr">
        <is>
          <t>real_on_ms</t>
        </is>
      </c>
      <c r="E183" s="23">
        <f>MAX(E119,E122,E125,E128,E131,E134)</f>
        <v/>
      </c>
      <c r="F183" s="23">
        <f>MIN(F119,F122,F125,F128,F131,F134)</f>
        <v/>
      </c>
      <c r="G183" s="23">
        <f>IF(E183&lt;=F183,"True","False")</f>
        <v/>
      </c>
      <c r="H183" s="24">
        <f>IF(G183="True","["&amp;E183&amp;","&amp;F183&amp;"]","nan")</f>
        <v/>
      </c>
      <c r="L183" s="22" t="n"/>
      <c r="M183" s="11" t="n"/>
      <c r="N183" s="11" t="inlineStr">
        <is>
          <t>real_on_ms</t>
        </is>
      </c>
      <c r="O183" s="23">
        <f>MAX(O119,O122,O125,O128,O131,O134)</f>
        <v/>
      </c>
      <c r="P183" s="23">
        <f>MIN(P119,P122,P125,P128,P131,P134)</f>
        <v/>
      </c>
      <c r="Q183" s="23">
        <f>IF(O183&lt;=P183,"True","False")</f>
        <v/>
      </c>
      <c r="R183" s="24">
        <f>IF(Q183="True","["&amp;O183&amp;","&amp;P183&amp;"]","nan")</f>
        <v/>
      </c>
      <c r="V183" s="22" t="n"/>
      <c r="W183" s="11" t="n"/>
      <c r="X183" s="11" t="inlineStr">
        <is>
          <t>real_on_ms</t>
        </is>
      </c>
      <c r="Y183" s="23">
        <f>MAX(Y119,Y122,Y125,Y128,Y131,Y134)</f>
        <v/>
      </c>
      <c r="Z183" s="23">
        <f>MIN(Z119,Z122,Z125,Z128,Z131,Z134)</f>
        <v/>
      </c>
      <c r="AA183" s="23">
        <f>IF(Y183&lt;=Z183,"True","False")</f>
        <v/>
      </c>
      <c r="AB183" s="24">
        <f>IF(AA183="True","["&amp;Y183&amp;","&amp;Z183&amp;"]","nan")</f>
        <v/>
      </c>
    </row>
    <row r="185">
      <c r="B185" s="13" t="n"/>
      <c r="C185" s="14" t="n"/>
      <c r="D185" s="14" t="n"/>
      <c r="E185" s="15" t="inlineStr">
        <is>
          <t>max_min_kick_ms</t>
        </is>
      </c>
      <c r="F185" s="15" t="inlineStr">
        <is>
          <t>min_max_kick_ms</t>
        </is>
      </c>
      <c r="G185" s="15" t="inlineStr">
        <is>
          <t>valid</t>
        </is>
      </c>
      <c r="H185" s="16" t="inlineStr">
        <is>
          <t>interval</t>
        </is>
      </c>
      <c r="L185" s="13" t="n"/>
      <c r="M185" s="14" t="n"/>
      <c r="N185" s="14" t="n"/>
      <c r="O185" s="15" t="inlineStr">
        <is>
          <t>max_min_kick_ms</t>
        </is>
      </c>
      <c r="P185" s="15" t="inlineStr">
        <is>
          <t>min_max_kick_ms</t>
        </is>
      </c>
      <c r="Q185" s="15" t="inlineStr">
        <is>
          <t>valid</t>
        </is>
      </c>
      <c r="R185" s="16" t="inlineStr">
        <is>
          <t>interval</t>
        </is>
      </c>
      <c r="V185" s="13" t="n"/>
      <c r="W185" s="14" t="n"/>
      <c r="X185" s="14" t="n"/>
      <c r="Y185" s="15" t="inlineStr">
        <is>
          <t>max_min_kick_ms</t>
        </is>
      </c>
      <c r="Z185" s="15" t="inlineStr">
        <is>
          <t>min_max_kick_ms</t>
        </is>
      </c>
      <c r="AA185" s="15" t="inlineStr">
        <is>
          <t>valid</t>
        </is>
      </c>
      <c r="AB185" s="16" t="inlineStr">
        <is>
          <t>interval</t>
        </is>
      </c>
    </row>
    <row r="186">
      <c r="B186" s="21" t="inlineStr">
        <is>
          <t>2.6V, %100 kick</t>
        </is>
      </c>
      <c r="D186" t="inlineStr">
        <is>
          <t>on_ms</t>
        </is>
      </c>
      <c r="E186" s="18">
        <f>MAX(E141,E144,E147,E150,E153,E156)</f>
        <v/>
      </c>
      <c r="F186" s="18">
        <f>MIN(F141,F144,F147,F150,F153,F156)</f>
        <v/>
      </c>
      <c r="G186" s="18">
        <f>IF(E186&lt;=F186,"True","False")</f>
        <v/>
      </c>
      <c r="H186" s="19">
        <f>IF(G186="True","["&amp;E186&amp;","&amp;F186&amp;"]","nan")</f>
        <v/>
      </c>
      <c r="L186" s="21" t="inlineStr">
        <is>
          <t>2.6V, %80 kick</t>
        </is>
      </c>
      <c r="N186" t="inlineStr">
        <is>
          <t>on_ms</t>
        </is>
      </c>
      <c r="O186" s="18">
        <f>MAX(O141,O144,O147,O150,O153,O156)</f>
        <v/>
      </c>
      <c r="P186" s="18">
        <f>MIN(P141,P144,P147,P150,P153,P156)</f>
        <v/>
      </c>
      <c r="Q186" s="18">
        <f>IF(O186&lt;=P186,"True","False")</f>
        <v/>
      </c>
      <c r="R186" s="19">
        <f>IF(Q186="True","["&amp;O186&amp;","&amp;P186&amp;"]","nan")</f>
        <v/>
      </c>
      <c r="V186" s="21" t="inlineStr">
        <is>
          <t>2.6V, %60 kick</t>
        </is>
      </c>
      <c r="X186" t="inlineStr">
        <is>
          <t>on_ms</t>
        </is>
      </c>
      <c r="Y186" s="18">
        <f>MAX(Y141,Y144,Y147,Y150,Y153,Y156)</f>
        <v/>
      </c>
      <c r="Z186" s="18">
        <f>MIN(Z141,Z144,Z147,Z150,Z153,Z156)</f>
        <v/>
      </c>
      <c r="AA186" s="18">
        <f>IF(Y186&lt;=Z186,"True","False")</f>
        <v/>
      </c>
      <c r="AB186" s="19">
        <f>IF(AA186="True","["&amp;Y186&amp;","&amp;Z186&amp;"]","nan")</f>
        <v/>
      </c>
    </row>
    <row r="187">
      <c r="B187" s="22" t="n"/>
      <c r="C187" s="11" t="n"/>
      <c r="D187" s="11" t="inlineStr">
        <is>
          <t>real_on_ms</t>
        </is>
      </c>
      <c r="E187" s="23">
        <f>MAX(E142,E145,E148,E151,E154,E157)</f>
        <v/>
      </c>
      <c r="F187" s="23">
        <f>MIN(F142,F145,F148,F151,F154,F157)</f>
        <v/>
      </c>
      <c r="G187" s="23">
        <f>IF(E187&lt;=F187,"True","False")</f>
        <v/>
      </c>
      <c r="H187" s="24">
        <f>IF(G187="True","["&amp;E187&amp;","&amp;F187&amp;"]","nan")</f>
        <v/>
      </c>
      <c r="L187" s="22" t="n"/>
      <c r="M187" s="11" t="n"/>
      <c r="N187" s="11" t="inlineStr">
        <is>
          <t>real_on_ms</t>
        </is>
      </c>
      <c r="O187" s="23">
        <f>MAX(O142,O145,O148,O151,O154,O157)</f>
        <v/>
      </c>
      <c r="P187" s="23">
        <f>MIN(P142,P145,P148,P151,P154,P157)</f>
        <v/>
      </c>
      <c r="Q187" s="23">
        <f>IF(O187&lt;=P187,"True","False")</f>
        <v/>
      </c>
      <c r="R187" s="24">
        <f>IF(Q187="True","["&amp;O187&amp;","&amp;P187&amp;"]","nan")</f>
        <v/>
      </c>
      <c r="V187" s="22" t="n"/>
      <c r="W187" s="11" t="n"/>
      <c r="X187" s="11" t="inlineStr">
        <is>
          <t>real_on_ms</t>
        </is>
      </c>
      <c r="Y187" s="23">
        <f>MAX(Y142,Y145,Y148,Y151,Y154,Y157)</f>
        <v/>
      </c>
      <c r="Z187" s="23">
        <f>MIN(Z142,Z145,Z148,Z151,Z154,Z157)</f>
        <v/>
      </c>
      <c r="AA187" s="23">
        <f>IF(Y187&lt;=Z187,"True","False")</f>
        <v/>
      </c>
      <c r="AB187" s="24">
        <f>IF(AA187="True","["&amp;Y187&amp;","&amp;Z187&amp;"]","nan")</f>
        <v/>
      </c>
    </row>
    <row r="189"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</row>
    <row r="190"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</row>
    <row r="192">
      <c r="B192" s="13" t="n"/>
      <c r="C192" s="14" t="n"/>
      <c r="D192" s="14" t="n"/>
      <c r="E192" s="15" t="inlineStr">
        <is>
          <t>max_min_kick_ms</t>
        </is>
      </c>
      <c r="F192" s="15" t="inlineStr">
        <is>
          <t>min_max_kick_ms</t>
        </is>
      </c>
      <c r="G192" s="15" t="inlineStr">
        <is>
          <t>valid</t>
        </is>
      </c>
      <c r="H192" s="16" t="inlineStr">
        <is>
          <t>interval</t>
        </is>
      </c>
      <c r="L192" s="13" t="n"/>
      <c r="M192" s="14" t="n"/>
      <c r="N192" s="14" t="n"/>
      <c r="O192" s="15" t="inlineStr">
        <is>
          <t>max_min_kick_ms</t>
        </is>
      </c>
      <c r="P192" s="15" t="inlineStr">
        <is>
          <t>min_max_kick_ms</t>
        </is>
      </c>
      <c r="Q192" s="15" t="inlineStr">
        <is>
          <t>valid</t>
        </is>
      </c>
      <c r="R192" s="16" t="inlineStr">
        <is>
          <t>interval</t>
        </is>
      </c>
      <c r="V192" s="13" t="n"/>
      <c r="W192" s="14" t="n"/>
      <c r="X192" s="14" t="n"/>
      <c r="Y192" s="15" t="inlineStr">
        <is>
          <t>max_min_kick_ms</t>
        </is>
      </c>
      <c r="Z192" s="15" t="inlineStr">
        <is>
          <t>min_max_kick_ms</t>
        </is>
      </c>
      <c r="AA192" s="15" t="inlineStr">
        <is>
          <t>valid</t>
        </is>
      </c>
      <c r="AB192" s="16" t="inlineStr">
        <is>
          <t>interval</t>
        </is>
      </c>
    </row>
    <row r="193">
      <c r="B193" s="26" t="inlineStr">
        <is>
          <t>%6 intensity
%100 kick</t>
        </is>
      </c>
      <c r="D193" t="inlineStr">
        <is>
          <t>on_ms</t>
        </is>
      </c>
      <c r="E193" s="18">
        <f>MAX(E3,E26,E49,E72,E95,E118,E141)</f>
        <v/>
      </c>
      <c r="F193" s="18">
        <f>MIN(F3,F26,F49,F72,F95,F118,F141)</f>
        <v/>
      </c>
      <c r="G193" s="18">
        <f>IF(E193&lt;=F193,"True","False")</f>
        <v/>
      </c>
      <c r="H193" s="19">
        <f>IF(G193="True","["&amp;E193&amp;","&amp;F193&amp;"]","nan")</f>
        <v/>
      </c>
      <c r="L193" s="26" t="inlineStr">
        <is>
          <t>%6 intensity
%80 kick</t>
        </is>
      </c>
      <c r="N193" t="inlineStr">
        <is>
          <t>on_ms</t>
        </is>
      </c>
      <c r="O193" s="18">
        <f>MAX(O3,O26,O49,O72,O95,O118,O141)</f>
        <v/>
      </c>
      <c r="P193" s="18">
        <f>MIN(P3,P26,P49,P72,P95,P118,P141)</f>
        <v/>
      </c>
      <c r="Q193" s="18">
        <f>IF(O193&lt;=P193,"True","False")</f>
        <v/>
      </c>
      <c r="R193" s="19">
        <f>IF(Q193="True","["&amp;O193&amp;","&amp;P193&amp;"]","nan")</f>
        <v/>
      </c>
      <c r="V193" s="26" t="inlineStr">
        <is>
          <t>%6 intensity
%60 kick</t>
        </is>
      </c>
      <c r="X193" t="inlineStr">
        <is>
          <t>on_ms</t>
        </is>
      </c>
      <c r="Y193" s="18">
        <f>MAX(Y3,Y26,Y49,Y72,Y95,Y118,Y141)</f>
        <v/>
      </c>
      <c r="Z193" s="18">
        <f>MIN(Z3,Z26,Z49,Z72,Z95,Z118,Z141)</f>
        <v/>
      </c>
      <c r="AA193" s="18">
        <f>IF(Y193&lt;=Z193,"True","False")</f>
        <v/>
      </c>
      <c r="AB193" s="19">
        <f>IF(AA193="True","["&amp;Y193&amp;","&amp;Z193&amp;"]","nan")</f>
        <v/>
      </c>
    </row>
    <row r="194">
      <c r="B194" s="22" t="n"/>
      <c r="C194" s="11" t="n"/>
      <c r="D194" s="11" t="inlineStr">
        <is>
          <t>real_on_ms</t>
        </is>
      </c>
      <c r="E194" s="23">
        <f>MAX(E4,E27,E50,E73,E96,E119,E142)</f>
        <v/>
      </c>
      <c r="F194" s="23">
        <f>MIN(F4,F27,F50,F73,F96,F119,F142)</f>
        <v/>
      </c>
      <c r="G194" s="23">
        <f>IF(E194&lt;=F194,"True","False")</f>
        <v/>
      </c>
      <c r="H194" s="24">
        <f>IF(G194="True","["&amp;E194&amp;","&amp;F194&amp;"]","nan")</f>
        <v/>
      </c>
      <c r="L194" s="22" t="n"/>
      <c r="M194" s="11" t="n"/>
      <c r="N194" s="11" t="inlineStr">
        <is>
          <t>real_on_ms</t>
        </is>
      </c>
      <c r="O194" s="23">
        <f>MAX(O4,O27,O50,O73,O96,O119,O142)</f>
        <v/>
      </c>
      <c r="P194" s="23">
        <f>MIN(P4,P27,P50,P73,P96,P119,P142)</f>
        <v/>
      </c>
      <c r="Q194" s="23">
        <f>IF(O194&lt;=P194,"True","False")</f>
        <v/>
      </c>
      <c r="R194" s="24">
        <f>IF(Q194="True","["&amp;O194&amp;","&amp;P194&amp;"]","nan")</f>
        <v/>
      </c>
      <c r="V194" s="22" t="n"/>
      <c r="W194" s="11" t="n"/>
      <c r="X194" s="11" t="inlineStr">
        <is>
          <t>real_on_ms</t>
        </is>
      </c>
      <c r="Y194" s="23">
        <f>MAX(Y4,Y27,Y50,Y73,Y96,Y119,Y142)</f>
        <v/>
      </c>
      <c r="Z194" s="23">
        <f>MIN(Z4,Z27,Z50,Z73,Z96,Z119,Z142)</f>
        <v/>
      </c>
      <c r="AA194" s="23">
        <f>IF(Y194&lt;=Z194,"True","False")</f>
        <v/>
      </c>
      <c r="AB194" s="27">
        <f>IF(AA194="True","["&amp;Y194&amp;","&amp;Z194&amp;"]","nan")</f>
        <v/>
      </c>
    </row>
    <row r="196">
      <c r="B196" s="13" t="n"/>
      <c r="C196" s="14" t="n"/>
      <c r="D196" s="14" t="n"/>
      <c r="E196" s="15" t="inlineStr">
        <is>
          <t>max_min_kick_ms</t>
        </is>
      </c>
      <c r="F196" s="15" t="inlineStr">
        <is>
          <t>min_max_kick_ms</t>
        </is>
      </c>
      <c r="G196" s="15" t="inlineStr">
        <is>
          <t>valid</t>
        </is>
      </c>
      <c r="H196" s="16" t="inlineStr">
        <is>
          <t>interval</t>
        </is>
      </c>
      <c r="L196" s="13" t="n"/>
      <c r="M196" s="14" t="n"/>
      <c r="N196" s="14" t="n"/>
      <c r="O196" s="15" t="inlineStr">
        <is>
          <t>max_min_kick_ms</t>
        </is>
      </c>
      <c r="P196" s="15" t="inlineStr">
        <is>
          <t>min_max_kick_ms</t>
        </is>
      </c>
      <c r="Q196" s="15" t="inlineStr">
        <is>
          <t>valid</t>
        </is>
      </c>
      <c r="R196" s="16" t="inlineStr">
        <is>
          <t>interval</t>
        </is>
      </c>
      <c r="V196" s="13" t="n"/>
      <c r="W196" s="14" t="n"/>
      <c r="X196" s="14" t="n"/>
      <c r="Y196" s="15" t="inlineStr">
        <is>
          <t>max_min_kick_ms</t>
        </is>
      </c>
      <c r="Z196" s="15" t="inlineStr">
        <is>
          <t>min_max_kick_ms</t>
        </is>
      </c>
      <c r="AA196" s="15" t="inlineStr">
        <is>
          <t>valid</t>
        </is>
      </c>
      <c r="AB196" s="16" t="inlineStr">
        <is>
          <t>interval</t>
        </is>
      </c>
    </row>
    <row r="197">
      <c r="B197" s="26" t="inlineStr">
        <is>
          <t>%7 intensity
%100 kick</t>
        </is>
      </c>
      <c r="D197" t="inlineStr">
        <is>
          <t>on_ms</t>
        </is>
      </c>
      <c r="E197" s="18">
        <f>MAX(E6,E29,E52,E75,E98,E121,E144)</f>
        <v/>
      </c>
      <c r="F197" s="18">
        <f>MIN(F6,F29,F52,F75,F98,F121,F144)</f>
        <v/>
      </c>
      <c r="G197" s="18">
        <f>IF(E197&lt;=F197,"True","False")</f>
        <v/>
      </c>
      <c r="H197" s="19">
        <f>IF(G197="True","["&amp;E197&amp;","&amp;F197&amp;"]","nan")</f>
        <v/>
      </c>
      <c r="L197" s="26" t="inlineStr">
        <is>
          <t>%7 intensity
%80 kick</t>
        </is>
      </c>
      <c r="N197" t="inlineStr">
        <is>
          <t>on_ms</t>
        </is>
      </c>
      <c r="O197" s="18">
        <f>MAX(O6,O29,O52,O75,O98,O121,O144)</f>
        <v/>
      </c>
      <c r="P197" s="18">
        <f>MIN(P6,P29,P52,P75,P98,P121,P144)</f>
        <v/>
      </c>
      <c r="Q197" s="18">
        <f>IF(O197&lt;=P197,"True","False")</f>
        <v/>
      </c>
      <c r="R197" s="19">
        <f>IF(Q197="True","["&amp;O197&amp;","&amp;P197&amp;"]","nan")</f>
        <v/>
      </c>
      <c r="V197" s="26" t="inlineStr">
        <is>
          <t>%7 intensity
%60 kick</t>
        </is>
      </c>
      <c r="X197" t="inlineStr">
        <is>
          <t>on_ms</t>
        </is>
      </c>
      <c r="Y197" s="18">
        <f>MAX(Y6,Y29,Y52,Y75,Y98,Y121,Y144)</f>
        <v/>
      </c>
      <c r="Z197" s="18">
        <f>MIN(Z6,Z29,Z52,Z75,Z98,Z121,Z144)</f>
        <v/>
      </c>
      <c r="AA197" s="18">
        <f>IF(Y197&lt;=Z197,"True","False")</f>
        <v/>
      </c>
      <c r="AB197" s="19">
        <f>IF(AA197="True","["&amp;Y197&amp;","&amp;Z197&amp;"]","nan")</f>
        <v/>
      </c>
    </row>
    <row r="198">
      <c r="B198" s="22" t="n"/>
      <c r="C198" s="11" t="n"/>
      <c r="D198" s="11" t="inlineStr">
        <is>
          <t>real_on_ms</t>
        </is>
      </c>
      <c r="E198" s="23">
        <f>MAX(E7,E30,E53,E76,E99,E122,E145)</f>
        <v/>
      </c>
      <c r="F198" s="23">
        <f>MIN(F7,F30,F53,F76,F99,F122,F145)</f>
        <v/>
      </c>
      <c r="G198" s="23">
        <f>IF(E198&lt;=F198,"True","False")</f>
        <v/>
      </c>
      <c r="H198" s="24">
        <f>IF(G198="True","["&amp;E198&amp;","&amp;F198&amp;"]","nan")</f>
        <v/>
      </c>
      <c r="L198" s="22" t="n"/>
      <c r="M198" s="11" t="n"/>
      <c r="N198" s="11" t="inlineStr">
        <is>
          <t>real_on_ms</t>
        </is>
      </c>
      <c r="O198" s="23">
        <f>MAX(O7,O30,O53,O76,O99,O122,O145)</f>
        <v/>
      </c>
      <c r="P198" s="23">
        <f>MIN(P7,P30,P53,P76,P99,P122,P145)</f>
        <v/>
      </c>
      <c r="Q198" s="23">
        <f>IF(O198&lt;=P198,"True","False")</f>
        <v/>
      </c>
      <c r="R198" s="24">
        <f>IF(Q198="True","["&amp;O198&amp;","&amp;P198&amp;"]","nan")</f>
        <v/>
      </c>
      <c r="V198" s="22" t="n"/>
      <c r="W198" s="11" t="n"/>
      <c r="X198" s="11" t="inlineStr">
        <is>
          <t>real_on_ms</t>
        </is>
      </c>
      <c r="Y198" s="23">
        <f>MAX(Y7,Y30,Y53,Y76,Y99,Y122,Y145)</f>
        <v/>
      </c>
      <c r="Z198" s="23">
        <f>MIN(Z7,Z30,Z53,Z76,Z99,Z122,Z145)</f>
        <v/>
      </c>
      <c r="AA198" s="23">
        <f>IF(Y198&lt;=Z198,"True","False")</f>
        <v/>
      </c>
      <c r="AB198" s="27">
        <f>IF(AA198="True","["&amp;Y198&amp;","&amp;Z198&amp;"]","nan")</f>
        <v/>
      </c>
    </row>
    <row r="200">
      <c r="B200" s="13" t="n"/>
      <c r="C200" s="14" t="n"/>
      <c r="D200" s="14" t="n"/>
      <c r="E200" s="15" t="inlineStr">
        <is>
          <t>max_min_kick_ms</t>
        </is>
      </c>
      <c r="F200" s="15" t="inlineStr">
        <is>
          <t>min_max_kick_ms</t>
        </is>
      </c>
      <c r="G200" s="15" t="inlineStr">
        <is>
          <t>valid</t>
        </is>
      </c>
      <c r="H200" s="16" t="inlineStr">
        <is>
          <t>interval</t>
        </is>
      </c>
      <c r="L200" s="13" t="n"/>
      <c r="M200" s="14" t="n"/>
      <c r="N200" s="14" t="n"/>
      <c r="O200" s="15" t="inlineStr">
        <is>
          <t>max_min_kick_ms</t>
        </is>
      </c>
      <c r="P200" s="15" t="inlineStr">
        <is>
          <t>min_max_kick_ms</t>
        </is>
      </c>
      <c r="Q200" s="15" t="inlineStr">
        <is>
          <t>valid</t>
        </is>
      </c>
      <c r="R200" s="16" t="inlineStr">
        <is>
          <t>interval</t>
        </is>
      </c>
      <c r="V200" s="13" t="n"/>
      <c r="W200" s="14" t="n"/>
      <c r="X200" s="14" t="n"/>
      <c r="Y200" s="15" t="inlineStr">
        <is>
          <t>max_min_kick_ms</t>
        </is>
      </c>
      <c r="Z200" s="15" t="inlineStr">
        <is>
          <t>min_max_kick_ms</t>
        </is>
      </c>
      <c r="AA200" s="15" t="inlineStr">
        <is>
          <t>valid</t>
        </is>
      </c>
      <c r="AB200" s="16" t="inlineStr">
        <is>
          <t>interval</t>
        </is>
      </c>
    </row>
    <row r="201">
      <c r="B201" s="26" t="inlineStr">
        <is>
          <t>%8 intensity
%100 kick</t>
        </is>
      </c>
      <c r="D201" t="inlineStr">
        <is>
          <t>on_ms</t>
        </is>
      </c>
      <c r="E201" s="18">
        <f>MAX(E9,E32,E55,E78,E101,E124,E147)</f>
        <v/>
      </c>
      <c r="F201" s="18">
        <f>MIN(F9,F32,F55,F78,F101,F124,F147)</f>
        <v/>
      </c>
      <c r="G201" s="18">
        <f>IF(E201&lt;=F201,"True","False")</f>
        <v/>
      </c>
      <c r="H201" s="19">
        <f>IF(G201="True","["&amp;E201&amp;","&amp;F201&amp;"]","nan")</f>
        <v/>
      </c>
      <c r="L201" s="26" t="inlineStr">
        <is>
          <t>%8 intensity
%80 kick</t>
        </is>
      </c>
      <c r="N201" t="inlineStr">
        <is>
          <t>on_ms</t>
        </is>
      </c>
      <c r="O201" s="18">
        <f>MAX(O9,O32,O55,O78,O101,O124,O147)</f>
        <v/>
      </c>
      <c r="P201" s="18">
        <f>MIN(P9,P32,P55,P78,P101,P124,P147)</f>
        <v/>
      </c>
      <c r="Q201" s="18">
        <f>IF(O201&lt;=P201,"True","False")</f>
        <v/>
      </c>
      <c r="R201" s="19">
        <f>IF(Q201="True","["&amp;O201&amp;","&amp;P201&amp;"]","nan")</f>
        <v/>
      </c>
      <c r="V201" s="26" t="inlineStr">
        <is>
          <t>%8 intensity
%60 kick</t>
        </is>
      </c>
      <c r="X201" t="inlineStr">
        <is>
          <t>on_ms</t>
        </is>
      </c>
      <c r="Y201" s="18">
        <f>MAX(Y9,Y32,Y55,Y78,Y101,Y124,Y147)</f>
        <v/>
      </c>
      <c r="Z201" s="18">
        <f>MIN(Z9,Z32,Z55,Z78,Z101,Z124,Z147)</f>
        <v/>
      </c>
      <c r="AA201" s="18">
        <f>IF(Y201&lt;=Z201,"True","False")</f>
        <v/>
      </c>
      <c r="AB201" s="19">
        <f>IF(AA201="True","["&amp;Y201&amp;","&amp;Z201&amp;"]","nan")</f>
        <v/>
      </c>
    </row>
    <row r="202">
      <c r="B202" s="22" t="n"/>
      <c r="C202" s="11" t="n"/>
      <c r="D202" s="11" t="inlineStr">
        <is>
          <t>real_on_ms</t>
        </is>
      </c>
      <c r="E202" s="23">
        <f>MAX(E10,E33,E56,E79,E102,E125,E148)</f>
        <v/>
      </c>
      <c r="F202" s="23">
        <f>MIN(F10,F33,F56,F79,F102,F125,F148)</f>
        <v/>
      </c>
      <c r="G202" s="23">
        <f>IF(E202&lt;=F202,"True","False")</f>
        <v/>
      </c>
      <c r="H202" s="24">
        <f>IF(G202="True","["&amp;E202&amp;","&amp;F202&amp;"]","nan")</f>
        <v/>
      </c>
      <c r="L202" s="22" t="n"/>
      <c r="M202" s="11" t="n"/>
      <c r="N202" s="11" t="inlineStr">
        <is>
          <t>real_on_ms</t>
        </is>
      </c>
      <c r="O202" s="23">
        <f>MAX(O10,O33,O56,O79,O102,O125,O148)</f>
        <v/>
      </c>
      <c r="P202" s="23">
        <f>MIN(P10,P33,P56,P79,P102,P125,P148)</f>
        <v/>
      </c>
      <c r="Q202" s="23">
        <f>IF(O202&lt;=P202,"True","False")</f>
        <v/>
      </c>
      <c r="R202" s="24">
        <f>IF(Q202="True","["&amp;O202&amp;","&amp;P202&amp;"]","nan")</f>
        <v/>
      </c>
      <c r="V202" s="22" t="n"/>
      <c r="W202" s="11" t="n"/>
      <c r="X202" s="11" t="inlineStr">
        <is>
          <t>real_on_ms</t>
        </is>
      </c>
      <c r="Y202" s="23">
        <f>MAX(Y10,Y33,Y56,Y79,Y102,Y125,Y148)</f>
        <v/>
      </c>
      <c r="Z202" s="23">
        <f>MIN(Z10,Z33,Z56,Z79,Z102,Z125,Z148)</f>
        <v/>
      </c>
      <c r="AA202" s="23">
        <f>IF(Y202&lt;=Z202,"True","False")</f>
        <v/>
      </c>
      <c r="AB202" s="27">
        <f>IF(AA202="True","["&amp;Y202&amp;","&amp;Z202&amp;"]","nan")</f>
        <v/>
      </c>
    </row>
    <row r="204">
      <c r="B204" s="13" t="n"/>
      <c r="C204" s="14" t="n"/>
      <c r="D204" s="14" t="n"/>
      <c r="E204" s="15" t="inlineStr">
        <is>
          <t>max_min_kick_ms</t>
        </is>
      </c>
      <c r="F204" s="15" t="inlineStr">
        <is>
          <t>min_max_kick_ms</t>
        </is>
      </c>
      <c r="G204" s="15" t="inlineStr">
        <is>
          <t>valid</t>
        </is>
      </c>
      <c r="H204" s="16" t="inlineStr">
        <is>
          <t>interval</t>
        </is>
      </c>
      <c r="L204" s="13" t="n"/>
      <c r="M204" s="14" t="n"/>
      <c r="N204" s="14" t="n"/>
      <c r="O204" s="15" t="inlineStr">
        <is>
          <t>max_min_kick_ms</t>
        </is>
      </c>
      <c r="P204" s="15" t="inlineStr">
        <is>
          <t>min_max_kick_ms</t>
        </is>
      </c>
      <c r="Q204" s="15" t="inlineStr">
        <is>
          <t>valid</t>
        </is>
      </c>
      <c r="R204" s="16" t="inlineStr">
        <is>
          <t>interval</t>
        </is>
      </c>
      <c r="V204" s="13" t="n"/>
      <c r="W204" s="14" t="n"/>
      <c r="X204" s="14" t="n"/>
      <c r="Y204" s="15" t="inlineStr">
        <is>
          <t>max_min_kick_ms</t>
        </is>
      </c>
      <c r="Z204" s="15" t="inlineStr">
        <is>
          <t>min_max_kick_ms</t>
        </is>
      </c>
      <c r="AA204" s="15" t="inlineStr">
        <is>
          <t>valid</t>
        </is>
      </c>
      <c r="AB204" s="16" t="inlineStr">
        <is>
          <t>interval</t>
        </is>
      </c>
    </row>
    <row r="205">
      <c r="B205" s="26" t="inlineStr">
        <is>
          <t>%10 intensity
%100 kick</t>
        </is>
      </c>
      <c r="D205" t="inlineStr">
        <is>
          <t>on_ms</t>
        </is>
      </c>
      <c r="E205" s="18">
        <f>MAX(E12,E35,E58,E81,E104,E127,E150)</f>
        <v/>
      </c>
      <c r="F205" s="18">
        <f>MIN(F12,F35,F58,F81,F104,F127,F150)</f>
        <v/>
      </c>
      <c r="G205" s="18">
        <f>IF(E205&lt;=F205,"True","False")</f>
        <v/>
      </c>
      <c r="H205" s="19">
        <f>IF(G205="True","["&amp;E205&amp;","&amp;F205&amp;"]","nan")</f>
        <v/>
      </c>
      <c r="L205" s="26" t="inlineStr">
        <is>
          <t>%10 intensity
%80 kick</t>
        </is>
      </c>
      <c r="N205" t="inlineStr">
        <is>
          <t>on_ms</t>
        </is>
      </c>
      <c r="O205" s="18">
        <f>MAX(O12,O35,O58,O81,O104,O127,O150)</f>
        <v/>
      </c>
      <c r="P205" s="18">
        <f>MIN(P12,P35,P58,P81,P104,P127,P150)</f>
        <v/>
      </c>
      <c r="Q205" s="18">
        <f>IF(O205&lt;=P205,"True","False")</f>
        <v/>
      </c>
      <c r="R205" s="19">
        <f>IF(Q205="True","["&amp;O205&amp;","&amp;P205&amp;"]","nan")</f>
        <v/>
      </c>
      <c r="V205" s="26" t="inlineStr">
        <is>
          <t>%10 intensity
%60 kick</t>
        </is>
      </c>
      <c r="X205" t="inlineStr">
        <is>
          <t>on_ms</t>
        </is>
      </c>
      <c r="Y205" s="18">
        <f>MAX(Y12,Y35,Y58,Y81,Y104,Y127,Y150)</f>
        <v/>
      </c>
      <c r="Z205" s="18">
        <f>MIN(Z12,Z35,Z58,Z81,Z104,Z127,Z150)</f>
        <v/>
      </c>
      <c r="AA205" s="18">
        <f>IF(Y205&lt;=Z205,"True","False")</f>
        <v/>
      </c>
      <c r="AB205" s="19">
        <f>IF(AA205="True","["&amp;Y205&amp;","&amp;Z205&amp;"]","nan")</f>
        <v/>
      </c>
    </row>
    <row r="206">
      <c r="B206" s="22" t="n"/>
      <c r="C206" s="11" t="n"/>
      <c r="D206" s="11" t="inlineStr">
        <is>
          <t>real_on_ms</t>
        </is>
      </c>
      <c r="E206" s="23">
        <f>MAX(E13,E36,E59,E82,E105,E128,E151)</f>
        <v/>
      </c>
      <c r="F206" s="23">
        <f>MIN(F13,F36,F59,F82,F105,F128,F151)</f>
        <v/>
      </c>
      <c r="G206" s="23">
        <f>IF(E206&lt;=F206,"True","False")</f>
        <v/>
      </c>
      <c r="H206" s="24">
        <f>IF(G206="True","["&amp;E206&amp;","&amp;F206&amp;"]","nan")</f>
        <v/>
      </c>
      <c r="L206" s="22" t="n"/>
      <c r="M206" s="11" t="n"/>
      <c r="N206" s="11" t="inlineStr">
        <is>
          <t>real_on_ms</t>
        </is>
      </c>
      <c r="O206" s="23">
        <f>MAX(O13,O36,O59,O82,O105,O128,O151)</f>
        <v/>
      </c>
      <c r="P206" s="23">
        <f>MIN(P13,P36,P59,P82,P105,P128,P151)</f>
        <v/>
      </c>
      <c r="Q206" s="23">
        <f>IF(O206&lt;=P206,"True","False")</f>
        <v/>
      </c>
      <c r="R206" s="24">
        <f>IF(Q206="True","["&amp;O206&amp;","&amp;P206&amp;"]","nan")</f>
        <v/>
      </c>
      <c r="V206" s="22" t="n"/>
      <c r="W206" s="11" t="n"/>
      <c r="X206" s="11" t="inlineStr">
        <is>
          <t>real_on_ms</t>
        </is>
      </c>
      <c r="Y206" s="23">
        <f>MAX(Y13,Y36,Y59,Y82,Y105,Y128,Y151)</f>
        <v/>
      </c>
      <c r="Z206" s="23">
        <f>MIN(Z13,Z36,Z59,Z82,Z105,Z128,Z151)</f>
        <v/>
      </c>
      <c r="AA206" s="23">
        <f>IF(Y206&lt;=Z206,"True","False")</f>
        <v/>
      </c>
      <c r="AB206" s="27">
        <f>IF(AA206="True","["&amp;Y206&amp;","&amp;Z206&amp;"]","nan")</f>
        <v/>
      </c>
    </row>
    <row r="208">
      <c r="B208" s="13" t="n"/>
      <c r="C208" s="14" t="n"/>
      <c r="D208" s="14" t="n"/>
      <c r="E208" s="15" t="inlineStr">
        <is>
          <t>max_min_kick_ms</t>
        </is>
      </c>
      <c r="F208" s="15" t="inlineStr">
        <is>
          <t>min_max_kick_ms</t>
        </is>
      </c>
      <c r="G208" s="15" t="inlineStr">
        <is>
          <t>valid</t>
        </is>
      </c>
      <c r="H208" s="16" t="inlineStr">
        <is>
          <t>interval</t>
        </is>
      </c>
      <c r="L208" s="13" t="n"/>
      <c r="M208" s="14" t="n"/>
      <c r="N208" s="14" t="n"/>
      <c r="O208" s="15" t="inlineStr">
        <is>
          <t>max_min_kick_ms</t>
        </is>
      </c>
      <c r="P208" s="15" t="inlineStr">
        <is>
          <t>min_max_kick_ms</t>
        </is>
      </c>
      <c r="Q208" s="15" t="inlineStr">
        <is>
          <t>valid</t>
        </is>
      </c>
      <c r="R208" s="16" t="inlineStr">
        <is>
          <t>interval</t>
        </is>
      </c>
      <c r="V208" s="13" t="n"/>
      <c r="W208" s="14" t="n"/>
      <c r="X208" s="14" t="n"/>
      <c r="Y208" s="15" t="inlineStr">
        <is>
          <t>max_min_kick_ms</t>
        </is>
      </c>
      <c r="Z208" s="15" t="inlineStr">
        <is>
          <t>min_max_kick_ms</t>
        </is>
      </c>
      <c r="AA208" s="15" t="inlineStr">
        <is>
          <t>valid</t>
        </is>
      </c>
      <c r="AB208" s="16" t="inlineStr">
        <is>
          <t>interval</t>
        </is>
      </c>
    </row>
    <row r="209">
      <c r="B209" s="26" t="inlineStr">
        <is>
          <t>%15 intensity
%100 kick</t>
        </is>
      </c>
      <c r="D209" t="inlineStr">
        <is>
          <t>on_ms</t>
        </is>
      </c>
      <c r="E209" s="18">
        <f>MAX(E15,E38,E61,E84,E107,E130,E153)</f>
        <v/>
      </c>
      <c r="F209" s="18">
        <f>MIN(F15,F38,F61,F84,F107,F130,F153)</f>
        <v/>
      </c>
      <c r="G209" s="18">
        <f>IF(E209&lt;=F209,"True","False")</f>
        <v/>
      </c>
      <c r="H209" s="19">
        <f>IF(G209="True","["&amp;E209&amp;","&amp;F209&amp;"]","nan")</f>
        <v/>
      </c>
      <c r="L209" s="26" t="inlineStr">
        <is>
          <t>%15 intensity
%80 kick</t>
        </is>
      </c>
      <c r="N209" t="inlineStr">
        <is>
          <t>on_ms</t>
        </is>
      </c>
      <c r="O209" s="18">
        <f>MAX(O15,O38,O61,O84,O107,O130,O153)</f>
        <v/>
      </c>
      <c r="P209" s="18">
        <f>MIN(P15,P38,P61,P84,P107,P130,P153)</f>
        <v/>
      </c>
      <c r="Q209" s="18">
        <f>IF(O209&lt;=P209,"True","False")</f>
        <v/>
      </c>
      <c r="R209" s="19">
        <f>IF(Q209="True","["&amp;O209&amp;","&amp;P209&amp;"]","nan")</f>
        <v/>
      </c>
      <c r="V209" s="26" t="inlineStr">
        <is>
          <t>%15 intensity
%60 kick</t>
        </is>
      </c>
      <c r="X209" t="inlineStr">
        <is>
          <t>on_ms</t>
        </is>
      </c>
      <c r="Y209" s="18">
        <f>MAX(Y15,Y38,Y61,Y84,Y107,Y130,Y153)</f>
        <v/>
      </c>
      <c r="Z209" s="18">
        <f>MIN(Z15,Z38,Z61,Z84,Z107,Z130,Z153)</f>
        <v/>
      </c>
      <c r="AA209" s="18">
        <f>IF(Y209&lt;=Z209,"True","False")</f>
        <v/>
      </c>
      <c r="AB209" s="19">
        <f>IF(AA209="True","["&amp;Y209&amp;","&amp;Z209&amp;"]","nan")</f>
        <v/>
      </c>
    </row>
    <row r="210">
      <c r="B210" s="22" t="n"/>
      <c r="C210" s="11" t="n"/>
      <c r="D210" s="11" t="inlineStr">
        <is>
          <t>real_on_ms</t>
        </is>
      </c>
      <c r="E210" s="23">
        <f>MAX(E16,E39,E62,E85,E108,E131,E154)</f>
        <v/>
      </c>
      <c r="F210" s="23">
        <f>MIN(F16,F39,F62,F85,F108,F131,F154)</f>
        <v/>
      </c>
      <c r="G210" s="23">
        <f>IF(E210&lt;=F210,"True","False")</f>
        <v/>
      </c>
      <c r="H210" s="24">
        <f>IF(G210="True","["&amp;E210&amp;","&amp;F210&amp;"]","nan")</f>
        <v/>
      </c>
      <c r="L210" s="22" t="n"/>
      <c r="M210" s="11" t="n"/>
      <c r="N210" s="11" t="inlineStr">
        <is>
          <t>real_on_ms</t>
        </is>
      </c>
      <c r="O210" s="23">
        <f>MAX(O16,O39,O62,O85,O108,O131,O154)</f>
        <v/>
      </c>
      <c r="P210" s="23">
        <f>MIN(P16,P39,P62,P85,P108,P131,P154)</f>
        <v/>
      </c>
      <c r="Q210" s="23">
        <f>IF(O210&lt;=P210,"True","False")</f>
        <v/>
      </c>
      <c r="R210" s="24">
        <f>IF(Q210="True","["&amp;O210&amp;","&amp;P210&amp;"]","nan")</f>
        <v/>
      </c>
      <c r="V210" s="22" t="n"/>
      <c r="W210" s="11" t="n"/>
      <c r="X210" s="11" t="inlineStr">
        <is>
          <t>real_on_ms</t>
        </is>
      </c>
      <c r="Y210" s="23">
        <f>MAX(Y16,Y39,Y62,Y85,Y108,Y131,Y154)</f>
        <v/>
      </c>
      <c r="Z210" s="23">
        <f>MIN(Z16,Z39,Z62,Z85,Z108,Z131,Z154)</f>
        <v/>
      </c>
      <c r="AA210" s="23">
        <f>IF(Y210&lt;=Z210,"True","False")</f>
        <v/>
      </c>
      <c r="AB210" s="27">
        <f>IF(AA210="True","["&amp;Y210&amp;","&amp;Z210&amp;"]","nan")</f>
        <v/>
      </c>
    </row>
    <row r="212">
      <c r="B212" s="13" t="n"/>
      <c r="C212" s="14" t="n"/>
      <c r="D212" s="14" t="n"/>
      <c r="E212" s="15" t="inlineStr">
        <is>
          <t>max_min_kick_ms</t>
        </is>
      </c>
      <c r="F212" s="15" t="inlineStr">
        <is>
          <t>min_max_kick_ms</t>
        </is>
      </c>
      <c r="G212" s="15" t="inlineStr">
        <is>
          <t>valid</t>
        </is>
      </c>
      <c r="H212" s="16" t="inlineStr">
        <is>
          <t>interval</t>
        </is>
      </c>
      <c r="L212" s="13" t="n"/>
      <c r="M212" s="14" t="n"/>
      <c r="N212" s="14" t="n"/>
      <c r="O212" s="15" t="inlineStr">
        <is>
          <t>max_min_kick_ms</t>
        </is>
      </c>
      <c r="P212" s="15" t="inlineStr">
        <is>
          <t>min_max_kick_ms</t>
        </is>
      </c>
      <c r="Q212" s="15" t="inlineStr">
        <is>
          <t>valid</t>
        </is>
      </c>
      <c r="R212" s="16" t="inlineStr">
        <is>
          <t>interval</t>
        </is>
      </c>
      <c r="V212" s="13" t="n"/>
      <c r="W212" s="14" t="n"/>
      <c r="X212" s="14" t="n"/>
      <c r="Y212" s="15" t="inlineStr">
        <is>
          <t>max_min_kick_ms</t>
        </is>
      </c>
      <c r="Z212" s="15" t="inlineStr">
        <is>
          <t>min_max_kick_ms</t>
        </is>
      </c>
      <c r="AA212" s="15" t="inlineStr">
        <is>
          <t>valid</t>
        </is>
      </c>
      <c r="AB212" s="16" t="inlineStr">
        <is>
          <t>interval</t>
        </is>
      </c>
    </row>
    <row r="213">
      <c r="B213" s="26" t="inlineStr">
        <is>
          <t>%100 intensity
%100 kick</t>
        </is>
      </c>
      <c r="D213" t="inlineStr">
        <is>
          <t>on_ms</t>
        </is>
      </c>
      <c r="E213" s="18">
        <f>MAX(E18,E41,E64,E87,E110,E133,E156)</f>
        <v/>
      </c>
      <c r="F213" s="18">
        <f>MIN(F18,F41,F64,F87,F110,F133,F156)</f>
        <v/>
      </c>
      <c r="G213" s="18">
        <f>IF(E213&lt;=F213,"True","False")</f>
        <v/>
      </c>
      <c r="H213" s="19">
        <f>IF(G213="True","["&amp;E213&amp;","&amp;F213&amp;"]","nan")</f>
        <v/>
      </c>
      <c r="L213" s="26" t="inlineStr">
        <is>
          <t>%100 intensity
%80 kick</t>
        </is>
      </c>
      <c r="N213" t="inlineStr">
        <is>
          <t>on_ms</t>
        </is>
      </c>
      <c r="O213" s="18">
        <f>MAX(O18,O41,O64,O87,O110,O133,O156)</f>
        <v/>
      </c>
      <c r="P213" s="18">
        <f>MIN(P18,P41,P64,P87,P110,P133,P156)</f>
        <v/>
      </c>
      <c r="Q213" s="18">
        <f>IF(O213&lt;=P213,"True","False")</f>
        <v/>
      </c>
      <c r="R213" s="19">
        <f>IF(Q213="True","["&amp;O213&amp;","&amp;P213&amp;"]","nan")</f>
        <v/>
      </c>
      <c r="V213" s="26" t="inlineStr">
        <is>
          <t>%100 intensity
%60 kick</t>
        </is>
      </c>
      <c r="X213" t="inlineStr">
        <is>
          <t>on_ms</t>
        </is>
      </c>
      <c r="Y213" s="18">
        <f>MAX(Y18,Y41,Y64,Y87,Y110,Y133,Y156)</f>
        <v/>
      </c>
      <c r="Z213" s="18">
        <f>MIN(Z18,Z41,Z64,Z87,Z110,Z133,Z156)</f>
        <v/>
      </c>
      <c r="AA213" s="18">
        <f>IF(Y213&lt;=Z213,"True","False")</f>
        <v/>
      </c>
      <c r="AB213" s="19">
        <f>IF(AA213="True","["&amp;Y213&amp;","&amp;Z213&amp;"]","nan")</f>
        <v/>
      </c>
    </row>
    <row r="214">
      <c r="B214" s="22" t="n"/>
      <c r="C214" s="11" t="n"/>
      <c r="D214" s="11" t="inlineStr">
        <is>
          <t>real_on_ms</t>
        </is>
      </c>
      <c r="E214" s="23">
        <f>MAX(E19,E42,E65,E88,E111,E134,E157)</f>
        <v/>
      </c>
      <c r="F214" s="23">
        <f>MIN(F19,F42,F65,F88,F111,F134,F157)</f>
        <v/>
      </c>
      <c r="G214" s="23">
        <f>IF(E214&lt;=F214,"True","False")</f>
        <v/>
      </c>
      <c r="H214" s="24">
        <f>IF(G214="True","["&amp;E214&amp;","&amp;F214&amp;"]","nan")</f>
        <v/>
      </c>
      <c r="L214" s="22" t="n"/>
      <c r="M214" s="11" t="n"/>
      <c r="N214" s="11" t="inlineStr">
        <is>
          <t>real_on_ms</t>
        </is>
      </c>
      <c r="O214" s="23">
        <f>MAX(O19,O42,O65,O88,O111,O134,O157)</f>
        <v/>
      </c>
      <c r="P214" s="23">
        <f>MIN(P19,P42,P65,P88,P111,P134,P157)</f>
        <v/>
      </c>
      <c r="Q214" s="23">
        <f>IF(O214&lt;=P214,"True","False")</f>
        <v/>
      </c>
      <c r="R214" s="24">
        <f>IF(Q214="True","["&amp;O214&amp;","&amp;P214&amp;"]","nan")</f>
        <v/>
      </c>
      <c r="V214" s="22" t="n"/>
      <c r="W214" s="11" t="n"/>
      <c r="X214" s="11" t="inlineStr">
        <is>
          <t>real_on_ms</t>
        </is>
      </c>
      <c r="Y214" s="23">
        <f>MAX(Y19,Y42,Y65,Y88,Y111,Y134,Y157)</f>
        <v/>
      </c>
      <c r="Z214" s="23">
        <f>MIN(Z19,Z42,Z65,Z88,Z111,Z134,Z157)</f>
        <v/>
      </c>
      <c r="AA214" s="23">
        <f>IF(Y214&lt;=Z214,"True","False")</f>
        <v/>
      </c>
      <c r="AB214" s="27">
        <f>IF(AA214="True","["&amp;Y214&amp;","&amp;Z214&amp;"]","nan")</f>
        <v/>
      </c>
    </row>
  </sheetData>
  <mergeCells count="165">
    <mergeCell ref="V197:W198"/>
    <mergeCell ref="B107:C108"/>
    <mergeCell ref="B178:C179"/>
    <mergeCell ref="L104:M105"/>
    <mergeCell ref="L156:M157"/>
    <mergeCell ref="L26:M27"/>
    <mergeCell ref="B84:C85"/>
    <mergeCell ref="L35:M36"/>
    <mergeCell ref="V26:W27"/>
    <mergeCell ref="V110:W111"/>
    <mergeCell ref="L84:M85"/>
    <mergeCell ref="B118:C119"/>
    <mergeCell ref="V166:W167"/>
    <mergeCell ref="V118:W119"/>
    <mergeCell ref="V75:W76"/>
    <mergeCell ref="B133:C134"/>
    <mergeCell ref="L6:M7"/>
    <mergeCell ref="V174:W175"/>
    <mergeCell ref="B95:C96"/>
    <mergeCell ref="L182:M183"/>
    <mergeCell ref="V95:W96"/>
    <mergeCell ref="B141:C142"/>
    <mergeCell ref="B193:C194"/>
    <mergeCell ref="L61:M62"/>
    <mergeCell ref="B150:C151"/>
    <mergeCell ref="V52:W53"/>
    <mergeCell ref="V61:W62"/>
    <mergeCell ref="B213:C214"/>
    <mergeCell ref="B72:C73"/>
    <mergeCell ref="B81:C82"/>
    <mergeCell ref="V29:W30"/>
    <mergeCell ref="V81:W82"/>
    <mergeCell ref="V144:W145"/>
    <mergeCell ref="L127:M128"/>
    <mergeCell ref="L150:M151"/>
    <mergeCell ref="L186:M187"/>
    <mergeCell ref="V121:W122"/>
    <mergeCell ref="V15:W16"/>
    <mergeCell ref="V186:W187"/>
    <mergeCell ref="L205:M206"/>
    <mergeCell ref="L87:M88"/>
    <mergeCell ref="V78:W79"/>
    <mergeCell ref="V170:W171"/>
    <mergeCell ref="L197:M198"/>
    <mergeCell ref="B98:C99"/>
    <mergeCell ref="V98:W99"/>
    <mergeCell ref="V107:W108"/>
    <mergeCell ref="B147:C148"/>
    <mergeCell ref="B162:C163"/>
    <mergeCell ref="B9:C10"/>
    <mergeCell ref="L144:M145"/>
    <mergeCell ref="B49:C50"/>
    <mergeCell ref="V104:W105"/>
    <mergeCell ref="L153:M154"/>
    <mergeCell ref="L9:M10"/>
    <mergeCell ref="V153:W154"/>
    <mergeCell ref="V162:W163"/>
    <mergeCell ref="L41:M42"/>
    <mergeCell ref="V32:W33"/>
    <mergeCell ref="B124:C125"/>
    <mergeCell ref="V41:W42"/>
    <mergeCell ref="L124:M125"/>
    <mergeCell ref="V124:W125"/>
    <mergeCell ref="V133:W134"/>
    <mergeCell ref="V213:W214"/>
    <mergeCell ref="L170:M171"/>
    <mergeCell ref="V3:W4"/>
    <mergeCell ref="L52:M53"/>
    <mergeCell ref="B75:C76"/>
    <mergeCell ref="V55:W56"/>
    <mergeCell ref="V130:W131"/>
    <mergeCell ref="L98:M99"/>
    <mergeCell ref="B110:C111"/>
    <mergeCell ref="V18:W19"/>
    <mergeCell ref="V58:W59"/>
    <mergeCell ref="L107:M108"/>
    <mergeCell ref="L101:M102"/>
    <mergeCell ref="V72:W73"/>
    <mergeCell ref="B61:C62"/>
    <mergeCell ref="L78:M79"/>
    <mergeCell ref="L118:M119"/>
    <mergeCell ref="V127:W128"/>
    <mergeCell ref="B29:C30"/>
    <mergeCell ref="L133:M134"/>
    <mergeCell ref="L15:M16"/>
    <mergeCell ref="B38:C39"/>
    <mergeCell ref="V6:W7"/>
    <mergeCell ref="B182:C183"/>
    <mergeCell ref="B166:C167"/>
    <mergeCell ref="L55:M56"/>
    <mergeCell ref="L64:M65"/>
    <mergeCell ref="L162:M163"/>
    <mergeCell ref="V201:W202"/>
    <mergeCell ref="B15:C16"/>
    <mergeCell ref="B186:C187"/>
    <mergeCell ref="B205:C206"/>
    <mergeCell ref="L38:M39"/>
    <mergeCell ref="B87:C88"/>
    <mergeCell ref="V178:W179"/>
    <mergeCell ref="B201:C202"/>
    <mergeCell ref="L49:M50"/>
    <mergeCell ref="B104:C105"/>
    <mergeCell ref="B41:C42"/>
    <mergeCell ref="B35:C36"/>
    <mergeCell ref="L110:M111"/>
    <mergeCell ref="V101:W102"/>
    <mergeCell ref="L75:M76"/>
    <mergeCell ref="V141:W142"/>
    <mergeCell ref="V150:W151"/>
    <mergeCell ref="B3:C4"/>
    <mergeCell ref="B156:C157"/>
    <mergeCell ref="B12:C13"/>
    <mergeCell ref="B170:C171"/>
    <mergeCell ref="L3:M4"/>
    <mergeCell ref="B52:C53"/>
    <mergeCell ref="V156:W157"/>
    <mergeCell ref="L130:M131"/>
    <mergeCell ref="L12:M13"/>
    <mergeCell ref="L174:M175"/>
    <mergeCell ref="L18:M19"/>
    <mergeCell ref="L58:M59"/>
    <mergeCell ref="V35:W36"/>
    <mergeCell ref="B101:C102"/>
    <mergeCell ref="V49:W50"/>
    <mergeCell ref="V84:W85"/>
    <mergeCell ref="L213:M214"/>
    <mergeCell ref="L166:M167"/>
    <mergeCell ref="L29:M30"/>
    <mergeCell ref="B78:C79"/>
    <mergeCell ref="V182:W183"/>
    <mergeCell ref="L209:M210"/>
    <mergeCell ref="L147:M148"/>
    <mergeCell ref="B6:C7"/>
    <mergeCell ref="L193:M194"/>
    <mergeCell ref="B127:C128"/>
    <mergeCell ref="V193:W194"/>
    <mergeCell ref="B174:C175"/>
    <mergeCell ref="B55:C56"/>
    <mergeCell ref="L72:M73"/>
    <mergeCell ref="B64:C65"/>
    <mergeCell ref="V205:W206"/>
    <mergeCell ref="V12:W13"/>
    <mergeCell ref="L81:M82"/>
    <mergeCell ref="L201:M202"/>
    <mergeCell ref="B32:C33"/>
    <mergeCell ref="B197:C198"/>
    <mergeCell ref="L95:M96"/>
    <mergeCell ref="L178:M179"/>
    <mergeCell ref="B209:C210"/>
    <mergeCell ref="V64:W65"/>
    <mergeCell ref="V209:W210"/>
    <mergeCell ref="B144:C145"/>
    <mergeCell ref="B26:C27"/>
    <mergeCell ref="V147:W148"/>
    <mergeCell ref="B153:C154"/>
    <mergeCell ref="B18:C19"/>
    <mergeCell ref="L32:M33"/>
    <mergeCell ref="B121:C122"/>
    <mergeCell ref="V38:W39"/>
    <mergeCell ref="B130:C131"/>
    <mergeCell ref="L121:M122"/>
    <mergeCell ref="B58:C59"/>
    <mergeCell ref="V87:W88"/>
    <mergeCell ref="L141:M142"/>
    <mergeCell ref="V9:W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2026-09-26T21:33:07Z</dcterms:created>
  <dcterms:modified xsi:type="dcterms:W3CDTF">2026-09-26T23:23:55Z</dcterms:modified>
  <cp:lastModifiedBy>Eray Erdoğan</cp:lastModifiedBy>
</cp:coreProperties>
</file>